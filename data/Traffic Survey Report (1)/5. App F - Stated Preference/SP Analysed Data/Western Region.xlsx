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SP-DATA_Analysed\Analysed\"/>
    </mc:Choice>
  </mc:AlternateContent>
  <xr:revisionPtr revIDLastSave="0" documentId="13_ncr:1_{EF5C6ED9-5FBF-4763-93F4-75FA11029D8B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Age" sheetId="6" r:id="rId1"/>
    <sheet name="Journey P" sheetId="7" r:id="rId2"/>
    <sheet name="Dist-Time" sheetId="8" r:id="rId3"/>
    <sheet name="Dist-Time Toll" sheetId="9" r:id="rId4"/>
    <sheet name="Income-Toll" sheetId="10" r:id="rId5"/>
    <sheet name="Veh-Toll" sheetId="11" r:id="rId6"/>
    <sheet name="WesternSP-Data" sheetId="3" r:id="rId7"/>
    <sheet name="RSI FORM" sheetId="4" state="hidden" r:id="rId8"/>
    <sheet name="Key" sheetId="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6" hidden="1">'WesternSP-Data'!$B$2:$AM$98</definedName>
    <definedName name="Veh_Type">'WesternSP-Data'!$G$2:$G$239</definedName>
    <definedName name="zones">#REF!</definedName>
    <definedName name="Zones_Ndeke">#REF!</definedName>
  </definedNames>
  <calcPr calcId="191029"/>
  <pivotCaches>
    <pivotCache cacheId="4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3" i="9" l="1"/>
  <c r="M13" i="9"/>
  <c r="N13" i="9"/>
  <c r="O13" i="9"/>
  <c r="P13" i="9"/>
  <c r="Q13" i="9"/>
  <c r="G27" i="8"/>
  <c r="G12" i="8"/>
  <c r="R13" i="9" l="1"/>
  <c r="AA11" i="9" s="1"/>
  <c r="N5" i="7"/>
  <c r="N6" i="7"/>
  <c r="N7" i="7"/>
  <c r="N8" i="7"/>
  <c r="N9" i="7"/>
  <c r="N10" i="7"/>
  <c r="N11" i="7"/>
  <c r="N12" i="7"/>
  <c r="O12" i="7" s="1"/>
  <c r="M12" i="7"/>
  <c r="M11" i="7"/>
  <c r="M10" i="7"/>
  <c r="M9" i="7"/>
  <c r="M8" i="7"/>
  <c r="M7" i="7"/>
  <c r="M6" i="7"/>
  <c r="M5" i="7"/>
  <c r="N5" i="6"/>
  <c r="N11" i="6" s="1"/>
  <c r="N6" i="6"/>
  <c r="N7" i="6"/>
  <c r="N8" i="6"/>
  <c r="N9" i="6"/>
  <c r="N10" i="6"/>
  <c r="M6" i="6"/>
  <c r="M11" i="6" s="1"/>
  <c r="M7" i="6"/>
  <c r="M8" i="6"/>
  <c r="M9" i="6"/>
  <c r="M10" i="6"/>
  <c r="O11" i="6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1232" i="3"/>
  <c r="AM1233" i="3"/>
  <c r="AM1234" i="3"/>
  <c r="AM1235" i="3"/>
  <c r="AM1236" i="3"/>
  <c r="AM1237" i="3"/>
  <c r="AM1238" i="3"/>
  <c r="AM1239" i="3"/>
  <c r="AM1240" i="3"/>
  <c r="AM1241" i="3"/>
  <c r="AM1242" i="3"/>
  <c r="AM1243" i="3"/>
  <c r="AM1244" i="3"/>
  <c r="AM1245" i="3"/>
  <c r="AM1246" i="3"/>
  <c r="AM1247" i="3"/>
  <c r="AM1248" i="3"/>
  <c r="AM1249" i="3"/>
  <c r="AM1250" i="3"/>
  <c r="AM1251" i="3"/>
  <c r="AM1252" i="3"/>
  <c r="AM1253" i="3"/>
  <c r="AM1254" i="3"/>
  <c r="AM1255" i="3"/>
  <c r="AM1256" i="3"/>
  <c r="AM1257" i="3"/>
  <c r="AM1258" i="3"/>
  <c r="AM1259" i="3"/>
  <c r="AM1260" i="3"/>
  <c r="AM1261" i="3"/>
  <c r="AM1262" i="3"/>
  <c r="AM1263" i="3"/>
  <c r="AM1264" i="3"/>
  <c r="AM1265" i="3"/>
  <c r="AM1266" i="3"/>
  <c r="AM1267" i="3"/>
  <c r="AM1268" i="3"/>
  <c r="AM1269" i="3"/>
  <c r="AM1270" i="3"/>
  <c r="AM1271" i="3"/>
  <c r="AM1272" i="3"/>
  <c r="AM1273" i="3"/>
  <c r="AM1274" i="3"/>
  <c r="AM1275" i="3"/>
  <c r="AM1276" i="3"/>
  <c r="AM1277" i="3"/>
  <c r="AM1278" i="3"/>
  <c r="AM1279" i="3"/>
  <c r="AM1280" i="3"/>
  <c r="AM1281" i="3"/>
  <c r="AM1282" i="3"/>
  <c r="AM1283" i="3"/>
  <c r="AM1284" i="3"/>
  <c r="AM1285" i="3"/>
  <c r="AM1286" i="3"/>
  <c r="AM1287" i="3"/>
  <c r="AM1288" i="3"/>
  <c r="AM1289" i="3"/>
  <c r="AM1290" i="3"/>
  <c r="AM1291" i="3"/>
  <c r="AM1292" i="3"/>
  <c r="AM1293" i="3"/>
  <c r="AM1294" i="3"/>
  <c r="AM1295" i="3"/>
  <c r="AM1296" i="3"/>
  <c r="AM1297" i="3"/>
  <c r="AM1298" i="3"/>
  <c r="AM1299" i="3"/>
  <c r="AM1300" i="3"/>
  <c r="AM1301" i="3"/>
  <c r="AM1302" i="3"/>
  <c r="AM1303" i="3"/>
  <c r="AM1304" i="3"/>
  <c r="AM1305" i="3"/>
  <c r="AM1306" i="3"/>
  <c r="AM1307" i="3"/>
  <c r="AM1308" i="3"/>
  <c r="AM1309" i="3"/>
  <c r="AM1310" i="3"/>
  <c r="AM1311" i="3"/>
  <c r="AM1312" i="3"/>
  <c r="AM1313" i="3"/>
  <c r="AM1314" i="3"/>
  <c r="AM1315" i="3"/>
  <c r="AM1316" i="3"/>
  <c r="AM1317" i="3"/>
  <c r="AM1318" i="3"/>
  <c r="AM1319" i="3"/>
  <c r="AM1320" i="3"/>
  <c r="AM1321" i="3"/>
  <c r="AM1322" i="3"/>
  <c r="AM1323" i="3"/>
  <c r="AM1324" i="3"/>
  <c r="AM1325" i="3"/>
  <c r="AM1326" i="3"/>
  <c r="AM1327" i="3"/>
  <c r="AM1328" i="3"/>
  <c r="AM1329" i="3"/>
  <c r="AM1330" i="3"/>
  <c r="AM1331" i="3"/>
  <c r="AM1332" i="3"/>
  <c r="AM1333" i="3"/>
  <c r="AM1334" i="3"/>
  <c r="AM1335" i="3"/>
  <c r="AM1336" i="3"/>
  <c r="AM1337" i="3"/>
  <c r="AM1338" i="3"/>
  <c r="AM1339" i="3"/>
  <c r="AM1340" i="3"/>
  <c r="AM1341" i="3"/>
  <c r="AM1342" i="3"/>
  <c r="AM1343" i="3"/>
  <c r="AM1344" i="3"/>
  <c r="AM1345" i="3"/>
  <c r="AM1346" i="3"/>
  <c r="AM1347" i="3"/>
  <c r="AM1348" i="3"/>
  <c r="AM1349" i="3"/>
  <c r="AM1350" i="3"/>
  <c r="AM1351" i="3"/>
  <c r="AM1352" i="3"/>
  <c r="AM1353" i="3"/>
  <c r="AM1354" i="3"/>
  <c r="AM1355" i="3"/>
  <c r="AM1356" i="3"/>
  <c r="AM1357" i="3"/>
  <c r="AM1358" i="3"/>
  <c r="AM1359" i="3"/>
  <c r="AM1360" i="3"/>
  <c r="AM1361" i="3"/>
  <c r="AM1362" i="3"/>
  <c r="AM1363" i="3"/>
  <c r="AM1364" i="3"/>
  <c r="AM1365" i="3"/>
  <c r="AM1366" i="3"/>
  <c r="AM1367" i="3"/>
  <c r="AM1368" i="3"/>
  <c r="AM1369" i="3"/>
  <c r="AM1370" i="3"/>
  <c r="AM1371" i="3"/>
  <c r="AM1372" i="3"/>
  <c r="AM1373" i="3"/>
  <c r="AM1374" i="3"/>
  <c r="AM1375" i="3"/>
  <c r="AM1376" i="3"/>
  <c r="AM1377" i="3"/>
  <c r="AM1378" i="3"/>
  <c r="AM1379" i="3"/>
  <c r="AM1380" i="3"/>
  <c r="AM1381" i="3"/>
  <c r="AM1382" i="3"/>
  <c r="AM1383" i="3"/>
  <c r="AM1384" i="3"/>
  <c r="AM1385" i="3"/>
  <c r="AM1386" i="3"/>
  <c r="AM1387" i="3"/>
  <c r="AM1388" i="3"/>
  <c r="AM1389" i="3"/>
  <c r="AM1390" i="3"/>
  <c r="AM1391" i="3"/>
  <c r="AM1392" i="3"/>
  <c r="AM1393" i="3"/>
  <c r="AM1394" i="3"/>
  <c r="AM1395" i="3"/>
  <c r="AM1396" i="3"/>
  <c r="AM1397" i="3"/>
  <c r="AM1398" i="3"/>
  <c r="AM1399" i="3"/>
  <c r="AM1400" i="3"/>
  <c r="AM1401" i="3"/>
  <c r="AM1402" i="3"/>
  <c r="AM1403" i="3"/>
  <c r="AM1404" i="3"/>
  <c r="AM1405" i="3"/>
  <c r="AM1406" i="3"/>
  <c r="AM1407" i="3"/>
  <c r="AM1408" i="3"/>
  <c r="AM1409" i="3"/>
  <c r="AM1410" i="3"/>
  <c r="AM1411" i="3"/>
  <c r="AM1412" i="3"/>
  <c r="AM1413" i="3"/>
  <c r="AM1414" i="3"/>
  <c r="AM1415" i="3"/>
  <c r="AM1416" i="3"/>
  <c r="AM1417" i="3"/>
  <c r="AM1418" i="3"/>
  <c r="AM1419" i="3"/>
  <c r="AM1420" i="3"/>
  <c r="AM1421" i="3"/>
  <c r="AM1422" i="3"/>
  <c r="AM1423" i="3"/>
  <c r="AM1424" i="3"/>
  <c r="AM1425" i="3"/>
  <c r="AM1426" i="3"/>
  <c r="AM1427" i="3"/>
  <c r="AM1428" i="3"/>
  <c r="AM1429" i="3"/>
  <c r="AM1430" i="3"/>
  <c r="AM1431" i="3"/>
  <c r="AM1432" i="3"/>
  <c r="AM1433" i="3"/>
  <c r="AM1434" i="3"/>
  <c r="AM1435" i="3"/>
  <c r="AM1436" i="3"/>
  <c r="AM1437" i="3"/>
  <c r="AM1438" i="3"/>
  <c r="AM1439" i="3"/>
  <c r="AM1440" i="3"/>
  <c r="AM1441" i="3"/>
  <c r="AM1442" i="3"/>
  <c r="AM1443" i="3"/>
  <c r="AM1444" i="3"/>
  <c r="AM1445" i="3"/>
  <c r="AM1446" i="3"/>
  <c r="AM1447" i="3"/>
  <c r="AM1448" i="3"/>
  <c r="AM1449" i="3"/>
  <c r="AM1450" i="3"/>
  <c r="AM1451" i="3"/>
  <c r="AM1452" i="3"/>
  <c r="AM1453" i="3"/>
  <c r="AM1454" i="3"/>
  <c r="AM1455" i="3"/>
  <c r="AM1456" i="3"/>
  <c r="AM1457" i="3"/>
  <c r="AM1458" i="3"/>
  <c r="AM1459" i="3"/>
  <c r="AM1460" i="3"/>
  <c r="AM1461" i="3"/>
  <c r="AM1462" i="3"/>
  <c r="AM1463" i="3"/>
  <c r="AM1464" i="3"/>
  <c r="AM1465" i="3"/>
  <c r="AM1466" i="3"/>
  <c r="AM1467" i="3"/>
  <c r="AM1468" i="3"/>
  <c r="AM1469" i="3"/>
  <c r="AM1470" i="3"/>
  <c r="AM1471" i="3"/>
  <c r="AM1472" i="3"/>
  <c r="AM1473" i="3"/>
  <c r="AM1474" i="3"/>
  <c r="AM1475" i="3"/>
  <c r="AM1476" i="3"/>
  <c r="AM1477" i="3"/>
  <c r="AM1478" i="3"/>
  <c r="AM1479" i="3"/>
  <c r="AM1480" i="3"/>
  <c r="AM1481" i="3"/>
  <c r="AM1482" i="3"/>
  <c r="AM1483" i="3"/>
  <c r="AM1484" i="3"/>
  <c r="AM1485" i="3"/>
  <c r="AM1486" i="3"/>
  <c r="AM1487" i="3"/>
  <c r="AM1488" i="3"/>
  <c r="AM1489" i="3"/>
  <c r="AM1490" i="3"/>
  <c r="AM1491" i="3"/>
  <c r="AM1492" i="3"/>
  <c r="AM1493" i="3"/>
  <c r="AM1494" i="3"/>
  <c r="AM1495" i="3"/>
  <c r="AM1496" i="3"/>
  <c r="AM1497" i="3"/>
  <c r="AM1498" i="3"/>
  <c r="AM1499" i="3"/>
  <c r="AM1500" i="3"/>
  <c r="AM1501" i="3"/>
  <c r="AM1502" i="3"/>
  <c r="AM1503" i="3"/>
  <c r="AM1504" i="3"/>
  <c r="AM1505" i="3"/>
  <c r="AM1506" i="3"/>
  <c r="AM1507" i="3"/>
  <c r="AM1508" i="3"/>
  <c r="AM1509" i="3"/>
  <c r="AM1510" i="3"/>
  <c r="AM1511" i="3"/>
  <c r="AM1512" i="3"/>
  <c r="AM1513" i="3"/>
  <c r="AM1514" i="3"/>
  <c r="AM1515" i="3"/>
  <c r="AM1516" i="3"/>
  <c r="AM1517" i="3"/>
  <c r="AM1518" i="3"/>
  <c r="AM1519" i="3"/>
  <c r="AM1520" i="3"/>
  <c r="AM1521" i="3"/>
  <c r="AM1522" i="3"/>
  <c r="AM1523" i="3"/>
  <c r="AM1524" i="3"/>
  <c r="AM1525" i="3"/>
  <c r="AM1526" i="3"/>
  <c r="AM1527" i="3"/>
  <c r="AM1528" i="3"/>
  <c r="AM1529" i="3"/>
  <c r="AM1530" i="3"/>
  <c r="AM1531" i="3"/>
  <c r="AM1532" i="3"/>
  <c r="AM1533" i="3"/>
  <c r="AM1534" i="3"/>
  <c r="AM1535" i="3"/>
  <c r="AM1536" i="3"/>
  <c r="AM1537" i="3"/>
  <c r="AM1538" i="3"/>
  <c r="AM1539" i="3"/>
  <c r="AM1540" i="3"/>
  <c r="AM1541" i="3"/>
  <c r="AM1542" i="3"/>
  <c r="AM1543" i="3"/>
  <c r="AM1544" i="3"/>
  <c r="AM1545" i="3"/>
  <c r="AM1546" i="3"/>
  <c r="AM1547" i="3"/>
  <c r="AM1548" i="3"/>
  <c r="AM1549" i="3"/>
  <c r="AM1550" i="3"/>
  <c r="AM1551" i="3"/>
  <c r="AM155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R15" i="11"/>
  <c r="Z14" i="11" s="1"/>
  <c r="R12" i="10"/>
  <c r="V9" i="10" s="1"/>
  <c r="X11" i="9"/>
  <c r="AA10" i="9"/>
  <c r="Z10" i="9"/>
  <c r="V10" i="9"/>
  <c r="Y9" i="9"/>
  <c r="X9" i="9"/>
  <c r="Z8" i="9"/>
  <c r="W8" i="9"/>
  <c r="V8" i="9"/>
  <c r="X7" i="9"/>
  <c r="AA6" i="9"/>
  <c r="Z6" i="9"/>
  <c r="V6" i="9"/>
  <c r="Y5" i="9"/>
  <c r="X5" i="9"/>
  <c r="H26" i="8"/>
  <c r="H25" i="8"/>
  <c r="H24" i="8"/>
  <c r="H22" i="8"/>
  <c r="H23" i="8"/>
  <c r="H10" i="8"/>
  <c r="H8" i="8"/>
  <c r="H7" i="8"/>
  <c r="H6" i="8"/>
  <c r="H5" i="8"/>
  <c r="H9" i="8"/>
  <c r="H4" i="8"/>
  <c r="O8" i="7"/>
  <c r="M5" i="6"/>
  <c r="W11" i="11" l="1"/>
  <c r="W7" i="11"/>
  <c r="V6" i="11"/>
  <c r="X7" i="11"/>
  <c r="Z8" i="11"/>
  <c r="V10" i="11"/>
  <c r="X11" i="11"/>
  <c r="Z12" i="11"/>
  <c r="Y8" i="11"/>
  <c r="U5" i="11"/>
  <c r="W6" i="11"/>
  <c r="Y7" i="11"/>
  <c r="U9" i="11"/>
  <c r="W10" i="11"/>
  <c r="Y11" i="11"/>
  <c r="U13" i="11"/>
  <c r="V13" i="11"/>
  <c r="V5" i="11"/>
  <c r="X10" i="11"/>
  <c r="W5" i="11"/>
  <c r="Y6" i="11"/>
  <c r="U8" i="11"/>
  <c r="W9" i="11"/>
  <c r="Y10" i="11"/>
  <c r="U12" i="11"/>
  <c r="Y13" i="11"/>
  <c r="U6" i="11"/>
  <c r="Y12" i="11"/>
  <c r="X6" i="11"/>
  <c r="Z11" i="11"/>
  <c r="X5" i="11"/>
  <c r="Z6" i="11"/>
  <c r="V8" i="11"/>
  <c r="X9" i="11"/>
  <c r="Z10" i="11"/>
  <c r="V12" i="11"/>
  <c r="Z13" i="11"/>
  <c r="U10" i="11"/>
  <c r="Z7" i="11"/>
  <c r="V9" i="11"/>
  <c r="Y5" i="11"/>
  <c r="U7" i="11"/>
  <c r="W8" i="11"/>
  <c r="Y9" i="11"/>
  <c r="U11" i="11"/>
  <c r="W12" i="11"/>
  <c r="U14" i="11"/>
  <c r="Z5" i="11"/>
  <c r="V7" i="11"/>
  <c r="X8" i="11"/>
  <c r="Z9" i="11"/>
  <c r="V11" i="11"/>
  <c r="X12" i="11"/>
  <c r="V14" i="11"/>
  <c r="Y9" i="10"/>
  <c r="W5" i="10"/>
  <c r="X5" i="10"/>
  <c r="Y5" i="10"/>
  <c r="Y6" i="10"/>
  <c r="Z6" i="10"/>
  <c r="U7" i="10"/>
  <c r="U8" i="10"/>
  <c r="W8" i="10"/>
  <c r="W9" i="10"/>
  <c r="Z5" i="9"/>
  <c r="V7" i="9"/>
  <c r="X8" i="9"/>
  <c r="Z9" i="9"/>
  <c r="V11" i="9"/>
  <c r="AA5" i="9"/>
  <c r="W7" i="9"/>
  <c r="Y8" i="9"/>
  <c r="AA9" i="9"/>
  <c r="W11" i="9"/>
  <c r="W6" i="9"/>
  <c r="Y7" i="9"/>
  <c r="AA8" i="9"/>
  <c r="W10" i="9"/>
  <c r="Y11" i="9"/>
  <c r="V5" i="9"/>
  <c r="X6" i="9"/>
  <c r="Z7" i="9"/>
  <c r="V9" i="9"/>
  <c r="X10" i="9"/>
  <c r="Z11" i="9"/>
  <c r="W5" i="9"/>
  <c r="Y6" i="9"/>
  <c r="AA7" i="9"/>
  <c r="W9" i="9"/>
  <c r="Y10" i="9"/>
  <c r="O7" i="7"/>
  <c r="O11" i="7"/>
  <c r="O5" i="7"/>
  <c r="V8" i="10"/>
  <c r="X9" i="10"/>
  <c r="O10" i="7"/>
  <c r="Z5" i="10"/>
  <c r="V7" i="10"/>
  <c r="X8" i="10"/>
  <c r="Z9" i="10"/>
  <c r="W14" i="11"/>
  <c r="U6" i="10"/>
  <c r="W7" i="10"/>
  <c r="Y8" i="10"/>
  <c r="X14" i="11"/>
  <c r="O9" i="7"/>
  <c r="V6" i="10"/>
  <c r="X7" i="10"/>
  <c r="Z8" i="10"/>
  <c r="W13" i="11"/>
  <c r="Y14" i="11"/>
  <c r="O6" i="7"/>
  <c r="U5" i="10"/>
  <c r="W6" i="10"/>
  <c r="Y7" i="10"/>
  <c r="Y10" i="10" s="1"/>
  <c r="U9" i="10"/>
  <c r="X13" i="11"/>
  <c r="V5" i="10"/>
  <c r="X6" i="10"/>
  <c r="Z7" i="10"/>
  <c r="X10" i="10" l="1"/>
  <c r="V10" i="10"/>
  <c r="W10" i="10"/>
  <c r="O13" i="7"/>
  <c r="S10" i="7" s="1"/>
  <c r="Z10" i="10"/>
  <c r="U10" i="10"/>
  <c r="S11" i="7" l="1"/>
  <c r="S12" i="7"/>
  <c r="S6" i="7"/>
  <c r="R5" i="7"/>
  <c r="R10" i="7"/>
  <c r="R12" i="7"/>
  <c r="R11" i="7"/>
  <c r="R8" i="7"/>
  <c r="S8" i="7"/>
  <c r="R6" i="7"/>
  <c r="R7" i="7"/>
  <c r="S7" i="7"/>
  <c r="S5" i="7"/>
  <c r="R9" i="7"/>
  <c r="S9" i="7"/>
  <c r="AM2" i="3" l="1"/>
  <c r="AA2" i="3"/>
  <c r="Y2" i="3"/>
  <c r="AE1552" i="3"/>
  <c r="AC1552" i="3"/>
  <c r="U1552" i="3"/>
  <c r="P1552" i="3"/>
  <c r="K1552" i="3"/>
  <c r="H1552" i="3"/>
  <c r="F1552" i="3"/>
  <c r="AE1551" i="3"/>
  <c r="AC1551" i="3"/>
  <c r="U1551" i="3"/>
  <c r="P1551" i="3"/>
  <c r="K1551" i="3"/>
  <c r="H1551" i="3"/>
  <c r="F1551" i="3"/>
  <c r="AE1550" i="3"/>
  <c r="AC1550" i="3"/>
  <c r="U1550" i="3"/>
  <c r="P1550" i="3"/>
  <c r="K1550" i="3"/>
  <c r="H1550" i="3"/>
  <c r="F1550" i="3"/>
  <c r="AE1549" i="3"/>
  <c r="AC1549" i="3"/>
  <c r="U1549" i="3"/>
  <c r="P1549" i="3"/>
  <c r="K1549" i="3"/>
  <c r="H1549" i="3"/>
  <c r="F1549" i="3"/>
  <c r="AE1548" i="3"/>
  <c r="AC1548" i="3"/>
  <c r="U1548" i="3"/>
  <c r="P1548" i="3"/>
  <c r="K1548" i="3"/>
  <c r="H1548" i="3"/>
  <c r="F1548" i="3"/>
  <c r="AE1547" i="3"/>
  <c r="AC1547" i="3"/>
  <c r="U1547" i="3"/>
  <c r="P1547" i="3"/>
  <c r="K1547" i="3"/>
  <c r="H1547" i="3"/>
  <c r="F1547" i="3"/>
  <c r="AE1546" i="3"/>
  <c r="AC1546" i="3"/>
  <c r="U1546" i="3"/>
  <c r="P1546" i="3"/>
  <c r="K1546" i="3"/>
  <c r="H1546" i="3"/>
  <c r="F1546" i="3"/>
  <c r="AE1545" i="3"/>
  <c r="AC1545" i="3"/>
  <c r="U1545" i="3"/>
  <c r="P1545" i="3"/>
  <c r="K1545" i="3"/>
  <c r="H1545" i="3"/>
  <c r="F1545" i="3"/>
  <c r="AE1544" i="3"/>
  <c r="AC1544" i="3"/>
  <c r="U1544" i="3"/>
  <c r="P1544" i="3"/>
  <c r="K1544" i="3"/>
  <c r="H1544" i="3"/>
  <c r="F1544" i="3"/>
  <c r="AE1543" i="3"/>
  <c r="AC1543" i="3"/>
  <c r="U1543" i="3"/>
  <c r="P1543" i="3"/>
  <c r="K1543" i="3"/>
  <c r="H1543" i="3"/>
  <c r="F1543" i="3"/>
  <c r="AE1542" i="3"/>
  <c r="AC1542" i="3"/>
  <c r="U1542" i="3"/>
  <c r="P1542" i="3"/>
  <c r="K1542" i="3"/>
  <c r="H1542" i="3"/>
  <c r="F1542" i="3"/>
  <c r="AE1541" i="3"/>
  <c r="AC1541" i="3"/>
  <c r="U1541" i="3"/>
  <c r="P1541" i="3"/>
  <c r="K1541" i="3"/>
  <c r="H1541" i="3"/>
  <c r="F1541" i="3"/>
  <c r="AE1540" i="3"/>
  <c r="AC1540" i="3"/>
  <c r="U1540" i="3"/>
  <c r="P1540" i="3"/>
  <c r="K1540" i="3"/>
  <c r="H1540" i="3"/>
  <c r="F1540" i="3"/>
  <c r="AE1539" i="3"/>
  <c r="AC1539" i="3"/>
  <c r="U1539" i="3"/>
  <c r="P1539" i="3"/>
  <c r="K1539" i="3"/>
  <c r="H1539" i="3"/>
  <c r="F1539" i="3"/>
  <c r="AE1538" i="3"/>
  <c r="AC1538" i="3"/>
  <c r="U1538" i="3"/>
  <c r="P1538" i="3"/>
  <c r="K1538" i="3"/>
  <c r="H1538" i="3"/>
  <c r="F1538" i="3"/>
  <c r="AE1537" i="3"/>
  <c r="AC1537" i="3"/>
  <c r="U1537" i="3"/>
  <c r="P1537" i="3"/>
  <c r="K1537" i="3"/>
  <c r="H1537" i="3"/>
  <c r="F1537" i="3"/>
  <c r="AE1536" i="3"/>
  <c r="AC1536" i="3"/>
  <c r="U1536" i="3"/>
  <c r="P1536" i="3"/>
  <c r="K1536" i="3"/>
  <c r="H1536" i="3"/>
  <c r="F1536" i="3"/>
  <c r="AE1535" i="3"/>
  <c r="AC1535" i="3"/>
  <c r="U1535" i="3"/>
  <c r="P1535" i="3"/>
  <c r="K1535" i="3"/>
  <c r="H1535" i="3"/>
  <c r="F1535" i="3"/>
  <c r="AE1534" i="3"/>
  <c r="AC1534" i="3"/>
  <c r="U1534" i="3"/>
  <c r="P1534" i="3"/>
  <c r="K1534" i="3"/>
  <c r="H1534" i="3"/>
  <c r="F1534" i="3"/>
  <c r="AE1533" i="3"/>
  <c r="AC1533" i="3"/>
  <c r="U1533" i="3"/>
  <c r="P1533" i="3"/>
  <c r="K1533" i="3"/>
  <c r="H1533" i="3"/>
  <c r="F1533" i="3"/>
  <c r="AE1532" i="3"/>
  <c r="AC1532" i="3"/>
  <c r="U1532" i="3"/>
  <c r="P1532" i="3"/>
  <c r="K1532" i="3"/>
  <c r="H1532" i="3"/>
  <c r="F1532" i="3"/>
  <c r="AE1531" i="3"/>
  <c r="AC1531" i="3"/>
  <c r="U1531" i="3"/>
  <c r="P1531" i="3"/>
  <c r="K1531" i="3"/>
  <c r="H1531" i="3"/>
  <c r="F1531" i="3"/>
  <c r="AE1530" i="3"/>
  <c r="AC1530" i="3"/>
  <c r="U1530" i="3"/>
  <c r="P1530" i="3"/>
  <c r="K1530" i="3"/>
  <c r="H1530" i="3"/>
  <c r="F1530" i="3"/>
  <c r="AE1529" i="3"/>
  <c r="AC1529" i="3"/>
  <c r="U1529" i="3"/>
  <c r="P1529" i="3"/>
  <c r="K1529" i="3"/>
  <c r="H1529" i="3"/>
  <c r="F1529" i="3"/>
  <c r="AE1528" i="3"/>
  <c r="AC1528" i="3"/>
  <c r="U1528" i="3"/>
  <c r="P1528" i="3"/>
  <c r="K1528" i="3"/>
  <c r="H1528" i="3"/>
  <c r="F1528" i="3"/>
  <c r="AE1527" i="3"/>
  <c r="AC1527" i="3"/>
  <c r="U1527" i="3"/>
  <c r="P1527" i="3"/>
  <c r="K1527" i="3"/>
  <c r="H1527" i="3"/>
  <c r="F1527" i="3"/>
  <c r="AE1526" i="3"/>
  <c r="AC1526" i="3"/>
  <c r="U1526" i="3"/>
  <c r="P1526" i="3"/>
  <c r="K1526" i="3"/>
  <c r="H1526" i="3"/>
  <c r="F1526" i="3"/>
  <c r="AE1525" i="3"/>
  <c r="AC1525" i="3"/>
  <c r="U1525" i="3"/>
  <c r="P1525" i="3"/>
  <c r="K1525" i="3"/>
  <c r="H1525" i="3"/>
  <c r="F1525" i="3"/>
  <c r="AE1524" i="3"/>
  <c r="AC1524" i="3"/>
  <c r="U1524" i="3"/>
  <c r="P1524" i="3"/>
  <c r="K1524" i="3"/>
  <c r="H1524" i="3"/>
  <c r="F1524" i="3"/>
  <c r="AE1523" i="3"/>
  <c r="AC1523" i="3"/>
  <c r="U1523" i="3"/>
  <c r="P1523" i="3"/>
  <c r="K1523" i="3"/>
  <c r="H1523" i="3"/>
  <c r="F1523" i="3"/>
  <c r="AE1522" i="3"/>
  <c r="AC1522" i="3"/>
  <c r="U1522" i="3"/>
  <c r="P1522" i="3"/>
  <c r="K1522" i="3"/>
  <c r="H1522" i="3"/>
  <c r="F1522" i="3"/>
  <c r="AE1521" i="3"/>
  <c r="AC1521" i="3"/>
  <c r="U1521" i="3"/>
  <c r="P1521" i="3"/>
  <c r="K1521" i="3"/>
  <c r="H1521" i="3"/>
  <c r="F1521" i="3"/>
  <c r="AE1520" i="3"/>
  <c r="AC1520" i="3"/>
  <c r="U1520" i="3"/>
  <c r="P1520" i="3"/>
  <c r="K1520" i="3"/>
  <c r="H1520" i="3"/>
  <c r="F1520" i="3"/>
  <c r="AE1519" i="3"/>
  <c r="AC1519" i="3"/>
  <c r="U1519" i="3"/>
  <c r="P1519" i="3"/>
  <c r="K1519" i="3"/>
  <c r="H1519" i="3"/>
  <c r="F1519" i="3"/>
  <c r="AE1518" i="3"/>
  <c r="AC1518" i="3"/>
  <c r="U1518" i="3"/>
  <c r="P1518" i="3"/>
  <c r="K1518" i="3"/>
  <c r="H1518" i="3"/>
  <c r="F1518" i="3"/>
  <c r="AE1517" i="3"/>
  <c r="AC1517" i="3"/>
  <c r="U1517" i="3"/>
  <c r="P1517" i="3"/>
  <c r="K1517" i="3"/>
  <c r="H1517" i="3"/>
  <c r="F1517" i="3"/>
  <c r="AE1516" i="3"/>
  <c r="AC1516" i="3"/>
  <c r="U1516" i="3"/>
  <c r="P1516" i="3"/>
  <c r="K1516" i="3"/>
  <c r="H1516" i="3"/>
  <c r="F1516" i="3"/>
  <c r="AE1515" i="3"/>
  <c r="AC1515" i="3"/>
  <c r="U1515" i="3"/>
  <c r="P1515" i="3"/>
  <c r="K1515" i="3"/>
  <c r="H1515" i="3"/>
  <c r="F1515" i="3"/>
  <c r="AE1514" i="3"/>
  <c r="AC1514" i="3"/>
  <c r="U1514" i="3"/>
  <c r="P1514" i="3"/>
  <c r="K1514" i="3"/>
  <c r="H1514" i="3"/>
  <c r="F1514" i="3"/>
  <c r="AE1513" i="3"/>
  <c r="AC1513" i="3"/>
  <c r="U1513" i="3"/>
  <c r="P1513" i="3"/>
  <c r="K1513" i="3"/>
  <c r="H1513" i="3"/>
  <c r="F1513" i="3"/>
  <c r="AE1512" i="3"/>
  <c r="AC1512" i="3"/>
  <c r="U1512" i="3"/>
  <c r="P1512" i="3"/>
  <c r="K1512" i="3"/>
  <c r="H1512" i="3"/>
  <c r="F1512" i="3"/>
  <c r="AE1511" i="3"/>
  <c r="AC1511" i="3"/>
  <c r="U1511" i="3"/>
  <c r="P1511" i="3"/>
  <c r="K1511" i="3"/>
  <c r="H1511" i="3"/>
  <c r="F1511" i="3"/>
  <c r="AE1510" i="3"/>
  <c r="AC1510" i="3"/>
  <c r="U1510" i="3"/>
  <c r="P1510" i="3"/>
  <c r="K1510" i="3"/>
  <c r="H1510" i="3"/>
  <c r="F1510" i="3"/>
  <c r="AE1509" i="3"/>
  <c r="AC1509" i="3"/>
  <c r="U1509" i="3"/>
  <c r="P1509" i="3"/>
  <c r="K1509" i="3"/>
  <c r="H1509" i="3"/>
  <c r="F1509" i="3"/>
  <c r="AE1508" i="3"/>
  <c r="AC1508" i="3"/>
  <c r="U1508" i="3"/>
  <c r="P1508" i="3"/>
  <c r="K1508" i="3"/>
  <c r="H1508" i="3"/>
  <c r="F1508" i="3"/>
  <c r="AE1507" i="3"/>
  <c r="AC1507" i="3"/>
  <c r="U1507" i="3"/>
  <c r="P1507" i="3"/>
  <c r="K1507" i="3"/>
  <c r="H1507" i="3"/>
  <c r="F1507" i="3"/>
  <c r="AE1506" i="3"/>
  <c r="AC1506" i="3"/>
  <c r="U1506" i="3"/>
  <c r="P1506" i="3"/>
  <c r="K1506" i="3"/>
  <c r="H1506" i="3"/>
  <c r="F1506" i="3"/>
  <c r="AE1505" i="3"/>
  <c r="AC1505" i="3"/>
  <c r="U1505" i="3"/>
  <c r="P1505" i="3"/>
  <c r="K1505" i="3"/>
  <c r="H1505" i="3"/>
  <c r="F1505" i="3"/>
  <c r="AE1504" i="3"/>
  <c r="AC1504" i="3"/>
  <c r="U1504" i="3"/>
  <c r="P1504" i="3"/>
  <c r="K1504" i="3"/>
  <c r="H1504" i="3"/>
  <c r="F1504" i="3"/>
  <c r="AE1503" i="3"/>
  <c r="AC1503" i="3"/>
  <c r="U1503" i="3"/>
  <c r="P1503" i="3"/>
  <c r="K1503" i="3"/>
  <c r="H1503" i="3"/>
  <c r="F1503" i="3"/>
  <c r="AE1502" i="3"/>
  <c r="AC1502" i="3"/>
  <c r="U1502" i="3"/>
  <c r="P1502" i="3"/>
  <c r="K1502" i="3"/>
  <c r="H1502" i="3"/>
  <c r="F1502" i="3"/>
  <c r="AE1501" i="3"/>
  <c r="AC1501" i="3"/>
  <c r="U1501" i="3"/>
  <c r="P1501" i="3"/>
  <c r="K1501" i="3"/>
  <c r="H1501" i="3"/>
  <c r="F1501" i="3"/>
  <c r="AE1500" i="3"/>
  <c r="AC1500" i="3"/>
  <c r="U1500" i="3"/>
  <c r="P1500" i="3"/>
  <c r="K1500" i="3"/>
  <c r="H1500" i="3"/>
  <c r="F1500" i="3"/>
  <c r="AE1499" i="3"/>
  <c r="AC1499" i="3"/>
  <c r="U1499" i="3"/>
  <c r="P1499" i="3"/>
  <c r="K1499" i="3"/>
  <c r="H1499" i="3"/>
  <c r="F1499" i="3"/>
  <c r="AE1498" i="3"/>
  <c r="AC1498" i="3"/>
  <c r="U1498" i="3"/>
  <c r="P1498" i="3"/>
  <c r="K1498" i="3"/>
  <c r="H1498" i="3"/>
  <c r="F1498" i="3"/>
  <c r="AE1497" i="3"/>
  <c r="AC1497" i="3"/>
  <c r="U1497" i="3"/>
  <c r="P1497" i="3"/>
  <c r="K1497" i="3"/>
  <c r="H1497" i="3"/>
  <c r="F1497" i="3"/>
  <c r="AE1496" i="3"/>
  <c r="AC1496" i="3"/>
  <c r="U1496" i="3"/>
  <c r="P1496" i="3"/>
  <c r="K1496" i="3"/>
  <c r="H1496" i="3"/>
  <c r="F1496" i="3"/>
  <c r="AE1495" i="3"/>
  <c r="AC1495" i="3"/>
  <c r="U1495" i="3"/>
  <c r="P1495" i="3"/>
  <c r="K1495" i="3"/>
  <c r="H1495" i="3"/>
  <c r="F1495" i="3"/>
  <c r="AE1494" i="3"/>
  <c r="AC1494" i="3"/>
  <c r="U1494" i="3"/>
  <c r="P1494" i="3"/>
  <c r="K1494" i="3"/>
  <c r="H1494" i="3"/>
  <c r="F1494" i="3"/>
  <c r="AE1493" i="3"/>
  <c r="AC1493" i="3"/>
  <c r="U1493" i="3"/>
  <c r="P1493" i="3"/>
  <c r="K1493" i="3"/>
  <c r="H1493" i="3"/>
  <c r="F1493" i="3"/>
  <c r="AE1492" i="3"/>
  <c r="AC1492" i="3"/>
  <c r="U1492" i="3"/>
  <c r="P1492" i="3"/>
  <c r="K1492" i="3"/>
  <c r="H1492" i="3"/>
  <c r="F1492" i="3"/>
  <c r="AE1491" i="3"/>
  <c r="AC1491" i="3"/>
  <c r="U1491" i="3"/>
  <c r="P1491" i="3"/>
  <c r="K1491" i="3"/>
  <c r="H1491" i="3"/>
  <c r="F1491" i="3"/>
  <c r="AE1490" i="3"/>
  <c r="AC1490" i="3"/>
  <c r="U1490" i="3"/>
  <c r="P1490" i="3"/>
  <c r="K1490" i="3"/>
  <c r="H1490" i="3"/>
  <c r="F1490" i="3"/>
  <c r="AE1489" i="3"/>
  <c r="AC1489" i="3"/>
  <c r="U1489" i="3"/>
  <c r="P1489" i="3"/>
  <c r="K1489" i="3"/>
  <c r="H1489" i="3"/>
  <c r="F1489" i="3"/>
  <c r="AE1488" i="3"/>
  <c r="AC1488" i="3"/>
  <c r="U1488" i="3"/>
  <c r="P1488" i="3"/>
  <c r="K1488" i="3"/>
  <c r="H1488" i="3"/>
  <c r="F1488" i="3"/>
  <c r="AE1487" i="3"/>
  <c r="AC1487" i="3"/>
  <c r="U1487" i="3"/>
  <c r="P1487" i="3"/>
  <c r="K1487" i="3"/>
  <c r="H1487" i="3"/>
  <c r="F1487" i="3"/>
  <c r="AE1486" i="3"/>
  <c r="AC1486" i="3"/>
  <c r="U1486" i="3"/>
  <c r="P1486" i="3"/>
  <c r="K1486" i="3"/>
  <c r="H1486" i="3"/>
  <c r="F1486" i="3"/>
  <c r="AE1485" i="3"/>
  <c r="AC1485" i="3"/>
  <c r="U1485" i="3"/>
  <c r="P1485" i="3"/>
  <c r="K1485" i="3"/>
  <c r="H1485" i="3"/>
  <c r="F1485" i="3"/>
  <c r="AE1484" i="3"/>
  <c r="AC1484" i="3"/>
  <c r="U1484" i="3"/>
  <c r="P1484" i="3"/>
  <c r="K1484" i="3"/>
  <c r="H1484" i="3"/>
  <c r="F1484" i="3"/>
  <c r="AE1483" i="3"/>
  <c r="AC1483" i="3"/>
  <c r="U1483" i="3"/>
  <c r="P1483" i="3"/>
  <c r="K1483" i="3"/>
  <c r="H1483" i="3"/>
  <c r="F1483" i="3"/>
  <c r="AE1482" i="3"/>
  <c r="AC1482" i="3"/>
  <c r="U1482" i="3"/>
  <c r="P1482" i="3"/>
  <c r="K1482" i="3"/>
  <c r="H1482" i="3"/>
  <c r="F1482" i="3"/>
  <c r="AE1481" i="3"/>
  <c r="AC1481" i="3"/>
  <c r="U1481" i="3"/>
  <c r="P1481" i="3"/>
  <c r="K1481" i="3"/>
  <c r="H1481" i="3"/>
  <c r="F1481" i="3"/>
  <c r="AE1480" i="3"/>
  <c r="AC1480" i="3"/>
  <c r="U1480" i="3"/>
  <c r="P1480" i="3"/>
  <c r="K1480" i="3"/>
  <c r="H1480" i="3"/>
  <c r="F1480" i="3"/>
  <c r="AE1479" i="3"/>
  <c r="AC1479" i="3"/>
  <c r="U1479" i="3"/>
  <c r="P1479" i="3"/>
  <c r="K1479" i="3"/>
  <c r="H1479" i="3"/>
  <c r="F1479" i="3"/>
  <c r="AE1478" i="3"/>
  <c r="AC1478" i="3"/>
  <c r="U1478" i="3"/>
  <c r="P1478" i="3"/>
  <c r="K1478" i="3"/>
  <c r="H1478" i="3"/>
  <c r="F1478" i="3"/>
  <c r="AE1477" i="3"/>
  <c r="AC1477" i="3"/>
  <c r="U1477" i="3"/>
  <c r="P1477" i="3"/>
  <c r="K1477" i="3"/>
  <c r="H1477" i="3"/>
  <c r="F1477" i="3"/>
  <c r="AE1476" i="3"/>
  <c r="AC1476" i="3"/>
  <c r="U1476" i="3"/>
  <c r="P1476" i="3"/>
  <c r="K1476" i="3"/>
  <c r="H1476" i="3"/>
  <c r="F1476" i="3"/>
  <c r="AE1475" i="3"/>
  <c r="AC1475" i="3"/>
  <c r="U1475" i="3"/>
  <c r="P1475" i="3"/>
  <c r="K1475" i="3"/>
  <c r="H1475" i="3"/>
  <c r="F1475" i="3"/>
  <c r="AE1474" i="3"/>
  <c r="AC1474" i="3"/>
  <c r="U1474" i="3"/>
  <c r="P1474" i="3"/>
  <c r="K1474" i="3"/>
  <c r="H1474" i="3"/>
  <c r="F1474" i="3"/>
  <c r="AE1473" i="3"/>
  <c r="AC1473" i="3"/>
  <c r="U1473" i="3"/>
  <c r="P1473" i="3"/>
  <c r="K1473" i="3"/>
  <c r="H1473" i="3"/>
  <c r="F1473" i="3"/>
  <c r="AE1472" i="3"/>
  <c r="AC1472" i="3"/>
  <c r="U1472" i="3"/>
  <c r="P1472" i="3"/>
  <c r="K1472" i="3"/>
  <c r="H1472" i="3"/>
  <c r="F1472" i="3"/>
  <c r="AE1471" i="3"/>
  <c r="AC1471" i="3"/>
  <c r="U1471" i="3"/>
  <c r="P1471" i="3"/>
  <c r="K1471" i="3"/>
  <c r="H1471" i="3"/>
  <c r="F1471" i="3"/>
  <c r="AE1470" i="3"/>
  <c r="AC1470" i="3"/>
  <c r="U1470" i="3"/>
  <c r="P1470" i="3"/>
  <c r="K1470" i="3"/>
  <c r="H1470" i="3"/>
  <c r="F1470" i="3"/>
  <c r="AE1469" i="3"/>
  <c r="AC1469" i="3"/>
  <c r="U1469" i="3"/>
  <c r="P1469" i="3"/>
  <c r="K1469" i="3"/>
  <c r="H1469" i="3"/>
  <c r="F1469" i="3"/>
  <c r="AE1468" i="3"/>
  <c r="AC1468" i="3"/>
  <c r="U1468" i="3"/>
  <c r="P1468" i="3"/>
  <c r="K1468" i="3"/>
  <c r="H1468" i="3"/>
  <c r="F1468" i="3"/>
  <c r="AE1467" i="3"/>
  <c r="AC1467" i="3"/>
  <c r="U1467" i="3"/>
  <c r="P1467" i="3"/>
  <c r="K1467" i="3"/>
  <c r="H1467" i="3"/>
  <c r="F1467" i="3"/>
  <c r="AE1466" i="3"/>
  <c r="AC1466" i="3"/>
  <c r="U1466" i="3"/>
  <c r="P1466" i="3"/>
  <c r="K1466" i="3"/>
  <c r="H1466" i="3"/>
  <c r="F1466" i="3"/>
  <c r="AE1465" i="3"/>
  <c r="AC1465" i="3"/>
  <c r="U1465" i="3"/>
  <c r="P1465" i="3"/>
  <c r="K1465" i="3"/>
  <c r="H1465" i="3"/>
  <c r="F1465" i="3"/>
  <c r="AE1464" i="3"/>
  <c r="AC1464" i="3"/>
  <c r="U1464" i="3"/>
  <c r="P1464" i="3"/>
  <c r="K1464" i="3"/>
  <c r="H1464" i="3"/>
  <c r="F1464" i="3"/>
  <c r="AE1463" i="3"/>
  <c r="AC1463" i="3"/>
  <c r="U1463" i="3"/>
  <c r="P1463" i="3"/>
  <c r="K1463" i="3"/>
  <c r="H1463" i="3"/>
  <c r="F1463" i="3"/>
  <c r="AE1462" i="3"/>
  <c r="AC1462" i="3"/>
  <c r="U1462" i="3"/>
  <c r="P1462" i="3"/>
  <c r="K1462" i="3"/>
  <c r="H1462" i="3"/>
  <c r="F1462" i="3"/>
  <c r="AE1461" i="3"/>
  <c r="AC1461" i="3"/>
  <c r="U1461" i="3"/>
  <c r="P1461" i="3"/>
  <c r="K1461" i="3"/>
  <c r="H1461" i="3"/>
  <c r="F1461" i="3"/>
  <c r="AE1460" i="3"/>
  <c r="AC1460" i="3"/>
  <c r="U1460" i="3"/>
  <c r="P1460" i="3"/>
  <c r="K1460" i="3"/>
  <c r="H1460" i="3"/>
  <c r="F1460" i="3"/>
  <c r="AE1459" i="3"/>
  <c r="AC1459" i="3"/>
  <c r="U1459" i="3"/>
  <c r="P1459" i="3"/>
  <c r="K1459" i="3"/>
  <c r="H1459" i="3"/>
  <c r="F1459" i="3"/>
  <c r="AE1458" i="3"/>
  <c r="AC1458" i="3"/>
  <c r="U1458" i="3"/>
  <c r="P1458" i="3"/>
  <c r="K1458" i="3"/>
  <c r="H1458" i="3"/>
  <c r="F1458" i="3"/>
  <c r="AE1457" i="3"/>
  <c r="AC1457" i="3"/>
  <c r="U1457" i="3"/>
  <c r="P1457" i="3"/>
  <c r="K1457" i="3"/>
  <c r="H1457" i="3"/>
  <c r="F1457" i="3"/>
  <c r="AE1456" i="3"/>
  <c r="AC1456" i="3"/>
  <c r="U1456" i="3"/>
  <c r="P1456" i="3"/>
  <c r="K1456" i="3"/>
  <c r="H1456" i="3"/>
  <c r="F1456" i="3"/>
  <c r="AE1455" i="3"/>
  <c r="AC1455" i="3"/>
  <c r="U1455" i="3"/>
  <c r="P1455" i="3"/>
  <c r="K1455" i="3"/>
  <c r="H1455" i="3"/>
  <c r="F1455" i="3"/>
  <c r="AE1454" i="3"/>
  <c r="AC1454" i="3"/>
  <c r="U1454" i="3"/>
  <c r="P1454" i="3"/>
  <c r="K1454" i="3"/>
  <c r="H1454" i="3"/>
  <c r="F1454" i="3"/>
  <c r="AE1453" i="3"/>
  <c r="AC1453" i="3"/>
  <c r="U1453" i="3"/>
  <c r="P1453" i="3"/>
  <c r="K1453" i="3"/>
  <c r="H1453" i="3"/>
  <c r="F1453" i="3"/>
  <c r="AE1452" i="3"/>
  <c r="AC1452" i="3"/>
  <c r="U1452" i="3"/>
  <c r="P1452" i="3"/>
  <c r="K1452" i="3"/>
  <c r="H1452" i="3"/>
  <c r="F1452" i="3"/>
  <c r="AE1451" i="3"/>
  <c r="AC1451" i="3"/>
  <c r="U1451" i="3"/>
  <c r="P1451" i="3"/>
  <c r="K1451" i="3"/>
  <c r="H1451" i="3"/>
  <c r="F1451" i="3"/>
  <c r="AE1450" i="3"/>
  <c r="AC1450" i="3"/>
  <c r="U1450" i="3"/>
  <c r="P1450" i="3"/>
  <c r="K1450" i="3"/>
  <c r="H1450" i="3"/>
  <c r="F1450" i="3"/>
  <c r="AE1449" i="3"/>
  <c r="AC1449" i="3"/>
  <c r="U1449" i="3"/>
  <c r="P1449" i="3"/>
  <c r="K1449" i="3"/>
  <c r="H1449" i="3"/>
  <c r="F1449" i="3"/>
  <c r="AE1448" i="3"/>
  <c r="AC1448" i="3"/>
  <c r="U1448" i="3"/>
  <c r="P1448" i="3"/>
  <c r="K1448" i="3"/>
  <c r="H1448" i="3"/>
  <c r="F1448" i="3"/>
  <c r="AE1447" i="3"/>
  <c r="AC1447" i="3"/>
  <c r="U1447" i="3"/>
  <c r="P1447" i="3"/>
  <c r="K1447" i="3"/>
  <c r="H1447" i="3"/>
  <c r="F1447" i="3"/>
  <c r="AE1446" i="3"/>
  <c r="AC1446" i="3"/>
  <c r="U1446" i="3"/>
  <c r="P1446" i="3"/>
  <c r="K1446" i="3"/>
  <c r="H1446" i="3"/>
  <c r="F1446" i="3"/>
  <c r="AE1445" i="3"/>
  <c r="AC1445" i="3"/>
  <c r="U1445" i="3"/>
  <c r="P1445" i="3"/>
  <c r="K1445" i="3"/>
  <c r="H1445" i="3"/>
  <c r="F1445" i="3"/>
  <c r="AE1444" i="3"/>
  <c r="AC1444" i="3"/>
  <c r="U1444" i="3"/>
  <c r="P1444" i="3"/>
  <c r="K1444" i="3"/>
  <c r="H1444" i="3"/>
  <c r="F1444" i="3"/>
  <c r="AE1443" i="3"/>
  <c r="AC1443" i="3"/>
  <c r="U1443" i="3"/>
  <c r="P1443" i="3"/>
  <c r="K1443" i="3"/>
  <c r="H1443" i="3"/>
  <c r="F1443" i="3"/>
  <c r="AE1442" i="3"/>
  <c r="AC1442" i="3"/>
  <c r="U1442" i="3"/>
  <c r="P1442" i="3"/>
  <c r="K1442" i="3"/>
  <c r="H1442" i="3"/>
  <c r="F1442" i="3"/>
  <c r="AE1441" i="3"/>
  <c r="AC1441" i="3"/>
  <c r="U1441" i="3"/>
  <c r="P1441" i="3"/>
  <c r="K1441" i="3"/>
  <c r="H1441" i="3"/>
  <c r="F1441" i="3"/>
  <c r="AE1440" i="3"/>
  <c r="AC1440" i="3"/>
  <c r="U1440" i="3"/>
  <c r="P1440" i="3"/>
  <c r="K1440" i="3"/>
  <c r="H1440" i="3"/>
  <c r="F1440" i="3"/>
  <c r="AE1439" i="3"/>
  <c r="AC1439" i="3"/>
  <c r="U1439" i="3"/>
  <c r="P1439" i="3"/>
  <c r="K1439" i="3"/>
  <c r="H1439" i="3"/>
  <c r="F1439" i="3"/>
  <c r="AE1438" i="3"/>
  <c r="AC1438" i="3"/>
  <c r="U1438" i="3"/>
  <c r="P1438" i="3"/>
  <c r="K1438" i="3"/>
  <c r="H1438" i="3"/>
  <c r="F1438" i="3"/>
  <c r="AE1437" i="3"/>
  <c r="AC1437" i="3"/>
  <c r="U1437" i="3"/>
  <c r="P1437" i="3"/>
  <c r="K1437" i="3"/>
  <c r="H1437" i="3"/>
  <c r="F1437" i="3"/>
  <c r="AE1436" i="3"/>
  <c r="AC1436" i="3"/>
  <c r="U1436" i="3"/>
  <c r="P1436" i="3"/>
  <c r="K1436" i="3"/>
  <c r="H1436" i="3"/>
  <c r="F1436" i="3"/>
  <c r="AE1435" i="3"/>
  <c r="AC1435" i="3"/>
  <c r="U1435" i="3"/>
  <c r="P1435" i="3"/>
  <c r="K1435" i="3"/>
  <c r="H1435" i="3"/>
  <c r="F1435" i="3"/>
  <c r="AE1434" i="3"/>
  <c r="AC1434" i="3"/>
  <c r="U1434" i="3"/>
  <c r="P1434" i="3"/>
  <c r="K1434" i="3"/>
  <c r="H1434" i="3"/>
  <c r="F1434" i="3"/>
  <c r="AE1433" i="3"/>
  <c r="AC1433" i="3"/>
  <c r="U1433" i="3"/>
  <c r="P1433" i="3"/>
  <c r="K1433" i="3"/>
  <c r="H1433" i="3"/>
  <c r="F1433" i="3"/>
  <c r="AE1432" i="3"/>
  <c r="AC1432" i="3"/>
  <c r="U1432" i="3"/>
  <c r="P1432" i="3"/>
  <c r="K1432" i="3"/>
  <c r="H1432" i="3"/>
  <c r="F1432" i="3"/>
  <c r="AE1431" i="3"/>
  <c r="AC1431" i="3"/>
  <c r="U1431" i="3"/>
  <c r="P1431" i="3"/>
  <c r="K1431" i="3"/>
  <c r="H1431" i="3"/>
  <c r="F1431" i="3"/>
  <c r="AE1430" i="3"/>
  <c r="AC1430" i="3"/>
  <c r="U1430" i="3"/>
  <c r="P1430" i="3"/>
  <c r="K1430" i="3"/>
  <c r="H1430" i="3"/>
  <c r="F1430" i="3"/>
  <c r="AE1429" i="3"/>
  <c r="AC1429" i="3"/>
  <c r="U1429" i="3"/>
  <c r="P1429" i="3"/>
  <c r="K1429" i="3"/>
  <c r="H1429" i="3"/>
  <c r="F1429" i="3"/>
  <c r="AE1428" i="3"/>
  <c r="AC1428" i="3"/>
  <c r="U1428" i="3"/>
  <c r="P1428" i="3"/>
  <c r="K1428" i="3"/>
  <c r="H1428" i="3"/>
  <c r="F1428" i="3"/>
  <c r="AE1427" i="3"/>
  <c r="AC1427" i="3"/>
  <c r="U1427" i="3"/>
  <c r="P1427" i="3"/>
  <c r="K1427" i="3"/>
  <c r="H1427" i="3"/>
  <c r="F1427" i="3"/>
  <c r="AE1426" i="3"/>
  <c r="AC1426" i="3"/>
  <c r="U1426" i="3"/>
  <c r="P1426" i="3"/>
  <c r="K1426" i="3"/>
  <c r="H1426" i="3"/>
  <c r="F1426" i="3"/>
  <c r="AE1425" i="3"/>
  <c r="AC1425" i="3"/>
  <c r="U1425" i="3"/>
  <c r="P1425" i="3"/>
  <c r="K1425" i="3"/>
  <c r="H1425" i="3"/>
  <c r="F1425" i="3"/>
  <c r="AE1424" i="3"/>
  <c r="AC1424" i="3"/>
  <c r="U1424" i="3"/>
  <c r="P1424" i="3"/>
  <c r="K1424" i="3"/>
  <c r="H1424" i="3"/>
  <c r="F1424" i="3"/>
  <c r="AE1423" i="3"/>
  <c r="AC1423" i="3"/>
  <c r="U1423" i="3"/>
  <c r="P1423" i="3"/>
  <c r="K1423" i="3"/>
  <c r="H1423" i="3"/>
  <c r="F1423" i="3"/>
  <c r="AE1422" i="3"/>
  <c r="AC1422" i="3"/>
  <c r="U1422" i="3"/>
  <c r="P1422" i="3"/>
  <c r="K1422" i="3"/>
  <c r="H1422" i="3"/>
  <c r="F1422" i="3"/>
  <c r="AE1421" i="3"/>
  <c r="AC1421" i="3"/>
  <c r="U1421" i="3"/>
  <c r="P1421" i="3"/>
  <c r="K1421" i="3"/>
  <c r="H1421" i="3"/>
  <c r="F1421" i="3"/>
  <c r="AE1420" i="3"/>
  <c r="AC1420" i="3"/>
  <c r="U1420" i="3"/>
  <c r="P1420" i="3"/>
  <c r="K1420" i="3"/>
  <c r="H1420" i="3"/>
  <c r="F1420" i="3"/>
  <c r="AE1419" i="3"/>
  <c r="AC1419" i="3"/>
  <c r="U1419" i="3"/>
  <c r="P1419" i="3"/>
  <c r="K1419" i="3"/>
  <c r="H1419" i="3"/>
  <c r="F1419" i="3"/>
  <c r="AE1418" i="3"/>
  <c r="AC1418" i="3"/>
  <c r="U1418" i="3"/>
  <c r="P1418" i="3"/>
  <c r="K1418" i="3"/>
  <c r="H1418" i="3"/>
  <c r="F1418" i="3"/>
  <c r="AE1417" i="3"/>
  <c r="AC1417" i="3"/>
  <c r="U1417" i="3"/>
  <c r="P1417" i="3"/>
  <c r="K1417" i="3"/>
  <c r="H1417" i="3"/>
  <c r="F1417" i="3"/>
  <c r="AE1416" i="3"/>
  <c r="AC1416" i="3"/>
  <c r="U1416" i="3"/>
  <c r="P1416" i="3"/>
  <c r="K1416" i="3"/>
  <c r="H1416" i="3"/>
  <c r="F1416" i="3"/>
  <c r="AE1415" i="3"/>
  <c r="AC1415" i="3"/>
  <c r="U1415" i="3"/>
  <c r="P1415" i="3"/>
  <c r="K1415" i="3"/>
  <c r="H1415" i="3"/>
  <c r="F1415" i="3"/>
  <c r="AE1414" i="3"/>
  <c r="AC1414" i="3"/>
  <c r="U1414" i="3"/>
  <c r="P1414" i="3"/>
  <c r="K1414" i="3"/>
  <c r="H1414" i="3"/>
  <c r="F1414" i="3"/>
  <c r="AE1413" i="3"/>
  <c r="AC1413" i="3"/>
  <c r="U1413" i="3"/>
  <c r="P1413" i="3"/>
  <c r="K1413" i="3"/>
  <c r="H1413" i="3"/>
  <c r="F1413" i="3"/>
  <c r="AE1412" i="3"/>
  <c r="AC1412" i="3"/>
  <c r="U1412" i="3"/>
  <c r="P1412" i="3"/>
  <c r="K1412" i="3"/>
  <c r="H1412" i="3"/>
  <c r="F1412" i="3"/>
  <c r="AE1411" i="3"/>
  <c r="AC1411" i="3"/>
  <c r="U1411" i="3"/>
  <c r="P1411" i="3"/>
  <c r="K1411" i="3"/>
  <c r="H1411" i="3"/>
  <c r="F1411" i="3"/>
  <c r="AE1410" i="3"/>
  <c r="AC1410" i="3"/>
  <c r="U1410" i="3"/>
  <c r="P1410" i="3"/>
  <c r="K1410" i="3"/>
  <c r="H1410" i="3"/>
  <c r="F1410" i="3"/>
  <c r="AE1409" i="3"/>
  <c r="AC1409" i="3"/>
  <c r="U1409" i="3"/>
  <c r="P1409" i="3"/>
  <c r="K1409" i="3"/>
  <c r="H1409" i="3"/>
  <c r="F1409" i="3"/>
  <c r="AE1408" i="3"/>
  <c r="AC1408" i="3"/>
  <c r="U1408" i="3"/>
  <c r="P1408" i="3"/>
  <c r="V1408" i="3" s="1"/>
  <c r="K1408" i="3"/>
  <c r="H1408" i="3"/>
  <c r="F1408" i="3"/>
  <c r="AE1407" i="3"/>
  <c r="AC1407" i="3"/>
  <c r="U1407" i="3"/>
  <c r="P1407" i="3"/>
  <c r="K1407" i="3"/>
  <c r="H1407" i="3"/>
  <c r="F1407" i="3"/>
  <c r="AE1406" i="3"/>
  <c r="AC1406" i="3"/>
  <c r="U1406" i="3"/>
  <c r="P1406" i="3"/>
  <c r="K1406" i="3"/>
  <c r="H1406" i="3"/>
  <c r="F1406" i="3"/>
  <c r="AE1405" i="3"/>
  <c r="AC1405" i="3"/>
  <c r="U1405" i="3"/>
  <c r="P1405" i="3"/>
  <c r="K1405" i="3"/>
  <c r="H1405" i="3"/>
  <c r="F1405" i="3"/>
  <c r="AE1404" i="3"/>
  <c r="AC1404" i="3"/>
  <c r="U1404" i="3"/>
  <c r="P1404" i="3"/>
  <c r="K1404" i="3"/>
  <c r="H1404" i="3"/>
  <c r="F1404" i="3"/>
  <c r="AE1403" i="3"/>
  <c r="AC1403" i="3"/>
  <c r="U1403" i="3"/>
  <c r="P1403" i="3"/>
  <c r="K1403" i="3"/>
  <c r="H1403" i="3"/>
  <c r="F1403" i="3"/>
  <c r="AE1402" i="3"/>
  <c r="AC1402" i="3"/>
  <c r="U1402" i="3"/>
  <c r="P1402" i="3"/>
  <c r="K1402" i="3"/>
  <c r="H1402" i="3"/>
  <c r="F1402" i="3"/>
  <c r="AE1401" i="3"/>
  <c r="AC1401" i="3"/>
  <c r="U1401" i="3"/>
  <c r="P1401" i="3"/>
  <c r="K1401" i="3"/>
  <c r="H1401" i="3"/>
  <c r="F1401" i="3"/>
  <c r="AE1400" i="3"/>
  <c r="AC1400" i="3"/>
  <c r="U1400" i="3"/>
  <c r="P1400" i="3"/>
  <c r="V1400" i="3" s="1"/>
  <c r="K1400" i="3"/>
  <c r="H1400" i="3"/>
  <c r="F1400" i="3"/>
  <c r="AE1399" i="3"/>
  <c r="AC1399" i="3"/>
  <c r="U1399" i="3"/>
  <c r="P1399" i="3"/>
  <c r="K1399" i="3"/>
  <c r="H1399" i="3"/>
  <c r="F1399" i="3"/>
  <c r="AE1398" i="3"/>
  <c r="AC1398" i="3"/>
  <c r="U1398" i="3"/>
  <c r="P1398" i="3"/>
  <c r="K1398" i="3"/>
  <c r="H1398" i="3"/>
  <c r="F1398" i="3"/>
  <c r="AE1397" i="3"/>
  <c r="AC1397" i="3"/>
  <c r="U1397" i="3"/>
  <c r="P1397" i="3"/>
  <c r="K1397" i="3"/>
  <c r="H1397" i="3"/>
  <c r="F1397" i="3"/>
  <c r="AE1396" i="3"/>
  <c r="AC1396" i="3"/>
  <c r="U1396" i="3"/>
  <c r="P1396" i="3"/>
  <c r="K1396" i="3"/>
  <c r="H1396" i="3"/>
  <c r="F1396" i="3"/>
  <c r="AE1395" i="3"/>
  <c r="AC1395" i="3"/>
  <c r="U1395" i="3"/>
  <c r="P1395" i="3"/>
  <c r="K1395" i="3"/>
  <c r="H1395" i="3"/>
  <c r="F1395" i="3"/>
  <c r="AE1394" i="3"/>
  <c r="AC1394" i="3"/>
  <c r="U1394" i="3"/>
  <c r="P1394" i="3"/>
  <c r="K1394" i="3"/>
  <c r="H1394" i="3"/>
  <c r="F1394" i="3"/>
  <c r="AE1393" i="3"/>
  <c r="AC1393" i="3"/>
  <c r="U1393" i="3"/>
  <c r="P1393" i="3"/>
  <c r="K1393" i="3"/>
  <c r="H1393" i="3"/>
  <c r="F1393" i="3"/>
  <c r="AE1392" i="3"/>
  <c r="AC1392" i="3"/>
  <c r="U1392" i="3"/>
  <c r="P1392" i="3"/>
  <c r="V1392" i="3" s="1"/>
  <c r="K1392" i="3"/>
  <c r="H1392" i="3"/>
  <c r="F1392" i="3"/>
  <c r="AE1391" i="3"/>
  <c r="AC1391" i="3"/>
  <c r="U1391" i="3"/>
  <c r="P1391" i="3"/>
  <c r="K1391" i="3"/>
  <c r="H1391" i="3"/>
  <c r="F1391" i="3"/>
  <c r="AE1390" i="3"/>
  <c r="AC1390" i="3"/>
  <c r="U1390" i="3"/>
  <c r="P1390" i="3"/>
  <c r="K1390" i="3"/>
  <c r="H1390" i="3"/>
  <c r="F1390" i="3"/>
  <c r="AE1389" i="3"/>
  <c r="AC1389" i="3"/>
  <c r="U1389" i="3"/>
  <c r="P1389" i="3"/>
  <c r="K1389" i="3"/>
  <c r="H1389" i="3"/>
  <c r="F1389" i="3"/>
  <c r="AE1388" i="3"/>
  <c r="AC1388" i="3"/>
  <c r="U1388" i="3"/>
  <c r="P1388" i="3"/>
  <c r="K1388" i="3"/>
  <c r="H1388" i="3"/>
  <c r="F1388" i="3"/>
  <c r="AE1387" i="3"/>
  <c r="AC1387" i="3"/>
  <c r="U1387" i="3"/>
  <c r="P1387" i="3"/>
  <c r="K1387" i="3"/>
  <c r="H1387" i="3"/>
  <c r="F1387" i="3"/>
  <c r="AE1386" i="3"/>
  <c r="AC1386" i="3"/>
  <c r="U1386" i="3"/>
  <c r="P1386" i="3"/>
  <c r="K1386" i="3"/>
  <c r="H1386" i="3"/>
  <c r="F1386" i="3"/>
  <c r="AE1385" i="3"/>
  <c r="AC1385" i="3"/>
  <c r="U1385" i="3"/>
  <c r="P1385" i="3"/>
  <c r="K1385" i="3"/>
  <c r="H1385" i="3"/>
  <c r="F1385" i="3"/>
  <c r="AE1384" i="3"/>
  <c r="AC1384" i="3"/>
  <c r="U1384" i="3"/>
  <c r="P1384" i="3"/>
  <c r="V1384" i="3" s="1"/>
  <c r="K1384" i="3"/>
  <c r="H1384" i="3"/>
  <c r="F1384" i="3"/>
  <c r="AE1383" i="3"/>
  <c r="AC1383" i="3"/>
  <c r="U1383" i="3"/>
  <c r="P1383" i="3"/>
  <c r="K1383" i="3"/>
  <c r="H1383" i="3"/>
  <c r="F1383" i="3"/>
  <c r="AE1382" i="3"/>
  <c r="AC1382" i="3"/>
  <c r="U1382" i="3"/>
  <c r="P1382" i="3"/>
  <c r="K1382" i="3"/>
  <c r="H1382" i="3"/>
  <c r="F1382" i="3"/>
  <c r="AE1381" i="3"/>
  <c r="AC1381" i="3"/>
  <c r="U1381" i="3"/>
  <c r="V1381" i="3" s="1"/>
  <c r="P1381" i="3"/>
  <c r="K1381" i="3"/>
  <c r="H1381" i="3"/>
  <c r="F1381" i="3"/>
  <c r="AE1380" i="3"/>
  <c r="AC1380" i="3"/>
  <c r="U1380" i="3"/>
  <c r="P1380" i="3"/>
  <c r="K1380" i="3"/>
  <c r="H1380" i="3"/>
  <c r="F1380" i="3"/>
  <c r="AE1379" i="3"/>
  <c r="AC1379" i="3"/>
  <c r="U1379" i="3"/>
  <c r="P1379" i="3"/>
  <c r="K1379" i="3"/>
  <c r="H1379" i="3"/>
  <c r="F1379" i="3"/>
  <c r="AE1378" i="3"/>
  <c r="AC1378" i="3"/>
  <c r="U1378" i="3"/>
  <c r="P1378" i="3"/>
  <c r="K1378" i="3"/>
  <c r="H1378" i="3"/>
  <c r="F1378" i="3"/>
  <c r="AE1377" i="3"/>
  <c r="AC1377" i="3"/>
  <c r="U1377" i="3"/>
  <c r="P1377" i="3"/>
  <c r="K1377" i="3"/>
  <c r="H1377" i="3"/>
  <c r="F1377" i="3"/>
  <c r="AE1376" i="3"/>
  <c r="AC1376" i="3"/>
  <c r="U1376" i="3"/>
  <c r="P1376" i="3"/>
  <c r="K1376" i="3"/>
  <c r="H1376" i="3"/>
  <c r="F1376" i="3"/>
  <c r="AE1375" i="3"/>
  <c r="AC1375" i="3"/>
  <c r="U1375" i="3"/>
  <c r="P1375" i="3"/>
  <c r="K1375" i="3"/>
  <c r="H1375" i="3"/>
  <c r="F1375" i="3"/>
  <c r="AE1374" i="3"/>
  <c r="AC1374" i="3"/>
  <c r="U1374" i="3"/>
  <c r="P1374" i="3"/>
  <c r="K1374" i="3"/>
  <c r="H1374" i="3"/>
  <c r="F1374" i="3"/>
  <c r="AE1373" i="3"/>
  <c r="AC1373" i="3"/>
  <c r="U1373" i="3"/>
  <c r="V1373" i="3" s="1"/>
  <c r="P1373" i="3"/>
  <c r="K1373" i="3"/>
  <c r="H1373" i="3"/>
  <c r="F1373" i="3"/>
  <c r="AE1372" i="3"/>
  <c r="AC1372" i="3"/>
  <c r="U1372" i="3"/>
  <c r="P1372" i="3"/>
  <c r="K1372" i="3"/>
  <c r="H1372" i="3"/>
  <c r="F1372" i="3"/>
  <c r="AE1371" i="3"/>
  <c r="AC1371" i="3"/>
  <c r="U1371" i="3"/>
  <c r="P1371" i="3"/>
  <c r="K1371" i="3"/>
  <c r="H1371" i="3"/>
  <c r="F1371" i="3"/>
  <c r="AE1370" i="3"/>
  <c r="AC1370" i="3"/>
  <c r="U1370" i="3"/>
  <c r="P1370" i="3"/>
  <c r="K1370" i="3"/>
  <c r="H1370" i="3"/>
  <c r="F1370" i="3"/>
  <c r="AE1369" i="3"/>
  <c r="AC1369" i="3"/>
  <c r="U1369" i="3"/>
  <c r="P1369" i="3"/>
  <c r="K1369" i="3"/>
  <c r="H1369" i="3"/>
  <c r="F1369" i="3"/>
  <c r="AE1368" i="3"/>
  <c r="AC1368" i="3"/>
  <c r="U1368" i="3"/>
  <c r="P1368" i="3"/>
  <c r="K1368" i="3"/>
  <c r="H1368" i="3"/>
  <c r="F1368" i="3"/>
  <c r="AE1367" i="3"/>
  <c r="AC1367" i="3"/>
  <c r="U1367" i="3"/>
  <c r="P1367" i="3"/>
  <c r="K1367" i="3"/>
  <c r="H1367" i="3"/>
  <c r="F1367" i="3"/>
  <c r="AE1366" i="3"/>
  <c r="AC1366" i="3"/>
  <c r="U1366" i="3"/>
  <c r="P1366" i="3"/>
  <c r="K1366" i="3"/>
  <c r="H1366" i="3"/>
  <c r="F1366" i="3"/>
  <c r="AE1365" i="3"/>
  <c r="AC1365" i="3"/>
  <c r="U1365" i="3"/>
  <c r="P1365" i="3"/>
  <c r="K1365" i="3"/>
  <c r="H1365" i="3"/>
  <c r="F1365" i="3"/>
  <c r="AE1364" i="3"/>
  <c r="AC1364" i="3"/>
  <c r="U1364" i="3"/>
  <c r="P1364" i="3"/>
  <c r="V1364" i="3" s="1"/>
  <c r="K1364" i="3"/>
  <c r="H1364" i="3"/>
  <c r="F1364" i="3"/>
  <c r="AE1363" i="3"/>
  <c r="AC1363" i="3"/>
  <c r="U1363" i="3"/>
  <c r="P1363" i="3"/>
  <c r="K1363" i="3"/>
  <c r="H1363" i="3"/>
  <c r="F1363" i="3"/>
  <c r="AE1362" i="3"/>
  <c r="AC1362" i="3"/>
  <c r="U1362" i="3"/>
  <c r="P1362" i="3"/>
  <c r="K1362" i="3"/>
  <c r="H1362" i="3"/>
  <c r="F1362" i="3"/>
  <c r="AE1361" i="3"/>
  <c r="AC1361" i="3"/>
  <c r="U1361" i="3"/>
  <c r="P1361" i="3"/>
  <c r="K1361" i="3"/>
  <c r="H1361" i="3"/>
  <c r="F1361" i="3"/>
  <c r="AE1360" i="3"/>
  <c r="AC1360" i="3"/>
  <c r="U1360" i="3"/>
  <c r="P1360" i="3"/>
  <c r="V1360" i="3" s="1"/>
  <c r="K1360" i="3"/>
  <c r="H1360" i="3"/>
  <c r="F1360" i="3"/>
  <c r="AE1359" i="3"/>
  <c r="AC1359" i="3"/>
  <c r="U1359" i="3"/>
  <c r="P1359" i="3"/>
  <c r="K1359" i="3"/>
  <c r="H1359" i="3"/>
  <c r="F1359" i="3"/>
  <c r="AE1358" i="3"/>
  <c r="AC1358" i="3"/>
  <c r="U1358" i="3"/>
  <c r="P1358" i="3"/>
  <c r="K1358" i="3"/>
  <c r="H1358" i="3"/>
  <c r="F1358" i="3"/>
  <c r="AE1357" i="3"/>
  <c r="AC1357" i="3"/>
  <c r="U1357" i="3"/>
  <c r="P1357" i="3"/>
  <c r="K1357" i="3"/>
  <c r="H1357" i="3"/>
  <c r="F1357" i="3"/>
  <c r="AE1356" i="3"/>
  <c r="AC1356" i="3"/>
  <c r="U1356" i="3"/>
  <c r="P1356" i="3"/>
  <c r="V1356" i="3" s="1"/>
  <c r="K1356" i="3"/>
  <c r="H1356" i="3"/>
  <c r="F1356" i="3"/>
  <c r="AE1355" i="3"/>
  <c r="AC1355" i="3"/>
  <c r="U1355" i="3"/>
  <c r="P1355" i="3"/>
  <c r="K1355" i="3"/>
  <c r="H1355" i="3"/>
  <c r="F1355" i="3"/>
  <c r="AE1354" i="3"/>
  <c r="AC1354" i="3"/>
  <c r="U1354" i="3"/>
  <c r="P1354" i="3"/>
  <c r="K1354" i="3"/>
  <c r="H1354" i="3"/>
  <c r="F1354" i="3"/>
  <c r="AE1353" i="3"/>
  <c r="AC1353" i="3"/>
  <c r="U1353" i="3"/>
  <c r="P1353" i="3"/>
  <c r="K1353" i="3"/>
  <c r="H1353" i="3"/>
  <c r="F1353" i="3"/>
  <c r="AE1352" i="3"/>
  <c r="AC1352" i="3"/>
  <c r="U1352" i="3"/>
  <c r="P1352" i="3"/>
  <c r="V1352" i="3" s="1"/>
  <c r="K1352" i="3"/>
  <c r="H1352" i="3"/>
  <c r="F1352" i="3"/>
  <c r="AE1351" i="3"/>
  <c r="AC1351" i="3"/>
  <c r="U1351" i="3"/>
  <c r="P1351" i="3"/>
  <c r="K1351" i="3"/>
  <c r="H1351" i="3"/>
  <c r="F1351" i="3"/>
  <c r="AE1350" i="3"/>
  <c r="AC1350" i="3"/>
  <c r="U1350" i="3"/>
  <c r="P1350" i="3"/>
  <c r="K1350" i="3"/>
  <c r="H1350" i="3"/>
  <c r="F1350" i="3"/>
  <c r="AE1349" i="3"/>
  <c r="AC1349" i="3"/>
  <c r="U1349" i="3"/>
  <c r="P1349" i="3"/>
  <c r="K1349" i="3"/>
  <c r="H1349" i="3"/>
  <c r="F1349" i="3"/>
  <c r="AE1348" i="3"/>
  <c r="AC1348" i="3"/>
  <c r="U1348" i="3"/>
  <c r="P1348" i="3"/>
  <c r="V1348" i="3" s="1"/>
  <c r="K1348" i="3"/>
  <c r="H1348" i="3"/>
  <c r="F1348" i="3"/>
  <c r="AE1347" i="3"/>
  <c r="AC1347" i="3"/>
  <c r="U1347" i="3"/>
  <c r="P1347" i="3"/>
  <c r="K1347" i="3"/>
  <c r="H1347" i="3"/>
  <c r="F1347" i="3"/>
  <c r="AE1346" i="3"/>
  <c r="AC1346" i="3"/>
  <c r="U1346" i="3"/>
  <c r="P1346" i="3"/>
  <c r="K1346" i="3"/>
  <c r="H1346" i="3"/>
  <c r="F1346" i="3"/>
  <c r="AE1345" i="3"/>
  <c r="AC1345" i="3"/>
  <c r="U1345" i="3"/>
  <c r="P1345" i="3"/>
  <c r="K1345" i="3"/>
  <c r="H1345" i="3"/>
  <c r="F1345" i="3"/>
  <c r="AE1344" i="3"/>
  <c r="AC1344" i="3"/>
  <c r="U1344" i="3"/>
  <c r="P1344" i="3"/>
  <c r="V1344" i="3" s="1"/>
  <c r="K1344" i="3"/>
  <c r="H1344" i="3"/>
  <c r="F1344" i="3"/>
  <c r="AE1343" i="3"/>
  <c r="AC1343" i="3"/>
  <c r="U1343" i="3"/>
  <c r="P1343" i="3"/>
  <c r="K1343" i="3"/>
  <c r="H1343" i="3"/>
  <c r="F1343" i="3"/>
  <c r="AE1342" i="3"/>
  <c r="AC1342" i="3"/>
  <c r="U1342" i="3"/>
  <c r="P1342" i="3"/>
  <c r="K1342" i="3"/>
  <c r="H1342" i="3"/>
  <c r="F1342" i="3"/>
  <c r="AE1341" i="3"/>
  <c r="AC1341" i="3"/>
  <c r="U1341" i="3"/>
  <c r="P1341" i="3"/>
  <c r="K1341" i="3"/>
  <c r="H1341" i="3"/>
  <c r="F1341" i="3"/>
  <c r="AE1340" i="3"/>
  <c r="AC1340" i="3"/>
  <c r="U1340" i="3"/>
  <c r="P1340" i="3"/>
  <c r="V1340" i="3" s="1"/>
  <c r="K1340" i="3"/>
  <c r="H1340" i="3"/>
  <c r="F1340" i="3"/>
  <c r="AE1339" i="3"/>
  <c r="AC1339" i="3"/>
  <c r="U1339" i="3"/>
  <c r="P1339" i="3"/>
  <c r="K1339" i="3"/>
  <c r="H1339" i="3"/>
  <c r="F1339" i="3"/>
  <c r="AE1338" i="3"/>
  <c r="AC1338" i="3"/>
  <c r="U1338" i="3"/>
  <c r="P1338" i="3"/>
  <c r="K1338" i="3"/>
  <c r="H1338" i="3"/>
  <c r="F1338" i="3"/>
  <c r="AE1337" i="3"/>
  <c r="AC1337" i="3"/>
  <c r="U1337" i="3"/>
  <c r="P1337" i="3"/>
  <c r="K1337" i="3"/>
  <c r="H1337" i="3"/>
  <c r="F1337" i="3"/>
  <c r="AE1336" i="3"/>
  <c r="AC1336" i="3"/>
  <c r="U1336" i="3"/>
  <c r="P1336" i="3"/>
  <c r="V1336" i="3" s="1"/>
  <c r="K1336" i="3"/>
  <c r="H1336" i="3"/>
  <c r="F1336" i="3"/>
  <c r="AE1335" i="3"/>
  <c r="AC1335" i="3"/>
  <c r="U1335" i="3"/>
  <c r="P1335" i="3"/>
  <c r="K1335" i="3"/>
  <c r="H1335" i="3"/>
  <c r="F1335" i="3"/>
  <c r="AE1334" i="3"/>
  <c r="AC1334" i="3"/>
  <c r="U1334" i="3"/>
  <c r="P1334" i="3"/>
  <c r="K1334" i="3"/>
  <c r="H1334" i="3"/>
  <c r="F1334" i="3"/>
  <c r="AE1333" i="3"/>
  <c r="AC1333" i="3"/>
  <c r="U1333" i="3"/>
  <c r="P1333" i="3"/>
  <c r="K1333" i="3"/>
  <c r="H1333" i="3"/>
  <c r="F1333" i="3"/>
  <c r="AE1332" i="3"/>
  <c r="AC1332" i="3"/>
  <c r="U1332" i="3"/>
  <c r="P1332" i="3"/>
  <c r="K1332" i="3"/>
  <c r="H1332" i="3"/>
  <c r="F1332" i="3"/>
  <c r="AE1331" i="3"/>
  <c r="AC1331" i="3"/>
  <c r="U1331" i="3"/>
  <c r="P1331" i="3"/>
  <c r="K1331" i="3"/>
  <c r="H1331" i="3"/>
  <c r="F1331" i="3"/>
  <c r="AE1330" i="3"/>
  <c r="AC1330" i="3"/>
  <c r="U1330" i="3"/>
  <c r="P1330" i="3"/>
  <c r="K1330" i="3"/>
  <c r="H1330" i="3"/>
  <c r="F1330" i="3"/>
  <c r="AE1329" i="3"/>
  <c r="AC1329" i="3"/>
  <c r="U1329" i="3"/>
  <c r="P1329" i="3"/>
  <c r="K1329" i="3"/>
  <c r="H1329" i="3"/>
  <c r="F1329" i="3"/>
  <c r="AE1328" i="3"/>
  <c r="AC1328" i="3"/>
  <c r="U1328" i="3"/>
  <c r="P1328" i="3"/>
  <c r="K1328" i="3"/>
  <c r="H1328" i="3"/>
  <c r="F1328" i="3"/>
  <c r="AE1327" i="3"/>
  <c r="AC1327" i="3"/>
  <c r="U1327" i="3"/>
  <c r="P1327" i="3"/>
  <c r="K1327" i="3"/>
  <c r="H1327" i="3"/>
  <c r="F1327" i="3"/>
  <c r="AE1326" i="3"/>
  <c r="AC1326" i="3"/>
  <c r="U1326" i="3"/>
  <c r="P1326" i="3"/>
  <c r="K1326" i="3"/>
  <c r="H1326" i="3"/>
  <c r="F1326" i="3"/>
  <c r="AE1325" i="3"/>
  <c r="AC1325" i="3"/>
  <c r="U1325" i="3"/>
  <c r="P1325" i="3"/>
  <c r="K1325" i="3"/>
  <c r="H1325" i="3"/>
  <c r="F1325" i="3"/>
  <c r="AE1324" i="3"/>
  <c r="AC1324" i="3"/>
  <c r="U1324" i="3"/>
  <c r="P1324" i="3"/>
  <c r="K1324" i="3"/>
  <c r="H1324" i="3"/>
  <c r="F1324" i="3"/>
  <c r="AE1323" i="3"/>
  <c r="AC1323" i="3"/>
  <c r="U1323" i="3"/>
  <c r="P1323" i="3"/>
  <c r="K1323" i="3"/>
  <c r="H1323" i="3"/>
  <c r="F1323" i="3"/>
  <c r="AE1322" i="3"/>
  <c r="AC1322" i="3"/>
  <c r="U1322" i="3"/>
  <c r="P1322" i="3"/>
  <c r="K1322" i="3"/>
  <c r="H1322" i="3"/>
  <c r="F1322" i="3"/>
  <c r="AE1321" i="3"/>
  <c r="AC1321" i="3"/>
  <c r="U1321" i="3"/>
  <c r="P1321" i="3"/>
  <c r="K1321" i="3"/>
  <c r="H1321" i="3"/>
  <c r="F1321" i="3"/>
  <c r="AE1320" i="3"/>
  <c r="AC1320" i="3"/>
  <c r="U1320" i="3"/>
  <c r="P1320" i="3"/>
  <c r="K1320" i="3"/>
  <c r="H1320" i="3"/>
  <c r="F1320" i="3"/>
  <c r="AE1319" i="3"/>
  <c r="AC1319" i="3"/>
  <c r="U1319" i="3"/>
  <c r="P1319" i="3"/>
  <c r="K1319" i="3"/>
  <c r="H1319" i="3"/>
  <c r="F1319" i="3"/>
  <c r="AE1318" i="3"/>
  <c r="AC1318" i="3"/>
  <c r="U1318" i="3"/>
  <c r="P1318" i="3"/>
  <c r="K1318" i="3"/>
  <c r="H1318" i="3"/>
  <c r="F1318" i="3"/>
  <c r="AE1317" i="3"/>
  <c r="AC1317" i="3"/>
  <c r="U1317" i="3"/>
  <c r="P1317" i="3"/>
  <c r="K1317" i="3"/>
  <c r="H1317" i="3"/>
  <c r="F1317" i="3"/>
  <c r="AE1316" i="3"/>
  <c r="AC1316" i="3"/>
  <c r="U1316" i="3"/>
  <c r="P1316" i="3"/>
  <c r="K1316" i="3"/>
  <c r="H1316" i="3"/>
  <c r="F1316" i="3"/>
  <c r="AE1315" i="3"/>
  <c r="AC1315" i="3"/>
  <c r="U1315" i="3"/>
  <c r="P1315" i="3"/>
  <c r="K1315" i="3"/>
  <c r="H1315" i="3"/>
  <c r="F1315" i="3"/>
  <c r="AE1314" i="3"/>
  <c r="AC1314" i="3"/>
  <c r="U1314" i="3"/>
  <c r="P1314" i="3"/>
  <c r="K1314" i="3"/>
  <c r="H1314" i="3"/>
  <c r="F1314" i="3"/>
  <c r="AE1313" i="3"/>
  <c r="AC1313" i="3"/>
  <c r="U1313" i="3"/>
  <c r="P1313" i="3"/>
  <c r="K1313" i="3"/>
  <c r="H1313" i="3"/>
  <c r="F1313" i="3"/>
  <c r="AE1312" i="3"/>
  <c r="AC1312" i="3"/>
  <c r="U1312" i="3"/>
  <c r="P1312" i="3"/>
  <c r="K1312" i="3"/>
  <c r="H1312" i="3"/>
  <c r="F1312" i="3"/>
  <c r="AE1311" i="3"/>
  <c r="AC1311" i="3"/>
  <c r="U1311" i="3"/>
  <c r="P1311" i="3"/>
  <c r="K1311" i="3"/>
  <c r="H1311" i="3"/>
  <c r="F1311" i="3"/>
  <c r="AE1310" i="3"/>
  <c r="AC1310" i="3"/>
  <c r="U1310" i="3"/>
  <c r="P1310" i="3"/>
  <c r="K1310" i="3"/>
  <c r="H1310" i="3"/>
  <c r="F1310" i="3"/>
  <c r="AE1309" i="3"/>
  <c r="AC1309" i="3"/>
  <c r="U1309" i="3"/>
  <c r="P1309" i="3"/>
  <c r="K1309" i="3"/>
  <c r="H1309" i="3"/>
  <c r="F1309" i="3"/>
  <c r="AE1308" i="3"/>
  <c r="AC1308" i="3"/>
  <c r="U1308" i="3"/>
  <c r="P1308" i="3"/>
  <c r="K1308" i="3"/>
  <c r="H1308" i="3"/>
  <c r="F1308" i="3"/>
  <c r="AE1307" i="3"/>
  <c r="AC1307" i="3"/>
  <c r="U1307" i="3"/>
  <c r="P1307" i="3"/>
  <c r="K1307" i="3"/>
  <c r="H1307" i="3"/>
  <c r="F1307" i="3"/>
  <c r="AE1306" i="3"/>
  <c r="AC1306" i="3"/>
  <c r="U1306" i="3"/>
  <c r="P1306" i="3"/>
  <c r="K1306" i="3"/>
  <c r="H1306" i="3"/>
  <c r="F1306" i="3"/>
  <c r="AE1305" i="3"/>
  <c r="AC1305" i="3"/>
  <c r="U1305" i="3"/>
  <c r="P1305" i="3"/>
  <c r="K1305" i="3"/>
  <c r="H1305" i="3"/>
  <c r="F1305" i="3"/>
  <c r="AE1304" i="3"/>
  <c r="AC1304" i="3"/>
  <c r="U1304" i="3"/>
  <c r="P1304" i="3"/>
  <c r="K1304" i="3"/>
  <c r="H1304" i="3"/>
  <c r="F1304" i="3"/>
  <c r="AE1303" i="3"/>
  <c r="AC1303" i="3"/>
  <c r="U1303" i="3"/>
  <c r="P1303" i="3"/>
  <c r="K1303" i="3"/>
  <c r="H1303" i="3"/>
  <c r="F1303" i="3"/>
  <c r="AE1302" i="3"/>
  <c r="AC1302" i="3"/>
  <c r="U1302" i="3"/>
  <c r="P1302" i="3"/>
  <c r="K1302" i="3"/>
  <c r="H1302" i="3"/>
  <c r="F1302" i="3"/>
  <c r="AE1301" i="3"/>
  <c r="AC1301" i="3"/>
  <c r="U1301" i="3"/>
  <c r="P1301" i="3"/>
  <c r="K1301" i="3"/>
  <c r="H1301" i="3"/>
  <c r="F1301" i="3"/>
  <c r="AE1300" i="3"/>
  <c r="AC1300" i="3"/>
  <c r="U1300" i="3"/>
  <c r="P1300" i="3"/>
  <c r="K1300" i="3"/>
  <c r="H1300" i="3"/>
  <c r="F1300" i="3"/>
  <c r="AE1299" i="3"/>
  <c r="AC1299" i="3"/>
  <c r="U1299" i="3"/>
  <c r="P1299" i="3"/>
  <c r="K1299" i="3"/>
  <c r="H1299" i="3"/>
  <c r="F1299" i="3"/>
  <c r="AE1298" i="3"/>
  <c r="AC1298" i="3"/>
  <c r="U1298" i="3"/>
  <c r="P1298" i="3"/>
  <c r="K1298" i="3"/>
  <c r="H1298" i="3"/>
  <c r="F1298" i="3"/>
  <c r="AE1297" i="3"/>
  <c r="AC1297" i="3"/>
  <c r="U1297" i="3"/>
  <c r="P1297" i="3"/>
  <c r="K1297" i="3"/>
  <c r="H1297" i="3"/>
  <c r="F1297" i="3"/>
  <c r="AE1296" i="3"/>
  <c r="AC1296" i="3"/>
  <c r="U1296" i="3"/>
  <c r="P1296" i="3"/>
  <c r="K1296" i="3"/>
  <c r="H1296" i="3"/>
  <c r="F1296" i="3"/>
  <c r="AE1295" i="3"/>
  <c r="AC1295" i="3"/>
  <c r="U1295" i="3"/>
  <c r="P1295" i="3"/>
  <c r="K1295" i="3"/>
  <c r="H1295" i="3"/>
  <c r="F1295" i="3"/>
  <c r="AE1294" i="3"/>
  <c r="AC1294" i="3"/>
  <c r="U1294" i="3"/>
  <c r="P1294" i="3"/>
  <c r="K1294" i="3"/>
  <c r="H1294" i="3"/>
  <c r="F1294" i="3"/>
  <c r="AE1293" i="3"/>
  <c r="AC1293" i="3"/>
  <c r="U1293" i="3"/>
  <c r="P1293" i="3"/>
  <c r="K1293" i="3"/>
  <c r="H1293" i="3"/>
  <c r="F1293" i="3"/>
  <c r="AE1292" i="3"/>
  <c r="AC1292" i="3"/>
  <c r="U1292" i="3"/>
  <c r="P1292" i="3"/>
  <c r="K1292" i="3"/>
  <c r="H1292" i="3"/>
  <c r="F1292" i="3"/>
  <c r="AE1291" i="3"/>
  <c r="AC1291" i="3"/>
  <c r="U1291" i="3"/>
  <c r="P1291" i="3"/>
  <c r="K1291" i="3"/>
  <c r="H1291" i="3"/>
  <c r="F1291" i="3"/>
  <c r="AE1290" i="3"/>
  <c r="AC1290" i="3"/>
  <c r="U1290" i="3"/>
  <c r="P1290" i="3"/>
  <c r="K1290" i="3"/>
  <c r="H1290" i="3"/>
  <c r="F1290" i="3"/>
  <c r="AE1289" i="3"/>
  <c r="AC1289" i="3"/>
  <c r="U1289" i="3"/>
  <c r="P1289" i="3"/>
  <c r="K1289" i="3"/>
  <c r="H1289" i="3"/>
  <c r="F1289" i="3"/>
  <c r="AE1288" i="3"/>
  <c r="AC1288" i="3"/>
  <c r="U1288" i="3"/>
  <c r="P1288" i="3"/>
  <c r="K1288" i="3"/>
  <c r="H1288" i="3"/>
  <c r="F1288" i="3"/>
  <c r="AE1287" i="3"/>
  <c r="AC1287" i="3"/>
  <c r="U1287" i="3"/>
  <c r="P1287" i="3"/>
  <c r="K1287" i="3"/>
  <c r="H1287" i="3"/>
  <c r="F1287" i="3"/>
  <c r="AE1286" i="3"/>
  <c r="AC1286" i="3"/>
  <c r="U1286" i="3"/>
  <c r="P1286" i="3"/>
  <c r="K1286" i="3"/>
  <c r="H1286" i="3"/>
  <c r="F1286" i="3"/>
  <c r="AE1285" i="3"/>
  <c r="AC1285" i="3"/>
  <c r="U1285" i="3"/>
  <c r="P1285" i="3"/>
  <c r="K1285" i="3"/>
  <c r="H1285" i="3"/>
  <c r="F1285" i="3"/>
  <c r="AE1284" i="3"/>
  <c r="AC1284" i="3"/>
  <c r="U1284" i="3"/>
  <c r="P1284" i="3"/>
  <c r="K1284" i="3"/>
  <c r="H1284" i="3"/>
  <c r="F1284" i="3"/>
  <c r="AE1283" i="3"/>
  <c r="AC1283" i="3"/>
  <c r="U1283" i="3"/>
  <c r="P1283" i="3"/>
  <c r="K1283" i="3"/>
  <c r="H1283" i="3"/>
  <c r="F1283" i="3"/>
  <c r="AE1282" i="3"/>
  <c r="AC1282" i="3"/>
  <c r="U1282" i="3"/>
  <c r="P1282" i="3"/>
  <c r="K1282" i="3"/>
  <c r="H1282" i="3"/>
  <c r="F1282" i="3"/>
  <c r="AE1281" i="3"/>
  <c r="AC1281" i="3"/>
  <c r="U1281" i="3"/>
  <c r="P1281" i="3"/>
  <c r="K1281" i="3"/>
  <c r="H1281" i="3"/>
  <c r="F1281" i="3"/>
  <c r="AE1280" i="3"/>
  <c r="AC1280" i="3"/>
  <c r="U1280" i="3"/>
  <c r="P1280" i="3"/>
  <c r="V1280" i="3" s="1"/>
  <c r="K1280" i="3"/>
  <c r="H1280" i="3"/>
  <c r="F1280" i="3"/>
  <c r="AE1279" i="3"/>
  <c r="AC1279" i="3"/>
  <c r="U1279" i="3"/>
  <c r="P1279" i="3"/>
  <c r="K1279" i="3"/>
  <c r="H1279" i="3"/>
  <c r="F1279" i="3"/>
  <c r="AE1278" i="3"/>
  <c r="AC1278" i="3"/>
  <c r="U1278" i="3"/>
  <c r="P1278" i="3"/>
  <c r="K1278" i="3"/>
  <c r="H1278" i="3"/>
  <c r="F1278" i="3"/>
  <c r="AE1277" i="3"/>
  <c r="AC1277" i="3"/>
  <c r="U1277" i="3"/>
  <c r="P1277" i="3"/>
  <c r="K1277" i="3"/>
  <c r="H1277" i="3"/>
  <c r="F1277" i="3"/>
  <c r="AE1276" i="3"/>
  <c r="AC1276" i="3"/>
  <c r="U1276" i="3"/>
  <c r="P1276" i="3"/>
  <c r="K1276" i="3"/>
  <c r="H1276" i="3"/>
  <c r="F1276" i="3"/>
  <c r="AE1275" i="3"/>
  <c r="AC1275" i="3"/>
  <c r="U1275" i="3"/>
  <c r="P1275" i="3"/>
  <c r="K1275" i="3"/>
  <c r="H1275" i="3"/>
  <c r="F1275" i="3"/>
  <c r="AE1274" i="3"/>
  <c r="AC1274" i="3"/>
  <c r="U1274" i="3"/>
  <c r="P1274" i="3"/>
  <c r="K1274" i="3"/>
  <c r="H1274" i="3"/>
  <c r="F1274" i="3"/>
  <c r="AE1273" i="3"/>
  <c r="AC1273" i="3"/>
  <c r="U1273" i="3"/>
  <c r="P1273" i="3"/>
  <c r="K1273" i="3"/>
  <c r="H1273" i="3"/>
  <c r="F1273" i="3"/>
  <c r="AE1272" i="3"/>
  <c r="AC1272" i="3"/>
  <c r="U1272" i="3"/>
  <c r="P1272" i="3"/>
  <c r="V1272" i="3" s="1"/>
  <c r="K1272" i="3"/>
  <c r="H1272" i="3"/>
  <c r="F1272" i="3"/>
  <c r="AE1271" i="3"/>
  <c r="AC1271" i="3"/>
  <c r="U1271" i="3"/>
  <c r="P1271" i="3"/>
  <c r="K1271" i="3"/>
  <c r="H1271" i="3"/>
  <c r="F1271" i="3"/>
  <c r="AE1270" i="3"/>
  <c r="AC1270" i="3"/>
  <c r="U1270" i="3"/>
  <c r="P1270" i="3"/>
  <c r="K1270" i="3"/>
  <c r="H1270" i="3"/>
  <c r="F1270" i="3"/>
  <c r="AE1269" i="3"/>
  <c r="AC1269" i="3"/>
  <c r="U1269" i="3"/>
  <c r="P1269" i="3"/>
  <c r="K1269" i="3"/>
  <c r="H1269" i="3"/>
  <c r="F1269" i="3"/>
  <c r="AE1268" i="3"/>
  <c r="AC1268" i="3"/>
  <c r="U1268" i="3"/>
  <c r="P1268" i="3"/>
  <c r="K1268" i="3"/>
  <c r="H1268" i="3"/>
  <c r="F1268" i="3"/>
  <c r="AE1267" i="3"/>
  <c r="AC1267" i="3"/>
  <c r="U1267" i="3"/>
  <c r="P1267" i="3"/>
  <c r="K1267" i="3"/>
  <c r="H1267" i="3"/>
  <c r="F1267" i="3"/>
  <c r="AE1266" i="3"/>
  <c r="AC1266" i="3"/>
  <c r="U1266" i="3"/>
  <c r="P1266" i="3"/>
  <c r="K1266" i="3"/>
  <c r="H1266" i="3"/>
  <c r="F1266" i="3"/>
  <c r="AE1265" i="3"/>
  <c r="AC1265" i="3"/>
  <c r="U1265" i="3"/>
  <c r="P1265" i="3"/>
  <c r="K1265" i="3"/>
  <c r="H1265" i="3"/>
  <c r="F1265" i="3"/>
  <c r="AE1264" i="3"/>
  <c r="AC1264" i="3"/>
  <c r="U1264" i="3"/>
  <c r="P1264" i="3"/>
  <c r="V1264" i="3" s="1"/>
  <c r="K1264" i="3"/>
  <c r="H1264" i="3"/>
  <c r="F1264" i="3"/>
  <c r="AE1263" i="3"/>
  <c r="AC1263" i="3"/>
  <c r="U1263" i="3"/>
  <c r="P1263" i="3"/>
  <c r="K1263" i="3"/>
  <c r="H1263" i="3"/>
  <c r="F1263" i="3"/>
  <c r="AE1262" i="3"/>
  <c r="AC1262" i="3"/>
  <c r="U1262" i="3"/>
  <c r="P1262" i="3"/>
  <c r="K1262" i="3"/>
  <c r="H1262" i="3"/>
  <c r="F1262" i="3"/>
  <c r="AE1261" i="3"/>
  <c r="AC1261" i="3"/>
  <c r="U1261" i="3"/>
  <c r="P1261" i="3"/>
  <c r="K1261" i="3"/>
  <c r="H1261" i="3"/>
  <c r="F1261" i="3"/>
  <c r="AE1260" i="3"/>
  <c r="AC1260" i="3"/>
  <c r="U1260" i="3"/>
  <c r="P1260" i="3"/>
  <c r="K1260" i="3"/>
  <c r="H1260" i="3"/>
  <c r="F1260" i="3"/>
  <c r="AE1259" i="3"/>
  <c r="AC1259" i="3"/>
  <c r="U1259" i="3"/>
  <c r="P1259" i="3"/>
  <c r="K1259" i="3"/>
  <c r="H1259" i="3"/>
  <c r="F1259" i="3"/>
  <c r="AE1258" i="3"/>
  <c r="AC1258" i="3"/>
  <c r="U1258" i="3"/>
  <c r="P1258" i="3"/>
  <c r="K1258" i="3"/>
  <c r="H1258" i="3"/>
  <c r="F1258" i="3"/>
  <c r="AE1257" i="3"/>
  <c r="AC1257" i="3"/>
  <c r="U1257" i="3"/>
  <c r="P1257" i="3"/>
  <c r="K1257" i="3"/>
  <c r="H1257" i="3"/>
  <c r="F1257" i="3"/>
  <c r="AE1256" i="3"/>
  <c r="AC1256" i="3"/>
  <c r="U1256" i="3"/>
  <c r="P1256" i="3"/>
  <c r="V1256" i="3" s="1"/>
  <c r="K1256" i="3"/>
  <c r="H1256" i="3"/>
  <c r="F1256" i="3"/>
  <c r="AE1255" i="3"/>
  <c r="AC1255" i="3"/>
  <c r="U1255" i="3"/>
  <c r="P1255" i="3"/>
  <c r="K1255" i="3"/>
  <c r="H1255" i="3"/>
  <c r="F1255" i="3"/>
  <c r="AE1254" i="3"/>
  <c r="AC1254" i="3"/>
  <c r="U1254" i="3"/>
  <c r="P1254" i="3"/>
  <c r="K1254" i="3"/>
  <c r="H1254" i="3"/>
  <c r="F1254" i="3"/>
  <c r="AE1253" i="3"/>
  <c r="AC1253" i="3"/>
  <c r="U1253" i="3"/>
  <c r="P1253" i="3"/>
  <c r="K1253" i="3"/>
  <c r="H1253" i="3"/>
  <c r="F1253" i="3"/>
  <c r="AE1252" i="3"/>
  <c r="AC1252" i="3"/>
  <c r="U1252" i="3"/>
  <c r="P1252" i="3"/>
  <c r="K1252" i="3"/>
  <c r="H1252" i="3"/>
  <c r="F1252" i="3"/>
  <c r="AE1251" i="3"/>
  <c r="AC1251" i="3"/>
  <c r="U1251" i="3"/>
  <c r="P1251" i="3"/>
  <c r="K1251" i="3"/>
  <c r="H1251" i="3"/>
  <c r="F1251" i="3"/>
  <c r="AE1250" i="3"/>
  <c r="AC1250" i="3"/>
  <c r="U1250" i="3"/>
  <c r="P1250" i="3"/>
  <c r="K1250" i="3"/>
  <c r="H1250" i="3"/>
  <c r="F1250" i="3"/>
  <c r="AE1249" i="3"/>
  <c r="AC1249" i="3"/>
  <c r="U1249" i="3"/>
  <c r="P1249" i="3"/>
  <c r="K1249" i="3"/>
  <c r="H1249" i="3"/>
  <c r="F1249" i="3"/>
  <c r="AE1248" i="3"/>
  <c r="AC1248" i="3"/>
  <c r="U1248" i="3"/>
  <c r="P1248" i="3"/>
  <c r="V1248" i="3" s="1"/>
  <c r="K1248" i="3"/>
  <c r="H1248" i="3"/>
  <c r="F1248" i="3"/>
  <c r="AE1247" i="3"/>
  <c r="AC1247" i="3"/>
  <c r="U1247" i="3"/>
  <c r="P1247" i="3"/>
  <c r="K1247" i="3"/>
  <c r="H1247" i="3"/>
  <c r="F1247" i="3"/>
  <c r="AE1246" i="3"/>
  <c r="AC1246" i="3"/>
  <c r="U1246" i="3"/>
  <c r="P1246" i="3"/>
  <c r="K1246" i="3"/>
  <c r="H1246" i="3"/>
  <c r="F1246" i="3"/>
  <c r="AE1245" i="3"/>
  <c r="AC1245" i="3"/>
  <c r="U1245" i="3"/>
  <c r="P1245" i="3"/>
  <c r="K1245" i="3"/>
  <c r="H1245" i="3"/>
  <c r="F1245" i="3"/>
  <c r="AE1244" i="3"/>
  <c r="AC1244" i="3"/>
  <c r="U1244" i="3"/>
  <c r="P1244" i="3"/>
  <c r="K1244" i="3"/>
  <c r="H1244" i="3"/>
  <c r="F1244" i="3"/>
  <c r="AE1243" i="3"/>
  <c r="AC1243" i="3"/>
  <c r="U1243" i="3"/>
  <c r="P1243" i="3"/>
  <c r="K1243" i="3"/>
  <c r="H1243" i="3"/>
  <c r="F1243" i="3"/>
  <c r="AE1242" i="3"/>
  <c r="AC1242" i="3"/>
  <c r="U1242" i="3"/>
  <c r="P1242" i="3"/>
  <c r="K1242" i="3"/>
  <c r="H1242" i="3"/>
  <c r="F1242" i="3"/>
  <c r="AE1241" i="3"/>
  <c r="AC1241" i="3"/>
  <c r="U1241" i="3"/>
  <c r="P1241" i="3"/>
  <c r="K1241" i="3"/>
  <c r="H1241" i="3"/>
  <c r="F1241" i="3"/>
  <c r="AE1240" i="3"/>
  <c r="AC1240" i="3"/>
  <c r="U1240" i="3"/>
  <c r="P1240" i="3"/>
  <c r="V1240" i="3" s="1"/>
  <c r="K1240" i="3"/>
  <c r="H1240" i="3"/>
  <c r="F1240" i="3"/>
  <c r="AE1239" i="3"/>
  <c r="AC1239" i="3"/>
  <c r="U1239" i="3"/>
  <c r="P1239" i="3"/>
  <c r="K1239" i="3"/>
  <c r="H1239" i="3"/>
  <c r="F1239" i="3"/>
  <c r="AE1238" i="3"/>
  <c r="AC1238" i="3"/>
  <c r="U1238" i="3"/>
  <c r="P1238" i="3"/>
  <c r="K1238" i="3"/>
  <c r="H1238" i="3"/>
  <c r="F1238" i="3"/>
  <c r="AE1237" i="3"/>
  <c r="AC1237" i="3"/>
  <c r="U1237" i="3"/>
  <c r="P1237" i="3"/>
  <c r="K1237" i="3"/>
  <c r="H1237" i="3"/>
  <c r="F1237" i="3"/>
  <c r="AE1236" i="3"/>
  <c r="AC1236" i="3"/>
  <c r="U1236" i="3"/>
  <c r="P1236" i="3"/>
  <c r="K1236" i="3"/>
  <c r="H1236" i="3"/>
  <c r="F1236" i="3"/>
  <c r="AE1235" i="3"/>
  <c r="AC1235" i="3"/>
  <c r="U1235" i="3"/>
  <c r="P1235" i="3"/>
  <c r="K1235" i="3"/>
  <c r="H1235" i="3"/>
  <c r="F1235" i="3"/>
  <c r="AE1234" i="3"/>
  <c r="AC1234" i="3"/>
  <c r="U1234" i="3"/>
  <c r="P1234" i="3"/>
  <c r="K1234" i="3"/>
  <c r="H1234" i="3"/>
  <c r="F1234" i="3"/>
  <c r="AE1233" i="3"/>
  <c r="AC1233" i="3"/>
  <c r="U1233" i="3"/>
  <c r="P1233" i="3"/>
  <c r="K1233" i="3"/>
  <c r="H1233" i="3"/>
  <c r="F1233" i="3"/>
  <c r="AE1232" i="3"/>
  <c r="AC1232" i="3"/>
  <c r="U1232" i="3"/>
  <c r="P1232" i="3"/>
  <c r="V1232" i="3" s="1"/>
  <c r="K1232" i="3"/>
  <c r="H1232" i="3"/>
  <c r="F1232" i="3"/>
  <c r="AE1231" i="3"/>
  <c r="AC1231" i="3"/>
  <c r="U1231" i="3"/>
  <c r="P1231" i="3"/>
  <c r="K1231" i="3"/>
  <c r="H1231" i="3"/>
  <c r="F1231" i="3"/>
  <c r="AE1230" i="3"/>
  <c r="AC1230" i="3"/>
  <c r="U1230" i="3"/>
  <c r="P1230" i="3"/>
  <c r="K1230" i="3"/>
  <c r="H1230" i="3"/>
  <c r="F1230" i="3"/>
  <c r="AE1229" i="3"/>
  <c r="AC1229" i="3"/>
  <c r="U1229" i="3"/>
  <c r="P1229" i="3"/>
  <c r="K1229" i="3"/>
  <c r="H1229" i="3"/>
  <c r="F1229" i="3"/>
  <c r="AE1228" i="3"/>
  <c r="AC1228" i="3"/>
  <c r="U1228" i="3"/>
  <c r="P1228" i="3"/>
  <c r="K1228" i="3"/>
  <c r="H1228" i="3"/>
  <c r="F1228" i="3"/>
  <c r="AE1227" i="3"/>
  <c r="AC1227" i="3"/>
  <c r="U1227" i="3"/>
  <c r="P1227" i="3"/>
  <c r="K1227" i="3"/>
  <c r="H1227" i="3"/>
  <c r="F1227" i="3"/>
  <c r="AE1226" i="3"/>
  <c r="AC1226" i="3"/>
  <c r="U1226" i="3"/>
  <c r="P1226" i="3"/>
  <c r="K1226" i="3"/>
  <c r="H1226" i="3"/>
  <c r="F1226" i="3"/>
  <c r="AE1225" i="3"/>
  <c r="AC1225" i="3"/>
  <c r="U1225" i="3"/>
  <c r="P1225" i="3"/>
  <c r="K1225" i="3"/>
  <c r="H1225" i="3"/>
  <c r="F1225" i="3"/>
  <c r="AE1224" i="3"/>
  <c r="AC1224" i="3"/>
  <c r="U1224" i="3"/>
  <c r="P1224" i="3"/>
  <c r="V1224" i="3" s="1"/>
  <c r="K1224" i="3"/>
  <c r="H1224" i="3"/>
  <c r="F1224" i="3"/>
  <c r="AE1223" i="3"/>
  <c r="AC1223" i="3"/>
  <c r="U1223" i="3"/>
  <c r="P1223" i="3"/>
  <c r="K1223" i="3"/>
  <c r="H1223" i="3"/>
  <c r="F1223" i="3"/>
  <c r="AE1222" i="3"/>
  <c r="AC1222" i="3"/>
  <c r="U1222" i="3"/>
  <c r="P1222" i="3"/>
  <c r="K1222" i="3"/>
  <c r="H1222" i="3"/>
  <c r="F1222" i="3"/>
  <c r="AE1221" i="3"/>
  <c r="AC1221" i="3"/>
  <c r="U1221" i="3"/>
  <c r="P1221" i="3"/>
  <c r="K1221" i="3"/>
  <c r="H1221" i="3"/>
  <c r="F1221" i="3"/>
  <c r="AE1220" i="3"/>
  <c r="AC1220" i="3"/>
  <c r="U1220" i="3"/>
  <c r="P1220" i="3"/>
  <c r="K1220" i="3"/>
  <c r="H1220" i="3"/>
  <c r="F1220" i="3"/>
  <c r="AE1219" i="3"/>
  <c r="AC1219" i="3"/>
  <c r="U1219" i="3"/>
  <c r="P1219" i="3"/>
  <c r="K1219" i="3"/>
  <c r="H1219" i="3"/>
  <c r="F1219" i="3"/>
  <c r="AE1218" i="3"/>
  <c r="AC1218" i="3"/>
  <c r="U1218" i="3"/>
  <c r="P1218" i="3"/>
  <c r="K1218" i="3"/>
  <c r="H1218" i="3"/>
  <c r="F1218" i="3"/>
  <c r="AE1217" i="3"/>
  <c r="AC1217" i="3"/>
  <c r="U1217" i="3"/>
  <c r="P1217" i="3"/>
  <c r="K1217" i="3"/>
  <c r="H1217" i="3"/>
  <c r="F1217" i="3"/>
  <c r="AE1216" i="3"/>
  <c r="AC1216" i="3"/>
  <c r="U1216" i="3"/>
  <c r="P1216" i="3"/>
  <c r="K1216" i="3"/>
  <c r="H1216" i="3"/>
  <c r="F1216" i="3"/>
  <c r="AE1215" i="3"/>
  <c r="AC1215" i="3"/>
  <c r="U1215" i="3"/>
  <c r="P1215" i="3"/>
  <c r="K1215" i="3"/>
  <c r="H1215" i="3"/>
  <c r="F1215" i="3"/>
  <c r="AE1214" i="3"/>
  <c r="AC1214" i="3"/>
  <c r="U1214" i="3"/>
  <c r="P1214" i="3"/>
  <c r="K1214" i="3"/>
  <c r="H1214" i="3"/>
  <c r="F1214" i="3"/>
  <c r="AE1213" i="3"/>
  <c r="AC1213" i="3"/>
  <c r="U1213" i="3"/>
  <c r="P1213" i="3"/>
  <c r="K1213" i="3"/>
  <c r="H1213" i="3"/>
  <c r="F1213" i="3"/>
  <c r="AE1212" i="3"/>
  <c r="AC1212" i="3"/>
  <c r="U1212" i="3"/>
  <c r="P1212" i="3"/>
  <c r="K1212" i="3"/>
  <c r="H1212" i="3"/>
  <c r="F1212" i="3"/>
  <c r="AE1211" i="3"/>
  <c r="AC1211" i="3"/>
  <c r="U1211" i="3"/>
  <c r="P1211" i="3"/>
  <c r="K1211" i="3"/>
  <c r="H1211" i="3"/>
  <c r="F1211" i="3"/>
  <c r="AE1210" i="3"/>
  <c r="AC1210" i="3"/>
  <c r="U1210" i="3"/>
  <c r="P1210" i="3"/>
  <c r="K1210" i="3"/>
  <c r="H1210" i="3"/>
  <c r="F1210" i="3"/>
  <c r="AE1209" i="3"/>
  <c r="AC1209" i="3"/>
  <c r="U1209" i="3"/>
  <c r="P1209" i="3"/>
  <c r="K1209" i="3"/>
  <c r="H1209" i="3"/>
  <c r="F1209" i="3"/>
  <c r="AE1208" i="3"/>
  <c r="AC1208" i="3"/>
  <c r="U1208" i="3"/>
  <c r="P1208" i="3"/>
  <c r="V1208" i="3" s="1"/>
  <c r="K1208" i="3"/>
  <c r="H1208" i="3"/>
  <c r="F1208" i="3"/>
  <c r="AE1207" i="3"/>
  <c r="AC1207" i="3"/>
  <c r="U1207" i="3"/>
  <c r="P1207" i="3"/>
  <c r="K1207" i="3"/>
  <c r="H1207" i="3"/>
  <c r="F1207" i="3"/>
  <c r="AE1206" i="3"/>
  <c r="AC1206" i="3"/>
  <c r="U1206" i="3"/>
  <c r="P1206" i="3"/>
  <c r="K1206" i="3"/>
  <c r="H1206" i="3"/>
  <c r="F1206" i="3"/>
  <c r="AE1205" i="3"/>
  <c r="AC1205" i="3"/>
  <c r="U1205" i="3"/>
  <c r="P1205" i="3"/>
  <c r="K1205" i="3"/>
  <c r="H1205" i="3"/>
  <c r="F1205" i="3"/>
  <c r="AE1204" i="3"/>
  <c r="AC1204" i="3"/>
  <c r="U1204" i="3"/>
  <c r="P1204" i="3"/>
  <c r="K1204" i="3"/>
  <c r="H1204" i="3"/>
  <c r="F1204" i="3"/>
  <c r="AE1203" i="3"/>
  <c r="AC1203" i="3"/>
  <c r="U1203" i="3"/>
  <c r="P1203" i="3"/>
  <c r="K1203" i="3"/>
  <c r="H1203" i="3"/>
  <c r="F1203" i="3"/>
  <c r="AE1202" i="3"/>
  <c r="AC1202" i="3"/>
  <c r="U1202" i="3"/>
  <c r="P1202" i="3"/>
  <c r="K1202" i="3"/>
  <c r="H1202" i="3"/>
  <c r="F1202" i="3"/>
  <c r="AE1201" i="3"/>
  <c r="AC1201" i="3"/>
  <c r="U1201" i="3"/>
  <c r="P1201" i="3"/>
  <c r="K1201" i="3"/>
  <c r="H1201" i="3"/>
  <c r="F1201" i="3"/>
  <c r="AE1200" i="3"/>
  <c r="AC1200" i="3"/>
  <c r="U1200" i="3"/>
  <c r="P1200" i="3"/>
  <c r="V1200" i="3" s="1"/>
  <c r="K1200" i="3"/>
  <c r="H1200" i="3"/>
  <c r="F1200" i="3"/>
  <c r="AE1199" i="3"/>
  <c r="AC1199" i="3"/>
  <c r="U1199" i="3"/>
  <c r="P1199" i="3"/>
  <c r="K1199" i="3"/>
  <c r="H1199" i="3"/>
  <c r="F1199" i="3"/>
  <c r="AE1198" i="3"/>
  <c r="AC1198" i="3"/>
  <c r="U1198" i="3"/>
  <c r="P1198" i="3"/>
  <c r="K1198" i="3"/>
  <c r="H1198" i="3"/>
  <c r="F1198" i="3"/>
  <c r="AE1197" i="3"/>
  <c r="AC1197" i="3"/>
  <c r="U1197" i="3"/>
  <c r="P1197" i="3"/>
  <c r="K1197" i="3"/>
  <c r="H1197" i="3"/>
  <c r="F1197" i="3"/>
  <c r="AE1196" i="3"/>
  <c r="AC1196" i="3"/>
  <c r="U1196" i="3"/>
  <c r="P1196" i="3"/>
  <c r="K1196" i="3"/>
  <c r="H1196" i="3"/>
  <c r="F1196" i="3"/>
  <c r="AE1195" i="3"/>
  <c r="AC1195" i="3"/>
  <c r="U1195" i="3"/>
  <c r="P1195" i="3"/>
  <c r="K1195" i="3"/>
  <c r="H1195" i="3"/>
  <c r="F1195" i="3"/>
  <c r="AE1194" i="3"/>
  <c r="AC1194" i="3"/>
  <c r="U1194" i="3"/>
  <c r="P1194" i="3"/>
  <c r="K1194" i="3"/>
  <c r="H1194" i="3"/>
  <c r="F1194" i="3"/>
  <c r="AE1193" i="3"/>
  <c r="AC1193" i="3"/>
  <c r="U1193" i="3"/>
  <c r="P1193" i="3"/>
  <c r="K1193" i="3"/>
  <c r="H1193" i="3"/>
  <c r="F1193" i="3"/>
  <c r="AE1192" i="3"/>
  <c r="AC1192" i="3"/>
  <c r="U1192" i="3"/>
  <c r="P1192" i="3"/>
  <c r="V1192" i="3" s="1"/>
  <c r="K1192" i="3"/>
  <c r="H1192" i="3"/>
  <c r="F1192" i="3"/>
  <c r="AE1191" i="3"/>
  <c r="AC1191" i="3"/>
  <c r="U1191" i="3"/>
  <c r="P1191" i="3"/>
  <c r="K1191" i="3"/>
  <c r="H1191" i="3"/>
  <c r="F1191" i="3"/>
  <c r="AE1190" i="3"/>
  <c r="AC1190" i="3"/>
  <c r="U1190" i="3"/>
  <c r="P1190" i="3"/>
  <c r="K1190" i="3"/>
  <c r="H1190" i="3"/>
  <c r="F1190" i="3"/>
  <c r="AE1189" i="3"/>
  <c r="AC1189" i="3"/>
  <c r="U1189" i="3"/>
  <c r="P1189" i="3"/>
  <c r="K1189" i="3"/>
  <c r="H1189" i="3"/>
  <c r="F1189" i="3"/>
  <c r="AE1188" i="3"/>
  <c r="AC1188" i="3"/>
  <c r="U1188" i="3"/>
  <c r="P1188" i="3"/>
  <c r="K1188" i="3"/>
  <c r="H1188" i="3"/>
  <c r="F1188" i="3"/>
  <c r="AE1187" i="3"/>
  <c r="AC1187" i="3"/>
  <c r="U1187" i="3"/>
  <c r="P1187" i="3"/>
  <c r="K1187" i="3"/>
  <c r="H1187" i="3"/>
  <c r="F1187" i="3"/>
  <c r="AE1186" i="3"/>
  <c r="AC1186" i="3"/>
  <c r="U1186" i="3"/>
  <c r="P1186" i="3"/>
  <c r="K1186" i="3"/>
  <c r="H1186" i="3"/>
  <c r="F1186" i="3"/>
  <c r="AE1185" i="3"/>
  <c r="AC1185" i="3"/>
  <c r="U1185" i="3"/>
  <c r="P1185" i="3"/>
  <c r="K1185" i="3"/>
  <c r="H1185" i="3"/>
  <c r="F1185" i="3"/>
  <c r="AE1184" i="3"/>
  <c r="AC1184" i="3"/>
  <c r="U1184" i="3"/>
  <c r="P1184" i="3"/>
  <c r="V1184" i="3" s="1"/>
  <c r="K1184" i="3"/>
  <c r="H1184" i="3"/>
  <c r="F1184" i="3"/>
  <c r="AE1183" i="3"/>
  <c r="AC1183" i="3"/>
  <c r="U1183" i="3"/>
  <c r="P1183" i="3"/>
  <c r="K1183" i="3"/>
  <c r="H1183" i="3"/>
  <c r="F1183" i="3"/>
  <c r="AE1182" i="3"/>
  <c r="AC1182" i="3"/>
  <c r="U1182" i="3"/>
  <c r="P1182" i="3"/>
  <c r="K1182" i="3"/>
  <c r="H1182" i="3"/>
  <c r="F1182" i="3"/>
  <c r="AE1181" i="3"/>
  <c r="AC1181" i="3"/>
  <c r="U1181" i="3"/>
  <c r="P1181" i="3"/>
  <c r="K1181" i="3"/>
  <c r="H1181" i="3"/>
  <c r="F1181" i="3"/>
  <c r="AE1180" i="3"/>
  <c r="AC1180" i="3"/>
  <c r="U1180" i="3"/>
  <c r="P1180" i="3"/>
  <c r="K1180" i="3"/>
  <c r="H1180" i="3"/>
  <c r="F1180" i="3"/>
  <c r="AE1179" i="3"/>
  <c r="AC1179" i="3"/>
  <c r="U1179" i="3"/>
  <c r="P1179" i="3"/>
  <c r="K1179" i="3"/>
  <c r="H1179" i="3"/>
  <c r="F1179" i="3"/>
  <c r="AE1178" i="3"/>
  <c r="AC1178" i="3"/>
  <c r="U1178" i="3"/>
  <c r="P1178" i="3"/>
  <c r="K1178" i="3"/>
  <c r="H1178" i="3"/>
  <c r="F1178" i="3"/>
  <c r="AE1177" i="3"/>
  <c r="AC1177" i="3"/>
  <c r="U1177" i="3"/>
  <c r="P1177" i="3"/>
  <c r="K1177" i="3"/>
  <c r="H1177" i="3"/>
  <c r="F1177" i="3"/>
  <c r="AE1176" i="3"/>
  <c r="AC1176" i="3"/>
  <c r="U1176" i="3"/>
  <c r="P1176" i="3"/>
  <c r="V1176" i="3" s="1"/>
  <c r="K1176" i="3"/>
  <c r="H1176" i="3"/>
  <c r="F1176" i="3"/>
  <c r="AE1175" i="3"/>
  <c r="AC1175" i="3"/>
  <c r="U1175" i="3"/>
  <c r="P1175" i="3"/>
  <c r="K1175" i="3"/>
  <c r="H1175" i="3"/>
  <c r="F1175" i="3"/>
  <c r="AE1174" i="3"/>
  <c r="AC1174" i="3"/>
  <c r="U1174" i="3"/>
  <c r="P1174" i="3"/>
  <c r="K1174" i="3"/>
  <c r="H1174" i="3"/>
  <c r="F1174" i="3"/>
  <c r="AE1173" i="3"/>
  <c r="AC1173" i="3"/>
  <c r="U1173" i="3"/>
  <c r="P1173" i="3"/>
  <c r="K1173" i="3"/>
  <c r="H1173" i="3"/>
  <c r="F1173" i="3"/>
  <c r="AE1172" i="3"/>
  <c r="AC1172" i="3"/>
  <c r="U1172" i="3"/>
  <c r="P1172" i="3"/>
  <c r="K1172" i="3"/>
  <c r="H1172" i="3"/>
  <c r="F1172" i="3"/>
  <c r="AE1171" i="3"/>
  <c r="AC1171" i="3"/>
  <c r="U1171" i="3"/>
  <c r="P1171" i="3"/>
  <c r="K1171" i="3"/>
  <c r="H1171" i="3"/>
  <c r="F1171" i="3"/>
  <c r="AE1170" i="3"/>
  <c r="AC1170" i="3"/>
  <c r="U1170" i="3"/>
  <c r="P1170" i="3"/>
  <c r="K1170" i="3"/>
  <c r="H1170" i="3"/>
  <c r="F1170" i="3"/>
  <c r="AE1169" i="3"/>
  <c r="AC1169" i="3"/>
  <c r="U1169" i="3"/>
  <c r="P1169" i="3"/>
  <c r="K1169" i="3"/>
  <c r="H1169" i="3"/>
  <c r="F1169" i="3"/>
  <c r="AE1168" i="3"/>
  <c r="AC1168" i="3"/>
  <c r="U1168" i="3"/>
  <c r="P1168" i="3"/>
  <c r="V1168" i="3" s="1"/>
  <c r="K1168" i="3"/>
  <c r="H1168" i="3"/>
  <c r="F1168" i="3"/>
  <c r="AE1167" i="3"/>
  <c r="AC1167" i="3"/>
  <c r="U1167" i="3"/>
  <c r="P1167" i="3"/>
  <c r="K1167" i="3"/>
  <c r="H1167" i="3"/>
  <c r="F1167" i="3"/>
  <c r="AE1166" i="3"/>
  <c r="AC1166" i="3"/>
  <c r="U1166" i="3"/>
  <c r="P1166" i="3"/>
  <c r="K1166" i="3"/>
  <c r="H1166" i="3"/>
  <c r="F1166" i="3"/>
  <c r="AE1165" i="3"/>
  <c r="AC1165" i="3"/>
  <c r="U1165" i="3"/>
  <c r="P1165" i="3"/>
  <c r="K1165" i="3"/>
  <c r="H1165" i="3"/>
  <c r="F1165" i="3"/>
  <c r="AE1164" i="3"/>
  <c r="AC1164" i="3"/>
  <c r="U1164" i="3"/>
  <c r="P1164" i="3"/>
  <c r="K1164" i="3"/>
  <c r="H1164" i="3"/>
  <c r="F1164" i="3"/>
  <c r="AE1163" i="3"/>
  <c r="AC1163" i="3"/>
  <c r="U1163" i="3"/>
  <c r="P1163" i="3"/>
  <c r="K1163" i="3"/>
  <c r="H1163" i="3"/>
  <c r="F1163" i="3"/>
  <c r="AE1162" i="3"/>
  <c r="AC1162" i="3"/>
  <c r="U1162" i="3"/>
  <c r="P1162" i="3"/>
  <c r="K1162" i="3"/>
  <c r="H1162" i="3"/>
  <c r="F1162" i="3"/>
  <c r="AE1161" i="3"/>
  <c r="AC1161" i="3"/>
  <c r="U1161" i="3"/>
  <c r="P1161" i="3"/>
  <c r="K1161" i="3"/>
  <c r="H1161" i="3"/>
  <c r="F1161" i="3"/>
  <c r="AE1160" i="3"/>
  <c r="AC1160" i="3"/>
  <c r="U1160" i="3"/>
  <c r="P1160" i="3"/>
  <c r="V1160" i="3" s="1"/>
  <c r="K1160" i="3"/>
  <c r="H1160" i="3"/>
  <c r="F1160" i="3"/>
  <c r="AE1159" i="3"/>
  <c r="AC1159" i="3"/>
  <c r="U1159" i="3"/>
  <c r="P1159" i="3"/>
  <c r="K1159" i="3"/>
  <c r="H1159" i="3"/>
  <c r="F1159" i="3"/>
  <c r="AE1158" i="3"/>
  <c r="AC1158" i="3"/>
  <c r="U1158" i="3"/>
  <c r="P1158" i="3"/>
  <c r="K1158" i="3"/>
  <c r="H1158" i="3"/>
  <c r="F1158" i="3"/>
  <c r="AE1157" i="3"/>
  <c r="AC1157" i="3"/>
  <c r="U1157" i="3"/>
  <c r="P1157" i="3"/>
  <c r="K1157" i="3"/>
  <c r="H1157" i="3"/>
  <c r="F1157" i="3"/>
  <c r="AE1156" i="3"/>
  <c r="AC1156" i="3"/>
  <c r="U1156" i="3"/>
  <c r="P1156" i="3"/>
  <c r="K1156" i="3"/>
  <c r="H1156" i="3"/>
  <c r="F1156" i="3"/>
  <c r="AE1155" i="3"/>
  <c r="AC1155" i="3"/>
  <c r="U1155" i="3"/>
  <c r="P1155" i="3"/>
  <c r="K1155" i="3"/>
  <c r="H1155" i="3"/>
  <c r="F1155" i="3"/>
  <c r="AE1154" i="3"/>
  <c r="AC1154" i="3"/>
  <c r="U1154" i="3"/>
  <c r="P1154" i="3"/>
  <c r="K1154" i="3"/>
  <c r="H1154" i="3"/>
  <c r="F1154" i="3"/>
  <c r="AE1153" i="3"/>
  <c r="AC1153" i="3"/>
  <c r="U1153" i="3"/>
  <c r="P1153" i="3"/>
  <c r="K1153" i="3"/>
  <c r="H1153" i="3"/>
  <c r="F1153" i="3"/>
  <c r="AE1152" i="3"/>
  <c r="AC1152" i="3"/>
  <c r="U1152" i="3"/>
  <c r="P1152" i="3"/>
  <c r="V1152" i="3" s="1"/>
  <c r="K1152" i="3"/>
  <c r="H1152" i="3"/>
  <c r="F1152" i="3"/>
  <c r="AE1151" i="3"/>
  <c r="AC1151" i="3"/>
  <c r="U1151" i="3"/>
  <c r="P1151" i="3"/>
  <c r="K1151" i="3"/>
  <c r="H1151" i="3"/>
  <c r="F1151" i="3"/>
  <c r="AE1150" i="3"/>
  <c r="AC1150" i="3"/>
  <c r="U1150" i="3"/>
  <c r="P1150" i="3"/>
  <c r="K1150" i="3"/>
  <c r="H1150" i="3"/>
  <c r="F1150" i="3"/>
  <c r="AE1149" i="3"/>
  <c r="AC1149" i="3"/>
  <c r="U1149" i="3"/>
  <c r="P1149" i="3"/>
  <c r="K1149" i="3"/>
  <c r="H1149" i="3"/>
  <c r="F1149" i="3"/>
  <c r="AE1148" i="3"/>
  <c r="AC1148" i="3"/>
  <c r="U1148" i="3"/>
  <c r="P1148" i="3"/>
  <c r="K1148" i="3"/>
  <c r="H1148" i="3"/>
  <c r="F1148" i="3"/>
  <c r="AE1147" i="3"/>
  <c r="AC1147" i="3"/>
  <c r="U1147" i="3"/>
  <c r="P1147" i="3"/>
  <c r="K1147" i="3"/>
  <c r="H1147" i="3"/>
  <c r="F1147" i="3"/>
  <c r="AE1146" i="3"/>
  <c r="AC1146" i="3"/>
  <c r="U1146" i="3"/>
  <c r="P1146" i="3"/>
  <c r="K1146" i="3"/>
  <c r="H1146" i="3"/>
  <c r="F1146" i="3"/>
  <c r="AE1145" i="3"/>
  <c r="AC1145" i="3"/>
  <c r="U1145" i="3"/>
  <c r="P1145" i="3"/>
  <c r="K1145" i="3"/>
  <c r="H1145" i="3"/>
  <c r="F1145" i="3"/>
  <c r="AE1144" i="3"/>
  <c r="AC1144" i="3"/>
  <c r="U1144" i="3"/>
  <c r="P1144" i="3"/>
  <c r="V1144" i="3" s="1"/>
  <c r="K1144" i="3"/>
  <c r="H1144" i="3"/>
  <c r="F1144" i="3"/>
  <c r="AE1143" i="3"/>
  <c r="AC1143" i="3"/>
  <c r="U1143" i="3"/>
  <c r="P1143" i="3"/>
  <c r="K1143" i="3"/>
  <c r="H1143" i="3"/>
  <c r="F1143" i="3"/>
  <c r="AE1142" i="3"/>
  <c r="AC1142" i="3"/>
  <c r="U1142" i="3"/>
  <c r="P1142" i="3"/>
  <c r="K1142" i="3"/>
  <c r="H1142" i="3"/>
  <c r="F1142" i="3"/>
  <c r="AE1141" i="3"/>
  <c r="AC1141" i="3"/>
  <c r="U1141" i="3"/>
  <c r="P1141" i="3"/>
  <c r="K1141" i="3"/>
  <c r="H1141" i="3"/>
  <c r="F1141" i="3"/>
  <c r="AE1140" i="3"/>
  <c r="AC1140" i="3"/>
  <c r="U1140" i="3"/>
  <c r="P1140" i="3"/>
  <c r="K1140" i="3"/>
  <c r="H1140" i="3"/>
  <c r="F1140" i="3"/>
  <c r="AE1139" i="3"/>
  <c r="AC1139" i="3"/>
  <c r="U1139" i="3"/>
  <c r="P1139" i="3"/>
  <c r="K1139" i="3"/>
  <c r="H1139" i="3"/>
  <c r="F1139" i="3"/>
  <c r="AE1138" i="3"/>
  <c r="AC1138" i="3"/>
  <c r="U1138" i="3"/>
  <c r="P1138" i="3"/>
  <c r="K1138" i="3"/>
  <c r="H1138" i="3"/>
  <c r="F1138" i="3"/>
  <c r="AE1137" i="3"/>
  <c r="AC1137" i="3"/>
  <c r="U1137" i="3"/>
  <c r="P1137" i="3"/>
  <c r="K1137" i="3"/>
  <c r="H1137" i="3"/>
  <c r="F1137" i="3"/>
  <c r="AE1136" i="3"/>
  <c r="AC1136" i="3"/>
  <c r="U1136" i="3"/>
  <c r="P1136" i="3"/>
  <c r="V1136" i="3" s="1"/>
  <c r="K1136" i="3"/>
  <c r="H1136" i="3"/>
  <c r="F1136" i="3"/>
  <c r="AE1135" i="3"/>
  <c r="AC1135" i="3"/>
  <c r="U1135" i="3"/>
  <c r="P1135" i="3"/>
  <c r="K1135" i="3"/>
  <c r="H1135" i="3"/>
  <c r="F1135" i="3"/>
  <c r="AE1134" i="3"/>
  <c r="AC1134" i="3"/>
  <c r="U1134" i="3"/>
  <c r="P1134" i="3"/>
  <c r="K1134" i="3"/>
  <c r="H1134" i="3"/>
  <c r="F1134" i="3"/>
  <c r="AE1133" i="3"/>
  <c r="AC1133" i="3"/>
  <c r="U1133" i="3"/>
  <c r="P1133" i="3"/>
  <c r="K1133" i="3"/>
  <c r="H1133" i="3"/>
  <c r="F1133" i="3"/>
  <c r="AE1132" i="3"/>
  <c r="AC1132" i="3"/>
  <c r="U1132" i="3"/>
  <c r="P1132" i="3"/>
  <c r="K1132" i="3"/>
  <c r="H1132" i="3"/>
  <c r="F1132" i="3"/>
  <c r="AE1131" i="3"/>
  <c r="AC1131" i="3"/>
  <c r="U1131" i="3"/>
  <c r="P1131" i="3"/>
  <c r="K1131" i="3"/>
  <c r="H1131" i="3"/>
  <c r="F1131" i="3"/>
  <c r="AE1130" i="3"/>
  <c r="AC1130" i="3"/>
  <c r="U1130" i="3"/>
  <c r="P1130" i="3"/>
  <c r="K1130" i="3"/>
  <c r="H1130" i="3"/>
  <c r="F1130" i="3"/>
  <c r="AE1129" i="3"/>
  <c r="AC1129" i="3"/>
  <c r="U1129" i="3"/>
  <c r="P1129" i="3"/>
  <c r="K1129" i="3"/>
  <c r="H1129" i="3"/>
  <c r="F1129" i="3"/>
  <c r="AE1128" i="3"/>
  <c r="AC1128" i="3"/>
  <c r="U1128" i="3"/>
  <c r="P1128" i="3"/>
  <c r="V1128" i="3" s="1"/>
  <c r="K1128" i="3"/>
  <c r="H1128" i="3"/>
  <c r="F1128" i="3"/>
  <c r="AE1127" i="3"/>
  <c r="AC1127" i="3"/>
  <c r="U1127" i="3"/>
  <c r="P1127" i="3"/>
  <c r="K1127" i="3"/>
  <c r="H1127" i="3"/>
  <c r="F1127" i="3"/>
  <c r="AE1126" i="3"/>
  <c r="AC1126" i="3"/>
  <c r="U1126" i="3"/>
  <c r="P1126" i="3"/>
  <c r="K1126" i="3"/>
  <c r="H1126" i="3"/>
  <c r="F1126" i="3"/>
  <c r="AE1125" i="3"/>
  <c r="AC1125" i="3"/>
  <c r="U1125" i="3"/>
  <c r="P1125" i="3"/>
  <c r="K1125" i="3"/>
  <c r="H1125" i="3"/>
  <c r="F1125" i="3"/>
  <c r="AE1124" i="3"/>
  <c r="AC1124" i="3"/>
  <c r="U1124" i="3"/>
  <c r="P1124" i="3"/>
  <c r="K1124" i="3"/>
  <c r="H1124" i="3"/>
  <c r="F1124" i="3"/>
  <c r="AE1123" i="3"/>
  <c r="AC1123" i="3"/>
  <c r="U1123" i="3"/>
  <c r="P1123" i="3"/>
  <c r="K1123" i="3"/>
  <c r="H1123" i="3"/>
  <c r="F1123" i="3"/>
  <c r="AE1122" i="3"/>
  <c r="AC1122" i="3"/>
  <c r="U1122" i="3"/>
  <c r="P1122" i="3"/>
  <c r="K1122" i="3"/>
  <c r="H1122" i="3"/>
  <c r="F1122" i="3"/>
  <c r="AE1121" i="3"/>
  <c r="AC1121" i="3"/>
  <c r="U1121" i="3"/>
  <c r="P1121" i="3"/>
  <c r="K1121" i="3"/>
  <c r="H1121" i="3"/>
  <c r="F1121" i="3"/>
  <c r="AE1120" i="3"/>
  <c r="AC1120" i="3"/>
  <c r="U1120" i="3"/>
  <c r="P1120" i="3"/>
  <c r="V1120" i="3" s="1"/>
  <c r="K1120" i="3"/>
  <c r="H1120" i="3"/>
  <c r="F1120" i="3"/>
  <c r="AE1119" i="3"/>
  <c r="AC1119" i="3"/>
  <c r="U1119" i="3"/>
  <c r="P1119" i="3"/>
  <c r="K1119" i="3"/>
  <c r="H1119" i="3"/>
  <c r="F1119" i="3"/>
  <c r="AE1118" i="3"/>
  <c r="AC1118" i="3"/>
  <c r="U1118" i="3"/>
  <c r="P1118" i="3"/>
  <c r="K1118" i="3"/>
  <c r="H1118" i="3"/>
  <c r="F1118" i="3"/>
  <c r="AE1117" i="3"/>
  <c r="AC1117" i="3"/>
  <c r="U1117" i="3"/>
  <c r="P1117" i="3"/>
  <c r="K1117" i="3"/>
  <c r="H1117" i="3"/>
  <c r="F1117" i="3"/>
  <c r="AE1116" i="3"/>
  <c r="AC1116" i="3"/>
  <c r="U1116" i="3"/>
  <c r="P1116" i="3"/>
  <c r="K1116" i="3"/>
  <c r="H1116" i="3"/>
  <c r="F1116" i="3"/>
  <c r="AE1115" i="3"/>
  <c r="AC1115" i="3"/>
  <c r="U1115" i="3"/>
  <c r="P1115" i="3"/>
  <c r="K1115" i="3"/>
  <c r="H1115" i="3"/>
  <c r="F1115" i="3"/>
  <c r="AE1114" i="3"/>
  <c r="AC1114" i="3"/>
  <c r="U1114" i="3"/>
  <c r="P1114" i="3"/>
  <c r="K1114" i="3"/>
  <c r="H1114" i="3"/>
  <c r="F1114" i="3"/>
  <c r="AE1113" i="3"/>
  <c r="AC1113" i="3"/>
  <c r="U1113" i="3"/>
  <c r="P1113" i="3"/>
  <c r="K1113" i="3"/>
  <c r="H1113" i="3"/>
  <c r="F1113" i="3"/>
  <c r="AE1112" i="3"/>
  <c r="AC1112" i="3"/>
  <c r="U1112" i="3"/>
  <c r="P1112" i="3"/>
  <c r="V1112" i="3" s="1"/>
  <c r="K1112" i="3"/>
  <c r="H1112" i="3"/>
  <c r="F1112" i="3"/>
  <c r="AE1111" i="3"/>
  <c r="AC1111" i="3"/>
  <c r="U1111" i="3"/>
  <c r="P1111" i="3"/>
  <c r="K1111" i="3"/>
  <c r="H1111" i="3"/>
  <c r="F1111" i="3"/>
  <c r="AE1110" i="3"/>
  <c r="AC1110" i="3"/>
  <c r="U1110" i="3"/>
  <c r="P1110" i="3"/>
  <c r="K1110" i="3"/>
  <c r="H1110" i="3"/>
  <c r="F1110" i="3"/>
  <c r="AE1109" i="3"/>
  <c r="AC1109" i="3"/>
  <c r="U1109" i="3"/>
  <c r="P1109" i="3"/>
  <c r="K1109" i="3"/>
  <c r="H1109" i="3"/>
  <c r="F1109" i="3"/>
  <c r="AE1108" i="3"/>
  <c r="AC1108" i="3"/>
  <c r="U1108" i="3"/>
  <c r="P1108" i="3"/>
  <c r="K1108" i="3"/>
  <c r="H1108" i="3"/>
  <c r="F1108" i="3"/>
  <c r="AE1107" i="3"/>
  <c r="AC1107" i="3"/>
  <c r="U1107" i="3"/>
  <c r="P1107" i="3"/>
  <c r="K1107" i="3"/>
  <c r="H1107" i="3"/>
  <c r="F1107" i="3"/>
  <c r="AE1106" i="3"/>
  <c r="AC1106" i="3"/>
  <c r="U1106" i="3"/>
  <c r="P1106" i="3"/>
  <c r="K1106" i="3"/>
  <c r="H1106" i="3"/>
  <c r="F1106" i="3"/>
  <c r="AE1105" i="3"/>
  <c r="AC1105" i="3"/>
  <c r="U1105" i="3"/>
  <c r="P1105" i="3"/>
  <c r="K1105" i="3"/>
  <c r="H1105" i="3"/>
  <c r="F1105" i="3"/>
  <c r="AE1104" i="3"/>
  <c r="AC1104" i="3"/>
  <c r="U1104" i="3"/>
  <c r="P1104" i="3"/>
  <c r="V1104" i="3" s="1"/>
  <c r="K1104" i="3"/>
  <c r="H1104" i="3"/>
  <c r="F1104" i="3"/>
  <c r="AE1103" i="3"/>
  <c r="AC1103" i="3"/>
  <c r="U1103" i="3"/>
  <c r="P1103" i="3"/>
  <c r="K1103" i="3"/>
  <c r="H1103" i="3"/>
  <c r="F1103" i="3"/>
  <c r="AE1102" i="3"/>
  <c r="AC1102" i="3"/>
  <c r="U1102" i="3"/>
  <c r="P1102" i="3"/>
  <c r="K1102" i="3"/>
  <c r="H1102" i="3"/>
  <c r="F1102" i="3"/>
  <c r="AE1101" i="3"/>
  <c r="AC1101" i="3"/>
  <c r="U1101" i="3"/>
  <c r="P1101" i="3"/>
  <c r="K1101" i="3"/>
  <c r="H1101" i="3"/>
  <c r="F1101" i="3"/>
  <c r="AE1100" i="3"/>
  <c r="AC1100" i="3"/>
  <c r="U1100" i="3"/>
  <c r="P1100" i="3"/>
  <c r="K1100" i="3"/>
  <c r="H1100" i="3"/>
  <c r="F1100" i="3"/>
  <c r="AE1099" i="3"/>
  <c r="AC1099" i="3"/>
  <c r="U1099" i="3"/>
  <c r="P1099" i="3"/>
  <c r="K1099" i="3"/>
  <c r="H1099" i="3"/>
  <c r="F1099" i="3"/>
  <c r="AE1098" i="3"/>
  <c r="AC1098" i="3"/>
  <c r="U1098" i="3"/>
  <c r="P1098" i="3"/>
  <c r="K1098" i="3"/>
  <c r="H1098" i="3"/>
  <c r="F1098" i="3"/>
  <c r="AE1097" i="3"/>
  <c r="AC1097" i="3"/>
  <c r="U1097" i="3"/>
  <c r="P1097" i="3"/>
  <c r="K1097" i="3"/>
  <c r="H1097" i="3"/>
  <c r="F1097" i="3"/>
  <c r="AE1096" i="3"/>
  <c r="AC1096" i="3"/>
  <c r="U1096" i="3"/>
  <c r="P1096" i="3"/>
  <c r="K1096" i="3"/>
  <c r="H1096" i="3"/>
  <c r="F1096" i="3"/>
  <c r="AE1095" i="3"/>
  <c r="AC1095" i="3"/>
  <c r="U1095" i="3"/>
  <c r="P1095" i="3"/>
  <c r="K1095" i="3"/>
  <c r="H1095" i="3"/>
  <c r="F1095" i="3"/>
  <c r="AE1094" i="3"/>
  <c r="AC1094" i="3"/>
  <c r="U1094" i="3"/>
  <c r="P1094" i="3"/>
  <c r="K1094" i="3"/>
  <c r="H1094" i="3"/>
  <c r="F1094" i="3"/>
  <c r="AE1093" i="3"/>
  <c r="AC1093" i="3"/>
  <c r="U1093" i="3"/>
  <c r="P1093" i="3"/>
  <c r="K1093" i="3"/>
  <c r="H1093" i="3"/>
  <c r="F1093" i="3"/>
  <c r="AE1092" i="3"/>
  <c r="AC1092" i="3"/>
  <c r="U1092" i="3"/>
  <c r="P1092" i="3"/>
  <c r="K1092" i="3"/>
  <c r="H1092" i="3"/>
  <c r="F1092" i="3"/>
  <c r="AE1091" i="3"/>
  <c r="AC1091" i="3"/>
  <c r="U1091" i="3"/>
  <c r="P1091" i="3"/>
  <c r="K1091" i="3"/>
  <c r="H1091" i="3"/>
  <c r="F1091" i="3"/>
  <c r="AE1090" i="3"/>
  <c r="AC1090" i="3"/>
  <c r="U1090" i="3"/>
  <c r="P1090" i="3"/>
  <c r="K1090" i="3"/>
  <c r="H1090" i="3"/>
  <c r="F1090" i="3"/>
  <c r="AE1089" i="3"/>
  <c r="AC1089" i="3"/>
  <c r="U1089" i="3"/>
  <c r="P1089" i="3"/>
  <c r="K1089" i="3"/>
  <c r="H1089" i="3"/>
  <c r="F1089" i="3"/>
  <c r="AE1088" i="3"/>
  <c r="AC1088" i="3"/>
  <c r="U1088" i="3"/>
  <c r="P1088" i="3"/>
  <c r="K1088" i="3"/>
  <c r="H1088" i="3"/>
  <c r="F1088" i="3"/>
  <c r="AE1087" i="3"/>
  <c r="AC1087" i="3"/>
  <c r="U1087" i="3"/>
  <c r="P1087" i="3"/>
  <c r="K1087" i="3"/>
  <c r="H1087" i="3"/>
  <c r="F1087" i="3"/>
  <c r="AE1086" i="3"/>
  <c r="AC1086" i="3"/>
  <c r="U1086" i="3"/>
  <c r="P1086" i="3"/>
  <c r="K1086" i="3"/>
  <c r="H1086" i="3"/>
  <c r="F1086" i="3"/>
  <c r="AE1085" i="3"/>
  <c r="AC1085" i="3"/>
  <c r="U1085" i="3"/>
  <c r="P1085" i="3"/>
  <c r="K1085" i="3"/>
  <c r="H1085" i="3"/>
  <c r="F1085" i="3"/>
  <c r="AE1084" i="3"/>
  <c r="AC1084" i="3"/>
  <c r="U1084" i="3"/>
  <c r="P1084" i="3"/>
  <c r="K1084" i="3"/>
  <c r="H1084" i="3"/>
  <c r="F1084" i="3"/>
  <c r="AE1083" i="3"/>
  <c r="AC1083" i="3"/>
  <c r="U1083" i="3"/>
  <c r="P1083" i="3"/>
  <c r="K1083" i="3"/>
  <c r="H1083" i="3"/>
  <c r="F1083" i="3"/>
  <c r="AE1082" i="3"/>
  <c r="AC1082" i="3"/>
  <c r="U1082" i="3"/>
  <c r="P1082" i="3"/>
  <c r="K1082" i="3"/>
  <c r="H1082" i="3"/>
  <c r="F1082" i="3"/>
  <c r="AE1081" i="3"/>
  <c r="AC1081" i="3"/>
  <c r="U1081" i="3"/>
  <c r="P1081" i="3"/>
  <c r="K1081" i="3"/>
  <c r="H1081" i="3"/>
  <c r="F1081" i="3"/>
  <c r="AE1080" i="3"/>
  <c r="AC1080" i="3"/>
  <c r="U1080" i="3"/>
  <c r="P1080" i="3"/>
  <c r="K1080" i="3"/>
  <c r="H1080" i="3"/>
  <c r="F1080" i="3"/>
  <c r="AE1079" i="3"/>
  <c r="AC1079" i="3"/>
  <c r="U1079" i="3"/>
  <c r="P1079" i="3"/>
  <c r="K1079" i="3"/>
  <c r="H1079" i="3"/>
  <c r="F1079" i="3"/>
  <c r="AE1078" i="3"/>
  <c r="AC1078" i="3"/>
  <c r="U1078" i="3"/>
  <c r="P1078" i="3"/>
  <c r="K1078" i="3"/>
  <c r="H1078" i="3"/>
  <c r="F1078" i="3"/>
  <c r="AE1077" i="3"/>
  <c r="AC1077" i="3"/>
  <c r="U1077" i="3"/>
  <c r="P1077" i="3"/>
  <c r="K1077" i="3"/>
  <c r="H1077" i="3"/>
  <c r="F1077" i="3"/>
  <c r="AE1076" i="3"/>
  <c r="AC1076" i="3"/>
  <c r="U1076" i="3"/>
  <c r="P1076" i="3"/>
  <c r="V1076" i="3" s="1"/>
  <c r="K1076" i="3"/>
  <c r="H1076" i="3"/>
  <c r="F1076" i="3"/>
  <c r="AE1075" i="3"/>
  <c r="AC1075" i="3"/>
  <c r="U1075" i="3"/>
  <c r="P1075" i="3"/>
  <c r="K1075" i="3"/>
  <c r="H1075" i="3"/>
  <c r="F1075" i="3"/>
  <c r="AE1074" i="3"/>
  <c r="AC1074" i="3"/>
  <c r="U1074" i="3"/>
  <c r="P1074" i="3"/>
  <c r="K1074" i="3"/>
  <c r="H1074" i="3"/>
  <c r="F1074" i="3"/>
  <c r="AE1073" i="3"/>
  <c r="AC1073" i="3"/>
  <c r="U1073" i="3"/>
  <c r="P1073" i="3"/>
  <c r="V1073" i="3" s="1"/>
  <c r="K1073" i="3"/>
  <c r="H1073" i="3"/>
  <c r="F1073" i="3"/>
  <c r="AE1072" i="3"/>
  <c r="AC1072" i="3"/>
  <c r="U1072" i="3"/>
  <c r="P1072" i="3"/>
  <c r="K1072" i="3"/>
  <c r="H1072" i="3"/>
  <c r="F1072" i="3"/>
  <c r="AE1071" i="3"/>
  <c r="AC1071" i="3"/>
  <c r="U1071" i="3"/>
  <c r="P1071" i="3"/>
  <c r="K1071" i="3"/>
  <c r="H1071" i="3"/>
  <c r="F1071" i="3"/>
  <c r="AE1070" i="3"/>
  <c r="AC1070" i="3"/>
  <c r="U1070" i="3"/>
  <c r="P1070" i="3"/>
  <c r="K1070" i="3"/>
  <c r="H1070" i="3"/>
  <c r="F1070" i="3"/>
  <c r="AE1069" i="3"/>
  <c r="AC1069" i="3"/>
  <c r="U1069" i="3"/>
  <c r="P1069" i="3"/>
  <c r="K1069" i="3"/>
  <c r="H1069" i="3"/>
  <c r="F1069" i="3"/>
  <c r="AE1068" i="3"/>
  <c r="AC1068" i="3"/>
  <c r="U1068" i="3"/>
  <c r="P1068" i="3"/>
  <c r="V1068" i="3" s="1"/>
  <c r="K1068" i="3"/>
  <c r="H1068" i="3"/>
  <c r="F1068" i="3"/>
  <c r="AE1067" i="3"/>
  <c r="AC1067" i="3"/>
  <c r="U1067" i="3"/>
  <c r="P1067" i="3"/>
  <c r="K1067" i="3"/>
  <c r="H1067" i="3"/>
  <c r="F1067" i="3"/>
  <c r="AE1066" i="3"/>
  <c r="AC1066" i="3"/>
  <c r="U1066" i="3"/>
  <c r="P1066" i="3"/>
  <c r="K1066" i="3"/>
  <c r="H1066" i="3"/>
  <c r="F1066" i="3"/>
  <c r="AE1065" i="3"/>
  <c r="AC1065" i="3"/>
  <c r="U1065" i="3"/>
  <c r="P1065" i="3"/>
  <c r="V1065" i="3" s="1"/>
  <c r="K1065" i="3"/>
  <c r="H1065" i="3"/>
  <c r="F1065" i="3"/>
  <c r="AE1064" i="3"/>
  <c r="AC1064" i="3"/>
  <c r="U1064" i="3"/>
  <c r="P1064" i="3"/>
  <c r="K1064" i="3"/>
  <c r="H1064" i="3"/>
  <c r="F1064" i="3"/>
  <c r="AE1063" i="3"/>
  <c r="AC1063" i="3"/>
  <c r="U1063" i="3"/>
  <c r="P1063" i="3"/>
  <c r="K1063" i="3"/>
  <c r="H1063" i="3"/>
  <c r="F1063" i="3"/>
  <c r="AE1062" i="3"/>
  <c r="AC1062" i="3"/>
  <c r="U1062" i="3"/>
  <c r="P1062" i="3"/>
  <c r="K1062" i="3"/>
  <c r="H1062" i="3"/>
  <c r="F1062" i="3"/>
  <c r="AE1061" i="3"/>
  <c r="AC1061" i="3"/>
  <c r="U1061" i="3"/>
  <c r="P1061" i="3"/>
  <c r="K1061" i="3"/>
  <c r="H1061" i="3"/>
  <c r="F1061" i="3"/>
  <c r="AE1060" i="3"/>
  <c r="AC1060" i="3"/>
  <c r="U1060" i="3"/>
  <c r="P1060" i="3"/>
  <c r="V1060" i="3" s="1"/>
  <c r="K1060" i="3"/>
  <c r="H1060" i="3"/>
  <c r="F1060" i="3"/>
  <c r="AE1059" i="3"/>
  <c r="AC1059" i="3"/>
  <c r="U1059" i="3"/>
  <c r="P1059" i="3"/>
  <c r="K1059" i="3"/>
  <c r="H1059" i="3"/>
  <c r="AE1058" i="3"/>
  <c r="AC1058" i="3"/>
  <c r="U1058" i="3"/>
  <c r="P1058" i="3"/>
  <c r="K1058" i="3"/>
  <c r="H1058" i="3"/>
  <c r="F1058" i="3"/>
  <c r="AE1057" i="3"/>
  <c r="AC1057" i="3"/>
  <c r="U1057" i="3"/>
  <c r="P1057" i="3"/>
  <c r="K1057" i="3"/>
  <c r="H1057" i="3"/>
  <c r="F1057" i="3"/>
  <c r="AE1056" i="3"/>
  <c r="AC1056" i="3"/>
  <c r="U1056" i="3"/>
  <c r="P1056" i="3"/>
  <c r="K1056" i="3"/>
  <c r="H1056" i="3"/>
  <c r="F1056" i="3"/>
  <c r="AE1055" i="3"/>
  <c r="AC1055" i="3"/>
  <c r="U1055" i="3"/>
  <c r="P1055" i="3"/>
  <c r="K1055" i="3"/>
  <c r="H1055" i="3"/>
  <c r="F1055" i="3"/>
  <c r="AE1054" i="3"/>
  <c r="AC1054" i="3"/>
  <c r="U1054" i="3"/>
  <c r="P1054" i="3"/>
  <c r="K1054" i="3"/>
  <c r="H1054" i="3"/>
  <c r="F1054" i="3"/>
  <c r="AE1053" i="3"/>
  <c r="AC1053" i="3"/>
  <c r="U1053" i="3"/>
  <c r="P1053" i="3"/>
  <c r="K1053" i="3"/>
  <c r="H1053" i="3"/>
  <c r="F1053" i="3"/>
  <c r="AE1052" i="3"/>
  <c r="AC1052" i="3"/>
  <c r="U1052" i="3"/>
  <c r="P1052" i="3"/>
  <c r="K1052" i="3"/>
  <c r="H1052" i="3"/>
  <c r="F1052" i="3"/>
  <c r="AE1051" i="3"/>
  <c r="AC1051" i="3"/>
  <c r="U1051" i="3"/>
  <c r="P1051" i="3"/>
  <c r="K1051" i="3"/>
  <c r="H1051" i="3"/>
  <c r="F1051" i="3"/>
  <c r="AE1050" i="3"/>
  <c r="AC1050" i="3"/>
  <c r="U1050" i="3"/>
  <c r="P1050" i="3"/>
  <c r="K1050" i="3"/>
  <c r="H1050" i="3"/>
  <c r="F1050" i="3"/>
  <c r="AE1049" i="3"/>
  <c r="AC1049" i="3"/>
  <c r="U1049" i="3"/>
  <c r="P1049" i="3"/>
  <c r="K1049" i="3"/>
  <c r="H1049" i="3"/>
  <c r="F1049" i="3"/>
  <c r="AE1048" i="3"/>
  <c r="AC1048" i="3"/>
  <c r="U1048" i="3"/>
  <c r="P1048" i="3"/>
  <c r="K1048" i="3"/>
  <c r="H1048" i="3"/>
  <c r="F1048" i="3"/>
  <c r="AE1047" i="3"/>
  <c r="AC1047" i="3"/>
  <c r="U1047" i="3"/>
  <c r="P1047" i="3"/>
  <c r="K1047" i="3"/>
  <c r="H1047" i="3"/>
  <c r="F1047" i="3"/>
  <c r="AE1046" i="3"/>
  <c r="AC1046" i="3"/>
  <c r="U1046" i="3"/>
  <c r="P1046" i="3"/>
  <c r="K1046" i="3"/>
  <c r="H1046" i="3"/>
  <c r="F1046" i="3"/>
  <c r="AE1045" i="3"/>
  <c r="AC1045" i="3"/>
  <c r="U1045" i="3"/>
  <c r="P1045" i="3"/>
  <c r="K1045" i="3"/>
  <c r="H1045" i="3"/>
  <c r="F1045" i="3"/>
  <c r="AE1044" i="3"/>
  <c r="AC1044" i="3"/>
  <c r="U1044" i="3"/>
  <c r="P1044" i="3"/>
  <c r="K1044" i="3"/>
  <c r="H1044" i="3"/>
  <c r="F1044" i="3"/>
  <c r="AE1043" i="3"/>
  <c r="AC1043" i="3"/>
  <c r="U1043" i="3"/>
  <c r="P1043" i="3"/>
  <c r="K1043" i="3"/>
  <c r="H1043" i="3"/>
  <c r="F1043" i="3"/>
  <c r="AE1042" i="3"/>
  <c r="AC1042" i="3"/>
  <c r="U1042" i="3"/>
  <c r="P1042" i="3"/>
  <c r="K1042" i="3"/>
  <c r="H1042" i="3"/>
  <c r="F1042" i="3"/>
  <c r="AE1041" i="3"/>
  <c r="AC1041" i="3"/>
  <c r="U1041" i="3"/>
  <c r="P1041" i="3"/>
  <c r="K1041" i="3"/>
  <c r="H1041" i="3"/>
  <c r="F1041" i="3"/>
  <c r="AE1040" i="3"/>
  <c r="AC1040" i="3"/>
  <c r="U1040" i="3"/>
  <c r="P1040" i="3"/>
  <c r="K1040" i="3"/>
  <c r="H1040" i="3"/>
  <c r="F1040" i="3"/>
  <c r="AE1039" i="3"/>
  <c r="AC1039" i="3"/>
  <c r="U1039" i="3"/>
  <c r="P1039" i="3"/>
  <c r="K1039" i="3"/>
  <c r="H1039" i="3"/>
  <c r="F1039" i="3"/>
  <c r="AE1038" i="3"/>
  <c r="AC1038" i="3"/>
  <c r="U1038" i="3"/>
  <c r="P1038" i="3"/>
  <c r="K1038" i="3"/>
  <c r="H1038" i="3"/>
  <c r="F1038" i="3"/>
  <c r="AE1037" i="3"/>
  <c r="AC1037" i="3"/>
  <c r="U1037" i="3"/>
  <c r="P1037" i="3"/>
  <c r="K1037" i="3"/>
  <c r="H1037" i="3"/>
  <c r="F1037" i="3"/>
  <c r="AE1036" i="3"/>
  <c r="AC1036" i="3"/>
  <c r="U1036" i="3"/>
  <c r="P1036" i="3"/>
  <c r="K1036" i="3"/>
  <c r="H1036" i="3"/>
  <c r="F1036" i="3"/>
  <c r="AE1035" i="3"/>
  <c r="AC1035" i="3"/>
  <c r="U1035" i="3"/>
  <c r="P1035" i="3"/>
  <c r="K1035" i="3"/>
  <c r="H1035" i="3"/>
  <c r="F1035" i="3"/>
  <c r="AE1034" i="3"/>
  <c r="AC1034" i="3"/>
  <c r="U1034" i="3"/>
  <c r="P1034" i="3"/>
  <c r="K1034" i="3"/>
  <c r="H1034" i="3"/>
  <c r="F1034" i="3"/>
  <c r="AE1033" i="3"/>
  <c r="AC1033" i="3"/>
  <c r="U1033" i="3"/>
  <c r="P1033" i="3"/>
  <c r="K1033" i="3"/>
  <c r="H1033" i="3"/>
  <c r="F1033" i="3"/>
  <c r="AE1032" i="3"/>
  <c r="AC1032" i="3"/>
  <c r="U1032" i="3"/>
  <c r="P1032" i="3"/>
  <c r="K1032" i="3"/>
  <c r="H1032" i="3"/>
  <c r="F1032" i="3"/>
  <c r="AE1031" i="3"/>
  <c r="AC1031" i="3"/>
  <c r="U1031" i="3"/>
  <c r="P1031" i="3"/>
  <c r="K1031" i="3"/>
  <c r="H1031" i="3"/>
  <c r="F1031" i="3"/>
  <c r="AE1030" i="3"/>
  <c r="AC1030" i="3"/>
  <c r="U1030" i="3"/>
  <c r="P1030" i="3"/>
  <c r="K1030" i="3"/>
  <c r="H1030" i="3"/>
  <c r="F1030" i="3"/>
  <c r="AE1029" i="3"/>
  <c r="AC1029" i="3"/>
  <c r="U1029" i="3"/>
  <c r="P1029" i="3"/>
  <c r="K1029" i="3"/>
  <c r="H1029" i="3"/>
  <c r="F1029" i="3"/>
  <c r="AE1028" i="3"/>
  <c r="AC1028" i="3"/>
  <c r="U1028" i="3"/>
  <c r="P1028" i="3"/>
  <c r="K1028" i="3"/>
  <c r="H1028" i="3"/>
  <c r="F1028" i="3"/>
  <c r="AE1027" i="3"/>
  <c r="AC1027" i="3"/>
  <c r="U1027" i="3"/>
  <c r="P1027" i="3"/>
  <c r="K1027" i="3"/>
  <c r="H1027" i="3"/>
  <c r="F1027" i="3"/>
  <c r="AE1026" i="3"/>
  <c r="AC1026" i="3"/>
  <c r="U1026" i="3"/>
  <c r="P1026" i="3"/>
  <c r="K1026" i="3"/>
  <c r="H1026" i="3"/>
  <c r="F1026" i="3"/>
  <c r="AE1025" i="3"/>
  <c r="AC1025" i="3"/>
  <c r="U1025" i="3"/>
  <c r="P1025" i="3"/>
  <c r="K1025" i="3"/>
  <c r="H1025" i="3"/>
  <c r="F1025" i="3"/>
  <c r="AE1024" i="3"/>
  <c r="AC1024" i="3"/>
  <c r="U1024" i="3"/>
  <c r="P1024" i="3"/>
  <c r="K1024" i="3"/>
  <c r="H1024" i="3"/>
  <c r="F1024" i="3"/>
  <c r="AE1023" i="3"/>
  <c r="AC1023" i="3"/>
  <c r="U1023" i="3"/>
  <c r="P1023" i="3"/>
  <c r="K1023" i="3"/>
  <c r="H1023" i="3"/>
  <c r="F1023" i="3"/>
  <c r="AE1022" i="3"/>
  <c r="AC1022" i="3"/>
  <c r="U1022" i="3"/>
  <c r="P1022" i="3"/>
  <c r="K1022" i="3"/>
  <c r="H1022" i="3"/>
  <c r="F1022" i="3"/>
  <c r="AE1021" i="3"/>
  <c r="AC1021" i="3"/>
  <c r="U1021" i="3"/>
  <c r="P1021" i="3"/>
  <c r="K1021" i="3"/>
  <c r="H1021" i="3"/>
  <c r="F1021" i="3"/>
  <c r="AE1020" i="3"/>
  <c r="AC1020" i="3"/>
  <c r="U1020" i="3"/>
  <c r="P1020" i="3"/>
  <c r="K1020" i="3"/>
  <c r="H1020" i="3"/>
  <c r="F1020" i="3"/>
  <c r="AE1019" i="3"/>
  <c r="AC1019" i="3"/>
  <c r="U1019" i="3"/>
  <c r="P1019" i="3"/>
  <c r="K1019" i="3"/>
  <c r="H1019" i="3"/>
  <c r="F1019" i="3"/>
  <c r="AE1018" i="3"/>
  <c r="AC1018" i="3"/>
  <c r="U1018" i="3"/>
  <c r="P1018" i="3"/>
  <c r="K1018" i="3"/>
  <c r="H1018" i="3"/>
  <c r="F1018" i="3"/>
  <c r="AE1017" i="3"/>
  <c r="AC1017" i="3"/>
  <c r="U1017" i="3"/>
  <c r="P1017" i="3"/>
  <c r="K1017" i="3"/>
  <c r="H1017" i="3"/>
  <c r="F1017" i="3"/>
  <c r="AE1016" i="3"/>
  <c r="AC1016" i="3"/>
  <c r="U1016" i="3"/>
  <c r="P1016" i="3"/>
  <c r="K1016" i="3"/>
  <c r="H1016" i="3"/>
  <c r="F1016" i="3"/>
  <c r="AE1015" i="3"/>
  <c r="AC1015" i="3"/>
  <c r="U1015" i="3"/>
  <c r="P1015" i="3"/>
  <c r="K1015" i="3"/>
  <c r="H1015" i="3"/>
  <c r="F1015" i="3"/>
  <c r="AE1014" i="3"/>
  <c r="AC1014" i="3"/>
  <c r="U1014" i="3"/>
  <c r="P1014" i="3"/>
  <c r="K1014" i="3"/>
  <c r="H1014" i="3"/>
  <c r="F1014" i="3"/>
  <c r="AE1013" i="3"/>
  <c r="AC1013" i="3"/>
  <c r="U1013" i="3"/>
  <c r="P1013" i="3"/>
  <c r="K1013" i="3"/>
  <c r="H1013" i="3"/>
  <c r="F1013" i="3"/>
  <c r="AE1012" i="3"/>
  <c r="AC1012" i="3"/>
  <c r="U1012" i="3"/>
  <c r="P1012" i="3"/>
  <c r="K1012" i="3"/>
  <c r="H1012" i="3"/>
  <c r="F1012" i="3"/>
  <c r="AE1011" i="3"/>
  <c r="AC1011" i="3"/>
  <c r="U1011" i="3"/>
  <c r="P1011" i="3"/>
  <c r="K1011" i="3"/>
  <c r="H1011" i="3"/>
  <c r="F1011" i="3"/>
  <c r="AE1010" i="3"/>
  <c r="AC1010" i="3"/>
  <c r="U1010" i="3"/>
  <c r="P1010" i="3"/>
  <c r="K1010" i="3"/>
  <c r="H1010" i="3"/>
  <c r="F1010" i="3"/>
  <c r="AE1009" i="3"/>
  <c r="AC1009" i="3"/>
  <c r="U1009" i="3"/>
  <c r="P1009" i="3"/>
  <c r="K1009" i="3"/>
  <c r="H1009" i="3"/>
  <c r="F1009" i="3"/>
  <c r="AE1008" i="3"/>
  <c r="AC1008" i="3"/>
  <c r="U1008" i="3"/>
  <c r="P1008" i="3"/>
  <c r="K1008" i="3"/>
  <c r="H1008" i="3"/>
  <c r="F1008" i="3"/>
  <c r="AE1007" i="3"/>
  <c r="AC1007" i="3"/>
  <c r="U1007" i="3"/>
  <c r="P1007" i="3"/>
  <c r="K1007" i="3"/>
  <c r="H1007" i="3"/>
  <c r="F1007" i="3"/>
  <c r="AE1006" i="3"/>
  <c r="AC1006" i="3"/>
  <c r="U1006" i="3"/>
  <c r="P1006" i="3"/>
  <c r="K1006" i="3"/>
  <c r="H1006" i="3"/>
  <c r="F1006" i="3"/>
  <c r="U1005" i="3"/>
  <c r="P1005" i="3"/>
  <c r="K1005" i="3"/>
  <c r="H1005" i="3"/>
  <c r="F1005" i="3"/>
  <c r="AE1004" i="3"/>
  <c r="AC1004" i="3"/>
  <c r="U1004" i="3"/>
  <c r="P1004" i="3"/>
  <c r="V1004" i="3" s="1"/>
  <c r="K1004" i="3"/>
  <c r="H1004" i="3"/>
  <c r="F1004" i="3"/>
  <c r="AE1003" i="3"/>
  <c r="AC1003" i="3"/>
  <c r="U1003" i="3"/>
  <c r="P1003" i="3"/>
  <c r="K1003" i="3"/>
  <c r="H1003" i="3"/>
  <c r="F1003" i="3"/>
  <c r="AE1002" i="3"/>
  <c r="AC1002" i="3"/>
  <c r="U1002" i="3"/>
  <c r="P1002" i="3"/>
  <c r="K1002" i="3"/>
  <c r="H1002" i="3"/>
  <c r="F1002" i="3"/>
  <c r="AE1001" i="3"/>
  <c r="AC1001" i="3"/>
  <c r="U1001" i="3"/>
  <c r="P1001" i="3"/>
  <c r="K1001" i="3"/>
  <c r="H1001" i="3"/>
  <c r="F1001" i="3"/>
  <c r="AE1000" i="3"/>
  <c r="AC1000" i="3"/>
  <c r="U1000" i="3"/>
  <c r="P1000" i="3"/>
  <c r="K1000" i="3"/>
  <c r="H1000" i="3"/>
  <c r="F1000" i="3"/>
  <c r="AE999" i="3"/>
  <c r="AC999" i="3"/>
  <c r="U999" i="3"/>
  <c r="P999" i="3"/>
  <c r="V999" i="3" s="1"/>
  <c r="K999" i="3"/>
  <c r="H999" i="3"/>
  <c r="F999" i="3"/>
  <c r="AE998" i="3"/>
  <c r="AC998" i="3"/>
  <c r="U998" i="3"/>
  <c r="P998" i="3"/>
  <c r="K998" i="3"/>
  <c r="H998" i="3"/>
  <c r="F998" i="3"/>
  <c r="AE997" i="3"/>
  <c r="AC997" i="3"/>
  <c r="U997" i="3"/>
  <c r="P997" i="3"/>
  <c r="K997" i="3"/>
  <c r="H997" i="3"/>
  <c r="F997" i="3"/>
  <c r="AE996" i="3"/>
  <c r="AC996" i="3"/>
  <c r="U996" i="3"/>
  <c r="P996" i="3"/>
  <c r="V996" i="3" s="1"/>
  <c r="K996" i="3"/>
  <c r="H996" i="3"/>
  <c r="F996" i="3"/>
  <c r="AE995" i="3"/>
  <c r="AC995" i="3"/>
  <c r="U995" i="3"/>
  <c r="P995" i="3"/>
  <c r="K995" i="3"/>
  <c r="H995" i="3"/>
  <c r="F995" i="3"/>
  <c r="AE994" i="3"/>
  <c r="AC994" i="3"/>
  <c r="U994" i="3"/>
  <c r="P994" i="3"/>
  <c r="K994" i="3"/>
  <c r="H994" i="3"/>
  <c r="F994" i="3"/>
  <c r="AE993" i="3"/>
  <c r="AC993" i="3"/>
  <c r="U993" i="3"/>
  <c r="P993" i="3"/>
  <c r="K993" i="3"/>
  <c r="H993" i="3"/>
  <c r="F993" i="3"/>
  <c r="AE992" i="3"/>
  <c r="AC992" i="3"/>
  <c r="U992" i="3"/>
  <c r="P992" i="3"/>
  <c r="K992" i="3"/>
  <c r="H992" i="3"/>
  <c r="F992" i="3"/>
  <c r="AE991" i="3"/>
  <c r="AC991" i="3"/>
  <c r="U991" i="3"/>
  <c r="P991" i="3"/>
  <c r="V991" i="3" s="1"/>
  <c r="K991" i="3"/>
  <c r="H991" i="3"/>
  <c r="F991" i="3"/>
  <c r="AE990" i="3"/>
  <c r="AC990" i="3"/>
  <c r="U990" i="3"/>
  <c r="P990" i="3"/>
  <c r="K990" i="3"/>
  <c r="H990" i="3"/>
  <c r="F990" i="3"/>
  <c r="AE989" i="3"/>
  <c r="AC989" i="3"/>
  <c r="U989" i="3"/>
  <c r="P989" i="3"/>
  <c r="K989" i="3"/>
  <c r="H989" i="3"/>
  <c r="F989" i="3"/>
  <c r="AE988" i="3"/>
  <c r="AC988" i="3"/>
  <c r="U988" i="3"/>
  <c r="P988" i="3"/>
  <c r="V988" i="3" s="1"/>
  <c r="K988" i="3"/>
  <c r="H988" i="3"/>
  <c r="F988" i="3"/>
  <c r="AE987" i="3"/>
  <c r="AC987" i="3"/>
  <c r="U987" i="3"/>
  <c r="P987" i="3"/>
  <c r="K987" i="3"/>
  <c r="H987" i="3"/>
  <c r="F987" i="3"/>
  <c r="AE986" i="3"/>
  <c r="AC986" i="3"/>
  <c r="U986" i="3"/>
  <c r="P986" i="3"/>
  <c r="K986" i="3"/>
  <c r="H986" i="3"/>
  <c r="F986" i="3"/>
  <c r="AE985" i="3"/>
  <c r="AC985" i="3"/>
  <c r="U985" i="3"/>
  <c r="P985" i="3"/>
  <c r="K985" i="3"/>
  <c r="H985" i="3"/>
  <c r="F985" i="3"/>
  <c r="AE984" i="3"/>
  <c r="AC984" i="3"/>
  <c r="U984" i="3"/>
  <c r="P984" i="3"/>
  <c r="K984" i="3"/>
  <c r="H984" i="3"/>
  <c r="AE983" i="3"/>
  <c r="AC983" i="3"/>
  <c r="U983" i="3"/>
  <c r="P983" i="3"/>
  <c r="K983" i="3"/>
  <c r="H983" i="3"/>
  <c r="F983" i="3"/>
  <c r="AE982" i="3"/>
  <c r="AC982" i="3"/>
  <c r="U982" i="3"/>
  <c r="P982" i="3"/>
  <c r="K982" i="3"/>
  <c r="H982" i="3"/>
  <c r="F982" i="3"/>
  <c r="AE981" i="3"/>
  <c r="AC981" i="3"/>
  <c r="U981" i="3"/>
  <c r="P981" i="3"/>
  <c r="K981" i="3"/>
  <c r="H981" i="3"/>
  <c r="F981" i="3"/>
  <c r="AE980" i="3"/>
  <c r="AC980" i="3"/>
  <c r="U980" i="3"/>
  <c r="P980" i="3"/>
  <c r="K980" i="3"/>
  <c r="H980" i="3"/>
  <c r="F980" i="3"/>
  <c r="AE979" i="3"/>
  <c r="AC979" i="3"/>
  <c r="U979" i="3"/>
  <c r="P979" i="3"/>
  <c r="K979" i="3"/>
  <c r="H979" i="3"/>
  <c r="F979" i="3"/>
  <c r="AE978" i="3"/>
  <c r="AC978" i="3"/>
  <c r="U978" i="3"/>
  <c r="P978" i="3"/>
  <c r="K978" i="3"/>
  <c r="H978" i="3"/>
  <c r="F978" i="3"/>
  <c r="AE977" i="3"/>
  <c r="AC977" i="3"/>
  <c r="U977" i="3"/>
  <c r="P977" i="3"/>
  <c r="K977" i="3"/>
  <c r="H977" i="3"/>
  <c r="F977" i="3"/>
  <c r="AE976" i="3"/>
  <c r="AC976" i="3"/>
  <c r="U976" i="3"/>
  <c r="P976" i="3"/>
  <c r="K976" i="3"/>
  <c r="H976" i="3"/>
  <c r="F976" i="3"/>
  <c r="AE975" i="3"/>
  <c r="AC975" i="3"/>
  <c r="U975" i="3"/>
  <c r="P975" i="3"/>
  <c r="K975" i="3"/>
  <c r="H975" i="3"/>
  <c r="F975" i="3"/>
  <c r="AE974" i="3"/>
  <c r="AC974" i="3"/>
  <c r="U974" i="3"/>
  <c r="P974" i="3"/>
  <c r="K974" i="3"/>
  <c r="H974" i="3"/>
  <c r="F974" i="3"/>
  <c r="AE973" i="3"/>
  <c r="AC973" i="3"/>
  <c r="U973" i="3"/>
  <c r="P973" i="3"/>
  <c r="K973" i="3"/>
  <c r="H973" i="3"/>
  <c r="F973" i="3"/>
  <c r="AE972" i="3"/>
  <c r="AC972" i="3"/>
  <c r="U972" i="3"/>
  <c r="P972" i="3"/>
  <c r="K972" i="3"/>
  <c r="H972" i="3"/>
  <c r="F972" i="3"/>
  <c r="AE971" i="3"/>
  <c r="AC971" i="3"/>
  <c r="U971" i="3"/>
  <c r="P971" i="3"/>
  <c r="K971" i="3"/>
  <c r="H971" i="3"/>
  <c r="F971" i="3"/>
  <c r="AE970" i="3"/>
  <c r="AC970" i="3"/>
  <c r="U970" i="3"/>
  <c r="P970" i="3"/>
  <c r="K970" i="3"/>
  <c r="H970" i="3"/>
  <c r="F970" i="3"/>
  <c r="AE969" i="3"/>
  <c r="AC969" i="3"/>
  <c r="U969" i="3"/>
  <c r="P969" i="3"/>
  <c r="K969" i="3"/>
  <c r="H969" i="3"/>
  <c r="F969" i="3"/>
  <c r="AE968" i="3"/>
  <c r="AC968" i="3"/>
  <c r="U968" i="3"/>
  <c r="P968" i="3"/>
  <c r="K968" i="3"/>
  <c r="H968" i="3"/>
  <c r="F968" i="3"/>
  <c r="AE967" i="3"/>
  <c r="AC967" i="3"/>
  <c r="U967" i="3"/>
  <c r="P967" i="3"/>
  <c r="K967" i="3"/>
  <c r="H967" i="3"/>
  <c r="F967" i="3"/>
  <c r="AE966" i="3"/>
  <c r="AC966" i="3"/>
  <c r="U966" i="3"/>
  <c r="P966" i="3"/>
  <c r="K966" i="3"/>
  <c r="H966" i="3"/>
  <c r="F966" i="3"/>
  <c r="AE965" i="3"/>
  <c r="AC965" i="3"/>
  <c r="U965" i="3"/>
  <c r="P965" i="3"/>
  <c r="K965" i="3"/>
  <c r="H965" i="3"/>
  <c r="F965" i="3"/>
  <c r="AE964" i="3"/>
  <c r="AC964" i="3"/>
  <c r="U964" i="3"/>
  <c r="P964" i="3"/>
  <c r="K964" i="3"/>
  <c r="H964" i="3"/>
  <c r="F964" i="3"/>
  <c r="AE963" i="3"/>
  <c r="AC963" i="3"/>
  <c r="U963" i="3"/>
  <c r="P963" i="3"/>
  <c r="K963" i="3"/>
  <c r="H963" i="3"/>
  <c r="F963" i="3"/>
  <c r="AE962" i="3"/>
  <c r="AC962" i="3"/>
  <c r="U962" i="3"/>
  <c r="P962" i="3"/>
  <c r="K962" i="3"/>
  <c r="H962" i="3"/>
  <c r="F962" i="3"/>
  <c r="AE961" i="3"/>
  <c r="AC961" i="3"/>
  <c r="U961" i="3"/>
  <c r="P961" i="3"/>
  <c r="K961" i="3"/>
  <c r="H961" i="3"/>
  <c r="F961" i="3"/>
  <c r="AE960" i="3"/>
  <c r="AC960" i="3"/>
  <c r="U960" i="3"/>
  <c r="P960" i="3"/>
  <c r="K960" i="3"/>
  <c r="H960" i="3"/>
  <c r="F960" i="3"/>
  <c r="AE959" i="3"/>
  <c r="AC959" i="3"/>
  <c r="U959" i="3"/>
  <c r="P959" i="3"/>
  <c r="K959" i="3"/>
  <c r="H959" i="3"/>
  <c r="F959" i="3"/>
  <c r="AE958" i="3"/>
  <c r="AC958" i="3"/>
  <c r="U958" i="3"/>
  <c r="P958" i="3"/>
  <c r="K958" i="3"/>
  <c r="H958" i="3"/>
  <c r="F958" i="3"/>
  <c r="AE957" i="3"/>
  <c r="AC957" i="3"/>
  <c r="U957" i="3"/>
  <c r="P957" i="3"/>
  <c r="K957" i="3"/>
  <c r="H957" i="3"/>
  <c r="F957" i="3"/>
  <c r="AE956" i="3"/>
  <c r="AC956" i="3"/>
  <c r="U956" i="3"/>
  <c r="P956" i="3"/>
  <c r="K956" i="3"/>
  <c r="H956" i="3"/>
  <c r="F956" i="3"/>
  <c r="AE955" i="3"/>
  <c r="AC955" i="3"/>
  <c r="U955" i="3"/>
  <c r="P955" i="3"/>
  <c r="K955" i="3"/>
  <c r="H955" i="3"/>
  <c r="F955" i="3"/>
  <c r="AE954" i="3"/>
  <c r="AC954" i="3"/>
  <c r="U954" i="3"/>
  <c r="P954" i="3"/>
  <c r="K954" i="3"/>
  <c r="H954" i="3"/>
  <c r="F954" i="3"/>
  <c r="AE953" i="3"/>
  <c r="AC953" i="3"/>
  <c r="U953" i="3"/>
  <c r="P953" i="3"/>
  <c r="K953" i="3"/>
  <c r="H953" i="3"/>
  <c r="F953" i="3"/>
  <c r="AE952" i="3"/>
  <c r="AC952" i="3"/>
  <c r="U952" i="3"/>
  <c r="P952" i="3"/>
  <c r="K952" i="3"/>
  <c r="H952" i="3"/>
  <c r="F952" i="3"/>
  <c r="AE951" i="3"/>
  <c r="AC951" i="3"/>
  <c r="U951" i="3"/>
  <c r="P951" i="3"/>
  <c r="K951" i="3"/>
  <c r="H951" i="3"/>
  <c r="F951" i="3"/>
  <c r="AE950" i="3"/>
  <c r="AC950" i="3"/>
  <c r="U950" i="3"/>
  <c r="P950" i="3"/>
  <c r="K950" i="3"/>
  <c r="H950" i="3"/>
  <c r="F950" i="3"/>
  <c r="AE949" i="3"/>
  <c r="AC949" i="3"/>
  <c r="U949" i="3"/>
  <c r="P949" i="3"/>
  <c r="K949" i="3"/>
  <c r="H949" i="3"/>
  <c r="F949" i="3"/>
  <c r="AE948" i="3"/>
  <c r="AC948" i="3"/>
  <c r="U948" i="3"/>
  <c r="P948" i="3"/>
  <c r="K948" i="3"/>
  <c r="H948" i="3"/>
  <c r="F948" i="3"/>
  <c r="AE947" i="3"/>
  <c r="AC947" i="3"/>
  <c r="U947" i="3"/>
  <c r="P947" i="3"/>
  <c r="K947" i="3"/>
  <c r="H947" i="3"/>
  <c r="F947" i="3"/>
  <c r="AE946" i="3"/>
  <c r="AC946" i="3"/>
  <c r="U946" i="3"/>
  <c r="P946" i="3"/>
  <c r="K946" i="3"/>
  <c r="H946" i="3"/>
  <c r="F946" i="3"/>
  <c r="AE945" i="3"/>
  <c r="AC945" i="3"/>
  <c r="U945" i="3"/>
  <c r="P945" i="3"/>
  <c r="K945" i="3"/>
  <c r="H945" i="3"/>
  <c r="F945" i="3"/>
  <c r="AE944" i="3"/>
  <c r="AC944" i="3"/>
  <c r="U944" i="3"/>
  <c r="P944" i="3"/>
  <c r="K944" i="3"/>
  <c r="H944" i="3"/>
  <c r="F944" i="3"/>
  <c r="AE943" i="3"/>
  <c r="AC943" i="3"/>
  <c r="U943" i="3"/>
  <c r="P943" i="3"/>
  <c r="K943" i="3"/>
  <c r="H943" i="3"/>
  <c r="F943" i="3"/>
  <c r="AE942" i="3"/>
  <c r="AC942" i="3"/>
  <c r="U942" i="3"/>
  <c r="P942" i="3"/>
  <c r="K942" i="3"/>
  <c r="H942" i="3"/>
  <c r="F942" i="3"/>
  <c r="AE941" i="3"/>
  <c r="AC941" i="3"/>
  <c r="U941" i="3"/>
  <c r="P941" i="3"/>
  <c r="K941" i="3"/>
  <c r="H941" i="3"/>
  <c r="F941" i="3"/>
  <c r="AE940" i="3"/>
  <c r="AC940" i="3"/>
  <c r="U940" i="3"/>
  <c r="P940" i="3"/>
  <c r="K940" i="3"/>
  <c r="H940" i="3"/>
  <c r="F940" i="3"/>
  <c r="AE939" i="3"/>
  <c r="AC939" i="3"/>
  <c r="U939" i="3"/>
  <c r="P939" i="3"/>
  <c r="K939" i="3"/>
  <c r="H939" i="3"/>
  <c r="F939" i="3"/>
  <c r="AE938" i="3"/>
  <c r="AC938" i="3"/>
  <c r="U938" i="3"/>
  <c r="P938" i="3"/>
  <c r="K938" i="3"/>
  <c r="H938" i="3"/>
  <c r="F938" i="3"/>
  <c r="AE937" i="3"/>
  <c r="AC937" i="3"/>
  <c r="U937" i="3"/>
  <c r="P937" i="3"/>
  <c r="K937" i="3"/>
  <c r="H937" i="3"/>
  <c r="F937" i="3"/>
  <c r="AE936" i="3"/>
  <c r="AC936" i="3"/>
  <c r="U936" i="3"/>
  <c r="P936" i="3"/>
  <c r="K936" i="3"/>
  <c r="H936" i="3"/>
  <c r="F936" i="3"/>
  <c r="AE935" i="3"/>
  <c r="AC935" i="3"/>
  <c r="U935" i="3"/>
  <c r="P935" i="3"/>
  <c r="K935" i="3"/>
  <c r="H935" i="3"/>
  <c r="F935" i="3"/>
  <c r="AE934" i="3"/>
  <c r="AC934" i="3"/>
  <c r="U934" i="3"/>
  <c r="P934" i="3"/>
  <c r="K934" i="3"/>
  <c r="H934" i="3"/>
  <c r="F934" i="3"/>
  <c r="AE933" i="3"/>
  <c r="AC933" i="3"/>
  <c r="U933" i="3"/>
  <c r="P933" i="3"/>
  <c r="K933" i="3"/>
  <c r="H933" i="3"/>
  <c r="F933" i="3"/>
  <c r="AE932" i="3"/>
  <c r="AC932" i="3"/>
  <c r="U932" i="3"/>
  <c r="P932" i="3"/>
  <c r="K932" i="3"/>
  <c r="H932" i="3"/>
  <c r="F932" i="3"/>
  <c r="AE931" i="3"/>
  <c r="AC931" i="3"/>
  <c r="U931" i="3"/>
  <c r="P931" i="3"/>
  <c r="K931" i="3"/>
  <c r="H931" i="3"/>
  <c r="F931" i="3"/>
  <c r="AE930" i="3"/>
  <c r="AC930" i="3"/>
  <c r="U930" i="3"/>
  <c r="P930" i="3"/>
  <c r="K930" i="3"/>
  <c r="H930" i="3"/>
  <c r="F930" i="3"/>
  <c r="AE929" i="3"/>
  <c r="AC929" i="3"/>
  <c r="U929" i="3"/>
  <c r="P929" i="3"/>
  <c r="K929" i="3"/>
  <c r="H929" i="3"/>
  <c r="F929" i="3"/>
  <c r="AE928" i="3"/>
  <c r="AC928" i="3"/>
  <c r="U928" i="3"/>
  <c r="P928" i="3"/>
  <c r="K928" i="3"/>
  <c r="H928" i="3"/>
  <c r="F928" i="3"/>
  <c r="AE927" i="3"/>
  <c r="AC927" i="3"/>
  <c r="U927" i="3"/>
  <c r="P927" i="3"/>
  <c r="K927" i="3"/>
  <c r="H927" i="3"/>
  <c r="F927" i="3"/>
  <c r="AE926" i="3"/>
  <c r="AC926" i="3"/>
  <c r="U926" i="3"/>
  <c r="P926" i="3"/>
  <c r="K926" i="3"/>
  <c r="H926" i="3"/>
  <c r="F926" i="3"/>
  <c r="AE925" i="3"/>
  <c r="AC925" i="3"/>
  <c r="U925" i="3"/>
  <c r="P925" i="3"/>
  <c r="K925" i="3"/>
  <c r="H925" i="3"/>
  <c r="F925" i="3"/>
  <c r="AE924" i="3"/>
  <c r="AC924" i="3"/>
  <c r="U924" i="3"/>
  <c r="P924" i="3"/>
  <c r="K924" i="3"/>
  <c r="H924" i="3"/>
  <c r="F924" i="3"/>
  <c r="AE923" i="3"/>
  <c r="AC923" i="3"/>
  <c r="U923" i="3"/>
  <c r="P923" i="3"/>
  <c r="K923" i="3"/>
  <c r="H923" i="3"/>
  <c r="F923" i="3"/>
  <c r="AE922" i="3"/>
  <c r="AC922" i="3"/>
  <c r="U922" i="3"/>
  <c r="P922" i="3"/>
  <c r="K922" i="3"/>
  <c r="H922" i="3"/>
  <c r="F922" i="3"/>
  <c r="AE921" i="3"/>
  <c r="AC921" i="3"/>
  <c r="U921" i="3"/>
  <c r="P921" i="3"/>
  <c r="K921" i="3"/>
  <c r="H921" i="3"/>
  <c r="F921" i="3"/>
  <c r="AE920" i="3"/>
  <c r="AC920" i="3"/>
  <c r="U920" i="3"/>
  <c r="P920" i="3"/>
  <c r="K920" i="3"/>
  <c r="H920" i="3"/>
  <c r="F920" i="3"/>
  <c r="AE919" i="3"/>
  <c r="AC919" i="3"/>
  <c r="U919" i="3"/>
  <c r="P919" i="3"/>
  <c r="K919" i="3"/>
  <c r="H919" i="3"/>
  <c r="F919" i="3"/>
  <c r="AE918" i="3"/>
  <c r="U918" i="3"/>
  <c r="P918" i="3"/>
  <c r="K918" i="3"/>
  <c r="H918" i="3"/>
  <c r="F918" i="3"/>
  <c r="AE917" i="3"/>
  <c r="AC917" i="3"/>
  <c r="U917" i="3"/>
  <c r="P917" i="3"/>
  <c r="K917" i="3"/>
  <c r="H917" i="3"/>
  <c r="F917" i="3"/>
  <c r="AE916" i="3"/>
  <c r="AC916" i="3"/>
  <c r="U916" i="3"/>
  <c r="P916" i="3"/>
  <c r="K916" i="3"/>
  <c r="H916" i="3"/>
  <c r="F916" i="3"/>
  <c r="AE915" i="3"/>
  <c r="AC915" i="3"/>
  <c r="U915" i="3"/>
  <c r="P915" i="3"/>
  <c r="K915" i="3"/>
  <c r="H915" i="3"/>
  <c r="F915" i="3"/>
  <c r="AE914" i="3"/>
  <c r="AC914" i="3"/>
  <c r="U914" i="3"/>
  <c r="P914" i="3"/>
  <c r="K914" i="3"/>
  <c r="H914" i="3"/>
  <c r="F914" i="3"/>
  <c r="AE913" i="3"/>
  <c r="AC913" i="3"/>
  <c r="U913" i="3"/>
  <c r="P913" i="3"/>
  <c r="K913" i="3"/>
  <c r="H913" i="3"/>
  <c r="F913" i="3"/>
  <c r="AE912" i="3"/>
  <c r="AC912" i="3"/>
  <c r="U912" i="3"/>
  <c r="P912" i="3"/>
  <c r="K912" i="3"/>
  <c r="H912" i="3"/>
  <c r="F912" i="3"/>
  <c r="AE911" i="3"/>
  <c r="AC911" i="3"/>
  <c r="U911" i="3"/>
  <c r="P911" i="3"/>
  <c r="K911" i="3"/>
  <c r="H911" i="3"/>
  <c r="F911" i="3"/>
  <c r="AE910" i="3"/>
  <c r="AC910" i="3"/>
  <c r="U910" i="3"/>
  <c r="P910" i="3"/>
  <c r="K910" i="3"/>
  <c r="H910" i="3"/>
  <c r="F910" i="3"/>
  <c r="AE909" i="3"/>
  <c r="AC909" i="3"/>
  <c r="U909" i="3"/>
  <c r="P909" i="3"/>
  <c r="K909" i="3"/>
  <c r="H909" i="3"/>
  <c r="F909" i="3"/>
  <c r="AE908" i="3"/>
  <c r="AC908" i="3"/>
  <c r="U908" i="3"/>
  <c r="P908" i="3"/>
  <c r="K908" i="3"/>
  <c r="H908" i="3"/>
  <c r="F908" i="3"/>
  <c r="AE907" i="3"/>
  <c r="AC907" i="3"/>
  <c r="U907" i="3"/>
  <c r="P907" i="3"/>
  <c r="K907" i="3"/>
  <c r="H907" i="3"/>
  <c r="F907" i="3"/>
  <c r="AE906" i="3"/>
  <c r="AC906" i="3"/>
  <c r="U906" i="3"/>
  <c r="P906" i="3"/>
  <c r="K906" i="3"/>
  <c r="H906" i="3"/>
  <c r="F906" i="3"/>
  <c r="AE905" i="3"/>
  <c r="AC905" i="3"/>
  <c r="U905" i="3"/>
  <c r="P905" i="3"/>
  <c r="K905" i="3"/>
  <c r="H905" i="3"/>
  <c r="F905" i="3"/>
  <c r="AE904" i="3"/>
  <c r="AC904" i="3"/>
  <c r="U904" i="3"/>
  <c r="P904" i="3"/>
  <c r="K904" i="3"/>
  <c r="H904" i="3"/>
  <c r="F904" i="3"/>
  <c r="AE903" i="3"/>
  <c r="AC903" i="3"/>
  <c r="U903" i="3"/>
  <c r="P903" i="3"/>
  <c r="K903" i="3"/>
  <c r="H903" i="3"/>
  <c r="F903" i="3"/>
  <c r="AE902" i="3"/>
  <c r="AC902" i="3"/>
  <c r="U902" i="3"/>
  <c r="P902" i="3"/>
  <c r="K902" i="3"/>
  <c r="H902" i="3"/>
  <c r="F902" i="3"/>
  <c r="AE901" i="3"/>
  <c r="AC901" i="3"/>
  <c r="U901" i="3"/>
  <c r="P901" i="3"/>
  <c r="K901" i="3"/>
  <c r="H901" i="3"/>
  <c r="F901" i="3"/>
  <c r="AE900" i="3"/>
  <c r="AC900" i="3"/>
  <c r="U900" i="3"/>
  <c r="P900" i="3"/>
  <c r="K900" i="3"/>
  <c r="H900" i="3"/>
  <c r="F900" i="3"/>
  <c r="AE899" i="3"/>
  <c r="AC899" i="3"/>
  <c r="U899" i="3"/>
  <c r="P899" i="3"/>
  <c r="K899" i="3"/>
  <c r="H899" i="3"/>
  <c r="F899" i="3"/>
  <c r="AE898" i="3"/>
  <c r="AC898" i="3"/>
  <c r="U898" i="3"/>
  <c r="P898" i="3"/>
  <c r="K898" i="3"/>
  <c r="H898" i="3"/>
  <c r="F898" i="3"/>
  <c r="AE897" i="3"/>
  <c r="AC897" i="3"/>
  <c r="U897" i="3"/>
  <c r="P897" i="3"/>
  <c r="K897" i="3"/>
  <c r="H897" i="3"/>
  <c r="F897" i="3"/>
  <c r="AE896" i="3"/>
  <c r="AC896" i="3"/>
  <c r="U896" i="3"/>
  <c r="P896" i="3"/>
  <c r="K896" i="3"/>
  <c r="H896" i="3"/>
  <c r="F896" i="3"/>
  <c r="AE895" i="3"/>
  <c r="AC895" i="3"/>
  <c r="U895" i="3"/>
  <c r="P895" i="3"/>
  <c r="K895" i="3"/>
  <c r="H895" i="3"/>
  <c r="F895" i="3"/>
  <c r="AE894" i="3"/>
  <c r="AC894" i="3"/>
  <c r="U894" i="3"/>
  <c r="P894" i="3"/>
  <c r="K894" i="3"/>
  <c r="H894" i="3"/>
  <c r="F894" i="3"/>
  <c r="AE893" i="3"/>
  <c r="AC893" i="3"/>
  <c r="U893" i="3"/>
  <c r="P893" i="3"/>
  <c r="K893" i="3"/>
  <c r="H893" i="3"/>
  <c r="F893" i="3"/>
  <c r="AE892" i="3"/>
  <c r="AC892" i="3"/>
  <c r="U892" i="3"/>
  <c r="P892" i="3"/>
  <c r="K892" i="3"/>
  <c r="H892" i="3"/>
  <c r="F892" i="3"/>
  <c r="AE891" i="3"/>
  <c r="AC891" i="3"/>
  <c r="U891" i="3"/>
  <c r="P891" i="3"/>
  <c r="K891" i="3"/>
  <c r="H891" i="3"/>
  <c r="F891" i="3"/>
  <c r="AE890" i="3"/>
  <c r="AC890" i="3"/>
  <c r="U890" i="3"/>
  <c r="P890" i="3"/>
  <c r="K890" i="3"/>
  <c r="H890" i="3"/>
  <c r="F890" i="3"/>
  <c r="AE889" i="3"/>
  <c r="AC889" i="3"/>
  <c r="U889" i="3"/>
  <c r="P889" i="3"/>
  <c r="K889" i="3"/>
  <c r="H889" i="3"/>
  <c r="F889" i="3"/>
  <c r="AE888" i="3"/>
  <c r="AC888" i="3"/>
  <c r="U888" i="3"/>
  <c r="P888" i="3"/>
  <c r="K888" i="3"/>
  <c r="H888" i="3"/>
  <c r="F888" i="3"/>
  <c r="AE887" i="3"/>
  <c r="AC887" i="3"/>
  <c r="U887" i="3"/>
  <c r="P887" i="3"/>
  <c r="K887" i="3"/>
  <c r="H887" i="3"/>
  <c r="F887" i="3"/>
  <c r="AE886" i="3"/>
  <c r="AC886" i="3"/>
  <c r="U886" i="3"/>
  <c r="P886" i="3"/>
  <c r="K886" i="3"/>
  <c r="H886" i="3"/>
  <c r="F886" i="3"/>
  <c r="AE885" i="3"/>
  <c r="AC885" i="3"/>
  <c r="U885" i="3"/>
  <c r="P885" i="3"/>
  <c r="K885" i="3"/>
  <c r="H885" i="3"/>
  <c r="F885" i="3"/>
  <c r="AE884" i="3"/>
  <c r="AC884" i="3"/>
  <c r="U884" i="3"/>
  <c r="P884" i="3"/>
  <c r="K884" i="3"/>
  <c r="H884" i="3"/>
  <c r="F884" i="3"/>
  <c r="AE883" i="3"/>
  <c r="AC883" i="3"/>
  <c r="U883" i="3"/>
  <c r="P883" i="3"/>
  <c r="K883" i="3"/>
  <c r="H883" i="3"/>
  <c r="F883" i="3"/>
  <c r="AE882" i="3"/>
  <c r="AC882" i="3"/>
  <c r="U882" i="3"/>
  <c r="P882" i="3"/>
  <c r="K882" i="3"/>
  <c r="H882" i="3"/>
  <c r="F882" i="3"/>
  <c r="AE881" i="3"/>
  <c r="AC881" i="3"/>
  <c r="U881" i="3"/>
  <c r="P881" i="3"/>
  <c r="K881" i="3"/>
  <c r="H881" i="3"/>
  <c r="F881" i="3"/>
  <c r="AE880" i="3"/>
  <c r="U880" i="3"/>
  <c r="P880" i="3"/>
  <c r="K880" i="3"/>
  <c r="H880" i="3"/>
  <c r="F880" i="3"/>
  <c r="AE879" i="3"/>
  <c r="AC879" i="3"/>
  <c r="U879" i="3"/>
  <c r="P879" i="3"/>
  <c r="V879" i="3" s="1"/>
  <c r="K879" i="3"/>
  <c r="H879" i="3"/>
  <c r="F879" i="3"/>
  <c r="AE878" i="3"/>
  <c r="AC878" i="3"/>
  <c r="U878" i="3"/>
  <c r="P878" i="3"/>
  <c r="K878" i="3"/>
  <c r="H878" i="3"/>
  <c r="F878" i="3"/>
  <c r="AE877" i="3"/>
  <c r="AC877" i="3"/>
  <c r="U877" i="3"/>
  <c r="P877" i="3"/>
  <c r="K877" i="3"/>
  <c r="H877" i="3"/>
  <c r="F877" i="3"/>
  <c r="AE876" i="3"/>
  <c r="AC876" i="3"/>
  <c r="U876" i="3"/>
  <c r="P876" i="3"/>
  <c r="K876" i="3"/>
  <c r="H876" i="3"/>
  <c r="F876" i="3"/>
  <c r="AE875" i="3"/>
  <c r="AC875" i="3"/>
  <c r="U875" i="3"/>
  <c r="P875" i="3"/>
  <c r="V875" i="3" s="1"/>
  <c r="K875" i="3"/>
  <c r="H875" i="3"/>
  <c r="F875" i="3"/>
  <c r="AE874" i="3"/>
  <c r="AC874" i="3"/>
  <c r="U874" i="3"/>
  <c r="P874" i="3"/>
  <c r="K874" i="3"/>
  <c r="H874" i="3"/>
  <c r="F874" i="3"/>
  <c r="AE873" i="3"/>
  <c r="AC873" i="3"/>
  <c r="U873" i="3"/>
  <c r="P873" i="3"/>
  <c r="K873" i="3"/>
  <c r="H873" i="3"/>
  <c r="F873" i="3"/>
  <c r="AE872" i="3"/>
  <c r="AC872" i="3"/>
  <c r="U872" i="3"/>
  <c r="P872" i="3"/>
  <c r="K872" i="3"/>
  <c r="H872" i="3"/>
  <c r="F872" i="3"/>
  <c r="AE871" i="3"/>
  <c r="AC871" i="3"/>
  <c r="U871" i="3"/>
  <c r="P871" i="3"/>
  <c r="V871" i="3" s="1"/>
  <c r="K871" i="3"/>
  <c r="H871" i="3"/>
  <c r="F871" i="3"/>
  <c r="AE870" i="3"/>
  <c r="AC870" i="3"/>
  <c r="U870" i="3"/>
  <c r="P870" i="3"/>
  <c r="K870" i="3"/>
  <c r="H870" i="3"/>
  <c r="F870" i="3"/>
  <c r="AE869" i="3"/>
  <c r="AC869" i="3"/>
  <c r="U869" i="3"/>
  <c r="P869" i="3"/>
  <c r="K869" i="3"/>
  <c r="H869" i="3"/>
  <c r="F869" i="3"/>
  <c r="AE868" i="3"/>
  <c r="AC868" i="3"/>
  <c r="U868" i="3"/>
  <c r="P868" i="3"/>
  <c r="K868" i="3"/>
  <c r="H868" i="3"/>
  <c r="F868" i="3"/>
  <c r="AE867" i="3"/>
  <c r="AC867" i="3"/>
  <c r="U867" i="3"/>
  <c r="P867" i="3"/>
  <c r="V867" i="3" s="1"/>
  <c r="K867" i="3"/>
  <c r="F867" i="3"/>
  <c r="AE866" i="3"/>
  <c r="AC866" i="3"/>
  <c r="U866" i="3"/>
  <c r="P866" i="3"/>
  <c r="K866" i="3"/>
  <c r="F866" i="3"/>
  <c r="AE865" i="3"/>
  <c r="AC865" i="3"/>
  <c r="U865" i="3"/>
  <c r="P865" i="3"/>
  <c r="K865" i="3"/>
  <c r="H865" i="3"/>
  <c r="F865" i="3"/>
  <c r="AE864" i="3"/>
  <c r="AC864" i="3"/>
  <c r="U864" i="3"/>
  <c r="P864" i="3"/>
  <c r="K864" i="3"/>
  <c r="H864" i="3"/>
  <c r="F864" i="3"/>
  <c r="AE863" i="3"/>
  <c r="AC863" i="3"/>
  <c r="U863" i="3"/>
  <c r="P863" i="3"/>
  <c r="K863" i="3"/>
  <c r="H863" i="3"/>
  <c r="F863" i="3"/>
  <c r="AE862" i="3"/>
  <c r="AC862" i="3"/>
  <c r="U862" i="3"/>
  <c r="P862" i="3"/>
  <c r="K862" i="3"/>
  <c r="H862" i="3"/>
  <c r="F862" i="3"/>
  <c r="AE861" i="3"/>
  <c r="AC861" i="3"/>
  <c r="U861" i="3"/>
  <c r="P861" i="3"/>
  <c r="K861" i="3"/>
  <c r="H861" i="3"/>
  <c r="F861" i="3"/>
  <c r="AE860" i="3"/>
  <c r="AC860" i="3"/>
  <c r="U860" i="3"/>
  <c r="P860" i="3"/>
  <c r="K860" i="3"/>
  <c r="H860" i="3"/>
  <c r="F860" i="3"/>
  <c r="AE859" i="3"/>
  <c r="AC859" i="3"/>
  <c r="U859" i="3"/>
  <c r="P859" i="3"/>
  <c r="K859" i="3"/>
  <c r="H859" i="3"/>
  <c r="F859" i="3"/>
  <c r="AE858" i="3"/>
  <c r="AC858" i="3"/>
  <c r="U858" i="3"/>
  <c r="P858" i="3"/>
  <c r="K858" i="3"/>
  <c r="H858" i="3"/>
  <c r="F858" i="3"/>
  <c r="AE857" i="3"/>
  <c r="AC857" i="3"/>
  <c r="U857" i="3"/>
  <c r="P857" i="3"/>
  <c r="K857" i="3"/>
  <c r="H857" i="3"/>
  <c r="F857" i="3"/>
  <c r="AE856" i="3"/>
  <c r="AC856" i="3"/>
  <c r="U856" i="3"/>
  <c r="P856" i="3"/>
  <c r="K856" i="3"/>
  <c r="H856" i="3"/>
  <c r="F856" i="3"/>
  <c r="AE855" i="3"/>
  <c r="AC855" i="3"/>
  <c r="U855" i="3"/>
  <c r="P855" i="3"/>
  <c r="K855" i="3"/>
  <c r="H855" i="3"/>
  <c r="F855" i="3"/>
  <c r="AE854" i="3"/>
  <c r="AC854" i="3"/>
  <c r="U854" i="3"/>
  <c r="P854" i="3"/>
  <c r="K854" i="3"/>
  <c r="H854" i="3"/>
  <c r="F854" i="3"/>
  <c r="AE853" i="3"/>
  <c r="AC853" i="3"/>
  <c r="U853" i="3"/>
  <c r="P853" i="3"/>
  <c r="K853" i="3"/>
  <c r="H853" i="3"/>
  <c r="F853" i="3"/>
  <c r="AE852" i="3"/>
  <c r="AC852" i="3"/>
  <c r="U852" i="3"/>
  <c r="P852" i="3"/>
  <c r="K852" i="3"/>
  <c r="H852" i="3"/>
  <c r="F852" i="3"/>
  <c r="AE851" i="3"/>
  <c r="AC851" i="3"/>
  <c r="U851" i="3"/>
  <c r="P851" i="3"/>
  <c r="K851" i="3"/>
  <c r="H851" i="3"/>
  <c r="F851" i="3"/>
  <c r="AE850" i="3"/>
  <c r="AC850" i="3"/>
  <c r="U850" i="3"/>
  <c r="P850" i="3"/>
  <c r="K850" i="3"/>
  <c r="H850" i="3"/>
  <c r="F850" i="3"/>
  <c r="AE849" i="3"/>
  <c r="AC849" i="3"/>
  <c r="U849" i="3"/>
  <c r="P849" i="3"/>
  <c r="K849" i="3"/>
  <c r="H849" i="3"/>
  <c r="F849" i="3"/>
  <c r="AE848" i="3"/>
  <c r="AC848" i="3"/>
  <c r="U848" i="3"/>
  <c r="P848" i="3"/>
  <c r="K848" i="3"/>
  <c r="H848" i="3"/>
  <c r="F848" i="3"/>
  <c r="AE847" i="3"/>
  <c r="AC847" i="3"/>
  <c r="U847" i="3"/>
  <c r="P847" i="3"/>
  <c r="K847" i="3"/>
  <c r="H847" i="3"/>
  <c r="F847" i="3"/>
  <c r="AE846" i="3"/>
  <c r="AC846" i="3"/>
  <c r="U846" i="3"/>
  <c r="P846" i="3"/>
  <c r="K846" i="3"/>
  <c r="H846" i="3"/>
  <c r="F846" i="3"/>
  <c r="AE845" i="3"/>
  <c r="AC845" i="3"/>
  <c r="U845" i="3"/>
  <c r="P845" i="3"/>
  <c r="K845" i="3"/>
  <c r="H845" i="3"/>
  <c r="F845" i="3"/>
  <c r="AE844" i="3"/>
  <c r="AC844" i="3"/>
  <c r="U844" i="3"/>
  <c r="P844" i="3"/>
  <c r="K844" i="3"/>
  <c r="H844" i="3"/>
  <c r="F844" i="3"/>
  <c r="AE843" i="3"/>
  <c r="AC843" i="3"/>
  <c r="U843" i="3"/>
  <c r="P843" i="3"/>
  <c r="K843" i="3"/>
  <c r="H843" i="3"/>
  <c r="F843" i="3"/>
  <c r="AE842" i="3"/>
  <c r="AC842" i="3"/>
  <c r="U842" i="3"/>
  <c r="P842" i="3"/>
  <c r="K842" i="3"/>
  <c r="H842" i="3"/>
  <c r="F842" i="3"/>
  <c r="AE841" i="3"/>
  <c r="AC841" i="3"/>
  <c r="U841" i="3"/>
  <c r="P841" i="3"/>
  <c r="K841" i="3"/>
  <c r="H841" i="3"/>
  <c r="F841" i="3"/>
  <c r="AE840" i="3"/>
  <c r="AC840" i="3"/>
  <c r="U840" i="3"/>
  <c r="P840" i="3"/>
  <c r="K840" i="3"/>
  <c r="H840" i="3"/>
  <c r="F840" i="3"/>
  <c r="AE839" i="3"/>
  <c r="AC839" i="3"/>
  <c r="U839" i="3"/>
  <c r="P839" i="3"/>
  <c r="K839" i="3"/>
  <c r="H839" i="3"/>
  <c r="F839" i="3"/>
  <c r="AE838" i="3"/>
  <c r="AC838" i="3"/>
  <c r="U838" i="3"/>
  <c r="P838" i="3"/>
  <c r="K838" i="3"/>
  <c r="H838" i="3"/>
  <c r="F838" i="3"/>
  <c r="AE837" i="3"/>
  <c r="AC837" i="3"/>
  <c r="U837" i="3"/>
  <c r="P837" i="3"/>
  <c r="K837" i="3"/>
  <c r="H837" i="3"/>
  <c r="AE836" i="3"/>
  <c r="AC836" i="3"/>
  <c r="U836" i="3"/>
  <c r="P836" i="3"/>
  <c r="K836" i="3"/>
  <c r="H836" i="3"/>
  <c r="F836" i="3"/>
  <c r="AE835" i="3"/>
  <c r="AC835" i="3"/>
  <c r="U835" i="3"/>
  <c r="P835" i="3"/>
  <c r="K835" i="3"/>
  <c r="H835" i="3"/>
  <c r="F835" i="3"/>
  <c r="AE834" i="3"/>
  <c r="AC834" i="3"/>
  <c r="U834" i="3"/>
  <c r="P834" i="3"/>
  <c r="K834" i="3"/>
  <c r="H834" i="3"/>
  <c r="F834" i="3"/>
  <c r="AE833" i="3"/>
  <c r="AC833" i="3"/>
  <c r="U833" i="3"/>
  <c r="P833" i="3"/>
  <c r="K833" i="3"/>
  <c r="H833" i="3"/>
  <c r="F833" i="3"/>
  <c r="AE832" i="3"/>
  <c r="AC832" i="3"/>
  <c r="U832" i="3"/>
  <c r="P832" i="3"/>
  <c r="K832" i="3"/>
  <c r="H832" i="3"/>
  <c r="F832" i="3"/>
  <c r="AE831" i="3"/>
  <c r="AC831" i="3"/>
  <c r="U831" i="3"/>
  <c r="P831" i="3"/>
  <c r="K831" i="3"/>
  <c r="H831" i="3"/>
  <c r="F831" i="3"/>
  <c r="AE830" i="3"/>
  <c r="AC830" i="3"/>
  <c r="U830" i="3"/>
  <c r="P830" i="3"/>
  <c r="K830" i="3"/>
  <c r="H830" i="3"/>
  <c r="F830" i="3"/>
  <c r="AE829" i="3"/>
  <c r="AC829" i="3"/>
  <c r="U829" i="3"/>
  <c r="P829" i="3"/>
  <c r="K829" i="3"/>
  <c r="H829" i="3"/>
  <c r="F829" i="3"/>
  <c r="AE828" i="3"/>
  <c r="AC828" i="3"/>
  <c r="U828" i="3"/>
  <c r="P828" i="3"/>
  <c r="K828" i="3"/>
  <c r="H828" i="3"/>
  <c r="AE827" i="3"/>
  <c r="AC827" i="3"/>
  <c r="U827" i="3"/>
  <c r="P827" i="3"/>
  <c r="K827" i="3"/>
  <c r="H827" i="3"/>
  <c r="F827" i="3"/>
  <c r="AE826" i="3"/>
  <c r="AC826" i="3"/>
  <c r="U826" i="3"/>
  <c r="P826" i="3"/>
  <c r="K826" i="3"/>
  <c r="H826" i="3"/>
  <c r="F826" i="3"/>
  <c r="AE825" i="3"/>
  <c r="AC825" i="3"/>
  <c r="U825" i="3"/>
  <c r="P825" i="3"/>
  <c r="K825" i="3"/>
  <c r="H825" i="3"/>
  <c r="F825" i="3"/>
  <c r="AE824" i="3"/>
  <c r="AC824" i="3"/>
  <c r="U824" i="3"/>
  <c r="P824" i="3"/>
  <c r="K824" i="3"/>
  <c r="H824" i="3"/>
  <c r="F824" i="3"/>
  <c r="AE823" i="3"/>
  <c r="AC823" i="3"/>
  <c r="U823" i="3"/>
  <c r="P823" i="3"/>
  <c r="K823" i="3"/>
  <c r="H823" i="3"/>
  <c r="F823" i="3"/>
  <c r="AE822" i="3"/>
  <c r="AC822" i="3"/>
  <c r="U822" i="3"/>
  <c r="P822" i="3"/>
  <c r="K822" i="3"/>
  <c r="H822" i="3"/>
  <c r="F822" i="3"/>
  <c r="AE821" i="3"/>
  <c r="AC821" i="3"/>
  <c r="U821" i="3"/>
  <c r="P821" i="3"/>
  <c r="K821" i="3"/>
  <c r="H821" i="3"/>
  <c r="F821" i="3"/>
  <c r="AE820" i="3"/>
  <c r="AC820" i="3"/>
  <c r="U820" i="3"/>
  <c r="P820" i="3"/>
  <c r="K820" i="3"/>
  <c r="H820" i="3"/>
  <c r="F820" i="3"/>
  <c r="AE819" i="3"/>
  <c r="AC819" i="3"/>
  <c r="U819" i="3"/>
  <c r="P819" i="3"/>
  <c r="K819" i="3"/>
  <c r="H819" i="3"/>
  <c r="F819" i="3"/>
  <c r="AE818" i="3"/>
  <c r="AC818" i="3"/>
  <c r="U818" i="3"/>
  <c r="P818" i="3"/>
  <c r="K818" i="3"/>
  <c r="H818" i="3"/>
  <c r="F818" i="3"/>
  <c r="AE817" i="3"/>
  <c r="AC817" i="3"/>
  <c r="U817" i="3"/>
  <c r="P817" i="3"/>
  <c r="K817" i="3"/>
  <c r="H817" i="3"/>
  <c r="F817" i="3"/>
  <c r="AE816" i="3"/>
  <c r="AC816" i="3"/>
  <c r="U816" i="3"/>
  <c r="P816" i="3"/>
  <c r="K816" i="3"/>
  <c r="H816" i="3"/>
  <c r="F816" i="3"/>
  <c r="AE815" i="3"/>
  <c r="AC815" i="3"/>
  <c r="U815" i="3"/>
  <c r="P815" i="3"/>
  <c r="K815" i="3"/>
  <c r="H815" i="3"/>
  <c r="F815" i="3"/>
  <c r="AE814" i="3"/>
  <c r="AC814" i="3"/>
  <c r="U814" i="3"/>
  <c r="P814" i="3"/>
  <c r="K814" i="3"/>
  <c r="H814" i="3"/>
  <c r="F814" i="3"/>
  <c r="AE813" i="3"/>
  <c r="AC813" i="3"/>
  <c r="U813" i="3"/>
  <c r="P813" i="3"/>
  <c r="K813" i="3"/>
  <c r="H813" i="3"/>
  <c r="F813" i="3"/>
  <c r="AE812" i="3"/>
  <c r="AC812" i="3"/>
  <c r="U812" i="3"/>
  <c r="P812" i="3"/>
  <c r="K812" i="3"/>
  <c r="H812" i="3"/>
  <c r="F812" i="3"/>
  <c r="AE811" i="3"/>
  <c r="AC811" i="3"/>
  <c r="U811" i="3"/>
  <c r="P811" i="3"/>
  <c r="K811" i="3"/>
  <c r="H811" i="3"/>
  <c r="F811" i="3"/>
  <c r="AE810" i="3"/>
  <c r="AC810" i="3"/>
  <c r="U810" i="3"/>
  <c r="P810" i="3"/>
  <c r="K810" i="3"/>
  <c r="H810" i="3"/>
  <c r="F810" i="3"/>
  <c r="AE809" i="3"/>
  <c r="AC809" i="3"/>
  <c r="U809" i="3"/>
  <c r="P809" i="3"/>
  <c r="K809" i="3"/>
  <c r="H809" i="3"/>
  <c r="F809" i="3"/>
  <c r="AE808" i="3"/>
  <c r="AC808" i="3"/>
  <c r="U808" i="3"/>
  <c r="P808" i="3"/>
  <c r="K808" i="3"/>
  <c r="H808" i="3"/>
  <c r="F808" i="3"/>
  <c r="AE807" i="3"/>
  <c r="U807" i="3"/>
  <c r="P807" i="3"/>
  <c r="K807" i="3"/>
  <c r="H807" i="3"/>
  <c r="F807" i="3"/>
  <c r="AE806" i="3"/>
  <c r="AC806" i="3"/>
  <c r="U806" i="3"/>
  <c r="P806" i="3"/>
  <c r="K806" i="3"/>
  <c r="H806" i="3"/>
  <c r="F806" i="3"/>
  <c r="AE805" i="3"/>
  <c r="AC805" i="3"/>
  <c r="U805" i="3"/>
  <c r="P805" i="3"/>
  <c r="K805" i="3"/>
  <c r="H805" i="3"/>
  <c r="F805" i="3"/>
  <c r="AE804" i="3"/>
  <c r="AC804" i="3"/>
  <c r="U804" i="3"/>
  <c r="P804" i="3"/>
  <c r="K804" i="3"/>
  <c r="H804" i="3"/>
  <c r="F804" i="3"/>
  <c r="AE803" i="3"/>
  <c r="AC803" i="3"/>
  <c r="U803" i="3"/>
  <c r="P803" i="3"/>
  <c r="K803" i="3"/>
  <c r="H803" i="3"/>
  <c r="F803" i="3"/>
  <c r="AE802" i="3"/>
  <c r="AC802" i="3"/>
  <c r="U802" i="3"/>
  <c r="P802" i="3"/>
  <c r="K802" i="3"/>
  <c r="H802" i="3"/>
  <c r="F802" i="3"/>
  <c r="AE801" i="3"/>
  <c r="AC801" i="3"/>
  <c r="U801" i="3"/>
  <c r="P801" i="3"/>
  <c r="K801" i="3"/>
  <c r="H801" i="3"/>
  <c r="F801" i="3"/>
  <c r="AE800" i="3"/>
  <c r="AC800" i="3"/>
  <c r="U800" i="3"/>
  <c r="P800" i="3"/>
  <c r="K800" i="3"/>
  <c r="H800" i="3"/>
  <c r="F800" i="3"/>
  <c r="AE799" i="3"/>
  <c r="AC799" i="3"/>
  <c r="U799" i="3"/>
  <c r="P799" i="3"/>
  <c r="K799" i="3"/>
  <c r="H799" i="3"/>
  <c r="F799" i="3"/>
  <c r="AE798" i="3"/>
  <c r="AC798" i="3"/>
  <c r="U798" i="3"/>
  <c r="P798" i="3"/>
  <c r="K798" i="3"/>
  <c r="H798" i="3"/>
  <c r="F798" i="3"/>
  <c r="AE797" i="3"/>
  <c r="AC797" i="3"/>
  <c r="U797" i="3"/>
  <c r="P797" i="3"/>
  <c r="K797" i="3"/>
  <c r="H797" i="3"/>
  <c r="F797" i="3"/>
  <c r="AE796" i="3"/>
  <c r="AC796" i="3"/>
  <c r="U796" i="3"/>
  <c r="P796" i="3"/>
  <c r="K796" i="3"/>
  <c r="H796" i="3"/>
  <c r="F796" i="3"/>
  <c r="AE795" i="3"/>
  <c r="AC795" i="3"/>
  <c r="U795" i="3"/>
  <c r="P795" i="3"/>
  <c r="K795" i="3"/>
  <c r="H795" i="3"/>
  <c r="F795" i="3"/>
  <c r="AE794" i="3"/>
  <c r="AC794" i="3"/>
  <c r="U794" i="3"/>
  <c r="P794" i="3"/>
  <c r="K794" i="3"/>
  <c r="H794" i="3"/>
  <c r="F794" i="3"/>
  <c r="AE793" i="3"/>
  <c r="AC793" i="3"/>
  <c r="U793" i="3"/>
  <c r="P793" i="3"/>
  <c r="K793" i="3"/>
  <c r="H793" i="3"/>
  <c r="F793" i="3"/>
  <c r="AE792" i="3"/>
  <c r="AC792" i="3"/>
  <c r="U792" i="3"/>
  <c r="P792" i="3"/>
  <c r="K792" i="3"/>
  <c r="H792" i="3"/>
  <c r="AE791" i="3"/>
  <c r="U791" i="3"/>
  <c r="P791" i="3"/>
  <c r="K791" i="3"/>
  <c r="H791" i="3"/>
  <c r="F791" i="3"/>
  <c r="AE790" i="3"/>
  <c r="AC790" i="3"/>
  <c r="U790" i="3"/>
  <c r="P790" i="3"/>
  <c r="K790" i="3"/>
  <c r="H790" i="3"/>
  <c r="F790" i="3"/>
  <c r="AE789" i="3"/>
  <c r="AC789" i="3"/>
  <c r="U789" i="3"/>
  <c r="P789" i="3"/>
  <c r="K789" i="3"/>
  <c r="H789" i="3"/>
  <c r="F789" i="3"/>
  <c r="AE788" i="3"/>
  <c r="AC788" i="3"/>
  <c r="U788" i="3"/>
  <c r="P788" i="3"/>
  <c r="K788" i="3"/>
  <c r="H788" i="3"/>
  <c r="F788" i="3"/>
  <c r="AE787" i="3"/>
  <c r="AC787" i="3"/>
  <c r="U787" i="3"/>
  <c r="P787" i="3"/>
  <c r="K787" i="3"/>
  <c r="H787" i="3"/>
  <c r="AE786" i="3"/>
  <c r="AC786" i="3"/>
  <c r="U786" i="3"/>
  <c r="P786" i="3"/>
  <c r="K786" i="3"/>
  <c r="H786" i="3"/>
  <c r="F786" i="3"/>
  <c r="AE785" i="3"/>
  <c r="U785" i="3"/>
  <c r="P785" i="3"/>
  <c r="K785" i="3"/>
  <c r="H785" i="3"/>
  <c r="F785" i="3"/>
  <c r="AE784" i="3"/>
  <c r="AC784" i="3"/>
  <c r="U784" i="3"/>
  <c r="P784" i="3"/>
  <c r="K784" i="3"/>
  <c r="H784" i="3"/>
  <c r="F784" i="3"/>
  <c r="AE783" i="3"/>
  <c r="AC783" i="3"/>
  <c r="U783" i="3"/>
  <c r="P783" i="3"/>
  <c r="K783" i="3"/>
  <c r="H783" i="3"/>
  <c r="F783" i="3"/>
  <c r="AE782" i="3"/>
  <c r="AC782" i="3"/>
  <c r="U782" i="3"/>
  <c r="P782" i="3"/>
  <c r="K782" i="3"/>
  <c r="H782" i="3"/>
  <c r="F782" i="3"/>
  <c r="AE781" i="3"/>
  <c r="AC781" i="3"/>
  <c r="U781" i="3"/>
  <c r="P781" i="3"/>
  <c r="K781" i="3"/>
  <c r="H781" i="3"/>
  <c r="F781" i="3"/>
  <c r="AE780" i="3"/>
  <c r="AC780" i="3"/>
  <c r="U780" i="3"/>
  <c r="P780" i="3"/>
  <c r="K780" i="3"/>
  <c r="H780" i="3"/>
  <c r="F780" i="3"/>
  <c r="AE779" i="3"/>
  <c r="AC779" i="3"/>
  <c r="U779" i="3"/>
  <c r="P779" i="3"/>
  <c r="K779" i="3"/>
  <c r="H779" i="3"/>
  <c r="F779" i="3"/>
  <c r="AE778" i="3"/>
  <c r="AC778" i="3"/>
  <c r="U778" i="3"/>
  <c r="P778" i="3"/>
  <c r="K778" i="3"/>
  <c r="H778" i="3"/>
  <c r="F778" i="3"/>
  <c r="AE777" i="3"/>
  <c r="AC777" i="3"/>
  <c r="U777" i="3"/>
  <c r="P777" i="3"/>
  <c r="K777" i="3"/>
  <c r="H777" i="3"/>
  <c r="F777" i="3"/>
  <c r="AE776" i="3"/>
  <c r="AC776" i="3"/>
  <c r="U776" i="3"/>
  <c r="P776" i="3"/>
  <c r="K776" i="3"/>
  <c r="H776" i="3"/>
  <c r="F776" i="3"/>
  <c r="AE775" i="3"/>
  <c r="U775" i="3"/>
  <c r="P775" i="3"/>
  <c r="K775" i="3"/>
  <c r="H775" i="3"/>
  <c r="F775" i="3"/>
  <c r="AE774" i="3"/>
  <c r="AC774" i="3"/>
  <c r="U774" i="3"/>
  <c r="P774" i="3"/>
  <c r="K774" i="3"/>
  <c r="H774" i="3"/>
  <c r="F774" i="3"/>
  <c r="AE773" i="3"/>
  <c r="AC773" i="3"/>
  <c r="U773" i="3"/>
  <c r="P773" i="3"/>
  <c r="K773" i="3"/>
  <c r="H773" i="3"/>
  <c r="F773" i="3"/>
  <c r="AE772" i="3"/>
  <c r="AC772" i="3"/>
  <c r="U772" i="3"/>
  <c r="P772" i="3"/>
  <c r="K772" i="3"/>
  <c r="H772" i="3"/>
  <c r="F772" i="3"/>
  <c r="AE771" i="3"/>
  <c r="AC771" i="3"/>
  <c r="U771" i="3"/>
  <c r="P771" i="3"/>
  <c r="K771" i="3"/>
  <c r="H771" i="3"/>
  <c r="F771" i="3"/>
  <c r="AE770" i="3"/>
  <c r="AC770" i="3"/>
  <c r="U770" i="3"/>
  <c r="P770" i="3"/>
  <c r="K770" i="3"/>
  <c r="H770" i="3"/>
  <c r="F770" i="3"/>
  <c r="AE769" i="3"/>
  <c r="AC769" i="3"/>
  <c r="U769" i="3"/>
  <c r="P769" i="3"/>
  <c r="K769" i="3"/>
  <c r="H769" i="3"/>
  <c r="F769" i="3"/>
  <c r="AE768" i="3"/>
  <c r="AC768" i="3"/>
  <c r="U768" i="3"/>
  <c r="P768" i="3"/>
  <c r="K768" i="3"/>
  <c r="H768" i="3"/>
  <c r="F768" i="3"/>
  <c r="AE767" i="3"/>
  <c r="AC767" i="3"/>
  <c r="U767" i="3"/>
  <c r="P767" i="3"/>
  <c r="K767" i="3"/>
  <c r="H767" i="3"/>
  <c r="F767" i="3"/>
  <c r="AE766" i="3"/>
  <c r="AC766" i="3"/>
  <c r="U766" i="3"/>
  <c r="P766" i="3"/>
  <c r="K766" i="3"/>
  <c r="H766" i="3"/>
  <c r="F766" i="3"/>
  <c r="AE765" i="3"/>
  <c r="AC765" i="3"/>
  <c r="U765" i="3"/>
  <c r="P765" i="3"/>
  <c r="K765" i="3"/>
  <c r="H765" i="3"/>
  <c r="F765" i="3"/>
  <c r="AE764" i="3"/>
  <c r="AC764" i="3"/>
  <c r="U764" i="3"/>
  <c r="P764" i="3"/>
  <c r="K764" i="3"/>
  <c r="H764" i="3"/>
  <c r="F764" i="3"/>
  <c r="AE763" i="3"/>
  <c r="AC763" i="3"/>
  <c r="U763" i="3"/>
  <c r="P763" i="3"/>
  <c r="K763" i="3"/>
  <c r="H763" i="3"/>
  <c r="F763" i="3"/>
  <c r="AE762" i="3"/>
  <c r="AC762" i="3"/>
  <c r="U762" i="3"/>
  <c r="P762" i="3"/>
  <c r="K762" i="3"/>
  <c r="H762" i="3"/>
  <c r="AE761" i="3"/>
  <c r="AC761" i="3"/>
  <c r="U761" i="3"/>
  <c r="P761" i="3"/>
  <c r="K761" i="3"/>
  <c r="H761" i="3"/>
  <c r="F761" i="3"/>
  <c r="AE760" i="3"/>
  <c r="AC760" i="3"/>
  <c r="U760" i="3"/>
  <c r="P760" i="3"/>
  <c r="K760" i="3"/>
  <c r="H760" i="3"/>
  <c r="F760" i="3"/>
  <c r="AE759" i="3"/>
  <c r="AC759" i="3"/>
  <c r="U759" i="3"/>
  <c r="P759" i="3"/>
  <c r="K759" i="3"/>
  <c r="H759" i="3"/>
  <c r="F759" i="3"/>
  <c r="AE758" i="3"/>
  <c r="AC758" i="3"/>
  <c r="U758" i="3"/>
  <c r="P758" i="3"/>
  <c r="K758" i="3"/>
  <c r="H758" i="3"/>
  <c r="F758" i="3"/>
  <c r="AE757" i="3"/>
  <c r="AC757" i="3"/>
  <c r="U757" i="3"/>
  <c r="P757" i="3"/>
  <c r="K757" i="3"/>
  <c r="H757" i="3"/>
  <c r="F757" i="3"/>
  <c r="AE756" i="3"/>
  <c r="AC756" i="3"/>
  <c r="U756" i="3"/>
  <c r="P756" i="3"/>
  <c r="K756" i="3"/>
  <c r="H756" i="3"/>
  <c r="F756" i="3"/>
  <c r="AE755" i="3"/>
  <c r="AC755" i="3"/>
  <c r="U755" i="3"/>
  <c r="P755" i="3"/>
  <c r="K755" i="3"/>
  <c r="H755" i="3"/>
  <c r="F755" i="3"/>
  <c r="AE754" i="3"/>
  <c r="AC754" i="3"/>
  <c r="U754" i="3"/>
  <c r="P754" i="3"/>
  <c r="K754" i="3"/>
  <c r="H754" i="3"/>
  <c r="F754" i="3"/>
  <c r="AE753" i="3"/>
  <c r="AC753" i="3"/>
  <c r="U753" i="3"/>
  <c r="P753" i="3"/>
  <c r="K753" i="3"/>
  <c r="H753" i="3"/>
  <c r="F753" i="3"/>
  <c r="AE752" i="3"/>
  <c r="AC752" i="3"/>
  <c r="U752" i="3"/>
  <c r="P752" i="3"/>
  <c r="K752" i="3"/>
  <c r="H752" i="3"/>
  <c r="F752" i="3"/>
  <c r="AE751" i="3"/>
  <c r="AC751" i="3"/>
  <c r="U751" i="3"/>
  <c r="P751" i="3"/>
  <c r="K751" i="3"/>
  <c r="H751" i="3"/>
  <c r="F751" i="3"/>
  <c r="AE750" i="3"/>
  <c r="AC750" i="3"/>
  <c r="U750" i="3"/>
  <c r="P750" i="3"/>
  <c r="K750" i="3"/>
  <c r="H750" i="3"/>
  <c r="F750" i="3"/>
  <c r="AE749" i="3"/>
  <c r="AC749" i="3"/>
  <c r="U749" i="3"/>
  <c r="P749" i="3"/>
  <c r="K749" i="3"/>
  <c r="H749" i="3"/>
  <c r="F749" i="3"/>
  <c r="AE748" i="3"/>
  <c r="AC748" i="3"/>
  <c r="U748" i="3"/>
  <c r="P748" i="3"/>
  <c r="K748" i="3"/>
  <c r="H748" i="3"/>
  <c r="F748" i="3"/>
  <c r="AE747" i="3"/>
  <c r="AC747" i="3"/>
  <c r="U747" i="3"/>
  <c r="P747" i="3"/>
  <c r="K747" i="3"/>
  <c r="H747" i="3"/>
  <c r="F747" i="3"/>
  <c r="AE746" i="3"/>
  <c r="AC746" i="3"/>
  <c r="U746" i="3"/>
  <c r="P746" i="3"/>
  <c r="K746" i="3"/>
  <c r="H746" i="3"/>
  <c r="F746" i="3"/>
  <c r="AE745" i="3"/>
  <c r="AC745" i="3"/>
  <c r="U745" i="3"/>
  <c r="P745" i="3"/>
  <c r="K745" i="3"/>
  <c r="H745" i="3"/>
  <c r="F745" i="3"/>
  <c r="AE744" i="3"/>
  <c r="AC744" i="3"/>
  <c r="U744" i="3"/>
  <c r="P744" i="3"/>
  <c r="K744" i="3"/>
  <c r="H744" i="3"/>
  <c r="F744" i="3"/>
  <c r="AE743" i="3"/>
  <c r="AC743" i="3"/>
  <c r="U743" i="3"/>
  <c r="P743" i="3"/>
  <c r="K743" i="3"/>
  <c r="H743" i="3"/>
  <c r="F743" i="3"/>
  <c r="AE742" i="3"/>
  <c r="AC742" i="3"/>
  <c r="U742" i="3"/>
  <c r="P742" i="3"/>
  <c r="K742" i="3"/>
  <c r="H742" i="3"/>
  <c r="F742" i="3"/>
  <c r="AE741" i="3"/>
  <c r="AC741" i="3"/>
  <c r="U741" i="3"/>
  <c r="P741" i="3"/>
  <c r="K741" i="3"/>
  <c r="H741" i="3"/>
  <c r="F741" i="3"/>
  <c r="AE740" i="3"/>
  <c r="AC740" i="3"/>
  <c r="U740" i="3"/>
  <c r="P740" i="3"/>
  <c r="K740" i="3"/>
  <c r="H740" i="3"/>
  <c r="F740" i="3"/>
  <c r="AE739" i="3"/>
  <c r="AC739" i="3"/>
  <c r="U739" i="3"/>
  <c r="P739" i="3"/>
  <c r="K739" i="3"/>
  <c r="H739" i="3"/>
  <c r="F739" i="3"/>
  <c r="AE738" i="3"/>
  <c r="AC738" i="3"/>
  <c r="U738" i="3"/>
  <c r="P738" i="3"/>
  <c r="K738" i="3"/>
  <c r="H738" i="3"/>
  <c r="F738" i="3"/>
  <c r="AE737" i="3"/>
  <c r="AC737" i="3"/>
  <c r="U737" i="3"/>
  <c r="P737" i="3"/>
  <c r="K737" i="3"/>
  <c r="H737" i="3"/>
  <c r="F737" i="3"/>
  <c r="AE736" i="3"/>
  <c r="AC736" i="3"/>
  <c r="U736" i="3"/>
  <c r="P736" i="3"/>
  <c r="K736" i="3"/>
  <c r="H736" i="3"/>
  <c r="F736" i="3"/>
  <c r="AE735" i="3"/>
  <c r="AC735" i="3"/>
  <c r="U735" i="3"/>
  <c r="P735" i="3"/>
  <c r="K735" i="3"/>
  <c r="H735" i="3"/>
  <c r="F735" i="3"/>
  <c r="AE734" i="3"/>
  <c r="AC734" i="3"/>
  <c r="U734" i="3"/>
  <c r="P734" i="3"/>
  <c r="K734" i="3"/>
  <c r="H734" i="3"/>
  <c r="F734" i="3"/>
  <c r="AE733" i="3"/>
  <c r="AC733" i="3"/>
  <c r="U733" i="3"/>
  <c r="P733" i="3"/>
  <c r="K733" i="3"/>
  <c r="H733" i="3"/>
  <c r="F733" i="3"/>
  <c r="AE732" i="3"/>
  <c r="AC732" i="3"/>
  <c r="U732" i="3"/>
  <c r="P732" i="3"/>
  <c r="K732" i="3"/>
  <c r="H732" i="3"/>
  <c r="F732" i="3"/>
  <c r="AE731" i="3"/>
  <c r="AC731" i="3"/>
  <c r="U731" i="3"/>
  <c r="P731" i="3"/>
  <c r="K731" i="3"/>
  <c r="H731" i="3"/>
  <c r="F731" i="3"/>
  <c r="AE730" i="3"/>
  <c r="AC730" i="3"/>
  <c r="U730" i="3"/>
  <c r="P730" i="3"/>
  <c r="K730" i="3"/>
  <c r="H730" i="3"/>
  <c r="F730" i="3"/>
  <c r="AE729" i="3"/>
  <c r="AC729" i="3"/>
  <c r="U729" i="3"/>
  <c r="P729" i="3"/>
  <c r="K729" i="3"/>
  <c r="H729" i="3"/>
  <c r="F729" i="3"/>
  <c r="AE728" i="3"/>
  <c r="AC728" i="3"/>
  <c r="U728" i="3"/>
  <c r="P728" i="3"/>
  <c r="K728" i="3"/>
  <c r="H728" i="3"/>
  <c r="F728" i="3"/>
  <c r="AE727" i="3"/>
  <c r="AC727" i="3"/>
  <c r="U727" i="3"/>
  <c r="P727" i="3"/>
  <c r="K727" i="3"/>
  <c r="H727" i="3"/>
  <c r="F727" i="3"/>
  <c r="AE726" i="3"/>
  <c r="AC726" i="3"/>
  <c r="U726" i="3"/>
  <c r="P726" i="3"/>
  <c r="K726" i="3"/>
  <c r="H726" i="3"/>
  <c r="F726" i="3"/>
  <c r="AE725" i="3"/>
  <c r="AC725" i="3"/>
  <c r="U725" i="3"/>
  <c r="P725" i="3"/>
  <c r="K725" i="3"/>
  <c r="H725" i="3"/>
  <c r="F725" i="3"/>
  <c r="AE724" i="3"/>
  <c r="AC724" i="3"/>
  <c r="U724" i="3"/>
  <c r="P724" i="3"/>
  <c r="K724" i="3"/>
  <c r="H724" i="3"/>
  <c r="F724" i="3"/>
  <c r="AE723" i="3"/>
  <c r="AC723" i="3"/>
  <c r="U723" i="3"/>
  <c r="V723" i="3" s="1"/>
  <c r="K723" i="3"/>
  <c r="H723" i="3"/>
  <c r="F723" i="3"/>
  <c r="AE722" i="3"/>
  <c r="AC722" i="3"/>
  <c r="U722" i="3"/>
  <c r="P722" i="3"/>
  <c r="K722" i="3"/>
  <c r="H722" i="3"/>
  <c r="F722" i="3"/>
  <c r="AE721" i="3"/>
  <c r="AC721" i="3"/>
  <c r="U721" i="3"/>
  <c r="P721" i="3"/>
  <c r="K721" i="3"/>
  <c r="H721" i="3"/>
  <c r="F721" i="3"/>
  <c r="AE720" i="3"/>
  <c r="AC720" i="3"/>
  <c r="U720" i="3"/>
  <c r="P720" i="3"/>
  <c r="K720" i="3"/>
  <c r="H720" i="3"/>
  <c r="F720" i="3"/>
  <c r="AE719" i="3"/>
  <c r="AC719" i="3"/>
  <c r="U719" i="3"/>
  <c r="P719" i="3"/>
  <c r="K719" i="3"/>
  <c r="H719" i="3"/>
  <c r="F719" i="3"/>
  <c r="AE718" i="3"/>
  <c r="AC718" i="3"/>
  <c r="U718" i="3"/>
  <c r="P718" i="3"/>
  <c r="K718" i="3"/>
  <c r="H718" i="3"/>
  <c r="F718" i="3"/>
  <c r="AE717" i="3"/>
  <c r="AC717" i="3"/>
  <c r="U717" i="3"/>
  <c r="P717" i="3"/>
  <c r="K717" i="3"/>
  <c r="H717" i="3"/>
  <c r="F717" i="3"/>
  <c r="AE716" i="3"/>
  <c r="AC716" i="3"/>
  <c r="U716" i="3"/>
  <c r="P716" i="3"/>
  <c r="K716" i="3"/>
  <c r="H716" i="3"/>
  <c r="F716" i="3"/>
  <c r="AE715" i="3"/>
  <c r="AC715" i="3"/>
  <c r="U715" i="3"/>
  <c r="P715" i="3"/>
  <c r="K715" i="3"/>
  <c r="H715" i="3"/>
  <c r="F715" i="3"/>
  <c r="AE714" i="3"/>
  <c r="AC714" i="3"/>
  <c r="U714" i="3"/>
  <c r="P714" i="3"/>
  <c r="K714" i="3"/>
  <c r="H714" i="3"/>
  <c r="F714" i="3"/>
  <c r="AE713" i="3"/>
  <c r="AC713" i="3"/>
  <c r="U713" i="3"/>
  <c r="P713" i="3"/>
  <c r="K713" i="3"/>
  <c r="H713" i="3"/>
  <c r="F713" i="3"/>
  <c r="AE712" i="3"/>
  <c r="AC712" i="3"/>
  <c r="U712" i="3"/>
  <c r="P712" i="3"/>
  <c r="K712" i="3"/>
  <c r="H712" i="3"/>
  <c r="F712" i="3"/>
  <c r="AE711" i="3"/>
  <c r="AC711" i="3"/>
  <c r="U711" i="3"/>
  <c r="P711" i="3"/>
  <c r="K711" i="3"/>
  <c r="H711" i="3"/>
  <c r="F711" i="3"/>
  <c r="AE710" i="3"/>
  <c r="AC710" i="3"/>
  <c r="U710" i="3"/>
  <c r="P710" i="3"/>
  <c r="K710" i="3"/>
  <c r="H710" i="3"/>
  <c r="F710" i="3"/>
  <c r="AE709" i="3"/>
  <c r="U709" i="3"/>
  <c r="P709" i="3"/>
  <c r="K709" i="3"/>
  <c r="H709" i="3"/>
  <c r="F709" i="3"/>
  <c r="AE708" i="3"/>
  <c r="AC708" i="3"/>
  <c r="U708" i="3"/>
  <c r="P708" i="3"/>
  <c r="K708" i="3"/>
  <c r="H708" i="3"/>
  <c r="AE707" i="3"/>
  <c r="AC707" i="3"/>
  <c r="U707" i="3"/>
  <c r="P707" i="3"/>
  <c r="K707" i="3"/>
  <c r="H707" i="3"/>
  <c r="F707" i="3"/>
  <c r="AE706" i="3"/>
  <c r="AC706" i="3"/>
  <c r="U706" i="3"/>
  <c r="P706" i="3"/>
  <c r="K706" i="3"/>
  <c r="H706" i="3"/>
  <c r="F706" i="3"/>
  <c r="AE705" i="3"/>
  <c r="AC705" i="3"/>
  <c r="U705" i="3"/>
  <c r="P705" i="3"/>
  <c r="K705" i="3"/>
  <c r="H705" i="3"/>
  <c r="F705" i="3"/>
  <c r="AE704" i="3"/>
  <c r="AC704" i="3"/>
  <c r="U704" i="3"/>
  <c r="P704" i="3"/>
  <c r="K704" i="3"/>
  <c r="H704" i="3"/>
  <c r="F704" i="3"/>
  <c r="AE703" i="3"/>
  <c r="AC703" i="3"/>
  <c r="U703" i="3"/>
  <c r="P703" i="3"/>
  <c r="K703" i="3"/>
  <c r="H703" i="3"/>
  <c r="F703" i="3"/>
  <c r="AE702" i="3"/>
  <c r="AC702" i="3"/>
  <c r="U702" i="3"/>
  <c r="P702" i="3"/>
  <c r="K702" i="3"/>
  <c r="H702" i="3"/>
  <c r="F702" i="3"/>
  <c r="AE701" i="3"/>
  <c r="AC701" i="3"/>
  <c r="U701" i="3"/>
  <c r="P701" i="3"/>
  <c r="K701" i="3"/>
  <c r="H701" i="3"/>
  <c r="F701" i="3"/>
  <c r="AE700" i="3"/>
  <c r="AC700" i="3"/>
  <c r="U700" i="3"/>
  <c r="P700" i="3"/>
  <c r="K700" i="3"/>
  <c r="H700" i="3"/>
  <c r="F700" i="3"/>
  <c r="AE699" i="3"/>
  <c r="AC699" i="3"/>
  <c r="U699" i="3"/>
  <c r="P699" i="3"/>
  <c r="K699" i="3"/>
  <c r="H699" i="3"/>
  <c r="F699" i="3"/>
  <c r="AE698" i="3"/>
  <c r="AC698" i="3"/>
  <c r="U698" i="3"/>
  <c r="P698" i="3"/>
  <c r="K698" i="3"/>
  <c r="H698" i="3"/>
  <c r="F698" i="3"/>
  <c r="AE697" i="3"/>
  <c r="AC697" i="3"/>
  <c r="U697" i="3"/>
  <c r="P697" i="3"/>
  <c r="K697" i="3"/>
  <c r="H697" i="3"/>
  <c r="F697" i="3"/>
  <c r="AE696" i="3"/>
  <c r="AC696" i="3"/>
  <c r="U696" i="3"/>
  <c r="P696" i="3"/>
  <c r="K696" i="3"/>
  <c r="H696" i="3"/>
  <c r="F696" i="3"/>
  <c r="AE695" i="3"/>
  <c r="AC695" i="3"/>
  <c r="U695" i="3"/>
  <c r="P695" i="3"/>
  <c r="K695" i="3"/>
  <c r="H695" i="3"/>
  <c r="F695" i="3"/>
  <c r="AE694" i="3"/>
  <c r="AC694" i="3"/>
  <c r="U694" i="3"/>
  <c r="P694" i="3"/>
  <c r="K694" i="3"/>
  <c r="H694" i="3"/>
  <c r="F694" i="3"/>
  <c r="AE693" i="3"/>
  <c r="AC693" i="3"/>
  <c r="U693" i="3"/>
  <c r="P693" i="3"/>
  <c r="K693" i="3"/>
  <c r="H693" i="3"/>
  <c r="F693" i="3"/>
  <c r="AE692" i="3"/>
  <c r="AC692" i="3"/>
  <c r="U692" i="3"/>
  <c r="P692" i="3"/>
  <c r="K692" i="3"/>
  <c r="H692" i="3"/>
  <c r="F692" i="3"/>
  <c r="AE691" i="3"/>
  <c r="AC691" i="3"/>
  <c r="U691" i="3"/>
  <c r="P691" i="3"/>
  <c r="K691" i="3"/>
  <c r="H691" i="3"/>
  <c r="F691" i="3"/>
  <c r="AE690" i="3"/>
  <c r="AC690" i="3"/>
  <c r="U690" i="3"/>
  <c r="P690" i="3"/>
  <c r="K690" i="3"/>
  <c r="H690" i="3"/>
  <c r="F690" i="3"/>
  <c r="AE689" i="3"/>
  <c r="AC689" i="3"/>
  <c r="U689" i="3"/>
  <c r="P689" i="3"/>
  <c r="K689" i="3"/>
  <c r="H689" i="3"/>
  <c r="AE688" i="3"/>
  <c r="AC688" i="3"/>
  <c r="U688" i="3"/>
  <c r="P688" i="3"/>
  <c r="K688" i="3"/>
  <c r="H688" i="3"/>
  <c r="F688" i="3"/>
  <c r="AE687" i="3"/>
  <c r="AC687" i="3"/>
  <c r="U687" i="3"/>
  <c r="P687" i="3"/>
  <c r="K687" i="3"/>
  <c r="H687" i="3"/>
  <c r="F687" i="3"/>
  <c r="AE686" i="3"/>
  <c r="AC686" i="3"/>
  <c r="U686" i="3"/>
  <c r="P686" i="3"/>
  <c r="K686" i="3"/>
  <c r="H686" i="3"/>
  <c r="F686" i="3"/>
  <c r="AE685" i="3"/>
  <c r="AC685" i="3"/>
  <c r="U685" i="3"/>
  <c r="P685" i="3"/>
  <c r="K685" i="3"/>
  <c r="H685" i="3"/>
  <c r="F685" i="3"/>
  <c r="AE684" i="3"/>
  <c r="AC684" i="3"/>
  <c r="U684" i="3"/>
  <c r="P684" i="3"/>
  <c r="K684" i="3"/>
  <c r="H684" i="3"/>
  <c r="F684" i="3"/>
  <c r="AE683" i="3"/>
  <c r="AC683" i="3"/>
  <c r="U683" i="3"/>
  <c r="P683" i="3"/>
  <c r="K683" i="3"/>
  <c r="H683" i="3"/>
  <c r="F683" i="3"/>
  <c r="AE682" i="3"/>
  <c r="AC682" i="3"/>
  <c r="U682" i="3"/>
  <c r="P682" i="3"/>
  <c r="K682" i="3"/>
  <c r="H682" i="3"/>
  <c r="AE681" i="3"/>
  <c r="AC681" i="3"/>
  <c r="U681" i="3"/>
  <c r="P681" i="3"/>
  <c r="K681" i="3"/>
  <c r="H681" i="3"/>
  <c r="F681" i="3"/>
  <c r="AE680" i="3"/>
  <c r="AC680" i="3"/>
  <c r="U680" i="3"/>
  <c r="P680" i="3"/>
  <c r="K680" i="3"/>
  <c r="H680" i="3"/>
  <c r="F680" i="3"/>
  <c r="AE679" i="3"/>
  <c r="AC679" i="3"/>
  <c r="U679" i="3"/>
  <c r="P679" i="3"/>
  <c r="K679" i="3"/>
  <c r="H679" i="3"/>
  <c r="F679" i="3"/>
  <c r="AE678" i="3"/>
  <c r="AC678" i="3"/>
  <c r="U678" i="3"/>
  <c r="P678" i="3"/>
  <c r="K678" i="3"/>
  <c r="H678" i="3"/>
  <c r="F678" i="3"/>
  <c r="AE677" i="3"/>
  <c r="AC677" i="3"/>
  <c r="U677" i="3"/>
  <c r="P677" i="3"/>
  <c r="K677" i="3"/>
  <c r="H677" i="3"/>
  <c r="F677" i="3"/>
  <c r="AE676" i="3"/>
  <c r="AC676" i="3"/>
  <c r="U676" i="3"/>
  <c r="P676" i="3"/>
  <c r="K676" i="3"/>
  <c r="H676" i="3"/>
  <c r="F676" i="3"/>
  <c r="AE675" i="3"/>
  <c r="AC675" i="3"/>
  <c r="U675" i="3"/>
  <c r="P675" i="3"/>
  <c r="K675" i="3"/>
  <c r="H675" i="3"/>
  <c r="F675" i="3"/>
  <c r="AE674" i="3"/>
  <c r="AC674" i="3"/>
  <c r="U674" i="3"/>
  <c r="P674" i="3"/>
  <c r="K674" i="3"/>
  <c r="H674" i="3"/>
  <c r="F674" i="3"/>
  <c r="AE673" i="3"/>
  <c r="AC673" i="3"/>
  <c r="U673" i="3"/>
  <c r="P673" i="3"/>
  <c r="K673" i="3"/>
  <c r="H673" i="3"/>
  <c r="F673" i="3"/>
  <c r="AE672" i="3"/>
  <c r="AC672" i="3"/>
  <c r="U672" i="3"/>
  <c r="P672" i="3"/>
  <c r="K672" i="3"/>
  <c r="H672" i="3"/>
  <c r="F672" i="3"/>
  <c r="AE671" i="3"/>
  <c r="AC671" i="3"/>
  <c r="U671" i="3"/>
  <c r="P671" i="3"/>
  <c r="K671" i="3"/>
  <c r="H671" i="3"/>
  <c r="AE670" i="3"/>
  <c r="AC670" i="3"/>
  <c r="U670" i="3"/>
  <c r="P670" i="3"/>
  <c r="K670" i="3"/>
  <c r="H670" i="3"/>
  <c r="F670" i="3"/>
  <c r="AE669" i="3"/>
  <c r="AC669" i="3"/>
  <c r="U669" i="3"/>
  <c r="P669" i="3"/>
  <c r="K669" i="3"/>
  <c r="H669" i="3"/>
  <c r="F669" i="3"/>
  <c r="AE668" i="3"/>
  <c r="AC668" i="3"/>
  <c r="U668" i="3"/>
  <c r="P668" i="3"/>
  <c r="K668" i="3"/>
  <c r="H668" i="3"/>
  <c r="F668" i="3"/>
  <c r="AE667" i="3"/>
  <c r="AC667" i="3"/>
  <c r="U667" i="3"/>
  <c r="P667" i="3"/>
  <c r="K667" i="3"/>
  <c r="H667" i="3"/>
  <c r="F667" i="3"/>
  <c r="AE666" i="3"/>
  <c r="AC666" i="3"/>
  <c r="U666" i="3"/>
  <c r="P666" i="3"/>
  <c r="K666" i="3"/>
  <c r="H666" i="3"/>
  <c r="F666" i="3"/>
  <c r="AE665" i="3"/>
  <c r="AC665" i="3"/>
  <c r="U665" i="3"/>
  <c r="P665" i="3"/>
  <c r="K665" i="3"/>
  <c r="H665" i="3"/>
  <c r="F665" i="3"/>
  <c r="AE664" i="3"/>
  <c r="AC664" i="3"/>
  <c r="U664" i="3"/>
  <c r="P664" i="3"/>
  <c r="K664" i="3"/>
  <c r="H664" i="3"/>
  <c r="F664" i="3"/>
  <c r="AE663" i="3"/>
  <c r="AC663" i="3"/>
  <c r="U663" i="3"/>
  <c r="P663" i="3"/>
  <c r="K663" i="3"/>
  <c r="H663" i="3"/>
  <c r="F663" i="3"/>
  <c r="AE662" i="3"/>
  <c r="AC662" i="3"/>
  <c r="U662" i="3"/>
  <c r="P662" i="3"/>
  <c r="K662" i="3"/>
  <c r="H662" i="3"/>
  <c r="AE661" i="3"/>
  <c r="AC661" i="3"/>
  <c r="U661" i="3"/>
  <c r="P661" i="3"/>
  <c r="K661" i="3"/>
  <c r="H661" i="3"/>
  <c r="F661" i="3"/>
  <c r="AE660" i="3"/>
  <c r="AC660" i="3"/>
  <c r="U660" i="3"/>
  <c r="P660" i="3"/>
  <c r="K660" i="3"/>
  <c r="H660" i="3"/>
  <c r="F660" i="3"/>
  <c r="AE659" i="3"/>
  <c r="AC659" i="3"/>
  <c r="U659" i="3"/>
  <c r="P659" i="3"/>
  <c r="K659" i="3"/>
  <c r="H659" i="3"/>
  <c r="F659" i="3"/>
  <c r="AE658" i="3"/>
  <c r="AC658" i="3"/>
  <c r="U658" i="3"/>
  <c r="P658" i="3"/>
  <c r="K658" i="3"/>
  <c r="H658" i="3"/>
  <c r="F658" i="3"/>
  <c r="AE657" i="3"/>
  <c r="AC657" i="3"/>
  <c r="U657" i="3"/>
  <c r="P657" i="3"/>
  <c r="K657" i="3"/>
  <c r="H657" i="3"/>
  <c r="F657" i="3"/>
  <c r="AE656" i="3"/>
  <c r="AC656" i="3"/>
  <c r="U656" i="3"/>
  <c r="P656" i="3"/>
  <c r="K656" i="3"/>
  <c r="H656" i="3"/>
  <c r="F656" i="3"/>
  <c r="AE655" i="3"/>
  <c r="AC655" i="3"/>
  <c r="U655" i="3"/>
  <c r="P655" i="3"/>
  <c r="K655" i="3"/>
  <c r="H655" i="3"/>
  <c r="F655" i="3"/>
  <c r="AE654" i="3"/>
  <c r="AC654" i="3"/>
  <c r="U654" i="3"/>
  <c r="P654" i="3"/>
  <c r="K654" i="3"/>
  <c r="H654" i="3"/>
  <c r="F654" i="3"/>
  <c r="AE653" i="3"/>
  <c r="AC653" i="3"/>
  <c r="U653" i="3"/>
  <c r="P653" i="3"/>
  <c r="K653" i="3"/>
  <c r="H653" i="3"/>
  <c r="F653" i="3"/>
  <c r="AE652" i="3"/>
  <c r="AC652" i="3"/>
  <c r="U652" i="3"/>
  <c r="P652" i="3"/>
  <c r="K652" i="3"/>
  <c r="H652" i="3"/>
  <c r="F652" i="3"/>
  <c r="AE651" i="3"/>
  <c r="AC651" i="3"/>
  <c r="U651" i="3"/>
  <c r="P651" i="3"/>
  <c r="K651" i="3"/>
  <c r="H651" i="3"/>
  <c r="F651" i="3"/>
  <c r="AE650" i="3"/>
  <c r="AC650" i="3"/>
  <c r="U650" i="3"/>
  <c r="P650" i="3"/>
  <c r="K650" i="3"/>
  <c r="H650" i="3"/>
  <c r="F650" i="3"/>
  <c r="AE649" i="3"/>
  <c r="AC649" i="3"/>
  <c r="U649" i="3"/>
  <c r="P649" i="3"/>
  <c r="K649" i="3"/>
  <c r="H649" i="3"/>
  <c r="F649" i="3"/>
  <c r="AE648" i="3"/>
  <c r="AC648" i="3"/>
  <c r="U648" i="3"/>
  <c r="P648" i="3"/>
  <c r="K648" i="3"/>
  <c r="H648" i="3"/>
  <c r="F648" i="3"/>
  <c r="AE647" i="3"/>
  <c r="AC647" i="3"/>
  <c r="U647" i="3"/>
  <c r="P647" i="3"/>
  <c r="K647" i="3"/>
  <c r="H647" i="3"/>
  <c r="F647" i="3"/>
  <c r="AE646" i="3"/>
  <c r="AC646" i="3"/>
  <c r="U646" i="3"/>
  <c r="P646" i="3"/>
  <c r="K646" i="3"/>
  <c r="H646" i="3"/>
  <c r="F646" i="3"/>
  <c r="AE645" i="3"/>
  <c r="AC645" i="3"/>
  <c r="U645" i="3"/>
  <c r="P645" i="3"/>
  <c r="K645" i="3"/>
  <c r="H645" i="3"/>
  <c r="F645" i="3"/>
  <c r="AE644" i="3"/>
  <c r="AC644" i="3"/>
  <c r="U644" i="3"/>
  <c r="P644" i="3"/>
  <c r="K644" i="3"/>
  <c r="H644" i="3"/>
  <c r="F644" i="3"/>
  <c r="AE643" i="3"/>
  <c r="AC643" i="3"/>
  <c r="U643" i="3"/>
  <c r="P643" i="3"/>
  <c r="K643" i="3"/>
  <c r="H643" i="3"/>
  <c r="F643" i="3"/>
  <c r="AE642" i="3"/>
  <c r="AC642" i="3"/>
  <c r="U642" i="3"/>
  <c r="P642" i="3"/>
  <c r="K642" i="3"/>
  <c r="H642" i="3"/>
  <c r="F642" i="3"/>
  <c r="AE641" i="3"/>
  <c r="AC641" i="3"/>
  <c r="U641" i="3"/>
  <c r="P641" i="3"/>
  <c r="K641" i="3"/>
  <c r="H641" i="3"/>
  <c r="F641" i="3"/>
  <c r="AE640" i="3"/>
  <c r="U640" i="3"/>
  <c r="P640" i="3"/>
  <c r="K640" i="3"/>
  <c r="H640" i="3"/>
  <c r="AE639" i="3"/>
  <c r="AC639" i="3"/>
  <c r="U639" i="3"/>
  <c r="P639" i="3"/>
  <c r="K639" i="3"/>
  <c r="H639" i="3"/>
  <c r="F639" i="3"/>
  <c r="AE638" i="3"/>
  <c r="AC638" i="3"/>
  <c r="U638" i="3"/>
  <c r="P638" i="3"/>
  <c r="K638" i="3"/>
  <c r="H638" i="3"/>
  <c r="F638" i="3"/>
  <c r="AE637" i="3"/>
  <c r="AC637" i="3"/>
  <c r="P637" i="3"/>
  <c r="V637" i="3" s="1"/>
  <c r="K637" i="3"/>
  <c r="H637" i="3"/>
  <c r="F637" i="3"/>
  <c r="AE636" i="3"/>
  <c r="AC636" i="3"/>
  <c r="U636" i="3"/>
  <c r="P636" i="3"/>
  <c r="K636" i="3"/>
  <c r="H636" i="3"/>
  <c r="F636" i="3"/>
  <c r="AE635" i="3"/>
  <c r="AC635" i="3"/>
  <c r="U635" i="3"/>
  <c r="P635" i="3"/>
  <c r="K635" i="3"/>
  <c r="H635" i="3"/>
  <c r="F635" i="3"/>
  <c r="AE634" i="3"/>
  <c r="AC634" i="3"/>
  <c r="U634" i="3"/>
  <c r="P634" i="3"/>
  <c r="K634" i="3"/>
  <c r="H634" i="3"/>
  <c r="F634" i="3"/>
  <c r="AE633" i="3"/>
  <c r="AC633" i="3"/>
  <c r="U633" i="3"/>
  <c r="P633" i="3"/>
  <c r="K633" i="3"/>
  <c r="H633" i="3"/>
  <c r="F633" i="3"/>
  <c r="AE632" i="3"/>
  <c r="AC632" i="3"/>
  <c r="U632" i="3"/>
  <c r="P632" i="3"/>
  <c r="K632" i="3"/>
  <c r="H632" i="3"/>
  <c r="F632" i="3"/>
  <c r="AE631" i="3"/>
  <c r="AC631" i="3"/>
  <c r="U631" i="3"/>
  <c r="P631" i="3"/>
  <c r="K631" i="3"/>
  <c r="H631" i="3"/>
  <c r="F631" i="3"/>
  <c r="AE630" i="3"/>
  <c r="AC630" i="3"/>
  <c r="U630" i="3"/>
  <c r="P630" i="3"/>
  <c r="K630" i="3"/>
  <c r="H630" i="3"/>
  <c r="F630" i="3"/>
  <c r="AE629" i="3"/>
  <c r="AC629" i="3"/>
  <c r="U629" i="3"/>
  <c r="P629" i="3"/>
  <c r="K629" i="3"/>
  <c r="H629" i="3"/>
  <c r="F629" i="3"/>
  <c r="AE628" i="3"/>
  <c r="U628" i="3"/>
  <c r="P628" i="3"/>
  <c r="K628" i="3"/>
  <c r="H628" i="3"/>
  <c r="F628" i="3"/>
  <c r="AE627" i="3"/>
  <c r="AC627" i="3"/>
  <c r="U627" i="3"/>
  <c r="P627" i="3"/>
  <c r="K627" i="3"/>
  <c r="H627" i="3"/>
  <c r="F627" i="3"/>
  <c r="AE626" i="3"/>
  <c r="AC626" i="3"/>
  <c r="U626" i="3"/>
  <c r="P626" i="3"/>
  <c r="K626" i="3"/>
  <c r="H626" i="3"/>
  <c r="F626" i="3"/>
  <c r="AE625" i="3"/>
  <c r="AC625" i="3"/>
  <c r="U625" i="3"/>
  <c r="P625" i="3"/>
  <c r="K625" i="3"/>
  <c r="H625" i="3"/>
  <c r="F625" i="3"/>
  <c r="AE624" i="3"/>
  <c r="AC624" i="3"/>
  <c r="U624" i="3"/>
  <c r="P624" i="3"/>
  <c r="K624" i="3"/>
  <c r="H624" i="3"/>
  <c r="F624" i="3"/>
  <c r="AE623" i="3"/>
  <c r="AC623" i="3"/>
  <c r="U623" i="3"/>
  <c r="P623" i="3"/>
  <c r="K623" i="3"/>
  <c r="H623" i="3"/>
  <c r="F623" i="3"/>
  <c r="AE622" i="3"/>
  <c r="AC622" i="3"/>
  <c r="U622" i="3"/>
  <c r="P622" i="3"/>
  <c r="K622" i="3"/>
  <c r="H622" i="3"/>
  <c r="F622" i="3"/>
  <c r="AE621" i="3"/>
  <c r="AC621" i="3"/>
  <c r="U621" i="3"/>
  <c r="P621" i="3"/>
  <c r="V621" i="3" s="1"/>
  <c r="K621" i="3"/>
  <c r="H621" i="3"/>
  <c r="F621" i="3"/>
  <c r="AE620" i="3"/>
  <c r="AC620" i="3"/>
  <c r="U620" i="3"/>
  <c r="P620" i="3"/>
  <c r="K620" i="3"/>
  <c r="H620" i="3"/>
  <c r="F620" i="3"/>
  <c r="AC619" i="3"/>
  <c r="U619" i="3"/>
  <c r="P619" i="3"/>
  <c r="K619" i="3"/>
  <c r="H619" i="3"/>
  <c r="F619" i="3"/>
  <c r="AE618" i="3"/>
  <c r="AC618" i="3"/>
  <c r="U618" i="3"/>
  <c r="P618" i="3"/>
  <c r="K618" i="3"/>
  <c r="H618" i="3"/>
  <c r="F618" i="3"/>
  <c r="AE617" i="3"/>
  <c r="AC617" i="3"/>
  <c r="U617" i="3"/>
  <c r="P617" i="3"/>
  <c r="K617" i="3"/>
  <c r="H617" i="3"/>
  <c r="F617" i="3"/>
  <c r="AE616" i="3"/>
  <c r="AC616" i="3"/>
  <c r="U616" i="3"/>
  <c r="P616" i="3"/>
  <c r="K616" i="3"/>
  <c r="H616" i="3"/>
  <c r="F616" i="3"/>
  <c r="AE615" i="3"/>
  <c r="AC615" i="3"/>
  <c r="U615" i="3"/>
  <c r="P615" i="3"/>
  <c r="K615" i="3"/>
  <c r="H615" i="3"/>
  <c r="F615" i="3"/>
  <c r="AE614" i="3"/>
  <c r="AC614" i="3"/>
  <c r="U614" i="3"/>
  <c r="P614" i="3"/>
  <c r="K614" i="3"/>
  <c r="H614" i="3"/>
  <c r="F614" i="3"/>
  <c r="AE613" i="3"/>
  <c r="AC613" i="3"/>
  <c r="U613" i="3"/>
  <c r="V613" i="3" s="1"/>
  <c r="K613" i="3"/>
  <c r="H613" i="3"/>
  <c r="F613" i="3"/>
  <c r="AE612" i="3"/>
  <c r="AC612" i="3"/>
  <c r="U612" i="3"/>
  <c r="P612" i="3"/>
  <c r="K612" i="3"/>
  <c r="H612" i="3"/>
  <c r="F612" i="3"/>
  <c r="AE611" i="3"/>
  <c r="AC611" i="3"/>
  <c r="U611" i="3"/>
  <c r="P611" i="3"/>
  <c r="K611" i="3"/>
  <c r="H611" i="3"/>
  <c r="F611" i="3"/>
  <c r="AE610" i="3"/>
  <c r="AC610" i="3"/>
  <c r="U610" i="3"/>
  <c r="P610" i="3"/>
  <c r="K610" i="3"/>
  <c r="H610" i="3"/>
  <c r="F610" i="3"/>
  <c r="AE609" i="3"/>
  <c r="AC609" i="3"/>
  <c r="U609" i="3"/>
  <c r="P609" i="3"/>
  <c r="K609" i="3"/>
  <c r="H609" i="3"/>
  <c r="F609" i="3"/>
  <c r="AE608" i="3"/>
  <c r="AC608" i="3"/>
  <c r="U608" i="3"/>
  <c r="P608" i="3"/>
  <c r="K608" i="3"/>
  <c r="H608" i="3"/>
  <c r="F608" i="3"/>
  <c r="AE607" i="3"/>
  <c r="AC607" i="3"/>
  <c r="U607" i="3"/>
  <c r="P607" i="3"/>
  <c r="K607" i="3"/>
  <c r="H607" i="3"/>
  <c r="F607" i="3"/>
  <c r="AE606" i="3"/>
  <c r="AC606" i="3"/>
  <c r="U606" i="3"/>
  <c r="P606" i="3"/>
  <c r="K606" i="3"/>
  <c r="H606" i="3"/>
  <c r="F606" i="3"/>
  <c r="AE605" i="3"/>
  <c r="AC605" i="3"/>
  <c r="U605" i="3"/>
  <c r="P605" i="3"/>
  <c r="K605" i="3"/>
  <c r="H605" i="3"/>
  <c r="F605" i="3"/>
  <c r="AE604" i="3"/>
  <c r="AC604" i="3"/>
  <c r="U604" i="3"/>
  <c r="P604" i="3"/>
  <c r="K604" i="3"/>
  <c r="H604" i="3"/>
  <c r="F604" i="3"/>
  <c r="AE603" i="3"/>
  <c r="AC603" i="3"/>
  <c r="U603" i="3"/>
  <c r="P603" i="3"/>
  <c r="K603" i="3"/>
  <c r="H603" i="3"/>
  <c r="F603" i="3"/>
  <c r="AE602" i="3"/>
  <c r="U602" i="3"/>
  <c r="P602" i="3"/>
  <c r="K602" i="3"/>
  <c r="H602" i="3"/>
  <c r="AE601" i="3"/>
  <c r="AC601" i="3"/>
  <c r="U601" i="3"/>
  <c r="P601" i="3"/>
  <c r="K601" i="3"/>
  <c r="F601" i="3"/>
  <c r="AE600" i="3"/>
  <c r="AC600" i="3"/>
  <c r="U600" i="3"/>
  <c r="P600" i="3"/>
  <c r="K600" i="3"/>
  <c r="F600" i="3"/>
  <c r="AE599" i="3"/>
  <c r="AC599" i="3"/>
  <c r="U599" i="3"/>
  <c r="P599" i="3"/>
  <c r="K599" i="3"/>
  <c r="F599" i="3"/>
  <c r="AE598" i="3"/>
  <c r="AC598" i="3"/>
  <c r="U598" i="3"/>
  <c r="P598" i="3"/>
  <c r="K598" i="3"/>
  <c r="H598" i="3"/>
  <c r="F598" i="3"/>
  <c r="AE597" i="3"/>
  <c r="AC597" i="3"/>
  <c r="U597" i="3"/>
  <c r="P597" i="3"/>
  <c r="K597" i="3"/>
  <c r="H597" i="3"/>
  <c r="F597" i="3"/>
  <c r="AE596" i="3"/>
  <c r="AC596" i="3"/>
  <c r="U596" i="3"/>
  <c r="P596" i="3"/>
  <c r="K596" i="3"/>
  <c r="H596" i="3"/>
  <c r="F596" i="3"/>
  <c r="AE595" i="3"/>
  <c r="AC595" i="3"/>
  <c r="U595" i="3"/>
  <c r="P595" i="3"/>
  <c r="K595" i="3"/>
  <c r="H595" i="3"/>
  <c r="F595" i="3"/>
  <c r="AE594" i="3"/>
  <c r="AC594" i="3"/>
  <c r="U594" i="3"/>
  <c r="P594" i="3"/>
  <c r="K594" i="3"/>
  <c r="H594" i="3"/>
  <c r="F594" i="3"/>
  <c r="AE593" i="3"/>
  <c r="AC593" i="3"/>
  <c r="U593" i="3"/>
  <c r="P593" i="3"/>
  <c r="K593" i="3"/>
  <c r="H593" i="3"/>
  <c r="F593" i="3"/>
  <c r="AE592" i="3"/>
  <c r="AC592" i="3"/>
  <c r="U592" i="3"/>
  <c r="P592" i="3"/>
  <c r="K592" i="3"/>
  <c r="H592" i="3"/>
  <c r="F592" i="3"/>
  <c r="AE591" i="3"/>
  <c r="AC591" i="3"/>
  <c r="U591" i="3"/>
  <c r="P591" i="3"/>
  <c r="K591" i="3"/>
  <c r="H591" i="3"/>
  <c r="F591" i="3"/>
  <c r="AE590" i="3"/>
  <c r="AC590" i="3"/>
  <c r="U590" i="3"/>
  <c r="P590" i="3"/>
  <c r="K590" i="3"/>
  <c r="H590" i="3"/>
  <c r="F590" i="3"/>
  <c r="AE589" i="3"/>
  <c r="AC589" i="3"/>
  <c r="U589" i="3"/>
  <c r="P589" i="3"/>
  <c r="K589" i="3"/>
  <c r="H589" i="3"/>
  <c r="F589" i="3"/>
  <c r="AE588" i="3"/>
  <c r="AC588" i="3"/>
  <c r="U588" i="3"/>
  <c r="P588" i="3"/>
  <c r="K588" i="3"/>
  <c r="H588" i="3"/>
  <c r="F588" i="3"/>
  <c r="AE587" i="3"/>
  <c r="AC587" i="3"/>
  <c r="U587" i="3"/>
  <c r="P587" i="3"/>
  <c r="K587" i="3"/>
  <c r="H587" i="3"/>
  <c r="F587" i="3"/>
  <c r="AE586" i="3"/>
  <c r="AC586" i="3"/>
  <c r="U586" i="3"/>
  <c r="P586" i="3"/>
  <c r="K586" i="3"/>
  <c r="H586" i="3"/>
  <c r="F586" i="3"/>
  <c r="AE585" i="3"/>
  <c r="AC585" i="3"/>
  <c r="U585" i="3"/>
  <c r="P585" i="3"/>
  <c r="K585" i="3"/>
  <c r="H585" i="3"/>
  <c r="F585" i="3"/>
  <c r="AE584" i="3"/>
  <c r="AC584" i="3"/>
  <c r="U584" i="3"/>
  <c r="P584" i="3"/>
  <c r="K584" i="3"/>
  <c r="H584" i="3"/>
  <c r="F584" i="3"/>
  <c r="AE583" i="3"/>
  <c r="AC583" i="3"/>
  <c r="U583" i="3"/>
  <c r="P583" i="3"/>
  <c r="K583" i="3"/>
  <c r="H583" i="3"/>
  <c r="F583" i="3"/>
  <c r="AE582" i="3"/>
  <c r="AC582" i="3"/>
  <c r="U582" i="3"/>
  <c r="P582" i="3"/>
  <c r="K582" i="3"/>
  <c r="H582" i="3"/>
  <c r="F582" i="3"/>
  <c r="AE581" i="3"/>
  <c r="AC581" i="3"/>
  <c r="U581" i="3"/>
  <c r="P581" i="3"/>
  <c r="K581" i="3"/>
  <c r="H581" i="3"/>
  <c r="F581" i="3"/>
  <c r="AE580" i="3"/>
  <c r="AC580" i="3"/>
  <c r="U580" i="3"/>
  <c r="P580" i="3"/>
  <c r="K580" i="3"/>
  <c r="H580" i="3"/>
  <c r="F580" i="3"/>
  <c r="AE579" i="3"/>
  <c r="AC579" i="3"/>
  <c r="U579" i="3"/>
  <c r="P579" i="3"/>
  <c r="K579" i="3"/>
  <c r="H579" i="3"/>
  <c r="F579" i="3"/>
  <c r="AE578" i="3"/>
  <c r="AC578" i="3"/>
  <c r="U578" i="3"/>
  <c r="P578" i="3"/>
  <c r="K578" i="3"/>
  <c r="H578" i="3"/>
  <c r="F578" i="3"/>
  <c r="AE577" i="3"/>
  <c r="AC577" i="3"/>
  <c r="U577" i="3"/>
  <c r="P577" i="3"/>
  <c r="K577" i="3"/>
  <c r="H577" i="3"/>
  <c r="F577" i="3"/>
  <c r="AE576" i="3"/>
  <c r="AC576" i="3"/>
  <c r="U576" i="3"/>
  <c r="P576" i="3"/>
  <c r="K576" i="3"/>
  <c r="H576" i="3"/>
  <c r="F576" i="3"/>
  <c r="AE575" i="3"/>
  <c r="AC575" i="3"/>
  <c r="U575" i="3"/>
  <c r="P575" i="3"/>
  <c r="K575" i="3"/>
  <c r="H575" i="3"/>
  <c r="F575" i="3"/>
  <c r="AE574" i="3"/>
  <c r="AC574" i="3"/>
  <c r="U574" i="3"/>
  <c r="P574" i="3"/>
  <c r="K574" i="3"/>
  <c r="H574" i="3"/>
  <c r="F574" i="3"/>
  <c r="AE573" i="3"/>
  <c r="AC573" i="3"/>
  <c r="U573" i="3"/>
  <c r="P573" i="3"/>
  <c r="K573" i="3"/>
  <c r="H573" i="3"/>
  <c r="F573" i="3"/>
  <c r="AE572" i="3"/>
  <c r="AC572" i="3"/>
  <c r="U572" i="3"/>
  <c r="P572" i="3"/>
  <c r="K572" i="3"/>
  <c r="H572" i="3"/>
  <c r="F572" i="3"/>
  <c r="AE571" i="3"/>
  <c r="AC571" i="3"/>
  <c r="U571" i="3"/>
  <c r="P571" i="3"/>
  <c r="K571" i="3"/>
  <c r="H571" i="3"/>
  <c r="F571" i="3"/>
  <c r="AE570" i="3"/>
  <c r="AC570" i="3"/>
  <c r="U570" i="3"/>
  <c r="P570" i="3"/>
  <c r="K570" i="3"/>
  <c r="H570" i="3"/>
  <c r="F570" i="3"/>
  <c r="AE569" i="3"/>
  <c r="AC569" i="3"/>
  <c r="U569" i="3"/>
  <c r="P569" i="3"/>
  <c r="K569" i="3"/>
  <c r="H569" i="3"/>
  <c r="F569" i="3"/>
  <c r="AE568" i="3"/>
  <c r="AC568" i="3"/>
  <c r="U568" i="3"/>
  <c r="P568" i="3"/>
  <c r="K568" i="3"/>
  <c r="H568" i="3"/>
  <c r="F568" i="3"/>
  <c r="AE567" i="3"/>
  <c r="AC567" i="3"/>
  <c r="U567" i="3"/>
  <c r="P567" i="3"/>
  <c r="K567" i="3"/>
  <c r="H567" i="3"/>
  <c r="F567" i="3"/>
  <c r="AE566" i="3"/>
  <c r="AC566" i="3"/>
  <c r="U566" i="3"/>
  <c r="P566" i="3"/>
  <c r="K566" i="3"/>
  <c r="H566" i="3"/>
  <c r="F566" i="3"/>
  <c r="AE565" i="3"/>
  <c r="AC565" i="3"/>
  <c r="U565" i="3"/>
  <c r="P565" i="3"/>
  <c r="K565" i="3"/>
  <c r="H565" i="3"/>
  <c r="F565" i="3"/>
  <c r="AE564" i="3"/>
  <c r="AC564" i="3"/>
  <c r="U564" i="3"/>
  <c r="P564" i="3"/>
  <c r="K564" i="3"/>
  <c r="H564" i="3"/>
  <c r="F564" i="3"/>
  <c r="AE563" i="3"/>
  <c r="AC563" i="3"/>
  <c r="U563" i="3"/>
  <c r="P563" i="3"/>
  <c r="K563" i="3"/>
  <c r="H563" i="3"/>
  <c r="F563" i="3"/>
  <c r="AE562" i="3"/>
  <c r="AC562" i="3"/>
  <c r="U562" i="3"/>
  <c r="P562" i="3"/>
  <c r="K562" i="3"/>
  <c r="H562" i="3"/>
  <c r="F562" i="3"/>
  <c r="AE561" i="3"/>
  <c r="AC561" i="3"/>
  <c r="U561" i="3"/>
  <c r="P561" i="3"/>
  <c r="K561" i="3"/>
  <c r="H561" i="3"/>
  <c r="F561" i="3"/>
  <c r="AE560" i="3"/>
  <c r="AC560" i="3"/>
  <c r="U560" i="3"/>
  <c r="P560" i="3"/>
  <c r="K560" i="3"/>
  <c r="H560" i="3"/>
  <c r="F560" i="3"/>
  <c r="AE559" i="3"/>
  <c r="AC559" i="3"/>
  <c r="U559" i="3"/>
  <c r="P559" i="3"/>
  <c r="K559" i="3"/>
  <c r="H559" i="3"/>
  <c r="F559" i="3"/>
  <c r="AE558" i="3"/>
  <c r="AC558" i="3"/>
  <c r="U558" i="3"/>
  <c r="P558" i="3"/>
  <c r="K558" i="3"/>
  <c r="H558" i="3"/>
  <c r="F558" i="3"/>
  <c r="AE557" i="3"/>
  <c r="AC557" i="3"/>
  <c r="U557" i="3"/>
  <c r="P557" i="3"/>
  <c r="K557" i="3"/>
  <c r="H557" i="3"/>
  <c r="F557" i="3"/>
  <c r="AE556" i="3"/>
  <c r="AC556" i="3"/>
  <c r="U556" i="3"/>
  <c r="P556" i="3"/>
  <c r="K556" i="3"/>
  <c r="H556" i="3"/>
  <c r="F556" i="3"/>
  <c r="AE555" i="3"/>
  <c r="AC555" i="3"/>
  <c r="U555" i="3"/>
  <c r="P555" i="3"/>
  <c r="K555" i="3"/>
  <c r="H555" i="3"/>
  <c r="F555" i="3"/>
  <c r="AE554" i="3"/>
  <c r="AC554" i="3"/>
  <c r="U554" i="3"/>
  <c r="P554" i="3"/>
  <c r="K554" i="3"/>
  <c r="H554" i="3"/>
  <c r="F554" i="3"/>
  <c r="AE553" i="3"/>
  <c r="AC553" i="3"/>
  <c r="U553" i="3"/>
  <c r="P553" i="3"/>
  <c r="K553" i="3"/>
  <c r="H553" i="3"/>
  <c r="F553" i="3"/>
  <c r="AE552" i="3"/>
  <c r="AC552" i="3"/>
  <c r="U552" i="3"/>
  <c r="P552" i="3"/>
  <c r="K552" i="3"/>
  <c r="H552" i="3"/>
  <c r="F552" i="3"/>
  <c r="AE551" i="3"/>
  <c r="AC551" i="3"/>
  <c r="U551" i="3"/>
  <c r="P551" i="3"/>
  <c r="K551" i="3"/>
  <c r="H551" i="3"/>
  <c r="F551" i="3"/>
  <c r="AE550" i="3"/>
  <c r="AC550" i="3"/>
  <c r="U550" i="3"/>
  <c r="P550" i="3"/>
  <c r="K550" i="3"/>
  <c r="H550" i="3"/>
  <c r="F550" i="3"/>
  <c r="AE549" i="3"/>
  <c r="AC549" i="3"/>
  <c r="U549" i="3"/>
  <c r="P549" i="3"/>
  <c r="K549" i="3"/>
  <c r="H549" i="3"/>
  <c r="F549" i="3"/>
  <c r="AE548" i="3"/>
  <c r="AC548" i="3"/>
  <c r="U548" i="3"/>
  <c r="P548" i="3"/>
  <c r="K548" i="3"/>
  <c r="H548" i="3"/>
  <c r="F548" i="3"/>
  <c r="AE547" i="3"/>
  <c r="AC547" i="3"/>
  <c r="U547" i="3"/>
  <c r="P547" i="3"/>
  <c r="K547" i="3"/>
  <c r="H547" i="3"/>
  <c r="F547" i="3"/>
  <c r="AE546" i="3"/>
  <c r="AC546" i="3"/>
  <c r="U546" i="3"/>
  <c r="P546" i="3"/>
  <c r="K546" i="3"/>
  <c r="H546" i="3"/>
  <c r="F546" i="3"/>
  <c r="AE545" i="3"/>
  <c r="AC545" i="3"/>
  <c r="U545" i="3"/>
  <c r="P545" i="3"/>
  <c r="K545" i="3"/>
  <c r="H545" i="3"/>
  <c r="F545" i="3"/>
  <c r="AE544" i="3"/>
  <c r="AC544" i="3"/>
  <c r="U544" i="3"/>
  <c r="P544" i="3"/>
  <c r="K544" i="3"/>
  <c r="H544" i="3"/>
  <c r="F544" i="3"/>
  <c r="AE543" i="3"/>
  <c r="AC543" i="3"/>
  <c r="U543" i="3"/>
  <c r="P543" i="3"/>
  <c r="K543" i="3"/>
  <c r="H543" i="3"/>
  <c r="F543" i="3"/>
  <c r="AE542" i="3"/>
  <c r="AC542" i="3"/>
  <c r="U542" i="3"/>
  <c r="P542" i="3"/>
  <c r="K542" i="3"/>
  <c r="H542" i="3"/>
  <c r="F542" i="3"/>
  <c r="AE541" i="3"/>
  <c r="AC541" i="3"/>
  <c r="U541" i="3"/>
  <c r="P541" i="3"/>
  <c r="K541" i="3"/>
  <c r="H541" i="3"/>
  <c r="F541" i="3"/>
  <c r="AE540" i="3"/>
  <c r="AC540" i="3"/>
  <c r="U540" i="3"/>
  <c r="P540" i="3"/>
  <c r="K540" i="3"/>
  <c r="H540" i="3"/>
  <c r="F540" i="3"/>
  <c r="AE539" i="3"/>
  <c r="AC539" i="3"/>
  <c r="U539" i="3"/>
  <c r="P539" i="3"/>
  <c r="K539" i="3"/>
  <c r="H539" i="3"/>
  <c r="F539" i="3"/>
  <c r="AE538" i="3"/>
  <c r="AC538" i="3"/>
  <c r="U538" i="3"/>
  <c r="P538" i="3"/>
  <c r="K538" i="3"/>
  <c r="H538" i="3"/>
  <c r="F538" i="3"/>
  <c r="AE537" i="3"/>
  <c r="AC537" i="3"/>
  <c r="U537" i="3"/>
  <c r="P537" i="3"/>
  <c r="K537" i="3"/>
  <c r="H537" i="3"/>
  <c r="F537" i="3"/>
  <c r="AE536" i="3"/>
  <c r="AC536" i="3"/>
  <c r="U536" i="3"/>
  <c r="P536" i="3"/>
  <c r="K536" i="3"/>
  <c r="H536" i="3"/>
  <c r="F536" i="3"/>
  <c r="AE535" i="3"/>
  <c r="AC535" i="3"/>
  <c r="U535" i="3"/>
  <c r="P535" i="3"/>
  <c r="K535" i="3"/>
  <c r="H535" i="3"/>
  <c r="F535" i="3"/>
  <c r="AE534" i="3"/>
  <c r="AC534" i="3"/>
  <c r="U534" i="3"/>
  <c r="P534" i="3"/>
  <c r="K534" i="3"/>
  <c r="H534" i="3"/>
  <c r="F534" i="3"/>
  <c r="AE533" i="3"/>
  <c r="AC533" i="3"/>
  <c r="U533" i="3"/>
  <c r="P533" i="3"/>
  <c r="K533" i="3"/>
  <c r="H533" i="3"/>
  <c r="F533" i="3"/>
  <c r="AE532" i="3"/>
  <c r="AC532" i="3"/>
  <c r="U532" i="3"/>
  <c r="P532" i="3"/>
  <c r="K532" i="3"/>
  <c r="H532" i="3"/>
  <c r="F532" i="3"/>
  <c r="AE531" i="3"/>
  <c r="AC531" i="3"/>
  <c r="U531" i="3"/>
  <c r="P531" i="3"/>
  <c r="K531" i="3"/>
  <c r="H531" i="3"/>
  <c r="F531" i="3"/>
  <c r="AE530" i="3"/>
  <c r="AC530" i="3"/>
  <c r="U530" i="3"/>
  <c r="P530" i="3"/>
  <c r="K530" i="3"/>
  <c r="H530" i="3"/>
  <c r="F530" i="3"/>
  <c r="AE529" i="3"/>
  <c r="AC529" i="3"/>
  <c r="U529" i="3"/>
  <c r="P529" i="3"/>
  <c r="K529" i="3"/>
  <c r="H529" i="3"/>
  <c r="F529" i="3"/>
  <c r="AE528" i="3"/>
  <c r="AC528" i="3"/>
  <c r="U528" i="3"/>
  <c r="P528" i="3"/>
  <c r="K528" i="3"/>
  <c r="H528" i="3"/>
  <c r="F528" i="3"/>
  <c r="AE527" i="3"/>
  <c r="AC527" i="3"/>
  <c r="U527" i="3"/>
  <c r="P527" i="3"/>
  <c r="K527" i="3"/>
  <c r="H527" i="3"/>
  <c r="F527" i="3"/>
  <c r="AE526" i="3"/>
  <c r="AC526" i="3"/>
  <c r="U526" i="3"/>
  <c r="P526" i="3"/>
  <c r="K526" i="3"/>
  <c r="H526" i="3"/>
  <c r="F526" i="3"/>
  <c r="AE525" i="3"/>
  <c r="AC525" i="3"/>
  <c r="U525" i="3"/>
  <c r="P525" i="3"/>
  <c r="K525" i="3"/>
  <c r="H525" i="3"/>
  <c r="F525" i="3"/>
  <c r="AE524" i="3"/>
  <c r="AC524" i="3"/>
  <c r="U524" i="3"/>
  <c r="P524" i="3"/>
  <c r="K524" i="3"/>
  <c r="H524" i="3"/>
  <c r="F524" i="3"/>
  <c r="AE523" i="3"/>
  <c r="AC523" i="3"/>
  <c r="U523" i="3"/>
  <c r="P523" i="3"/>
  <c r="K523" i="3"/>
  <c r="H523" i="3"/>
  <c r="F523" i="3"/>
  <c r="AE522" i="3"/>
  <c r="AC522" i="3"/>
  <c r="U522" i="3"/>
  <c r="P522" i="3"/>
  <c r="K522" i="3"/>
  <c r="H522" i="3"/>
  <c r="F522" i="3"/>
  <c r="AE521" i="3"/>
  <c r="AC521" i="3"/>
  <c r="U521" i="3"/>
  <c r="P521" i="3"/>
  <c r="K521" i="3"/>
  <c r="H521" i="3"/>
  <c r="F521" i="3"/>
  <c r="AE520" i="3"/>
  <c r="AC520" i="3"/>
  <c r="U520" i="3"/>
  <c r="P520" i="3"/>
  <c r="K520" i="3"/>
  <c r="H520" i="3"/>
  <c r="F520" i="3"/>
  <c r="AE519" i="3"/>
  <c r="AC519" i="3"/>
  <c r="U519" i="3"/>
  <c r="P519" i="3"/>
  <c r="K519" i="3"/>
  <c r="H519" i="3"/>
  <c r="F519" i="3"/>
  <c r="AE518" i="3"/>
  <c r="AC518" i="3"/>
  <c r="U518" i="3"/>
  <c r="P518" i="3"/>
  <c r="K518" i="3"/>
  <c r="H518" i="3"/>
  <c r="F518" i="3"/>
  <c r="AE517" i="3"/>
  <c r="AC517" i="3"/>
  <c r="U517" i="3"/>
  <c r="P517" i="3"/>
  <c r="K517" i="3"/>
  <c r="H517" i="3"/>
  <c r="F517" i="3"/>
  <c r="AE516" i="3"/>
  <c r="AC516" i="3"/>
  <c r="U516" i="3"/>
  <c r="P516" i="3"/>
  <c r="K516" i="3"/>
  <c r="H516" i="3"/>
  <c r="F516" i="3"/>
  <c r="AE515" i="3"/>
  <c r="AC515" i="3"/>
  <c r="U515" i="3"/>
  <c r="P515" i="3"/>
  <c r="K515" i="3"/>
  <c r="H515" i="3"/>
  <c r="F515" i="3"/>
  <c r="AE514" i="3"/>
  <c r="AC514" i="3"/>
  <c r="U514" i="3"/>
  <c r="P514" i="3"/>
  <c r="K514" i="3"/>
  <c r="H514" i="3"/>
  <c r="F514" i="3"/>
  <c r="AE513" i="3"/>
  <c r="AC513" i="3"/>
  <c r="U513" i="3"/>
  <c r="P513" i="3"/>
  <c r="K513" i="3"/>
  <c r="H513" i="3"/>
  <c r="F513" i="3"/>
  <c r="AE512" i="3"/>
  <c r="AC512" i="3"/>
  <c r="U512" i="3"/>
  <c r="P512" i="3"/>
  <c r="K512" i="3"/>
  <c r="H512" i="3"/>
  <c r="F512" i="3"/>
  <c r="AE511" i="3"/>
  <c r="AC511" i="3"/>
  <c r="U511" i="3"/>
  <c r="P511" i="3"/>
  <c r="K511" i="3"/>
  <c r="H511" i="3"/>
  <c r="F511" i="3"/>
  <c r="AE510" i="3"/>
  <c r="AC510" i="3"/>
  <c r="U510" i="3"/>
  <c r="P510" i="3"/>
  <c r="K510" i="3"/>
  <c r="H510" i="3"/>
  <c r="F510" i="3"/>
  <c r="AE509" i="3"/>
  <c r="AC509" i="3"/>
  <c r="U509" i="3"/>
  <c r="P509" i="3"/>
  <c r="K509" i="3"/>
  <c r="H509" i="3"/>
  <c r="F509" i="3"/>
  <c r="AE508" i="3"/>
  <c r="AC508" i="3"/>
  <c r="U508" i="3"/>
  <c r="P508" i="3"/>
  <c r="K508" i="3"/>
  <c r="H508" i="3"/>
  <c r="F508" i="3"/>
  <c r="AE507" i="3"/>
  <c r="AC507" i="3"/>
  <c r="U507" i="3"/>
  <c r="P507" i="3"/>
  <c r="K507" i="3"/>
  <c r="H507" i="3"/>
  <c r="F507" i="3"/>
  <c r="AE506" i="3"/>
  <c r="AC506" i="3"/>
  <c r="U506" i="3"/>
  <c r="P506" i="3"/>
  <c r="K506" i="3"/>
  <c r="H506" i="3"/>
  <c r="F506" i="3"/>
  <c r="AE505" i="3"/>
  <c r="AC505" i="3"/>
  <c r="U505" i="3"/>
  <c r="P505" i="3"/>
  <c r="K505" i="3"/>
  <c r="H505" i="3"/>
  <c r="F505" i="3"/>
  <c r="AE504" i="3"/>
  <c r="AC504" i="3"/>
  <c r="U504" i="3"/>
  <c r="P504" i="3"/>
  <c r="K504" i="3"/>
  <c r="H504" i="3"/>
  <c r="F504" i="3"/>
  <c r="AE503" i="3"/>
  <c r="AC503" i="3"/>
  <c r="U503" i="3"/>
  <c r="P503" i="3"/>
  <c r="K503" i="3"/>
  <c r="H503" i="3"/>
  <c r="F503" i="3"/>
  <c r="AE502" i="3"/>
  <c r="AC502" i="3"/>
  <c r="U502" i="3"/>
  <c r="P502" i="3"/>
  <c r="K502" i="3"/>
  <c r="H502" i="3"/>
  <c r="F502" i="3"/>
  <c r="AE501" i="3"/>
  <c r="AC501" i="3"/>
  <c r="U501" i="3"/>
  <c r="P501" i="3"/>
  <c r="K501" i="3"/>
  <c r="H501" i="3"/>
  <c r="F501" i="3"/>
  <c r="AE500" i="3"/>
  <c r="AC500" i="3"/>
  <c r="U500" i="3"/>
  <c r="P500" i="3"/>
  <c r="K500" i="3"/>
  <c r="H500" i="3"/>
  <c r="F500" i="3"/>
  <c r="AE499" i="3"/>
  <c r="AC499" i="3"/>
  <c r="U499" i="3"/>
  <c r="P499" i="3"/>
  <c r="K499" i="3"/>
  <c r="H499" i="3"/>
  <c r="F499" i="3"/>
  <c r="AE498" i="3"/>
  <c r="AC498" i="3"/>
  <c r="U498" i="3"/>
  <c r="P498" i="3"/>
  <c r="K498" i="3"/>
  <c r="H498" i="3"/>
  <c r="F498" i="3"/>
  <c r="AE497" i="3"/>
  <c r="AC497" i="3"/>
  <c r="U497" i="3"/>
  <c r="P497" i="3"/>
  <c r="K497" i="3"/>
  <c r="H497" i="3"/>
  <c r="F497" i="3"/>
  <c r="AE496" i="3"/>
  <c r="AC496" i="3"/>
  <c r="U496" i="3"/>
  <c r="P496" i="3"/>
  <c r="K496" i="3"/>
  <c r="H496" i="3"/>
  <c r="F496" i="3"/>
  <c r="AE495" i="3"/>
  <c r="AC495" i="3"/>
  <c r="U495" i="3"/>
  <c r="P495" i="3"/>
  <c r="K495" i="3"/>
  <c r="H495" i="3"/>
  <c r="F495" i="3"/>
  <c r="AE494" i="3"/>
  <c r="AC494" i="3"/>
  <c r="U494" i="3"/>
  <c r="P494" i="3"/>
  <c r="K494" i="3"/>
  <c r="H494" i="3"/>
  <c r="F494" i="3"/>
  <c r="AE493" i="3"/>
  <c r="AC493" i="3"/>
  <c r="U493" i="3"/>
  <c r="P493" i="3"/>
  <c r="K493" i="3"/>
  <c r="H493" i="3"/>
  <c r="F493" i="3"/>
  <c r="AE492" i="3"/>
  <c r="AC492" i="3"/>
  <c r="U492" i="3"/>
  <c r="P492" i="3"/>
  <c r="K492" i="3"/>
  <c r="H492" i="3"/>
  <c r="F492" i="3"/>
  <c r="AE491" i="3"/>
  <c r="AC491" i="3"/>
  <c r="U491" i="3"/>
  <c r="P491" i="3"/>
  <c r="K491" i="3"/>
  <c r="H491" i="3"/>
  <c r="F491" i="3"/>
  <c r="AE490" i="3"/>
  <c r="AC490" i="3"/>
  <c r="U490" i="3"/>
  <c r="P490" i="3"/>
  <c r="K490" i="3"/>
  <c r="H490" i="3"/>
  <c r="F490" i="3"/>
  <c r="AE489" i="3"/>
  <c r="AC489" i="3"/>
  <c r="U489" i="3"/>
  <c r="P489" i="3"/>
  <c r="K489" i="3"/>
  <c r="H489" i="3"/>
  <c r="F489" i="3"/>
  <c r="AE488" i="3"/>
  <c r="AC488" i="3"/>
  <c r="U488" i="3"/>
  <c r="P488" i="3"/>
  <c r="K488" i="3"/>
  <c r="H488" i="3"/>
  <c r="F488" i="3"/>
  <c r="AE487" i="3"/>
  <c r="AC487" i="3"/>
  <c r="U487" i="3"/>
  <c r="P487" i="3"/>
  <c r="K487" i="3"/>
  <c r="H487" i="3"/>
  <c r="F487" i="3"/>
  <c r="AE486" i="3"/>
  <c r="AC486" i="3"/>
  <c r="U486" i="3"/>
  <c r="P486" i="3"/>
  <c r="K486" i="3"/>
  <c r="H486" i="3"/>
  <c r="F486" i="3"/>
  <c r="AE485" i="3"/>
  <c r="AC485" i="3"/>
  <c r="U485" i="3"/>
  <c r="P485" i="3"/>
  <c r="K485" i="3"/>
  <c r="H485" i="3"/>
  <c r="F485" i="3"/>
  <c r="AE484" i="3"/>
  <c r="AC484" i="3"/>
  <c r="U484" i="3"/>
  <c r="P484" i="3"/>
  <c r="K484" i="3"/>
  <c r="H484" i="3"/>
  <c r="F484" i="3"/>
  <c r="AE483" i="3"/>
  <c r="AC483" i="3"/>
  <c r="U483" i="3"/>
  <c r="P483" i="3"/>
  <c r="K483" i="3"/>
  <c r="H483" i="3"/>
  <c r="F483" i="3"/>
  <c r="AE482" i="3"/>
  <c r="AC482" i="3"/>
  <c r="U482" i="3"/>
  <c r="P482" i="3"/>
  <c r="K482" i="3"/>
  <c r="H482" i="3"/>
  <c r="F482" i="3"/>
  <c r="AE481" i="3"/>
  <c r="AC481" i="3"/>
  <c r="U481" i="3"/>
  <c r="P481" i="3"/>
  <c r="K481" i="3"/>
  <c r="H481" i="3"/>
  <c r="F481" i="3"/>
  <c r="AE480" i="3"/>
  <c r="AC480" i="3"/>
  <c r="U480" i="3"/>
  <c r="P480" i="3"/>
  <c r="K480" i="3"/>
  <c r="H480" i="3"/>
  <c r="F480" i="3"/>
  <c r="AE479" i="3"/>
  <c r="AC479" i="3"/>
  <c r="U479" i="3"/>
  <c r="P479" i="3"/>
  <c r="K479" i="3"/>
  <c r="H479" i="3"/>
  <c r="F479" i="3"/>
  <c r="AE478" i="3"/>
  <c r="AC478" i="3"/>
  <c r="U478" i="3"/>
  <c r="P478" i="3"/>
  <c r="K478" i="3"/>
  <c r="H478" i="3"/>
  <c r="F478" i="3"/>
  <c r="AE477" i="3"/>
  <c r="AC477" i="3"/>
  <c r="U477" i="3"/>
  <c r="P477" i="3"/>
  <c r="K477" i="3"/>
  <c r="H477" i="3"/>
  <c r="F477" i="3"/>
  <c r="AE476" i="3"/>
  <c r="AC476" i="3"/>
  <c r="U476" i="3"/>
  <c r="P476" i="3"/>
  <c r="K476" i="3"/>
  <c r="H476" i="3"/>
  <c r="F476" i="3"/>
  <c r="AE475" i="3"/>
  <c r="AC475" i="3"/>
  <c r="U475" i="3"/>
  <c r="P475" i="3"/>
  <c r="K475" i="3"/>
  <c r="H475" i="3"/>
  <c r="F475" i="3"/>
  <c r="AE474" i="3"/>
  <c r="AC474" i="3"/>
  <c r="U474" i="3"/>
  <c r="P474" i="3"/>
  <c r="K474" i="3"/>
  <c r="H474" i="3"/>
  <c r="F474" i="3"/>
  <c r="AE473" i="3"/>
  <c r="AC473" i="3"/>
  <c r="U473" i="3"/>
  <c r="P473" i="3"/>
  <c r="K473" i="3"/>
  <c r="H473" i="3"/>
  <c r="F473" i="3"/>
  <c r="AE472" i="3"/>
  <c r="AC472" i="3"/>
  <c r="U472" i="3"/>
  <c r="P472" i="3"/>
  <c r="K472" i="3"/>
  <c r="H472" i="3"/>
  <c r="F472" i="3"/>
  <c r="AE471" i="3"/>
  <c r="AC471" i="3"/>
  <c r="U471" i="3"/>
  <c r="P471" i="3"/>
  <c r="K471" i="3"/>
  <c r="H471" i="3"/>
  <c r="F471" i="3"/>
  <c r="AE470" i="3"/>
  <c r="AC470" i="3"/>
  <c r="U470" i="3"/>
  <c r="P470" i="3"/>
  <c r="K470" i="3"/>
  <c r="H470" i="3"/>
  <c r="F470" i="3"/>
  <c r="AE469" i="3"/>
  <c r="AC469" i="3"/>
  <c r="U469" i="3"/>
  <c r="P469" i="3"/>
  <c r="K469" i="3"/>
  <c r="H469" i="3"/>
  <c r="F469" i="3"/>
  <c r="AE468" i="3"/>
  <c r="AC468" i="3"/>
  <c r="U468" i="3"/>
  <c r="P468" i="3"/>
  <c r="K468" i="3"/>
  <c r="H468" i="3"/>
  <c r="F468" i="3"/>
  <c r="AE467" i="3"/>
  <c r="AC467" i="3"/>
  <c r="U467" i="3"/>
  <c r="P467" i="3"/>
  <c r="K467" i="3"/>
  <c r="H467" i="3"/>
  <c r="F467" i="3"/>
  <c r="AE466" i="3"/>
  <c r="AC466" i="3"/>
  <c r="U466" i="3"/>
  <c r="P466" i="3"/>
  <c r="K466" i="3"/>
  <c r="H466" i="3"/>
  <c r="F466" i="3"/>
  <c r="AE465" i="3"/>
  <c r="AC465" i="3"/>
  <c r="U465" i="3"/>
  <c r="P465" i="3"/>
  <c r="K465" i="3"/>
  <c r="H465" i="3"/>
  <c r="F465" i="3"/>
  <c r="AE464" i="3"/>
  <c r="AC464" i="3"/>
  <c r="U464" i="3"/>
  <c r="P464" i="3"/>
  <c r="K464" i="3"/>
  <c r="H464" i="3"/>
  <c r="F464" i="3"/>
  <c r="AE463" i="3"/>
  <c r="AC463" i="3"/>
  <c r="U463" i="3"/>
  <c r="P463" i="3"/>
  <c r="K463" i="3"/>
  <c r="H463" i="3"/>
  <c r="F463" i="3"/>
  <c r="AE462" i="3"/>
  <c r="AC462" i="3"/>
  <c r="U462" i="3"/>
  <c r="P462" i="3"/>
  <c r="K462" i="3"/>
  <c r="H462" i="3"/>
  <c r="F462" i="3"/>
  <c r="AE461" i="3"/>
  <c r="AC461" i="3"/>
  <c r="U461" i="3"/>
  <c r="P461" i="3"/>
  <c r="K461" i="3"/>
  <c r="H461" i="3"/>
  <c r="F461" i="3"/>
  <c r="AE460" i="3"/>
  <c r="AC460" i="3"/>
  <c r="U460" i="3"/>
  <c r="P460" i="3"/>
  <c r="K460" i="3"/>
  <c r="H460" i="3"/>
  <c r="F460" i="3"/>
  <c r="AE459" i="3"/>
  <c r="AC459" i="3"/>
  <c r="U459" i="3"/>
  <c r="P459" i="3"/>
  <c r="K459" i="3"/>
  <c r="H459" i="3"/>
  <c r="F459" i="3"/>
  <c r="AE458" i="3"/>
  <c r="AC458" i="3"/>
  <c r="U458" i="3"/>
  <c r="P458" i="3"/>
  <c r="K458" i="3"/>
  <c r="H458" i="3"/>
  <c r="F458" i="3"/>
  <c r="AE457" i="3"/>
  <c r="AC457" i="3"/>
  <c r="U457" i="3"/>
  <c r="P457" i="3"/>
  <c r="K457" i="3"/>
  <c r="H457" i="3"/>
  <c r="F457" i="3"/>
  <c r="AE456" i="3"/>
  <c r="AC456" i="3"/>
  <c r="U456" i="3"/>
  <c r="P456" i="3"/>
  <c r="K456" i="3"/>
  <c r="H456" i="3"/>
  <c r="F456" i="3"/>
  <c r="AE455" i="3"/>
  <c r="AC455" i="3"/>
  <c r="U455" i="3"/>
  <c r="P455" i="3"/>
  <c r="K455" i="3"/>
  <c r="H455" i="3"/>
  <c r="F455" i="3"/>
  <c r="AE454" i="3"/>
  <c r="AC454" i="3"/>
  <c r="U454" i="3"/>
  <c r="P454" i="3"/>
  <c r="K454" i="3"/>
  <c r="H454" i="3"/>
  <c r="F454" i="3"/>
  <c r="AE453" i="3"/>
  <c r="AC453" i="3"/>
  <c r="U453" i="3"/>
  <c r="P453" i="3"/>
  <c r="K453" i="3"/>
  <c r="H453" i="3"/>
  <c r="F453" i="3"/>
  <c r="AE452" i="3"/>
  <c r="AC452" i="3"/>
  <c r="U452" i="3"/>
  <c r="P452" i="3"/>
  <c r="K452" i="3"/>
  <c r="H452" i="3"/>
  <c r="F452" i="3"/>
  <c r="AE451" i="3"/>
  <c r="AC451" i="3"/>
  <c r="U451" i="3"/>
  <c r="P451" i="3"/>
  <c r="K451" i="3"/>
  <c r="H451" i="3"/>
  <c r="F451" i="3"/>
  <c r="AE450" i="3"/>
  <c r="AC450" i="3"/>
  <c r="U450" i="3"/>
  <c r="P450" i="3"/>
  <c r="K450" i="3"/>
  <c r="H450" i="3"/>
  <c r="F450" i="3"/>
  <c r="AE449" i="3"/>
  <c r="AC449" i="3"/>
  <c r="U449" i="3"/>
  <c r="P449" i="3"/>
  <c r="K449" i="3"/>
  <c r="H449" i="3"/>
  <c r="F449" i="3"/>
  <c r="AE448" i="3"/>
  <c r="AC448" i="3"/>
  <c r="U448" i="3"/>
  <c r="P448" i="3"/>
  <c r="K448" i="3"/>
  <c r="H448" i="3"/>
  <c r="F448" i="3"/>
  <c r="AE447" i="3"/>
  <c r="AC447" i="3"/>
  <c r="U447" i="3"/>
  <c r="P447" i="3"/>
  <c r="K447" i="3"/>
  <c r="H447" i="3"/>
  <c r="F447" i="3"/>
  <c r="AE446" i="3"/>
  <c r="AC446" i="3"/>
  <c r="U446" i="3"/>
  <c r="P446" i="3"/>
  <c r="K446" i="3"/>
  <c r="H446" i="3"/>
  <c r="F446" i="3"/>
  <c r="AE445" i="3"/>
  <c r="AC445" i="3"/>
  <c r="U445" i="3"/>
  <c r="P445" i="3"/>
  <c r="K445" i="3"/>
  <c r="H445" i="3"/>
  <c r="F445" i="3"/>
  <c r="AE444" i="3"/>
  <c r="AC444" i="3"/>
  <c r="U444" i="3"/>
  <c r="P444" i="3"/>
  <c r="K444" i="3"/>
  <c r="H444" i="3"/>
  <c r="F444" i="3"/>
  <c r="AE443" i="3"/>
  <c r="AC443" i="3"/>
  <c r="U443" i="3"/>
  <c r="P443" i="3"/>
  <c r="K443" i="3"/>
  <c r="H443" i="3"/>
  <c r="F443" i="3"/>
  <c r="AE442" i="3"/>
  <c r="AC442" i="3"/>
  <c r="U442" i="3"/>
  <c r="P442" i="3"/>
  <c r="K442" i="3"/>
  <c r="H442" i="3"/>
  <c r="F442" i="3"/>
  <c r="AE441" i="3"/>
  <c r="AC441" i="3"/>
  <c r="U441" i="3"/>
  <c r="P441" i="3"/>
  <c r="K441" i="3"/>
  <c r="H441" i="3"/>
  <c r="F441" i="3"/>
  <c r="AE440" i="3"/>
  <c r="AC440" i="3"/>
  <c r="U440" i="3"/>
  <c r="P440" i="3"/>
  <c r="K440" i="3"/>
  <c r="H440" i="3"/>
  <c r="F440" i="3"/>
  <c r="AE439" i="3"/>
  <c r="AC439" i="3"/>
  <c r="U439" i="3"/>
  <c r="P439" i="3"/>
  <c r="K439" i="3"/>
  <c r="H439" i="3"/>
  <c r="F439" i="3"/>
  <c r="AE438" i="3"/>
  <c r="AC438" i="3"/>
  <c r="U438" i="3"/>
  <c r="P438" i="3"/>
  <c r="K438" i="3"/>
  <c r="H438" i="3"/>
  <c r="F438" i="3"/>
  <c r="AE437" i="3"/>
  <c r="AC437" i="3"/>
  <c r="U437" i="3"/>
  <c r="P437" i="3"/>
  <c r="K437" i="3"/>
  <c r="H437" i="3"/>
  <c r="F437" i="3"/>
  <c r="AE436" i="3"/>
  <c r="AC436" i="3"/>
  <c r="U436" i="3"/>
  <c r="P436" i="3"/>
  <c r="K436" i="3"/>
  <c r="H436" i="3"/>
  <c r="F436" i="3"/>
  <c r="AE435" i="3"/>
  <c r="AC435" i="3"/>
  <c r="U435" i="3"/>
  <c r="P435" i="3"/>
  <c r="K435" i="3"/>
  <c r="H435" i="3"/>
  <c r="F435" i="3"/>
  <c r="AE434" i="3"/>
  <c r="AC434" i="3"/>
  <c r="U434" i="3"/>
  <c r="P434" i="3"/>
  <c r="K434" i="3"/>
  <c r="H434" i="3"/>
  <c r="F434" i="3"/>
  <c r="AE433" i="3"/>
  <c r="AC433" i="3"/>
  <c r="U433" i="3"/>
  <c r="P433" i="3"/>
  <c r="K433" i="3"/>
  <c r="H433" i="3"/>
  <c r="F433" i="3"/>
  <c r="AE432" i="3"/>
  <c r="AC432" i="3"/>
  <c r="U432" i="3"/>
  <c r="P432" i="3"/>
  <c r="K432" i="3"/>
  <c r="H432" i="3"/>
  <c r="F432" i="3"/>
  <c r="AE431" i="3"/>
  <c r="AC431" i="3"/>
  <c r="U431" i="3"/>
  <c r="P431" i="3"/>
  <c r="K431" i="3"/>
  <c r="H431" i="3"/>
  <c r="F431" i="3"/>
  <c r="AE430" i="3"/>
  <c r="AC430" i="3"/>
  <c r="U430" i="3"/>
  <c r="P430" i="3"/>
  <c r="K430" i="3"/>
  <c r="H430" i="3"/>
  <c r="F430" i="3"/>
  <c r="AE429" i="3"/>
  <c r="AC429" i="3"/>
  <c r="U429" i="3"/>
  <c r="P429" i="3"/>
  <c r="K429" i="3"/>
  <c r="H429" i="3"/>
  <c r="F429" i="3"/>
  <c r="AE428" i="3"/>
  <c r="AC428" i="3"/>
  <c r="U428" i="3"/>
  <c r="P428" i="3"/>
  <c r="K428" i="3"/>
  <c r="H428" i="3"/>
  <c r="F428" i="3"/>
  <c r="AE427" i="3"/>
  <c r="AC427" i="3"/>
  <c r="U427" i="3"/>
  <c r="P427" i="3"/>
  <c r="K427" i="3"/>
  <c r="H427" i="3"/>
  <c r="F427" i="3"/>
  <c r="AE426" i="3"/>
  <c r="AC426" i="3"/>
  <c r="U426" i="3"/>
  <c r="P426" i="3"/>
  <c r="K426" i="3"/>
  <c r="H426" i="3"/>
  <c r="F426" i="3"/>
  <c r="AE425" i="3"/>
  <c r="AC425" i="3"/>
  <c r="U425" i="3"/>
  <c r="P425" i="3"/>
  <c r="K425" i="3"/>
  <c r="H425" i="3"/>
  <c r="F425" i="3"/>
  <c r="AE424" i="3"/>
  <c r="AC424" i="3"/>
  <c r="U424" i="3"/>
  <c r="P424" i="3"/>
  <c r="K424" i="3"/>
  <c r="H424" i="3"/>
  <c r="F424" i="3"/>
  <c r="AE423" i="3"/>
  <c r="AC423" i="3"/>
  <c r="U423" i="3"/>
  <c r="P423" i="3"/>
  <c r="K423" i="3"/>
  <c r="H423" i="3"/>
  <c r="F423" i="3"/>
  <c r="AE422" i="3"/>
  <c r="AC422" i="3"/>
  <c r="U422" i="3"/>
  <c r="P422" i="3"/>
  <c r="K422" i="3"/>
  <c r="H422" i="3"/>
  <c r="F422" i="3"/>
  <c r="AE421" i="3"/>
  <c r="AC421" i="3"/>
  <c r="U421" i="3"/>
  <c r="P421" i="3"/>
  <c r="K421" i="3"/>
  <c r="H421" i="3"/>
  <c r="F421" i="3"/>
  <c r="AE420" i="3"/>
  <c r="AC420" i="3"/>
  <c r="U420" i="3"/>
  <c r="P420" i="3"/>
  <c r="K420" i="3"/>
  <c r="H420" i="3"/>
  <c r="F420" i="3"/>
  <c r="AE419" i="3"/>
  <c r="AC419" i="3"/>
  <c r="U419" i="3"/>
  <c r="P419" i="3"/>
  <c r="K419" i="3"/>
  <c r="H419" i="3"/>
  <c r="F419" i="3"/>
  <c r="AE418" i="3"/>
  <c r="AC418" i="3"/>
  <c r="U418" i="3"/>
  <c r="P418" i="3"/>
  <c r="K418" i="3"/>
  <c r="H418" i="3"/>
  <c r="F418" i="3"/>
  <c r="AE417" i="3"/>
  <c r="AC417" i="3"/>
  <c r="U417" i="3"/>
  <c r="P417" i="3"/>
  <c r="K417" i="3"/>
  <c r="H417" i="3"/>
  <c r="F417" i="3"/>
  <c r="AE416" i="3"/>
  <c r="AC416" i="3"/>
  <c r="U416" i="3"/>
  <c r="P416" i="3"/>
  <c r="K416" i="3"/>
  <c r="H416" i="3"/>
  <c r="F416" i="3"/>
  <c r="AE415" i="3"/>
  <c r="AC415" i="3"/>
  <c r="U415" i="3"/>
  <c r="P415" i="3"/>
  <c r="K415" i="3"/>
  <c r="H415" i="3"/>
  <c r="F415" i="3"/>
  <c r="AE414" i="3"/>
  <c r="AC414" i="3"/>
  <c r="U414" i="3"/>
  <c r="P414" i="3"/>
  <c r="K414" i="3"/>
  <c r="H414" i="3"/>
  <c r="F414" i="3"/>
  <c r="AE413" i="3"/>
  <c r="AC413" i="3"/>
  <c r="U413" i="3"/>
  <c r="P413" i="3"/>
  <c r="K413" i="3"/>
  <c r="H413" i="3"/>
  <c r="F413" i="3"/>
  <c r="AE412" i="3"/>
  <c r="AC412" i="3"/>
  <c r="U412" i="3"/>
  <c r="P412" i="3"/>
  <c r="K412" i="3"/>
  <c r="H412" i="3"/>
  <c r="F412" i="3"/>
  <c r="AE411" i="3"/>
  <c r="AC411" i="3"/>
  <c r="U411" i="3"/>
  <c r="P411" i="3"/>
  <c r="K411" i="3"/>
  <c r="H411" i="3"/>
  <c r="F411" i="3"/>
  <c r="AE410" i="3"/>
  <c r="AC410" i="3"/>
  <c r="U410" i="3"/>
  <c r="P410" i="3"/>
  <c r="K410" i="3"/>
  <c r="H410" i="3"/>
  <c r="F410" i="3"/>
  <c r="AE409" i="3"/>
  <c r="AC409" i="3"/>
  <c r="U409" i="3"/>
  <c r="P409" i="3"/>
  <c r="K409" i="3"/>
  <c r="H409" i="3"/>
  <c r="F409" i="3"/>
  <c r="AE408" i="3"/>
  <c r="AC408" i="3"/>
  <c r="U408" i="3"/>
  <c r="P408" i="3"/>
  <c r="K408" i="3"/>
  <c r="H408" i="3"/>
  <c r="F408" i="3"/>
  <c r="AE407" i="3"/>
  <c r="AC407" i="3"/>
  <c r="U407" i="3"/>
  <c r="P407" i="3"/>
  <c r="K407" i="3"/>
  <c r="H407" i="3"/>
  <c r="F407" i="3"/>
  <c r="AE406" i="3"/>
  <c r="AC406" i="3"/>
  <c r="U406" i="3"/>
  <c r="P406" i="3"/>
  <c r="K406" i="3"/>
  <c r="H406" i="3"/>
  <c r="F406" i="3"/>
  <c r="AE405" i="3"/>
  <c r="AC405" i="3"/>
  <c r="U405" i="3"/>
  <c r="P405" i="3"/>
  <c r="K405" i="3"/>
  <c r="H405" i="3"/>
  <c r="F405" i="3"/>
  <c r="AE404" i="3"/>
  <c r="AC404" i="3"/>
  <c r="U404" i="3"/>
  <c r="P404" i="3"/>
  <c r="K404" i="3"/>
  <c r="H404" i="3"/>
  <c r="F404" i="3"/>
  <c r="AE403" i="3"/>
  <c r="AC403" i="3"/>
  <c r="U403" i="3"/>
  <c r="P403" i="3"/>
  <c r="K403" i="3"/>
  <c r="H403" i="3"/>
  <c r="F403" i="3"/>
  <c r="AE402" i="3"/>
  <c r="AC402" i="3"/>
  <c r="U402" i="3"/>
  <c r="P402" i="3"/>
  <c r="K402" i="3"/>
  <c r="H402" i="3"/>
  <c r="F402" i="3"/>
  <c r="AE401" i="3"/>
  <c r="AC401" i="3"/>
  <c r="U401" i="3"/>
  <c r="P401" i="3"/>
  <c r="K401" i="3"/>
  <c r="H401" i="3"/>
  <c r="F401" i="3"/>
  <c r="AE400" i="3"/>
  <c r="AC400" i="3"/>
  <c r="U400" i="3"/>
  <c r="P400" i="3"/>
  <c r="K400" i="3"/>
  <c r="H400" i="3"/>
  <c r="F400" i="3"/>
  <c r="AE399" i="3"/>
  <c r="AC399" i="3"/>
  <c r="U399" i="3"/>
  <c r="P399" i="3"/>
  <c r="K399" i="3"/>
  <c r="H399" i="3"/>
  <c r="F399" i="3"/>
  <c r="AE398" i="3"/>
  <c r="AC398" i="3"/>
  <c r="U398" i="3"/>
  <c r="P398" i="3"/>
  <c r="K398" i="3"/>
  <c r="H398" i="3"/>
  <c r="F398" i="3"/>
  <c r="AE397" i="3"/>
  <c r="AC397" i="3"/>
  <c r="U397" i="3"/>
  <c r="P397" i="3"/>
  <c r="K397" i="3"/>
  <c r="H397" i="3"/>
  <c r="F397" i="3"/>
  <c r="AE396" i="3"/>
  <c r="AC396" i="3"/>
  <c r="U396" i="3"/>
  <c r="P396" i="3"/>
  <c r="K396" i="3"/>
  <c r="H396" i="3"/>
  <c r="F396" i="3"/>
  <c r="AE395" i="3"/>
  <c r="AC395" i="3"/>
  <c r="U395" i="3"/>
  <c r="P395" i="3"/>
  <c r="K395" i="3"/>
  <c r="H395" i="3"/>
  <c r="F395" i="3"/>
  <c r="AE394" i="3"/>
  <c r="AC394" i="3"/>
  <c r="U394" i="3"/>
  <c r="P394" i="3"/>
  <c r="K394" i="3"/>
  <c r="H394" i="3"/>
  <c r="F394" i="3"/>
  <c r="AE393" i="3"/>
  <c r="AC393" i="3"/>
  <c r="U393" i="3"/>
  <c r="P393" i="3"/>
  <c r="K393" i="3"/>
  <c r="H393" i="3"/>
  <c r="F393" i="3"/>
  <c r="AE392" i="3"/>
  <c r="AC392" i="3"/>
  <c r="U392" i="3"/>
  <c r="P392" i="3"/>
  <c r="K392" i="3"/>
  <c r="H392" i="3"/>
  <c r="F392" i="3"/>
  <c r="AE391" i="3"/>
  <c r="AC391" i="3"/>
  <c r="U391" i="3"/>
  <c r="P391" i="3"/>
  <c r="K391" i="3"/>
  <c r="H391" i="3"/>
  <c r="F391" i="3"/>
  <c r="AE390" i="3"/>
  <c r="AC390" i="3"/>
  <c r="U390" i="3"/>
  <c r="P390" i="3"/>
  <c r="K390" i="3"/>
  <c r="H390" i="3"/>
  <c r="F390" i="3"/>
  <c r="AE389" i="3"/>
  <c r="AC389" i="3"/>
  <c r="U389" i="3"/>
  <c r="P389" i="3"/>
  <c r="K389" i="3"/>
  <c r="H389" i="3"/>
  <c r="F389" i="3"/>
  <c r="AE388" i="3"/>
  <c r="AC388" i="3"/>
  <c r="U388" i="3"/>
  <c r="P388" i="3"/>
  <c r="K388" i="3"/>
  <c r="H388" i="3"/>
  <c r="F388" i="3"/>
  <c r="AE387" i="3"/>
  <c r="AC387" i="3"/>
  <c r="U387" i="3"/>
  <c r="P387" i="3"/>
  <c r="K387" i="3"/>
  <c r="H387" i="3"/>
  <c r="F387" i="3"/>
  <c r="AE386" i="3"/>
  <c r="AC386" i="3"/>
  <c r="U386" i="3"/>
  <c r="P386" i="3"/>
  <c r="K386" i="3"/>
  <c r="H386" i="3"/>
  <c r="F386" i="3"/>
  <c r="AE385" i="3"/>
  <c r="AC385" i="3"/>
  <c r="U385" i="3"/>
  <c r="P385" i="3"/>
  <c r="K385" i="3"/>
  <c r="H385" i="3"/>
  <c r="F385" i="3"/>
  <c r="AE384" i="3"/>
  <c r="AC384" i="3"/>
  <c r="U384" i="3"/>
  <c r="P384" i="3"/>
  <c r="K384" i="3"/>
  <c r="H384" i="3"/>
  <c r="F384" i="3"/>
  <c r="AE383" i="3"/>
  <c r="AC383" i="3"/>
  <c r="U383" i="3"/>
  <c r="P383" i="3"/>
  <c r="K383" i="3"/>
  <c r="H383" i="3"/>
  <c r="F383" i="3"/>
  <c r="AE382" i="3"/>
  <c r="AC382" i="3"/>
  <c r="U382" i="3"/>
  <c r="P382" i="3"/>
  <c r="K382" i="3"/>
  <c r="H382" i="3"/>
  <c r="F382" i="3"/>
  <c r="AE381" i="3"/>
  <c r="AC381" i="3"/>
  <c r="U381" i="3"/>
  <c r="P381" i="3"/>
  <c r="K381" i="3"/>
  <c r="H381" i="3"/>
  <c r="F381" i="3"/>
  <c r="AE380" i="3"/>
  <c r="AC380" i="3"/>
  <c r="U380" i="3"/>
  <c r="P380" i="3"/>
  <c r="K380" i="3"/>
  <c r="H380" i="3"/>
  <c r="F380" i="3"/>
  <c r="AE379" i="3"/>
  <c r="AC379" i="3"/>
  <c r="U379" i="3"/>
  <c r="P379" i="3"/>
  <c r="K379" i="3"/>
  <c r="H379" i="3"/>
  <c r="F379" i="3"/>
  <c r="AE378" i="3"/>
  <c r="AC378" i="3"/>
  <c r="U378" i="3"/>
  <c r="P378" i="3"/>
  <c r="K378" i="3"/>
  <c r="H378" i="3"/>
  <c r="F378" i="3"/>
  <c r="AE377" i="3"/>
  <c r="AC377" i="3"/>
  <c r="U377" i="3"/>
  <c r="P377" i="3"/>
  <c r="K377" i="3"/>
  <c r="H377" i="3"/>
  <c r="F377" i="3"/>
  <c r="AE376" i="3"/>
  <c r="AC376" i="3"/>
  <c r="U376" i="3"/>
  <c r="P376" i="3"/>
  <c r="K376" i="3"/>
  <c r="H376" i="3"/>
  <c r="F376" i="3"/>
  <c r="AE375" i="3"/>
  <c r="AC375" i="3"/>
  <c r="U375" i="3"/>
  <c r="P375" i="3"/>
  <c r="K375" i="3"/>
  <c r="H375" i="3"/>
  <c r="F375" i="3"/>
  <c r="AE374" i="3"/>
  <c r="AC374" i="3"/>
  <c r="U374" i="3"/>
  <c r="P374" i="3"/>
  <c r="K374" i="3"/>
  <c r="H374" i="3"/>
  <c r="F374" i="3"/>
  <c r="AE373" i="3"/>
  <c r="AC373" i="3"/>
  <c r="U373" i="3"/>
  <c r="P373" i="3"/>
  <c r="K373" i="3"/>
  <c r="H373" i="3"/>
  <c r="F373" i="3"/>
  <c r="AE372" i="3"/>
  <c r="AC372" i="3"/>
  <c r="U372" i="3"/>
  <c r="P372" i="3"/>
  <c r="K372" i="3"/>
  <c r="H372" i="3"/>
  <c r="F372" i="3"/>
  <c r="AE371" i="3"/>
  <c r="AC371" i="3"/>
  <c r="U371" i="3"/>
  <c r="P371" i="3"/>
  <c r="K371" i="3"/>
  <c r="H371" i="3"/>
  <c r="F371" i="3"/>
  <c r="AE370" i="3"/>
  <c r="AC370" i="3"/>
  <c r="U370" i="3"/>
  <c r="P370" i="3"/>
  <c r="K370" i="3"/>
  <c r="H370" i="3"/>
  <c r="F370" i="3"/>
  <c r="AE369" i="3"/>
  <c r="AC369" i="3"/>
  <c r="U369" i="3"/>
  <c r="P369" i="3"/>
  <c r="K369" i="3"/>
  <c r="H369" i="3"/>
  <c r="F369" i="3"/>
  <c r="AE368" i="3"/>
  <c r="AC368" i="3"/>
  <c r="U368" i="3"/>
  <c r="P368" i="3"/>
  <c r="K368" i="3"/>
  <c r="H368" i="3"/>
  <c r="F368" i="3"/>
  <c r="AE367" i="3"/>
  <c r="AC367" i="3"/>
  <c r="U367" i="3"/>
  <c r="P367" i="3"/>
  <c r="K367" i="3"/>
  <c r="H367" i="3"/>
  <c r="F367" i="3"/>
  <c r="AE366" i="3"/>
  <c r="AC366" i="3"/>
  <c r="U366" i="3"/>
  <c r="P366" i="3"/>
  <c r="K366" i="3"/>
  <c r="H366" i="3"/>
  <c r="F366" i="3"/>
  <c r="AE365" i="3"/>
  <c r="AC365" i="3"/>
  <c r="U365" i="3"/>
  <c r="P365" i="3"/>
  <c r="K365" i="3"/>
  <c r="H365" i="3"/>
  <c r="F365" i="3"/>
  <c r="AE364" i="3"/>
  <c r="AC364" i="3"/>
  <c r="U364" i="3"/>
  <c r="P364" i="3"/>
  <c r="K364" i="3"/>
  <c r="H364" i="3"/>
  <c r="F364" i="3"/>
  <c r="AE363" i="3"/>
  <c r="AC363" i="3"/>
  <c r="U363" i="3"/>
  <c r="P363" i="3"/>
  <c r="K363" i="3"/>
  <c r="H363" i="3"/>
  <c r="F363" i="3"/>
  <c r="AE362" i="3"/>
  <c r="AC362" i="3"/>
  <c r="U362" i="3"/>
  <c r="P362" i="3"/>
  <c r="K362" i="3"/>
  <c r="H362" i="3"/>
  <c r="F362" i="3"/>
  <c r="AE361" i="3"/>
  <c r="AC361" i="3"/>
  <c r="U361" i="3"/>
  <c r="P361" i="3"/>
  <c r="K361" i="3"/>
  <c r="H361" i="3"/>
  <c r="F361" i="3"/>
  <c r="AE360" i="3"/>
  <c r="AC360" i="3"/>
  <c r="U360" i="3"/>
  <c r="P360" i="3"/>
  <c r="K360" i="3"/>
  <c r="H360" i="3"/>
  <c r="F360" i="3"/>
  <c r="AE359" i="3"/>
  <c r="AC359" i="3"/>
  <c r="U359" i="3"/>
  <c r="P359" i="3"/>
  <c r="K359" i="3"/>
  <c r="H359" i="3"/>
  <c r="F359" i="3"/>
  <c r="AE358" i="3"/>
  <c r="AC358" i="3"/>
  <c r="U358" i="3"/>
  <c r="P358" i="3"/>
  <c r="K358" i="3"/>
  <c r="H358" i="3"/>
  <c r="F358" i="3"/>
  <c r="AE357" i="3"/>
  <c r="AC357" i="3"/>
  <c r="U357" i="3"/>
  <c r="P357" i="3"/>
  <c r="K357" i="3"/>
  <c r="H357" i="3"/>
  <c r="F357" i="3"/>
  <c r="AE356" i="3"/>
  <c r="AC356" i="3"/>
  <c r="U356" i="3"/>
  <c r="P356" i="3"/>
  <c r="K356" i="3"/>
  <c r="H356" i="3"/>
  <c r="F356" i="3"/>
  <c r="AE355" i="3"/>
  <c r="AC355" i="3"/>
  <c r="U355" i="3"/>
  <c r="P355" i="3"/>
  <c r="K355" i="3"/>
  <c r="H355" i="3"/>
  <c r="F355" i="3"/>
  <c r="AE354" i="3"/>
  <c r="AC354" i="3"/>
  <c r="U354" i="3"/>
  <c r="P354" i="3"/>
  <c r="K354" i="3"/>
  <c r="H354" i="3"/>
  <c r="F354" i="3"/>
  <c r="AE353" i="3"/>
  <c r="AC353" i="3"/>
  <c r="U353" i="3"/>
  <c r="P353" i="3"/>
  <c r="K353" i="3"/>
  <c r="H353" i="3"/>
  <c r="F353" i="3"/>
  <c r="AE352" i="3"/>
  <c r="AC352" i="3"/>
  <c r="U352" i="3"/>
  <c r="P352" i="3"/>
  <c r="K352" i="3"/>
  <c r="H352" i="3"/>
  <c r="F352" i="3"/>
  <c r="AE351" i="3"/>
  <c r="AC351" i="3"/>
  <c r="U351" i="3"/>
  <c r="P351" i="3"/>
  <c r="K351" i="3"/>
  <c r="H351" i="3"/>
  <c r="F351" i="3"/>
  <c r="AE350" i="3"/>
  <c r="AC350" i="3"/>
  <c r="U350" i="3"/>
  <c r="P350" i="3"/>
  <c r="K350" i="3"/>
  <c r="H350" i="3"/>
  <c r="F350" i="3"/>
  <c r="AE349" i="3"/>
  <c r="AC349" i="3"/>
  <c r="U349" i="3"/>
  <c r="P349" i="3"/>
  <c r="K349" i="3"/>
  <c r="H349" i="3"/>
  <c r="F349" i="3"/>
  <c r="V870" i="3" l="1"/>
  <c r="V878" i="3"/>
  <c r="V987" i="3"/>
  <c r="V995" i="3"/>
  <c r="V1003" i="3"/>
  <c r="V1064" i="3"/>
  <c r="V1072" i="3"/>
  <c r="V986" i="3"/>
  <c r="V1079" i="3"/>
  <c r="V1388" i="3"/>
  <c r="V1396" i="3"/>
  <c r="V1404" i="3"/>
  <c r="V1412" i="3"/>
  <c r="V1420" i="3"/>
  <c r="V1428" i="3"/>
  <c r="V1436" i="3"/>
  <c r="V1444" i="3"/>
  <c r="V1452" i="3"/>
  <c r="V1460" i="3"/>
  <c r="V1468" i="3"/>
  <c r="V1476" i="3"/>
  <c r="V1484" i="3"/>
  <c r="V1492" i="3"/>
  <c r="V1500" i="3"/>
  <c r="V1508" i="3"/>
  <c r="V1516" i="3"/>
  <c r="V1524" i="3"/>
  <c r="V1532" i="3"/>
  <c r="V1540" i="3"/>
  <c r="V1548" i="3"/>
  <c r="V813" i="3"/>
  <c r="V828" i="3"/>
  <c r="V990" i="3"/>
  <c r="V998" i="3"/>
  <c r="V1044" i="3"/>
  <c r="V1052" i="3"/>
  <c r="V1059" i="3"/>
  <c r="V1067" i="3"/>
  <c r="V1075" i="3"/>
  <c r="V1216" i="3"/>
  <c r="V627" i="3"/>
  <c r="V869" i="3"/>
  <c r="V877" i="3"/>
  <c r="V603" i="3"/>
  <c r="V611" i="3"/>
  <c r="V625" i="3"/>
  <c r="V689" i="3"/>
  <c r="V624" i="3"/>
  <c r="V874" i="3"/>
  <c r="V821" i="3"/>
  <c r="V836" i="3"/>
  <c r="V843" i="3"/>
  <c r="V851" i="3"/>
  <c r="V859" i="3"/>
  <c r="V873" i="3"/>
  <c r="V620" i="3"/>
  <c r="V628" i="3"/>
  <c r="V686" i="3"/>
  <c r="V626" i="3"/>
  <c r="V654" i="3"/>
  <c r="V676" i="3"/>
  <c r="V684" i="3"/>
  <c r="V712" i="3"/>
  <c r="V720" i="3"/>
  <c r="V727" i="3"/>
  <c r="V735" i="3"/>
  <c r="V808" i="3"/>
  <c r="V816" i="3"/>
  <c r="V824" i="3"/>
  <c r="V868" i="3"/>
  <c r="V876" i="3"/>
  <c r="V623" i="3"/>
  <c r="V622" i="3"/>
  <c r="V680" i="3"/>
  <c r="V709" i="3"/>
  <c r="V777" i="3"/>
  <c r="V797" i="3"/>
  <c r="V805" i="3"/>
  <c r="V872" i="3"/>
  <c r="V880" i="3"/>
  <c r="V1466" i="3"/>
  <c r="V1474" i="3"/>
  <c r="V1482" i="3"/>
  <c r="V1490" i="3"/>
  <c r="V1498" i="3"/>
  <c r="V1506" i="3"/>
  <c r="V617" i="3"/>
  <c r="V652" i="3"/>
  <c r="V682" i="3"/>
  <c r="V758" i="3"/>
  <c r="V1371" i="3"/>
  <c r="V1379" i="3"/>
  <c r="V1514" i="3"/>
  <c r="V1522" i="3"/>
  <c r="V1530" i="3"/>
  <c r="V1538" i="3"/>
  <c r="V1546" i="3"/>
  <c r="V688" i="3"/>
  <c r="V1416" i="3"/>
  <c r="V1424" i="3"/>
  <c r="V1432" i="3"/>
  <c r="V1440" i="3"/>
  <c r="V1448" i="3"/>
  <c r="V1456" i="3"/>
  <c r="V1464" i="3"/>
  <c r="V1472" i="3"/>
  <c r="V1480" i="3"/>
  <c r="V1488" i="3"/>
  <c r="V1496" i="3"/>
  <c r="V1504" i="3"/>
  <c r="V1512" i="3"/>
  <c r="V1520" i="3"/>
  <c r="V1528" i="3"/>
  <c r="V687" i="3"/>
  <c r="V708" i="3"/>
  <c r="V804" i="3"/>
  <c r="V811" i="3"/>
  <c r="V819" i="3"/>
  <c r="V827" i="3"/>
  <c r="V994" i="3"/>
  <c r="V1002" i="3"/>
  <c r="V1040" i="3"/>
  <c r="V1048" i="3"/>
  <c r="V1056" i="3"/>
  <c r="V1063" i="3"/>
  <c r="V1071" i="3"/>
  <c r="V1342" i="3"/>
  <c r="V1350" i="3"/>
  <c r="V1358" i="3"/>
  <c r="V1366" i="3"/>
  <c r="V1367" i="3"/>
  <c r="V1375" i="3"/>
  <c r="V1438" i="3"/>
  <c r="V1446" i="3"/>
  <c r="V1454" i="3"/>
  <c r="V1462" i="3"/>
  <c r="V1470" i="3"/>
  <c r="V1478" i="3"/>
  <c r="V1486" i="3"/>
  <c r="V1494" i="3"/>
  <c r="V1502" i="3"/>
  <c r="V1510" i="3"/>
  <c r="V1518" i="3"/>
  <c r="V1526" i="3"/>
  <c r="V1534" i="3"/>
  <c r="V1542" i="3"/>
  <c r="V1550" i="3"/>
  <c r="V683" i="3"/>
  <c r="V470" i="3"/>
  <c r="V478" i="3"/>
  <c r="V486" i="3"/>
  <c r="V494" i="3"/>
  <c r="V502" i="3"/>
  <c r="V510" i="3"/>
  <c r="V518" i="3"/>
  <c r="V526" i="3"/>
  <c r="V534" i="3"/>
  <c r="V542" i="3"/>
  <c r="V550" i="3"/>
  <c r="V558" i="3"/>
  <c r="V566" i="3"/>
  <c r="V574" i="3"/>
  <c r="V582" i="3"/>
  <c r="V590" i="3"/>
  <c r="V598" i="3"/>
  <c r="V619" i="3"/>
  <c r="V634" i="3"/>
  <c r="V685" i="3"/>
  <c r="V633" i="3"/>
  <c r="V646" i="3"/>
  <c r="V669" i="3"/>
  <c r="V697" i="3"/>
  <c r="V705" i="3"/>
  <c r="V356" i="3"/>
  <c r="V364" i="3"/>
  <c r="V372" i="3"/>
  <c r="V380" i="3"/>
  <c r="V388" i="3"/>
  <c r="V396" i="3"/>
  <c r="V404" i="3"/>
  <c r="V412" i="3"/>
  <c r="V420" i="3"/>
  <c r="V428" i="3"/>
  <c r="V436" i="3"/>
  <c r="V444" i="3"/>
  <c r="V452" i="3"/>
  <c r="V460" i="3"/>
  <c r="V468" i="3"/>
  <c r="V476" i="3"/>
  <c r="V484" i="3"/>
  <c r="V492" i="3"/>
  <c r="V500" i="3"/>
  <c r="V508" i="3"/>
  <c r="V516" i="3"/>
  <c r="V524" i="3"/>
  <c r="V532" i="3"/>
  <c r="V540" i="3"/>
  <c r="V668" i="3"/>
  <c r="V675" i="3"/>
  <c r="V989" i="3"/>
  <c r="V997" i="3"/>
  <c r="V1005" i="3"/>
  <c r="V1066" i="3"/>
  <c r="V1074" i="3"/>
  <c r="V1082" i="3"/>
  <c r="V1090" i="3"/>
  <c r="V1098" i="3"/>
  <c r="V1106" i="3"/>
  <c r="V1114" i="3"/>
  <c r="V1122" i="3"/>
  <c r="V1130" i="3"/>
  <c r="V1138" i="3"/>
  <c r="V1146" i="3"/>
  <c r="V1154" i="3"/>
  <c r="V1162" i="3"/>
  <c r="V1170" i="3"/>
  <c r="V1178" i="3"/>
  <c r="V1186" i="3"/>
  <c r="V1194" i="3"/>
  <c r="V1202" i="3"/>
  <c r="V1210" i="3"/>
  <c r="V1218" i="3"/>
  <c r="V1226" i="3"/>
  <c r="V1234" i="3"/>
  <c r="V1242" i="3"/>
  <c r="V1250" i="3"/>
  <c r="V1258" i="3"/>
  <c r="V1266" i="3"/>
  <c r="V1274" i="3"/>
  <c r="V1282" i="3"/>
  <c r="V1290" i="3"/>
  <c r="V1298" i="3"/>
  <c r="V1306" i="3"/>
  <c r="V1314" i="3"/>
  <c r="V1322" i="3"/>
  <c r="V1330" i="3"/>
  <c r="V1338" i="3"/>
  <c r="V1346" i="3"/>
  <c r="V1354" i="3"/>
  <c r="V1362" i="3"/>
  <c r="V1442" i="3"/>
  <c r="V1450" i="3"/>
  <c r="V1458" i="3"/>
  <c r="V1369" i="3"/>
  <c r="V1377" i="3"/>
  <c r="V1536" i="3"/>
  <c r="V1544" i="3"/>
  <c r="V473" i="3"/>
  <c r="V481" i="3"/>
  <c r="V489" i="3"/>
  <c r="V497" i="3"/>
  <c r="V505" i="3"/>
  <c r="V513" i="3"/>
  <c r="V601" i="3"/>
  <c r="V607" i="3"/>
  <c r="V615" i="3"/>
  <c r="V629" i="3"/>
  <c r="V791" i="3"/>
  <c r="V600" i="3"/>
  <c r="V790" i="3"/>
  <c r="V985" i="3"/>
  <c r="V993" i="3"/>
  <c r="V1001" i="3"/>
  <c r="V1062" i="3"/>
  <c r="V1070" i="3"/>
  <c r="V1078" i="3"/>
  <c r="V1086" i="3"/>
  <c r="V1094" i="3"/>
  <c r="V1102" i="3"/>
  <c r="V1110" i="3"/>
  <c r="V1118" i="3"/>
  <c r="V1126" i="3"/>
  <c r="V1134" i="3"/>
  <c r="V1142" i="3"/>
  <c r="V1150" i="3"/>
  <c r="V1158" i="3"/>
  <c r="V1166" i="3"/>
  <c r="V1174" i="3"/>
  <c r="V1182" i="3"/>
  <c r="V1190" i="3"/>
  <c r="V1198" i="3"/>
  <c r="V1206" i="3"/>
  <c r="V1214" i="3"/>
  <c r="V1222" i="3"/>
  <c r="V1230" i="3"/>
  <c r="V1238" i="3"/>
  <c r="V1246" i="3"/>
  <c r="V1318" i="3"/>
  <c r="V1326" i="3"/>
  <c r="V713" i="3"/>
  <c r="V721" i="3"/>
  <c r="V728" i="3"/>
  <c r="V736" i="3"/>
  <c r="V744" i="3"/>
  <c r="V767" i="3"/>
  <c r="V775" i="3"/>
  <c r="V782" i="3"/>
  <c r="V794" i="3"/>
  <c r="V802" i="3"/>
  <c r="V817" i="3"/>
  <c r="V825" i="3"/>
  <c r="V832" i="3"/>
  <c r="V839" i="3"/>
  <c r="V847" i="3"/>
  <c r="V855" i="3"/>
  <c r="V863" i="3"/>
  <c r="V882" i="3"/>
  <c r="V984" i="3"/>
  <c r="V992" i="3"/>
  <c r="V1000" i="3"/>
  <c r="V1061" i="3"/>
  <c r="V1069" i="3"/>
  <c r="V1077" i="3"/>
  <c r="V614" i="3"/>
  <c r="V636" i="3"/>
  <c r="V756" i="3"/>
  <c r="V785" i="3"/>
  <c r="V812" i="3"/>
  <c r="V820" i="3"/>
  <c r="V835" i="3"/>
  <c r="V842" i="3"/>
  <c r="V850" i="3"/>
  <c r="V858" i="3"/>
  <c r="V885" i="3"/>
  <c r="V893" i="3"/>
  <c r="V901" i="3"/>
  <c r="V909" i="3"/>
  <c r="V1032" i="3"/>
  <c r="V1039" i="3"/>
  <c r="V1047" i="3"/>
  <c r="V1055" i="3"/>
  <c r="V1083" i="3"/>
  <c r="V1091" i="3"/>
  <c r="V1099" i="3"/>
  <c r="V1107" i="3"/>
  <c r="V1115" i="3"/>
  <c r="V1123" i="3"/>
  <c r="V1131" i="3"/>
  <c r="V1139" i="3"/>
  <c r="V1147" i="3"/>
  <c r="V1155" i="3"/>
  <c r="V1163" i="3"/>
  <c r="V1171" i="3"/>
  <c r="V1179" i="3"/>
  <c r="V1187" i="3"/>
  <c r="V1195" i="3"/>
  <c r="V1203" i="3"/>
  <c r="V1211" i="3"/>
  <c r="V1219" i="3"/>
  <c r="V1227" i="3"/>
  <c r="V1235" i="3"/>
  <c r="V1243" i="3"/>
  <c r="V1251" i="3"/>
  <c r="V1339" i="3"/>
  <c r="V1347" i="3"/>
  <c r="V1355" i="3"/>
  <c r="V1363" i="3"/>
  <c r="V1372" i="3"/>
  <c r="V1380" i="3"/>
  <c r="V351" i="3"/>
  <c r="V359" i="3"/>
  <c r="V367" i="3"/>
  <c r="V375" i="3"/>
  <c r="V383" i="3"/>
  <c r="V391" i="3"/>
  <c r="V399" i="3"/>
  <c r="V407" i="3"/>
  <c r="V415" i="3"/>
  <c r="V423" i="3"/>
  <c r="V431" i="3"/>
  <c r="V439" i="3"/>
  <c r="V447" i="3"/>
  <c r="V455" i="3"/>
  <c r="V463" i="3"/>
  <c r="V471" i="3"/>
  <c r="V479" i="3"/>
  <c r="V487" i="3"/>
  <c r="V495" i="3"/>
  <c r="V503" i="3"/>
  <c r="V511" i="3"/>
  <c r="V599" i="3"/>
  <c r="V605" i="3"/>
  <c r="V635" i="3"/>
  <c r="V648" i="3"/>
  <c r="V656" i="3"/>
  <c r="V663" i="3"/>
  <c r="V678" i="3"/>
  <c r="V691" i="3"/>
  <c r="V699" i="3"/>
  <c r="V707" i="3"/>
  <c r="V715" i="3"/>
  <c r="V730" i="3"/>
  <c r="V738" i="3"/>
  <c r="V746" i="3"/>
  <c r="V755" i="3"/>
  <c r="V769" i="3"/>
  <c r="V796" i="3"/>
  <c r="V818" i="3"/>
  <c r="V826" i="3"/>
  <c r="V891" i="3"/>
  <c r="V899" i="3"/>
  <c r="V907" i="3"/>
  <c r="V915" i="3"/>
  <c r="V922" i="3"/>
  <c r="V930" i="3"/>
  <c r="V938" i="3"/>
  <c r="V946" i="3"/>
  <c r="V954" i="3"/>
  <c r="V962" i="3"/>
  <c r="V970" i="3"/>
  <c r="V978" i="3"/>
  <c r="V1013" i="3"/>
  <c r="V1021" i="3"/>
  <c r="V1029" i="3"/>
  <c r="V1337" i="3"/>
  <c r="V1345" i="3"/>
  <c r="V1353" i="3"/>
  <c r="V1361" i="3"/>
  <c r="V1370" i="3"/>
  <c r="V1378" i="3"/>
  <c r="V1385" i="3"/>
  <c r="V1393" i="3"/>
  <c r="V1401" i="3"/>
  <c r="V1409" i="3"/>
  <c r="V1417" i="3"/>
  <c r="V1425" i="3"/>
  <c r="V1433" i="3"/>
  <c r="V1441" i="3"/>
  <c r="V753" i="3"/>
  <c r="V761" i="3"/>
  <c r="V789" i="3"/>
  <c r="V1552" i="3"/>
  <c r="V548" i="3"/>
  <c r="V556" i="3"/>
  <c r="V564" i="3"/>
  <c r="V572" i="3"/>
  <c r="V580" i="3"/>
  <c r="V588" i="3"/>
  <c r="V596" i="3"/>
  <c r="V610" i="3"/>
  <c r="V632" i="3"/>
  <c r="V743" i="3"/>
  <c r="V788" i="3"/>
  <c r="V1036" i="3"/>
  <c r="V1343" i="3"/>
  <c r="V1351" i="3"/>
  <c r="V1359" i="3"/>
  <c r="V1368" i="3"/>
  <c r="V1376" i="3"/>
  <c r="V631" i="3"/>
  <c r="V638" i="3"/>
  <c r="V644" i="3"/>
  <c r="V660" i="3"/>
  <c r="V695" i="3"/>
  <c r="V703" i="3"/>
  <c r="V765" i="3"/>
  <c r="V773" i="3"/>
  <c r="V780" i="3"/>
  <c r="V787" i="3"/>
  <c r="V815" i="3"/>
  <c r="V823" i="3"/>
  <c r="V830" i="3"/>
  <c r="V837" i="3"/>
  <c r="V845" i="3"/>
  <c r="V853" i="3"/>
  <c r="V861" i="3"/>
  <c r="V888" i="3"/>
  <c r="V896" i="3"/>
  <c r="V904" i="3"/>
  <c r="V912" i="3"/>
  <c r="V919" i="3"/>
  <c r="V927" i="3"/>
  <c r="V935" i="3"/>
  <c r="V943" i="3"/>
  <c r="V951" i="3"/>
  <c r="V959" i="3"/>
  <c r="V967" i="3"/>
  <c r="V975" i="3"/>
  <c r="V983" i="3"/>
  <c r="V1010" i="3"/>
  <c r="V1018" i="3"/>
  <c r="V1026" i="3"/>
  <c r="V1035" i="3"/>
  <c r="V1042" i="3"/>
  <c r="V1050" i="3"/>
  <c r="V1058" i="3"/>
  <c r="V354" i="3"/>
  <c r="V362" i="3"/>
  <c r="V370" i="3"/>
  <c r="V378" i="3"/>
  <c r="V386" i="3"/>
  <c r="V394" i="3"/>
  <c r="V402" i="3"/>
  <c r="V410" i="3"/>
  <c r="V418" i="3"/>
  <c r="V426" i="3"/>
  <c r="V434" i="3"/>
  <c r="V442" i="3"/>
  <c r="V450" i="3"/>
  <c r="V458" i="3"/>
  <c r="V466" i="3"/>
  <c r="V474" i="3"/>
  <c r="V482" i="3"/>
  <c r="V490" i="3"/>
  <c r="V498" i="3"/>
  <c r="V506" i="3"/>
  <c r="V514" i="3"/>
  <c r="V522" i="3"/>
  <c r="V530" i="3"/>
  <c r="V538" i="3"/>
  <c r="V546" i="3"/>
  <c r="V554" i="3"/>
  <c r="V562" i="3"/>
  <c r="V570" i="3"/>
  <c r="V578" i="3"/>
  <c r="V586" i="3"/>
  <c r="V594" i="3"/>
  <c r="V616" i="3"/>
  <c r="V630" i="3"/>
  <c r="V643" i="3"/>
  <c r="V651" i="3"/>
  <c r="V659" i="3"/>
  <c r="V666" i="3"/>
  <c r="V673" i="3"/>
  <c r="V681" i="3"/>
  <c r="V694" i="3"/>
  <c r="V702" i="3"/>
  <c r="V710" i="3"/>
  <c r="V718" i="3"/>
  <c r="V725" i="3"/>
  <c r="V733" i="3"/>
  <c r="V741" i="3"/>
  <c r="V749" i="3"/>
  <c r="V764" i="3"/>
  <c r="V772" i="3"/>
  <c r="V779" i="3"/>
  <c r="V786" i="3"/>
  <c r="V799" i="3"/>
  <c r="V807" i="3"/>
  <c r="V814" i="3"/>
  <c r="V822" i="3"/>
  <c r="V887" i="3"/>
  <c r="V895" i="3"/>
  <c r="V903" i="3"/>
  <c r="V911" i="3"/>
  <c r="V926" i="3"/>
  <c r="V934" i="3"/>
  <c r="V942" i="3"/>
  <c r="V950" i="3"/>
  <c r="V958" i="3"/>
  <c r="V966" i="3"/>
  <c r="V974" i="3"/>
  <c r="V982" i="3"/>
  <c r="V1009" i="3"/>
  <c r="V1017" i="3"/>
  <c r="V1025" i="3"/>
  <c r="V1341" i="3"/>
  <c r="V1349" i="3"/>
  <c r="V1357" i="3"/>
  <c r="V1365" i="3"/>
  <c r="V1374" i="3"/>
  <c r="V1382" i="3"/>
  <c r="V866" i="3"/>
  <c r="V352" i="3"/>
  <c r="V360" i="3"/>
  <c r="V368" i="3"/>
  <c r="V376" i="3"/>
  <c r="V384" i="3"/>
  <c r="V392" i="3"/>
  <c r="V400" i="3"/>
  <c r="V408" i="3"/>
  <c r="V416" i="3"/>
  <c r="V424" i="3"/>
  <c r="V432" i="3"/>
  <c r="V440" i="3"/>
  <c r="V448" i="3"/>
  <c r="V456" i="3"/>
  <c r="V464" i="3"/>
  <c r="V472" i="3"/>
  <c r="V480" i="3"/>
  <c r="V488" i="3"/>
  <c r="V496" i="3"/>
  <c r="V504" i="3"/>
  <c r="V512" i="3"/>
  <c r="V520" i="3"/>
  <c r="V528" i="3"/>
  <c r="V536" i="3"/>
  <c r="V544" i="3"/>
  <c r="V552" i="3"/>
  <c r="V560" i="3"/>
  <c r="V568" i="3"/>
  <c r="V576" i="3"/>
  <c r="V584" i="3"/>
  <c r="V592" i="3"/>
  <c r="V602" i="3"/>
  <c r="V609" i="3"/>
  <c r="V642" i="3"/>
  <c r="V650" i="3"/>
  <c r="V658" i="3"/>
  <c r="V665" i="3"/>
  <c r="V672" i="3"/>
  <c r="V693" i="3"/>
  <c r="V701" i="3"/>
  <c r="V763" i="3"/>
  <c r="V771" i="3"/>
  <c r="V803" i="3"/>
  <c r="V608" i="3"/>
  <c r="V641" i="3"/>
  <c r="V649" i="3"/>
  <c r="V657" i="3"/>
  <c r="V664" i="3"/>
  <c r="V671" i="3"/>
  <c r="V692" i="3"/>
  <c r="V700" i="3"/>
  <c r="V716" i="3"/>
  <c r="V731" i="3"/>
  <c r="V739" i="3"/>
  <c r="V747" i="3"/>
  <c r="V762" i="3"/>
  <c r="V770" i="3"/>
  <c r="V809" i="3"/>
  <c r="V833" i="3"/>
  <c r="V840" i="3"/>
  <c r="V848" i="3"/>
  <c r="V349" i="3"/>
  <c r="V469" i="3"/>
  <c r="V477" i="3"/>
  <c r="V485" i="3"/>
  <c r="V493" i="3"/>
  <c r="V501" i="3"/>
  <c r="V509" i="3"/>
  <c r="V597" i="3"/>
  <c r="V606" i="3"/>
  <c r="V618" i="3"/>
  <c r="V647" i="3"/>
  <c r="V655" i="3"/>
  <c r="V690" i="3"/>
  <c r="V698" i="3"/>
  <c r="V706" i="3"/>
  <c r="V768" i="3"/>
  <c r="V783" i="3"/>
  <c r="V792" i="3"/>
  <c r="V800" i="3"/>
  <c r="V475" i="3"/>
  <c r="V483" i="3"/>
  <c r="V491" i="3"/>
  <c r="V499" i="3"/>
  <c r="V507" i="3"/>
  <c r="V604" i="3"/>
  <c r="V612" i="3"/>
  <c r="V639" i="3"/>
  <c r="V645" i="3"/>
  <c r="V653" i="3"/>
  <c r="V661" i="3"/>
  <c r="V696" i="3"/>
  <c r="V704" i="3"/>
  <c r="V752" i="3"/>
  <c r="V760" i="3"/>
  <c r="V766" i="3"/>
  <c r="V774" i="3"/>
  <c r="V806" i="3"/>
  <c r="V640" i="3"/>
  <c r="V667" i="3"/>
  <c r="V674" i="3"/>
  <c r="V714" i="3"/>
  <c r="V722" i="3"/>
  <c r="V729" i="3"/>
  <c r="V737" i="3"/>
  <c r="V745" i="3"/>
  <c r="V754" i="3"/>
  <c r="V781" i="3"/>
  <c r="V798" i="3"/>
  <c r="V810" i="3"/>
  <c r="V834" i="3"/>
  <c r="V841" i="3"/>
  <c r="V849" i="3"/>
  <c r="V857" i="3"/>
  <c r="V865" i="3"/>
  <c r="V884" i="3"/>
  <c r="V892" i="3"/>
  <c r="V900" i="3"/>
  <c r="V908" i="3"/>
  <c r="V916" i="3"/>
  <c r="V923" i="3"/>
  <c r="V931" i="3"/>
  <c r="V939" i="3"/>
  <c r="V947" i="3"/>
  <c r="V1038" i="3"/>
  <c r="V1046" i="3"/>
  <c r="V1054" i="3"/>
  <c r="V856" i="3"/>
  <c r="V864" i="3"/>
  <c r="V883" i="3"/>
  <c r="V1045" i="3"/>
  <c r="V1053" i="3"/>
  <c r="V679" i="3"/>
  <c r="V711" i="3"/>
  <c r="V719" i="3"/>
  <c r="V726" i="3"/>
  <c r="V734" i="3"/>
  <c r="V742" i="3"/>
  <c r="V750" i="3"/>
  <c r="V751" i="3"/>
  <c r="V759" i="3"/>
  <c r="V778" i="3"/>
  <c r="V795" i="3"/>
  <c r="V831" i="3"/>
  <c r="V838" i="3"/>
  <c r="V846" i="3"/>
  <c r="V854" i="3"/>
  <c r="V862" i="3"/>
  <c r="V881" i="3"/>
  <c r="V889" i="3"/>
  <c r="V897" i="3"/>
  <c r="V905" i="3"/>
  <c r="V913" i="3"/>
  <c r="V1043" i="3"/>
  <c r="V1051" i="3"/>
  <c r="V662" i="3"/>
  <c r="V670" i="3"/>
  <c r="V677" i="3"/>
  <c r="V717" i="3"/>
  <c r="V724" i="3"/>
  <c r="V732" i="3"/>
  <c r="V740" i="3"/>
  <c r="V748" i="3"/>
  <c r="V757" i="3"/>
  <c r="V776" i="3"/>
  <c r="V784" i="3"/>
  <c r="V793" i="3"/>
  <c r="V801" i="3"/>
  <c r="V829" i="3"/>
  <c r="V844" i="3"/>
  <c r="V852" i="3"/>
  <c r="V860" i="3"/>
  <c r="V1041" i="3"/>
  <c r="V1049" i="3"/>
  <c r="V1057" i="3"/>
  <c r="V890" i="3"/>
  <c r="V898" i="3"/>
  <c r="V906" i="3"/>
  <c r="V914" i="3"/>
  <c r="V921" i="3"/>
  <c r="V929" i="3"/>
  <c r="V937" i="3"/>
  <c r="V945" i="3"/>
  <c r="V953" i="3"/>
  <c r="V961" i="3"/>
  <c r="V969" i="3"/>
  <c r="V977" i="3"/>
  <c r="V1012" i="3"/>
  <c r="V1020" i="3"/>
  <c r="V1028" i="3"/>
  <c r="V1037" i="3"/>
  <c r="V1085" i="3"/>
  <c r="V1093" i="3"/>
  <c r="V1101" i="3"/>
  <c r="V1109" i="3"/>
  <c r="V1117" i="3"/>
  <c r="V1125" i="3"/>
  <c r="V1133" i="3"/>
  <c r="V1141" i="3"/>
  <c r="V1149" i="3"/>
  <c r="V1157" i="3"/>
  <c r="V1165" i="3"/>
  <c r="V1173" i="3"/>
  <c r="V1181" i="3"/>
  <c r="V1189" i="3"/>
  <c r="V1197" i="3"/>
  <c r="V1205" i="3"/>
  <c r="V1213" i="3"/>
  <c r="V1221" i="3"/>
  <c r="V1229" i="3"/>
  <c r="V1237" i="3"/>
  <c r="V1245" i="3"/>
  <c r="V1387" i="3"/>
  <c r="V1395" i="3"/>
  <c r="V1403" i="3"/>
  <c r="V1411" i="3"/>
  <c r="V1419" i="3"/>
  <c r="V1427" i="3"/>
  <c r="V1435" i="3"/>
  <c r="V1443" i="3"/>
  <c r="V1451" i="3"/>
  <c r="V1459" i="3"/>
  <c r="V1467" i="3"/>
  <c r="V920" i="3"/>
  <c r="V928" i="3"/>
  <c r="V936" i="3"/>
  <c r="V944" i="3"/>
  <c r="V952" i="3"/>
  <c r="V960" i="3"/>
  <c r="V968" i="3"/>
  <c r="V976" i="3"/>
  <c r="V1011" i="3"/>
  <c r="V1019" i="3"/>
  <c r="V1027" i="3"/>
  <c r="V1084" i="3"/>
  <c r="V1092" i="3"/>
  <c r="V1100" i="3"/>
  <c r="V1108" i="3"/>
  <c r="V1116" i="3"/>
  <c r="V1124" i="3"/>
  <c r="V1132" i="3"/>
  <c r="V1140" i="3"/>
  <c r="V1148" i="3"/>
  <c r="V1156" i="3"/>
  <c r="V1164" i="3"/>
  <c r="V1172" i="3"/>
  <c r="V1180" i="3"/>
  <c r="V1188" i="3"/>
  <c r="V1196" i="3"/>
  <c r="V1204" i="3"/>
  <c r="V1212" i="3"/>
  <c r="V1220" i="3"/>
  <c r="V1228" i="3"/>
  <c r="V1236" i="3"/>
  <c r="V1244" i="3"/>
  <c r="V1252" i="3"/>
  <c r="V1260" i="3"/>
  <c r="V1268" i="3"/>
  <c r="V1276" i="3"/>
  <c r="V1284" i="3"/>
  <c r="V1292" i="3"/>
  <c r="V1300" i="3"/>
  <c r="V1308" i="3"/>
  <c r="V1316" i="3"/>
  <c r="V1324" i="3"/>
  <c r="V1332" i="3"/>
  <c r="V1449" i="3"/>
  <c r="V1457" i="3"/>
  <c r="V1465" i="3"/>
  <c r="V1513" i="3"/>
  <c r="V1521" i="3"/>
  <c r="V1529" i="3"/>
  <c r="V1537" i="3"/>
  <c r="V1545" i="3"/>
  <c r="V1034" i="3"/>
  <c r="V886" i="3"/>
  <c r="V894" i="3"/>
  <c r="V902" i="3"/>
  <c r="V910" i="3"/>
  <c r="V918" i="3"/>
  <c r="V925" i="3"/>
  <c r="V933" i="3"/>
  <c r="V941" i="3"/>
  <c r="V949" i="3"/>
  <c r="V957" i="3"/>
  <c r="V965" i="3"/>
  <c r="V973" i="3"/>
  <c r="V981" i="3"/>
  <c r="V1008" i="3"/>
  <c r="V1016" i="3"/>
  <c r="V1024" i="3"/>
  <c r="V1033" i="3"/>
  <c r="V1081" i="3"/>
  <c r="V1089" i="3"/>
  <c r="V1097" i="3"/>
  <c r="V1105" i="3"/>
  <c r="V1113" i="3"/>
  <c r="V1121" i="3"/>
  <c r="V1129" i="3"/>
  <c r="V1137" i="3"/>
  <c r="V1145" i="3"/>
  <c r="V1153" i="3"/>
  <c r="V1161" i="3"/>
  <c r="V1169" i="3"/>
  <c r="V1177" i="3"/>
  <c r="V1185" i="3"/>
  <c r="V1193" i="3"/>
  <c r="V1201" i="3"/>
  <c r="V1209" i="3"/>
  <c r="V1217" i="3"/>
  <c r="V1225" i="3"/>
  <c r="V1233" i="3"/>
  <c r="V1241" i="3"/>
  <c r="V1249" i="3"/>
  <c r="V1329" i="3"/>
  <c r="V1383" i="3"/>
  <c r="V1391" i="3"/>
  <c r="V1399" i="3"/>
  <c r="V1407" i="3"/>
  <c r="V1415" i="3"/>
  <c r="V1423" i="3"/>
  <c r="V1431" i="3"/>
  <c r="V1439" i="3"/>
  <c r="V1447" i="3"/>
  <c r="V1455" i="3"/>
  <c r="V1463" i="3"/>
  <c r="V1551" i="3"/>
  <c r="V917" i="3"/>
  <c r="V924" i="3"/>
  <c r="V932" i="3"/>
  <c r="V940" i="3"/>
  <c r="V948" i="3"/>
  <c r="V956" i="3"/>
  <c r="V964" i="3"/>
  <c r="V972" i="3"/>
  <c r="V980" i="3"/>
  <c r="V1007" i="3"/>
  <c r="V1015" i="3"/>
  <c r="V1023" i="3"/>
  <c r="V1031" i="3"/>
  <c r="V1080" i="3"/>
  <c r="V1088" i="3"/>
  <c r="V1096" i="3"/>
  <c r="V1288" i="3"/>
  <c r="V1296" i="3"/>
  <c r="V1304" i="3"/>
  <c r="V1312" i="3"/>
  <c r="V1320" i="3"/>
  <c r="V1328" i="3"/>
  <c r="V955" i="3"/>
  <c r="V963" i="3"/>
  <c r="V971" i="3"/>
  <c r="V979" i="3"/>
  <c r="V1006" i="3"/>
  <c r="V1014" i="3"/>
  <c r="V1022" i="3"/>
  <c r="V1030" i="3"/>
  <c r="V1087" i="3"/>
  <c r="V1095" i="3"/>
  <c r="V1103" i="3"/>
  <c r="V1111" i="3"/>
  <c r="V1119" i="3"/>
  <c r="V1127" i="3"/>
  <c r="V1135" i="3"/>
  <c r="V1143" i="3"/>
  <c r="V1151" i="3"/>
  <c r="V1159" i="3"/>
  <c r="V1167" i="3"/>
  <c r="V1175" i="3"/>
  <c r="V1183" i="3"/>
  <c r="V1191" i="3"/>
  <c r="V1199" i="3"/>
  <c r="V1207" i="3"/>
  <c r="V1215" i="3"/>
  <c r="V1223" i="3"/>
  <c r="V1231" i="3"/>
  <c r="V1239" i="3"/>
  <c r="V1247" i="3"/>
  <c r="V1255" i="3"/>
  <c r="V1263" i="3"/>
  <c r="V1271" i="3"/>
  <c r="V1279" i="3"/>
  <c r="V1287" i="3"/>
  <c r="V1335" i="3"/>
  <c r="V1437" i="3"/>
  <c r="V1445" i="3"/>
  <c r="V1453" i="3"/>
  <c r="V1461" i="3"/>
  <c r="V1386" i="3"/>
  <c r="V1394" i="3"/>
  <c r="V1402" i="3"/>
  <c r="V1410" i="3"/>
  <c r="V1418" i="3"/>
  <c r="V1426" i="3"/>
  <c r="V1434" i="3"/>
  <c r="V1390" i="3"/>
  <c r="V1398" i="3"/>
  <c r="V1406" i="3"/>
  <c r="V1414" i="3"/>
  <c r="V1422" i="3"/>
  <c r="V1430" i="3"/>
  <c r="V1389" i="3"/>
  <c r="V1397" i="3"/>
  <c r="V1405" i="3"/>
  <c r="V1413" i="3"/>
  <c r="V1421" i="3"/>
  <c r="V1429" i="3"/>
  <c r="V1475" i="3"/>
  <c r="V1483" i="3"/>
  <c r="V1491" i="3"/>
  <c r="V1499" i="3"/>
  <c r="V1507" i="3"/>
  <c r="V1515" i="3"/>
  <c r="V1523" i="3"/>
  <c r="V1531" i="3"/>
  <c r="V1539" i="3"/>
  <c r="V1547" i="3"/>
  <c r="V1473" i="3"/>
  <c r="V1481" i="3"/>
  <c r="V1489" i="3"/>
  <c r="V1497" i="3"/>
  <c r="V1505" i="3"/>
  <c r="V1471" i="3"/>
  <c r="V1479" i="3"/>
  <c r="V1487" i="3"/>
  <c r="V1495" i="3"/>
  <c r="V1503" i="3"/>
  <c r="V1511" i="3"/>
  <c r="V1519" i="3"/>
  <c r="V1527" i="3"/>
  <c r="V1535" i="3"/>
  <c r="V1543" i="3"/>
  <c r="V1469" i="3"/>
  <c r="V1477" i="3"/>
  <c r="V1485" i="3"/>
  <c r="V1493" i="3"/>
  <c r="V1501" i="3"/>
  <c r="V1509" i="3"/>
  <c r="V1517" i="3"/>
  <c r="V1525" i="3"/>
  <c r="V1533" i="3"/>
  <c r="V1541" i="3"/>
  <c r="V1549" i="3"/>
  <c r="V1259" i="3"/>
  <c r="V1267" i="3"/>
  <c r="V1275" i="3"/>
  <c r="V1283" i="3"/>
  <c r="V1291" i="3"/>
  <c r="V1299" i="3"/>
  <c r="V1307" i="3"/>
  <c r="V1315" i="3"/>
  <c r="V1323" i="3"/>
  <c r="V1331" i="3"/>
  <c r="V1257" i="3"/>
  <c r="V1265" i="3"/>
  <c r="V1273" i="3"/>
  <c r="V1281" i="3"/>
  <c r="V1289" i="3"/>
  <c r="V1297" i="3"/>
  <c r="V1305" i="3"/>
  <c r="V1313" i="3"/>
  <c r="V1321" i="3"/>
  <c r="V1295" i="3"/>
  <c r="V1303" i="3"/>
  <c r="V1311" i="3"/>
  <c r="V1319" i="3"/>
  <c r="V1327" i="3"/>
  <c r="V1254" i="3"/>
  <c r="V1262" i="3"/>
  <c r="V1270" i="3"/>
  <c r="V1278" i="3"/>
  <c r="V1286" i="3"/>
  <c r="V1294" i="3"/>
  <c r="V1302" i="3"/>
  <c r="V1310" i="3"/>
  <c r="V1334" i="3"/>
  <c r="V1253" i="3"/>
  <c r="V1261" i="3"/>
  <c r="V1269" i="3"/>
  <c r="V1277" i="3"/>
  <c r="V1285" i="3"/>
  <c r="V1293" i="3"/>
  <c r="V1301" i="3"/>
  <c r="V1309" i="3"/>
  <c r="V1317" i="3"/>
  <c r="V1325" i="3"/>
  <c r="V1333" i="3"/>
  <c r="V353" i="3"/>
  <c r="V361" i="3"/>
  <c r="V369" i="3"/>
  <c r="V377" i="3"/>
  <c r="V385" i="3"/>
  <c r="V393" i="3"/>
  <c r="V401" i="3"/>
  <c r="V409" i="3"/>
  <c r="V417" i="3"/>
  <c r="V425" i="3"/>
  <c r="V350" i="3"/>
  <c r="V358" i="3"/>
  <c r="V366" i="3"/>
  <c r="V374" i="3"/>
  <c r="V382" i="3"/>
  <c r="V390" i="3"/>
  <c r="V398" i="3"/>
  <c r="V406" i="3"/>
  <c r="V414" i="3"/>
  <c r="V422" i="3"/>
  <c r="V357" i="3"/>
  <c r="V365" i="3"/>
  <c r="V373" i="3"/>
  <c r="V381" i="3"/>
  <c r="V389" i="3"/>
  <c r="V397" i="3"/>
  <c r="V405" i="3"/>
  <c r="V413" i="3"/>
  <c r="V421" i="3"/>
  <c r="V355" i="3"/>
  <c r="V363" i="3"/>
  <c r="V371" i="3"/>
  <c r="V379" i="3"/>
  <c r="V387" i="3"/>
  <c r="V395" i="3"/>
  <c r="V403" i="3"/>
  <c r="V411" i="3"/>
  <c r="V419" i="3"/>
  <c r="V427" i="3"/>
  <c r="V433" i="3"/>
  <c r="V441" i="3"/>
  <c r="V449" i="3"/>
  <c r="V457" i="3"/>
  <c r="V465" i="3"/>
  <c r="V430" i="3"/>
  <c r="V438" i="3"/>
  <c r="V446" i="3"/>
  <c r="V454" i="3"/>
  <c r="V462" i="3"/>
  <c r="V429" i="3"/>
  <c r="V437" i="3"/>
  <c r="V445" i="3"/>
  <c r="V453" i="3"/>
  <c r="V461" i="3"/>
  <c r="V435" i="3"/>
  <c r="V443" i="3"/>
  <c r="V451" i="3"/>
  <c r="V459" i="3"/>
  <c r="V467" i="3"/>
  <c r="V521" i="3"/>
  <c r="V529" i="3"/>
  <c r="V537" i="3"/>
  <c r="V545" i="3"/>
  <c r="V553" i="3"/>
  <c r="V561" i="3"/>
  <c r="V569" i="3"/>
  <c r="V577" i="3"/>
  <c r="V585" i="3"/>
  <c r="V593" i="3"/>
  <c r="V519" i="3"/>
  <c r="V527" i="3"/>
  <c r="V535" i="3"/>
  <c r="V543" i="3"/>
  <c r="V551" i="3"/>
  <c r="V559" i="3"/>
  <c r="V567" i="3"/>
  <c r="V575" i="3"/>
  <c r="V583" i="3"/>
  <c r="V591" i="3"/>
  <c r="V517" i="3"/>
  <c r="V525" i="3"/>
  <c r="V533" i="3"/>
  <c r="V541" i="3"/>
  <c r="V549" i="3"/>
  <c r="V557" i="3"/>
  <c r="V565" i="3"/>
  <c r="V573" i="3"/>
  <c r="V581" i="3"/>
  <c r="V589" i="3"/>
  <c r="V515" i="3"/>
  <c r="V523" i="3"/>
  <c r="V531" i="3"/>
  <c r="V539" i="3"/>
  <c r="V547" i="3"/>
  <c r="V555" i="3"/>
  <c r="V563" i="3"/>
  <c r="V571" i="3"/>
  <c r="V579" i="3"/>
  <c r="V587" i="3"/>
  <c r="V595" i="3"/>
  <c r="AC57" i="3" l="1"/>
  <c r="AC11" i="3" l="1"/>
  <c r="AE11" i="3"/>
  <c r="AC110" i="3"/>
  <c r="AE110" i="3"/>
  <c r="AC12" i="3"/>
  <c r="AE12" i="3"/>
  <c r="AC256" i="3"/>
  <c r="AE256" i="3"/>
  <c r="AC111" i="3"/>
  <c r="AE111" i="3"/>
  <c r="AC257" i="3"/>
  <c r="AE257" i="3"/>
  <c r="AC140" i="3"/>
  <c r="AE140" i="3"/>
  <c r="AC332" i="3"/>
  <c r="AE332" i="3"/>
  <c r="AC284" i="3"/>
  <c r="AE284" i="3"/>
  <c r="AC258" i="3"/>
  <c r="AE258" i="3"/>
  <c r="AC259" i="3"/>
  <c r="AE259" i="3"/>
  <c r="AC114" i="3"/>
  <c r="AE114" i="3"/>
  <c r="AC141" i="3"/>
  <c r="AE141" i="3"/>
  <c r="AC142" i="3"/>
  <c r="AE142" i="3"/>
  <c r="AC143" i="3"/>
  <c r="AE143" i="3"/>
  <c r="AC31" i="3"/>
  <c r="AE31" i="3"/>
  <c r="AC144" i="3"/>
  <c r="AE144" i="3"/>
  <c r="AC26" i="3"/>
  <c r="AE26" i="3"/>
  <c r="AC32" i="3"/>
  <c r="AE32" i="3"/>
  <c r="AC130" i="3"/>
  <c r="AE130" i="3"/>
  <c r="AC33" i="3"/>
  <c r="AE33" i="3"/>
  <c r="AC34" i="3"/>
  <c r="AE34" i="3"/>
  <c r="AC35" i="3"/>
  <c r="AE35" i="3"/>
  <c r="AC27" i="3"/>
  <c r="AE27" i="3"/>
  <c r="AC145" i="3"/>
  <c r="AE145" i="3"/>
  <c r="AC115" i="3"/>
  <c r="AE115" i="3"/>
  <c r="AC131" i="3"/>
  <c r="AE131" i="3"/>
  <c r="AC28" i="3"/>
  <c r="AE28" i="3"/>
  <c r="AC285" i="3"/>
  <c r="AE285" i="3"/>
  <c r="AC286" i="3"/>
  <c r="AE286" i="3"/>
  <c r="AC146" i="3"/>
  <c r="AE146" i="3"/>
  <c r="AC147" i="3"/>
  <c r="AE147" i="3"/>
  <c r="AC148" i="3"/>
  <c r="AE148" i="3"/>
  <c r="AC149" i="3"/>
  <c r="AE149" i="3"/>
  <c r="AC36" i="3"/>
  <c r="AE36" i="3"/>
  <c r="AC150" i="3"/>
  <c r="AE150" i="3"/>
  <c r="AC29" i="3"/>
  <c r="AE29" i="3"/>
  <c r="AC151" i="3"/>
  <c r="AE151" i="3"/>
  <c r="AC132" i="3"/>
  <c r="AE132" i="3"/>
  <c r="AC95" i="3"/>
  <c r="AE95" i="3"/>
  <c r="AC2" i="3"/>
  <c r="AE2" i="3"/>
  <c r="AC326" i="3"/>
  <c r="AE326" i="3"/>
  <c r="AC96" i="3"/>
  <c r="AE96" i="3"/>
  <c r="AC152" i="3"/>
  <c r="AE152" i="3"/>
  <c r="AC333" i="3"/>
  <c r="AE333" i="3"/>
  <c r="AC334" i="3"/>
  <c r="AE334" i="3"/>
  <c r="AC153" i="3"/>
  <c r="AE153" i="3"/>
  <c r="AC287" i="3"/>
  <c r="AE287" i="3"/>
  <c r="AC245" i="3"/>
  <c r="AE245" i="3"/>
  <c r="AC335" i="3"/>
  <c r="AE335" i="3"/>
  <c r="AC37" i="3"/>
  <c r="AE37" i="3"/>
  <c r="AC154" i="3"/>
  <c r="AE154" i="3"/>
  <c r="AC336" i="3"/>
  <c r="AE336" i="3"/>
  <c r="AC327" i="3"/>
  <c r="AE327" i="3"/>
  <c r="AC116" i="3"/>
  <c r="AE116" i="3"/>
  <c r="AC155" i="3"/>
  <c r="AE155" i="3"/>
  <c r="AC156" i="3"/>
  <c r="AE156" i="3"/>
  <c r="AC337" i="3"/>
  <c r="AE337" i="3"/>
  <c r="AC338" i="3"/>
  <c r="AE338" i="3"/>
  <c r="AC283" i="3"/>
  <c r="AE283" i="3"/>
  <c r="AC288" i="3"/>
  <c r="AE288" i="3"/>
  <c r="AC157" i="3"/>
  <c r="AE157" i="3"/>
  <c r="AC158" i="3"/>
  <c r="AE158" i="3"/>
  <c r="AC97" i="3"/>
  <c r="AE97" i="3"/>
  <c r="AC159" i="3"/>
  <c r="AE159" i="3"/>
  <c r="AC260" i="3"/>
  <c r="AE260" i="3"/>
  <c r="AC98" i="3"/>
  <c r="AE98" i="3"/>
  <c r="AC38" i="3"/>
  <c r="AE38" i="3"/>
  <c r="AC160" i="3"/>
  <c r="AE160" i="3"/>
  <c r="AC161" i="3"/>
  <c r="AE161" i="3"/>
  <c r="AC39" i="3"/>
  <c r="AE39" i="3"/>
  <c r="AC162" i="3"/>
  <c r="AE162" i="3"/>
  <c r="AC3" i="3"/>
  <c r="AE3" i="3"/>
  <c r="AC40" i="3"/>
  <c r="AE40" i="3"/>
  <c r="AC163" i="3"/>
  <c r="AE163" i="3"/>
  <c r="AC164" i="3"/>
  <c r="AE164" i="3"/>
  <c r="AC289" i="3"/>
  <c r="AE289" i="3"/>
  <c r="AC290" i="3"/>
  <c r="AE290" i="3"/>
  <c r="AC339" i="3"/>
  <c r="AE339" i="3"/>
  <c r="AC165" i="3"/>
  <c r="AE165" i="3"/>
  <c r="AC291" i="3"/>
  <c r="AE291" i="3"/>
  <c r="AC99" i="3"/>
  <c r="AE99" i="3"/>
  <c r="AC166" i="3"/>
  <c r="AE166" i="3"/>
  <c r="AC41" i="3"/>
  <c r="AE41" i="3"/>
  <c r="AC167" i="3"/>
  <c r="AE167" i="3"/>
  <c r="AC292" i="3"/>
  <c r="AE292" i="3"/>
  <c r="AC168" i="3"/>
  <c r="AE168" i="3"/>
  <c r="AC42" i="3"/>
  <c r="AE42" i="3"/>
  <c r="AC169" i="3"/>
  <c r="AE169" i="3"/>
  <c r="AC100" i="3"/>
  <c r="AE100" i="3"/>
  <c r="AC43" i="3"/>
  <c r="AE43" i="3"/>
  <c r="AC44" i="3"/>
  <c r="AE44" i="3"/>
  <c r="AC45" i="3"/>
  <c r="AE45" i="3"/>
  <c r="AC46" i="3"/>
  <c r="AE46" i="3"/>
  <c r="AC47" i="3"/>
  <c r="AE47" i="3"/>
  <c r="AC48" i="3"/>
  <c r="AE48" i="3"/>
  <c r="AC101" i="3"/>
  <c r="AE101" i="3"/>
  <c r="AC246" i="3"/>
  <c r="AE246" i="3"/>
  <c r="AC247" i="3"/>
  <c r="AE247" i="3"/>
  <c r="AC293" i="3"/>
  <c r="AE293" i="3"/>
  <c r="AC102" i="3"/>
  <c r="AE102" i="3"/>
  <c r="AC294" i="3"/>
  <c r="AE294" i="3"/>
  <c r="AC340" i="3"/>
  <c r="AE340" i="3"/>
  <c r="AC49" i="3"/>
  <c r="AE49" i="3"/>
  <c r="AC170" i="3"/>
  <c r="AE170" i="3"/>
  <c r="AC171" i="3"/>
  <c r="AE171" i="3"/>
  <c r="AC172" i="3"/>
  <c r="AE172" i="3"/>
  <c r="AC50" i="3"/>
  <c r="AE50" i="3"/>
  <c r="AC173" i="3"/>
  <c r="AE173" i="3"/>
  <c r="AC328" i="3"/>
  <c r="AE328" i="3"/>
  <c r="AC174" i="3"/>
  <c r="AE174" i="3"/>
  <c r="AC103" i="3"/>
  <c r="AE103" i="3"/>
  <c r="AC175" i="3"/>
  <c r="AE175" i="3"/>
  <c r="AC176" i="3"/>
  <c r="AE176" i="3"/>
  <c r="AC295" i="3"/>
  <c r="AE295" i="3"/>
  <c r="AC4" i="3"/>
  <c r="AE4" i="3"/>
  <c r="AC5" i="3"/>
  <c r="AE5" i="3"/>
  <c r="AC296" i="3"/>
  <c r="AE296" i="3"/>
  <c r="AC13" i="3"/>
  <c r="AE13" i="3"/>
  <c r="AC14" i="3"/>
  <c r="AE14" i="3"/>
  <c r="AC6" i="3"/>
  <c r="AE6" i="3"/>
  <c r="AC104" i="3"/>
  <c r="AE104" i="3"/>
  <c r="AC177" i="3"/>
  <c r="AE177" i="3"/>
  <c r="AC329" i="3"/>
  <c r="AE329" i="3"/>
  <c r="AC117" i="3"/>
  <c r="AE117" i="3"/>
  <c r="AC178" i="3"/>
  <c r="AE178" i="3"/>
  <c r="AC105" i="3"/>
  <c r="AE105" i="3"/>
  <c r="AC297" i="3"/>
  <c r="AE297" i="3"/>
  <c r="AC51" i="3"/>
  <c r="AE51" i="3"/>
  <c r="AC52" i="3"/>
  <c r="AE52" i="3"/>
  <c r="AC53" i="3"/>
  <c r="AE53" i="3"/>
  <c r="AC118" i="3"/>
  <c r="AE118" i="3"/>
  <c r="AC7" i="3"/>
  <c r="AE7" i="3"/>
  <c r="AC261" i="3"/>
  <c r="AE261" i="3"/>
  <c r="AC262" i="3"/>
  <c r="AE262" i="3"/>
  <c r="AE263" i="3"/>
  <c r="AC119" i="3"/>
  <c r="AE119" i="3"/>
  <c r="AC15" i="3"/>
  <c r="AE15" i="3"/>
  <c r="AC120" i="3"/>
  <c r="AE120" i="3"/>
  <c r="AC54" i="3"/>
  <c r="AE54" i="3"/>
  <c r="AC55" i="3"/>
  <c r="AE55" i="3"/>
  <c r="AC56" i="3"/>
  <c r="AE56" i="3"/>
  <c r="AC179" i="3"/>
  <c r="AE179" i="3"/>
  <c r="AE57" i="3"/>
  <c r="AC58" i="3"/>
  <c r="AE58" i="3"/>
  <c r="AC8" i="3"/>
  <c r="AE8" i="3"/>
  <c r="AC16" i="3"/>
  <c r="AE16" i="3"/>
  <c r="AC121" i="3"/>
  <c r="AE121" i="3"/>
  <c r="AC17" i="3"/>
  <c r="AE17" i="3"/>
  <c r="AC264" i="3"/>
  <c r="AE264" i="3"/>
  <c r="AC265" i="3"/>
  <c r="AE265" i="3"/>
  <c r="AC18" i="3"/>
  <c r="AE18" i="3"/>
  <c r="AC22" i="3"/>
  <c r="AE22" i="3"/>
  <c r="AC266" i="3"/>
  <c r="AE266" i="3"/>
  <c r="AC267" i="3"/>
  <c r="AE267" i="3"/>
  <c r="AC268" i="3"/>
  <c r="AE268" i="3"/>
  <c r="AC269" i="3"/>
  <c r="AE269" i="3"/>
  <c r="AC270" i="3"/>
  <c r="AE270" i="3"/>
  <c r="AC59" i="3"/>
  <c r="AE59" i="3"/>
  <c r="AC180" i="3"/>
  <c r="AE180" i="3"/>
  <c r="AC19" i="3"/>
  <c r="AE19" i="3"/>
  <c r="AC271" i="3"/>
  <c r="AE271" i="3"/>
  <c r="AC272" i="3"/>
  <c r="AE272" i="3"/>
  <c r="AC122" i="3"/>
  <c r="AE122" i="3"/>
  <c r="AC20" i="3"/>
  <c r="AE20" i="3"/>
  <c r="AC331" i="3"/>
  <c r="AE331" i="3"/>
  <c r="AC123" i="3"/>
  <c r="AE123" i="3"/>
  <c r="AC124" i="3"/>
  <c r="AE124" i="3"/>
  <c r="AC273" i="3"/>
  <c r="AE273" i="3"/>
  <c r="AC274" i="3"/>
  <c r="AE274" i="3"/>
  <c r="AC275" i="3"/>
  <c r="AE275" i="3"/>
  <c r="AC276" i="3"/>
  <c r="AE276" i="3"/>
  <c r="AC277" i="3"/>
  <c r="AE277" i="3"/>
  <c r="AC278" i="3"/>
  <c r="AE278" i="3"/>
  <c r="AC279" i="3"/>
  <c r="AE279" i="3"/>
  <c r="AC280" i="3"/>
  <c r="AE280" i="3"/>
  <c r="AC21" i="3"/>
  <c r="AE21" i="3"/>
  <c r="AC125" i="3"/>
  <c r="AE125" i="3"/>
  <c r="AC281" i="3"/>
  <c r="AE281" i="3"/>
  <c r="AC181" i="3"/>
  <c r="AE181" i="3"/>
  <c r="AC126" i="3"/>
  <c r="AE126" i="3"/>
  <c r="AC282" i="3"/>
  <c r="AE282" i="3"/>
  <c r="AC127" i="3"/>
  <c r="AE127" i="3"/>
  <c r="AC298" i="3"/>
  <c r="AE298" i="3"/>
  <c r="AC182" i="3"/>
  <c r="AE182" i="3"/>
  <c r="AC299" i="3"/>
  <c r="AE299" i="3"/>
  <c r="AC60" i="3"/>
  <c r="AE60" i="3"/>
  <c r="AC300" i="3"/>
  <c r="AE300" i="3"/>
  <c r="AC183" i="3"/>
  <c r="AE183" i="3"/>
  <c r="AC301" i="3"/>
  <c r="AE301" i="3"/>
  <c r="AC184" i="3"/>
  <c r="AE184" i="3"/>
  <c r="AC185" i="3"/>
  <c r="AE185" i="3"/>
  <c r="AC302" i="3"/>
  <c r="AE302" i="3"/>
  <c r="AC303" i="3"/>
  <c r="AE303" i="3"/>
  <c r="AC61" i="3"/>
  <c r="AE61" i="3"/>
  <c r="AC186" i="3"/>
  <c r="AE186" i="3"/>
  <c r="AC62" i="3"/>
  <c r="AE62" i="3"/>
  <c r="AC187" i="3"/>
  <c r="AE187" i="3"/>
  <c r="AC341" i="3"/>
  <c r="AE341" i="3"/>
  <c r="AC188" i="3"/>
  <c r="AE188" i="3"/>
  <c r="AC304" i="3"/>
  <c r="AE304" i="3"/>
  <c r="AC189" i="3"/>
  <c r="AE189" i="3"/>
  <c r="AC63" i="3"/>
  <c r="AE63" i="3"/>
  <c r="AC190" i="3"/>
  <c r="AE190" i="3"/>
  <c r="AC64" i="3"/>
  <c r="AE64" i="3"/>
  <c r="AC191" i="3"/>
  <c r="AE191" i="3"/>
  <c r="AC192" i="3"/>
  <c r="AE192" i="3"/>
  <c r="AC65" i="3"/>
  <c r="AE65" i="3"/>
  <c r="AC66" i="3"/>
  <c r="AE66" i="3"/>
  <c r="AC67" i="3"/>
  <c r="AE67" i="3"/>
  <c r="AC193" i="3"/>
  <c r="AE193" i="3"/>
  <c r="AC194" i="3"/>
  <c r="AE194" i="3"/>
  <c r="AC195" i="3"/>
  <c r="AE195" i="3"/>
  <c r="AC68" i="3"/>
  <c r="AE68" i="3"/>
  <c r="AC196" i="3"/>
  <c r="AE196" i="3"/>
  <c r="AC197" i="3"/>
  <c r="AE197" i="3"/>
  <c r="AC198" i="3"/>
  <c r="AE198" i="3"/>
  <c r="AC305" i="3"/>
  <c r="AE305" i="3"/>
  <c r="AC199" i="3"/>
  <c r="AE199" i="3"/>
  <c r="AC306" i="3"/>
  <c r="AE306" i="3"/>
  <c r="AC69" i="3"/>
  <c r="AE69" i="3"/>
  <c r="AC200" i="3"/>
  <c r="AE200" i="3"/>
  <c r="AC201" i="3"/>
  <c r="AE201" i="3"/>
  <c r="AC202" i="3"/>
  <c r="AE202" i="3"/>
  <c r="AC70" i="3"/>
  <c r="AE70" i="3"/>
  <c r="AC71" i="3"/>
  <c r="AE71" i="3"/>
  <c r="AC72" i="3"/>
  <c r="AE72" i="3"/>
  <c r="AC203" i="3"/>
  <c r="AE203" i="3"/>
  <c r="AC204" i="3"/>
  <c r="AE204" i="3"/>
  <c r="AC205" i="3"/>
  <c r="AE205" i="3"/>
  <c r="AC73" i="3"/>
  <c r="AE73" i="3"/>
  <c r="AC206" i="3"/>
  <c r="AE206" i="3"/>
  <c r="AC307" i="3"/>
  <c r="AE307" i="3"/>
  <c r="AC207" i="3"/>
  <c r="AE207" i="3"/>
  <c r="AC74" i="3"/>
  <c r="AE74" i="3"/>
  <c r="AC75" i="3"/>
  <c r="AE75" i="3"/>
  <c r="AC208" i="3"/>
  <c r="AE208" i="3"/>
  <c r="AC209" i="3"/>
  <c r="AE209" i="3"/>
  <c r="AC210" i="3"/>
  <c r="AE210" i="3"/>
  <c r="AC76" i="3"/>
  <c r="AE76" i="3"/>
  <c r="AC342" i="3"/>
  <c r="AE342" i="3"/>
  <c r="AC308" i="3"/>
  <c r="AE308" i="3"/>
  <c r="AC343" i="3"/>
  <c r="AE343" i="3"/>
  <c r="AC77" i="3"/>
  <c r="AE77" i="3"/>
  <c r="AC78" i="3"/>
  <c r="AE78" i="3"/>
  <c r="AC79" i="3"/>
  <c r="AE79" i="3"/>
  <c r="AC309" i="3"/>
  <c r="AE309" i="3"/>
  <c r="AC344" i="3"/>
  <c r="AE344" i="3"/>
  <c r="AC211" i="3"/>
  <c r="AE211" i="3"/>
  <c r="AC310" i="3"/>
  <c r="AE310" i="3"/>
  <c r="AC345" i="3"/>
  <c r="AE345" i="3"/>
  <c r="AC346" i="3"/>
  <c r="AE346" i="3"/>
  <c r="AC212" i="3"/>
  <c r="AE212" i="3"/>
  <c r="AC213" i="3"/>
  <c r="AE213" i="3"/>
  <c r="AC347" i="3"/>
  <c r="AE347" i="3"/>
  <c r="AC311" i="3"/>
  <c r="AE311" i="3"/>
  <c r="AC214" i="3"/>
  <c r="AE214" i="3"/>
  <c r="AC215" i="3"/>
  <c r="AE215" i="3"/>
  <c r="AC216" i="3"/>
  <c r="AE216" i="3"/>
  <c r="AC312" i="3"/>
  <c r="AE312" i="3"/>
  <c r="AC348" i="3"/>
  <c r="AE348" i="3"/>
  <c r="AC80" i="3"/>
  <c r="AE80" i="3"/>
  <c r="AC217" i="3"/>
  <c r="AE217" i="3"/>
  <c r="AC81" i="3"/>
  <c r="AE81" i="3"/>
  <c r="AC218" i="3"/>
  <c r="AE218" i="3"/>
  <c r="AC313" i="3"/>
  <c r="AE313" i="3"/>
  <c r="AC219" i="3"/>
  <c r="AE219" i="3"/>
  <c r="AC82" i="3"/>
  <c r="AE82" i="3"/>
  <c r="AC314" i="3"/>
  <c r="AE314" i="3"/>
  <c r="AC83" i="3"/>
  <c r="AE83" i="3"/>
  <c r="AC84" i="3"/>
  <c r="AE84" i="3"/>
  <c r="AC85" i="3"/>
  <c r="AE85" i="3"/>
  <c r="AC220" i="3"/>
  <c r="AE220" i="3"/>
  <c r="AC315" i="3"/>
  <c r="AE315" i="3"/>
  <c r="AC86" i="3"/>
  <c r="AE86" i="3"/>
  <c r="AC221" i="3"/>
  <c r="AE221" i="3"/>
  <c r="AC222" i="3"/>
  <c r="AE222" i="3"/>
  <c r="AC87" i="3"/>
  <c r="AE87" i="3"/>
  <c r="AC223" i="3"/>
  <c r="AE223" i="3"/>
  <c r="AC316" i="3"/>
  <c r="AE316" i="3"/>
  <c r="AC317" i="3"/>
  <c r="AE317" i="3"/>
  <c r="AC224" i="3"/>
  <c r="AE224" i="3"/>
  <c r="AC225" i="3"/>
  <c r="AE225" i="3"/>
  <c r="AC88" i="3"/>
  <c r="AE88" i="3"/>
  <c r="AC226" i="3"/>
  <c r="AE226" i="3"/>
  <c r="AC318" i="3"/>
  <c r="AE318" i="3"/>
  <c r="AC319" i="3"/>
  <c r="AE319" i="3"/>
  <c r="AC320" i="3"/>
  <c r="AE320" i="3"/>
  <c r="AC227" i="3"/>
  <c r="AE227" i="3"/>
  <c r="AC228" i="3"/>
  <c r="AE228" i="3"/>
  <c r="AC321" i="3"/>
  <c r="AE321" i="3"/>
  <c r="AC89" i="3"/>
  <c r="AE89" i="3"/>
  <c r="AC90" i="3"/>
  <c r="AE90" i="3"/>
  <c r="AC229" i="3"/>
  <c r="AE229" i="3"/>
  <c r="AC91" i="3"/>
  <c r="AE91" i="3"/>
  <c r="AC230" i="3"/>
  <c r="AE230" i="3"/>
  <c r="AC231" i="3"/>
  <c r="AE231" i="3"/>
  <c r="AC232" i="3"/>
  <c r="AE232" i="3"/>
  <c r="AC322" i="3"/>
  <c r="AE322" i="3"/>
  <c r="AC233" i="3"/>
  <c r="AE233" i="3"/>
  <c r="AC234" i="3"/>
  <c r="AE234" i="3"/>
  <c r="AC92" i="3"/>
  <c r="AE92" i="3"/>
  <c r="AC235" i="3"/>
  <c r="AE235" i="3"/>
  <c r="AC236" i="3"/>
  <c r="AE236" i="3"/>
  <c r="AC237" i="3"/>
  <c r="AE237" i="3"/>
  <c r="AC238" i="3"/>
  <c r="AE238" i="3"/>
  <c r="AC323" i="3"/>
  <c r="AE323" i="3"/>
  <c r="AC239" i="3"/>
  <c r="AE239" i="3"/>
  <c r="AC93" i="3"/>
  <c r="AE93" i="3"/>
  <c r="AC240" i="3"/>
  <c r="AE240" i="3"/>
  <c r="AC241" i="3"/>
  <c r="AE241" i="3"/>
  <c r="AC324" i="3"/>
  <c r="AE324" i="3"/>
  <c r="AC242" i="3"/>
  <c r="AE242" i="3"/>
  <c r="AC325" i="3"/>
  <c r="AE325" i="3"/>
  <c r="AC94" i="3"/>
  <c r="AE94" i="3"/>
  <c r="AC243" i="3"/>
  <c r="AE243" i="3"/>
  <c r="AC244" i="3"/>
  <c r="AE244" i="3"/>
  <c r="U11" i="3"/>
  <c r="U110" i="3"/>
  <c r="U12" i="3"/>
  <c r="U256" i="3"/>
  <c r="U111" i="3"/>
  <c r="U257" i="3"/>
  <c r="U140" i="3"/>
  <c r="U332" i="3"/>
  <c r="U284" i="3"/>
  <c r="U258" i="3"/>
  <c r="U259" i="3"/>
  <c r="U114" i="3"/>
  <c r="U141" i="3"/>
  <c r="U142" i="3"/>
  <c r="U143" i="3"/>
  <c r="U31" i="3"/>
  <c r="U144" i="3"/>
  <c r="U26" i="3"/>
  <c r="U32" i="3"/>
  <c r="U130" i="3"/>
  <c r="U33" i="3"/>
  <c r="U34" i="3"/>
  <c r="U35" i="3"/>
  <c r="U27" i="3"/>
  <c r="U145" i="3"/>
  <c r="U115" i="3"/>
  <c r="U131" i="3"/>
  <c r="U28" i="3"/>
  <c r="U285" i="3"/>
  <c r="U286" i="3"/>
  <c r="U146" i="3"/>
  <c r="U147" i="3"/>
  <c r="U148" i="3"/>
  <c r="U149" i="3"/>
  <c r="U36" i="3"/>
  <c r="U150" i="3"/>
  <c r="U29" i="3"/>
  <c r="U151" i="3"/>
  <c r="U132" i="3"/>
  <c r="U95" i="3"/>
  <c r="U2" i="3"/>
  <c r="U326" i="3"/>
  <c r="U96" i="3"/>
  <c r="U152" i="3"/>
  <c r="U333" i="3"/>
  <c r="U334" i="3"/>
  <c r="U153" i="3"/>
  <c r="U287" i="3"/>
  <c r="U245" i="3"/>
  <c r="U335" i="3"/>
  <c r="U37" i="3"/>
  <c r="U154" i="3"/>
  <c r="U336" i="3"/>
  <c r="U327" i="3"/>
  <c r="U116" i="3"/>
  <c r="U155" i="3"/>
  <c r="U156" i="3"/>
  <c r="U337" i="3"/>
  <c r="U338" i="3"/>
  <c r="U283" i="3"/>
  <c r="U288" i="3"/>
  <c r="U157" i="3"/>
  <c r="U158" i="3"/>
  <c r="U97" i="3"/>
  <c r="U159" i="3"/>
  <c r="U260" i="3"/>
  <c r="U98" i="3"/>
  <c r="U38" i="3"/>
  <c r="U160" i="3"/>
  <c r="U161" i="3"/>
  <c r="U39" i="3"/>
  <c r="U162" i="3"/>
  <c r="U3" i="3"/>
  <c r="U40" i="3"/>
  <c r="U163" i="3"/>
  <c r="U164" i="3"/>
  <c r="U289" i="3"/>
  <c r="U290" i="3"/>
  <c r="U339" i="3"/>
  <c r="U165" i="3"/>
  <c r="U291" i="3"/>
  <c r="U99" i="3"/>
  <c r="U166" i="3"/>
  <c r="U41" i="3"/>
  <c r="U167" i="3"/>
  <c r="U292" i="3"/>
  <c r="U168" i="3"/>
  <c r="U42" i="3"/>
  <c r="U169" i="3"/>
  <c r="U100" i="3"/>
  <c r="U43" i="3"/>
  <c r="U44" i="3"/>
  <c r="U45" i="3"/>
  <c r="U46" i="3"/>
  <c r="U47" i="3"/>
  <c r="U48" i="3"/>
  <c r="U101" i="3"/>
  <c r="U246" i="3"/>
  <c r="U247" i="3"/>
  <c r="U293" i="3"/>
  <c r="U102" i="3"/>
  <c r="U294" i="3"/>
  <c r="U340" i="3"/>
  <c r="U49" i="3"/>
  <c r="U170" i="3"/>
  <c r="U171" i="3"/>
  <c r="U172" i="3"/>
  <c r="U50" i="3"/>
  <c r="U173" i="3"/>
  <c r="U328" i="3"/>
  <c r="U174" i="3"/>
  <c r="U103" i="3"/>
  <c r="U175" i="3"/>
  <c r="U176" i="3"/>
  <c r="U295" i="3"/>
  <c r="U4" i="3"/>
  <c r="U5" i="3"/>
  <c r="U296" i="3"/>
  <c r="U13" i="3"/>
  <c r="U14" i="3"/>
  <c r="U6" i="3"/>
  <c r="U104" i="3"/>
  <c r="U177" i="3"/>
  <c r="U329" i="3"/>
  <c r="U117" i="3"/>
  <c r="U178" i="3"/>
  <c r="U105" i="3"/>
  <c r="U297" i="3"/>
  <c r="U51" i="3"/>
  <c r="U52" i="3"/>
  <c r="U53" i="3"/>
  <c r="U118" i="3"/>
  <c r="U7" i="3"/>
  <c r="U261" i="3"/>
  <c r="U262" i="3"/>
  <c r="U263" i="3"/>
  <c r="U119" i="3"/>
  <c r="U15" i="3"/>
  <c r="U120" i="3"/>
  <c r="U54" i="3"/>
  <c r="U55" i="3"/>
  <c r="U56" i="3"/>
  <c r="U179" i="3"/>
  <c r="U57" i="3"/>
  <c r="U58" i="3"/>
  <c r="U8" i="3"/>
  <c r="U16" i="3"/>
  <c r="U121" i="3"/>
  <c r="U17" i="3"/>
  <c r="U264" i="3"/>
  <c r="U265" i="3"/>
  <c r="U18" i="3"/>
  <c r="U22" i="3"/>
  <c r="U266" i="3"/>
  <c r="U267" i="3"/>
  <c r="U268" i="3"/>
  <c r="U269" i="3"/>
  <c r="U270" i="3"/>
  <c r="U59" i="3"/>
  <c r="U180" i="3"/>
  <c r="U19" i="3"/>
  <c r="U271" i="3"/>
  <c r="U272" i="3"/>
  <c r="U122" i="3"/>
  <c r="U20" i="3"/>
  <c r="U331" i="3"/>
  <c r="U123" i="3"/>
  <c r="U124" i="3"/>
  <c r="U273" i="3"/>
  <c r="U274" i="3"/>
  <c r="U275" i="3"/>
  <c r="U276" i="3"/>
  <c r="U277" i="3"/>
  <c r="U278" i="3"/>
  <c r="U279" i="3"/>
  <c r="U280" i="3"/>
  <c r="U21" i="3"/>
  <c r="U125" i="3"/>
  <c r="U281" i="3"/>
  <c r="U181" i="3"/>
  <c r="U126" i="3"/>
  <c r="U282" i="3"/>
  <c r="U127" i="3"/>
  <c r="U298" i="3"/>
  <c r="U182" i="3"/>
  <c r="U299" i="3"/>
  <c r="U60" i="3"/>
  <c r="U300" i="3"/>
  <c r="U183" i="3"/>
  <c r="U301" i="3"/>
  <c r="U184" i="3"/>
  <c r="U185" i="3"/>
  <c r="U302" i="3"/>
  <c r="U303" i="3"/>
  <c r="U61" i="3"/>
  <c r="U186" i="3"/>
  <c r="U62" i="3"/>
  <c r="U187" i="3"/>
  <c r="U341" i="3"/>
  <c r="U188" i="3"/>
  <c r="U304" i="3"/>
  <c r="U189" i="3"/>
  <c r="U63" i="3"/>
  <c r="U190" i="3"/>
  <c r="U64" i="3"/>
  <c r="U191" i="3"/>
  <c r="U192" i="3"/>
  <c r="U65" i="3"/>
  <c r="U66" i="3"/>
  <c r="U67" i="3"/>
  <c r="U193" i="3"/>
  <c r="U194" i="3"/>
  <c r="U195" i="3"/>
  <c r="U68" i="3"/>
  <c r="U196" i="3"/>
  <c r="U197" i="3"/>
  <c r="U198" i="3"/>
  <c r="U305" i="3"/>
  <c r="U199" i="3"/>
  <c r="U306" i="3"/>
  <c r="U69" i="3"/>
  <c r="U200" i="3"/>
  <c r="U201" i="3"/>
  <c r="U202" i="3"/>
  <c r="U70" i="3"/>
  <c r="U71" i="3"/>
  <c r="U72" i="3"/>
  <c r="U203" i="3"/>
  <c r="U204" i="3"/>
  <c r="U205" i="3"/>
  <c r="U73" i="3"/>
  <c r="U206" i="3"/>
  <c r="U307" i="3"/>
  <c r="U207" i="3"/>
  <c r="U74" i="3"/>
  <c r="U75" i="3"/>
  <c r="U208" i="3"/>
  <c r="U209" i="3"/>
  <c r="U210" i="3"/>
  <c r="U76" i="3"/>
  <c r="U342" i="3"/>
  <c r="U308" i="3"/>
  <c r="U343" i="3"/>
  <c r="U77" i="3"/>
  <c r="U78" i="3"/>
  <c r="U79" i="3"/>
  <c r="U309" i="3"/>
  <c r="U344" i="3"/>
  <c r="U211" i="3"/>
  <c r="U310" i="3"/>
  <c r="U345" i="3"/>
  <c r="U346" i="3"/>
  <c r="U212" i="3"/>
  <c r="U213" i="3"/>
  <c r="U347" i="3"/>
  <c r="U311" i="3"/>
  <c r="U214" i="3"/>
  <c r="U215" i="3"/>
  <c r="U216" i="3"/>
  <c r="U312" i="3"/>
  <c r="U348" i="3"/>
  <c r="U80" i="3"/>
  <c r="U217" i="3"/>
  <c r="U81" i="3"/>
  <c r="U218" i="3"/>
  <c r="U313" i="3"/>
  <c r="U219" i="3"/>
  <c r="U82" i="3"/>
  <c r="U314" i="3"/>
  <c r="U83" i="3"/>
  <c r="U84" i="3"/>
  <c r="U85" i="3"/>
  <c r="U220" i="3"/>
  <c r="U315" i="3"/>
  <c r="U86" i="3"/>
  <c r="U221" i="3"/>
  <c r="U222" i="3"/>
  <c r="U87" i="3"/>
  <c r="U223" i="3"/>
  <c r="U316" i="3"/>
  <c r="U317" i="3"/>
  <c r="U224" i="3"/>
  <c r="U225" i="3"/>
  <c r="U88" i="3"/>
  <c r="U226" i="3"/>
  <c r="U318" i="3"/>
  <c r="U319" i="3"/>
  <c r="U320" i="3"/>
  <c r="U227" i="3"/>
  <c r="U228" i="3"/>
  <c r="U321" i="3"/>
  <c r="U89" i="3"/>
  <c r="U90" i="3"/>
  <c r="U229" i="3"/>
  <c r="U91" i="3"/>
  <c r="U230" i="3"/>
  <c r="U231" i="3"/>
  <c r="U232" i="3"/>
  <c r="U322" i="3"/>
  <c r="U233" i="3"/>
  <c r="U234" i="3"/>
  <c r="U92" i="3"/>
  <c r="U235" i="3"/>
  <c r="U236" i="3"/>
  <c r="U237" i="3"/>
  <c r="U238" i="3"/>
  <c r="U323" i="3"/>
  <c r="U239" i="3"/>
  <c r="U93" i="3"/>
  <c r="U240" i="3"/>
  <c r="U241" i="3"/>
  <c r="U324" i="3"/>
  <c r="U242" i="3"/>
  <c r="U325" i="3"/>
  <c r="U94" i="3"/>
  <c r="U243" i="3"/>
  <c r="U244" i="3"/>
  <c r="P11" i="3"/>
  <c r="P110" i="3"/>
  <c r="P12" i="3"/>
  <c r="P256" i="3"/>
  <c r="P111" i="3"/>
  <c r="P257" i="3"/>
  <c r="P140" i="3"/>
  <c r="P332" i="3"/>
  <c r="P284" i="3"/>
  <c r="P258" i="3"/>
  <c r="P259" i="3"/>
  <c r="P114" i="3"/>
  <c r="P141" i="3"/>
  <c r="P142" i="3"/>
  <c r="P143" i="3"/>
  <c r="P31" i="3"/>
  <c r="P144" i="3"/>
  <c r="P26" i="3"/>
  <c r="P32" i="3"/>
  <c r="P130" i="3"/>
  <c r="P33" i="3"/>
  <c r="P34" i="3"/>
  <c r="P35" i="3"/>
  <c r="P27" i="3"/>
  <c r="P145" i="3"/>
  <c r="P115" i="3"/>
  <c r="P131" i="3"/>
  <c r="P28" i="3"/>
  <c r="P285" i="3"/>
  <c r="P286" i="3"/>
  <c r="P146" i="3"/>
  <c r="P147" i="3"/>
  <c r="P148" i="3"/>
  <c r="P149" i="3"/>
  <c r="P36" i="3"/>
  <c r="P150" i="3"/>
  <c r="P29" i="3"/>
  <c r="P151" i="3"/>
  <c r="P132" i="3"/>
  <c r="P95" i="3"/>
  <c r="P2" i="3"/>
  <c r="P326" i="3"/>
  <c r="P96" i="3"/>
  <c r="P152" i="3"/>
  <c r="P333" i="3"/>
  <c r="P334" i="3"/>
  <c r="P153" i="3"/>
  <c r="P287" i="3"/>
  <c r="P245" i="3"/>
  <c r="P335" i="3"/>
  <c r="P37" i="3"/>
  <c r="P154" i="3"/>
  <c r="P336" i="3"/>
  <c r="P327" i="3"/>
  <c r="P116" i="3"/>
  <c r="P155" i="3"/>
  <c r="P156" i="3"/>
  <c r="P337" i="3"/>
  <c r="P338" i="3"/>
  <c r="P283" i="3"/>
  <c r="P288" i="3"/>
  <c r="P157" i="3"/>
  <c r="P158" i="3"/>
  <c r="P97" i="3"/>
  <c r="P159" i="3"/>
  <c r="P260" i="3"/>
  <c r="P98" i="3"/>
  <c r="P38" i="3"/>
  <c r="P160" i="3"/>
  <c r="P161" i="3"/>
  <c r="P39" i="3"/>
  <c r="P162" i="3"/>
  <c r="P3" i="3"/>
  <c r="P40" i="3"/>
  <c r="P164" i="3"/>
  <c r="P289" i="3"/>
  <c r="P290" i="3"/>
  <c r="P339" i="3"/>
  <c r="P165" i="3"/>
  <c r="P291" i="3"/>
  <c r="P99" i="3"/>
  <c r="P166" i="3"/>
  <c r="P41" i="3"/>
  <c r="P167" i="3"/>
  <c r="P292" i="3"/>
  <c r="P168" i="3"/>
  <c r="P42" i="3"/>
  <c r="P169" i="3"/>
  <c r="P100" i="3"/>
  <c r="P43" i="3"/>
  <c r="P44" i="3"/>
  <c r="P45" i="3"/>
  <c r="P46" i="3"/>
  <c r="P47" i="3"/>
  <c r="P48" i="3"/>
  <c r="P101" i="3"/>
  <c r="P246" i="3"/>
  <c r="P247" i="3"/>
  <c r="P293" i="3"/>
  <c r="P102" i="3"/>
  <c r="P294" i="3"/>
  <c r="P340" i="3"/>
  <c r="P49" i="3"/>
  <c r="P170" i="3"/>
  <c r="P171" i="3"/>
  <c r="P172" i="3"/>
  <c r="P50" i="3"/>
  <c r="P173" i="3"/>
  <c r="P328" i="3"/>
  <c r="P174" i="3"/>
  <c r="P103" i="3"/>
  <c r="P175" i="3"/>
  <c r="P176" i="3"/>
  <c r="P295" i="3"/>
  <c r="P4" i="3"/>
  <c r="P5" i="3"/>
  <c r="P296" i="3"/>
  <c r="P13" i="3"/>
  <c r="P14" i="3"/>
  <c r="P6" i="3"/>
  <c r="P104" i="3"/>
  <c r="P177" i="3"/>
  <c r="P329" i="3"/>
  <c r="P117" i="3"/>
  <c r="P178" i="3"/>
  <c r="P105" i="3"/>
  <c r="P297" i="3"/>
  <c r="P51" i="3"/>
  <c r="P52" i="3"/>
  <c r="P53" i="3"/>
  <c r="P118" i="3"/>
  <c r="P7" i="3"/>
  <c r="P261" i="3"/>
  <c r="P262" i="3"/>
  <c r="P263" i="3"/>
  <c r="P119" i="3"/>
  <c r="P15" i="3"/>
  <c r="P120" i="3"/>
  <c r="P54" i="3"/>
  <c r="P55" i="3"/>
  <c r="P56" i="3"/>
  <c r="P179" i="3"/>
  <c r="P57" i="3"/>
  <c r="P58" i="3"/>
  <c r="P8" i="3"/>
  <c r="P16" i="3"/>
  <c r="P121" i="3"/>
  <c r="P17" i="3"/>
  <c r="P264" i="3"/>
  <c r="P265" i="3"/>
  <c r="P18" i="3"/>
  <c r="P22" i="3"/>
  <c r="P266" i="3"/>
  <c r="P267" i="3"/>
  <c r="P268" i="3"/>
  <c r="P269" i="3"/>
  <c r="P270" i="3"/>
  <c r="P59" i="3"/>
  <c r="P180" i="3"/>
  <c r="P19" i="3"/>
  <c r="P271" i="3"/>
  <c r="P272" i="3"/>
  <c r="P122" i="3"/>
  <c r="P20" i="3"/>
  <c r="P331" i="3"/>
  <c r="P123" i="3"/>
  <c r="P124" i="3"/>
  <c r="P273" i="3"/>
  <c r="P274" i="3"/>
  <c r="P275" i="3"/>
  <c r="P276" i="3"/>
  <c r="P277" i="3"/>
  <c r="P278" i="3"/>
  <c r="P279" i="3"/>
  <c r="P280" i="3"/>
  <c r="P21" i="3"/>
  <c r="P125" i="3"/>
  <c r="P281" i="3"/>
  <c r="P181" i="3"/>
  <c r="P126" i="3"/>
  <c r="P282" i="3"/>
  <c r="P127" i="3"/>
  <c r="P298" i="3"/>
  <c r="P182" i="3"/>
  <c r="P299" i="3"/>
  <c r="P60" i="3"/>
  <c r="P300" i="3"/>
  <c r="P183" i="3"/>
  <c r="P301" i="3"/>
  <c r="P184" i="3"/>
  <c r="P185" i="3"/>
  <c r="P302" i="3"/>
  <c r="P303" i="3"/>
  <c r="P61" i="3"/>
  <c r="P186" i="3"/>
  <c r="P62" i="3"/>
  <c r="P187" i="3"/>
  <c r="P341" i="3"/>
  <c r="P188" i="3"/>
  <c r="P304" i="3"/>
  <c r="P189" i="3"/>
  <c r="P63" i="3"/>
  <c r="P190" i="3"/>
  <c r="P64" i="3"/>
  <c r="P191" i="3"/>
  <c r="P192" i="3"/>
  <c r="P65" i="3"/>
  <c r="P66" i="3"/>
  <c r="P67" i="3"/>
  <c r="P193" i="3"/>
  <c r="P194" i="3"/>
  <c r="P195" i="3"/>
  <c r="P68" i="3"/>
  <c r="P196" i="3"/>
  <c r="P197" i="3"/>
  <c r="P198" i="3"/>
  <c r="P305" i="3"/>
  <c r="P199" i="3"/>
  <c r="P306" i="3"/>
  <c r="P69" i="3"/>
  <c r="P200" i="3"/>
  <c r="P201" i="3"/>
  <c r="P202" i="3"/>
  <c r="P70" i="3"/>
  <c r="P71" i="3"/>
  <c r="P72" i="3"/>
  <c r="P203" i="3"/>
  <c r="P204" i="3"/>
  <c r="P205" i="3"/>
  <c r="P73" i="3"/>
  <c r="P206" i="3"/>
  <c r="P307" i="3"/>
  <c r="P207" i="3"/>
  <c r="P74" i="3"/>
  <c r="P75" i="3"/>
  <c r="P208" i="3"/>
  <c r="P209" i="3"/>
  <c r="P210" i="3"/>
  <c r="P76" i="3"/>
  <c r="P342" i="3"/>
  <c r="P308" i="3"/>
  <c r="P343" i="3"/>
  <c r="P77" i="3"/>
  <c r="P78" i="3"/>
  <c r="P79" i="3"/>
  <c r="P309" i="3"/>
  <c r="P344" i="3"/>
  <c r="P211" i="3"/>
  <c r="P310" i="3"/>
  <c r="P345" i="3"/>
  <c r="P346" i="3"/>
  <c r="P212" i="3"/>
  <c r="P213" i="3"/>
  <c r="P347" i="3"/>
  <c r="P311" i="3"/>
  <c r="P214" i="3"/>
  <c r="P215" i="3"/>
  <c r="P216" i="3"/>
  <c r="P312" i="3"/>
  <c r="P348" i="3"/>
  <c r="P80" i="3"/>
  <c r="P217" i="3"/>
  <c r="P81" i="3"/>
  <c r="P218" i="3"/>
  <c r="P313" i="3"/>
  <c r="P219" i="3"/>
  <c r="P82" i="3"/>
  <c r="P314" i="3"/>
  <c r="P83" i="3"/>
  <c r="P84" i="3"/>
  <c r="P85" i="3"/>
  <c r="P220" i="3"/>
  <c r="P315" i="3"/>
  <c r="P86" i="3"/>
  <c r="P221" i="3"/>
  <c r="P222" i="3"/>
  <c r="P87" i="3"/>
  <c r="P223" i="3"/>
  <c r="P316" i="3"/>
  <c r="P317" i="3"/>
  <c r="P224" i="3"/>
  <c r="P225" i="3"/>
  <c r="P88" i="3"/>
  <c r="P226" i="3"/>
  <c r="P318" i="3"/>
  <c r="P319" i="3"/>
  <c r="P320" i="3"/>
  <c r="P227" i="3"/>
  <c r="P228" i="3"/>
  <c r="P321" i="3"/>
  <c r="P89" i="3"/>
  <c r="P90" i="3"/>
  <c r="P229" i="3"/>
  <c r="P91" i="3"/>
  <c r="P230" i="3"/>
  <c r="P231" i="3"/>
  <c r="P232" i="3"/>
  <c r="P322" i="3"/>
  <c r="P233" i="3"/>
  <c r="P234" i="3"/>
  <c r="P92" i="3"/>
  <c r="P235" i="3"/>
  <c r="P236" i="3"/>
  <c r="P237" i="3"/>
  <c r="P238" i="3"/>
  <c r="P323" i="3"/>
  <c r="P239" i="3"/>
  <c r="P93" i="3"/>
  <c r="P240" i="3"/>
  <c r="P241" i="3"/>
  <c r="P324" i="3"/>
  <c r="P242" i="3"/>
  <c r="P325" i="3"/>
  <c r="P94" i="3"/>
  <c r="P243" i="3"/>
  <c r="P244" i="3"/>
  <c r="K11" i="3"/>
  <c r="K110" i="3"/>
  <c r="K12" i="3"/>
  <c r="K256" i="3"/>
  <c r="K111" i="3"/>
  <c r="K257" i="3"/>
  <c r="K140" i="3"/>
  <c r="K332" i="3"/>
  <c r="K284" i="3"/>
  <c r="K258" i="3"/>
  <c r="K259" i="3"/>
  <c r="K114" i="3"/>
  <c r="K141" i="3"/>
  <c r="K142" i="3"/>
  <c r="K143" i="3"/>
  <c r="K31" i="3"/>
  <c r="K144" i="3"/>
  <c r="K26" i="3"/>
  <c r="K32" i="3"/>
  <c r="K130" i="3"/>
  <c r="K33" i="3"/>
  <c r="K34" i="3"/>
  <c r="K35" i="3"/>
  <c r="K27" i="3"/>
  <c r="K145" i="3"/>
  <c r="K115" i="3"/>
  <c r="K131" i="3"/>
  <c r="K28" i="3"/>
  <c r="K285" i="3"/>
  <c r="K286" i="3"/>
  <c r="K146" i="3"/>
  <c r="K147" i="3"/>
  <c r="K148" i="3"/>
  <c r="K149" i="3"/>
  <c r="K36" i="3"/>
  <c r="K150" i="3"/>
  <c r="K29" i="3"/>
  <c r="K151" i="3"/>
  <c r="K132" i="3"/>
  <c r="K95" i="3"/>
  <c r="K2" i="3"/>
  <c r="K326" i="3"/>
  <c r="K96" i="3"/>
  <c r="K152" i="3"/>
  <c r="K333" i="3"/>
  <c r="K334" i="3"/>
  <c r="K153" i="3"/>
  <c r="K287" i="3"/>
  <c r="K245" i="3"/>
  <c r="K335" i="3"/>
  <c r="K37" i="3"/>
  <c r="K154" i="3"/>
  <c r="K336" i="3"/>
  <c r="K327" i="3"/>
  <c r="K116" i="3"/>
  <c r="K155" i="3"/>
  <c r="K156" i="3"/>
  <c r="K337" i="3"/>
  <c r="K338" i="3"/>
  <c r="K283" i="3"/>
  <c r="K288" i="3"/>
  <c r="K157" i="3"/>
  <c r="K158" i="3"/>
  <c r="K97" i="3"/>
  <c r="K159" i="3"/>
  <c r="K260" i="3"/>
  <c r="K98" i="3"/>
  <c r="K38" i="3"/>
  <c r="K160" i="3"/>
  <c r="K161" i="3"/>
  <c r="K39" i="3"/>
  <c r="K162" i="3"/>
  <c r="K3" i="3"/>
  <c r="K40" i="3"/>
  <c r="K163" i="3"/>
  <c r="K164" i="3"/>
  <c r="K289" i="3"/>
  <c r="K290" i="3"/>
  <c r="K339" i="3"/>
  <c r="K165" i="3"/>
  <c r="K291" i="3"/>
  <c r="K99" i="3"/>
  <c r="K166" i="3"/>
  <c r="K41" i="3"/>
  <c r="K167" i="3"/>
  <c r="K292" i="3"/>
  <c r="K168" i="3"/>
  <c r="K42" i="3"/>
  <c r="K169" i="3"/>
  <c r="K100" i="3"/>
  <c r="K43" i="3"/>
  <c r="K44" i="3"/>
  <c r="K45" i="3"/>
  <c r="K46" i="3"/>
  <c r="K47" i="3"/>
  <c r="K48" i="3"/>
  <c r="K101" i="3"/>
  <c r="K246" i="3"/>
  <c r="K247" i="3"/>
  <c r="K293" i="3"/>
  <c r="K102" i="3"/>
  <c r="K294" i="3"/>
  <c r="K340" i="3"/>
  <c r="K49" i="3"/>
  <c r="K170" i="3"/>
  <c r="K171" i="3"/>
  <c r="K172" i="3"/>
  <c r="K50" i="3"/>
  <c r="K173" i="3"/>
  <c r="K328" i="3"/>
  <c r="K174" i="3"/>
  <c r="K103" i="3"/>
  <c r="K175" i="3"/>
  <c r="K176" i="3"/>
  <c r="K295" i="3"/>
  <c r="K4" i="3"/>
  <c r="K5" i="3"/>
  <c r="K296" i="3"/>
  <c r="K13" i="3"/>
  <c r="K14" i="3"/>
  <c r="K6" i="3"/>
  <c r="K104" i="3"/>
  <c r="K177" i="3"/>
  <c r="K329" i="3"/>
  <c r="K117" i="3"/>
  <c r="K178" i="3"/>
  <c r="K105" i="3"/>
  <c r="K297" i="3"/>
  <c r="K51" i="3"/>
  <c r="K52" i="3"/>
  <c r="K53" i="3"/>
  <c r="K118" i="3"/>
  <c r="K7" i="3"/>
  <c r="K261" i="3"/>
  <c r="K262" i="3"/>
  <c r="K263" i="3"/>
  <c r="K119" i="3"/>
  <c r="K15" i="3"/>
  <c r="K120" i="3"/>
  <c r="K54" i="3"/>
  <c r="K55" i="3"/>
  <c r="K56" i="3"/>
  <c r="K179" i="3"/>
  <c r="K57" i="3"/>
  <c r="K58" i="3"/>
  <c r="K8" i="3"/>
  <c r="K16" i="3"/>
  <c r="K121" i="3"/>
  <c r="K17" i="3"/>
  <c r="K264" i="3"/>
  <c r="K265" i="3"/>
  <c r="K18" i="3"/>
  <c r="K22" i="3"/>
  <c r="K266" i="3"/>
  <c r="K267" i="3"/>
  <c r="K268" i="3"/>
  <c r="K269" i="3"/>
  <c r="K270" i="3"/>
  <c r="K59" i="3"/>
  <c r="K180" i="3"/>
  <c r="K19" i="3"/>
  <c r="K271" i="3"/>
  <c r="K272" i="3"/>
  <c r="K122" i="3"/>
  <c r="K20" i="3"/>
  <c r="K331" i="3"/>
  <c r="K123" i="3"/>
  <c r="K124" i="3"/>
  <c r="K273" i="3"/>
  <c r="K274" i="3"/>
  <c r="K275" i="3"/>
  <c r="K276" i="3"/>
  <c r="K277" i="3"/>
  <c r="K278" i="3"/>
  <c r="K279" i="3"/>
  <c r="K280" i="3"/>
  <c r="K21" i="3"/>
  <c r="K125" i="3"/>
  <c r="K281" i="3"/>
  <c r="K181" i="3"/>
  <c r="K126" i="3"/>
  <c r="K282" i="3"/>
  <c r="K127" i="3"/>
  <c r="K298" i="3"/>
  <c r="K182" i="3"/>
  <c r="K299" i="3"/>
  <c r="K60" i="3"/>
  <c r="K300" i="3"/>
  <c r="K183" i="3"/>
  <c r="K301" i="3"/>
  <c r="K184" i="3"/>
  <c r="K185" i="3"/>
  <c r="K302" i="3"/>
  <c r="K303" i="3"/>
  <c r="K61" i="3"/>
  <c r="K186" i="3"/>
  <c r="K62" i="3"/>
  <c r="K187" i="3"/>
  <c r="K341" i="3"/>
  <c r="K188" i="3"/>
  <c r="K304" i="3"/>
  <c r="K189" i="3"/>
  <c r="K63" i="3"/>
  <c r="K190" i="3"/>
  <c r="K64" i="3"/>
  <c r="K191" i="3"/>
  <c r="K192" i="3"/>
  <c r="K65" i="3"/>
  <c r="K66" i="3"/>
  <c r="K67" i="3"/>
  <c r="K193" i="3"/>
  <c r="K194" i="3"/>
  <c r="K195" i="3"/>
  <c r="K68" i="3"/>
  <c r="K196" i="3"/>
  <c r="K197" i="3"/>
  <c r="K198" i="3"/>
  <c r="K305" i="3"/>
  <c r="K199" i="3"/>
  <c r="K306" i="3"/>
  <c r="K69" i="3"/>
  <c r="K200" i="3"/>
  <c r="K201" i="3"/>
  <c r="K202" i="3"/>
  <c r="K70" i="3"/>
  <c r="K71" i="3"/>
  <c r="K72" i="3"/>
  <c r="K203" i="3"/>
  <c r="K204" i="3"/>
  <c r="K205" i="3"/>
  <c r="K73" i="3"/>
  <c r="K206" i="3"/>
  <c r="K307" i="3"/>
  <c r="K207" i="3"/>
  <c r="K74" i="3"/>
  <c r="K75" i="3"/>
  <c r="K208" i="3"/>
  <c r="K209" i="3"/>
  <c r="K210" i="3"/>
  <c r="K76" i="3"/>
  <c r="K342" i="3"/>
  <c r="K308" i="3"/>
  <c r="K343" i="3"/>
  <c r="K77" i="3"/>
  <c r="K78" i="3"/>
  <c r="K79" i="3"/>
  <c r="K309" i="3"/>
  <c r="K344" i="3"/>
  <c r="K211" i="3"/>
  <c r="K310" i="3"/>
  <c r="K345" i="3"/>
  <c r="K346" i="3"/>
  <c r="K212" i="3"/>
  <c r="K213" i="3"/>
  <c r="K347" i="3"/>
  <c r="K311" i="3"/>
  <c r="K214" i="3"/>
  <c r="K215" i="3"/>
  <c r="K216" i="3"/>
  <c r="K312" i="3"/>
  <c r="K348" i="3"/>
  <c r="K80" i="3"/>
  <c r="K217" i="3"/>
  <c r="K81" i="3"/>
  <c r="K218" i="3"/>
  <c r="K313" i="3"/>
  <c r="K219" i="3"/>
  <c r="K82" i="3"/>
  <c r="K314" i="3"/>
  <c r="K83" i="3"/>
  <c r="K84" i="3"/>
  <c r="K85" i="3"/>
  <c r="K220" i="3"/>
  <c r="K315" i="3"/>
  <c r="K86" i="3"/>
  <c r="K221" i="3"/>
  <c r="K222" i="3"/>
  <c r="K87" i="3"/>
  <c r="K223" i="3"/>
  <c r="K316" i="3"/>
  <c r="K317" i="3"/>
  <c r="K224" i="3"/>
  <c r="K225" i="3"/>
  <c r="K88" i="3"/>
  <c r="K226" i="3"/>
  <c r="K318" i="3"/>
  <c r="K319" i="3"/>
  <c r="K320" i="3"/>
  <c r="K227" i="3"/>
  <c r="K228" i="3"/>
  <c r="K321" i="3"/>
  <c r="K89" i="3"/>
  <c r="K90" i="3"/>
  <c r="K229" i="3"/>
  <c r="K91" i="3"/>
  <c r="K230" i="3"/>
  <c r="K231" i="3"/>
  <c r="K232" i="3"/>
  <c r="K322" i="3"/>
  <c r="K233" i="3"/>
  <c r="K234" i="3"/>
  <c r="K92" i="3"/>
  <c r="K235" i="3"/>
  <c r="K236" i="3"/>
  <c r="K237" i="3"/>
  <c r="K238" i="3"/>
  <c r="K323" i="3"/>
  <c r="K239" i="3"/>
  <c r="K93" i="3"/>
  <c r="K240" i="3"/>
  <c r="K241" i="3"/>
  <c r="K324" i="3"/>
  <c r="K242" i="3"/>
  <c r="K325" i="3"/>
  <c r="K94" i="3"/>
  <c r="K243" i="3"/>
  <c r="K244" i="3"/>
  <c r="H11" i="3"/>
  <c r="H110" i="3"/>
  <c r="H12" i="3"/>
  <c r="H256" i="3"/>
  <c r="H111" i="3"/>
  <c r="H257" i="3"/>
  <c r="H140" i="3"/>
  <c r="H332" i="3"/>
  <c r="H284" i="3"/>
  <c r="H258" i="3"/>
  <c r="H259" i="3"/>
  <c r="H114" i="3"/>
  <c r="H141" i="3"/>
  <c r="H142" i="3"/>
  <c r="H143" i="3"/>
  <c r="H31" i="3"/>
  <c r="H144" i="3"/>
  <c r="H26" i="3"/>
  <c r="H32" i="3"/>
  <c r="H130" i="3"/>
  <c r="H33" i="3"/>
  <c r="H34" i="3"/>
  <c r="H35" i="3"/>
  <c r="H27" i="3"/>
  <c r="H145" i="3"/>
  <c r="H115" i="3"/>
  <c r="H131" i="3"/>
  <c r="H28" i="3"/>
  <c r="H285" i="3"/>
  <c r="H286" i="3"/>
  <c r="H146" i="3"/>
  <c r="H147" i="3"/>
  <c r="H148" i="3"/>
  <c r="H149" i="3"/>
  <c r="H36" i="3"/>
  <c r="H150" i="3"/>
  <c r="H29" i="3"/>
  <c r="H151" i="3"/>
  <c r="H132" i="3"/>
  <c r="H95" i="3"/>
  <c r="H2" i="3"/>
  <c r="H326" i="3"/>
  <c r="H96" i="3"/>
  <c r="H152" i="3"/>
  <c r="H333" i="3"/>
  <c r="H334" i="3"/>
  <c r="H153" i="3"/>
  <c r="H287" i="3"/>
  <c r="H245" i="3"/>
  <c r="H335" i="3"/>
  <c r="H37" i="3"/>
  <c r="H154" i="3"/>
  <c r="H336" i="3"/>
  <c r="H327" i="3"/>
  <c r="H116" i="3"/>
  <c r="H155" i="3"/>
  <c r="H156" i="3"/>
  <c r="H337" i="3"/>
  <c r="H338" i="3"/>
  <c r="H283" i="3"/>
  <c r="H288" i="3"/>
  <c r="H157" i="3"/>
  <c r="H158" i="3"/>
  <c r="H97" i="3"/>
  <c r="H159" i="3"/>
  <c r="H260" i="3"/>
  <c r="H98" i="3"/>
  <c r="H38" i="3"/>
  <c r="H160" i="3"/>
  <c r="H161" i="3"/>
  <c r="H39" i="3"/>
  <c r="H162" i="3"/>
  <c r="H3" i="3"/>
  <c r="H40" i="3"/>
  <c r="H163" i="3"/>
  <c r="H164" i="3"/>
  <c r="H289" i="3"/>
  <c r="H290" i="3"/>
  <c r="H339" i="3"/>
  <c r="H165" i="3"/>
  <c r="H291" i="3"/>
  <c r="H99" i="3"/>
  <c r="H166" i="3"/>
  <c r="H41" i="3"/>
  <c r="H167" i="3"/>
  <c r="H292" i="3"/>
  <c r="H168" i="3"/>
  <c r="H42" i="3"/>
  <c r="H169" i="3"/>
  <c r="H100" i="3"/>
  <c r="H43" i="3"/>
  <c r="H44" i="3"/>
  <c r="H45" i="3"/>
  <c r="H46" i="3"/>
  <c r="H47" i="3"/>
  <c r="H48" i="3"/>
  <c r="H101" i="3"/>
  <c r="H246" i="3"/>
  <c r="H247" i="3"/>
  <c r="H293" i="3"/>
  <c r="H102" i="3"/>
  <c r="H294" i="3"/>
  <c r="H340" i="3"/>
  <c r="H49" i="3"/>
  <c r="H170" i="3"/>
  <c r="H171" i="3"/>
  <c r="H172" i="3"/>
  <c r="H50" i="3"/>
  <c r="H173" i="3"/>
  <c r="H328" i="3"/>
  <c r="H174" i="3"/>
  <c r="H103" i="3"/>
  <c r="H175" i="3"/>
  <c r="H176" i="3"/>
  <c r="H295" i="3"/>
  <c r="H4" i="3"/>
  <c r="H5" i="3"/>
  <c r="H296" i="3"/>
  <c r="H13" i="3"/>
  <c r="H14" i="3"/>
  <c r="H6" i="3"/>
  <c r="H104" i="3"/>
  <c r="H177" i="3"/>
  <c r="H329" i="3"/>
  <c r="H117" i="3"/>
  <c r="H178" i="3"/>
  <c r="H105" i="3"/>
  <c r="H297" i="3"/>
  <c r="H51" i="3"/>
  <c r="H52" i="3"/>
  <c r="H53" i="3"/>
  <c r="H118" i="3"/>
  <c r="H7" i="3"/>
  <c r="H261" i="3"/>
  <c r="H262" i="3"/>
  <c r="H263" i="3"/>
  <c r="H119" i="3"/>
  <c r="H15" i="3"/>
  <c r="H120" i="3"/>
  <c r="H54" i="3"/>
  <c r="H55" i="3"/>
  <c r="H56" i="3"/>
  <c r="H179" i="3"/>
  <c r="H57" i="3"/>
  <c r="H58" i="3"/>
  <c r="H8" i="3"/>
  <c r="H16" i="3"/>
  <c r="H121" i="3"/>
  <c r="H17" i="3"/>
  <c r="H264" i="3"/>
  <c r="H265" i="3"/>
  <c r="H18" i="3"/>
  <c r="H22" i="3"/>
  <c r="H266" i="3"/>
  <c r="H267" i="3"/>
  <c r="H268" i="3"/>
  <c r="H269" i="3"/>
  <c r="H270" i="3"/>
  <c r="H59" i="3"/>
  <c r="H180" i="3"/>
  <c r="H19" i="3"/>
  <c r="H271" i="3"/>
  <c r="H272" i="3"/>
  <c r="H122" i="3"/>
  <c r="H20" i="3"/>
  <c r="H331" i="3"/>
  <c r="H123" i="3"/>
  <c r="H124" i="3"/>
  <c r="H273" i="3"/>
  <c r="H274" i="3"/>
  <c r="H275" i="3"/>
  <c r="H276" i="3"/>
  <c r="H277" i="3"/>
  <c r="H278" i="3"/>
  <c r="H279" i="3"/>
  <c r="H280" i="3"/>
  <c r="H21" i="3"/>
  <c r="H125" i="3"/>
  <c r="H281" i="3"/>
  <c r="H181" i="3"/>
  <c r="H126" i="3"/>
  <c r="H282" i="3"/>
  <c r="H127" i="3"/>
  <c r="H298" i="3"/>
  <c r="H182" i="3"/>
  <c r="H299" i="3"/>
  <c r="H60" i="3"/>
  <c r="H300" i="3"/>
  <c r="H183" i="3"/>
  <c r="H301" i="3"/>
  <c r="H184" i="3"/>
  <c r="H185" i="3"/>
  <c r="H302" i="3"/>
  <c r="H303" i="3"/>
  <c r="H61" i="3"/>
  <c r="H186" i="3"/>
  <c r="H62" i="3"/>
  <c r="H187" i="3"/>
  <c r="H341" i="3"/>
  <c r="H188" i="3"/>
  <c r="H304" i="3"/>
  <c r="H189" i="3"/>
  <c r="H63" i="3"/>
  <c r="H190" i="3"/>
  <c r="H64" i="3"/>
  <c r="H191" i="3"/>
  <c r="H192" i="3"/>
  <c r="H65" i="3"/>
  <c r="H66" i="3"/>
  <c r="H67" i="3"/>
  <c r="H193" i="3"/>
  <c r="H194" i="3"/>
  <c r="H195" i="3"/>
  <c r="H68" i="3"/>
  <c r="H196" i="3"/>
  <c r="H197" i="3"/>
  <c r="H198" i="3"/>
  <c r="H305" i="3"/>
  <c r="H199" i="3"/>
  <c r="H306" i="3"/>
  <c r="H69" i="3"/>
  <c r="H200" i="3"/>
  <c r="H201" i="3"/>
  <c r="H202" i="3"/>
  <c r="H70" i="3"/>
  <c r="H71" i="3"/>
  <c r="H72" i="3"/>
  <c r="H203" i="3"/>
  <c r="H204" i="3"/>
  <c r="H205" i="3"/>
  <c r="H73" i="3"/>
  <c r="H206" i="3"/>
  <c r="H307" i="3"/>
  <c r="H207" i="3"/>
  <c r="H74" i="3"/>
  <c r="H75" i="3"/>
  <c r="H208" i="3"/>
  <c r="H209" i="3"/>
  <c r="H210" i="3"/>
  <c r="H76" i="3"/>
  <c r="H342" i="3"/>
  <c r="H308" i="3"/>
  <c r="H343" i="3"/>
  <c r="H77" i="3"/>
  <c r="H78" i="3"/>
  <c r="H79" i="3"/>
  <c r="H309" i="3"/>
  <c r="H344" i="3"/>
  <c r="H211" i="3"/>
  <c r="H310" i="3"/>
  <c r="H345" i="3"/>
  <c r="H346" i="3"/>
  <c r="H212" i="3"/>
  <c r="H213" i="3"/>
  <c r="H347" i="3"/>
  <c r="H311" i="3"/>
  <c r="H214" i="3"/>
  <c r="H215" i="3"/>
  <c r="H216" i="3"/>
  <c r="H312" i="3"/>
  <c r="H348" i="3"/>
  <c r="H80" i="3"/>
  <c r="H217" i="3"/>
  <c r="H81" i="3"/>
  <c r="H218" i="3"/>
  <c r="H313" i="3"/>
  <c r="H219" i="3"/>
  <c r="H82" i="3"/>
  <c r="H314" i="3"/>
  <c r="H83" i="3"/>
  <c r="H84" i="3"/>
  <c r="H85" i="3"/>
  <c r="H220" i="3"/>
  <c r="H315" i="3"/>
  <c r="H86" i="3"/>
  <c r="H221" i="3"/>
  <c r="H222" i="3"/>
  <c r="H87" i="3"/>
  <c r="H223" i="3"/>
  <c r="H316" i="3"/>
  <c r="H317" i="3"/>
  <c r="H224" i="3"/>
  <c r="H225" i="3"/>
  <c r="H88" i="3"/>
  <c r="H226" i="3"/>
  <c r="H318" i="3"/>
  <c r="H319" i="3"/>
  <c r="H320" i="3"/>
  <c r="H227" i="3"/>
  <c r="H228" i="3"/>
  <c r="H321" i="3"/>
  <c r="H89" i="3"/>
  <c r="H90" i="3"/>
  <c r="H229" i="3"/>
  <c r="H91" i="3"/>
  <c r="H230" i="3"/>
  <c r="H231" i="3"/>
  <c r="H232" i="3"/>
  <c r="H322" i="3"/>
  <c r="H233" i="3"/>
  <c r="H234" i="3"/>
  <c r="H92" i="3"/>
  <c r="H235" i="3"/>
  <c r="H236" i="3"/>
  <c r="H237" i="3"/>
  <c r="H238" i="3"/>
  <c r="H323" i="3"/>
  <c r="H239" i="3"/>
  <c r="H93" i="3"/>
  <c r="H240" i="3"/>
  <c r="H241" i="3"/>
  <c r="H324" i="3"/>
  <c r="H242" i="3"/>
  <c r="H325" i="3"/>
  <c r="H94" i="3"/>
  <c r="H243" i="3"/>
  <c r="H244" i="3"/>
  <c r="F11" i="3"/>
  <c r="F110" i="3"/>
  <c r="F12" i="3"/>
  <c r="F256" i="3"/>
  <c r="F111" i="3"/>
  <c r="F257" i="3"/>
  <c r="F140" i="3"/>
  <c r="F332" i="3"/>
  <c r="F284" i="3"/>
  <c r="F258" i="3"/>
  <c r="F259" i="3"/>
  <c r="F114" i="3"/>
  <c r="F141" i="3"/>
  <c r="F142" i="3"/>
  <c r="F143" i="3"/>
  <c r="F31" i="3"/>
  <c r="F144" i="3"/>
  <c r="F26" i="3"/>
  <c r="F32" i="3"/>
  <c r="F130" i="3"/>
  <c r="F33" i="3"/>
  <c r="F34" i="3"/>
  <c r="F35" i="3"/>
  <c r="F27" i="3"/>
  <c r="F145" i="3"/>
  <c r="F115" i="3"/>
  <c r="F131" i="3"/>
  <c r="F28" i="3"/>
  <c r="F285" i="3"/>
  <c r="F286" i="3"/>
  <c r="F146" i="3"/>
  <c r="F147" i="3"/>
  <c r="F148" i="3"/>
  <c r="F149" i="3"/>
  <c r="F36" i="3"/>
  <c r="F150" i="3"/>
  <c r="F29" i="3"/>
  <c r="F151" i="3"/>
  <c r="F132" i="3"/>
  <c r="F95" i="3"/>
  <c r="F2" i="3"/>
  <c r="F326" i="3"/>
  <c r="F96" i="3"/>
  <c r="F152" i="3"/>
  <c r="F333" i="3"/>
  <c r="F334" i="3"/>
  <c r="F153" i="3"/>
  <c r="F287" i="3"/>
  <c r="F245" i="3"/>
  <c r="F335" i="3"/>
  <c r="F37" i="3"/>
  <c r="F154" i="3"/>
  <c r="F336" i="3"/>
  <c r="F327" i="3"/>
  <c r="F116" i="3"/>
  <c r="F155" i="3"/>
  <c r="F156" i="3"/>
  <c r="F337" i="3"/>
  <c r="F338" i="3"/>
  <c r="F283" i="3"/>
  <c r="F288" i="3"/>
  <c r="F157" i="3"/>
  <c r="F158" i="3"/>
  <c r="F97" i="3"/>
  <c r="F159" i="3"/>
  <c r="F260" i="3"/>
  <c r="F98" i="3"/>
  <c r="F38" i="3"/>
  <c r="F160" i="3"/>
  <c r="F161" i="3"/>
  <c r="F39" i="3"/>
  <c r="F162" i="3"/>
  <c r="F3" i="3"/>
  <c r="F40" i="3"/>
  <c r="F163" i="3"/>
  <c r="F164" i="3"/>
  <c r="F289" i="3"/>
  <c r="F290" i="3"/>
  <c r="F339" i="3"/>
  <c r="F165" i="3"/>
  <c r="F291" i="3"/>
  <c r="F99" i="3"/>
  <c r="F166" i="3"/>
  <c r="F41" i="3"/>
  <c r="F167" i="3"/>
  <c r="F292" i="3"/>
  <c r="F168" i="3"/>
  <c r="F42" i="3"/>
  <c r="F169" i="3"/>
  <c r="F100" i="3"/>
  <c r="F43" i="3"/>
  <c r="F44" i="3"/>
  <c r="F45" i="3"/>
  <c r="F46" i="3"/>
  <c r="F47" i="3"/>
  <c r="F48" i="3"/>
  <c r="F101" i="3"/>
  <c r="F246" i="3"/>
  <c r="F247" i="3"/>
  <c r="F293" i="3"/>
  <c r="F102" i="3"/>
  <c r="F294" i="3"/>
  <c r="F340" i="3"/>
  <c r="F49" i="3"/>
  <c r="F170" i="3"/>
  <c r="F171" i="3"/>
  <c r="F172" i="3"/>
  <c r="F50" i="3"/>
  <c r="F173" i="3"/>
  <c r="F328" i="3"/>
  <c r="F174" i="3"/>
  <c r="F103" i="3"/>
  <c r="F175" i="3"/>
  <c r="F176" i="3"/>
  <c r="F295" i="3"/>
  <c r="F4" i="3"/>
  <c r="F5" i="3"/>
  <c r="F296" i="3"/>
  <c r="F13" i="3"/>
  <c r="F14" i="3"/>
  <c r="F6" i="3"/>
  <c r="F104" i="3"/>
  <c r="F177" i="3"/>
  <c r="F329" i="3"/>
  <c r="F117" i="3"/>
  <c r="F178" i="3"/>
  <c r="F105" i="3"/>
  <c r="F297" i="3"/>
  <c r="F51" i="3"/>
  <c r="F52" i="3"/>
  <c r="F53" i="3"/>
  <c r="F118" i="3"/>
  <c r="F7" i="3"/>
  <c r="F261" i="3"/>
  <c r="F262" i="3"/>
  <c r="F263" i="3"/>
  <c r="F119" i="3"/>
  <c r="F15" i="3"/>
  <c r="F120" i="3"/>
  <c r="F54" i="3"/>
  <c r="F55" i="3"/>
  <c r="F56" i="3"/>
  <c r="F179" i="3"/>
  <c r="F57" i="3"/>
  <c r="F58" i="3"/>
  <c r="F8" i="3"/>
  <c r="F16" i="3"/>
  <c r="F121" i="3"/>
  <c r="F17" i="3"/>
  <c r="F264" i="3"/>
  <c r="F265" i="3"/>
  <c r="F18" i="3"/>
  <c r="F22" i="3"/>
  <c r="F266" i="3"/>
  <c r="F267" i="3"/>
  <c r="F268" i="3"/>
  <c r="F269" i="3"/>
  <c r="F270" i="3"/>
  <c r="F59" i="3"/>
  <c r="F180" i="3"/>
  <c r="F19" i="3"/>
  <c r="F271" i="3"/>
  <c r="F272" i="3"/>
  <c r="F122" i="3"/>
  <c r="F20" i="3"/>
  <c r="F331" i="3"/>
  <c r="F123" i="3"/>
  <c r="F124" i="3"/>
  <c r="F273" i="3"/>
  <c r="F274" i="3"/>
  <c r="F275" i="3"/>
  <c r="F276" i="3"/>
  <c r="F277" i="3"/>
  <c r="F278" i="3"/>
  <c r="F279" i="3"/>
  <c r="F280" i="3"/>
  <c r="F21" i="3"/>
  <c r="F125" i="3"/>
  <c r="F281" i="3"/>
  <c r="F181" i="3"/>
  <c r="F126" i="3"/>
  <c r="F282" i="3"/>
  <c r="F127" i="3"/>
  <c r="F298" i="3"/>
  <c r="F182" i="3"/>
  <c r="F299" i="3"/>
  <c r="F60" i="3"/>
  <c r="F300" i="3"/>
  <c r="F183" i="3"/>
  <c r="F301" i="3"/>
  <c r="F184" i="3"/>
  <c r="F185" i="3"/>
  <c r="F302" i="3"/>
  <c r="F303" i="3"/>
  <c r="F61" i="3"/>
  <c r="F186" i="3"/>
  <c r="F62" i="3"/>
  <c r="F187" i="3"/>
  <c r="F341" i="3"/>
  <c r="F188" i="3"/>
  <c r="F304" i="3"/>
  <c r="F189" i="3"/>
  <c r="F63" i="3"/>
  <c r="F190" i="3"/>
  <c r="F64" i="3"/>
  <c r="F191" i="3"/>
  <c r="F192" i="3"/>
  <c r="F65" i="3"/>
  <c r="F66" i="3"/>
  <c r="F67" i="3"/>
  <c r="F193" i="3"/>
  <c r="F194" i="3"/>
  <c r="F195" i="3"/>
  <c r="F68" i="3"/>
  <c r="F196" i="3"/>
  <c r="F197" i="3"/>
  <c r="F198" i="3"/>
  <c r="F305" i="3"/>
  <c r="F199" i="3"/>
  <c r="F306" i="3"/>
  <c r="F69" i="3"/>
  <c r="F200" i="3"/>
  <c r="F201" i="3"/>
  <c r="F202" i="3"/>
  <c r="F70" i="3"/>
  <c r="F71" i="3"/>
  <c r="F72" i="3"/>
  <c r="F203" i="3"/>
  <c r="F204" i="3"/>
  <c r="F205" i="3"/>
  <c r="F73" i="3"/>
  <c r="F206" i="3"/>
  <c r="F307" i="3"/>
  <c r="F207" i="3"/>
  <c r="F74" i="3"/>
  <c r="F75" i="3"/>
  <c r="F208" i="3"/>
  <c r="F209" i="3"/>
  <c r="F210" i="3"/>
  <c r="F76" i="3"/>
  <c r="F342" i="3"/>
  <c r="F308" i="3"/>
  <c r="F343" i="3"/>
  <c r="F77" i="3"/>
  <c r="F78" i="3"/>
  <c r="F79" i="3"/>
  <c r="F309" i="3"/>
  <c r="F344" i="3"/>
  <c r="F211" i="3"/>
  <c r="F310" i="3"/>
  <c r="F345" i="3"/>
  <c r="F346" i="3"/>
  <c r="F212" i="3"/>
  <c r="F213" i="3"/>
  <c r="F347" i="3"/>
  <c r="F311" i="3"/>
  <c r="F214" i="3"/>
  <c r="F215" i="3"/>
  <c r="F216" i="3"/>
  <c r="F312" i="3"/>
  <c r="F348" i="3"/>
  <c r="F80" i="3"/>
  <c r="F217" i="3"/>
  <c r="F81" i="3"/>
  <c r="F218" i="3"/>
  <c r="F313" i="3"/>
  <c r="F219" i="3"/>
  <c r="F82" i="3"/>
  <c r="F314" i="3"/>
  <c r="F83" i="3"/>
  <c r="F84" i="3"/>
  <c r="F85" i="3"/>
  <c r="F220" i="3"/>
  <c r="F315" i="3"/>
  <c r="F86" i="3"/>
  <c r="F221" i="3"/>
  <c r="F222" i="3"/>
  <c r="F87" i="3"/>
  <c r="F223" i="3"/>
  <c r="F316" i="3"/>
  <c r="F317" i="3"/>
  <c r="F224" i="3"/>
  <c r="F225" i="3"/>
  <c r="F88" i="3"/>
  <c r="F226" i="3"/>
  <c r="F318" i="3"/>
  <c r="F319" i="3"/>
  <c r="F320" i="3"/>
  <c r="F227" i="3"/>
  <c r="F228" i="3"/>
  <c r="F321" i="3"/>
  <c r="F89" i="3"/>
  <c r="F90" i="3"/>
  <c r="F229" i="3"/>
  <c r="F91" i="3"/>
  <c r="F230" i="3"/>
  <c r="F231" i="3"/>
  <c r="F232" i="3"/>
  <c r="F322" i="3"/>
  <c r="F233" i="3"/>
  <c r="F234" i="3"/>
  <c r="F92" i="3"/>
  <c r="F235" i="3"/>
  <c r="F236" i="3"/>
  <c r="F237" i="3"/>
  <c r="F238" i="3"/>
  <c r="F323" i="3"/>
  <c r="F239" i="3"/>
  <c r="F93" i="3"/>
  <c r="F240" i="3"/>
  <c r="F241" i="3"/>
  <c r="F324" i="3"/>
  <c r="F242" i="3"/>
  <c r="F325" i="3"/>
  <c r="F94" i="3"/>
  <c r="F243" i="3"/>
  <c r="F244" i="3"/>
  <c r="AE255" i="3"/>
  <c r="AE10" i="3"/>
  <c r="AE330" i="3"/>
  <c r="AE254" i="3"/>
  <c r="AE109" i="3"/>
  <c r="AE30" i="3"/>
  <c r="AE253" i="3"/>
  <c r="AE248" i="3"/>
  <c r="AE25" i="3"/>
  <c r="AE108" i="3"/>
  <c r="AE107" i="3"/>
  <c r="AE9" i="3"/>
  <c r="AE252" i="3"/>
  <c r="AE251" i="3"/>
  <c r="AE139" i="3"/>
  <c r="AE113" i="3"/>
  <c r="AE138" i="3"/>
  <c r="AE129" i="3"/>
  <c r="AE128" i="3"/>
  <c r="AE24" i="3"/>
  <c r="AE137" i="3"/>
  <c r="AE136" i="3"/>
  <c r="AE250" i="3"/>
  <c r="AE106" i="3"/>
  <c r="AE135" i="3"/>
  <c r="AE23" i="3"/>
  <c r="AE249" i="3"/>
  <c r="AE112" i="3"/>
  <c r="AE134" i="3"/>
  <c r="AE133" i="3"/>
  <c r="AC255" i="3"/>
  <c r="AC10" i="3"/>
  <c r="AC330" i="3"/>
  <c r="AC254" i="3"/>
  <c r="AC109" i="3"/>
  <c r="AC30" i="3"/>
  <c r="AC253" i="3"/>
  <c r="AC248" i="3"/>
  <c r="AC25" i="3"/>
  <c r="AC108" i="3"/>
  <c r="AC107" i="3"/>
  <c r="AC9" i="3"/>
  <c r="AC252" i="3"/>
  <c r="AC251" i="3"/>
  <c r="AC139" i="3"/>
  <c r="AC113" i="3"/>
  <c r="AC138" i="3"/>
  <c r="AC129" i="3"/>
  <c r="AC128" i="3"/>
  <c r="AC24" i="3"/>
  <c r="AC137" i="3"/>
  <c r="AC136" i="3"/>
  <c r="AC250" i="3"/>
  <c r="AC106" i="3"/>
  <c r="AC135" i="3"/>
  <c r="AC23" i="3"/>
  <c r="AC249" i="3"/>
  <c r="AC112" i="3"/>
  <c r="AC134" i="3"/>
  <c r="AC133" i="3"/>
  <c r="K134" i="3"/>
  <c r="K112" i="3"/>
  <c r="K249" i="3"/>
  <c r="K23" i="3"/>
  <c r="K135" i="3"/>
  <c r="K106" i="3"/>
  <c r="K250" i="3"/>
  <c r="K136" i="3"/>
  <c r="K137" i="3"/>
  <c r="K24" i="3"/>
  <c r="K128" i="3"/>
  <c r="K129" i="3"/>
  <c r="K138" i="3"/>
  <c r="K113" i="3"/>
  <c r="K139" i="3"/>
  <c r="K251" i="3"/>
  <c r="K252" i="3"/>
  <c r="K9" i="3"/>
  <c r="K107" i="3"/>
  <c r="K108" i="3"/>
  <c r="K25" i="3"/>
  <c r="K248" i="3"/>
  <c r="K253" i="3"/>
  <c r="K30" i="3"/>
  <c r="K109" i="3"/>
  <c r="K254" i="3"/>
  <c r="K330" i="3"/>
  <c r="K10" i="3"/>
  <c r="K255" i="3"/>
  <c r="H134" i="3"/>
  <c r="H112" i="3"/>
  <c r="H249" i="3"/>
  <c r="H23" i="3"/>
  <c r="H135" i="3"/>
  <c r="H106" i="3"/>
  <c r="H250" i="3"/>
  <c r="H136" i="3"/>
  <c r="H137" i="3"/>
  <c r="H24" i="3"/>
  <c r="H128" i="3"/>
  <c r="H129" i="3"/>
  <c r="H138" i="3"/>
  <c r="H113" i="3"/>
  <c r="H139" i="3"/>
  <c r="H251" i="3"/>
  <c r="H252" i="3"/>
  <c r="H9" i="3"/>
  <c r="H107" i="3"/>
  <c r="H108" i="3"/>
  <c r="H25" i="3"/>
  <c r="H248" i="3"/>
  <c r="H253" i="3"/>
  <c r="H30" i="3"/>
  <c r="H109" i="3"/>
  <c r="H254" i="3"/>
  <c r="H330" i="3"/>
  <c r="H10" i="3"/>
  <c r="H255" i="3"/>
  <c r="F134" i="3"/>
  <c r="F112" i="3"/>
  <c r="F249" i="3"/>
  <c r="F23" i="3"/>
  <c r="F135" i="3"/>
  <c r="F106" i="3"/>
  <c r="F250" i="3"/>
  <c r="F136" i="3"/>
  <c r="F137" i="3"/>
  <c r="F24" i="3"/>
  <c r="F128" i="3"/>
  <c r="F129" i="3"/>
  <c r="F138" i="3"/>
  <c r="F113" i="3"/>
  <c r="F139" i="3"/>
  <c r="F251" i="3"/>
  <c r="F252" i="3"/>
  <c r="F9" i="3"/>
  <c r="F107" i="3"/>
  <c r="F108" i="3"/>
  <c r="F25" i="3"/>
  <c r="F248" i="3"/>
  <c r="F253" i="3"/>
  <c r="F30" i="3"/>
  <c r="F109" i="3"/>
  <c r="F254" i="3"/>
  <c r="F330" i="3"/>
  <c r="F10" i="3"/>
  <c r="F255" i="3"/>
  <c r="K133" i="3"/>
  <c r="H133" i="3"/>
  <c r="F133" i="3"/>
  <c r="V49" i="3" l="1"/>
  <c r="V226" i="3"/>
  <c r="V69" i="3"/>
  <c r="V269" i="3"/>
  <c r="V38" i="3"/>
  <c r="V283" i="3"/>
  <c r="V150" i="3"/>
  <c r="V28" i="3"/>
  <c r="V114" i="3"/>
  <c r="V192" i="3"/>
  <c r="V63" i="3"/>
  <c r="V341" i="3"/>
  <c r="V61" i="3"/>
  <c r="V184" i="3"/>
  <c r="V60" i="3"/>
  <c r="V127" i="3"/>
  <c r="V281" i="3"/>
  <c r="V279" i="3"/>
  <c r="V275" i="3"/>
  <c r="V123" i="3"/>
  <c r="V272" i="3"/>
  <c r="V59" i="3"/>
  <c r="V268" i="3"/>
  <c r="V18" i="3"/>
  <c r="V121" i="3"/>
  <c r="V57" i="3"/>
  <c r="V54" i="3"/>
  <c r="V263" i="3"/>
  <c r="V118" i="3"/>
  <c r="V297" i="3"/>
  <c r="V329" i="3"/>
  <c r="V14" i="3"/>
  <c r="V296" i="3"/>
  <c r="V176" i="3"/>
  <c r="V328" i="3"/>
  <c r="V171" i="3"/>
  <c r="V294" i="3"/>
  <c r="V246" i="3"/>
  <c r="V46" i="3"/>
  <c r="V100" i="3"/>
  <c r="V169" i="3"/>
  <c r="V292" i="3"/>
  <c r="V99" i="3"/>
  <c r="V290" i="3"/>
  <c r="V40" i="3"/>
  <c r="V161" i="3"/>
  <c r="V98" i="3"/>
  <c r="V158" i="3"/>
  <c r="V149" i="3"/>
  <c r="V286" i="3"/>
  <c r="V115" i="3"/>
  <c r="V34" i="3"/>
  <c r="V26" i="3"/>
  <c r="V142" i="3"/>
  <c r="V259" i="3"/>
  <c r="V140" i="3"/>
  <c r="V12" i="3"/>
  <c r="V5" i="3"/>
  <c r="V175" i="3"/>
  <c r="V173" i="3"/>
  <c r="V170" i="3"/>
  <c r="V155" i="3"/>
  <c r="V154" i="3"/>
  <c r="V287" i="3"/>
  <c r="V152" i="3"/>
  <c r="V95" i="3"/>
  <c r="V148" i="3"/>
  <c r="V285" i="3"/>
  <c r="V191" i="3"/>
  <c r="V189" i="3"/>
  <c r="V187" i="3"/>
  <c r="V303" i="3"/>
  <c r="V301" i="3"/>
  <c r="V299" i="3"/>
  <c r="V282" i="3"/>
  <c r="V125" i="3"/>
  <c r="V278" i="3"/>
  <c r="V274" i="3"/>
  <c r="V331" i="3"/>
  <c r="V271" i="3"/>
  <c r="V270" i="3"/>
  <c r="V267" i="3"/>
  <c r="V265" i="3"/>
  <c r="V16" i="3"/>
  <c r="V179" i="3"/>
  <c r="V120" i="3"/>
  <c r="V262" i="3"/>
  <c r="V53" i="3"/>
  <c r="V105" i="3"/>
  <c r="V177" i="3"/>
  <c r="V4" i="3"/>
  <c r="V103" i="3"/>
  <c r="V50" i="3"/>
  <c r="V102" i="3"/>
  <c r="V101" i="3"/>
  <c r="V45" i="3"/>
  <c r="V167" i="3"/>
  <c r="V291" i="3"/>
  <c r="V289" i="3"/>
  <c r="V3" i="3"/>
  <c r="V160" i="3"/>
  <c r="V260" i="3"/>
  <c r="V157" i="3"/>
  <c r="V338" i="3"/>
  <c r="V116" i="3"/>
  <c r="V37" i="3"/>
  <c r="V153" i="3"/>
  <c r="V96" i="3"/>
  <c r="V132" i="3"/>
  <c r="V147" i="3"/>
  <c r="V145" i="3"/>
  <c r="V33" i="3"/>
  <c r="V144" i="3"/>
  <c r="V141" i="3"/>
  <c r="V258" i="3"/>
  <c r="V257" i="3"/>
  <c r="V110" i="3"/>
  <c r="V64" i="3"/>
  <c r="V304" i="3"/>
  <c r="V62" i="3"/>
  <c r="V302" i="3"/>
  <c r="V183" i="3"/>
  <c r="V182" i="3"/>
  <c r="V126" i="3"/>
  <c r="V21" i="3"/>
  <c r="V277" i="3"/>
  <c r="V273" i="3"/>
  <c r="V20" i="3"/>
  <c r="V19" i="3"/>
  <c r="V266" i="3"/>
  <c r="V264" i="3"/>
  <c r="V8" i="3"/>
  <c r="V56" i="3"/>
  <c r="V15" i="3"/>
  <c r="V261" i="3"/>
  <c r="V52" i="3"/>
  <c r="V178" i="3"/>
  <c r="V104" i="3"/>
  <c r="V13" i="3"/>
  <c r="V295" i="3"/>
  <c r="V174" i="3"/>
  <c r="V172" i="3"/>
  <c r="V293" i="3"/>
  <c r="V48" i="3"/>
  <c r="V44" i="3"/>
  <c r="V42" i="3"/>
  <c r="V41" i="3"/>
  <c r="V165" i="3"/>
  <c r="V164" i="3"/>
  <c r="V162" i="3"/>
  <c r="V159" i="3"/>
  <c r="V288" i="3"/>
  <c r="V337" i="3"/>
  <c r="V327" i="3"/>
  <c r="V335" i="3"/>
  <c r="V334" i="3"/>
  <c r="V326" i="3"/>
  <c r="V151" i="3"/>
  <c r="V36" i="3"/>
  <c r="V146" i="3"/>
  <c r="V27" i="3"/>
  <c r="V130" i="3"/>
  <c r="V31" i="3"/>
  <c r="V284" i="3"/>
  <c r="V111" i="3"/>
  <c r="V11" i="3"/>
  <c r="V65" i="3"/>
  <c r="V190" i="3"/>
  <c r="V188" i="3"/>
  <c r="V186" i="3"/>
  <c r="V185" i="3"/>
  <c r="V300" i="3"/>
  <c r="V298" i="3"/>
  <c r="V181" i="3"/>
  <c r="V280" i="3"/>
  <c r="V276" i="3"/>
  <c r="V124" i="3"/>
  <c r="V122" i="3"/>
  <c r="V180" i="3"/>
  <c r="V22" i="3"/>
  <c r="V17" i="3"/>
  <c r="V58" i="3"/>
  <c r="V55" i="3"/>
  <c r="V119" i="3"/>
  <c r="V7" i="3"/>
  <c r="V51" i="3"/>
  <c r="V117" i="3"/>
  <c r="V6" i="3"/>
  <c r="V340" i="3"/>
  <c r="V247" i="3"/>
  <c r="V47" i="3"/>
  <c r="V43" i="3"/>
  <c r="V168" i="3"/>
  <c r="V166" i="3"/>
  <c r="V339" i="3"/>
  <c r="V163" i="3"/>
  <c r="V39" i="3"/>
  <c r="V97" i="3"/>
  <c r="V156" i="3"/>
  <c r="V336" i="3"/>
  <c r="V245" i="3"/>
  <c r="V333" i="3"/>
  <c r="V2" i="3"/>
  <c r="V29" i="3"/>
  <c r="V131" i="3"/>
  <c r="V35" i="3"/>
  <c r="V32" i="3"/>
  <c r="V143" i="3"/>
  <c r="V332" i="3"/>
  <c r="V256" i="3"/>
  <c r="V81" i="3"/>
  <c r="V197" i="3"/>
  <c r="V217" i="3"/>
  <c r="V347" i="3"/>
  <c r="V309" i="3"/>
  <c r="V210" i="3"/>
  <c r="V73" i="3"/>
  <c r="V201" i="3"/>
  <c r="V244" i="3"/>
  <c r="V93" i="3"/>
  <c r="V234" i="3"/>
  <c r="V90" i="3"/>
  <c r="V87" i="3"/>
  <c r="V83" i="3"/>
  <c r="V243" i="3"/>
  <c r="V239" i="3"/>
  <c r="V233" i="3"/>
  <c r="V89" i="3"/>
  <c r="V222" i="3"/>
  <c r="V314" i="3"/>
  <c r="V80" i="3"/>
  <c r="V213" i="3"/>
  <c r="V79" i="3"/>
  <c r="V209" i="3"/>
  <c r="V205" i="3"/>
  <c r="V200" i="3"/>
  <c r="V196" i="3"/>
  <c r="V94" i="3"/>
  <c r="V323" i="3"/>
  <c r="V322" i="3"/>
  <c r="V321" i="3"/>
  <c r="V88" i="3"/>
  <c r="V221" i="3"/>
  <c r="V82" i="3"/>
  <c r="V348" i="3"/>
  <c r="V212" i="3"/>
  <c r="V78" i="3"/>
  <c r="V208" i="3"/>
  <c r="V204" i="3"/>
  <c r="V68" i="3"/>
  <c r="V325" i="3"/>
  <c r="V238" i="3"/>
  <c r="V232" i="3"/>
  <c r="V228" i="3"/>
  <c r="V225" i="3"/>
  <c r="V86" i="3"/>
  <c r="V219" i="3"/>
  <c r="V312" i="3"/>
  <c r="V346" i="3"/>
  <c r="V77" i="3"/>
  <c r="V75" i="3"/>
  <c r="V203" i="3"/>
  <c r="V195" i="3"/>
  <c r="V242" i="3"/>
  <c r="V237" i="3"/>
  <c r="V231" i="3"/>
  <c r="V227" i="3"/>
  <c r="V224" i="3"/>
  <c r="V315" i="3"/>
  <c r="V313" i="3"/>
  <c r="V216" i="3"/>
  <c r="V345" i="3"/>
  <c r="V343" i="3"/>
  <c r="V74" i="3"/>
  <c r="V72" i="3"/>
  <c r="V306" i="3"/>
  <c r="V194" i="3"/>
  <c r="V324" i="3"/>
  <c r="V236" i="3"/>
  <c r="V230" i="3"/>
  <c r="V320" i="3"/>
  <c r="V317" i="3"/>
  <c r="V220" i="3"/>
  <c r="V218" i="3"/>
  <c r="V215" i="3"/>
  <c r="V310" i="3"/>
  <c r="V308" i="3"/>
  <c r="V207" i="3"/>
  <c r="V71" i="3"/>
  <c r="V199" i="3"/>
  <c r="V193" i="3"/>
  <c r="V241" i="3"/>
  <c r="V235" i="3"/>
  <c r="V91" i="3"/>
  <c r="V319" i="3"/>
  <c r="V316" i="3"/>
  <c r="V85" i="3"/>
  <c r="V214" i="3"/>
  <c r="V211" i="3"/>
  <c r="V342" i="3"/>
  <c r="V307" i="3"/>
  <c r="V70" i="3"/>
  <c r="V305" i="3"/>
  <c r="V67" i="3"/>
  <c r="V240" i="3"/>
  <c r="V92" i="3"/>
  <c r="V229" i="3"/>
  <c r="V318" i="3"/>
  <c r="V223" i="3"/>
  <c r="V84" i="3"/>
  <c r="V311" i="3"/>
  <c r="V344" i="3"/>
  <c r="V76" i="3"/>
  <c r="V206" i="3"/>
  <c r="V202" i="3"/>
  <c r="V198" i="3"/>
  <c r="V66" i="3"/>
  <c r="P255" i="3" l="1"/>
  <c r="U255" i="3"/>
  <c r="V255" i="3" l="1"/>
  <c r="U134" i="3"/>
  <c r="U249" i="3"/>
  <c r="U23" i="3"/>
  <c r="U135" i="3"/>
  <c r="U106" i="3"/>
  <c r="U250" i="3"/>
  <c r="U136" i="3"/>
  <c r="U137" i="3"/>
  <c r="U24" i="3"/>
  <c r="U128" i="3"/>
  <c r="U129" i="3"/>
  <c r="U138" i="3"/>
  <c r="U113" i="3"/>
  <c r="U139" i="3"/>
  <c r="U251" i="3"/>
  <c r="U252" i="3"/>
  <c r="U9" i="3"/>
  <c r="U107" i="3"/>
  <c r="U108" i="3"/>
  <c r="U25" i="3"/>
  <c r="U248" i="3"/>
  <c r="U253" i="3"/>
  <c r="U30" i="3"/>
  <c r="U109" i="3"/>
  <c r="U254" i="3"/>
  <c r="U330" i="3"/>
  <c r="U10" i="3"/>
  <c r="U133" i="3"/>
  <c r="P112" i="3"/>
  <c r="P249" i="3"/>
  <c r="P23" i="3"/>
  <c r="P135" i="3"/>
  <c r="P106" i="3"/>
  <c r="P250" i="3"/>
  <c r="P136" i="3"/>
  <c r="P137" i="3"/>
  <c r="P24" i="3"/>
  <c r="P128" i="3"/>
  <c r="P129" i="3"/>
  <c r="P138" i="3"/>
  <c r="P113" i="3"/>
  <c r="P139" i="3"/>
  <c r="P251" i="3"/>
  <c r="P252" i="3"/>
  <c r="P9" i="3"/>
  <c r="P107" i="3"/>
  <c r="P108" i="3"/>
  <c r="P25" i="3"/>
  <c r="P248" i="3"/>
  <c r="P253" i="3"/>
  <c r="P30" i="3"/>
  <c r="P109" i="3"/>
  <c r="P254" i="3"/>
  <c r="P330" i="3"/>
  <c r="P10" i="3"/>
  <c r="P133" i="3"/>
  <c r="P134" i="3"/>
  <c r="U112" i="3"/>
  <c r="V30" i="3" l="1"/>
  <c r="V251" i="3"/>
  <c r="V10" i="3"/>
  <c r="V254" i="3"/>
  <c r="V248" i="3"/>
  <c r="V108" i="3"/>
  <c r="V9" i="3"/>
  <c r="V113" i="3"/>
  <c r="V24" i="3"/>
  <c r="V136" i="3"/>
  <c r="V106" i="3"/>
  <c r="V23" i="3"/>
  <c r="V112" i="3"/>
  <c r="V129" i="3"/>
  <c r="V109" i="3"/>
  <c r="V25" i="3"/>
  <c r="V252" i="3"/>
  <c r="V138" i="3"/>
  <c r="V137" i="3"/>
  <c r="V135" i="3"/>
  <c r="V134" i="3"/>
  <c r="V330" i="3"/>
  <c r="V253" i="3"/>
  <c r="V107" i="3"/>
  <c r="V139" i="3"/>
  <c r="V128" i="3"/>
  <c r="V250" i="3"/>
  <c r="V249" i="3"/>
  <c r="V133" i="3"/>
</calcChain>
</file>

<file path=xl/sharedStrings.xml><?xml version="1.0" encoding="utf-8"?>
<sst xmlns="http://schemas.openxmlformats.org/spreadsheetml/2006/main" count="15002" uniqueCount="989">
  <si>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</si>
  <si>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</si>
  <si>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</si>
  <si>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</si>
  <si>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</si>
  <si>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</si>
  <si>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</si>
  <si>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</si>
  <si>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</si>
  <si>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</si>
  <si>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</si>
  <si>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</si>
  <si>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</si>
  <si>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</si>
  <si>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</si>
  <si>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</si>
  <si>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</si>
  <si>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</si>
  <si>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</si>
  <si>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</si>
  <si>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</si>
  <si>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</si>
  <si>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</si>
  <si>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</si>
  <si>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</si>
  <si>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</si>
  <si>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</si>
  <si>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</si>
  <si>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</si>
  <si>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</si>
  <si>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</si>
  <si>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</si>
  <si>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</si>
  <si>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</si>
  <si>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</si>
  <si>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</si>
  <si>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</si>
  <si>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</si>
  <si>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</si>
  <si>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</si>
  <si>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</si>
  <si>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</si>
  <si>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</si>
  <si>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</si>
  <si>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</si>
  <si>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</si>
  <si>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</si>
  <si>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</si>
  <si>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</si>
  <si>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</si>
  <si>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</si>
  <si>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</si>
  <si>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</si>
  <si>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</si>
  <si>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</si>
  <si>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</si>
  <si>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</si>
  <si>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</si>
  <si>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</si>
  <si>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</si>
  <si>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</si>
  <si>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</si>
  <si>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</si>
  <si>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</si>
  <si>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</si>
  <si>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</si>
  <si>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</si>
  <si>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</si>
  <si>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</si>
  <si>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</si>
  <si>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</si>
  <si>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</si>
  <si>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</si>
  <si>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</si>
  <si>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</si>
  <si>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</si>
  <si>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</si>
  <si>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</si>
  <si>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</si>
  <si>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</si>
  <si>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</si>
  <si>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</si>
  <si>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</si>
  <si>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</si>
  <si>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</si>
  <si>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</si>
  <si>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</si>
  <si>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</si>
  <si>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</si>
  <si>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</si>
  <si>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</si>
  <si>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Origin-Purpose Desc</t>
  </si>
  <si>
    <t>Journey_Purpose</t>
  </si>
  <si>
    <t>Pay How Much? (UGX)</t>
  </si>
  <si>
    <t>Y</t>
  </si>
  <si>
    <t>Date</t>
  </si>
  <si>
    <t>Town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</si>
  <si>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</si>
  <si>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</si>
  <si>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</si>
  <si>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</si>
  <si>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</si>
  <si>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</si>
  <si>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</si>
  <si>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</si>
  <si>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</si>
  <si>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</si>
  <si>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</si>
  <si>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</si>
  <si>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</si>
  <si>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</si>
  <si>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</si>
  <si>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</si>
  <si>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</si>
  <si>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</si>
  <si>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</si>
  <si>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</si>
  <si>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</si>
  <si>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</si>
  <si>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</si>
  <si>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</si>
  <si>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</si>
  <si>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</si>
  <si>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</si>
  <si>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</si>
  <si>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</si>
  <si>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</si>
  <si>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</si>
  <si>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</si>
  <si>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</si>
  <si>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</si>
  <si>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</si>
  <si>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</si>
  <si>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</si>
  <si>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</si>
  <si>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</si>
  <si>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</si>
  <si>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</si>
  <si>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</si>
  <si>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</si>
  <si>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</si>
  <si>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</si>
  <si>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</si>
  <si>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</si>
  <si>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</si>
  <si>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</si>
  <si>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</si>
  <si>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</si>
  <si>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</si>
  <si>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</si>
  <si>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P</t>
  </si>
  <si>
    <t>HIOMA</t>
  </si>
  <si>
    <t>UG</t>
  </si>
  <si>
    <t>KAMPALA</t>
  </si>
  <si>
    <t>KAISO</t>
  </si>
  <si>
    <t>18;33</t>
  </si>
  <si>
    <t>F</t>
  </si>
  <si>
    <t>KIBUULE</t>
  </si>
  <si>
    <t>KABAALE</t>
  </si>
  <si>
    <t>KYENJOJO</t>
  </si>
  <si>
    <t>MASINDI</t>
  </si>
  <si>
    <t>KIRONDE</t>
  </si>
  <si>
    <t>BUSUJJU</t>
  </si>
  <si>
    <t>ARUA</t>
  </si>
  <si>
    <t>BUKIYIRI</t>
  </si>
  <si>
    <t>BULIISA</t>
  </si>
  <si>
    <t>KIBOGA</t>
  </si>
  <si>
    <t>KYANKWENZI</t>
  </si>
  <si>
    <t>WAKISO</t>
  </si>
  <si>
    <t>NANSANA</t>
  </si>
  <si>
    <t xml:space="preserve"> 15:44</t>
  </si>
  <si>
    <t>KAKIRI</t>
  </si>
  <si>
    <t>KAGADE</t>
  </si>
  <si>
    <t>KIBAALE</t>
  </si>
  <si>
    <t>MITYANA</t>
  </si>
  <si>
    <t>MASAKA</t>
  </si>
  <si>
    <t>KASUBI</t>
  </si>
  <si>
    <t>KIKUUBE</t>
  </si>
  <si>
    <t>KARANGWALI</t>
  </si>
  <si>
    <t>MUTANZIJO</t>
  </si>
  <si>
    <t>KAKUMIRO</t>
  </si>
  <si>
    <t>KISIITA</t>
  </si>
  <si>
    <t>KIBUROYA</t>
  </si>
  <si>
    <t>KAGADI</t>
  </si>
  <si>
    <t>MUNTANZIGE</t>
  </si>
  <si>
    <t>KISITIA</t>
  </si>
  <si>
    <t>BUGEMBE</t>
  </si>
  <si>
    <t>BUKWIRI</t>
  </si>
  <si>
    <t>WANSOKO</t>
  </si>
  <si>
    <t>KABWOGA</t>
  </si>
  <si>
    <t>KISOLOHYA</t>
  </si>
  <si>
    <t>KIGOLOBYA</t>
  </si>
  <si>
    <t>KISGOLOBYA</t>
  </si>
  <si>
    <t xml:space="preserve">LWEZA </t>
  </si>
  <si>
    <t>KIZIRAFUMBI</t>
  </si>
  <si>
    <t>KISENYI</t>
  </si>
  <si>
    <t>NAMUGONA</t>
  </si>
  <si>
    <t>KATANABIRA</t>
  </si>
  <si>
    <t>KYANKAZI</t>
  </si>
  <si>
    <t>PAKWACH</t>
  </si>
  <si>
    <t>NEBBI</t>
  </si>
  <si>
    <t>BUSUNJJU</t>
  </si>
  <si>
    <t>KABOGA</t>
  </si>
  <si>
    <t>ENTEBBE</t>
  </si>
  <si>
    <t>MUTYABA</t>
  </si>
  <si>
    <t>BUSIA</t>
  </si>
  <si>
    <t>KYANGWARE</t>
  </si>
  <si>
    <t>WANSIKO</t>
  </si>
  <si>
    <t>BUGAMBE</t>
  </si>
  <si>
    <t>KIGUBE</t>
  </si>
  <si>
    <t>KYANKWANZI</t>
  </si>
  <si>
    <t>BULIMA</t>
  </si>
  <si>
    <t xml:space="preserve">  KAMPALA</t>
  </si>
  <si>
    <t>BIISO</t>
  </si>
  <si>
    <t>Female</t>
  </si>
  <si>
    <t>Male</t>
  </si>
  <si>
    <t>Grand Total</t>
  </si>
  <si>
    <t>Bicycle</t>
  </si>
  <si>
    <t>Age</t>
  </si>
  <si>
    <t>Universal college</t>
  </si>
  <si>
    <t>Kasese</t>
  </si>
  <si>
    <t>UGA</t>
  </si>
  <si>
    <t>Kazinga channel</t>
  </si>
  <si>
    <t>kasese</t>
  </si>
  <si>
    <t>Kisanyalaze</t>
  </si>
  <si>
    <t>Kilembe</t>
  </si>
  <si>
    <t>mt.Rwenzori</t>
  </si>
  <si>
    <t>Bright Academy</t>
  </si>
  <si>
    <t>Kaziini camp</t>
  </si>
  <si>
    <t>Rwenzori inter</t>
  </si>
  <si>
    <t>Nyakasanga</t>
  </si>
  <si>
    <t>Towncentre</t>
  </si>
  <si>
    <t>kitalikibi</t>
  </si>
  <si>
    <t>universal</t>
  </si>
  <si>
    <t>Kasese modern</t>
  </si>
  <si>
    <t>rwenzori high</t>
  </si>
  <si>
    <t>Rwenzoriinter</t>
  </si>
  <si>
    <t>kirome</t>
  </si>
  <si>
    <t>Kidoodo</t>
  </si>
  <si>
    <t>Kitalikibi</t>
  </si>
  <si>
    <t>kitembe</t>
  </si>
  <si>
    <t>Kikoodo</t>
  </si>
  <si>
    <t>katadoba</t>
  </si>
  <si>
    <t>Rwenzori high</t>
  </si>
  <si>
    <t>kidoodo</t>
  </si>
  <si>
    <t>kyarumba</t>
  </si>
  <si>
    <t xml:space="preserve">Rubona </t>
  </si>
  <si>
    <t>Bunyangabo</t>
  </si>
  <si>
    <t>p</t>
  </si>
  <si>
    <t>rugombe</t>
  </si>
  <si>
    <t>kyenjojo</t>
  </si>
  <si>
    <t>3000-5000</t>
  </si>
  <si>
    <t>Base camp</t>
  </si>
  <si>
    <t>Bwera</t>
  </si>
  <si>
    <t>town</t>
  </si>
  <si>
    <t>matiri</t>
  </si>
  <si>
    <t>Kyegegwa</t>
  </si>
  <si>
    <t>Taxi Park</t>
  </si>
  <si>
    <t>Kinyamaseke</t>
  </si>
  <si>
    <t>Town centre</t>
  </si>
  <si>
    <t>kyegegwa</t>
  </si>
  <si>
    <t>ishaka</t>
  </si>
  <si>
    <t>Muvuko</t>
  </si>
  <si>
    <t>Rubirizi</t>
  </si>
  <si>
    <t>Kasese Tax</t>
  </si>
  <si>
    <t>kisinga</t>
  </si>
  <si>
    <t>Kibito</t>
  </si>
  <si>
    <t>mpondwe</t>
  </si>
  <si>
    <t>Bushenyi</t>
  </si>
  <si>
    <t>Mpanga</t>
  </si>
  <si>
    <t>fortportal</t>
  </si>
  <si>
    <t>kighengera</t>
  </si>
  <si>
    <t>coliketa</t>
  </si>
  <si>
    <t>kampal city</t>
  </si>
  <si>
    <t>kampala</t>
  </si>
  <si>
    <t>kigheige</t>
  </si>
  <si>
    <t>kisenyi</t>
  </si>
  <si>
    <t>bwera</t>
  </si>
  <si>
    <t>mubende</t>
  </si>
  <si>
    <t>500-1000</t>
  </si>
  <si>
    <t>railway</t>
  </si>
  <si>
    <t>mutundwe</t>
  </si>
  <si>
    <t>Rwampara</t>
  </si>
  <si>
    <t>Mbarara</t>
  </si>
  <si>
    <t>Lubona</t>
  </si>
  <si>
    <t>FortPortal</t>
  </si>
  <si>
    <t>Town Park</t>
  </si>
  <si>
    <t>1000-2000</t>
  </si>
  <si>
    <t xml:space="preserve">katadoba </t>
  </si>
  <si>
    <t>No</t>
  </si>
  <si>
    <t>Kasitomu</t>
  </si>
  <si>
    <t>Ishaka</t>
  </si>
  <si>
    <t>Bundibugyo</t>
  </si>
  <si>
    <t>oldkampala</t>
  </si>
  <si>
    <t>kabirizi</t>
  </si>
  <si>
    <t>mbarara</t>
  </si>
  <si>
    <t>kichwamba</t>
  </si>
  <si>
    <t>Fortportal</t>
  </si>
  <si>
    <t>Rwibale</t>
  </si>
  <si>
    <t>katwe</t>
  </si>
  <si>
    <t>1to 2</t>
  </si>
  <si>
    <t>Kikome</t>
  </si>
  <si>
    <t>Mt.Rwenzori</t>
  </si>
  <si>
    <t>Mughete</t>
  </si>
  <si>
    <t>Katwe</t>
  </si>
  <si>
    <t>kasitomu</t>
  </si>
  <si>
    <t>Muhokya</t>
  </si>
  <si>
    <t>m</t>
  </si>
  <si>
    <t>kikoodo</t>
  </si>
  <si>
    <t>towncity</t>
  </si>
  <si>
    <t>Kibssara</t>
  </si>
  <si>
    <t>muyhete</t>
  </si>
  <si>
    <t>modern</t>
  </si>
  <si>
    <t>cholikota</t>
  </si>
  <si>
    <t>Kirembe quata</t>
  </si>
  <si>
    <t>miityana</t>
  </si>
  <si>
    <t>colidota</t>
  </si>
  <si>
    <t>kakabara</t>
  </si>
  <si>
    <t>bushenyi</t>
  </si>
  <si>
    <t>mukungu</t>
  </si>
  <si>
    <t>Rugendabara</t>
  </si>
  <si>
    <t>muvuko</t>
  </si>
  <si>
    <t>Rubona</t>
  </si>
  <si>
    <t>Ndongo</t>
  </si>
  <si>
    <t>kikome</t>
  </si>
  <si>
    <t>kazinn</t>
  </si>
  <si>
    <t>Katadabo</t>
  </si>
  <si>
    <t>kasitoma</t>
  </si>
  <si>
    <t>Rwimi</t>
  </si>
  <si>
    <t>Mpondwe</t>
  </si>
  <si>
    <t>Kikonjo</t>
  </si>
  <si>
    <t>Hima</t>
  </si>
  <si>
    <t>Sheema</t>
  </si>
  <si>
    <t>sheema</t>
  </si>
  <si>
    <t>Q.Elizabeth</t>
  </si>
  <si>
    <t>migongwe</t>
  </si>
  <si>
    <t>kyegogwa</t>
  </si>
  <si>
    <t>kasses</t>
  </si>
  <si>
    <t>Bundibujjo</t>
  </si>
  <si>
    <t>Kisinga</t>
  </si>
  <si>
    <t>bunyangabo</t>
  </si>
  <si>
    <t>kachwamba</t>
  </si>
  <si>
    <t>tea estate</t>
  </si>
  <si>
    <t>rubirizi</t>
  </si>
  <si>
    <t>rwimi</t>
  </si>
  <si>
    <t>kikorongo</t>
  </si>
  <si>
    <t>1000-1500</t>
  </si>
  <si>
    <t>kizungu</t>
  </si>
  <si>
    <t>mt rwenzori</t>
  </si>
  <si>
    <t>kyatega</t>
  </si>
  <si>
    <t>city centre</t>
  </si>
  <si>
    <t>Bujjuko</t>
  </si>
  <si>
    <t>wakiso</t>
  </si>
  <si>
    <t>Kabojja</t>
  </si>
  <si>
    <t>kawempe</t>
  </si>
  <si>
    <t>najanakubi</t>
  </si>
  <si>
    <t>Kalambi</t>
  </si>
  <si>
    <t>Nyakasaga</t>
  </si>
  <si>
    <t>Kaihura</t>
  </si>
  <si>
    <t>Kyenjojo</t>
  </si>
  <si>
    <t>Total-Town</t>
  </si>
  <si>
    <t>Kikorongo</t>
  </si>
  <si>
    <t>Bulenga</t>
  </si>
  <si>
    <t>kiburara</t>
  </si>
  <si>
    <t>muhokya</t>
  </si>
  <si>
    <t>Ktadoba</t>
  </si>
  <si>
    <t>Ntungamo</t>
  </si>
  <si>
    <t>Ntugamo</t>
  </si>
  <si>
    <t>Tea Estate</t>
  </si>
  <si>
    <t>Kyamuwunga</t>
  </si>
  <si>
    <t>Kitagata</t>
  </si>
  <si>
    <t>Ankole tea estate</t>
  </si>
  <si>
    <t>kabularoke</t>
  </si>
  <si>
    <t xml:space="preserve"> 9:52</t>
  </si>
  <si>
    <t>Kabirizi</t>
  </si>
  <si>
    <t>Nyaruzigati</t>
  </si>
  <si>
    <t>Mubende</t>
  </si>
  <si>
    <t>.</t>
  </si>
  <si>
    <t>kibito</t>
  </si>
  <si>
    <t>Kisoga</t>
  </si>
  <si>
    <t>Mpigi</t>
  </si>
  <si>
    <t>masaka</t>
  </si>
  <si>
    <t>lyatonde</t>
  </si>
  <si>
    <t>Kiryandongo</t>
  </si>
  <si>
    <t>kiryandongo</t>
  </si>
  <si>
    <t>kazinga</t>
  </si>
  <si>
    <t>Kasese taxi park</t>
  </si>
  <si>
    <t>nyaruzigati</t>
  </si>
  <si>
    <t>katwe subcounty</t>
  </si>
  <si>
    <t>ruhumuro</t>
  </si>
  <si>
    <t>basecamp</t>
  </si>
  <si>
    <t>mityana</t>
  </si>
  <si>
    <t>200-500</t>
  </si>
  <si>
    <t>Towncenter</t>
  </si>
  <si>
    <t>rwenzori</t>
  </si>
  <si>
    <t>lubona</t>
  </si>
  <si>
    <t>Konjo</t>
  </si>
  <si>
    <t>Bunga</t>
  </si>
  <si>
    <t>kiganda</t>
  </si>
  <si>
    <t>100-500</t>
  </si>
  <si>
    <t>Rusharisa</t>
  </si>
  <si>
    <t>nabingola</t>
  </si>
  <si>
    <t>Rwenzori int</t>
  </si>
  <si>
    <t>Bombo Rd</t>
  </si>
  <si>
    <t>Kampala</t>
  </si>
  <si>
    <t>28-30,000</t>
  </si>
  <si>
    <t>Muyenga</t>
  </si>
  <si>
    <t>kiwatule</t>
  </si>
  <si>
    <t>Igara tea</t>
  </si>
  <si>
    <t>kiburora</t>
  </si>
  <si>
    <t>Kabarole</t>
  </si>
  <si>
    <t>excel</t>
  </si>
  <si>
    <t>Namabale</t>
  </si>
  <si>
    <t>buspark</t>
  </si>
  <si>
    <t>kihura</t>
  </si>
  <si>
    <t>Bus park</t>
  </si>
  <si>
    <t>600-1000</t>
  </si>
  <si>
    <t>Vilika</t>
  </si>
  <si>
    <t>bulo</t>
  </si>
  <si>
    <t>19.10.19</t>
  </si>
  <si>
    <t>KARIVARE</t>
  </si>
  <si>
    <t>MBARARA</t>
  </si>
  <si>
    <t>BAKULI</t>
  </si>
  <si>
    <t>20.10.19</t>
  </si>
  <si>
    <t>MBARARA TOWN</t>
  </si>
  <si>
    <t>IBANDA TOWN</t>
  </si>
  <si>
    <t>IBANDA</t>
  </si>
  <si>
    <t>RUKUNGIRI TOWN</t>
  </si>
  <si>
    <t>RUKUNGIRI</t>
  </si>
  <si>
    <t>ISINGIRO TOWN</t>
  </si>
  <si>
    <t>ISINGIRO</t>
  </si>
  <si>
    <t>SEMBABULE TOWN</t>
  </si>
  <si>
    <t>SEMBABULE</t>
  </si>
  <si>
    <t>18.10.19</t>
  </si>
  <si>
    <t>KAMPALA TOWN</t>
  </si>
  <si>
    <t>LYANTONDE TOWN</t>
  </si>
  <si>
    <t>LYANTONDE</t>
  </si>
  <si>
    <t>MASAKA TOWN</t>
  </si>
  <si>
    <t>ISHAKA TOWN</t>
  </si>
  <si>
    <t>BUSHENYI</t>
  </si>
  <si>
    <t>SHEEMA TOWN</t>
  </si>
  <si>
    <t>SHEEMA</t>
  </si>
  <si>
    <t>RIYIYI</t>
  </si>
  <si>
    <t>BUTEKETA</t>
  </si>
  <si>
    <t>KANUNGU</t>
  </si>
  <si>
    <t>KIBULI</t>
  </si>
  <si>
    <t>ISHAKA</t>
  </si>
  <si>
    <t>KABALAGALA</t>
  </si>
  <si>
    <t>KIHIHI</t>
  </si>
  <si>
    <t>RUKONDE</t>
  </si>
  <si>
    <t>KIREKA</t>
  </si>
  <si>
    <t>KASESE TOWN</t>
  </si>
  <si>
    <t>KASESE</t>
  </si>
  <si>
    <t>BUKERERE</t>
  </si>
  <si>
    <t>KABALE TOWN</t>
  </si>
  <si>
    <t>KABALE</t>
  </si>
  <si>
    <t>KYAMUGURANYI</t>
  </si>
  <si>
    <t>KIZUNGU</t>
  </si>
  <si>
    <t>KAZO</t>
  </si>
  <si>
    <t>KIRUHURA</t>
  </si>
  <si>
    <t>KAKOOBA</t>
  </si>
  <si>
    <t>KALYANGO</t>
  </si>
  <si>
    <t>MITOMA TOWN</t>
  </si>
  <si>
    <t>MITOMA</t>
  </si>
  <si>
    <t>KIROWULE</t>
  </si>
  <si>
    <t>KIRIHURA TOWN</t>
  </si>
  <si>
    <t>KIRIHURA</t>
  </si>
  <si>
    <t>KAMWENGE TOWN</t>
  </si>
  <si>
    <t>KAMWENGE</t>
  </si>
  <si>
    <t>KIDONGO</t>
  </si>
  <si>
    <t>BWAFULA</t>
  </si>
  <si>
    <t>KUBIRI</t>
  </si>
  <si>
    <t>BUSHENYI TOWN</t>
  </si>
  <si>
    <t>KANUNGU TOWN</t>
  </si>
  <si>
    <t>NAMITYOBORA</t>
  </si>
  <si>
    <t>NAMUJOMBA</t>
  </si>
  <si>
    <t>KABAYUNDA</t>
  </si>
  <si>
    <t>BIHWARWE</t>
  </si>
  <si>
    <t>SURVEYOR CELL</t>
  </si>
  <si>
    <t>KATETE</t>
  </si>
  <si>
    <t>KISASI</t>
  </si>
  <si>
    <t>KYIMANYA</t>
  </si>
  <si>
    <t>KANSANGA</t>
  </si>
  <si>
    <t>KIBAARE</t>
  </si>
  <si>
    <t>KISORO TOWN</t>
  </si>
  <si>
    <t>KISORO</t>
  </si>
  <si>
    <t>KIRERE</t>
  </si>
  <si>
    <t>NTUNGAMO TOWN</t>
  </si>
  <si>
    <t>NTUNGAMO</t>
  </si>
  <si>
    <t>RWEMIRINZI</t>
  </si>
  <si>
    <t>MENGO</t>
  </si>
  <si>
    <t>KISIIZI</t>
  </si>
  <si>
    <t>MWIZI</t>
  </si>
  <si>
    <t>MASANAFU</t>
  </si>
  <si>
    <t>NYAMITANGA</t>
  </si>
  <si>
    <t>RWANYAMAHABE</t>
  </si>
  <si>
    <t>KAKIIKA</t>
  </si>
  <si>
    <t>KAMUKOZI</t>
  </si>
  <si>
    <t>RUSHERE</t>
  </si>
  <si>
    <t>KABUYANDA</t>
  </si>
  <si>
    <t>NYAKITUNDE</t>
  </si>
  <si>
    <t>NTUGAMO TOWN</t>
  </si>
  <si>
    <t>KAMUKUZI</t>
  </si>
  <si>
    <t>KACHWEKANO</t>
  </si>
  <si>
    <t>MUBENDE TOWN</t>
  </si>
  <si>
    <t>MUBENDE</t>
  </si>
  <si>
    <t>KYEGWEGWA TOWN</t>
  </si>
  <si>
    <t>KYEGEGWA</t>
  </si>
  <si>
    <t>KYEGEGWA TOWN</t>
  </si>
  <si>
    <t>NTUNGU</t>
  </si>
  <si>
    <t>FORTPORTAL TOWN</t>
  </si>
  <si>
    <t>FORTPORTAL</t>
  </si>
  <si>
    <t>KAKITUMBI</t>
  </si>
  <si>
    <t>NAMITANGA</t>
  </si>
  <si>
    <t>KATEETE</t>
  </si>
  <si>
    <t>NYAMITENGA</t>
  </si>
  <si>
    <t>ANDREWS</t>
  </si>
  <si>
    <t>BAGUMA</t>
  </si>
  <si>
    <t>KAKOBA</t>
  </si>
  <si>
    <t>KISWAYIRI</t>
  </si>
  <si>
    <t>KABOWA</t>
  </si>
  <si>
    <t>KAWEMPE</t>
  </si>
  <si>
    <t>MUTUNGO</t>
  </si>
  <si>
    <t>RUBAGA</t>
  </si>
  <si>
    <t>LWEZA</t>
  </si>
  <si>
    <t>KIYIYI</t>
  </si>
  <si>
    <t>NYARUBUNGE</t>
  </si>
  <si>
    <t>NAMASUBA</t>
  </si>
  <si>
    <t>LUBIRI</t>
  </si>
  <si>
    <t>BUS PARK</t>
  </si>
  <si>
    <t>BUHIMBA</t>
  </si>
  <si>
    <t>KAYANGA</t>
  </si>
  <si>
    <t>LUNGUJJA</t>
  </si>
  <si>
    <t>BUGAMBO</t>
  </si>
  <si>
    <t>BUGAMBA</t>
  </si>
  <si>
    <t>KABAALE TOWN</t>
  </si>
  <si>
    <t>MAJALI</t>
  </si>
  <si>
    <t>ZANA</t>
  </si>
  <si>
    <t>BULOBA</t>
  </si>
  <si>
    <t>KAGONGI</t>
  </si>
  <si>
    <t>NYAKAYOJO</t>
  </si>
  <si>
    <t>21.10.19</t>
  </si>
  <si>
    <t>RUBANDA TOWN</t>
  </si>
  <si>
    <t>RUBANDA</t>
  </si>
  <si>
    <t>23.10.19</t>
  </si>
  <si>
    <t>UAX 023K</t>
  </si>
  <si>
    <t>KATUNA</t>
  </si>
  <si>
    <t>22.10.19</t>
  </si>
  <si>
    <t>UAV 473X</t>
  </si>
  <si>
    <t>KISIRIZI</t>
  </si>
  <si>
    <t>SIR APOLLO</t>
  </si>
  <si>
    <t>UAX 751Y</t>
  </si>
  <si>
    <t>MUKIGUGWE</t>
  </si>
  <si>
    <t>KAGADI TOWN</t>
  </si>
  <si>
    <t>LUKINDA</t>
  </si>
  <si>
    <t>HOIMA TOWN</t>
  </si>
  <si>
    <t>HOIMA</t>
  </si>
  <si>
    <t>BWINDI TOWN</t>
  </si>
  <si>
    <t>BWINDI</t>
  </si>
  <si>
    <t>LUBALA</t>
  </si>
  <si>
    <t>NAKIGUGWE</t>
  </si>
  <si>
    <t>UAM 749V</t>
  </si>
  <si>
    <t>KARUGUUZA</t>
  </si>
  <si>
    <t>KIBALE</t>
  </si>
  <si>
    <t>UBE 291K</t>
  </si>
  <si>
    <t>KAGAABA TOWN</t>
  </si>
  <si>
    <t>MAKIGUGWE</t>
  </si>
  <si>
    <t>NYAMUNONGA</t>
  </si>
  <si>
    <t>GISENYI</t>
  </si>
  <si>
    <t>KAMWOKYA</t>
  </si>
  <si>
    <t>KIGALI TOWN</t>
  </si>
  <si>
    <t>KIGALI</t>
  </si>
  <si>
    <t>Rwanda</t>
  </si>
  <si>
    <t>MUNYONYO</t>
  </si>
  <si>
    <t>GGABA</t>
  </si>
  <si>
    <t>KYANIKA TOWN</t>
  </si>
  <si>
    <t>MUKONO TOWN</t>
  </si>
  <si>
    <t>MUKONO</t>
  </si>
  <si>
    <t>MASAJJA</t>
  </si>
  <si>
    <t>LUGOGO</t>
  </si>
  <si>
    <t>SEETA</t>
  </si>
  <si>
    <t>GOMA</t>
  </si>
  <si>
    <t>DRC</t>
  </si>
  <si>
    <t>KOLOLO</t>
  </si>
  <si>
    <t>MAKINDYE</t>
  </si>
  <si>
    <t>UBB 454W</t>
  </si>
  <si>
    <t>KASINZI</t>
  </si>
  <si>
    <t>KISIIZI TOWN</t>
  </si>
  <si>
    <t>NATEETE</t>
  </si>
  <si>
    <t>NAKAWUKA</t>
  </si>
  <si>
    <t>KINONI</t>
  </si>
  <si>
    <t>KYOTERA</t>
  </si>
  <si>
    <t>BIZIRI TOWN</t>
  </si>
  <si>
    <t>BIZIRI</t>
  </si>
  <si>
    <t>BWAISE</t>
  </si>
  <si>
    <t>KAGAABA</t>
  </si>
  <si>
    <t>LUKAYA</t>
  </si>
  <si>
    <t>KITALA</t>
  </si>
  <si>
    <t>NAMUNUKA TOWN</t>
  </si>
  <si>
    <t>NAMUNUKA</t>
  </si>
  <si>
    <t>LUBIIRI</t>
  </si>
  <si>
    <t>KAHIHI TOWN</t>
  </si>
  <si>
    <t>KAHIHI</t>
  </si>
  <si>
    <t>BUTOGOTA TOWN</t>
  </si>
  <si>
    <t>LUZIRA</t>
  </si>
  <si>
    <t>NAIROBI TOWN</t>
  </si>
  <si>
    <t>NAIROBI</t>
  </si>
  <si>
    <t>MAKERERE</t>
  </si>
  <si>
    <t>UAZ 962C</t>
  </si>
  <si>
    <t>UAV 309X</t>
  </si>
  <si>
    <t>UAY 783A</t>
  </si>
  <si>
    <t>BUSABALA</t>
  </si>
  <si>
    <t>UAR 371K</t>
  </si>
  <si>
    <t>UAE 566Q</t>
  </si>
  <si>
    <t>UBB 797U</t>
  </si>
  <si>
    <t>KAMENZI TOWN</t>
  </si>
  <si>
    <t>KAMENZI</t>
  </si>
  <si>
    <t>KINAWA</t>
  </si>
  <si>
    <t>UAF 795X</t>
  </si>
  <si>
    <t>KAJJANSI</t>
  </si>
  <si>
    <t>UBE 453T</t>
  </si>
  <si>
    <t>KAGABA</t>
  </si>
  <si>
    <t>UAV 799V</t>
  </si>
  <si>
    <t>UAX 859G</t>
  </si>
  <si>
    <t>UAP 050Q</t>
  </si>
  <si>
    <t>UAS 989T</t>
  </si>
  <si>
    <t>UAG 917R</t>
  </si>
  <si>
    <t>UAQ 755R</t>
  </si>
  <si>
    <t>UAZ 672E</t>
  </si>
  <si>
    <t>UBE 711N</t>
  </si>
  <si>
    <t>KIZIRIZI</t>
  </si>
  <si>
    <t>KASHERERE</t>
  </si>
  <si>
    <t>UAX 296X</t>
  </si>
  <si>
    <t>UAH 160Q</t>
  </si>
  <si>
    <t>MUKO</t>
  </si>
  <si>
    <t>UAU 731B</t>
  </si>
  <si>
    <t xml:space="preserve">KITWE </t>
  </si>
  <si>
    <t>KABUYANDA TOWN</t>
  </si>
  <si>
    <t>LUBAALE TOWN</t>
  </si>
  <si>
    <t>LUBAALE</t>
  </si>
  <si>
    <t>UAR 322R</t>
  </si>
  <si>
    <t>UBE 709R</t>
  </si>
  <si>
    <t>UAR 717C</t>
  </si>
  <si>
    <t>RUKINDO</t>
  </si>
  <si>
    <t>UBF 388Y</t>
  </si>
  <si>
    <t>UAX 513Q</t>
  </si>
  <si>
    <t>UAY 513G</t>
  </si>
  <si>
    <t>LUBANYA</t>
  </si>
  <si>
    <t>UBE 119P</t>
  </si>
  <si>
    <t>UAZ 562X</t>
  </si>
  <si>
    <t>UAQ 302J</t>
  </si>
  <si>
    <t>UAM 810Z</t>
  </si>
  <si>
    <t>UAS 136V</t>
  </si>
  <si>
    <t>UAM 807C</t>
  </si>
  <si>
    <t>UAX 587B</t>
  </si>
  <si>
    <t>UBE 083C</t>
  </si>
  <si>
    <t>UBF 472U</t>
  </si>
  <si>
    <t>UBB 413X</t>
  </si>
  <si>
    <t>L. BUNYONYI</t>
  </si>
  <si>
    <t>UAD 108R</t>
  </si>
  <si>
    <t>UAG371X</t>
  </si>
  <si>
    <t>UBF 910A</t>
  </si>
  <si>
    <t>GORILLA CAMP</t>
  </si>
  <si>
    <t>UG 0443M</t>
  </si>
  <si>
    <t>UG 4113T</t>
  </si>
  <si>
    <t>UAQ 039B</t>
  </si>
  <si>
    <t>BUSEGA</t>
  </si>
  <si>
    <t>KITINTALE</t>
  </si>
  <si>
    <t>UAH 783T</t>
  </si>
  <si>
    <t>UAN 181F</t>
  </si>
  <si>
    <t>UBF 068X</t>
  </si>
  <si>
    <t>UAN 179A</t>
  </si>
  <si>
    <t>UAM 419R</t>
  </si>
  <si>
    <t>UAX 309X</t>
  </si>
  <si>
    <t>UAM 823W</t>
  </si>
  <si>
    <t>UAT 700G</t>
  </si>
  <si>
    <t>UBD 911A</t>
  </si>
  <si>
    <t>UAT 109S</t>
  </si>
  <si>
    <t>UAP 781N</t>
  </si>
  <si>
    <t>NYENDO</t>
  </si>
  <si>
    <t>UBB 545W</t>
  </si>
  <si>
    <t>KITWE</t>
  </si>
  <si>
    <t>UBC 556E</t>
  </si>
  <si>
    <t>UAF 575F</t>
  </si>
  <si>
    <t>UAS 006S</t>
  </si>
  <si>
    <t>MUNANUKA</t>
  </si>
  <si>
    <t>MAKUNGUGUDE</t>
  </si>
  <si>
    <t>UAP 745F</t>
  </si>
  <si>
    <t>UG 0461R</t>
  </si>
  <si>
    <t>KAZIRA</t>
  </si>
  <si>
    <t>UBB 776S</t>
  </si>
  <si>
    <t>UBA 002P</t>
  </si>
  <si>
    <t>UAX 410K</t>
  </si>
  <si>
    <t>UBA 059Y</t>
  </si>
  <si>
    <t>RISINJI</t>
  </si>
  <si>
    <t>UAY 566Y</t>
  </si>
  <si>
    <t>UAA 588V</t>
  </si>
  <si>
    <t>UAF 068X</t>
  </si>
  <si>
    <t>LIGHT S.S</t>
  </si>
  <si>
    <t>KIZINDA</t>
  </si>
  <si>
    <t>N</t>
  </si>
  <si>
    <t>NYABUBARE</t>
  </si>
  <si>
    <t>KYAMUWUNGA</t>
  </si>
  <si>
    <t>BUTARE</t>
  </si>
  <si>
    <t>KALIZA</t>
  </si>
  <si>
    <t>ST.KAGWA</t>
  </si>
  <si>
    <t>NSUMI</t>
  </si>
  <si>
    <t>ADVENTIST SCHOOL</t>
  </si>
  <si>
    <t>RUBIRIZI</t>
  </si>
  <si>
    <t>KIGOMA</t>
  </si>
  <si>
    <t>ST.GEORGE</t>
  </si>
  <si>
    <t>KASOZI</t>
  </si>
  <si>
    <t>SHUKU</t>
  </si>
  <si>
    <t>KIZUMO</t>
  </si>
  <si>
    <t>KYAMAWUNGA</t>
  </si>
  <si>
    <t>KITEMBE</t>
  </si>
  <si>
    <t>NYAMUFUMA</t>
  </si>
  <si>
    <t>NYAKABIRIZI</t>
  </si>
  <si>
    <t>KYAMUHANGA</t>
  </si>
  <si>
    <t>TOWN CENTER</t>
  </si>
  <si>
    <t>NTALE</t>
  </si>
  <si>
    <t>KIREMBE</t>
  </si>
  <si>
    <t>BWEBUKONA</t>
  </si>
  <si>
    <t>RUHUMURO</t>
  </si>
  <si>
    <t>MAKENGE</t>
  </si>
  <si>
    <t>KITOJO</t>
  </si>
  <si>
    <t>CHRIST THE KING</t>
  </si>
  <si>
    <t>RUHINDO</t>
  </si>
  <si>
    <t>BUNYARIGI</t>
  </si>
  <si>
    <t>KYAMBURA</t>
  </si>
  <si>
    <t>KAKANZA</t>
  </si>
  <si>
    <t>RUWIZI</t>
  </si>
  <si>
    <t>TOWN</t>
  </si>
  <si>
    <t>KABWOHE</t>
  </si>
  <si>
    <t>KAGAMBA</t>
  </si>
  <si>
    <t>KATUNGULU</t>
  </si>
  <si>
    <t>KATUGULU</t>
  </si>
  <si>
    <t>NYAMUFULA</t>
  </si>
  <si>
    <t>MITOMO</t>
  </si>
  <si>
    <t>WENTULA</t>
  </si>
  <si>
    <t>BUWERA</t>
  </si>
  <si>
    <t>KASOKOSO</t>
  </si>
  <si>
    <t>BWERA</t>
  </si>
  <si>
    <t>BASAJABALABA</t>
  </si>
  <si>
    <t>WANDEGEYA</t>
  </si>
  <si>
    <t>KIMITO</t>
  </si>
  <si>
    <t>NYIBINGO</t>
  </si>
  <si>
    <t>MULAGO</t>
  </si>
  <si>
    <t>KATUNGURU</t>
  </si>
  <si>
    <t>FORTPOTAL</t>
  </si>
  <si>
    <t>KYABUJIMBI</t>
  </si>
  <si>
    <t>KAKEBA</t>
  </si>
  <si>
    <t>LUBONA</t>
  </si>
  <si>
    <t>KYANGA</t>
  </si>
  <si>
    <t>RWIMI</t>
  </si>
  <si>
    <t>NYAMIKO</t>
  </si>
  <si>
    <t>KITAGATA</t>
  </si>
  <si>
    <t>BUNYARUGURU</t>
  </si>
  <si>
    <t>BUBIRIZI</t>
  </si>
  <si>
    <t>KAHIZA</t>
  </si>
  <si>
    <t>NAKIBAARE</t>
  </si>
  <si>
    <t>KARAMBI</t>
  </si>
  <si>
    <t>ST.PETERS</t>
  </si>
  <si>
    <t>TOWN KIREMBE</t>
  </si>
  <si>
    <t>KATERERA</t>
  </si>
  <si>
    <t>TOWN MBARARA</t>
  </si>
  <si>
    <t>KITAMBE</t>
  </si>
  <si>
    <t>KIU</t>
  </si>
  <si>
    <t>KAKANZU</t>
  </si>
  <si>
    <t>KABAROLE</t>
  </si>
  <si>
    <t>NATIONAL PARK</t>
  </si>
  <si>
    <t>KALAMBI</t>
  </si>
  <si>
    <t>NATETE</t>
  </si>
  <si>
    <t>NYIBINYE</t>
  </si>
  <si>
    <t>TAXI PARK</t>
  </si>
  <si>
    <t>RWINI</t>
  </si>
  <si>
    <t>GAYAZA</t>
  </si>
  <si>
    <t>NTARE</t>
  </si>
  <si>
    <t>RUHARO</t>
  </si>
  <si>
    <t>KABUHURA</t>
  </si>
  <si>
    <t>KASENYI</t>
  </si>
  <si>
    <t>BUTOKYO</t>
  </si>
  <si>
    <t>KABALOORE</t>
  </si>
  <si>
    <t>NABINGO</t>
  </si>
  <si>
    <t>MASONGA</t>
  </si>
  <si>
    <t>NYABUBAARE</t>
  </si>
  <si>
    <t>RUTOKYE</t>
  </si>
  <si>
    <t>KYUMUHANGA</t>
  </si>
  <si>
    <t>CITY CENTER</t>
  </si>
  <si>
    <t>ADVENT CHURCH</t>
  </si>
  <si>
    <t>MUGUSU</t>
  </si>
  <si>
    <t>NKOMBE</t>
  </si>
  <si>
    <t>KIKORONGO</t>
  </si>
  <si>
    <t>CPS</t>
  </si>
  <si>
    <t>BUTOKYE</t>
  </si>
  <si>
    <t>RWAKITURA</t>
  </si>
  <si>
    <t>BWIMI</t>
  </si>
  <si>
    <t>JINJA</t>
  </si>
  <si>
    <t>LUTOKYE</t>
  </si>
  <si>
    <t>BWERANYANJI</t>
  </si>
  <si>
    <t>BUYANZA</t>
  </si>
  <si>
    <t>LDC</t>
  </si>
  <si>
    <t>KABANGA</t>
  </si>
  <si>
    <t xml:space="preserve"> </t>
  </si>
  <si>
    <t>NTUGAMO</t>
  </si>
  <si>
    <t>NAKIBAALE</t>
  </si>
  <si>
    <t>KATOMA</t>
  </si>
  <si>
    <t>HIMA</t>
  </si>
  <si>
    <t>NTINDA</t>
  </si>
  <si>
    <t>NYARUGOTI</t>
  </si>
  <si>
    <t>QUEEN ELIZABETH</t>
  </si>
  <si>
    <t>BUHWEJU</t>
  </si>
  <si>
    <t>BUYANJA</t>
  </si>
  <si>
    <t>SDA CENTER</t>
  </si>
  <si>
    <t>RUGENDABARA</t>
  </si>
  <si>
    <t>WENHUHA</t>
  </si>
  <si>
    <t>EXCEL</t>
  </si>
  <si>
    <t>KITENDE</t>
  </si>
  <si>
    <t>Lwakabego</t>
  </si>
  <si>
    <t>Rukungiri</t>
  </si>
  <si>
    <t>Uga</t>
  </si>
  <si>
    <t>Kitimba</t>
  </si>
  <si>
    <t>Kabale</t>
  </si>
  <si>
    <t>Christ the King</t>
  </si>
  <si>
    <t>Kyifunza</t>
  </si>
  <si>
    <t>Nabugamba</t>
  </si>
  <si>
    <t>Rwenshama</t>
  </si>
  <si>
    <t>Rweshama</t>
  </si>
  <si>
    <t>Kabalagala</t>
  </si>
  <si>
    <t>Kabagala</t>
  </si>
  <si>
    <t>Kihihi</t>
  </si>
  <si>
    <t>Buhunga</t>
  </si>
  <si>
    <t>Kanungu</t>
  </si>
  <si>
    <t>Bunurwasero</t>
  </si>
  <si>
    <t>Guild stage</t>
  </si>
  <si>
    <t>Bugangari</t>
  </si>
  <si>
    <t>Bwashameii</t>
  </si>
  <si>
    <t>Nyamunuka</t>
  </si>
  <si>
    <t>Butogote</t>
  </si>
  <si>
    <t>Masaka</t>
  </si>
  <si>
    <t>Ruhinda</t>
  </si>
  <si>
    <t>Bwabala</t>
  </si>
  <si>
    <t>Rwerere</t>
  </si>
  <si>
    <t>Kinoni</t>
  </si>
  <si>
    <t>Wamahwa</t>
  </si>
  <si>
    <t>Kiltilti</t>
  </si>
  <si>
    <t>Kihindi</t>
  </si>
  <si>
    <t>Wakabengo</t>
  </si>
  <si>
    <t>Kakiiku</t>
  </si>
  <si>
    <t>Nabugabo</t>
  </si>
  <si>
    <t>Bwambara</t>
  </si>
  <si>
    <t>Buyanja</t>
  </si>
  <si>
    <t>Omulutale</t>
  </si>
  <si>
    <t>Mutungo</t>
  </si>
  <si>
    <t>Kisiizi</t>
  </si>
  <si>
    <t>Kibaale</t>
  </si>
  <si>
    <t>Bwindi</t>
  </si>
  <si>
    <t>Rukondo</t>
  </si>
  <si>
    <t>Kayinya</t>
  </si>
  <si>
    <t>Kambuga</t>
  </si>
  <si>
    <t>Kebusoni</t>
  </si>
  <si>
    <t>Kabisoni</t>
  </si>
  <si>
    <t>Mabugambo</t>
  </si>
  <si>
    <t>Kihini</t>
  </si>
  <si>
    <t>Bwabara</t>
  </si>
  <si>
    <t>Kawanda</t>
  </si>
  <si>
    <t>Kebisoni</t>
  </si>
  <si>
    <t>Bikungu</t>
  </si>
  <si>
    <t>Rakai</t>
  </si>
  <si>
    <t>Bwoma</t>
  </si>
  <si>
    <t>Kajeerwa</t>
  </si>
  <si>
    <t>Kanunga</t>
  </si>
  <si>
    <t>Lyantonde</t>
  </si>
  <si>
    <t>Kihimba</t>
  </si>
  <si>
    <t>Kisenyi</t>
  </si>
  <si>
    <t>Kagamba</t>
  </si>
  <si>
    <t>Burundi</t>
  </si>
  <si>
    <t>Rwabigagula</t>
  </si>
  <si>
    <t>Kanya</t>
  </si>
  <si>
    <t>Republic</t>
  </si>
  <si>
    <t>Rubaga</t>
  </si>
  <si>
    <t>Kyinyasano</t>
  </si>
  <si>
    <t>Rwashamere</t>
  </si>
  <si>
    <t>Mengo</t>
  </si>
  <si>
    <t>Ebutangasi</t>
  </si>
  <si>
    <t>Eastern ward</t>
  </si>
  <si>
    <t>Nyabagando</t>
  </si>
  <si>
    <t>Kabowa</t>
  </si>
  <si>
    <t>Buguma</t>
  </si>
  <si>
    <t>Kasolonza</t>
  </si>
  <si>
    <t>Luwerere</t>
  </si>
  <si>
    <t>Ruwakoma</t>
  </si>
  <si>
    <t>Kigina</t>
  </si>
  <si>
    <t>Kasubi</t>
  </si>
  <si>
    <t>Or Village</t>
  </si>
  <si>
    <t>Or District</t>
  </si>
  <si>
    <t>Or Country</t>
  </si>
  <si>
    <t>Dest Village</t>
  </si>
  <si>
    <t>Dest District</t>
  </si>
  <si>
    <t>Des Country</t>
  </si>
  <si>
    <t>Dest_Purpose</t>
  </si>
  <si>
    <t>Dest_Purpose Desc</t>
  </si>
  <si>
    <t>Dist Range</t>
  </si>
  <si>
    <t>Time Range</t>
  </si>
  <si>
    <t>Toll Charge</t>
  </si>
  <si>
    <t>Column Labels</t>
  </si>
  <si>
    <t>Row Labels</t>
  </si>
  <si>
    <t>(blank)</t>
  </si>
  <si>
    <t>Journey Purpose</t>
  </si>
  <si>
    <t>Commercial-Commercial</t>
  </si>
  <si>
    <t>Commercial-Home</t>
  </si>
  <si>
    <t>Commercial-Leisure/Social</t>
  </si>
  <si>
    <t>Commercial-Work</t>
  </si>
  <si>
    <t>Home-Commercial</t>
  </si>
  <si>
    <t>Leisure</t>
  </si>
  <si>
    <t>Home-Home</t>
  </si>
  <si>
    <t>Home-Hospital</t>
  </si>
  <si>
    <t>Home-Leisure/Social</t>
  </si>
  <si>
    <t>Home-Others</t>
  </si>
  <si>
    <t>Home-Study</t>
  </si>
  <si>
    <t>Home-Tourism</t>
  </si>
  <si>
    <t>Home-Work</t>
  </si>
  <si>
    <t>Hospital-Home</t>
  </si>
  <si>
    <t>Leisure/Social-Commercial</t>
  </si>
  <si>
    <t>Leisure/Social-Home</t>
  </si>
  <si>
    <t>Leisure/Social-Leisure/Social</t>
  </si>
  <si>
    <t>Leisure/Social-Work</t>
  </si>
  <si>
    <t>Others-Home</t>
  </si>
  <si>
    <t>Others-Others</t>
  </si>
  <si>
    <t>Others-Work</t>
  </si>
  <si>
    <t>Study-Home</t>
  </si>
  <si>
    <t>Study-Study</t>
  </si>
  <si>
    <t>Tourism-Home</t>
  </si>
  <si>
    <t>Tourism-Tourism</t>
  </si>
  <si>
    <t>Work-Commercial</t>
  </si>
  <si>
    <t>Work-Home</t>
  </si>
  <si>
    <t>Work-Hospital</t>
  </si>
  <si>
    <t>Work-Leisure/Social</t>
  </si>
  <si>
    <t>Work-Others</t>
  </si>
  <si>
    <t>Work-Study</t>
  </si>
  <si>
    <t>Work-Work</t>
  </si>
  <si>
    <t>Count of Dist Range</t>
  </si>
  <si>
    <t>Distance (Km)</t>
  </si>
  <si>
    <t>No. Responses</t>
  </si>
  <si>
    <t>%ge Responses</t>
  </si>
  <si>
    <t>0-10</t>
  </si>
  <si>
    <t>Over 150</t>
  </si>
  <si>
    <t>10-20</t>
  </si>
  <si>
    <t>20-40</t>
  </si>
  <si>
    <t>40-70</t>
  </si>
  <si>
    <t>100-150</t>
  </si>
  <si>
    <t>70-100</t>
  </si>
  <si>
    <t>100-200</t>
  </si>
  <si>
    <t>Count of Time Range</t>
  </si>
  <si>
    <t>0.5-1.0</t>
  </si>
  <si>
    <t>0-0.5</t>
  </si>
  <si>
    <t>1.0-2.0</t>
  </si>
  <si>
    <t>2.0-3.5</t>
  </si>
  <si>
    <t>Over 3.5</t>
  </si>
  <si>
    <t>Journey Time (Hours)</t>
  </si>
  <si>
    <t>Count of Toll Charge</t>
  </si>
  <si>
    <t>Potential Expressway Toll Charge (UGX)</t>
  </si>
  <si>
    <t>0-1000</t>
  </si>
  <si>
    <t>2000-3000</t>
  </si>
  <si>
    <t>5000-10000</t>
  </si>
  <si>
    <t>Over 10000</t>
  </si>
  <si>
    <t>Journey Distance (Km)</t>
  </si>
  <si>
    <t>0-1,000</t>
  </si>
  <si>
    <t>1,000-2,000</t>
  </si>
  <si>
    <t>2,000-3,000</t>
  </si>
  <si>
    <t>3,000-5,000</t>
  </si>
  <si>
    <t>5,000-10,000</t>
  </si>
  <si>
    <t>Over 10,000</t>
  </si>
  <si>
    <t>Income (UGX)</t>
  </si>
  <si>
    <t>#N/A</t>
  </si>
  <si>
    <t>Totals</t>
  </si>
  <si>
    <t>2,000-3,00</t>
  </si>
  <si>
    <t>Count of Gender (M/F)</t>
  </si>
  <si>
    <t>Commercial-Study</t>
  </si>
  <si>
    <t>Leisure/Social-Others</t>
  </si>
  <si>
    <t>Others-Hospital</t>
  </si>
  <si>
    <t>Others-Leisure/Social</t>
  </si>
  <si>
    <t>Others-Study</t>
  </si>
  <si>
    <t>Study-Tourism</t>
  </si>
  <si>
    <t>Study-Work</t>
  </si>
  <si>
    <t>Tourism-Work</t>
  </si>
  <si>
    <t>Over 200</t>
  </si>
  <si>
    <t>Bicycles</t>
  </si>
  <si>
    <t>Bicylces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</si>
</sst>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  <numFmt numFmtId="169" formatCode="0;[Red]0"/>
    <numFmt numFmtId="170" formatCode="0.0%"/>
  </numFmts>
  <fonts count="1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41" fontId="9" fillId="0" borderId="0" applyFont="0" applyFill="0" applyBorder="0" applyAlignment="0" applyProtection="0"/>
    <xf numFmtId="0" fontId="5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7" fillId="0" borderId="2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center"/>
    </xf>
    <xf numFmtId="41" fontId="5" fillId="0" borderId="2" xfId="4" applyFont="1" applyFill="1" applyBorder="1"/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168" fontId="5" fillId="2" borderId="2" xfId="0" applyNumberFormat="1" applyFont="1" applyFill="1" applyBorder="1"/>
    <xf numFmtId="0" fontId="5" fillId="0" borderId="2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/>
    <xf numFmtId="3" fontId="5" fillId="0" borderId="2" xfId="0" applyNumberFormat="1" applyFont="1" applyBorder="1"/>
    <xf numFmtId="168" fontId="7" fillId="0" borderId="2" xfId="0" applyNumberFormat="1" applyFont="1" applyBorder="1"/>
    <xf numFmtId="165" fontId="10" fillId="0" borderId="2" xfId="0" applyNumberFormat="1" applyFont="1" applyBorder="1" applyAlignment="1">
      <alignment horizontal="center"/>
    </xf>
    <xf numFmtId="168" fontId="11" fillId="0" borderId="2" xfId="0" applyNumberFormat="1" applyFont="1" applyBorder="1"/>
    <xf numFmtId="1" fontId="5" fillId="0" borderId="2" xfId="0" applyNumberFormat="1" applyFont="1" applyBorder="1" applyAlignment="1">
      <alignment horizontal="left"/>
    </xf>
    <xf numFmtId="1" fontId="1" fillId="0" borderId="18" xfId="0" applyNumberFormat="1" applyFont="1" applyBorder="1" applyAlignment="1">
      <alignment vertical="center" wrapText="1"/>
    </xf>
    <xf numFmtId="1" fontId="1" fillId="0" borderId="17" xfId="0" applyNumberFormat="1" applyFont="1" applyBorder="1" applyAlignment="1">
      <alignment vertical="center" wrapText="1"/>
    </xf>
    <xf numFmtId="1" fontId="1" fillId="0" borderId="11" xfId="0" applyNumberFormat="1" applyFont="1" applyBorder="1" applyAlignment="1">
      <alignment vertical="center" wrapText="1"/>
    </xf>
    <xf numFmtId="1" fontId="1" fillId="0" borderId="9" xfId="0" applyNumberFormat="1" applyFont="1" applyBorder="1" applyAlignment="1">
      <alignment vertical="center" wrapText="1"/>
    </xf>
    <xf numFmtId="169" fontId="1" fillId="0" borderId="2" xfId="0" applyNumberFormat="1" applyFont="1" applyBorder="1" applyAlignment="1">
      <alignment vertical="center" wrapText="1"/>
    </xf>
    <xf numFmtId="169" fontId="1" fillId="0" borderId="7" xfId="0" applyNumberFormat="1" applyFont="1" applyBorder="1" applyAlignment="1">
      <alignment vertical="center" wrapText="1"/>
    </xf>
    <xf numFmtId="0" fontId="5" fillId="0" borderId="0" xfId="5"/>
    <xf numFmtId="0" fontId="12" fillId="3" borderId="19" xfId="5" applyFont="1" applyFill="1" applyBorder="1"/>
    <xf numFmtId="0" fontId="5" fillId="0" borderId="0" xfId="5" applyAlignment="1">
      <alignment horizontal="left"/>
    </xf>
    <xf numFmtId="170" fontId="0" fillId="0" borderId="0" xfId="2" applyNumberFormat="1" applyFont="1"/>
    <xf numFmtId="0" fontId="1" fillId="4" borderId="2" xfId="5" applyFont="1" applyFill="1" applyBorder="1" applyAlignment="1">
      <alignment horizontal="center" vertical="center"/>
    </xf>
    <xf numFmtId="0" fontId="5" fillId="5" borderId="2" xfId="5" applyFill="1" applyBorder="1"/>
    <xf numFmtId="170" fontId="0" fillId="5" borderId="2" xfId="2" applyNumberFormat="1" applyFont="1" applyFill="1" applyBorder="1"/>
    <xf numFmtId="0" fontId="14" fillId="6" borderId="2" xfId="5" applyFont="1" applyFill="1" applyBorder="1" applyAlignment="1">
      <alignment horizontal="center" vertical="center" wrapText="1"/>
    </xf>
    <xf numFmtId="0" fontId="8" fillId="7" borderId="2" xfId="5" applyFont="1" applyFill="1" applyBorder="1" applyAlignment="1">
      <alignment horizontal="center"/>
    </xf>
    <xf numFmtId="170" fontId="8" fillId="7" borderId="2" xfId="2" applyNumberFormat="1" applyFont="1" applyFill="1" applyBorder="1" applyAlignment="1">
      <alignment horizontal="center"/>
    </xf>
    <xf numFmtId="0" fontId="8" fillId="7" borderId="2" xfId="5" applyFont="1" applyFill="1" applyBorder="1" applyAlignment="1">
      <alignment horizontal="left"/>
    </xf>
    <xf numFmtId="0" fontId="8" fillId="7" borderId="7" xfId="5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2" fillId="3" borderId="0" xfId="5" applyFont="1" applyFill="1" applyBorder="1"/>
    <xf numFmtId="0" fontId="13" fillId="6" borderId="2" xfId="5" applyFont="1" applyFill="1" applyBorder="1" applyAlignment="1">
      <alignment horizontal="center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[0]" xfId="4" builtinId="6"/>
    <cellStyle name="Normal" xfId="0" builtinId="0"/>
    <cellStyle name="Normal 2" xfId="3" xr:uid="{00000000-0005-0000-0000-000002000000}"/>
    <cellStyle name="Normal 3" xfId="5" xr:uid="{5D930ED4-A97D-4058-A4CE-F926C2615541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</a:rPr>
              <a:t>Respondents (Male / Female)</a:t>
            </a:r>
          </a:p>
        </c:rich>
      </c:tx>
      <c:layout>
        <c:manualLayout>
          <c:xMode val="edge"/>
          <c:yMode val="edge"/>
          <c:x val="0.35737169392287499"/>
          <c:y val="2.836879432624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01716131637393"/>
          <c:y val="0.14666666666666667"/>
          <c:w val="0.80277771047849789"/>
          <c:h val="0.6972421000566418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Age!$M$4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Age!$L$5:$L$10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</c:v>
                </c:pt>
              </c:strCache>
            </c:strRef>
          </c:cat>
          <c:val>
            <c:numRef>
              <c:f>Age!$M$5:$M$10</c:f>
              <c:numCache>
                <c:formatCode>0.0%</c:formatCode>
                <c:ptCount val="6"/>
                <c:pt idx="0">
                  <c:v>9.7356544165054806E-2</c:v>
                </c:pt>
                <c:pt idx="1">
                  <c:v>0.14700193423597679</c:v>
                </c:pt>
                <c:pt idx="2">
                  <c:v>3.3526756931012251E-2</c:v>
                </c:pt>
                <c:pt idx="3">
                  <c:v>9.0264345583494516E-3</c:v>
                </c:pt>
                <c:pt idx="4">
                  <c:v>1.9342359767891683E-3</c:v>
                </c:pt>
                <c:pt idx="5">
                  <c:v>1.2894906511927789E-3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0-4737-B0C2-B178E858A942}"/>
            </c:ext>
          </c:extLst>
        </c:ser>
        <c:ser>
          <c:idx val="1"/>
          <c:order val="1"/>
          <c:tx>
            <c:strRef>
              <c:f>Age!$N$4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Age!$L$5:$L$10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</c:v>
                </c:pt>
              </c:strCache>
            </c:strRef>
          </c:cat>
          <c:val>
            <c:numRef>
              <c:f>Age!$N$5:$N$10</c:f>
              <c:numCache>
                <c:formatCode>0.0%</c:formatCode>
                <c:ptCount val="6"/>
                <c:pt idx="0">
                  <c:v>0.17150225660863957</c:v>
                </c:pt>
                <c:pt idx="1">
                  <c:v>0.30625402965828497</c:v>
                </c:pt>
                <c:pt idx="2">
                  <c:v>0.17859445519019987</c:v>
                </c:pt>
                <c:pt idx="3">
                  <c:v>4.9645390070921988E-2</c:v>
                </c:pt>
                <c:pt idx="4">
                  <c:v>3.2237266279819469E-3</c:v>
                </c:pt>
                <c:pt idx="5">
                  <c:v>6.4474532559638943E-4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0-4737-B0C2-B178E858A9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7319496"/>
        <c:axId val="667323104"/>
        <c:axId val="0"/>
      </c:bar3DChart>
      <c:catAx>
        <c:axId val="66731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7323104"/>
        <c:crosses val="autoZero"/>
        <c:auto val="1"/>
        <c:lblAlgn val="ctr"/>
        <c:lblOffset val="100"/>
        <c:noMultiLvlLbl val="0"/>
      </c:catAx>
      <c:valAx>
        <c:axId val="6673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3.1816878659398348E-2"/>
              <c:y val="0.18452225386720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73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169977791237632"/>
          <c:y val="0.92904259308012027"/>
          <c:w val="0.22583121340601656"/>
          <c:h val="7.0957406919879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Journey Purpose by Respondent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40"/>
      <c:rotY val="3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731714785651794"/>
          <c:y val="3.2824074074074075E-2"/>
          <c:w val="0.74109208223972001"/>
          <c:h val="0.7550452026829980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'Journey P'!$R$4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'Journey P'!$Q$5:$Q$12</c:f>
              <c:strCache>
                <c:ptCount val="8"/>
                <c:pt idx="0">
                  <c:v>Commercial</c:v>
                </c:pt>
                <c:pt idx="1">
                  <c:v>Work</c:v>
                </c:pt>
                <c:pt idx="2">
                  <c:v>Home</c:v>
                </c:pt>
                <c:pt idx="3">
                  <c:v>Hospital</c:v>
                </c:pt>
                <c:pt idx="4">
                  <c:v>Leisure</c:v>
                </c:pt>
                <c:pt idx="5">
                  <c:v>Study</c:v>
                </c:pt>
                <c:pt idx="6">
                  <c:v>Tourism</c:v>
                </c:pt>
                <c:pt idx="7">
                  <c:v>Others</c:v>
                </c:pt>
              </c:strCache>
            </c:strRef>
          </c:cat>
          <c:val>
            <c:numRef>
              <c:f>'Journey P'!$R$5:$R$12</c:f>
              <c:numCache>
                <c:formatCode>0.0%</c:formatCode>
                <c:ptCount val="8"/>
                <c:pt idx="0">
                  <c:v>2.4088541666666668E-2</c:v>
                </c:pt>
                <c:pt idx="1">
                  <c:v>6.5104166666666671E-2</c:v>
                </c:pt>
                <c:pt idx="2">
                  <c:v>0.16080729166666666</c:v>
                </c:pt>
                <c:pt idx="3">
                  <c:v>6.5104166666666663E-4</c:v>
                </c:pt>
                <c:pt idx="4">
                  <c:v>1.171875E-2</c:v>
                </c:pt>
                <c:pt idx="5">
                  <c:v>1.2369791666666666E-2</c:v>
                </c:pt>
                <c:pt idx="6">
                  <c:v>2.6041666666666665E-3</c:v>
                </c:pt>
                <c:pt idx="7">
                  <c:v>1.3671875E-2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E-4D8C-8C8C-28AAA40B2E41}"/>
            </c:ext>
          </c:extLst>
        </c:ser>
        <c:ser>
          <c:idx val="1"/>
          <c:order val="1"/>
          <c:tx>
            <c:strRef>
              <c:f>'Journey P'!$S$4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'Journey P'!$Q$5:$Q$12</c:f>
              <c:strCache>
                <c:ptCount val="8"/>
                <c:pt idx="0">
                  <c:v>Commercial</c:v>
                </c:pt>
                <c:pt idx="1">
                  <c:v>Work</c:v>
                </c:pt>
                <c:pt idx="2">
                  <c:v>Home</c:v>
                </c:pt>
                <c:pt idx="3">
                  <c:v>Hospital</c:v>
                </c:pt>
                <c:pt idx="4">
                  <c:v>Leisure</c:v>
                </c:pt>
                <c:pt idx="5">
                  <c:v>Study</c:v>
                </c:pt>
                <c:pt idx="6">
                  <c:v>Tourism</c:v>
                </c:pt>
                <c:pt idx="7">
                  <c:v>Others</c:v>
                </c:pt>
              </c:strCache>
            </c:strRef>
          </c:cat>
          <c:val>
            <c:numRef>
              <c:f>'Journey P'!$S$5:$S$12</c:f>
              <c:numCache>
                <c:formatCode>0.0%</c:formatCode>
                <c:ptCount val="8"/>
                <c:pt idx="0">
                  <c:v>8.7239583333333329E-2</c:v>
                </c:pt>
                <c:pt idx="1">
                  <c:v>0.234375</c:v>
                </c:pt>
                <c:pt idx="2">
                  <c:v>0.3359375</c:v>
                </c:pt>
                <c:pt idx="3">
                  <c:v>2.6041666666666665E-3</c:v>
                </c:pt>
                <c:pt idx="4">
                  <c:v>2.1484375E-2</c:v>
                </c:pt>
                <c:pt idx="5">
                  <c:v>1.4322916666666666E-2</c:v>
                </c:pt>
                <c:pt idx="6">
                  <c:v>3.90625E-3</c:v>
                </c:pt>
                <c:pt idx="7">
                  <c:v>9.1145833333333339E-3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E-4D8C-8C8C-28AAA40B2E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3930536"/>
        <c:axId val="673924304"/>
        <c:axId val="740692640"/>
      </c:bar3DChart>
      <c:catAx>
        <c:axId val="673930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Journey Purpose</a:t>
                </a:r>
              </a:p>
            </c:rich>
          </c:tx>
          <c:layout>
            <c:manualLayout>
              <c:xMode val="edge"/>
              <c:yMode val="edge"/>
              <c:x val="0.42197922134733151"/>
              <c:y val="0.88975539515893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24304"/>
        <c:crosses val="autoZero"/>
        <c:auto val="1"/>
        <c:lblAlgn val="ctr"/>
        <c:lblOffset val="100"/>
        <c:noMultiLvlLbl val="0"/>
      </c:catAx>
      <c:valAx>
        <c:axId val="6739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1.2784995625546807E-2"/>
              <c:y val="0.16114720034995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30536"/>
        <c:crosses val="autoZero"/>
        <c:crossBetween val="between"/>
        <c:majorUnit val="0.1"/>
      </c:valAx>
      <c:serAx>
        <c:axId val="74069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2430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36132983377083"/>
          <c:y val="0.92187445319335082"/>
          <c:w val="0.17568500272544466"/>
          <c:h val="5.4379963430021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Distances Travelled by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'Dist-Time'!$G$3</c:f>
              <c:strCache>
                <c:ptCount val="1"/>
                <c:pt idx="0">
                  <c:v>No. Responses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'Dist-Time'!$F$4:$F$10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100-200</c:v>
                </c:pt>
                <c:pt idx="6">
                  <c:v>Over 200</c:v>
                </c:pt>
              </c:strCache>
            </c:strRef>
          </c:cat>
          <c:val>
            <c:numRef>
              <c:f>'Dist-Time'!$G$4:$G$10</c:f>
              <c:numCache>
                <c:formatCode>General</c:formatCode>
                <c:ptCount val="7"/>
                <c:pt idx="0">
                  <c:v>540</c:v>
                </c:pt>
                <c:pt idx="1">
                  <c:v>62</c:v>
                </c:pt>
                <c:pt idx="2">
                  <c:v>92</c:v>
                </c:pt>
                <c:pt idx="3">
                  <c:v>141</c:v>
                </c:pt>
                <c:pt idx="4">
                  <c:v>123</c:v>
                </c:pt>
                <c:pt idx="5">
                  <c:v>229</c:v>
                </c:pt>
                <c:pt idx="6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C-4D05-8FE7-B089F6ED2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698163504"/>
        <c:axId val="698165472"/>
      </c:barChart>
      <c:lineChart>
        <c:grouping val="standard"/>
        <c:varyColors val="0"/>
        <c:ser>
          <c:idx val="1"/>
          <c:order val="1"/>
          <c:tx>
            <c:strRef>
              <c:f>'Dist-Time'!$H$3</c:f>
              <c:strCache>
                <c:ptCount val="1"/>
                <c:pt idx="0">
                  <c:v>%ge Responses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val>
            <c:numRef>
              <c:f>'Dist-Time'!$H$4:$H$10</c:f>
              <c:numCache>
                <c:formatCode>0.0%</c:formatCode>
                <c:ptCount val="7"/>
                <c:pt idx="0">
                  <c:v>0.34816247582205029</c:v>
                </c:pt>
                <c:pt idx="1">
                  <c:v>3.9974210186976146E-2</c:v>
                </c:pt>
                <c:pt idx="2">
                  <c:v>5.931656995486783E-2</c:v>
                </c:pt>
                <c:pt idx="3">
                  <c:v>9.0909090909090912E-2</c:v>
                </c:pt>
                <c:pt idx="4">
                  <c:v>7.9303675048355893E-2</c:v>
                </c:pt>
                <c:pt idx="5">
                  <c:v>0.14764667956157318</c:v>
                </c:pt>
                <c:pt idx="6">
                  <c:v>0.23468729851708575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C-4D05-8FE7-B089F6ED2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01880"/>
        <c:axId val="698198928"/>
      </c:lineChart>
      <c:catAx>
        <c:axId val="6981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Distance (Km)</a:t>
                </a:r>
              </a:p>
            </c:rich>
          </c:tx>
          <c:layout>
            <c:manualLayout>
              <c:xMode val="edge"/>
              <c:yMode val="edge"/>
              <c:x val="0.33684383202099732"/>
              <c:y val="0.85812481773111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5472"/>
        <c:crosses val="autoZero"/>
        <c:auto val="1"/>
        <c:lblAlgn val="ctr"/>
        <c:lblOffset val="100"/>
        <c:noMultiLvlLbl val="0"/>
      </c:catAx>
      <c:valAx>
        <c:axId val="6981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No.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3504"/>
        <c:crosses val="autoZero"/>
        <c:crossBetween val="between"/>
      </c:valAx>
      <c:valAx>
        <c:axId val="69819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Repsondents,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01880"/>
        <c:crosses val="max"/>
        <c:crossBetween val="between"/>
      </c:valAx>
      <c:catAx>
        <c:axId val="698201880"/>
        <c:scaling>
          <c:orientation val="minMax"/>
        </c:scaling>
        <c:delete val="1"/>
        <c:axPos val="b"/>
        <c:majorTickMark val="out"/>
        <c:minorTickMark val="none"/>
        <c:tickLblPos val="nextTo"/>
        <c:crossAx val="69819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Journey</a:t>
            </a:r>
            <a:r>
              <a:rPr lang="en-US" b="1" baseline="0"/>
              <a:t> Time </a:t>
            </a:r>
            <a:r>
              <a:rPr lang="en-US" b="1"/>
              <a:t>by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'Dist-Time'!$G$21</c:f>
              <c:strCache>
                <c:ptCount val="1"/>
                <c:pt idx="0">
                  <c:v>No. Responses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'Dist-Time'!$F$23:$F$26</c:f>
              <c:strCache>
                <c:ptCount val="4"/>
                <c:pt idx="0">
                  <c:v>0.5-1.0</c:v>
                </c:pt>
                <c:pt idx="1">
                  <c:v>1.0-2.0</c:v>
                </c:pt>
                <c:pt idx="2">
                  <c:v>2.0-3.5</c:v>
                </c:pt>
                <c:pt idx="3">
                  <c:v>Over 3.5</c:v>
                </c:pt>
              </c:strCache>
            </c:strRef>
          </c:cat>
          <c:val>
            <c:numRef>
              <c:f>'Dist-Time'!$G$23:$G$26</c:f>
              <c:numCache>
                <c:formatCode>General</c:formatCode>
                <c:ptCount val="4"/>
                <c:pt idx="0">
                  <c:v>123</c:v>
                </c:pt>
                <c:pt idx="1">
                  <c:v>223</c:v>
                </c:pt>
                <c:pt idx="2">
                  <c:v>458</c:v>
                </c:pt>
                <c:pt idx="3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3-4CCD-9F44-542C81245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698163504"/>
        <c:axId val="698165472"/>
      </c:barChart>
      <c:lineChart>
        <c:grouping val="standard"/>
        <c:varyColors val="0"/>
        <c:ser>
          <c:idx val="1"/>
          <c:order val="1"/>
          <c:tx>
            <c:strRef>
              <c:f>'Dist-Time'!$H$21</c:f>
              <c:strCache>
                <c:ptCount val="1"/>
                <c:pt idx="0">
                  <c:v>%ge Responses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'Dist-Time'!$F$23:$F$26</c:f>
              <c:strCache>
                <c:ptCount val="4"/>
                <c:pt idx="0">
                  <c:v>0.5-1.0</c:v>
                </c:pt>
                <c:pt idx="1">
                  <c:v>1.0-2.0</c:v>
                </c:pt>
                <c:pt idx="2">
                  <c:v>2.0-3.5</c:v>
                </c:pt>
                <c:pt idx="3">
                  <c:v>Over 3.5</c:v>
                </c:pt>
              </c:strCache>
            </c:strRef>
          </c:cat>
          <c:val>
            <c:numRef>
              <c:f>'Dist-Time'!$H$23:$H$26</c:f>
              <c:numCache>
                <c:formatCode>0.0%</c:formatCode>
                <c:ptCount val="4"/>
                <c:pt idx="0">
                  <c:v>7.9303675048355893E-2</c:v>
                </c:pt>
                <c:pt idx="1">
                  <c:v>0.14377820760799484</c:v>
                </c:pt>
                <c:pt idx="2">
                  <c:v>0.29529335912314636</c:v>
                </c:pt>
                <c:pt idx="3">
                  <c:v>0.36363636363636365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3-4CCD-9F44-542C81245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01880"/>
        <c:axId val="698198928"/>
      </c:lineChart>
      <c:catAx>
        <c:axId val="6981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Journey Time (Hrs)</a:t>
                </a:r>
              </a:p>
            </c:rich>
          </c:tx>
          <c:layout>
            <c:manualLayout>
              <c:xMode val="edge"/>
              <c:yMode val="edge"/>
              <c:x val="0.36739938757655294"/>
              <c:y val="0.88590259550889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5472"/>
        <c:crosses val="autoZero"/>
        <c:auto val="1"/>
        <c:lblAlgn val="ctr"/>
        <c:lblOffset val="100"/>
        <c:noMultiLvlLbl val="0"/>
      </c:catAx>
      <c:valAx>
        <c:axId val="6981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No.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3504"/>
        <c:crosses val="autoZero"/>
        <c:crossBetween val="between"/>
      </c:valAx>
      <c:valAx>
        <c:axId val="69819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/>
                  <a:t>Proportion of Repsondents,</a:t>
                </a:r>
                <a:r>
                  <a:rPr lang="en-US" sz="1050" baseline="0"/>
                  <a:t> %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01880"/>
        <c:crosses val="max"/>
        <c:crossBetween val="between"/>
        <c:majorUnit val="0.1"/>
      </c:valAx>
      <c:catAx>
        <c:axId val="698201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819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Willingness To Pay Toll Charges by Journey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6083573928258968"/>
          <c:y val="0.15648148148148147"/>
          <c:w val="0.80860870516185479"/>
          <c:h val="0.60150080198308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'Dist-Time Toll'!$V$4</c:f>
              <c:strCache>
                <c:ptCount val="1"/>
                <c:pt idx="0">
                  <c:v>0-1,000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Toll'!$V$5:$V$11</c:f>
              <c:numCache>
                <c:formatCode>0.0%</c:formatCode>
                <c:ptCount val="7"/>
                <c:pt idx="0">
                  <c:v>0.14893617021276595</c:v>
                </c:pt>
                <c:pt idx="1">
                  <c:v>5.0934880722114766E-2</c:v>
                </c:pt>
                <c:pt idx="2">
                  <c:v>1.6118633139909737E-2</c:v>
                </c:pt>
                <c:pt idx="3">
                  <c:v>2.1276595744680851E-2</c:v>
                </c:pt>
                <c:pt idx="4">
                  <c:v>3.5460992907801421E-2</c:v>
                </c:pt>
                <c:pt idx="5">
                  <c:v>2.7079303675048357E-2</c:v>
                </c:pt>
                <c:pt idx="6">
                  <c:v>9.0264345583494526E-2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8-47B2-BB8E-1197AEC33B44}"/>
            </c:ext>
          </c:extLst>
        </c:ser>
        <c:ser>
          <c:idx val="1"/>
          <c:order val="1"/>
          <c:tx>
            <c:strRef>
              <c:f>'Dist-Time Toll'!$W$4</c:f>
              <c:strCache>
                <c:ptCount val="1"/>
                <c:pt idx="0">
                  <c:v>1,000-2,000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611111111111110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F8-47B2-BB8E-1197AEC33B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Toll'!$W$5:$W$11</c:f>
              <c:numCache>
                <c:formatCode>0.0%</c:formatCode>
                <c:ptCount val="7"/>
                <c:pt idx="0">
                  <c:v>7.6079948420373952E-2</c:v>
                </c:pt>
                <c:pt idx="1">
                  <c:v>3.4816247582205029E-2</c:v>
                </c:pt>
                <c:pt idx="2">
                  <c:v>1.2894906511927788E-2</c:v>
                </c:pt>
                <c:pt idx="3">
                  <c:v>1.4184397163120567E-2</c:v>
                </c:pt>
                <c:pt idx="4">
                  <c:v>2.321083172147002E-2</c:v>
                </c:pt>
                <c:pt idx="5">
                  <c:v>1.9987105093488073E-2</c:v>
                </c:pt>
                <c:pt idx="6">
                  <c:v>3.8684719535783368E-2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F8-47B2-BB8E-1197AEC33B44}"/>
            </c:ext>
          </c:extLst>
        </c:ser>
        <c:ser>
          <c:idx val="2"/>
          <c:order val="2"/>
          <c:tx>
            <c:strRef>
              <c:f>'Dist-Time Toll'!$X$4</c:f>
              <c:strCache>
                <c:ptCount val="1"/>
                <c:pt idx="0">
                  <c:v>2,000-3,000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3.3333333333333333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F8-47B2-BB8E-1197AEC33B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Toll'!$X$5:$X$11</c:f>
              <c:numCache>
                <c:formatCode>0.0%</c:formatCode>
                <c:ptCount val="7"/>
                <c:pt idx="0">
                  <c:v>3.9329464861379754E-2</c:v>
                </c:pt>
                <c:pt idx="1">
                  <c:v>1.9342359767891684E-2</c:v>
                </c:pt>
                <c:pt idx="2">
                  <c:v>5.8027079303675051E-3</c:v>
                </c:pt>
                <c:pt idx="3">
                  <c:v>9.6711798839458421E-3</c:v>
                </c:pt>
                <c:pt idx="4">
                  <c:v>1.2250161186331399E-2</c:v>
                </c:pt>
                <c:pt idx="5">
                  <c:v>1.160541586073501E-2</c:v>
                </c:pt>
                <c:pt idx="6">
                  <c:v>3.7395228884590584E-2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F8-47B2-BB8E-1197AEC33B44}"/>
            </c:ext>
          </c:extLst>
        </c:ser>
        <c:ser>
          <c:idx val="3"/>
          <c:order val="3"/>
          <c:tx>
            <c:strRef>
              <c:f>'Dist-Time Toll'!$Y$4</c:f>
              <c:strCache>
                <c:ptCount val="1"/>
                <c:pt idx="0">
                  <c:v>3,000-5,000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Toll'!$Y$5:$Y$11</c:f>
              <c:numCache>
                <c:formatCode>0.0%</c:formatCode>
                <c:ptCount val="7"/>
                <c:pt idx="0">
                  <c:v>2.3855577047066409E-2</c:v>
                </c:pt>
                <c:pt idx="1">
                  <c:v>1.8052869116698903E-2</c:v>
                </c:pt>
                <c:pt idx="2">
                  <c:v>1.9342359767891683E-3</c:v>
                </c:pt>
                <c:pt idx="3">
                  <c:v>4.5132172791747258E-3</c:v>
                </c:pt>
                <c:pt idx="4">
                  <c:v>5.8027079303675051E-3</c:v>
                </c:pt>
                <c:pt idx="5">
                  <c:v>7.0921985815602835E-3</c:v>
                </c:pt>
                <c:pt idx="6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F8-47B2-BB8E-1197AEC33B44}"/>
            </c:ext>
          </c:extLst>
        </c:ser>
        <c:ser>
          <c:idx val="4"/>
          <c:order val="4"/>
          <c:tx>
            <c:strRef>
              <c:f>'Dist-Time Toll'!$Z$4</c:f>
              <c:strCache>
                <c:ptCount val="1"/>
                <c:pt idx="0">
                  <c:v>5,000-10,000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Toll'!$Z$5:$Z$11</c:f>
              <c:numCache>
                <c:formatCode>0.0%</c:formatCode>
                <c:ptCount val="7"/>
                <c:pt idx="0">
                  <c:v>3.1592520954223081E-2</c:v>
                </c:pt>
                <c:pt idx="1">
                  <c:v>2.0631850419084462E-2</c:v>
                </c:pt>
                <c:pt idx="2">
                  <c:v>3.2237266279819469E-3</c:v>
                </c:pt>
                <c:pt idx="3">
                  <c:v>7.7369439071566732E-3</c:v>
                </c:pt>
                <c:pt idx="4">
                  <c:v>1.2894906511927788E-2</c:v>
                </c:pt>
                <c:pt idx="5">
                  <c:v>1.2250161186331399E-2</c:v>
                </c:pt>
                <c:pt idx="6">
                  <c:v>3.0947775628626693E-2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F8-47B2-BB8E-1197AEC33B44}"/>
            </c:ext>
          </c:extLst>
        </c:ser>
        <c:ser>
          <c:idx val="5"/>
          <c:order val="5"/>
          <c:tx>
            <c:strRef>
              <c:f>'Dist-Time Toll'!$AA$4</c:f>
              <c:strCache>
                <c:ptCount val="1"/>
                <c:pt idx="0">
                  <c:v>Over 10,000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Toll'!$AA$5:$AA$11</c:f>
              <c:numCache>
                <c:formatCode>0.0%</c:formatCode>
                <c:ptCount val="7"/>
                <c:pt idx="0">
                  <c:v>2.8368794326241134E-2</c:v>
                </c:pt>
                <c:pt idx="1">
                  <c:v>3.8684719535783366E-3</c:v>
                </c:pt>
                <c:pt idx="2">
                  <c:v>0</c:v>
                </c:pt>
                <c:pt idx="3">
                  <c:v>1.9342359767891683E-3</c:v>
                </c:pt>
                <c:pt idx="4">
                  <c:v>1.2894906511927789E-3</c:v>
                </c:pt>
                <c:pt idx="5">
                  <c:v>1.2894906511927789E-3</c:v>
                </c:pt>
                <c:pt idx="6">
                  <c:v>7.0921985815602835E-3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F8-47B2-BB8E-1197AEC33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246160"/>
        <c:axId val="698236648"/>
      </c:barChart>
      <c:catAx>
        <c:axId val="69824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Journey</a:t>
                </a:r>
                <a:r>
                  <a:rPr lang="en-US" b="1" baseline="0"/>
                  <a:t> Distance (Km)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37998731408573932"/>
              <c:y val="0.83581401283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6648"/>
        <c:crosses val="autoZero"/>
        <c:auto val="1"/>
        <c:lblAlgn val="ctr"/>
        <c:lblOffset val="100"/>
        <c:noMultiLvlLbl val="0"/>
      </c:catAx>
      <c:valAx>
        <c:axId val="69823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Proportion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Willingness To Pay Toll Charges by Income</a:t>
            </a:r>
            <a:endParaRPr lang="en-UG" b="1"/>
          </a:p>
        </c:rich>
      </c:tx>
      <c:layout>
        <c:manualLayout>
          <c:xMode val="edge"/>
          <c:yMode val="edge"/>
          <c:x val="0.24316033609006421"/>
          <c:y val="3.0456852791878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20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'Income-Toll'!$T$5</c:f>
              <c:strCache>
                <c:ptCount val="1"/>
                <c:pt idx="0">
                  <c:v>&lt;300,000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'Income-Toll'!$U$5:$Z$5</c:f>
              <c:numCache>
                <c:formatCode>0.0%</c:formatCode>
                <c:ptCount val="6"/>
                <c:pt idx="0">
                  <c:v>0.20040899795501022</c:v>
                </c:pt>
                <c:pt idx="1">
                  <c:v>8.2481254260395362E-2</c:v>
                </c:pt>
                <c:pt idx="2">
                  <c:v>2.3858214042263123E-2</c:v>
                </c:pt>
                <c:pt idx="3">
                  <c:v>1.7723244717109749E-2</c:v>
                </c:pt>
                <c:pt idx="4">
                  <c:v>2.6584867075664622E-2</c:v>
                </c:pt>
                <c:pt idx="5">
                  <c:v>8.8616223585548746E-3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4-439C-8210-1BC089B308F9}"/>
            </c:ext>
          </c:extLst>
        </c:ser>
        <c:ser>
          <c:idx val="1"/>
          <c:order val="1"/>
          <c:tx>
            <c:strRef>
              <c:f>'Income-Toll'!$T$6</c:f>
              <c:strCache>
                <c:ptCount val="1"/>
                <c:pt idx="0">
                  <c:v>300,000-500,000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'Income-Toll'!$U$6:$Z$6</c:f>
              <c:numCache>
                <c:formatCode>0.0%</c:formatCode>
                <c:ptCount val="6"/>
                <c:pt idx="0">
                  <c:v>1.5678254942058625E-2</c:v>
                </c:pt>
                <c:pt idx="1">
                  <c:v>6.8166325835037492E-3</c:v>
                </c:pt>
                <c:pt idx="2">
                  <c:v>6.1349693251533744E-3</c:v>
                </c:pt>
                <c:pt idx="3">
                  <c:v>7.498295841854124E-3</c:v>
                </c:pt>
                <c:pt idx="4">
                  <c:v>1.1588275391956374E-2</c:v>
                </c:pt>
                <c:pt idx="5">
                  <c:v>9.5432856169052494E-3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4-439C-8210-1BC089B308F9}"/>
            </c:ext>
          </c:extLst>
        </c:ser>
        <c:ser>
          <c:idx val="2"/>
          <c:order val="2"/>
          <c:tx>
            <c:strRef>
              <c:f>'Income-Toll'!$T$7</c:f>
              <c:strCache>
                <c:ptCount val="1"/>
                <c:pt idx="0">
                  <c:v>500,000-750,000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'Income-Toll'!$U$7:$Z$7</c:f>
              <c:numCache>
                <c:formatCode>0.0%</c:formatCode>
                <c:ptCount val="6"/>
                <c:pt idx="0">
                  <c:v>0.10497614178595774</c:v>
                </c:pt>
                <c:pt idx="1">
                  <c:v>8.0436264485344244E-2</c:v>
                </c:pt>
                <c:pt idx="2">
                  <c:v>6.2031356509884117E-2</c:v>
                </c:pt>
                <c:pt idx="3">
                  <c:v>2.6584867075664622E-2</c:v>
                </c:pt>
                <c:pt idx="4">
                  <c:v>2.7948193592365372E-2</c:v>
                </c:pt>
                <c:pt idx="5">
                  <c:v>6.8166325835037492E-3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4-439C-8210-1BC089B308F9}"/>
            </c:ext>
          </c:extLst>
        </c:ser>
        <c:ser>
          <c:idx val="3"/>
          <c:order val="3"/>
          <c:tx>
            <c:strRef>
              <c:f>'Income-Toll'!$T$8</c:f>
              <c:strCache>
                <c:ptCount val="1"/>
                <c:pt idx="0">
                  <c:v>750,000-1,000,000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'Income-Toll'!$U$8:$Z$8</c:f>
              <c:numCache>
                <c:formatCode>0.0%</c:formatCode>
                <c:ptCount val="6"/>
                <c:pt idx="0">
                  <c:v>5.112474437627812E-2</c:v>
                </c:pt>
                <c:pt idx="1">
                  <c:v>4.0218132242672122E-2</c:v>
                </c:pt>
                <c:pt idx="2">
                  <c:v>3.4764826175869123E-2</c:v>
                </c:pt>
                <c:pt idx="3">
                  <c:v>2.1813224267211998E-2</c:v>
                </c:pt>
                <c:pt idx="4">
                  <c:v>3.3401499659168374E-2</c:v>
                </c:pt>
                <c:pt idx="5">
                  <c:v>9.5432856169052494E-3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F4-439C-8210-1BC089B308F9}"/>
            </c:ext>
          </c:extLst>
        </c:ser>
        <c:ser>
          <c:idx val="4"/>
          <c:order val="4"/>
          <c:tx>
            <c:strRef>
              <c:f>'Income-Toll'!$T$9</c:f>
              <c:strCache>
                <c:ptCount val="1"/>
                <c:pt idx="0">
                  <c:v>&gt;1,000,000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'Income-Toll'!$U$9:$Z$9</c:f>
              <c:numCache>
                <c:formatCode>0.0%</c:formatCode>
                <c:ptCount val="6"/>
                <c:pt idx="0">
                  <c:v>4.0218132242672122E-2</c:v>
                </c:pt>
                <c:pt idx="1">
                  <c:v>2.2494887525562373E-2</c:v>
                </c:pt>
                <c:pt idx="2">
                  <c:v>1.6359918200408999E-2</c:v>
                </c:pt>
                <c:pt idx="3">
                  <c:v>2.3176550783912748E-2</c:v>
                </c:pt>
                <c:pt idx="4">
                  <c:v>2.6584867075664622E-2</c:v>
                </c:pt>
                <c:pt idx="5">
                  <c:v>1.1588275391956374E-2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F4-439C-8210-1BC089B308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8233040"/>
        <c:axId val="698231728"/>
        <c:axId val="779051632"/>
      </c:bar3DChart>
      <c:catAx>
        <c:axId val="6982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Potential Toll Charge (UGX)</a:t>
                </a:r>
              </a:p>
            </c:rich>
          </c:tx>
          <c:layout>
            <c:manualLayout>
              <c:xMode val="edge"/>
              <c:yMode val="edge"/>
              <c:x val="0.28017756504610741"/>
              <c:y val="0.94174259390902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1728"/>
        <c:crosses val="autoZero"/>
        <c:auto val="1"/>
        <c:lblAlgn val="ctr"/>
        <c:lblOffset val="100"/>
        <c:noMultiLvlLbl val="0"/>
      </c:catAx>
      <c:valAx>
        <c:axId val="6982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Proportion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3040"/>
        <c:crosses val="autoZero"/>
        <c:crossBetween val="between"/>
      </c:valAx>
      <c:serAx>
        <c:axId val="77905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Income (UGX)</a:t>
                </a:r>
              </a:p>
            </c:rich>
          </c:tx>
          <c:layout>
            <c:manualLayout>
              <c:xMode val="edge"/>
              <c:yMode val="edge"/>
              <c:x val="0.93246564524809505"/>
              <c:y val="0.61374847172745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17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Willingness To Pay Toll Charges by Income</a:t>
            </a:r>
            <a:endParaRPr lang="en-UG" sz="1400">
              <a:effectLst/>
            </a:endParaRPr>
          </a:p>
        </c:rich>
      </c:tx>
      <c:layout>
        <c:manualLayout>
          <c:xMode val="edge"/>
          <c:yMode val="edge"/>
          <c:x val="0.32819277777777778"/>
          <c:y val="1.356837606837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34865307108577E-2"/>
          <c:y val="0.11017268177703382"/>
          <c:w val="0.83455229185594682"/>
          <c:h val="0.7473948648259808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'Veh-Toll'!$T$5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'Veh-Toll'!$U$5:$Z$5</c:f>
              <c:numCache>
                <c:formatCode>0.0%</c:formatCode>
                <c:ptCount val="6"/>
                <c:pt idx="0">
                  <c:v>5.1020408163265307E-2</c:v>
                </c:pt>
                <c:pt idx="1">
                  <c:v>3.6734693877551024E-2</c:v>
                </c:pt>
                <c:pt idx="2">
                  <c:v>1.6326530612244899E-2</c:v>
                </c:pt>
                <c:pt idx="3">
                  <c:v>5.4421768707482989E-3</c:v>
                </c:pt>
                <c:pt idx="4">
                  <c:v>1.1564625850340135E-2</c:v>
                </c:pt>
                <c:pt idx="5">
                  <c:v>4.7619047619047623E-3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7-42D9-9D14-2F3ECB496EB6}"/>
            </c:ext>
          </c:extLst>
        </c:ser>
        <c:ser>
          <c:idx val="1"/>
          <c:order val="1"/>
          <c:tx>
            <c:strRef>
              <c:f>'Veh-Toll'!$T$6</c:f>
              <c:strCache>
                <c:ptCount val="1"/>
                <c:pt idx="0">
                  <c:v>Heavy truck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'Veh-Toll'!$U$6:$Z$6</c:f>
              <c:numCache>
                <c:formatCode>0.0%</c:formatCode>
                <c:ptCount val="6"/>
                <c:pt idx="0">
                  <c:v>6.8027210884353737E-4</c:v>
                </c:pt>
                <c:pt idx="1">
                  <c:v>0</c:v>
                </c:pt>
                <c:pt idx="2">
                  <c:v>6.8027210884353737E-4</c:v>
                </c:pt>
                <c:pt idx="3">
                  <c:v>0</c:v>
                </c:pt>
                <c:pt idx="4">
                  <c:v>2.0408163265306124E-3</c:v>
                </c:pt>
                <c:pt idx="5">
                  <c:v>6.8027210884353737E-4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7-42D9-9D14-2F3ECB496EB6}"/>
            </c:ext>
          </c:extLst>
        </c:ser>
        <c:ser>
          <c:idx val="2"/>
          <c:order val="2"/>
          <c:tx>
            <c:strRef>
              <c:f>'Veh-Toll'!$T$7</c:f>
              <c:strCache>
                <c:ptCount val="1"/>
                <c:pt idx="0">
                  <c:v>Large Bus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'Veh-Toll'!$U$7:$Z$7</c:f>
              <c:numCache>
                <c:formatCode>0.0%</c:formatCode>
                <c:ptCount val="6"/>
                <c:pt idx="0">
                  <c:v>9.7959183673469383E-2</c:v>
                </c:pt>
                <c:pt idx="1">
                  <c:v>4.6258503401360541E-2</c:v>
                </c:pt>
                <c:pt idx="2">
                  <c:v>4.4897959183673466E-2</c:v>
                </c:pt>
                <c:pt idx="3">
                  <c:v>2.9251700680272108E-2</c:v>
                </c:pt>
                <c:pt idx="4">
                  <c:v>4.0136054421768708E-2</c:v>
                </c:pt>
                <c:pt idx="5">
                  <c:v>1.1564625850340135E-2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7-42D9-9D14-2F3ECB496EB6}"/>
            </c:ext>
          </c:extLst>
        </c:ser>
        <c:ser>
          <c:idx val="3"/>
          <c:order val="3"/>
          <c:tx>
            <c:strRef>
              <c:f>'Veh-Toll'!$T$8</c:f>
              <c:strCache>
                <c:ptCount val="1"/>
                <c:pt idx="0">
                  <c:v>Light Truck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'Veh-Toll'!$U$8:$Z$8</c:f>
              <c:numCache>
                <c:formatCode>0.0%</c:formatCode>
                <c:ptCount val="6"/>
                <c:pt idx="0">
                  <c:v>6.8027210884353737E-4</c:v>
                </c:pt>
                <c:pt idx="1">
                  <c:v>2.7210884353741495E-3</c:v>
                </c:pt>
                <c:pt idx="2">
                  <c:v>1.3605442176870747E-3</c:v>
                </c:pt>
                <c:pt idx="3">
                  <c:v>6.8027210884353737E-4</c:v>
                </c:pt>
                <c:pt idx="4">
                  <c:v>1.3605442176870747E-3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C7-42D9-9D14-2F3ECB496EB6}"/>
            </c:ext>
          </c:extLst>
        </c:ser>
        <c:ser>
          <c:idx val="4"/>
          <c:order val="4"/>
          <c:tx>
            <c:strRef>
              <c:f>'Veh-Toll'!$T$9</c:f>
              <c:strCache>
                <c:ptCount val="1"/>
                <c:pt idx="0">
                  <c:v>Medium bus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'Veh-Toll'!$U$9:$Z$9</c:f>
              <c:numCache>
                <c:formatCode>0.0%</c:formatCode>
                <c:ptCount val="6"/>
                <c:pt idx="0">
                  <c:v>6.1224489795918364E-3</c:v>
                </c:pt>
                <c:pt idx="1">
                  <c:v>2.7210884353741495E-3</c:v>
                </c:pt>
                <c:pt idx="2">
                  <c:v>3.4013605442176869E-3</c:v>
                </c:pt>
                <c:pt idx="3">
                  <c:v>4.0816326530612249E-3</c:v>
                </c:pt>
                <c:pt idx="4">
                  <c:v>2.0408163265306124E-3</c:v>
                </c:pt>
                <c:pt idx="5">
                  <c:v>2.0408163265306124E-3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C7-42D9-9D14-2F3ECB496EB6}"/>
            </c:ext>
          </c:extLst>
        </c:ser>
        <c:ser>
          <c:idx val="5"/>
          <c:order val="5"/>
          <c:tx>
            <c:strRef>
              <c:f>'Veh-Toll'!$T$10</c:f>
              <c:strCache>
                <c:ptCount val="1"/>
                <c:pt idx="0">
                  <c:v>Medium Truck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'Veh-Toll'!$U$10:$Z$10</c:f>
              <c:numCache>
                <c:formatCode>0.0%</c:formatCode>
                <c:ptCount val="6"/>
                <c:pt idx="0">
                  <c:v>6.8027210884353737E-4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1.3605442176870747E-3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C7-42D9-9D14-2F3ECB496EB6}"/>
            </c:ext>
          </c:extLst>
        </c:ser>
        <c:ser>
          <c:idx val="6"/>
          <c:order val="6"/>
          <c:tx>
            <c:strRef>
              <c:f>'Veh-Toll'!$T$11</c:f>
              <c:strCache>
                <c:ptCount val="1"/>
                <c:pt idx="0">
                  <c:v>Minibus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'Veh-Toll'!$U$11:$Z$11</c:f>
              <c:numCache>
                <c:formatCode>0.0%</c:formatCode>
                <c:ptCount val="6"/>
                <c:pt idx="0">
                  <c:v>0.20544217687074831</c:v>
                </c:pt>
                <c:pt idx="1">
                  <c:v>0.11156462585034013</c:v>
                </c:pt>
                <c:pt idx="2">
                  <c:v>6.3945578231292516E-2</c:v>
                </c:pt>
                <c:pt idx="3">
                  <c:v>5.5102040816326532E-2</c:v>
                </c:pt>
                <c:pt idx="4">
                  <c:v>5.8503401360544216E-2</c:v>
                </c:pt>
                <c:pt idx="5">
                  <c:v>2.1768707482993196E-2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C7-42D9-9D14-2F3ECB496EB6}"/>
            </c:ext>
          </c:extLst>
        </c:ser>
        <c:ser>
          <c:idx val="7"/>
          <c:order val="7"/>
          <c:tx>
            <c:strRef>
              <c:f>'Veh-Toll'!$T$12</c:f>
              <c:strCache>
                <c:ptCount val="1"/>
                <c:pt idx="0">
                  <c:v>Pickups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'Veh-Toll'!$U$12:$Z$12</c:f>
              <c:numCache>
                <c:formatCode>0.0%</c:formatCode>
                <c:ptCount val="6"/>
                <c:pt idx="0">
                  <c:v>3.4013605442176869E-3</c:v>
                </c:pt>
                <c:pt idx="1">
                  <c:v>3.4013605442176869E-3</c:v>
                </c:pt>
                <c:pt idx="2">
                  <c:v>6.8027210884353737E-4</c:v>
                </c:pt>
                <c:pt idx="3">
                  <c:v>0</c:v>
                </c:pt>
                <c:pt idx="4">
                  <c:v>2.0408163265306124E-3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C7-42D9-9D14-2F3ECB496EB6}"/>
            </c:ext>
          </c:extLst>
        </c:ser>
        <c:ser>
          <c:idx val="8"/>
          <c:order val="8"/>
          <c:tx>
            <c:strRef>
              <c:f>'Veh-Toll'!$T$13</c:f>
              <c:strCache>
                <c:ptCount val="1"/>
                <c:pt idx="0">
                  <c:v>Station Wagon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'Veh-Toll'!$U$13:$Z$13</c:f>
              <c:numCache>
                <c:formatCode>0.0%</c:formatCode>
                <c:ptCount val="6"/>
                <c:pt idx="0">
                  <c:v>1.5646258503401362E-2</c:v>
                </c:pt>
                <c:pt idx="1">
                  <c:v>1.2244897959183673E-2</c:v>
                </c:pt>
                <c:pt idx="2">
                  <c:v>6.8027210884353739E-3</c:v>
                </c:pt>
                <c:pt idx="3">
                  <c:v>1.3605442176870747E-3</c:v>
                </c:pt>
                <c:pt idx="4">
                  <c:v>4.7619047619047623E-3</c:v>
                </c:pt>
                <c:pt idx="5">
                  <c:v>4.0816326530612249E-3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C7-42D9-9D14-2F3ECB496EB6}"/>
            </c:ext>
          </c:extLst>
        </c:ser>
        <c:ser>
          <c:idx val="9"/>
          <c:order val="9"/>
          <c:tx>
            <c:strRef>
              <c:f>'Veh-Toll'!$T$14</c:f>
              <c:strCache>
                <c:ptCount val="1"/>
                <c:pt idx="0">
                  <c:v>Truck Trailer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'Veh-Toll'!$U$14:$Z$14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C7-42D9-9D14-2F3ECB496E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8274696"/>
        <c:axId val="698276664"/>
        <c:axId val="779010008"/>
      </c:bar3DChart>
      <c:catAx>
        <c:axId val="69827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baseline="0">
                    <a:effectLst/>
                  </a:rPr>
                  <a:t>Potential Toll Charge (UGX)</a:t>
                </a:r>
                <a:endParaRPr lang="en-UG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1618450590308067"/>
              <c:y val="0.95739904548514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6664"/>
        <c:crosses val="autoZero"/>
        <c:auto val="1"/>
        <c:lblAlgn val="ctr"/>
        <c:lblOffset val="100"/>
        <c:noMultiLvlLbl val="0"/>
      </c:catAx>
      <c:valAx>
        <c:axId val="69827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4.4189640980620025E-2"/>
              <c:y val="0.32045092387776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4696"/>
        <c:crosses val="autoZero"/>
        <c:crossBetween val="between"/>
      </c:valAx>
      <c:serAx>
        <c:axId val="77901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666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609599</xdr:colOff>
      <xdr:row>11</xdr:row>
      <xdr:rowOff>104774</xdr:rowOff>
    </xdr:from>
    <xdr:to>
      <xdr:col>20</xdr:col>
      <xdr:colOff>66674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F95B0-8CEE-4CB3-9E6F-ACFAABD10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9524</xdr:colOff>
      <xdr:row>3</xdr:row>
      <xdr:rowOff>9524</xdr:rowOff>
    </xdr:from>
    <xdr:to>
      <xdr:col>27</xdr:col>
      <xdr:colOff>590549</xdr:colOff>
      <xdr:row>25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3AECF-338D-42EC-A998-CC315F947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9525</xdr:rowOff>
    </xdr:from>
    <xdr:to>
      <xdr:col>13</xdr:col>
      <xdr:colOff>352425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4DF33-B9CB-44D8-9CF8-BAF7DAB3B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20</xdr:row>
      <xdr:rowOff>0</xdr:rowOff>
    </xdr:from>
    <xdr:to>
      <xdr:col>13</xdr:col>
      <xdr:colOff>342900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860CA-09D7-4135-8873-23600CAF9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9524</xdr:colOff>
      <xdr:row>2</xdr:row>
      <xdr:rowOff>9525</xdr:rowOff>
    </xdr:from>
    <xdr:to>
      <xdr:col>35</xdr:col>
      <xdr:colOff>600075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B4384-D3B5-46E0-90CC-8FFA5006E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19049</xdr:colOff>
      <xdr:row>2</xdr:row>
      <xdr:rowOff>9524</xdr:rowOff>
    </xdr:from>
    <xdr:to>
      <xdr:col>40</xdr:col>
      <xdr:colOff>9525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77181-766B-4F30-9D5A-9D53A2E0F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19051</xdr:colOff>
      <xdr:row>1</xdr:row>
      <xdr:rowOff>161923</xdr:rowOff>
    </xdr:from>
    <xdr:to>
      <xdr:col>40</xdr:col>
      <xdr:colOff>428625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44F74-EF51-4FD6-8CD3-3415E1AA6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.2/Desktop/Mugisha%20Allan%20.R/SP-KASESE%20TAXI%20PAR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11-KASESE/SP-KASE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16-MBARARA/SP%20-MBARAR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17-KABALE%20PARK/SP%20-%20KAB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18-BUSHENYI/SP-BUSHENY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19-RUKUNGIRI/SP-Rukungi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lu"/>
      <sheetName val="RSI FORM"/>
      <sheetName val="Key"/>
      <sheetName val="Zon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se"/>
      <sheetName val="RSI FORM"/>
      <sheetName val="Key"/>
    </sheetNames>
    <sheetDataSet>
      <sheetData sheetId="0">
        <row r="8">
          <cell r="F8">
            <v>1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4">
          <cell r="A14">
            <v>13</v>
          </cell>
          <cell r="B14" t="str">
            <v>Bicycles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ARARA"/>
      <sheetName val="RSI FORM"/>
      <sheetName val="Key"/>
    </sheetNames>
    <sheetDataSet>
      <sheetData sheetId="0">
        <row r="8">
          <cell r="F8">
            <v>1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4">
          <cell r="A14">
            <v>13</v>
          </cell>
          <cell r="B14" t="str">
            <v>Bicycle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BALE"/>
      <sheetName val="RSI FORM"/>
      <sheetName val="Key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HENYI"/>
      <sheetName val="RSI FORM"/>
      <sheetName val="Key"/>
    </sheetNames>
    <sheetDataSet>
      <sheetData sheetId="0">
        <row r="8">
          <cell r="F8">
            <v>1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4">
          <cell r="A14">
            <v>13</v>
          </cell>
          <cell r="B14" t="str">
            <v>Bicycles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kungiri"/>
      <sheetName val="RSI FORM"/>
      <sheetName val="Key"/>
    </sheetNames>
    <sheetDataSet>
      <sheetData sheetId="0">
        <row r="8">
          <cell r="F8">
            <v>1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4">
          <cell r="A14">
            <v>13</v>
          </cell>
          <cell r="B14" t="str">
            <v>Bicylces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3907.554398148146" createdVersion="6" refreshedVersion="6" minRefreshableVersion="3" recordCount="1552" xr:uid="{75BE5963-D9BD-45D4-9329-12266D93822E}">
  <cacheSource type="worksheet">
    <worksheetSource ref="A1:AM1048576" sheet="WesternSP-Data"/>
  </cacheSource>
  <cacheFields count="39">
    <cacheField name="Date" numFmtId="0">
      <sharedItems containsDate="1" containsBlank="1" containsMixedTypes="1" minDate="2019-10-18T00:00:00" maxDate="2091-10-24T00:00:00"/>
    </cacheField>
    <cacheField name="Time (24-h format)" numFmtId="0">
      <sharedItems containsDate="1" containsBlank="1" containsMixedTypes="1" minDate="1899-12-30T00:25:00" maxDate="1899-12-30T23:50:00"/>
    </cacheField>
    <cacheField name="Veh_Reg_No." numFmtId="0">
      <sharedItems containsBlank="1"/>
    </cacheField>
    <cacheField name="Driver or Passenger? D/P" numFmtId="0">
      <sharedItems containsBlank="1"/>
    </cacheField>
    <cacheField name="Mode No." numFmtId="0">
      <sharedItems containsString="0" containsBlank="1" containsNumber="1" containsInteger="1" minValue="1" maxValue="4"/>
    </cacheField>
    <cacheField name="Mode Description" numFmtId="0">
      <sharedItems containsBlank="1"/>
    </cacheField>
    <cacheField name="Veh_Type" numFmtId="0">
      <sharedItems containsString="0" containsBlank="1" containsNumber="1" containsInteger="1" minValue="1" maxValue="13"/>
    </cacheField>
    <cacheField name="Veh_Type Desc" numFmtId="0">
      <sharedItems containsBlank="1" count="13">
        <s v="Car"/>
        <s v="Large Bus"/>
        <s v="Medium bus "/>
        <s v="Minibus"/>
        <s v="Medium Truck "/>
        <s v="Bicycles"/>
        <s v="Station Wagon"/>
        <s v="Light Truck "/>
        <s v="Heavy truck "/>
        <s v="Pickups"/>
        <s v="Bicycle"/>
        <s v="Bicylces"/>
        <m/>
      </sharedItems>
    </cacheField>
    <cacheField name="Gender (M/F)" numFmtId="0">
      <sharedItems containsBlank="1" count="3">
        <s v="M"/>
        <s v="F"/>
        <m/>
      </sharedItems>
    </cacheField>
    <cacheField name="Age Bracket No." numFmtId="0">
      <sharedItems containsString="0" containsBlank="1" containsNumber="1" containsInteger="1" minValue="1" maxValue="6"/>
    </cacheField>
    <cacheField name="Age Bracket Desc." numFmtId="0">
      <sharedItems containsBlank="1" count="7">
        <s v="20-29"/>
        <s v="30-39"/>
        <s v="40-49"/>
        <s v="50-59"/>
        <s v="60-69"/>
        <s v="70-"/>
        <m/>
      </sharedItems>
    </cacheField>
    <cacheField name="Or Village" numFmtId="0">
      <sharedItems containsBlank="1"/>
    </cacheField>
    <cacheField name="Or District" numFmtId="0">
      <sharedItems containsBlank="1"/>
    </cacheField>
    <cacheField name="Or Country" numFmtId="0">
      <sharedItems containsBlank="1"/>
    </cacheField>
    <cacheField name="Origin_Purpose" numFmtId="0">
      <sharedItems containsString="0" containsBlank="1" containsNumber="1" containsInteger="1" minValue="1" maxValue="8"/>
    </cacheField>
    <cacheField name="Origin-Purpose Desc" numFmtId="0">
      <sharedItems containsBlank="1"/>
    </cacheField>
    <cacheField name="Dest Village" numFmtId="0">
      <sharedItems containsBlank="1"/>
    </cacheField>
    <cacheField name="Dest District" numFmtId="0">
      <sharedItems containsBlank="1"/>
    </cacheField>
    <cacheField name="Des Country" numFmtId="0">
      <sharedItems containsBlank="1"/>
    </cacheField>
    <cacheField name="Dest_Purpose" numFmtId="0">
      <sharedItems containsString="0" containsBlank="1" containsNumber="1" containsInteger="1" minValue="1" maxValue="8"/>
    </cacheField>
    <cacheField name="Dest_Purpose Desc" numFmtId="0">
      <sharedItems containsBlank="1"/>
    </cacheField>
    <cacheField name="Journey_Purpose" numFmtId="0">
      <sharedItems containsBlank="1" count="41">
        <s v="Home-Commercial"/>
        <s v="Home-Work"/>
        <s v="Work-Work"/>
        <s v="Commercial-Home"/>
        <s v="Work-Home"/>
        <s v="Work-Leisure/Social"/>
        <s v="Study-Tourism"/>
        <s v="Leisure/Social-Leisure/Social"/>
        <s v="Home-Leisure/Social"/>
        <s v="Study-Home"/>
        <s v="Leisure/Social-Home"/>
        <s v="Others-Study"/>
        <s v="Others-Home"/>
        <s v="Home-Others"/>
        <s v="Others-Work"/>
        <s v="Others-Others"/>
        <s v="Home-Home"/>
        <s v="Work-Commercial"/>
        <s v="Commercial-Commercial"/>
        <s v="Work-Others"/>
        <s v="Home-Tourism"/>
        <s v="Leisure/Social-Commercial"/>
        <s v="Study-Work"/>
        <s v="Work-Hospital"/>
        <s v="Commercial-Work"/>
        <s v="Home-Study"/>
        <s v="Commercial-Study"/>
        <s v="Hospital-Home"/>
        <s v="Tourism-Home"/>
        <s v="Leisure/Social-Work"/>
        <s v="Others-Hospital"/>
        <s v="Tourism-Tourism"/>
        <s v="Home-Hospital"/>
        <s v="Work-Study"/>
        <s v="Study-Study"/>
        <s v="Tourism-Work"/>
        <s v="Commercial-Leisure/Social"/>
        <s v="Others-Leisure/Social"/>
        <e v="#N/A"/>
        <s v="Leisure/Social-Others"/>
        <m/>
      </sharedItems>
    </cacheField>
    <cacheField name="Cost of Trip (UGX)" numFmtId="0">
      <sharedItems containsBlank="1" containsMixedTypes="1" containsNumber="1" containsInteger="1" minValue="500" maxValue="2400000"/>
    </cacheField>
    <cacheField name="Journey Dist (Km)" numFmtId="0">
      <sharedItems containsString="0" containsBlank="1" containsNumber="1" minValue="0.25" maxValue="4000"/>
    </cacheField>
    <cacheField name="Dist Range" numFmtId="0">
      <sharedItems containsBlank="1" count="8">
        <s v="0-10"/>
        <s v="70-100"/>
        <s v="100-200"/>
        <s v="Over 200"/>
        <s v="20-40"/>
        <s v="40-70"/>
        <s v="10-20"/>
        <m/>
      </sharedItems>
    </cacheField>
    <cacheField name="Journey Time (Hrs)" numFmtId="0">
      <sharedItems containsBlank="1" containsMixedTypes="1" containsNumber="1" minValue="0.05" maxValue="40"/>
    </cacheField>
    <cacheField name="Time Range" numFmtId="0">
      <sharedItems containsBlank="1" count="6">
        <s v="2.0-3.5"/>
        <s v="1.0-2.0"/>
        <s v="Over 3.5"/>
        <s v="0-0.5"/>
        <s v="0.5-1.0"/>
        <m/>
      </sharedItems>
    </cacheField>
    <cacheField name="Profession No." numFmtId="0">
      <sharedItems containsString="0" containsBlank="1" containsNumber="1" containsInteger="1" minValue="1" maxValue="10"/>
    </cacheField>
    <cacheField name="Profession Desc." numFmtId="0">
      <sharedItems containsBlank="1"/>
    </cacheField>
    <cacheField name="Monthly Income No." numFmtId="0">
      <sharedItems containsString="0" containsBlank="1" containsNumber="1" containsInteger="1" minValue="1" maxValue="5"/>
    </cacheField>
    <cacheField name="Monthly Income " numFmtId="0">
      <sharedItems containsBlank="1" count="6">
        <s v="750,000-1,000,000"/>
        <s v="500,000-750,000"/>
        <s v="&lt;300,000"/>
        <s v="300,000-500,000"/>
        <s v="&gt;1,000,000"/>
        <m/>
      </sharedItems>
    </cacheField>
    <cacheField name="Journey Time" numFmtId="0">
      <sharedItems containsString="0" containsBlank="1" containsNumber="1" containsInteger="1" minValue="1" maxValue="5"/>
    </cacheField>
    <cacheField name="Cost of Journey" numFmtId="0">
      <sharedItems containsString="0" containsBlank="1" containsNumber="1" containsInteger="1" minValue="1" maxValue="33"/>
    </cacheField>
    <cacheField name="Comfort" numFmtId="0">
      <sharedItems containsBlank="1" containsMixedTypes="1" containsNumber="1" containsInteger="1" minValue="1" maxValue="5"/>
    </cacheField>
    <cacheField name="Safety" numFmtId="0">
      <sharedItems containsString="0" containsBlank="1" containsNumber="1" containsInteger="1" minValue="1" maxValue="9"/>
    </cacheField>
    <cacheField name="Reliability" numFmtId="0">
      <sharedItems containsString="0" containsBlank="1" containsNumber="1" minValue="0.3" maxValue="7"/>
    </cacheField>
    <cacheField name="Would You Use Xpressways? Y/N" numFmtId="0">
      <sharedItems containsBlank="1"/>
    </cacheField>
    <cacheField name="Pay How Much? (UGX)" numFmtId="0">
      <sharedItems containsBlank="1" containsMixedTypes="1" containsNumber="1" containsInteger="1" minValue="0" maxValue="20000"/>
    </cacheField>
    <cacheField name="Toll Charge" numFmtId="0">
      <sharedItems containsBlank="1" count="7">
        <s v="3000-5000"/>
        <s v="2000-3000"/>
        <s v="5000-10000"/>
        <s v="0-1000"/>
        <s v="1000-2000"/>
        <s v="Over 1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2">
  <r>
    <d v="2019-10-24T00:00:00"/>
    <d v="1899-12-30T17:38:00"/>
    <m/>
    <s v="P"/>
    <n v="2"/>
    <s v="Road Vehicle"/>
    <n v="1"/>
    <x v="0"/>
    <x v="0"/>
    <n v="1"/>
    <x v="0"/>
    <s v="NANSANA"/>
    <s v="WAKISO"/>
    <s v="UG"/>
    <n v="1"/>
    <s v="Home"/>
    <s v="HIOMA"/>
    <s v="HIOMA"/>
    <s v="UG"/>
    <n v="4"/>
    <s v="Commercial"/>
    <x v="0"/>
    <n v="13000"/>
    <m/>
    <x v="0"/>
    <n v="3"/>
    <x v="0"/>
    <n v="6"/>
    <s v="Businessman"/>
    <n v="4"/>
    <x v="0"/>
    <n v="2"/>
    <n v="3"/>
    <n v="4"/>
    <n v="1"/>
    <n v="5"/>
    <s v="Y"/>
    <n v="3000"/>
    <x v="0"/>
  </r>
  <r>
    <d v="2019-10-25T00:00:00"/>
    <d v="1899-12-30T16:36:00"/>
    <m/>
    <s v="D"/>
    <n v="2"/>
    <s v="Road Vehicle"/>
    <n v="1"/>
    <x v="0"/>
    <x v="0"/>
    <n v="1"/>
    <x v="0"/>
    <s v="HIOMA"/>
    <s v="HIOMA"/>
    <s v="UG"/>
    <n v="1"/>
    <s v="Home"/>
    <s v="BUKWIRI"/>
    <s v="KYANKWENZI"/>
    <s v="UG"/>
    <n v="2"/>
    <s v="Work"/>
    <x v="1"/>
    <n v="65000"/>
    <n v="75"/>
    <x v="1"/>
    <n v="1"/>
    <x v="1"/>
    <n v="5"/>
    <s v="Professional"/>
    <n v="3"/>
    <x v="1"/>
    <n v="2"/>
    <n v="1"/>
    <n v="1"/>
    <n v="1"/>
    <n v="2"/>
    <s v="Y"/>
    <n v="2000"/>
    <x v="1"/>
  </r>
  <r>
    <d v="2019-10-25T00:00:00"/>
    <d v="1899-12-30T12:42:00"/>
    <m/>
    <s v="D"/>
    <n v="2"/>
    <s v="Road Vehicle"/>
    <n v="1"/>
    <x v="0"/>
    <x v="0"/>
    <n v="1"/>
    <x v="0"/>
    <s v="HIOMA"/>
    <s v="HIOMA"/>
    <s v="UG"/>
    <n v="1"/>
    <s v="Home"/>
    <s v="KABAALE"/>
    <s v="HIOMA"/>
    <s v="UG"/>
    <n v="2"/>
    <s v="Work"/>
    <x v="1"/>
    <n v="50000"/>
    <m/>
    <x v="0"/>
    <n v="2"/>
    <x v="0"/>
    <n v="2"/>
    <s v="Manual Labour"/>
    <n v="1"/>
    <x v="2"/>
    <n v="3"/>
    <n v="4"/>
    <n v="5"/>
    <n v="1"/>
    <n v="2"/>
    <s v="Y"/>
    <n v="5000"/>
    <x v="2"/>
  </r>
  <r>
    <d v="2019-10-25T00:00:00"/>
    <d v="1899-12-30T13:54:00"/>
    <m/>
    <s v="D"/>
    <n v="2"/>
    <s v="Road Vehicle"/>
    <n v="1"/>
    <x v="0"/>
    <x v="0"/>
    <n v="1"/>
    <x v="0"/>
    <s v="HIOMA"/>
    <s v="HIOMA"/>
    <s v="UG"/>
    <n v="1"/>
    <s v="Home"/>
    <s v="BULIISA"/>
    <s v="BULIISA"/>
    <s v="UG"/>
    <n v="2"/>
    <s v="Work"/>
    <x v="1"/>
    <n v="80000"/>
    <n v="75"/>
    <x v="1"/>
    <n v="2"/>
    <x v="0"/>
    <n v="5"/>
    <s v="Professional"/>
    <n v="4"/>
    <x v="0"/>
    <n v="1"/>
    <n v="1"/>
    <n v="1"/>
    <n v="1"/>
    <n v="1"/>
    <s v="Y"/>
    <m/>
    <x v="3"/>
  </r>
  <r>
    <d v="2019-10-25T00:00:00"/>
    <d v="1899-12-30T08:01:00"/>
    <m/>
    <s v="D"/>
    <n v="2"/>
    <s v="Road Vehicle"/>
    <n v="1"/>
    <x v="0"/>
    <x v="0"/>
    <n v="1"/>
    <x v="0"/>
    <s v="HIOMA"/>
    <s v="HIOMA"/>
    <s v="UG"/>
    <n v="2"/>
    <s v="Work"/>
    <s v="KAMPALA"/>
    <s v="KAMPALA"/>
    <s v="UG"/>
    <n v="2"/>
    <s v="Work"/>
    <x v="2"/>
    <n v="100000"/>
    <n v="175"/>
    <x v="2"/>
    <n v="3"/>
    <x v="0"/>
    <n v="5"/>
    <s v="Professional"/>
    <n v="4"/>
    <x v="0"/>
    <n v="1"/>
    <n v="3"/>
    <n v="5"/>
    <n v="4"/>
    <n v="2"/>
    <s v="Y"/>
    <n v="5000"/>
    <x v="2"/>
  </r>
  <r>
    <d v="2019-10-25T00:00:00"/>
    <d v="1899-12-30T18:05:00"/>
    <m/>
    <s v="P"/>
    <n v="2"/>
    <s v="Road Vehicle"/>
    <n v="1"/>
    <x v="0"/>
    <x v="0"/>
    <n v="1"/>
    <x v="0"/>
    <s v="HIOMA"/>
    <s v="HIOMA"/>
    <s v="UG"/>
    <n v="4"/>
    <s v="Commercial"/>
    <s v="ARUA"/>
    <s v="ARUA"/>
    <s v="UG"/>
    <n v="1"/>
    <s v="Home"/>
    <x v="3"/>
    <n v="350000"/>
    <n v="390"/>
    <x v="3"/>
    <n v="8"/>
    <x v="2"/>
    <n v="5"/>
    <s v="Professional"/>
    <n v="3"/>
    <x v="1"/>
    <n v="3"/>
    <n v="2"/>
    <n v="1"/>
    <n v="5"/>
    <n v="4"/>
    <s v="Y"/>
    <n v="7000"/>
    <x v="2"/>
  </r>
  <r>
    <d v="2019-10-25T00:00:00"/>
    <d v="1899-12-30T15:53:00"/>
    <m/>
    <s v="D"/>
    <n v="2"/>
    <s v="Road Vehicle"/>
    <n v="1"/>
    <x v="0"/>
    <x v="0"/>
    <n v="1"/>
    <x v="0"/>
    <s v="HIOMA"/>
    <s v="HIOMA"/>
    <s v="UG"/>
    <n v="4"/>
    <s v="Commercial"/>
    <s v="KIBOGA"/>
    <s v="KIBOGA"/>
    <s v="UG"/>
    <n v="1"/>
    <s v="Home"/>
    <x v="3"/>
    <n v="70000"/>
    <n v="115"/>
    <x v="2"/>
    <n v="1"/>
    <x v="1"/>
    <n v="5"/>
    <s v="Professional"/>
    <n v="3"/>
    <x v="1"/>
    <n v="1"/>
    <n v="1"/>
    <n v="2"/>
    <n v="1"/>
    <n v="1"/>
    <s v="Y"/>
    <n v="2000"/>
    <x v="1"/>
  </r>
  <r>
    <d v="2019-10-24T00:00:00"/>
    <d v="1899-12-30T16:06:00"/>
    <m/>
    <s v="P"/>
    <n v="2"/>
    <s v="Road Vehicle"/>
    <n v="6"/>
    <x v="1"/>
    <x v="1"/>
    <n v="1"/>
    <x v="0"/>
    <s v="HIOMA"/>
    <s v="HIOMA"/>
    <s v="UG"/>
    <n v="2"/>
    <s v="Work"/>
    <s v="KAMPALA"/>
    <s v="KAMPALA"/>
    <s v="UG"/>
    <n v="1"/>
    <s v="Home"/>
    <x v="4"/>
    <n v="13000"/>
    <n v="200"/>
    <x v="3"/>
    <n v="4"/>
    <x v="2"/>
    <n v="4"/>
    <s v="Office Worker"/>
    <n v="3"/>
    <x v="1"/>
    <n v="1"/>
    <n v="2"/>
    <n v="3"/>
    <n v="4"/>
    <n v="5"/>
    <s v="Y"/>
    <n v="1000"/>
    <x v="4"/>
  </r>
  <r>
    <d v="2019-10-24T00:00:00"/>
    <d v="1899-12-30T14:39:00"/>
    <m/>
    <s v="P"/>
    <n v="2"/>
    <s v="Road Vehicle"/>
    <n v="6"/>
    <x v="1"/>
    <x v="0"/>
    <n v="1"/>
    <x v="0"/>
    <s v="HIOMA"/>
    <s v="HIOMA"/>
    <s v="UG"/>
    <n v="2"/>
    <s v="Work"/>
    <s v="KAMPALA"/>
    <s v="KAMPALA"/>
    <s v="UG"/>
    <n v="2"/>
    <s v="Work"/>
    <x v="2"/>
    <n v="13000"/>
    <n v="200"/>
    <x v="3"/>
    <n v="3"/>
    <x v="0"/>
    <n v="4"/>
    <s v="Office Worker"/>
    <n v="4"/>
    <x v="0"/>
    <n v="1"/>
    <n v="3"/>
    <n v="5"/>
    <n v="4"/>
    <n v="2"/>
    <s v="Y"/>
    <m/>
    <x v="3"/>
  </r>
  <r>
    <d v="2019-10-24T00:00:00"/>
    <d v="1899-12-30T14:24:00"/>
    <m/>
    <s v="P"/>
    <n v="2"/>
    <s v="Road Vehicle"/>
    <n v="6"/>
    <x v="1"/>
    <x v="0"/>
    <n v="1"/>
    <x v="0"/>
    <s v="HIOMA"/>
    <s v="HIOMA"/>
    <s v="UG"/>
    <n v="2"/>
    <s v="Work"/>
    <s v="KAMPALA"/>
    <s v="KAMPALA"/>
    <s v="UG"/>
    <n v="6"/>
    <s v="Leisure/Social"/>
    <x v="5"/>
    <n v="13000"/>
    <n v="195"/>
    <x v="2"/>
    <n v="3"/>
    <x v="0"/>
    <n v="1"/>
    <s v="Unemployed"/>
    <n v="1"/>
    <x v="2"/>
    <n v="2"/>
    <n v="1"/>
    <n v="5"/>
    <n v="4"/>
    <n v="3"/>
    <s v="Y"/>
    <n v="3000"/>
    <x v="0"/>
  </r>
  <r>
    <d v="2019-10-24T00:00:00"/>
    <d v="1899-12-30T14:10:00"/>
    <m/>
    <s v="P"/>
    <n v="2"/>
    <s v="Road Vehicle"/>
    <n v="6"/>
    <x v="1"/>
    <x v="0"/>
    <n v="1"/>
    <x v="0"/>
    <s v="HIOMA"/>
    <s v="HIOMA"/>
    <s v="UG"/>
    <n v="3"/>
    <s v="Study"/>
    <s v="KAMPALA"/>
    <s v="KAMPALA"/>
    <s v="UG"/>
    <n v="5"/>
    <s v="Tourism"/>
    <x v="6"/>
    <n v="13000"/>
    <n v="200"/>
    <x v="3"/>
    <n v="4"/>
    <x v="2"/>
    <n v="5"/>
    <s v="Professional"/>
    <n v="4"/>
    <x v="0"/>
    <n v="2"/>
    <n v="3"/>
    <n v="5"/>
    <n v="4"/>
    <n v="7"/>
    <s v="Y"/>
    <n v="2000"/>
    <x v="1"/>
  </r>
  <r>
    <d v="2019-10-25T00:00:00"/>
    <d v="1899-12-30T08:04:00"/>
    <m/>
    <s v="P"/>
    <n v="2"/>
    <s v="Road Vehicle"/>
    <n v="6"/>
    <x v="1"/>
    <x v="0"/>
    <n v="1"/>
    <x v="0"/>
    <s v="HIOMA"/>
    <s v="HIOMA"/>
    <s v="UG"/>
    <n v="6"/>
    <s v="Leisure/Social"/>
    <s v="KYANKWENZI"/>
    <s v="KIKUUBE"/>
    <s v="UG"/>
    <n v="6"/>
    <s v="Leisure/Social"/>
    <x v="7"/>
    <n v="10000"/>
    <n v="130"/>
    <x v="2"/>
    <n v="2"/>
    <x v="0"/>
    <n v="3"/>
    <s v="Artisan/Domestic"/>
    <n v="2"/>
    <x v="3"/>
    <n v="1"/>
    <n v="1"/>
    <n v="1"/>
    <n v="1"/>
    <n v="1"/>
    <s v="Y"/>
    <m/>
    <x v="3"/>
  </r>
  <r>
    <d v="2019-10-25T00:00:00"/>
    <d v="1899-12-30T08:04:00"/>
    <m/>
    <s v="P"/>
    <n v="2"/>
    <s v="Road Vehicle"/>
    <n v="6"/>
    <x v="1"/>
    <x v="0"/>
    <n v="1"/>
    <x v="0"/>
    <s v="HIOMA"/>
    <s v="HIOMA"/>
    <s v="UG"/>
    <n v="1"/>
    <s v="Home"/>
    <s v="KYANKWENZI"/>
    <s v="KIKUUBE"/>
    <s v="UG"/>
    <n v="6"/>
    <s v="Leisure/Social"/>
    <x v="8"/>
    <n v="10000"/>
    <n v="130"/>
    <x v="2"/>
    <n v="2"/>
    <x v="0"/>
    <n v="3"/>
    <s v="Artisan/Domestic"/>
    <n v="2"/>
    <x v="3"/>
    <n v="1"/>
    <n v="1"/>
    <n v="1"/>
    <n v="1"/>
    <n v="1"/>
    <s v="Y"/>
    <n v="1000"/>
    <x v="4"/>
  </r>
  <r>
    <d v="2019-10-25T00:00:00"/>
    <d v="1899-12-30T17:15:00"/>
    <m/>
    <s v="D"/>
    <n v="2"/>
    <s v="Road Vehicle"/>
    <n v="6"/>
    <x v="1"/>
    <x v="0"/>
    <n v="1"/>
    <x v="0"/>
    <s v="HIOMA"/>
    <s v="HIOMA"/>
    <s v="UG"/>
    <n v="2"/>
    <s v="Work"/>
    <s v="KIBUULE"/>
    <s v="KIBUULE"/>
    <s v="UG"/>
    <n v="1"/>
    <s v="Home"/>
    <x v="4"/>
    <n v="600000"/>
    <n v="80"/>
    <x v="1"/>
    <n v="3"/>
    <x v="0"/>
    <n v="10"/>
    <s v="Other"/>
    <n v="4"/>
    <x v="0"/>
    <n v="1"/>
    <n v="2"/>
    <n v="3"/>
    <n v="4"/>
    <n v="5"/>
    <s v="Y"/>
    <n v="3000"/>
    <x v="0"/>
  </r>
  <r>
    <d v="2019-10-25T00:00:00"/>
    <d v="1899-12-30T15:36:00"/>
    <m/>
    <s v="P"/>
    <n v="2"/>
    <s v="Road Vehicle"/>
    <n v="6"/>
    <x v="1"/>
    <x v="0"/>
    <n v="1"/>
    <x v="0"/>
    <s v="HIOMA"/>
    <s v="HIOMA"/>
    <s v="UG"/>
    <n v="3"/>
    <s v="Study"/>
    <s v="KAMPALA"/>
    <s v="KAMPALA"/>
    <s v="UG"/>
    <n v="1"/>
    <s v="Home"/>
    <x v="9"/>
    <n v="130000"/>
    <n v="190"/>
    <x v="2"/>
    <n v="4"/>
    <x v="2"/>
    <n v="4"/>
    <s v="Office Worker"/>
    <n v="4"/>
    <x v="0"/>
    <n v="5"/>
    <n v="4"/>
    <n v="3"/>
    <n v="2"/>
    <n v="1"/>
    <s v="Y"/>
    <m/>
    <x v="3"/>
  </r>
  <r>
    <d v="2019-10-25T00:00:00"/>
    <d v="1899-12-30T15:35:00"/>
    <m/>
    <s v="P"/>
    <n v="2"/>
    <s v="Road Vehicle"/>
    <n v="6"/>
    <x v="1"/>
    <x v="0"/>
    <n v="1"/>
    <x v="0"/>
    <s v="HIOMA"/>
    <s v="HIOMA"/>
    <s v="UG"/>
    <n v="1"/>
    <s v="Home"/>
    <s v="KAMPALA"/>
    <s v="KAMPALA"/>
    <s v="UG"/>
    <n v="2"/>
    <s v="Work"/>
    <x v="1"/>
    <n v="130000"/>
    <n v="190"/>
    <x v="2"/>
    <n v="4"/>
    <x v="2"/>
    <n v="10"/>
    <s v="Other"/>
    <n v="3"/>
    <x v="1"/>
    <n v="5"/>
    <n v="4"/>
    <n v="3"/>
    <n v="2"/>
    <n v="1"/>
    <s v="Y"/>
    <n v="5000"/>
    <x v="2"/>
  </r>
  <r>
    <d v="2019-10-25T00:00:00"/>
    <d v="1899-12-30T14:37:00"/>
    <m/>
    <s v="P"/>
    <n v="2"/>
    <s v="Road Vehicle"/>
    <n v="6"/>
    <x v="1"/>
    <x v="0"/>
    <n v="1"/>
    <x v="0"/>
    <s v="HIOMA"/>
    <s v="HIOMA"/>
    <s v="UG"/>
    <n v="2"/>
    <s v="Work"/>
    <s v="KAMPALA"/>
    <s v="KAMPALA"/>
    <s v="UG"/>
    <n v="1"/>
    <s v="Home"/>
    <x v="4"/>
    <n v="130000"/>
    <n v="194"/>
    <x v="2"/>
    <n v="4"/>
    <x v="2"/>
    <n v="6"/>
    <s v="Businessman"/>
    <n v="3"/>
    <x v="1"/>
    <n v="5"/>
    <n v="1"/>
    <n v="2"/>
    <n v="4"/>
    <n v="3"/>
    <s v="Y"/>
    <n v="1000"/>
    <x v="4"/>
  </r>
  <r>
    <d v="2019-10-25T00:00:00"/>
    <d v="1899-12-30T13:28:00"/>
    <m/>
    <s v="P"/>
    <n v="2"/>
    <s v="Road Vehicle"/>
    <n v="6"/>
    <x v="1"/>
    <x v="0"/>
    <n v="1"/>
    <x v="0"/>
    <s v="HIOMA"/>
    <s v="HIOMA"/>
    <s v="UG"/>
    <n v="4"/>
    <s v="Commercial"/>
    <s v="KAMPALA"/>
    <s v="KAMPALA"/>
    <s v="UG"/>
    <n v="1"/>
    <s v="Home"/>
    <x v="3"/>
    <n v="130000"/>
    <n v="200"/>
    <x v="3"/>
    <n v="4"/>
    <x v="2"/>
    <n v="6"/>
    <s v="Businessman"/>
    <n v="2"/>
    <x v="3"/>
    <n v="1"/>
    <n v="2"/>
    <n v="5"/>
    <n v="4"/>
    <n v="3"/>
    <s v="Y"/>
    <m/>
    <x v="3"/>
  </r>
  <r>
    <d v="2019-10-25T00:00:00"/>
    <d v="1899-12-30T12:50:00"/>
    <m/>
    <s v="P"/>
    <n v="2"/>
    <s v="Road Vehicle"/>
    <n v="6"/>
    <x v="1"/>
    <x v="0"/>
    <n v="1"/>
    <x v="0"/>
    <s v="HIOMA"/>
    <s v="HIOMA"/>
    <s v="UG"/>
    <n v="6"/>
    <s v="Leisure/Social"/>
    <s v="KAMPALA"/>
    <s v="KAMPALA"/>
    <s v="UG"/>
    <n v="1"/>
    <s v="Home"/>
    <x v="10"/>
    <n v="130000"/>
    <n v="220"/>
    <x v="3"/>
    <n v="5"/>
    <x v="2"/>
    <n v="3"/>
    <s v="Artisan/Domestic"/>
    <n v="3"/>
    <x v="1"/>
    <n v="5"/>
    <n v="2"/>
    <n v="1"/>
    <n v="4"/>
    <n v="5"/>
    <s v="Y"/>
    <n v="2000"/>
    <x v="1"/>
  </r>
  <r>
    <d v="2019-10-25T00:00:00"/>
    <d v="1899-12-30T12:14:00"/>
    <m/>
    <s v="P"/>
    <n v="2"/>
    <s v="Road Vehicle"/>
    <n v="6"/>
    <x v="1"/>
    <x v="0"/>
    <n v="1"/>
    <x v="0"/>
    <s v="HIOMA"/>
    <s v="HIOMA"/>
    <s v="UG"/>
    <n v="2"/>
    <s v="Work"/>
    <s v="BULIISA"/>
    <s v="BULIISA"/>
    <s v="UG"/>
    <n v="1"/>
    <s v="Home"/>
    <x v="4"/>
    <n v="15000"/>
    <n v="200"/>
    <x v="3"/>
    <n v="3"/>
    <x v="0"/>
    <n v="4"/>
    <s v="Office Worker"/>
    <n v="2"/>
    <x v="3"/>
    <n v="1"/>
    <n v="2"/>
    <n v="3"/>
    <n v="4"/>
    <n v="5"/>
    <s v="Y"/>
    <m/>
    <x v="3"/>
  </r>
  <r>
    <d v="2019-10-25T00:00:00"/>
    <d v="1899-12-30T14:31:00"/>
    <m/>
    <s v="P"/>
    <n v="2"/>
    <s v="Road Vehicle"/>
    <n v="5"/>
    <x v="2"/>
    <x v="0"/>
    <n v="1"/>
    <x v="0"/>
    <s v="HIOMA"/>
    <s v="HIOMA"/>
    <s v="UG"/>
    <n v="2"/>
    <s v="Work"/>
    <s v="KAMPALA"/>
    <s v="KAMPALA"/>
    <s v="UG"/>
    <n v="2"/>
    <s v="Work"/>
    <x v="2"/>
    <n v="650000"/>
    <n v="200"/>
    <x v="3"/>
    <n v="5"/>
    <x v="2"/>
    <n v="10"/>
    <s v="Other"/>
    <n v="5"/>
    <x v="4"/>
    <n v="1"/>
    <n v="2"/>
    <n v="3"/>
    <n v="5"/>
    <n v="4"/>
    <s v="Y"/>
    <n v="1000"/>
    <x v="4"/>
  </r>
  <r>
    <d v="2019-10-24T00:00:00"/>
    <d v="1899-12-30T18:24:00"/>
    <m/>
    <s v="P"/>
    <n v="2"/>
    <s v="Road Vehicle"/>
    <n v="4"/>
    <x v="3"/>
    <x v="1"/>
    <n v="1"/>
    <x v="0"/>
    <s v="HIOMA"/>
    <s v="HIOMA"/>
    <s v="UG"/>
    <n v="2"/>
    <s v="Work"/>
    <s v="KAMPALA"/>
    <s v="KAMPALA"/>
    <s v="UG"/>
    <n v="1"/>
    <s v="Home"/>
    <x v="4"/>
    <n v="15000"/>
    <n v="200"/>
    <x v="3"/>
    <n v="3"/>
    <x v="0"/>
    <n v="2"/>
    <s v="Manual Labour"/>
    <n v="2"/>
    <x v="3"/>
    <n v="1"/>
    <n v="3"/>
    <n v="2"/>
    <n v="5"/>
    <n v="4"/>
    <s v="Y"/>
    <n v="3000"/>
    <x v="0"/>
  </r>
  <r>
    <d v="2019-10-24T00:00:00"/>
    <d v="1899-12-30T17:24:00"/>
    <m/>
    <s v="P"/>
    <n v="2"/>
    <s v="Road Vehicle"/>
    <n v="4"/>
    <x v="3"/>
    <x v="1"/>
    <n v="1"/>
    <x v="0"/>
    <s v="HIOMA"/>
    <s v="HIOMA"/>
    <s v="UG"/>
    <n v="1"/>
    <s v="Home"/>
    <s v="KABAALE"/>
    <s v="KABAALE"/>
    <s v="UG"/>
    <n v="2"/>
    <s v="Work"/>
    <x v="1"/>
    <n v="5000"/>
    <n v="31"/>
    <x v="4"/>
    <n v="24"/>
    <x v="2"/>
    <n v="2"/>
    <s v="Manual Labour"/>
    <n v="1"/>
    <x v="2"/>
    <n v="5"/>
    <n v="3"/>
    <n v="1"/>
    <n v="2"/>
    <n v="4"/>
    <s v="Y"/>
    <m/>
    <x v="3"/>
  </r>
  <r>
    <d v="2019-10-24T00:00:00"/>
    <d v="1899-12-30T15:32:00"/>
    <m/>
    <s v="P"/>
    <n v="2"/>
    <s v="Road Vehicle"/>
    <n v="4"/>
    <x v="3"/>
    <x v="1"/>
    <n v="1"/>
    <x v="0"/>
    <s v="HIOMA"/>
    <s v="HIOMA"/>
    <s v="UG"/>
    <n v="2"/>
    <s v="Work"/>
    <s v="BUSUJJU"/>
    <s v="BUSUJJU"/>
    <s v="UG"/>
    <n v="2"/>
    <s v="Work"/>
    <x v="2"/>
    <n v="15000"/>
    <n v="117"/>
    <x v="2"/>
    <n v="2"/>
    <x v="0"/>
    <n v="4"/>
    <s v="Office Worker"/>
    <n v="3"/>
    <x v="1"/>
    <n v="1"/>
    <n v="2"/>
    <n v="3"/>
    <n v="5"/>
    <n v="4"/>
    <s v="Y"/>
    <m/>
    <x v="3"/>
  </r>
  <r>
    <d v="2019-10-24T00:00:00"/>
    <d v="1899-12-30T16:03:00"/>
    <m/>
    <s v="P"/>
    <n v="2"/>
    <s v="Road Vehicle"/>
    <n v="4"/>
    <x v="3"/>
    <x v="1"/>
    <n v="1"/>
    <x v="0"/>
    <s v="HIOMA"/>
    <s v="HIOMA"/>
    <s v="UG"/>
    <n v="8"/>
    <s v="Others"/>
    <s v="KAMPALA"/>
    <s v="KAMPALA"/>
    <s v="UG"/>
    <n v="3"/>
    <s v="Study"/>
    <x v="11"/>
    <n v="15000"/>
    <n v="200"/>
    <x v="3"/>
    <n v="3"/>
    <x v="0"/>
    <n v="8"/>
    <s v="Student"/>
    <n v="2"/>
    <x v="3"/>
    <n v="4"/>
    <n v="1"/>
    <n v="2"/>
    <n v="3"/>
    <n v="5"/>
    <s v="Y"/>
    <n v="1000"/>
    <x v="4"/>
  </r>
  <r>
    <d v="2019-10-24T00:00:00"/>
    <d v="1899-12-30T14:58:00"/>
    <m/>
    <s v="P"/>
    <n v="2"/>
    <s v="Road Vehicle"/>
    <n v="4"/>
    <x v="3"/>
    <x v="1"/>
    <n v="1"/>
    <x v="0"/>
    <s v="HIOMA"/>
    <s v="HIOMA"/>
    <s v="UG"/>
    <n v="2"/>
    <s v="Work"/>
    <s v="HIOMA"/>
    <s v="HIOMA"/>
    <s v="UG"/>
    <n v="2"/>
    <s v="Work"/>
    <x v="2"/>
    <n v="12000"/>
    <m/>
    <x v="0"/>
    <n v="3"/>
    <x v="0"/>
    <n v="2"/>
    <s v="Manual Labour"/>
    <n v="1"/>
    <x v="2"/>
    <n v="1"/>
    <n v="4"/>
    <n v="1"/>
    <n v="2"/>
    <n v="3"/>
    <s v="Y"/>
    <n v="3000"/>
    <x v="0"/>
  </r>
  <r>
    <d v="2019-10-24T00:00:00"/>
    <d v="1899-12-30T16:39:00"/>
    <m/>
    <s v="P"/>
    <n v="2"/>
    <s v="Road Vehicle"/>
    <n v="4"/>
    <x v="3"/>
    <x v="1"/>
    <n v="1"/>
    <x v="0"/>
    <s v="KIBOGA"/>
    <s v="KIBOGA"/>
    <s v="UG"/>
    <n v="8"/>
    <s v="Others"/>
    <s v="HIOMA"/>
    <s v="HIOMA"/>
    <s v="UG"/>
    <n v="1"/>
    <s v="Home"/>
    <x v="12"/>
    <n v="7000"/>
    <m/>
    <x v="0"/>
    <n v="2"/>
    <x v="0"/>
    <n v="3"/>
    <s v="Artisan/Domestic"/>
    <n v="1"/>
    <x v="2"/>
    <n v="4"/>
    <n v="1"/>
    <n v="2"/>
    <n v="5"/>
    <n v="2"/>
    <s v="Y"/>
    <m/>
    <x v="3"/>
  </r>
  <r>
    <d v="2019-10-24T00:00:00"/>
    <d v="1899-12-30T17:47:00"/>
    <m/>
    <s v="P"/>
    <n v="2"/>
    <s v="Road Vehicle"/>
    <n v="4"/>
    <x v="3"/>
    <x v="1"/>
    <n v="1"/>
    <x v="0"/>
    <s v="KASUBI"/>
    <s v="KAMPALA"/>
    <s v="UG"/>
    <n v="1"/>
    <s v="Home"/>
    <s v="HIOMA"/>
    <s v="HIOMA"/>
    <s v="UG"/>
    <n v="8"/>
    <s v="Others"/>
    <x v="13"/>
    <n v="15000"/>
    <m/>
    <x v="0"/>
    <n v="4"/>
    <x v="2"/>
    <n v="8"/>
    <s v="Student"/>
    <n v="4"/>
    <x v="0"/>
    <n v="2"/>
    <n v="1"/>
    <n v="3"/>
    <n v="5"/>
    <n v="4"/>
    <s v="Y"/>
    <n v="10000"/>
    <x v="5"/>
  </r>
  <r>
    <d v="2019-10-24T00:00:00"/>
    <d v="1899-12-30T15:00:00"/>
    <m/>
    <s v="D"/>
    <n v="2"/>
    <s v="Road Vehicle"/>
    <n v="4"/>
    <x v="3"/>
    <x v="0"/>
    <n v="1"/>
    <x v="0"/>
    <s v="HIOMA"/>
    <s v="HIOMA"/>
    <s v="UG"/>
    <n v="2"/>
    <s v="Work"/>
    <s v="KAMPALA"/>
    <s v="KAMPALA"/>
    <s v="UG"/>
    <n v="1"/>
    <s v="Home"/>
    <x v="4"/>
    <n v="180000"/>
    <n v="198"/>
    <x v="2"/>
    <n v="3"/>
    <x v="0"/>
    <n v="10"/>
    <s v="Other"/>
    <n v="4"/>
    <x v="0"/>
    <n v="4"/>
    <n v="2"/>
    <n v="1"/>
    <n v="3"/>
    <n v="5"/>
    <s v="Y"/>
    <n v="3000"/>
    <x v="0"/>
  </r>
  <r>
    <d v="2019-10-24T00:00:00"/>
    <d v="1899-12-30T16:09:00"/>
    <m/>
    <s v="P"/>
    <n v="2"/>
    <s v="Road Vehicle"/>
    <n v="4"/>
    <x v="3"/>
    <x v="0"/>
    <n v="1"/>
    <x v="0"/>
    <s v="HIOMA"/>
    <s v="HIOMA"/>
    <s v="UG"/>
    <n v="2"/>
    <s v="Work"/>
    <s v="HIOMA"/>
    <s v="BUKIYIRI"/>
    <s v="UG"/>
    <n v="1"/>
    <s v="Home"/>
    <x v="4"/>
    <n v="5000"/>
    <n v="160"/>
    <x v="2"/>
    <n v="1"/>
    <x v="1"/>
    <n v="2"/>
    <s v="Manual Labour"/>
    <n v="1"/>
    <x v="2"/>
    <n v="5"/>
    <n v="4"/>
    <n v="1"/>
    <n v="2"/>
    <n v="3"/>
    <s v="Y"/>
    <n v="1000"/>
    <x v="4"/>
  </r>
  <r>
    <d v="2019-10-24T00:00:00"/>
    <d v="1899-12-30T15:56:00"/>
    <m/>
    <s v="P"/>
    <n v="2"/>
    <s v="Road Vehicle"/>
    <n v="4"/>
    <x v="3"/>
    <x v="0"/>
    <n v="1"/>
    <x v="0"/>
    <s v="KIBOGA"/>
    <s v="KIBOGA"/>
    <s v="UG"/>
    <n v="8"/>
    <s v="Others"/>
    <s v="HIOMA"/>
    <s v="HIOMA"/>
    <s v="UG"/>
    <n v="2"/>
    <s v="Work"/>
    <x v="14"/>
    <n v="8000"/>
    <n v="87"/>
    <x v="1"/>
    <n v="3"/>
    <x v="0"/>
    <n v="2"/>
    <s v="Manual Labour"/>
    <n v="2"/>
    <x v="3"/>
    <n v="2"/>
    <n v="3"/>
    <n v="4"/>
    <n v="1"/>
    <n v="5"/>
    <s v="Y"/>
    <m/>
    <x v="3"/>
  </r>
  <r>
    <d v="2019-10-24T00:00:00"/>
    <d v="1899-12-30T15:40:00"/>
    <m/>
    <s v="P"/>
    <n v="2"/>
    <s v="Road Vehicle"/>
    <n v="4"/>
    <x v="3"/>
    <x v="0"/>
    <n v="1"/>
    <x v="0"/>
    <s v="HIOMA"/>
    <s v="HIOMA"/>
    <s v="UG"/>
    <n v="8"/>
    <s v="Others"/>
    <s v="KYANKWENZI"/>
    <s v="KYANKWENZI"/>
    <s v="UG"/>
    <n v="8"/>
    <s v="Others"/>
    <x v="15"/>
    <n v="5000"/>
    <m/>
    <x v="0"/>
    <n v="2"/>
    <x v="0"/>
    <n v="5"/>
    <s v="Professional"/>
    <n v="5"/>
    <x v="4"/>
    <n v="3"/>
    <n v="4"/>
    <n v="2"/>
    <n v="1"/>
    <n v="5"/>
    <s v="Y"/>
    <n v="1000"/>
    <x v="4"/>
  </r>
  <r>
    <d v="2019-10-24T00:00:00"/>
    <d v="1899-12-30T15:25:00"/>
    <m/>
    <s v="P"/>
    <n v="2"/>
    <s v="Road Vehicle"/>
    <n v="4"/>
    <x v="3"/>
    <x v="0"/>
    <n v="1"/>
    <x v="0"/>
    <s v="HIOMA"/>
    <s v="HIOMA"/>
    <s v="UG"/>
    <n v="1"/>
    <s v="Home"/>
    <s v="WAKISO"/>
    <s v="WAKISO"/>
    <s v="UG"/>
    <n v="2"/>
    <s v="Work"/>
    <x v="1"/>
    <n v="10000"/>
    <m/>
    <x v="0"/>
    <n v="3"/>
    <x v="0"/>
    <n v="4"/>
    <s v="Office Worker"/>
    <n v="2"/>
    <x v="3"/>
    <n v="4"/>
    <n v="5"/>
    <n v="3"/>
    <n v="2"/>
    <n v="1"/>
    <s v="Y"/>
    <n v="3000"/>
    <x v="0"/>
  </r>
  <r>
    <d v="2019-10-24T00:00:00"/>
    <d v="1899-12-30T15:21:00"/>
    <m/>
    <s v="P"/>
    <n v="2"/>
    <s v="Road Vehicle"/>
    <n v="4"/>
    <x v="3"/>
    <x v="0"/>
    <n v="1"/>
    <x v="0"/>
    <s v="NANSANA"/>
    <s v="WAKISO"/>
    <s v="UG"/>
    <n v="1"/>
    <s v="Home"/>
    <s v="BULIISA"/>
    <s v="HIOMA"/>
    <s v="UG"/>
    <n v="2"/>
    <s v="Work"/>
    <x v="1"/>
    <n v="19000"/>
    <m/>
    <x v="0"/>
    <n v="4"/>
    <x v="2"/>
    <n v="5"/>
    <s v="Professional"/>
    <n v="4"/>
    <x v="0"/>
    <n v="4"/>
    <n v="1"/>
    <n v="2"/>
    <n v="3"/>
    <n v="5"/>
    <s v="Y"/>
    <n v="5000"/>
    <x v="2"/>
  </r>
  <r>
    <d v="2019-10-24T00:00:00"/>
    <d v="1899-12-30T17:30:00"/>
    <m/>
    <s v="P"/>
    <n v="2"/>
    <s v="Road Vehicle"/>
    <n v="4"/>
    <x v="3"/>
    <x v="0"/>
    <n v="1"/>
    <x v="0"/>
    <s v="HIOMA"/>
    <s v="HIOMA"/>
    <s v="UG"/>
    <n v="1"/>
    <s v="Home"/>
    <s v="KAKIRI"/>
    <s v="WAKISO"/>
    <s v="UG"/>
    <n v="1"/>
    <s v="Home"/>
    <x v="16"/>
    <n v="13000"/>
    <m/>
    <x v="0"/>
    <n v="3"/>
    <x v="0"/>
    <n v="4"/>
    <s v="Office Worker"/>
    <n v="2"/>
    <x v="3"/>
    <n v="4"/>
    <n v="1"/>
    <n v="2"/>
    <n v="3"/>
    <n v="3"/>
    <s v="Y"/>
    <n v="2000"/>
    <x v="1"/>
  </r>
  <r>
    <d v="2019-10-24T00:00:00"/>
    <d v="1899-12-30T09:21:00"/>
    <m/>
    <s v="P"/>
    <n v="2"/>
    <s v="Road Vehicle"/>
    <n v="4"/>
    <x v="3"/>
    <x v="0"/>
    <n v="1"/>
    <x v="0"/>
    <s v="HIOMA"/>
    <s v="HIOMA"/>
    <s v="UG"/>
    <n v="1"/>
    <s v="Home"/>
    <s v="MUTANZIJO"/>
    <s v="KAKUMIRO"/>
    <s v="UG"/>
    <n v="4"/>
    <s v="Commercial"/>
    <x v="0"/>
    <n v="10000"/>
    <n v="140"/>
    <x v="2"/>
    <n v="3"/>
    <x v="0"/>
    <n v="7"/>
    <s v="Farmer"/>
    <n v="2"/>
    <x v="3"/>
    <n v="1"/>
    <n v="3"/>
    <n v="4"/>
    <n v="5"/>
    <n v="2"/>
    <s v="Y"/>
    <n v="1000"/>
    <x v="4"/>
  </r>
  <r>
    <d v="2019-10-25T00:00:00"/>
    <d v="1899-12-30T17:18:00"/>
    <m/>
    <s v="P"/>
    <n v="2"/>
    <s v="Road Vehicle"/>
    <n v="4"/>
    <x v="3"/>
    <x v="0"/>
    <n v="1"/>
    <x v="0"/>
    <s v="HIOMA"/>
    <s v="HIOMA"/>
    <s v="UG"/>
    <n v="1"/>
    <s v="Home"/>
    <s v="BUGEMBE"/>
    <s v="KIKUUBE"/>
    <s v="UG"/>
    <n v="6"/>
    <s v="Leisure/Social"/>
    <x v="8"/>
    <n v="7000"/>
    <n v="80"/>
    <x v="1"/>
    <n v="2"/>
    <x v="0"/>
    <n v="1"/>
    <s v="Unemployed"/>
    <n v="1"/>
    <x v="2"/>
    <n v="1"/>
    <n v="2"/>
    <m/>
    <n v="2"/>
    <n v="2"/>
    <s v="Y"/>
    <n v="3000"/>
    <x v="0"/>
  </r>
  <r>
    <d v="2019-10-25T00:00:00"/>
    <d v="1899-12-30T16:57:00"/>
    <m/>
    <s v="D"/>
    <n v="2"/>
    <s v="Road Vehicle"/>
    <n v="4"/>
    <x v="3"/>
    <x v="0"/>
    <n v="1"/>
    <x v="0"/>
    <s v="HIOMA"/>
    <s v="HIOMA"/>
    <s v="UG"/>
    <n v="1"/>
    <s v="Home"/>
    <s v="BUKWIRI"/>
    <s v="KYANKWENZI"/>
    <s v="UG"/>
    <n v="2"/>
    <s v="Work"/>
    <x v="1"/>
    <n v="65000"/>
    <n v="75"/>
    <x v="1"/>
    <n v="2"/>
    <x v="0"/>
    <n v="5"/>
    <s v="Professional"/>
    <n v="3"/>
    <x v="1"/>
    <n v="2"/>
    <n v="3"/>
    <n v="4"/>
    <n v="1"/>
    <n v="5"/>
    <s v="Y"/>
    <n v="2000"/>
    <x v="1"/>
  </r>
  <r>
    <d v="2019-10-25T00:00:00"/>
    <d v="1899-12-30T16:24:00"/>
    <m/>
    <s v="P"/>
    <n v="2"/>
    <s v="Road Vehicle"/>
    <n v="4"/>
    <x v="3"/>
    <x v="0"/>
    <n v="1"/>
    <x v="0"/>
    <s v="HIOMA"/>
    <s v="HIOMA"/>
    <s v="UG"/>
    <n v="1"/>
    <s v="Home"/>
    <s v="BUKWIRI"/>
    <s v="KYANKWENZI"/>
    <s v="UG"/>
    <n v="2"/>
    <s v="Work"/>
    <x v="1"/>
    <n v="8000"/>
    <n v="80"/>
    <x v="1"/>
    <n v="3"/>
    <x v="0"/>
    <n v="2"/>
    <s v="Manual Labour"/>
    <n v="2"/>
    <x v="3"/>
    <n v="2"/>
    <n v="3"/>
    <n v="2"/>
    <n v="4"/>
    <n v="5"/>
    <s v="Y"/>
    <n v="3000"/>
    <x v="0"/>
  </r>
  <r>
    <d v="2019-10-25T00:00:00"/>
    <d v="1899-12-30T09:07:00"/>
    <m/>
    <s v="P"/>
    <n v="2"/>
    <s v="Road Vehicle"/>
    <n v="4"/>
    <x v="3"/>
    <x v="0"/>
    <n v="1"/>
    <x v="0"/>
    <s v="HIOMA"/>
    <s v="HIOMA"/>
    <s v="UG"/>
    <n v="1"/>
    <s v="Home"/>
    <s v="MUTANZIJO"/>
    <s v="KAKUMIRO"/>
    <s v="UG"/>
    <n v="4"/>
    <s v="Commercial"/>
    <x v="0"/>
    <n v="1000"/>
    <n v="140"/>
    <x v="2"/>
    <n v="3"/>
    <x v="0"/>
    <n v="3"/>
    <s v="Artisan/Domestic"/>
    <n v="2"/>
    <x v="3"/>
    <n v="1"/>
    <n v="3"/>
    <n v="2"/>
    <n v="5"/>
    <n v="4"/>
    <s v="Y"/>
    <m/>
    <x v="3"/>
  </r>
  <r>
    <d v="2019-10-25T00:00:00"/>
    <d v="1899-12-30T09:15:00"/>
    <m/>
    <s v="P"/>
    <n v="2"/>
    <s v="Road Vehicle"/>
    <n v="4"/>
    <x v="3"/>
    <x v="0"/>
    <n v="1"/>
    <x v="0"/>
    <s v="HIOMA"/>
    <s v="HIOMA"/>
    <s v="UG"/>
    <n v="1"/>
    <s v="Home"/>
    <s v="KISOLOHYA"/>
    <s v="HIOMA"/>
    <s v="UG"/>
    <n v="2"/>
    <s v="Work"/>
    <x v="1"/>
    <n v="5000"/>
    <n v="30"/>
    <x v="4"/>
    <n v="1"/>
    <x v="1"/>
    <n v="2"/>
    <s v="Manual Labour"/>
    <n v="1"/>
    <x v="2"/>
    <n v="2"/>
    <n v="3"/>
    <n v="5"/>
    <n v="4"/>
    <n v="1"/>
    <s v="Y"/>
    <n v="5000"/>
    <x v="2"/>
  </r>
  <r>
    <d v="2019-10-25T00:00:00"/>
    <d v="1899-12-30T08:12:00"/>
    <m/>
    <s v="D"/>
    <n v="2"/>
    <s v="Road Vehicle"/>
    <n v="4"/>
    <x v="3"/>
    <x v="0"/>
    <n v="1"/>
    <x v="0"/>
    <s v="HIOMA"/>
    <s v="HIOMA"/>
    <s v="UG"/>
    <n v="1"/>
    <s v="Home"/>
    <s v="MASINDI"/>
    <s v="MASINDI"/>
    <s v="UG"/>
    <n v="2"/>
    <s v="Work"/>
    <x v="1"/>
    <n v="120000"/>
    <n v="45"/>
    <x v="5"/>
    <n v="2"/>
    <x v="0"/>
    <n v="2"/>
    <s v="Manual Labour"/>
    <n v="1"/>
    <x v="2"/>
    <n v="1"/>
    <n v="5"/>
    <n v="3"/>
    <n v="1"/>
    <n v="2"/>
    <s v="Y"/>
    <n v="3000"/>
    <x v="0"/>
  </r>
  <r>
    <d v="2019-10-25T00:00:00"/>
    <d v="1899-12-30T09:21:00"/>
    <m/>
    <s v="D"/>
    <n v="2"/>
    <s v="Road Vehicle"/>
    <n v="4"/>
    <x v="3"/>
    <x v="0"/>
    <n v="1"/>
    <x v="0"/>
    <s v="HIOMA"/>
    <s v="HIOMA"/>
    <s v="UG"/>
    <n v="1"/>
    <s v="Home"/>
    <s v="KIGOLOBYA"/>
    <s v="HIOMA"/>
    <s v="UG"/>
    <n v="2"/>
    <s v="Work"/>
    <x v="1"/>
    <n v="5000"/>
    <n v="15"/>
    <x v="6"/>
    <n v="1"/>
    <x v="1"/>
    <n v="4"/>
    <s v="Office Worker"/>
    <n v="1"/>
    <x v="2"/>
    <n v="1"/>
    <n v="2"/>
    <n v="5"/>
    <n v="4"/>
    <n v="2"/>
    <s v="Y"/>
    <n v="1000"/>
    <x v="4"/>
  </r>
  <r>
    <d v="2019-10-25T00:00:00"/>
    <d v="1899-12-30T09:32:00"/>
    <m/>
    <s v="P"/>
    <n v="2"/>
    <s v="Road Vehicle"/>
    <n v="4"/>
    <x v="3"/>
    <x v="0"/>
    <n v="1"/>
    <x v="0"/>
    <s v="HIOMA"/>
    <s v="HIOMA"/>
    <s v="UG"/>
    <n v="6"/>
    <s v="Leisure/Social"/>
    <s v="KIGOLOBYA"/>
    <s v="HIOMA"/>
    <s v="UG"/>
    <n v="1"/>
    <s v="Home"/>
    <x v="10"/>
    <n v="5000"/>
    <n v="15"/>
    <x v="6"/>
    <n v="2"/>
    <x v="0"/>
    <n v="7"/>
    <s v="Farmer"/>
    <n v="1"/>
    <x v="2"/>
    <n v="1"/>
    <n v="2"/>
    <n v="4"/>
    <n v="1"/>
    <n v="2"/>
    <s v="Y"/>
    <m/>
    <x v="3"/>
  </r>
  <r>
    <d v="2019-10-25T00:00:00"/>
    <d v="1899-12-30T09:36:00"/>
    <m/>
    <s v="P"/>
    <n v="2"/>
    <s v="Road Vehicle"/>
    <n v="4"/>
    <x v="3"/>
    <x v="0"/>
    <n v="1"/>
    <x v="0"/>
    <s v="HIOMA"/>
    <s v="HIOMA"/>
    <s v="UG"/>
    <n v="1"/>
    <s v="Home"/>
    <s v="KIGOLOBYA"/>
    <s v="HIOMA"/>
    <s v="UG"/>
    <n v="6"/>
    <s v="Leisure/Social"/>
    <x v="8"/>
    <n v="5000"/>
    <n v="8"/>
    <x v="0"/>
    <n v="1"/>
    <x v="1"/>
    <n v="6"/>
    <s v="Businessman"/>
    <n v="2"/>
    <x v="3"/>
    <n v="3"/>
    <n v="4"/>
    <n v="1"/>
    <n v="2"/>
    <n v="5"/>
    <s v="Y"/>
    <n v="3000"/>
    <x v="0"/>
  </r>
  <r>
    <d v="2019-10-25T00:00:00"/>
    <d v="1899-12-30T09:41:00"/>
    <m/>
    <s v="D"/>
    <n v="2"/>
    <s v="Road Vehicle"/>
    <n v="4"/>
    <x v="3"/>
    <x v="0"/>
    <n v="1"/>
    <x v="0"/>
    <s v="HIOMA"/>
    <s v="HIOMA"/>
    <s v="UG"/>
    <n v="1"/>
    <s v="Home"/>
    <s v="KYANKWENZI"/>
    <s v="KIKUUBE"/>
    <s v="UG"/>
    <n v="2"/>
    <s v="Work"/>
    <x v="1"/>
    <n v="70000"/>
    <m/>
    <x v="0"/>
    <n v="4"/>
    <x v="2"/>
    <n v="2"/>
    <s v="Manual Labour"/>
    <n v="2"/>
    <x v="3"/>
    <n v="1"/>
    <n v="1"/>
    <n v="4"/>
    <n v="1"/>
    <n v="2"/>
    <s v="Y"/>
    <n v="4000"/>
    <x v="0"/>
  </r>
  <r>
    <d v="2019-10-25T00:00:00"/>
    <d v="1899-12-30T09:43:00"/>
    <m/>
    <s v="P"/>
    <n v="2"/>
    <s v="Road Vehicle"/>
    <n v="4"/>
    <x v="3"/>
    <x v="0"/>
    <n v="1"/>
    <x v="0"/>
    <s v="HIOMA"/>
    <s v="HIOMA"/>
    <s v="UG"/>
    <n v="1"/>
    <s v="Home"/>
    <s v="HIOMA"/>
    <s v="HIOMA"/>
    <s v="UG"/>
    <n v="4"/>
    <s v="Commercial"/>
    <x v="0"/>
    <n v="10000"/>
    <n v="35"/>
    <x v="4"/>
    <n v="2"/>
    <x v="0"/>
    <n v="5"/>
    <s v="Professional"/>
    <n v="1"/>
    <x v="2"/>
    <n v="2"/>
    <n v="3"/>
    <n v="5"/>
    <n v="1"/>
    <n v="4"/>
    <s v="Y"/>
    <m/>
    <x v="3"/>
  </r>
  <r>
    <d v="2019-10-25T00:00:00"/>
    <d v="1899-12-30T10:30:00"/>
    <m/>
    <s v="D"/>
    <n v="2"/>
    <s v="Road Vehicle"/>
    <n v="4"/>
    <x v="3"/>
    <x v="0"/>
    <n v="1"/>
    <x v="0"/>
    <s v="HIOMA"/>
    <s v="HIOMA"/>
    <s v="UG"/>
    <n v="1"/>
    <s v="Home"/>
    <s v="KYANKWENZI"/>
    <s v="KIKUUBE"/>
    <s v="UG"/>
    <n v="2"/>
    <s v="Work"/>
    <x v="1"/>
    <n v="80000"/>
    <m/>
    <x v="0"/>
    <n v="2"/>
    <x v="0"/>
    <n v="5"/>
    <s v="Professional"/>
    <n v="3"/>
    <x v="1"/>
    <n v="2"/>
    <n v="1"/>
    <n v="4"/>
    <n v="5"/>
    <n v="1"/>
    <s v="Y"/>
    <n v="1000"/>
    <x v="4"/>
  </r>
  <r>
    <d v="2019-10-25T00:00:00"/>
    <d v="1899-12-30T10:51:00"/>
    <m/>
    <s v="P"/>
    <n v="2"/>
    <s v="Road Vehicle"/>
    <n v="4"/>
    <x v="3"/>
    <x v="0"/>
    <n v="1"/>
    <x v="0"/>
    <s v="HIOMA"/>
    <s v="HIOMA"/>
    <s v="UG"/>
    <n v="2"/>
    <s v="Work"/>
    <s v="MASINDI"/>
    <s v="MASINDI"/>
    <s v="UG"/>
    <n v="4"/>
    <s v="Commercial"/>
    <x v="17"/>
    <n v="10000"/>
    <n v="48"/>
    <x v="5"/>
    <n v="3"/>
    <x v="0"/>
    <n v="7"/>
    <s v="Farmer"/>
    <n v="3"/>
    <x v="1"/>
    <n v="1"/>
    <n v="5"/>
    <n v="4"/>
    <n v="2"/>
    <n v="1"/>
    <s v="Y"/>
    <n v="5000"/>
    <x v="2"/>
  </r>
  <r>
    <d v="2019-10-25T00:00:00"/>
    <d v="1899-12-30T18:41:00"/>
    <m/>
    <s v="D"/>
    <n v="2"/>
    <s v="Road Vehicle"/>
    <n v="4"/>
    <x v="3"/>
    <x v="0"/>
    <n v="1"/>
    <x v="0"/>
    <s v="HIOMA"/>
    <s v="HIOMA"/>
    <s v="UG"/>
    <n v="2"/>
    <s v="Work"/>
    <s v="KAMPALA"/>
    <s v="KAMPALA"/>
    <s v="UG"/>
    <n v="1"/>
    <s v="Home"/>
    <x v="4"/>
    <n v="150000"/>
    <n v="180"/>
    <x v="2"/>
    <n v="3"/>
    <x v="0"/>
    <n v="10"/>
    <s v="Other"/>
    <n v="4"/>
    <x v="0"/>
    <n v="2"/>
    <n v="3"/>
    <n v="5"/>
    <n v="4"/>
    <n v="1"/>
    <s v="Y"/>
    <n v="4000"/>
    <x v="0"/>
  </r>
  <r>
    <d v="2019-10-25T00:00:00"/>
    <d v="1899-12-30T18:32:00"/>
    <m/>
    <s v="D"/>
    <n v="2"/>
    <s v="Road Vehicle"/>
    <n v="4"/>
    <x v="3"/>
    <x v="0"/>
    <n v="1"/>
    <x v="0"/>
    <s v="HIOMA"/>
    <s v="HIOMA"/>
    <s v="UG"/>
    <n v="2"/>
    <s v="Work"/>
    <s v="KAMPALA"/>
    <s v="KAMPALA"/>
    <s v="UG"/>
    <n v="1"/>
    <s v="Home"/>
    <x v="4"/>
    <n v="200000"/>
    <n v="300"/>
    <x v="3"/>
    <n v="4"/>
    <x v="2"/>
    <n v="10"/>
    <s v="Other"/>
    <n v="3"/>
    <x v="1"/>
    <n v="3"/>
    <n v="2"/>
    <n v="4"/>
    <n v="5"/>
    <n v="1"/>
    <s v="Y"/>
    <n v="1000"/>
    <x v="4"/>
  </r>
  <r>
    <d v="2019-10-25T00:00:00"/>
    <d v="1899-12-30T18:20:00"/>
    <m/>
    <s v="D"/>
    <n v="2"/>
    <s v="Road Vehicle"/>
    <n v="4"/>
    <x v="3"/>
    <x v="0"/>
    <n v="1"/>
    <x v="0"/>
    <s v="HIOMA"/>
    <s v="HIOMA"/>
    <s v="UG"/>
    <n v="2"/>
    <s v="Work"/>
    <s v="KAMPALA"/>
    <s v="KAMPALA"/>
    <s v="UG"/>
    <n v="1"/>
    <s v="Home"/>
    <x v="4"/>
    <n v="180000"/>
    <n v="200"/>
    <x v="3"/>
    <n v="3"/>
    <x v="0"/>
    <n v="10"/>
    <s v="Other"/>
    <n v="4"/>
    <x v="0"/>
    <n v="2"/>
    <n v="3"/>
    <n v="5"/>
    <n v="4"/>
    <n v="1"/>
    <s v="Y"/>
    <m/>
    <x v="3"/>
  </r>
  <r>
    <d v="2019-10-25T00:00:00"/>
    <d v="1899-12-30T16:52:00"/>
    <m/>
    <s v="D"/>
    <n v="2"/>
    <s v="Road Vehicle"/>
    <n v="4"/>
    <x v="3"/>
    <x v="0"/>
    <n v="1"/>
    <x v="0"/>
    <s v="HIOMA"/>
    <s v="HIOMA"/>
    <s v="UG"/>
    <n v="2"/>
    <s v="Work"/>
    <s v="BULIISA"/>
    <s v="BULIISA"/>
    <s v="UG"/>
    <n v="1"/>
    <s v="Home"/>
    <x v="4"/>
    <n v="80000"/>
    <n v="75"/>
    <x v="1"/>
    <n v="2"/>
    <x v="0"/>
    <n v="10"/>
    <s v="Other"/>
    <n v="4"/>
    <x v="0"/>
    <n v="4"/>
    <n v="3"/>
    <m/>
    <n v="1"/>
    <n v="2"/>
    <s v="Y"/>
    <m/>
    <x v="3"/>
  </r>
  <r>
    <d v="2019-10-25T00:00:00"/>
    <d v="1899-12-30T16:42:00"/>
    <m/>
    <s v="P"/>
    <n v="2"/>
    <s v="Road Vehicle"/>
    <n v="4"/>
    <x v="3"/>
    <x v="0"/>
    <n v="1"/>
    <x v="0"/>
    <s v="HIOMA"/>
    <s v="HIOMA"/>
    <s v="UG"/>
    <n v="6"/>
    <s v="Leisure/Social"/>
    <s v="BULIISA"/>
    <s v="BULIISA"/>
    <s v="UG"/>
    <n v="1"/>
    <s v="Home"/>
    <x v="10"/>
    <n v="10000"/>
    <n v="77"/>
    <x v="1"/>
    <n v="2"/>
    <x v="0"/>
    <n v="5"/>
    <s v="Professional"/>
    <n v="5"/>
    <x v="4"/>
    <n v="1"/>
    <n v="2"/>
    <n v="5"/>
    <n v="4"/>
    <n v="3"/>
    <s v="Y"/>
    <n v="10000"/>
    <x v="5"/>
  </r>
  <r>
    <d v="2019-10-25T00:00:00"/>
    <d v="1899-12-30T16:34:00"/>
    <m/>
    <s v="P"/>
    <n v="2"/>
    <s v="Road Vehicle"/>
    <n v="4"/>
    <x v="3"/>
    <x v="0"/>
    <n v="1"/>
    <x v="0"/>
    <s v="HIOMA"/>
    <s v="HIOMA"/>
    <s v="UG"/>
    <n v="2"/>
    <s v="Work"/>
    <s v="KAGADI"/>
    <s v="KAGADI"/>
    <s v="UG"/>
    <n v="1"/>
    <s v="Home"/>
    <x v="4"/>
    <n v="150000"/>
    <n v="70"/>
    <x v="1"/>
    <n v="2"/>
    <x v="0"/>
    <n v="5"/>
    <s v="Professional"/>
    <n v="4"/>
    <x v="0"/>
    <n v="5"/>
    <n v="1"/>
    <n v="2"/>
    <n v="2"/>
    <n v="5"/>
    <s v="Y"/>
    <n v="8000"/>
    <x v="2"/>
  </r>
  <r>
    <d v="2019-10-25T00:00:00"/>
    <d v="1899-12-30T16:11:00"/>
    <m/>
    <s v="D"/>
    <n v="2"/>
    <s v="Road Vehicle"/>
    <n v="4"/>
    <x v="3"/>
    <x v="0"/>
    <n v="1"/>
    <x v="0"/>
    <s v="HIOMA"/>
    <s v="HIOMA"/>
    <s v="UG"/>
    <n v="2"/>
    <s v="Work"/>
    <s v="MASINDI"/>
    <s v="MASINDI"/>
    <s v="UG"/>
    <n v="1"/>
    <s v="Home"/>
    <x v="4"/>
    <n v="200000"/>
    <n v="115"/>
    <x v="2"/>
    <n v="3"/>
    <x v="0"/>
    <n v="10"/>
    <s v="Other"/>
    <n v="3"/>
    <x v="1"/>
    <n v="5"/>
    <n v="1"/>
    <n v="3"/>
    <n v="4"/>
    <n v="5"/>
    <s v="Y"/>
    <n v="2000"/>
    <x v="1"/>
  </r>
  <r>
    <d v="2019-10-25T00:00:00"/>
    <d v="1899-12-30T16:06:00"/>
    <m/>
    <s v="D"/>
    <n v="2"/>
    <s v="Road Vehicle"/>
    <n v="4"/>
    <x v="3"/>
    <x v="0"/>
    <n v="1"/>
    <x v="0"/>
    <s v="HIOMA"/>
    <s v="HIOMA"/>
    <s v="UG"/>
    <n v="2"/>
    <s v="Work"/>
    <s v="MASINDI"/>
    <s v="MASINDI"/>
    <s v="UG"/>
    <n v="1"/>
    <s v="Home"/>
    <x v="4"/>
    <n v="180000"/>
    <n v="100"/>
    <x v="2"/>
    <n v="2"/>
    <x v="0"/>
    <n v="10"/>
    <s v="Other"/>
    <n v="2"/>
    <x v="3"/>
    <n v="2"/>
    <n v="1"/>
    <n v="3"/>
    <n v="5"/>
    <n v="4"/>
    <s v="Y"/>
    <m/>
    <x v="3"/>
  </r>
  <r>
    <d v="2019-10-25T00:00:00"/>
    <d v="1899-12-30T13:46:00"/>
    <m/>
    <s v="P"/>
    <n v="2"/>
    <s v="Road Vehicle"/>
    <n v="4"/>
    <x v="3"/>
    <x v="0"/>
    <n v="1"/>
    <x v="0"/>
    <s v="KAISO"/>
    <s v="KAISO"/>
    <s v="UG"/>
    <n v="1"/>
    <s v="Home"/>
    <s v="HIOMA"/>
    <s v="HIOMA"/>
    <s v="UG"/>
    <n v="2"/>
    <s v="Work"/>
    <x v="1"/>
    <n v="15000"/>
    <n v="100"/>
    <x v="2"/>
    <n v="3"/>
    <x v="0"/>
    <n v="6"/>
    <s v="Businessman"/>
    <n v="4"/>
    <x v="0"/>
    <n v="5"/>
    <n v="3"/>
    <n v="4"/>
    <n v="5"/>
    <n v="2"/>
    <s v="Y"/>
    <n v="4000"/>
    <x v="0"/>
  </r>
  <r>
    <d v="2019-10-26T00:00:00"/>
    <d v="1899-12-30T07:48:00"/>
    <m/>
    <s v="P"/>
    <n v="2"/>
    <s v="Road Vehicle"/>
    <n v="4"/>
    <x v="3"/>
    <x v="0"/>
    <n v="1"/>
    <x v="0"/>
    <s v="HIOMA"/>
    <s v="HIOMA"/>
    <s v="UG"/>
    <n v="1"/>
    <s v="Home"/>
    <s v="KAMPALA"/>
    <s v="KAMPALA"/>
    <s v="UG"/>
    <n v="2"/>
    <s v="Work"/>
    <x v="1"/>
    <n v="13000"/>
    <m/>
    <x v="0"/>
    <n v="3"/>
    <x v="0"/>
    <n v="3"/>
    <s v="Artisan/Domestic"/>
    <n v="1"/>
    <x v="2"/>
    <n v="3"/>
    <n v="2"/>
    <n v="5"/>
    <n v="1"/>
    <n v="4"/>
    <s v="Y"/>
    <m/>
    <x v="3"/>
  </r>
  <r>
    <d v="2019-10-26T00:00:00"/>
    <d v="1899-12-30T15:54:00"/>
    <m/>
    <s v="P"/>
    <n v="2"/>
    <s v="Road Vehicle"/>
    <n v="4"/>
    <x v="3"/>
    <x v="0"/>
    <n v="1"/>
    <x v="0"/>
    <s v="HIOMA"/>
    <s v="HIOMA"/>
    <s v="UG"/>
    <n v="2"/>
    <s v="Work"/>
    <s v="BUSUNJJU"/>
    <s v="WAKISO"/>
    <s v="UG"/>
    <n v="4"/>
    <s v="Commercial"/>
    <x v="17"/>
    <n v="12000"/>
    <m/>
    <x v="0"/>
    <n v="3"/>
    <x v="0"/>
    <n v="4"/>
    <s v="Office Worker"/>
    <n v="2"/>
    <x v="3"/>
    <n v="4"/>
    <n v="2"/>
    <n v="1"/>
    <n v="3"/>
    <n v="5"/>
    <s v="Y"/>
    <m/>
    <x v="3"/>
  </r>
  <r>
    <d v="2019-10-26T00:00:00"/>
    <d v="1899-12-30T15:45:00"/>
    <m/>
    <s v="P"/>
    <n v="2"/>
    <s v="Road Vehicle"/>
    <n v="4"/>
    <x v="3"/>
    <x v="0"/>
    <n v="1"/>
    <x v="0"/>
    <s v="HIOMA"/>
    <s v="HIOMA"/>
    <s v="UG"/>
    <n v="1"/>
    <s v="Home"/>
    <s v="HIOMA"/>
    <s v="HIOMA"/>
    <s v="UG"/>
    <n v="4"/>
    <s v="Commercial"/>
    <x v="0"/>
    <n v="6000"/>
    <m/>
    <x v="0"/>
    <n v="2"/>
    <x v="0"/>
    <n v="6"/>
    <s v="Businessman"/>
    <n v="3"/>
    <x v="1"/>
    <n v="2"/>
    <n v="3"/>
    <n v="1"/>
    <n v="5"/>
    <n v="4"/>
    <s v="Y"/>
    <n v="1000"/>
    <x v="4"/>
  </r>
  <r>
    <d v="2019-10-26T00:00:00"/>
    <d v="1899-12-30T15:12:00"/>
    <m/>
    <s v="P"/>
    <n v="2"/>
    <s v="Road Vehicle"/>
    <n v="4"/>
    <x v="3"/>
    <x v="0"/>
    <n v="1"/>
    <x v="0"/>
    <s v="HIOMA"/>
    <s v="HIOMA"/>
    <s v="UG"/>
    <n v="1"/>
    <s v="Home"/>
    <s v="KABOGA"/>
    <s v="KIKUUBE"/>
    <s v="UG"/>
    <n v="2"/>
    <s v="Work"/>
    <x v="1"/>
    <n v="6000"/>
    <m/>
    <x v="0"/>
    <n v="1"/>
    <x v="1"/>
    <n v="10"/>
    <s v="Other"/>
    <n v="3"/>
    <x v="1"/>
    <n v="1"/>
    <n v="1"/>
    <n v="1"/>
    <n v="1"/>
    <n v="2"/>
    <s v="Y"/>
    <m/>
    <x v="3"/>
  </r>
  <r>
    <d v="2019-10-26T00:00:00"/>
    <d v="1899-12-30T15:12:00"/>
    <m/>
    <s v="P"/>
    <n v="2"/>
    <s v="Road Vehicle"/>
    <n v="4"/>
    <x v="3"/>
    <x v="0"/>
    <n v="1"/>
    <x v="0"/>
    <s v="HIOMA"/>
    <s v="HIOMA"/>
    <s v="UG"/>
    <n v="1"/>
    <s v="Home"/>
    <s v="KABOGA"/>
    <s v="KIKUUBE"/>
    <s v="UG"/>
    <n v="2"/>
    <s v="Work"/>
    <x v="1"/>
    <n v="6000"/>
    <m/>
    <x v="0"/>
    <n v="1"/>
    <x v="1"/>
    <n v="10"/>
    <s v="Other"/>
    <n v="2"/>
    <x v="3"/>
    <n v="1"/>
    <n v="2"/>
    <n v="1"/>
    <n v="1"/>
    <n v="1"/>
    <s v="Y"/>
    <m/>
    <x v="3"/>
  </r>
  <r>
    <d v="2019-10-26T00:00:00"/>
    <d v="1899-12-30T14:34:00"/>
    <m/>
    <s v="P"/>
    <n v="2"/>
    <s v="Road Vehicle"/>
    <n v="4"/>
    <x v="3"/>
    <x v="0"/>
    <n v="1"/>
    <x v="0"/>
    <s v="HIOMA"/>
    <s v="HIOMA"/>
    <s v="UG"/>
    <n v="8"/>
    <s v="Others"/>
    <s v="KAMPALA"/>
    <s v="KAMPALA"/>
    <s v="UG"/>
    <n v="2"/>
    <s v="Work"/>
    <x v="14"/>
    <n v="13000"/>
    <m/>
    <x v="0"/>
    <n v="5"/>
    <x v="2"/>
    <n v="3"/>
    <s v="Artisan/Domestic"/>
    <n v="1"/>
    <x v="2"/>
    <n v="3"/>
    <n v="4"/>
    <n v="2"/>
    <n v="1"/>
    <n v="5"/>
    <s v="Y"/>
    <m/>
    <x v="3"/>
  </r>
  <r>
    <d v="2019-10-26T00:00:00"/>
    <d v="1899-12-30T14:36:00"/>
    <m/>
    <s v="P"/>
    <n v="2"/>
    <s v="Road Vehicle"/>
    <n v="4"/>
    <x v="3"/>
    <x v="0"/>
    <n v="1"/>
    <x v="0"/>
    <s v="HIOMA"/>
    <s v="HIOMA"/>
    <s v="UG"/>
    <n v="4"/>
    <s v="Commercial"/>
    <s v="KAISO"/>
    <s v="KIKUUBE"/>
    <s v="UG"/>
    <n v="4"/>
    <s v="Commercial"/>
    <x v="18"/>
    <n v="8000"/>
    <m/>
    <x v="0"/>
    <n v="2"/>
    <x v="0"/>
    <n v="6"/>
    <s v="Businessman"/>
    <n v="4"/>
    <x v="0"/>
    <n v="2"/>
    <n v="3"/>
    <n v="5"/>
    <n v="1"/>
    <n v="4"/>
    <s v="Y"/>
    <m/>
    <x v="3"/>
  </r>
  <r>
    <d v="2019-10-26T00:00:00"/>
    <d v="1899-12-30T14:29:00"/>
    <m/>
    <s v="P"/>
    <n v="2"/>
    <s v="Road Vehicle"/>
    <n v="4"/>
    <x v="3"/>
    <x v="0"/>
    <n v="1"/>
    <x v="0"/>
    <s v="HIOMA"/>
    <s v="HIOMA"/>
    <s v="UG"/>
    <n v="1"/>
    <s v="Home"/>
    <s v="KASUBI"/>
    <s v="KAMPALA"/>
    <s v="UG"/>
    <n v="1"/>
    <s v="Home"/>
    <x v="16"/>
    <n v="13000"/>
    <m/>
    <x v="0"/>
    <n v="3"/>
    <x v="0"/>
    <n v="1"/>
    <s v="Unemployed"/>
    <n v="1"/>
    <x v="2"/>
    <n v="1"/>
    <n v="2"/>
    <n v="4"/>
    <n v="3"/>
    <n v="2"/>
    <s v="Y"/>
    <m/>
    <x v="3"/>
  </r>
  <r>
    <d v="2019-10-26T00:00:00"/>
    <d v="1899-12-30T13:46:00"/>
    <m/>
    <s v="P"/>
    <n v="2"/>
    <s v="Road Vehicle"/>
    <n v="4"/>
    <x v="3"/>
    <x v="0"/>
    <n v="1"/>
    <x v="0"/>
    <s v="KAMPALA"/>
    <s v="KAMPALA"/>
    <s v="UG"/>
    <n v="2"/>
    <s v="Work"/>
    <s v="HIOMA"/>
    <s v="HIOMA"/>
    <s v="UG"/>
    <n v="1"/>
    <s v="Home"/>
    <x v="4"/>
    <n v="13000"/>
    <m/>
    <x v="0"/>
    <n v="4"/>
    <x v="2"/>
    <n v="4"/>
    <s v="Office Worker"/>
    <n v="2"/>
    <x v="3"/>
    <n v="4"/>
    <n v="2"/>
    <n v="3"/>
    <n v="1"/>
    <n v="5"/>
    <s v="Y"/>
    <n v="2000"/>
    <x v="1"/>
  </r>
  <r>
    <d v="2019-10-26T00:00:00"/>
    <d v="1899-12-30T13:57:00"/>
    <m/>
    <s v="P"/>
    <n v="2"/>
    <s v="Road Vehicle"/>
    <n v="4"/>
    <x v="3"/>
    <x v="0"/>
    <n v="1"/>
    <x v="0"/>
    <s v="HIOMA"/>
    <s v="HIOMA"/>
    <s v="UG"/>
    <n v="8"/>
    <s v="Others"/>
    <s v="KAMPALA"/>
    <s v="KAMPALA"/>
    <s v="UG"/>
    <n v="2"/>
    <s v="Work"/>
    <x v="14"/>
    <n v="13000"/>
    <m/>
    <x v="0"/>
    <n v="4"/>
    <x v="2"/>
    <n v="4"/>
    <s v="Office Worker"/>
    <n v="3"/>
    <x v="1"/>
    <n v="1"/>
    <n v="2"/>
    <n v="3"/>
    <n v="5"/>
    <n v="4"/>
    <s v="Y"/>
    <m/>
    <x v="3"/>
  </r>
  <r>
    <d v="2019-10-26T00:00:00"/>
    <d v="1899-12-30T13:22:00"/>
    <m/>
    <s v="P"/>
    <n v="2"/>
    <s v="Road Vehicle"/>
    <n v="4"/>
    <x v="3"/>
    <x v="0"/>
    <n v="1"/>
    <x v="0"/>
    <s v="HIOMA"/>
    <s v="HIOMA"/>
    <s v="UG"/>
    <n v="1"/>
    <s v="Home"/>
    <s v="KAMPALA"/>
    <s v="KAMPALA"/>
    <s v="UG"/>
    <n v="2"/>
    <s v="Work"/>
    <x v="1"/>
    <n v="13000"/>
    <m/>
    <x v="0"/>
    <n v="5"/>
    <x v="2"/>
    <n v="4"/>
    <s v="Office Worker"/>
    <n v="3"/>
    <x v="1"/>
    <n v="2"/>
    <n v="4"/>
    <n v="1"/>
    <n v="5"/>
    <n v="0.3"/>
    <s v="Y"/>
    <n v="2000"/>
    <x v="1"/>
  </r>
  <r>
    <d v="2019-10-26T00:00:00"/>
    <d v="1899-12-30T11:43:00"/>
    <m/>
    <s v="P"/>
    <n v="2"/>
    <s v="Road Vehicle"/>
    <n v="4"/>
    <x v="3"/>
    <x v="0"/>
    <n v="1"/>
    <x v="0"/>
    <s v="HIOMA"/>
    <s v="HIOMA"/>
    <s v="UG"/>
    <n v="1"/>
    <s v="Home"/>
    <s v="WAKISO"/>
    <s v="WAKISO"/>
    <s v="UG"/>
    <n v="2"/>
    <s v="Work"/>
    <x v="1"/>
    <n v="13000"/>
    <m/>
    <x v="0"/>
    <n v="3"/>
    <x v="0"/>
    <n v="2"/>
    <s v="Manual Labour"/>
    <n v="3"/>
    <x v="1"/>
    <n v="2"/>
    <n v="1"/>
    <n v="1"/>
    <n v="5"/>
    <n v="2"/>
    <s v="Y"/>
    <m/>
    <x v="3"/>
  </r>
  <r>
    <d v="2019-10-26T00:00:00"/>
    <d v="1899-12-30T11:43:00"/>
    <m/>
    <s v="P"/>
    <n v="2"/>
    <s v="Road Vehicle"/>
    <n v="4"/>
    <x v="3"/>
    <x v="0"/>
    <n v="1"/>
    <x v="0"/>
    <s v="HIOMA"/>
    <s v="HIOMA"/>
    <s v="UG"/>
    <n v="8"/>
    <s v="Others"/>
    <s v="KAMPALA"/>
    <s v="KAMPALA"/>
    <s v="UG"/>
    <n v="2"/>
    <s v="Work"/>
    <x v="14"/>
    <n v="13000"/>
    <m/>
    <x v="0"/>
    <n v="4"/>
    <x v="2"/>
    <n v="4"/>
    <s v="Office Worker"/>
    <n v="3"/>
    <x v="1"/>
    <n v="5"/>
    <n v="5"/>
    <n v="4"/>
    <n v="1"/>
    <n v="2"/>
    <s v="Y"/>
    <n v="2000"/>
    <x v="1"/>
  </r>
  <r>
    <d v="2019-10-26T00:00:00"/>
    <d v="1899-12-30T11:38:00"/>
    <m/>
    <s v="P"/>
    <n v="2"/>
    <s v="Road Vehicle"/>
    <n v="4"/>
    <x v="3"/>
    <x v="0"/>
    <n v="1"/>
    <x v="0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2"/>
    <s v="Manual Labour"/>
    <n v="1"/>
    <x v="2"/>
    <n v="5"/>
    <n v="2"/>
    <n v="1"/>
    <n v="3"/>
    <n v="4"/>
    <s v="Y"/>
    <m/>
    <x v="3"/>
  </r>
  <r>
    <d v="2019-10-26T00:00:00"/>
    <d v="1899-12-30T11:03:00"/>
    <m/>
    <s v="P"/>
    <n v="2"/>
    <s v="Road Vehicle"/>
    <n v="4"/>
    <x v="3"/>
    <x v="0"/>
    <n v="1"/>
    <x v="0"/>
    <s v="HIOMA"/>
    <s v="HIOMA"/>
    <s v="UG"/>
    <n v="2"/>
    <s v="Work"/>
    <s v="KIKUUBE"/>
    <s v="KIKUUBE"/>
    <s v="UG"/>
    <n v="8"/>
    <s v="Others"/>
    <x v="19"/>
    <n v="5000"/>
    <m/>
    <x v="0"/>
    <n v="1"/>
    <x v="1"/>
    <n v="2"/>
    <s v="Manual Labour"/>
    <n v="1"/>
    <x v="2"/>
    <n v="2"/>
    <n v="4"/>
    <n v="5"/>
    <n v="1"/>
    <n v="3"/>
    <s v="Y"/>
    <m/>
    <x v="3"/>
  </r>
  <r>
    <d v="2019-10-26T00:00:00"/>
    <d v="1899-12-30T10:56:00"/>
    <m/>
    <s v="P"/>
    <n v="2"/>
    <s v="Road Vehicle"/>
    <n v="4"/>
    <x v="3"/>
    <x v="0"/>
    <n v="1"/>
    <x v="0"/>
    <s v="HIOMA"/>
    <s v="HIOMA"/>
    <s v="UG"/>
    <n v="1"/>
    <s v="Home"/>
    <s v="KAMPALA"/>
    <s v="KAMPALA"/>
    <s v="UG"/>
    <n v="2"/>
    <s v="Work"/>
    <x v="1"/>
    <n v="13000"/>
    <m/>
    <x v="0"/>
    <n v="3"/>
    <x v="0"/>
    <n v="3"/>
    <s v="Artisan/Domestic"/>
    <n v="1"/>
    <x v="2"/>
    <n v="2"/>
    <n v="4"/>
    <n v="3"/>
    <n v="1"/>
    <n v="5"/>
    <s v="Y"/>
    <n v="1000"/>
    <x v="4"/>
  </r>
  <r>
    <d v="2019-10-26T00:00:00"/>
    <d v="1899-12-30T11:25:00"/>
    <m/>
    <s v="P"/>
    <n v="2"/>
    <s v="Road Vehicle"/>
    <n v="4"/>
    <x v="3"/>
    <x v="0"/>
    <n v="1"/>
    <x v="0"/>
    <s v="HIOMA"/>
    <s v="HIOMA"/>
    <s v="UG"/>
    <n v="1"/>
    <s v="Home"/>
    <s v="KAISO"/>
    <s v="KIKUUBE"/>
    <s v="UG"/>
    <n v="2"/>
    <s v="Work"/>
    <x v="1"/>
    <n v="8000"/>
    <m/>
    <x v="0"/>
    <n v="2"/>
    <x v="0"/>
    <n v="4"/>
    <s v="Office Worker"/>
    <n v="3"/>
    <x v="1"/>
    <n v="1"/>
    <n v="2"/>
    <n v="5"/>
    <n v="4"/>
    <n v="3"/>
    <s v="Y"/>
    <n v="1000"/>
    <x v="4"/>
  </r>
  <r>
    <d v="2019-10-26T00:00:00"/>
    <d v="1899-12-30T15:17:00"/>
    <m/>
    <s v="D"/>
    <n v="2"/>
    <s v="Road Vehicle"/>
    <n v="4"/>
    <x v="3"/>
    <x v="0"/>
    <n v="1"/>
    <x v="0"/>
    <s v="HIOMA"/>
    <s v="HIOMA"/>
    <s v="UG"/>
    <n v="2"/>
    <s v="Work"/>
    <s v="KIGOLOBYA"/>
    <s v="HIOMA"/>
    <s v="UG"/>
    <n v="1"/>
    <s v="Home"/>
    <x v="4"/>
    <n v="5000"/>
    <n v="30"/>
    <x v="4"/>
    <n v="1"/>
    <x v="1"/>
    <n v="8"/>
    <s v="Student"/>
    <n v="1"/>
    <x v="2"/>
    <n v="1"/>
    <n v="1"/>
    <n v="1"/>
    <n v="1"/>
    <n v="1"/>
    <s v="Y"/>
    <n v="5000"/>
    <x v="2"/>
  </r>
  <r>
    <d v="2019-10-26T00:00:00"/>
    <d v="1899-12-30T14:56:00"/>
    <m/>
    <s v="D"/>
    <n v="2"/>
    <s v="Road Vehicle"/>
    <n v="4"/>
    <x v="3"/>
    <x v="0"/>
    <n v="1"/>
    <x v="0"/>
    <s v="HIOMA"/>
    <s v="HIOMA"/>
    <s v="UG"/>
    <n v="1"/>
    <s v="Home"/>
    <s v="MUTYABA"/>
    <s v="KAKUMIRO"/>
    <s v="UG"/>
    <n v="6"/>
    <s v="Leisure/Social"/>
    <x v="8"/>
    <n v="10000"/>
    <n v="150"/>
    <x v="2"/>
    <n v="4"/>
    <x v="2"/>
    <n v="2"/>
    <s v="Manual Labour"/>
    <n v="1"/>
    <x v="2"/>
    <n v="4"/>
    <n v="3"/>
    <n v="5"/>
    <n v="1"/>
    <n v="4"/>
    <s v="Y"/>
    <n v="7000"/>
    <x v="2"/>
  </r>
  <r>
    <d v="2019-10-26T00:00:00"/>
    <d v="1899-12-30T13:19:00"/>
    <m/>
    <s v="D"/>
    <n v="2"/>
    <s v="Road Vehicle"/>
    <n v="4"/>
    <x v="3"/>
    <x v="0"/>
    <n v="1"/>
    <x v="0"/>
    <s v="HIOMA"/>
    <s v="HIOMA"/>
    <s v="UG"/>
    <n v="1"/>
    <s v="Home"/>
    <s v="BUSIA"/>
    <s v="BUSIA"/>
    <s v="UG"/>
    <n v="6"/>
    <s v="Leisure/Social"/>
    <x v="8"/>
    <n v="15000"/>
    <n v="150"/>
    <x v="2"/>
    <n v="3"/>
    <x v="0"/>
    <n v="2"/>
    <s v="Manual Labour"/>
    <n v="2"/>
    <x v="3"/>
    <n v="3"/>
    <n v="4"/>
    <n v="1"/>
    <n v="2"/>
    <n v="1"/>
    <s v="Y"/>
    <n v="1000"/>
    <x v="4"/>
  </r>
  <r>
    <d v="2019-10-26T00:00:00"/>
    <d v="1899-12-30T14:36:00"/>
    <m/>
    <s v="D"/>
    <n v="2"/>
    <s v="Road Vehicle"/>
    <n v="4"/>
    <x v="3"/>
    <x v="0"/>
    <n v="1"/>
    <x v="0"/>
    <s v="HIOMA"/>
    <s v="HIOMA"/>
    <s v="UG"/>
    <n v="1"/>
    <s v="Home"/>
    <s v="MASINDI"/>
    <s v="MASINDI"/>
    <s v="UG"/>
    <n v="4"/>
    <s v="Commercial"/>
    <x v="0"/>
    <n v="10000"/>
    <n v="70"/>
    <x v="1"/>
    <n v="2"/>
    <x v="0"/>
    <n v="2"/>
    <s v="Manual Labour"/>
    <n v="2"/>
    <x v="3"/>
    <n v="1"/>
    <n v="4"/>
    <n v="3"/>
    <n v="2"/>
    <n v="5"/>
    <s v="Y"/>
    <n v="1000"/>
    <x v="4"/>
  </r>
  <r>
    <d v="2019-10-26T00:00:00"/>
    <d v="1899-12-30T14:50:00"/>
    <m/>
    <s v="D"/>
    <n v="2"/>
    <s v="Road Vehicle"/>
    <n v="4"/>
    <x v="3"/>
    <x v="0"/>
    <n v="1"/>
    <x v="0"/>
    <s v="HIOMA"/>
    <s v="HIOMA"/>
    <s v="UG"/>
    <n v="4"/>
    <s v="Commercial"/>
    <s v="KIGOLOBYA"/>
    <s v="HIOMA"/>
    <s v="UG"/>
    <n v="1"/>
    <s v="Home"/>
    <x v="3"/>
    <n v="5000"/>
    <n v="30"/>
    <x v="4"/>
    <n v="1"/>
    <x v="1"/>
    <n v="10"/>
    <s v="Other"/>
    <n v="2"/>
    <x v="3"/>
    <n v="3"/>
    <n v="4"/>
    <n v="1"/>
    <n v="5"/>
    <n v="2"/>
    <s v="Y"/>
    <n v="1000"/>
    <x v="4"/>
  </r>
  <r>
    <d v="2019-10-26T00:00:00"/>
    <d v="1899-12-30T15:31:00"/>
    <m/>
    <s v="P"/>
    <n v="2"/>
    <s v="Road Vehicle"/>
    <n v="4"/>
    <x v="3"/>
    <x v="0"/>
    <n v="1"/>
    <x v="0"/>
    <s v="HIOMA"/>
    <s v="HIOMA"/>
    <s v="UG"/>
    <n v="1"/>
    <s v="Home"/>
    <s v="BUGAMBE"/>
    <s v="KIGUBE"/>
    <s v="UG"/>
    <n v="6"/>
    <s v="Leisure/Social"/>
    <x v="8"/>
    <n v="7000"/>
    <n v="80"/>
    <x v="1"/>
    <n v="2"/>
    <x v="0"/>
    <n v="3"/>
    <s v="Artisan/Domestic"/>
    <n v="2"/>
    <x v="3"/>
    <n v="3"/>
    <n v="4"/>
    <n v="1"/>
    <n v="5"/>
    <n v="2"/>
    <s v="Y"/>
    <n v="5000"/>
    <x v="2"/>
  </r>
  <r>
    <d v="2019-10-26T00:00:00"/>
    <d v="1899-12-30T15:00:00"/>
    <m/>
    <s v="D"/>
    <n v="2"/>
    <s v="Road Vehicle"/>
    <n v="4"/>
    <x v="3"/>
    <x v="0"/>
    <n v="1"/>
    <x v="0"/>
    <s v="HIOMA"/>
    <s v="HIOMA"/>
    <s v="UG"/>
    <n v="1"/>
    <s v="Home"/>
    <s v="BUKWIRI"/>
    <s v="KYANKWANZI"/>
    <s v="UG"/>
    <n v="5"/>
    <s v="Tourism"/>
    <x v="20"/>
    <n v="8000"/>
    <n v="80"/>
    <x v="1"/>
    <n v="3"/>
    <x v="0"/>
    <n v="3"/>
    <s v="Artisan/Domestic"/>
    <n v="2"/>
    <x v="3"/>
    <n v="3"/>
    <n v="1"/>
    <n v="2"/>
    <n v="5"/>
    <n v="4"/>
    <s v="Y"/>
    <n v="3000"/>
    <x v="0"/>
  </r>
  <r>
    <d v="2019-10-26T00:00:00"/>
    <d v="1899-12-30T19:24:00"/>
    <m/>
    <s v="P"/>
    <n v="2"/>
    <s v="Road Vehicle"/>
    <n v="4"/>
    <x v="3"/>
    <x v="0"/>
    <n v="1"/>
    <x v="0"/>
    <s v="HIOMA"/>
    <s v="HIOMA"/>
    <s v="UG"/>
    <n v="1"/>
    <s v="Home"/>
    <s v="BULIISA"/>
    <s v="BULIISA"/>
    <s v="UG"/>
    <n v="5"/>
    <s v="Tourism"/>
    <x v="20"/>
    <n v="15000"/>
    <n v="160"/>
    <x v="2"/>
    <n v="3"/>
    <x v="0"/>
    <n v="2"/>
    <s v="Manual Labour"/>
    <n v="2"/>
    <x v="3"/>
    <n v="1"/>
    <n v="2"/>
    <n v="3"/>
    <n v="5"/>
    <n v="4"/>
    <s v="Y"/>
    <n v="5000"/>
    <x v="2"/>
  </r>
  <r>
    <d v="2019-10-26T00:00:00"/>
    <d v="1899-12-30T14:55:00"/>
    <m/>
    <s v="P"/>
    <n v="2"/>
    <s v="Road Vehicle"/>
    <n v="4"/>
    <x v="3"/>
    <x v="0"/>
    <n v="1"/>
    <x v="0"/>
    <s v="HIOMA"/>
    <s v="HIOMA"/>
    <s v="UG"/>
    <n v="4"/>
    <s v="Commercial"/>
    <s v="BULIMA"/>
    <s v="BULIMA"/>
    <s v="UG"/>
    <n v="1"/>
    <s v="Home"/>
    <x v="3"/>
    <n v="5000"/>
    <n v="20"/>
    <x v="4"/>
    <n v="1"/>
    <x v="1"/>
    <n v="4"/>
    <s v="Office Worker"/>
    <n v="3"/>
    <x v="1"/>
    <n v="2"/>
    <n v="3"/>
    <n v="4"/>
    <n v="5"/>
    <n v="1"/>
    <s v="Y"/>
    <n v="1000"/>
    <x v="4"/>
  </r>
  <r>
    <d v="2019-10-26T00:00:00"/>
    <d v="1899-12-30T14:25:00"/>
    <m/>
    <s v="D"/>
    <n v="2"/>
    <s v="Road Vehicle"/>
    <n v="4"/>
    <x v="3"/>
    <x v="0"/>
    <n v="1"/>
    <x v="0"/>
    <s v="HIOMA"/>
    <s v="HIOMA"/>
    <s v="UG"/>
    <n v="2"/>
    <s v="Work"/>
    <s v="KAGADI"/>
    <s v="KAGADI"/>
    <s v="UG"/>
    <n v="1"/>
    <s v="Home"/>
    <x v="4"/>
    <n v="180000"/>
    <n v="190"/>
    <x v="2"/>
    <n v="3"/>
    <x v="0"/>
    <n v="10"/>
    <s v="Other"/>
    <n v="3"/>
    <x v="1"/>
    <n v="1"/>
    <n v="3"/>
    <n v="2"/>
    <n v="4"/>
    <n v="5"/>
    <s v="Y"/>
    <m/>
    <x v="3"/>
  </r>
  <r>
    <d v="2019-10-26T00:00:00"/>
    <d v="1899-12-30T15:51:00"/>
    <m/>
    <s v="P"/>
    <n v="2"/>
    <s v="Road Vehicle"/>
    <n v="4"/>
    <x v="3"/>
    <x v="0"/>
    <n v="1"/>
    <x v="0"/>
    <s v="HIOMA"/>
    <s v="HIOMA"/>
    <s v="UG"/>
    <n v="2"/>
    <s v="Work"/>
    <s v="KAMPALA"/>
    <s v="KAMPALA"/>
    <s v="UG"/>
    <n v="1"/>
    <s v="Home"/>
    <x v="4"/>
    <n v="150000"/>
    <n v="201"/>
    <x v="3"/>
    <n v="4"/>
    <x v="2"/>
    <n v="6"/>
    <s v="Businessman"/>
    <n v="4"/>
    <x v="0"/>
    <n v="2"/>
    <n v="1"/>
    <n v="3"/>
    <n v="4"/>
    <n v="5"/>
    <s v="Y"/>
    <n v="3000"/>
    <x v="0"/>
  </r>
  <r>
    <d v="2019-10-26T00:00:00"/>
    <d v="1899-12-30T12:49:00"/>
    <m/>
    <s v="D"/>
    <n v="2"/>
    <s v="Road Vehicle"/>
    <n v="4"/>
    <x v="3"/>
    <x v="0"/>
    <n v="1"/>
    <x v="0"/>
    <s v="HIOMA"/>
    <s v="HIOMA"/>
    <s v="UG"/>
    <n v="2"/>
    <s v="Work"/>
    <s v="KAISO"/>
    <s v="KAISO"/>
    <s v="UG"/>
    <n v="4"/>
    <s v="Commercial"/>
    <x v="17"/>
    <n v="15000"/>
    <n v="190"/>
    <x v="2"/>
    <n v="3"/>
    <x v="0"/>
    <n v="5"/>
    <s v="Professional"/>
    <n v="5"/>
    <x v="4"/>
    <n v="2"/>
    <n v="5"/>
    <n v="3"/>
    <n v="1"/>
    <n v="4"/>
    <s v="Y"/>
    <n v="2000"/>
    <x v="1"/>
  </r>
  <r>
    <d v="2019-10-26T00:00:00"/>
    <d v="1899-12-30T07:14:00"/>
    <m/>
    <s v="D"/>
    <n v="2"/>
    <s v="Road Vehicle"/>
    <n v="4"/>
    <x v="3"/>
    <x v="0"/>
    <n v="1"/>
    <x v="0"/>
    <s v="HIOMA"/>
    <s v="HIOMA"/>
    <s v="UG"/>
    <n v="2"/>
    <s v="Work"/>
    <s v="MASINDI"/>
    <s v="MASINDI"/>
    <s v="UG"/>
    <n v="1"/>
    <s v="Home"/>
    <x v="4"/>
    <n v="1500"/>
    <n v="190"/>
    <x v="2"/>
    <n v="3"/>
    <x v="0"/>
    <n v="5"/>
    <s v="Professional"/>
    <n v="2"/>
    <x v="3"/>
    <n v="5"/>
    <n v="2"/>
    <n v="3"/>
    <n v="4"/>
    <n v="1"/>
    <s v="Y"/>
    <m/>
    <x v="3"/>
  </r>
  <r>
    <d v="2019-10-26T00:00:00"/>
    <d v="1899-12-30T09:20:00"/>
    <m/>
    <s v="D"/>
    <n v="2"/>
    <s v="Road Vehicle"/>
    <n v="4"/>
    <x v="3"/>
    <x v="0"/>
    <n v="1"/>
    <x v="0"/>
    <s v="HIOMA"/>
    <s v="HIOMA"/>
    <s v="UG"/>
    <n v="2"/>
    <s v="Work"/>
    <s v="BUSUNJJU"/>
    <s v="BUSUJJU"/>
    <s v="UG"/>
    <n v="2"/>
    <s v="Work"/>
    <x v="2"/>
    <n v="150000"/>
    <n v="190"/>
    <x v="2"/>
    <n v="2"/>
    <x v="0"/>
    <n v="10"/>
    <s v="Other"/>
    <n v="1"/>
    <x v="2"/>
    <n v="4"/>
    <n v="3"/>
    <n v="5"/>
    <n v="2"/>
    <n v="1"/>
    <s v="Y"/>
    <m/>
    <x v="3"/>
  </r>
  <r>
    <d v="2019-10-26T00:00:00"/>
    <d v="1899-12-30T07:22:00"/>
    <m/>
    <s v="D"/>
    <n v="2"/>
    <s v="Road Vehicle"/>
    <n v="4"/>
    <x v="3"/>
    <x v="0"/>
    <n v="1"/>
    <x v="0"/>
    <s v="HIOMA"/>
    <s v="HIOMA"/>
    <s v="UG"/>
    <n v="2"/>
    <s v="Work"/>
    <s v="KAMPALA"/>
    <s v="KAMPALA"/>
    <s v="UG"/>
    <n v="4"/>
    <s v="Commercial"/>
    <x v="17"/>
    <n v="15000"/>
    <n v="170"/>
    <x v="2"/>
    <n v="2"/>
    <x v="0"/>
    <n v="6"/>
    <s v="Businessman"/>
    <n v="3"/>
    <x v="1"/>
    <n v="3"/>
    <n v="5"/>
    <n v="4"/>
    <n v="1"/>
    <n v="2"/>
    <s v="Y"/>
    <n v="1000"/>
    <x v="4"/>
  </r>
  <r>
    <d v="2019-10-26T00:00:00"/>
    <d v="1899-12-30T10:26:00"/>
    <m/>
    <s v="D"/>
    <n v="2"/>
    <s v="Road Vehicle"/>
    <n v="4"/>
    <x v="3"/>
    <x v="0"/>
    <n v="1"/>
    <x v="0"/>
    <s v="HIOMA"/>
    <s v="HIOMA"/>
    <s v="UG"/>
    <n v="4"/>
    <s v="Commercial"/>
    <s v="HIOMA"/>
    <s v="HIOMA"/>
    <s v="UG"/>
    <n v="1"/>
    <s v="Home"/>
    <x v="3"/>
    <n v="350000"/>
    <n v="400"/>
    <x v="3"/>
    <n v="8"/>
    <x v="2"/>
    <n v="8"/>
    <s v="Student"/>
    <n v="3"/>
    <x v="1"/>
    <n v="5"/>
    <n v="1"/>
    <n v="3"/>
    <n v="2"/>
    <n v="4"/>
    <s v="Y"/>
    <n v="2000"/>
    <x v="1"/>
  </r>
  <r>
    <d v="2019-10-26T00:00:00"/>
    <d v="1899-12-30T09:20:00"/>
    <m/>
    <s v="P"/>
    <n v="2"/>
    <s v="Road Vehicle"/>
    <n v="4"/>
    <x v="3"/>
    <x v="0"/>
    <n v="1"/>
    <x v="0"/>
    <s v="HIOMA"/>
    <s v="HIOMA"/>
    <s v="UG"/>
    <n v="1"/>
    <s v="Home"/>
    <s v="KAMPALA"/>
    <s v="KAMPALA"/>
    <s v="UG"/>
    <n v="2"/>
    <s v="Work"/>
    <x v="1"/>
    <n v="5000"/>
    <n v="30"/>
    <x v="4"/>
    <n v="1"/>
    <x v="1"/>
    <n v="4"/>
    <s v="Office Worker"/>
    <n v="3"/>
    <x v="1"/>
    <n v="2"/>
    <n v="1"/>
    <n v="4"/>
    <n v="3"/>
    <n v="5"/>
    <s v="Y"/>
    <n v="3000"/>
    <x v="0"/>
  </r>
  <r>
    <d v="2019-10-26T00:00:00"/>
    <d v="1899-12-30T08:42:00"/>
    <m/>
    <s v="D"/>
    <n v="2"/>
    <s v="Road Vehicle"/>
    <n v="4"/>
    <x v="3"/>
    <x v="0"/>
    <n v="1"/>
    <x v="0"/>
    <s v="HIOMA"/>
    <s v="HIOMA"/>
    <s v="UG"/>
    <n v="1"/>
    <s v="Home"/>
    <s v="KAMPALA"/>
    <s v="KAMPALA"/>
    <s v="UG"/>
    <n v="2"/>
    <s v="Work"/>
    <x v="1"/>
    <n v="170000"/>
    <n v="192"/>
    <x v="2"/>
    <n v="3"/>
    <x v="0"/>
    <n v="10"/>
    <s v="Other"/>
    <n v="2"/>
    <x v="3"/>
    <n v="1"/>
    <n v="2"/>
    <n v="5"/>
    <n v="4"/>
    <n v="5"/>
    <s v="Y"/>
    <m/>
    <x v="3"/>
  </r>
  <r>
    <d v="2019-10-24T00:00:00"/>
    <d v="1899-12-30T17:43:00"/>
    <m/>
    <s v="P"/>
    <n v="2"/>
    <s v="Road Vehicle"/>
    <n v="1"/>
    <x v="0"/>
    <x v="0"/>
    <n v="2"/>
    <x v="1"/>
    <s v="HIOMA"/>
    <s v="HIOMA"/>
    <s v="UG"/>
    <n v="2"/>
    <s v="Work"/>
    <s v="KARANGWALI"/>
    <s v="KIKUUBE"/>
    <s v="UG"/>
    <n v="8"/>
    <s v="Others"/>
    <x v="19"/>
    <n v="15000"/>
    <m/>
    <x v="0"/>
    <n v="2"/>
    <x v="0"/>
    <n v="4"/>
    <s v="Office Worker"/>
    <n v="2"/>
    <x v="3"/>
    <n v="5"/>
    <n v="4"/>
    <n v="1"/>
    <n v="2"/>
    <n v="3"/>
    <s v="Y"/>
    <n v="5000"/>
    <x v="2"/>
  </r>
  <r>
    <d v="2019-10-24T00:00:00"/>
    <d v="1899-12-30T08:13:00"/>
    <m/>
    <s v="D"/>
    <n v="2"/>
    <s v="Road Vehicle"/>
    <n v="1"/>
    <x v="0"/>
    <x v="0"/>
    <n v="2"/>
    <x v="1"/>
    <s v="HIOMA"/>
    <s v="HIOMA"/>
    <s v="UG"/>
    <n v="1"/>
    <s v="Home"/>
    <s v="BULIISA"/>
    <s v="BULIISA"/>
    <s v="UG"/>
    <n v="2"/>
    <s v="Work"/>
    <x v="1"/>
    <n v="80000"/>
    <n v="76"/>
    <x v="1"/>
    <n v="2"/>
    <x v="0"/>
    <n v="5"/>
    <s v="Professional"/>
    <n v="3"/>
    <x v="1"/>
    <n v="2"/>
    <n v="3"/>
    <n v="5"/>
    <n v="1"/>
    <n v="4"/>
    <s v="Y"/>
    <n v="1000"/>
    <x v="4"/>
  </r>
  <r>
    <d v="2019-10-25T00:00:00"/>
    <d v="1899-12-30T13:59:00"/>
    <m/>
    <s v="D"/>
    <n v="2"/>
    <s v="Road Vehicle"/>
    <n v="1"/>
    <x v="0"/>
    <x v="0"/>
    <n v="2"/>
    <x v="1"/>
    <s v="HIOMA"/>
    <s v="HIOMA"/>
    <s v="UG"/>
    <n v="1"/>
    <s v="Home"/>
    <s v="BULIISA"/>
    <s v="BULIISA"/>
    <s v="UG"/>
    <n v="2"/>
    <s v="Work"/>
    <x v="1"/>
    <n v="80000"/>
    <n v="79"/>
    <x v="1"/>
    <n v="2"/>
    <x v="0"/>
    <n v="5"/>
    <s v="Professional"/>
    <n v="3"/>
    <x v="1"/>
    <n v="2"/>
    <n v="3"/>
    <n v="1"/>
    <n v="4"/>
    <n v="5"/>
    <s v="Y"/>
    <n v="5000"/>
    <x v="2"/>
  </r>
  <r>
    <d v="2019-10-25T00:00:00"/>
    <d v="1899-12-30T17:48:00"/>
    <m/>
    <s v="D"/>
    <n v="2"/>
    <s v="Road Vehicle"/>
    <n v="1"/>
    <x v="0"/>
    <x v="0"/>
    <n v="2"/>
    <x v="1"/>
    <s v="HIOMA"/>
    <s v="HIOMA"/>
    <s v="UG"/>
    <n v="1"/>
    <s v="Home"/>
    <s v="KAMPALA"/>
    <s v="KAMPALA"/>
    <s v="UG"/>
    <n v="2"/>
    <s v="Work"/>
    <x v="1"/>
    <n v="90000"/>
    <n v="175"/>
    <x v="2"/>
    <n v="3"/>
    <x v="0"/>
    <n v="2"/>
    <s v="Manual Labour"/>
    <n v="2"/>
    <x v="3"/>
    <n v="2"/>
    <n v="4"/>
    <n v="1"/>
    <n v="2"/>
    <n v="2"/>
    <s v="Y"/>
    <n v="5000"/>
    <x v="2"/>
  </r>
  <r>
    <d v="2019-10-25T00:00:00"/>
    <d v="1899-12-30T08:50:00"/>
    <m/>
    <s v="P"/>
    <n v="2"/>
    <s v="Road Vehicle"/>
    <n v="1"/>
    <x v="0"/>
    <x v="0"/>
    <n v="2"/>
    <x v="1"/>
    <s v="HIOMA"/>
    <s v="HIOMA"/>
    <s v="UG"/>
    <n v="1"/>
    <s v="Home"/>
    <s v="KABWOGA"/>
    <s v="KIKUUBE"/>
    <s v="UG"/>
    <n v="2"/>
    <s v="Work"/>
    <x v="1"/>
    <n v="7000"/>
    <n v="32"/>
    <x v="4"/>
    <n v="1"/>
    <x v="1"/>
    <n v="2"/>
    <s v="Manual Labour"/>
    <n v="2"/>
    <x v="3"/>
    <n v="2"/>
    <n v="3"/>
    <n v="5"/>
    <n v="1"/>
    <n v="4"/>
    <s v="Y"/>
    <n v="2000"/>
    <x v="1"/>
  </r>
  <r>
    <d v="2019-10-25T00:00:00"/>
    <d v="1899-12-30T08:15:00"/>
    <m/>
    <s v="P"/>
    <n v="2"/>
    <s v="Road Vehicle"/>
    <n v="1"/>
    <x v="0"/>
    <x v="0"/>
    <n v="2"/>
    <x v="1"/>
    <s v="HIOMA"/>
    <s v="HIOMA"/>
    <s v="UG"/>
    <n v="1"/>
    <s v="Home"/>
    <s v="KIBOGA"/>
    <s v="KIBOGA"/>
    <s v="UG"/>
    <n v="2"/>
    <s v="Work"/>
    <x v="1"/>
    <n v="70000"/>
    <m/>
    <x v="0"/>
    <n v="1"/>
    <x v="1"/>
    <n v="5"/>
    <s v="Professional"/>
    <n v="3"/>
    <x v="1"/>
    <n v="2"/>
    <n v="2"/>
    <n v="1"/>
    <n v="4"/>
    <n v="4"/>
    <s v="Y"/>
    <n v="1000"/>
    <x v="4"/>
  </r>
  <r>
    <d v="2019-10-25T00:00:00"/>
    <d v="1899-12-30T09:50:00"/>
    <m/>
    <s v="D"/>
    <n v="2"/>
    <s v="Road Vehicle"/>
    <n v="1"/>
    <x v="0"/>
    <x v="0"/>
    <n v="2"/>
    <x v="1"/>
    <s v="HIOMA"/>
    <s v="HIOMA"/>
    <s v="UG"/>
    <n v="1"/>
    <s v="Home"/>
    <s v="MASINDI"/>
    <s v="MASINDI"/>
    <s v="UG"/>
    <n v="2"/>
    <s v="Work"/>
    <x v="1"/>
    <n v="40000"/>
    <n v="35"/>
    <x v="4"/>
    <n v="2"/>
    <x v="0"/>
    <n v="5"/>
    <s v="Professional"/>
    <n v="2"/>
    <x v="3"/>
    <n v="3"/>
    <n v="4"/>
    <n v="2"/>
    <n v="1"/>
    <n v="5"/>
    <s v="Y"/>
    <n v="5000"/>
    <x v="2"/>
  </r>
  <r>
    <d v="2019-10-25T00:00:00"/>
    <d v="1899-12-30T10:15:00"/>
    <m/>
    <s v="D"/>
    <n v="2"/>
    <s v="Road Vehicle"/>
    <n v="1"/>
    <x v="0"/>
    <x v="0"/>
    <n v="2"/>
    <x v="1"/>
    <s v="HIOMA"/>
    <s v="HIOMA"/>
    <s v="UG"/>
    <n v="1"/>
    <s v="Home"/>
    <s v="MASINDI"/>
    <s v="MASINDI"/>
    <s v="UG"/>
    <n v="2"/>
    <s v="Work"/>
    <x v="1"/>
    <n v="5000"/>
    <n v="40"/>
    <x v="5"/>
    <n v="2"/>
    <x v="0"/>
    <n v="5"/>
    <s v="Professional"/>
    <n v="4"/>
    <x v="0"/>
    <n v="4"/>
    <n v="2"/>
    <n v="1"/>
    <n v="4"/>
    <n v="5"/>
    <s v="Y"/>
    <n v="5000"/>
    <x v="2"/>
  </r>
  <r>
    <d v="2019-10-25T00:00:00"/>
    <d v="1899-12-30T11:41:00"/>
    <m/>
    <s v="D"/>
    <n v="2"/>
    <s v="Road Vehicle"/>
    <n v="1"/>
    <x v="0"/>
    <x v="0"/>
    <n v="2"/>
    <x v="1"/>
    <s v="HIOMA"/>
    <s v="HIOMA"/>
    <s v="UG"/>
    <n v="1"/>
    <s v="Home"/>
    <s v="KABAALE"/>
    <s v="HIOMA"/>
    <s v="UG"/>
    <n v="2"/>
    <s v="Work"/>
    <x v="1"/>
    <n v="30000"/>
    <n v="45"/>
    <x v="5"/>
    <n v="1"/>
    <x v="1"/>
    <n v="5"/>
    <s v="Professional"/>
    <n v="2"/>
    <x v="3"/>
    <n v="3"/>
    <n v="5"/>
    <n v="4"/>
    <n v="2"/>
    <n v="1"/>
    <s v="Y"/>
    <n v="1000"/>
    <x v="4"/>
  </r>
  <r>
    <d v="2019-10-25T00:00:00"/>
    <d v="1899-12-30T16:48:00"/>
    <m/>
    <s v="P"/>
    <n v="2"/>
    <s v="Road Vehicle"/>
    <n v="1"/>
    <x v="0"/>
    <x v="0"/>
    <n v="2"/>
    <x v="1"/>
    <s v="HIOMA"/>
    <s v="HIOMA"/>
    <s v="UG"/>
    <n v="1"/>
    <s v="Home"/>
    <s v="KABWOGA"/>
    <s v="KIKUUBE"/>
    <s v="UG"/>
    <n v="2"/>
    <s v="Work"/>
    <x v="1"/>
    <n v="7000"/>
    <n v="25"/>
    <x v="4"/>
    <n v="1"/>
    <x v="1"/>
    <n v="6"/>
    <s v="Businessman"/>
    <n v="3"/>
    <x v="1"/>
    <n v="1"/>
    <n v="2"/>
    <n v="4"/>
    <n v="5"/>
    <n v="3"/>
    <s v="Y"/>
    <n v="3000"/>
    <x v="0"/>
  </r>
  <r>
    <d v="2019-10-25T00:00:00"/>
    <d v="1899-12-30T09:00:00"/>
    <m/>
    <s v="P"/>
    <n v="2"/>
    <s v="Road Vehicle"/>
    <n v="1"/>
    <x v="0"/>
    <x v="0"/>
    <n v="2"/>
    <x v="1"/>
    <s v="HIOMA"/>
    <s v="HIOMA"/>
    <s v="UG"/>
    <n v="1"/>
    <s v="Home"/>
    <s v="HIOMA"/>
    <s v="KIKUUBE"/>
    <s v="UG"/>
    <n v="2"/>
    <s v="Work"/>
    <x v="1"/>
    <n v="7000"/>
    <n v="30"/>
    <x v="4"/>
    <n v="1"/>
    <x v="1"/>
    <n v="5"/>
    <s v="Professional"/>
    <n v="1"/>
    <x v="2"/>
    <n v="2"/>
    <n v="3"/>
    <n v="5"/>
    <n v="1"/>
    <n v="4"/>
    <s v="Y"/>
    <n v="1000"/>
    <x v="4"/>
  </r>
  <r>
    <d v="2019-10-24T00:00:00"/>
    <d v="1899-12-30T18:09:00"/>
    <m/>
    <s v="P"/>
    <n v="2"/>
    <s v="Road Vehicle"/>
    <n v="6"/>
    <x v="1"/>
    <x v="1"/>
    <n v="2"/>
    <x v="1"/>
    <s v="HIOMA"/>
    <s v="HIOMA"/>
    <s v="UG"/>
    <n v="8"/>
    <s v="Others"/>
    <s v="KAISO"/>
    <s v="KAISO"/>
    <s v="UG"/>
    <n v="1"/>
    <s v="Home"/>
    <x v="12"/>
    <n v="9000"/>
    <n v="120"/>
    <x v="2"/>
    <n v="2"/>
    <x v="0"/>
    <n v="7"/>
    <s v="Farmer"/>
    <n v="3"/>
    <x v="1"/>
    <n v="1"/>
    <n v="2"/>
    <n v="3"/>
    <n v="4"/>
    <n v="5"/>
    <s v="Y"/>
    <m/>
    <x v="3"/>
  </r>
  <r>
    <d v="2019-10-24T00:00:00"/>
    <d v="1899-12-30T15:49:00"/>
    <m/>
    <s v="P"/>
    <n v="2"/>
    <s v="Road Vehicle"/>
    <n v="6"/>
    <x v="1"/>
    <x v="1"/>
    <n v="2"/>
    <x v="1"/>
    <s v="HIOMA"/>
    <s v="HIOMA"/>
    <s v="UG"/>
    <n v="2"/>
    <s v="Work"/>
    <s v="KAMPALA"/>
    <s v="KAMPALA"/>
    <s v="UG"/>
    <n v="6"/>
    <s v="Leisure/Social"/>
    <x v="5"/>
    <n v="13000"/>
    <n v="190"/>
    <x v="2"/>
    <n v="3"/>
    <x v="0"/>
    <n v="6"/>
    <s v="Businessman"/>
    <n v="3"/>
    <x v="1"/>
    <n v="3"/>
    <n v="4"/>
    <n v="5"/>
    <n v="2"/>
    <n v="1"/>
    <s v="Y"/>
    <m/>
    <x v="3"/>
  </r>
  <r>
    <d v="2019-10-24T00:00:00"/>
    <d v="1899-12-30T15:40:00"/>
    <m/>
    <s v="P"/>
    <n v="2"/>
    <s v="Road Vehicle"/>
    <n v="6"/>
    <x v="1"/>
    <x v="1"/>
    <n v="2"/>
    <x v="1"/>
    <s v="HIOMA"/>
    <s v="HIOMA"/>
    <s v="UG"/>
    <n v="6"/>
    <s v="Leisure/Social"/>
    <s v="KIRONDE"/>
    <s v="BUSUJJU"/>
    <s v="UG"/>
    <n v="4"/>
    <s v="Commercial"/>
    <x v="21"/>
    <n v="12000"/>
    <n v="190"/>
    <x v="2"/>
    <n v="1"/>
    <x v="1"/>
    <n v="2"/>
    <s v="Manual Labour"/>
    <n v="4"/>
    <x v="0"/>
    <n v="2"/>
    <n v="1"/>
    <n v="3"/>
    <n v="5"/>
    <n v="4"/>
    <s v="Y"/>
    <m/>
    <x v="3"/>
  </r>
  <r>
    <d v="2019-10-24T00:00:00"/>
    <d v="1899-12-30T15:02:00"/>
    <m/>
    <s v="P"/>
    <n v="2"/>
    <s v="Road Vehicle"/>
    <n v="6"/>
    <x v="1"/>
    <x v="1"/>
    <n v="2"/>
    <x v="1"/>
    <s v="HIOMA"/>
    <s v="HIOMA"/>
    <s v="UG"/>
    <n v="2"/>
    <s v="Work"/>
    <s v="KAMPALA"/>
    <s v="KAMPALA"/>
    <s v="UG"/>
    <n v="1"/>
    <s v="Home"/>
    <x v="4"/>
    <n v="13000"/>
    <n v="200"/>
    <x v="3"/>
    <n v="4"/>
    <x v="2"/>
    <n v="7"/>
    <s v="Farmer"/>
    <n v="3"/>
    <x v="1"/>
    <n v="1"/>
    <n v="3"/>
    <n v="2"/>
    <n v="4"/>
    <n v="5"/>
    <s v="Y"/>
    <n v="2000"/>
    <x v="1"/>
  </r>
  <r>
    <d v="2019-10-24T00:00:00"/>
    <d v="1899-12-30T14:13:00"/>
    <m/>
    <s v="P"/>
    <n v="2"/>
    <s v="Road Vehicle"/>
    <n v="6"/>
    <x v="1"/>
    <x v="1"/>
    <n v="2"/>
    <x v="1"/>
    <s v="HIOMA"/>
    <s v="HIOMA"/>
    <s v="UG"/>
    <n v="2"/>
    <s v="Work"/>
    <s v="KAMPALA"/>
    <s v="KAMPALA"/>
    <s v="UG"/>
    <n v="1"/>
    <s v="Home"/>
    <x v="4"/>
    <n v="13000"/>
    <n v="200"/>
    <x v="3"/>
    <n v="3"/>
    <x v="0"/>
    <n v="5"/>
    <s v="Professional"/>
    <n v="2"/>
    <x v="3"/>
    <n v="5"/>
    <n v="2"/>
    <n v="1"/>
    <n v="3"/>
    <n v="4"/>
    <s v="Y"/>
    <n v="1000"/>
    <x v="4"/>
  </r>
  <r>
    <d v="2019-10-24T00:00:00"/>
    <d v="1899-12-30T23:44:00"/>
    <m/>
    <s v="P"/>
    <n v="2"/>
    <s v="Road Vehicle"/>
    <n v="6"/>
    <x v="1"/>
    <x v="1"/>
    <n v="2"/>
    <x v="1"/>
    <s v="HIOMA"/>
    <s v="HIOMA"/>
    <s v="UG"/>
    <n v="2"/>
    <s v="Work"/>
    <s v="KAMPALA"/>
    <s v="KAMPALA"/>
    <s v="UG"/>
    <n v="1"/>
    <s v="Home"/>
    <x v="4"/>
    <n v="130000"/>
    <n v="190"/>
    <x v="2"/>
    <n v="3"/>
    <x v="0"/>
    <n v="3"/>
    <s v="Artisan/Domestic"/>
    <n v="4"/>
    <x v="0"/>
    <n v="1"/>
    <n v="2"/>
    <n v="3"/>
    <n v="2"/>
    <n v="4"/>
    <s v="Y"/>
    <n v="1000"/>
    <x v="4"/>
  </r>
  <r>
    <d v="2019-10-24T00:00:00"/>
    <d v="1899-12-30T18:42:00"/>
    <m/>
    <s v="P"/>
    <n v="2"/>
    <s v="Road Vehicle"/>
    <n v="6"/>
    <x v="1"/>
    <x v="0"/>
    <n v="2"/>
    <x v="1"/>
    <s v="HIOMA"/>
    <s v="HIOMA"/>
    <s v="UG"/>
    <n v="3"/>
    <s v="Study"/>
    <s v="KAISO"/>
    <s v="KAISO"/>
    <s v="UG"/>
    <n v="2"/>
    <s v="Work"/>
    <x v="22"/>
    <n v="8000"/>
    <n v="120"/>
    <x v="2"/>
    <n v="2"/>
    <x v="0"/>
    <n v="6"/>
    <s v="Businessman"/>
    <n v="3"/>
    <x v="1"/>
    <n v="1"/>
    <n v="2"/>
    <n v="4"/>
    <n v="3"/>
    <n v="5"/>
    <s v="Y"/>
    <m/>
    <x v="3"/>
  </r>
  <r>
    <d v="2019-10-24T00:00:00"/>
    <d v="1899-12-30T16:46:00"/>
    <m/>
    <s v="D"/>
    <n v="2"/>
    <s v="Road Vehicle"/>
    <n v="6"/>
    <x v="1"/>
    <x v="0"/>
    <n v="2"/>
    <x v="1"/>
    <s v="HIOMA"/>
    <s v="HIOMA"/>
    <s v="UG"/>
    <n v="1"/>
    <s v="Home"/>
    <s v="MASINDI"/>
    <s v="MASINDI"/>
    <s v="UG"/>
    <n v="2"/>
    <s v="Work"/>
    <x v="1"/>
    <n v="650000"/>
    <n v="130"/>
    <x v="2"/>
    <n v="2"/>
    <x v="0"/>
    <n v="10"/>
    <s v="Other"/>
    <n v="4"/>
    <x v="0"/>
    <n v="1"/>
    <n v="3"/>
    <n v="2"/>
    <n v="5"/>
    <n v="4"/>
    <s v="Y"/>
    <n v="1000"/>
    <x v="4"/>
  </r>
  <r>
    <d v="2019-10-24T00:00:00"/>
    <d v="1899-12-30T12:36:00"/>
    <m/>
    <s v="D"/>
    <n v="2"/>
    <s v="Road Vehicle"/>
    <n v="6"/>
    <x v="1"/>
    <x v="0"/>
    <n v="2"/>
    <x v="1"/>
    <s v="HIOMA"/>
    <s v="HIOMA"/>
    <s v="UG"/>
    <n v="2"/>
    <s v="Work"/>
    <s v="ARUA"/>
    <s v="ARUA"/>
    <s v="UG"/>
    <n v="1"/>
    <s v="Home"/>
    <x v="4"/>
    <n v="700000"/>
    <n v="390"/>
    <x v="3"/>
    <n v="8"/>
    <x v="2"/>
    <n v="10"/>
    <s v="Other"/>
    <n v="3"/>
    <x v="1"/>
    <n v="2"/>
    <n v="5"/>
    <n v="3"/>
    <n v="1"/>
    <n v="4"/>
    <s v="Y"/>
    <m/>
    <x v="3"/>
  </r>
  <r>
    <d v="2019-10-24T00:00:00"/>
    <d v="1899-12-30T15:50:00"/>
    <m/>
    <s v="P"/>
    <n v="2"/>
    <s v="Road Vehicle"/>
    <n v="6"/>
    <x v="1"/>
    <x v="0"/>
    <n v="2"/>
    <x v="1"/>
    <s v="HIOMA"/>
    <s v="HIOMA"/>
    <s v="UG"/>
    <n v="8"/>
    <s v="Others"/>
    <s v="KAMPALA"/>
    <s v="KAMPALA"/>
    <s v="UG"/>
    <n v="2"/>
    <s v="Work"/>
    <x v="14"/>
    <n v="13000"/>
    <m/>
    <x v="0"/>
    <n v="3"/>
    <x v="0"/>
    <n v="5"/>
    <s v="Professional"/>
    <n v="3"/>
    <x v="1"/>
    <n v="4"/>
    <n v="5"/>
    <n v="1"/>
    <n v="2"/>
    <n v="3"/>
    <s v="Y"/>
    <n v="2000"/>
    <x v="1"/>
  </r>
  <r>
    <d v="2019-10-25T00:00:00"/>
    <d v="1899-12-30T08:08:00"/>
    <m/>
    <s v="P"/>
    <n v="2"/>
    <s v="Road Vehicle"/>
    <n v="6"/>
    <x v="1"/>
    <x v="0"/>
    <n v="2"/>
    <x v="1"/>
    <s v="HIOMA"/>
    <s v="HIOMA"/>
    <s v="UG"/>
    <n v="1"/>
    <s v="Home"/>
    <s v="KYANKWENZI"/>
    <s v="KIKUUBE"/>
    <s v="UG"/>
    <n v="2"/>
    <s v="Work"/>
    <x v="1"/>
    <n v="10000"/>
    <n v="135"/>
    <x v="2"/>
    <n v="2"/>
    <x v="0"/>
    <n v="4"/>
    <s v="Office Worker"/>
    <n v="4"/>
    <x v="0"/>
    <n v="2"/>
    <n v="3"/>
    <n v="5"/>
    <n v="4"/>
    <n v="1"/>
    <s v="Y"/>
    <n v="2000"/>
    <x v="1"/>
  </r>
  <r>
    <d v="2019-10-25T00:00:00"/>
    <d v="1899-12-30T08:08:00"/>
    <m/>
    <s v="P"/>
    <n v="2"/>
    <s v="Road Vehicle"/>
    <n v="6"/>
    <x v="1"/>
    <x v="0"/>
    <n v="2"/>
    <x v="1"/>
    <s v="HIOMA"/>
    <s v="HIOMA"/>
    <s v="UG"/>
    <n v="1"/>
    <s v="Home"/>
    <s v="KYANKWENZI"/>
    <s v="KIKUUBE"/>
    <s v="UG"/>
    <n v="2"/>
    <s v="Work"/>
    <x v="1"/>
    <n v="10000"/>
    <n v="135"/>
    <x v="2"/>
    <n v="2"/>
    <x v="0"/>
    <n v="6"/>
    <s v="Businessman"/>
    <n v="4"/>
    <x v="0"/>
    <n v="2"/>
    <n v="3"/>
    <n v="4"/>
    <n v="1"/>
    <n v="5"/>
    <s v="Y"/>
    <n v="1000"/>
    <x v="4"/>
  </r>
  <r>
    <d v="2019-10-25T00:00:00"/>
    <d v="1899-12-30T18:12:00"/>
    <m/>
    <s v="P"/>
    <n v="2"/>
    <s v="Road Vehicle"/>
    <n v="6"/>
    <x v="1"/>
    <x v="0"/>
    <n v="2"/>
    <x v="1"/>
    <s v="HIOMA"/>
    <s v="HIOMA"/>
    <s v="UG"/>
    <n v="2"/>
    <s v="Work"/>
    <s v="ARUA"/>
    <s v="ARUA"/>
    <s v="UG"/>
    <n v="1"/>
    <s v="Home"/>
    <x v="4"/>
    <n v="35000"/>
    <n v="400"/>
    <x v="3"/>
    <n v="8"/>
    <x v="2"/>
    <n v="6"/>
    <s v="Businessman"/>
    <n v="4"/>
    <x v="0"/>
    <n v="2"/>
    <n v="1"/>
    <n v="5"/>
    <n v="4"/>
    <n v="3"/>
    <s v="Y"/>
    <m/>
    <x v="3"/>
  </r>
  <r>
    <d v="2019-10-25T00:00:00"/>
    <d v="1899-12-30T17:23:00"/>
    <m/>
    <s v="D"/>
    <n v="2"/>
    <s v="Road Vehicle"/>
    <n v="6"/>
    <x v="1"/>
    <x v="0"/>
    <n v="2"/>
    <x v="1"/>
    <s v="HIOMA"/>
    <s v="HIOMA"/>
    <s v="UG"/>
    <n v="2"/>
    <s v="Work"/>
    <s v="ARUA"/>
    <s v="ARUA"/>
    <s v="UG"/>
    <n v="1"/>
    <s v="Home"/>
    <x v="4"/>
    <n v="750000"/>
    <n v="390"/>
    <x v="3"/>
    <n v="7"/>
    <x v="2"/>
    <n v="10"/>
    <s v="Other"/>
    <n v="4"/>
    <x v="0"/>
    <n v="4"/>
    <n v="1"/>
    <n v="2"/>
    <n v="4"/>
    <n v="5"/>
    <s v="Y"/>
    <m/>
    <x v="3"/>
  </r>
  <r>
    <d v="2019-10-25T00:00:00"/>
    <d v="1899-12-30T17:07:00"/>
    <m/>
    <s v="D"/>
    <n v="2"/>
    <s v="Road Vehicle"/>
    <n v="6"/>
    <x v="1"/>
    <x v="0"/>
    <n v="2"/>
    <x v="1"/>
    <s v="HIOMA"/>
    <s v="HIOMA"/>
    <s v="UG"/>
    <n v="2"/>
    <s v="Work"/>
    <s v="KIBUULE"/>
    <s v="KIBUULE"/>
    <s v="UG"/>
    <n v="1"/>
    <s v="Home"/>
    <x v="4"/>
    <n v="15000"/>
    <n v="75"/>
    <x v="1"/>
    <n v="1"/>
    <x v="1"/>
    <n v="4"/>
    <s v="Office Worker"/>
    <n v="3"/>
    <x v="1"/>
    <n v="2"/>
    <n v="1"/>
    <n v="3"/>
    <n v="4"/>
    <n v="5"/>
    <s v="Y"/>
    <n v="6000"/>
    <x v="2"/>
  </r>
  <r>
    <d v="2019-10-25T00:00:00"/>
    <d v="1899-12-30T15:42:00"/>
    <m/>
    <s v="P"/>
    <n v="2"/>
    <s v="Road Vehicle"/>
    <n v="6"/>
    <x v="1"/>
    <x v="0"/>
    <n v="2"/>
    <x v="1"/>
    <s v="HIOMA"/>
    <s v="HIOMA"/>
    <s v="UG"/>
    <n v="2"/>
    <s v="Work"/>
    <s v="KAMPALA"/>
    <s v="KAMPALA"/>
    <s v="UG"/>
    <n v="1"/>
    <s v="Home"/>
    <x v="4"/>
    <n v="130000"/>
    <n v="200"/>
    <x v="3"/>
    <n v="4"/>
    <x v="2"/>
    <n v="4"/>
    <s v="Office Worker"/>
    <n v="3"/>
    <x v="1"/>
    <n v="2"/>
    <n v="1"/>
    <m/>
    <n v="5"/>
    <n v="4"/>
    <s v="Y"/>
    <n v="3000"/>
    <x v="0"/>
  </r>
  <r>
    <d v="2019-10-25T00:00:00"/>
    <d v="1899-12-30T13:00:00"/>
    <m/>
    <s v="D"/>
    <n v="2"/>
    <s v="Road Vehicle"/>
    <n v="6"/>
    <x v="1"/>
    <x v="0"/>
    <n v="2"/>
    <x v="1"/>
    <s v="HIOMA"/>
    <s v="HIOMA"/>
    <s v="UG"/>
    <n v="2"/>
    <s v="Work"/>
    <s v="KAMPALA"/>
    <s v="KAMPALA"/>
    <s v="UG"/>
    <n v="1"/>
    <s v="Home"/>
    <x v="4"/>
    <n v="150000"/>
    <n v="230"/>
    <x v="3"/>
    <n v="5"/>
    <x v="2"/>
    <n v="8"/>
    <s v="Student"/>
    <n v="1"/>
    <x v="2"/>
    <n v="1"/>
    <n v="2"/>
    <n v="3"/>
    <n v="4"/>
    <n v="5"/>
    <s v="Y"/>
    <n v="500"/>
    <x v="3"/>
  </r>
  <r>
    <d v="2019-10-25T00:00:00"/>
    <d v="1899-12-30T12:34:00"/>
    <m/>
    <s v="P"/>
    <n v="2"/>
    <s v="Road Vehicle"/>
    <n v="6"/>
    <x v="1"/>
    <x v="0"/>
    <n v="2"/>
    <x v="1"/>
    <s v="HIOMA"/>
    <s v="HIOMA"/>
    <s v="UG"/>
    <n v="6"/>
    <s v="Leisure/Social"/>
    <s v="KAMPALA"/>
    <s v="KAMPALA"/>
    <s v="UG"/>
    <n v="1"/>
    <s v="Home"/>
    <x v="10"/>
    <n v="120000"/>
    <n v="195"/>
    <x v="2"/>
    <n v="4"/>
    <x v="2"/>
    <n v="8"/>
    <s v="Student"/>
    <n v="1"/>
    <x v="2"/>
    <n v="2"/>
    <n v="1"/>
    <n v="5"/>
    <n v="4"/>
    <n v="3"/>
    <s v="Y"/>
    <n v="1000"/>
    <x v="4"/>
  </r>
  <r>
    <d v="2019-10-25T00:00:00"/>
    <d v="1899-12-30T12:22:00"/>
    <m/>
    <s v="P"/>
    <n v="2"/>
    <s v="Road Vehicle"/>
    <n v="6"/>
    <x v="1"/>
    <x v="0"/>
    <n v="2"/>
    <x v="1"/>
    <s v="HIOMA"/>
    <s v="HIOMA"/>
    <s v="UG"/>
    <n v="1"/>
    <s v="Home"/>
    <s v="KIZIRAFUMBI"/>
    <s v="HIOMA"/>
    <s v="UG"/>
    <n v="2"/>
    <s v="Work"/>
    <x v="1"/>
    <n v="5000"/>
    <n v="70"/>
    <x v="1"/>
    <n v="1"/>
    <x v="1"/>
    <n v="4"/>
    <s v="Office Worker"/>
    <n v="4"/>
    <x v="0"/>
    <n v="2"/>
    <n v="33"/>
    <n v="1"/>
    <n v="4"/>
    <n v="5"/>
    <s v="Y"/>
    <n v="5000"/>
    <x v="2"/>
  </r>
  <r>
    <d v="2019-10-25T00:00:00"/>
    <d v="1899-12-30T12:05:00"/>
    <m/>
    <s v="P"/>
    <n v="2"/>
    <s v="Road Vehicle"/>
    <n v="6"/>
    <x v="1"/>
    <x v="0"/>
    <n v="2"/>
    <x v="1"/>
    <s v="HIOMA"/>
    <s v="HIOMA"/>
    <s v="UG"/>
    <n v="4"/>
    <s v="Commercial"/>
    <s v="BULIISA"/>
    <s v="BULIISA"/>
    <s v="UG"/>
    <n v="1"/>
    <s v="Home"/>
    <x v="3"/>
    <n v="15000"/>
    <n v="120"/>
    <x v="2"/>
    <n v="2"/>
    <x v="0"/>
    <n v="6"/>
    <s v="Businessman"/>
    <n v="4"/>
    <x v="0"/>
    <n v="5"/>
    <n v="21"/>
    <n v="2"/>
    <n v="3"/>
    <n v="4"/>
    <s v="Y"/>
    <n v="1000"/>
    <x v="4"/>
  </r>
  <r>
    <d v="2019-10-25T00:00:00"/>
    <d v="1899-12-30T19:04:00"/>
    <m/>
    <s v="P"/>
    <n v="2"/>
    <s v="Road Vehicle"/>
    <n v="6"/>
    <x v="1"/>
    <x v="0"/>
    <n v="2"/>
    <x v="1"/>
    <s v="HIOMA"/>
    <s v="HIOMA"/>
    <s v="UG"/>
    <n v="1"/>
    <s v="Home"/>
    <s v="KAISO"/>
    <s v="KIBUULE"/>
    <s v="UG"/>
    <n v="2"/>
    <s v="Work"/>
    <x v="1"/>
    <n v="150000"/>
    <n v="150"/>
    <x v="2"/>
    <n v="2"/>
    <x v="0"/>
    <n v="2"/>
    <s v="Manual Labour"/>
    <n v="1"/>
    <x v="2"/>
    <n v="5"/>
    <n v="4"/>
    <n v="1"/>
    <n v="2"/>
    <n v="3"/>
    <s v="Y"/>
    <n v="2000"/>
    <x v="1"/>
  </r>
  <r>
    <d v="2019-10-25T00:00:00"/>
    <d v="1899-12-30T11:35:00"/>
    <m/>
    <s v="D"/>
    <n v="2"/>
    <s v="Road Vehicle"/>
    <n v="6"/>
    <x v="1"/>
    <x v="0"/>
    <n v="2"/>
    <x v="1"/>
    <s v="HIOMA"/>
    <s v="HIOMA"/>
    <s v="UG"/>
    <n v="2"/>
    <s v="Work"/>
    <s v="KAMPALA"/>
    <s v="KAMPALA"/>
    <s v="UG"/>
    <n v="1"/>
    <s v="Home"/>
    <x v="4"/>
    <n v="650000"/>
    <n v="190"/>
    <x v="2"/>
    <n v="4"/>
    <x v="2"/>
    <n v="10"/>
    <s v="Other"/>
    <n v="4"/>
    <x v="0"/>
    <n v="3"/>
    <n v="1"/>
    <n v="2"/>
    <n v="5"/>
    <n v="4"/>
    <s v="Y"/>
    <n v="3000"/>
    <x v="0"/>
  </r>
  <r>
    <d v="2019-10-24T00:00:00"/>
    <d v="1899-12-30T17:16:00"/>
    <m/>
    <s v="P"/>
    <n v="2"/>
    <s v="Road Vehicle"/>
    <n v="4"/>
    <x v="3"/>
    <x v="1"/>
    <n v="2"/>
    <x v="1"/>
    <s v="HIOMA"/>
    <s v="HIOMA"/>
    <s v="UG"/>
    <n v="2"/>
    <s v="Work"/>
    <s v="KYENJOJO"/>
    <s v="HIOMA"/>
    <s v="UG"/>
    <n v="6"/>
    <s v="Leisure/Social"/>
    <x v="5"/>
    <n v="6000"/>
    <n v="30"/>
    <x v="4"/>
    <n v="35"/>
    <x v="2"/>
    <n v="1"/>
    <s v="Unemployed"/>
    <n v="1"/>
    <x v="2"/>
    <n v="1"/>
    <n v="3"/>
    <n v="2"/>
    <n v="5"/>
    <n v="4"/>
    <s v="Y"/>
    <n v="500"/>
    <x v="3"/>
  </r>
  <r>
    <d v="2019-10-24T00:00:00"/>
    <d v="1899-12-30T17:08:00"/>
    <m/>
    <s v="P"/>
    <n v="2"/>
    <s v="Road Vehicle"/>
    <n v="4"/>
    <x v="3"/>
    <x v="1"/>
    <n v="2"/>
    <x v="1"/>
    <s v="HIOMA"/>
    <s v="HIOMA"/>
    <s v="UG"/>
    <n v="2"/>
    <s v="Work"/>
    <s v="KAMPALA"/>
    <s v="KAMPALA"/>
    <s v="UG"/>
    <n v="4"/>
    <s v="Commercial"/>
    <x v="17"/>
    <n v="15000"/>
    <n v="185"/>
    <x v="2"/>
    <n v="4"/>
    <x v="2"/>
    <n v="5"/>
    <s v="Professional"/>
    <n v="3"/>
    <x v="1"/>
    <n v="2"/>
    <n v="1"/>
    <n v="5"/>
    <n v="4"/>
    <n v="3"/>
    <s v="Y"/>
    <n v="2000"/>
    <x v="1"/>
  </r>
  <r>
    <d v="2019-10-24T00:00:00"/>
    <d v="1899-12-30T15:32:00"/>
    <m/>
    <s v="P"/>
    <n v="2"/>
    <s v="Road Vehicle"/>
    <n v="4"/>
    <x v="3"/>
    <x v="1"/>
    <n v="2"/>
    <x v="1"/>
    <s v="HIOMA"/>
    <s v="HIOMA"/>
    <s v="UG"/>
    <n v="2"/>
    <s v="Work"/>
    <s v="KAMPALA"/>
    <s v="KAMPALA"/>
    <s v="UG"/>
    <n v="8"/>
    <s v="Others"/>
    <x v="19"/>
    <n v="15000"/>
    <m/>
    <x v="0"/>
    <n v="4"/>
    <x v="2"/>
    <n v="6"/>
    <s v="Businessman"/>
    <n v="4"/>
    <x v="0"/>
    <n v="2"/>
    <n v="3"/>
    <n v="5"/>
    <n v="4"/>
    <n v="1"/>
    <s v="Y"/>
    <m/>
    <x v="3"/>
  </r>
  <r>
    <d v="2019-10-24T00:00:00"/>
    <s v=" 15:44"/>
    <m/>
    <s v="P"/>
    <n v="2"/>
    <s v="Road Vehicle"/>
    <n v="4"/>
    <x v="3"/>
    <x v="1"/>
    <n v="2"/>
    <x v="1"/>
    <s v="HIOMA"/>
    <s v="HIOMA"/>
    <s v="UG"/>
    <n v="4"/>
    <s v="Commercial"/>
    <s v="KAKIRI"/>
    <s v="WAKISO"/>
    <s v="UG"/>
    <n v="4"/>
    <s v="Commercial"/>
    <x v="18"/>
    <n v="13000"/>
    <m/>
    <x v="0"/>
    <n v="3"/>
    <x v="0"/>
    <n v="6"/>
    <s v="Businessman"/>
    <n v="5"/>
    <x v="4"/>
    <n v="2"/>
    <n v="3"/>
    <n v="1"/>
    <n v="4"/>
    <n v="5"/>
    <s v="Y"/>
    <n v="3000"/>
    <x v="0"/>
  </r>
  <r>
    <d v="2019-10-24T00:00:00"/>
    <d v="1899-12-30T17:57:00"/>
    <m/>
    <s v="P"/>
    <n v="2"/>
    <s v="Road Vehicle"/>
    <n v="4"/>
    <x v="3"/>
    <x v="1"/>
    <n v="2"/>
    <x v="1"/>
    <s v="HIOMA"/>
    <s v="HIOMA"/>
    <s v="UG"/>
    <n v="8"/>
    <s v="Others"/>
    <s v="HIOMA"/>
    <s v="HIOMA"/>
    <s v="UG"/>
    <n v="1"/>
    <s v="Home"/>
    <x v="12"/>
    <n v="5000"/>
    <m/>
    <x v="0"/>
    <n v="1"/>
    <x v="1"/>
    <n v="4"/>
    <s v="Office Worker"/>
    <n v="3"/>
    <x v="1"/>
    <n v="4"/>
    <n v="5"/>
    <n v="3"/>
    <n v="1"/>
    <n v="2"/>
    <s v="Y"/>
    <n v="4000"/>
    <x v="0"/>
  </r>
  <r>
    <d v="2019-10-24T00:00:00"/>
    <d v="1899-12-30T19:02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1"/>
    <s v="Home"/>
    <x v="3"/>
    <n v="150000"/>
    <n v="200"/>
    <x v="3"/>
    <n v="3"/>
    <x v="0"/>
    <n v="4"/>
    <s v="Office Worker"/>
    <n v="3"/>
    <x v="1"/>
    <n v="2"/>
    <n v="1"/>
    <n v="3"/>
    <n v="5"/>
    <n v="4"/>
    <s v="Y"/>
    <n v="2000"/>
    <x v="1"/>
  </r>
  <r>
    <d v="2019-10-24T00:00:00"/>
    <d v="1899-12-30T18:50:00"/>
    <m/>
    <s v="D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60000"/>
    <n v="200"/>
    <x v="3"/>
    <n v="3"/>
    <x v="0"/>
    <n v="10"/>
    <s v="Other"/>
    <n v="3"/>
    <x v="1"/>
    <n v="2"/>
    <n v="5"/>
    <n v="4"/>
    <n v="3"/>
    <n v="1"/>
    <s v="Y"/>
    <m/>
    <x v="3"/>
  </r>
  <r>
    <d v="2019-10-24T00:00:00"/>
    <d v="1899-12-30T18:18:00"/>
    <m/>
    <s v="D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80000"/>
    <n v="196"/>
    <x v="2"/>
    <n v="3"/>
    <x v="0"/>
    <n v="10"/>
    <s v="Other"/>
    <n v="4"/>
    <x v="0"/>
    <n v="5"/>
    <n v="4"/>
    <n v="3"/>
    <n v="2"/>
    <n v="1"/>
    <s v="Y"/>
    <n v="1000"/>
    <x v="4"/>
  </r>
  <r>
    <d v="2019-10-24T00:00:00"/>
    <d v="1899-12-30T17:42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160000"/>
    <n v="190"/>
    <x v="2"/>
    <n v="3"/>
    <x v="0"/>
    <n v="10"/>
    <s v="Other"/>
    <n v="3"/>
    <x v="1"/>
    <n v="3"/>
    <n v="5"/>
    <n v="4"/>
    <n v="1"/>
    <n v="2"/>
    <s v="Y"/>
    <m/>
    <x v="3"/>
  </r>
  <r>
    <d v="2019-10-24T00:00:00"/>
    <d v="1899-12-30T17:32:00"/>
    <m/>
    <s v="P"/>
    <n v="2"/>
    <s v="Road Vehicle"/>
    <n v="4"/>
    <x v="3"/>
    <x v="0"/>
    <n v="2"/>
    <x v="1"/>
    <s v="HIOMA"/>
    <s v="HIOMA"/>
    <s v="UG"/>
    <n v="3"/>
    <s v="Study"/>
    <s v="KAMPALA"/>
    <s v="KAMPALA"/>
    <s v="UG"/>
    <n v="2"/>
    <s v="Work"/>
    <x v="22"/>
    <n v="150000"/>
    <n v="200"/>
    <x v="3"/>
    <n v="3"/>
    <x v="0"/>
    <n v="4"/>
    <s v="Office Worker"/>
    <n v="3"/>
    <x v="1"/>
    <n v="2"/>
    <n v="1"/>
    <n v="5"/>
    <n v="3"/>
    <n v="4"/>
    <s v="Y"/>
    <n v="5000"/>
    <x v="2"/>
  </r>
  <r>
    <d v="2019-10-24T00:00:00"/>
    <d v="1899-12-30T16:55:00"/>
    <m/>
    <s v="P"/>
    <n v="2"/>
    <s v="Road Vehicle"/>
    <n v="4"/>
    <x v="3"/>
    <x v="0"/>
    <n v="2"/>
    <x v="1"/>
    <s v="HIOMA"/>
    <s v="HIOMA"/>
    <s v="UG"/>
    <n v="2"/>
    <s v="Work"/>
    <s v="KAMPALA"/>
    <s v="KAMPALA"/>
    <s v="UG"/>
    <n v="7"/>
    <s v="Hospital"/>
    <x v="23"/>
    <n v="200000"/>
    <n v="190"/>
    <x v="2"/>
    <n v="3"/>
    <x v="0"/>
    <n v="7"/>
    <s v="Farmer"/>
    <n v="2"/>
    <x v="3"/>
    <n v="5"/>
    <n v="4"/>
    <n v="2"/>
    <n v="3"/>
    <n v="1"/>
    <s v="Y"/>
    <n v="1000"/>
    <x v="4"/>
  </r>
  <r>
    <d v="2019-10-24T00:00:00"/>
    <d v="1899-12-30T16:37:00"/>
    <m/>
    <s v="D"/>
    <n v="2"/>
    <s v="Road Vehicle"/>
    <n v="4"/>
    <x v="3"/>
    <x v="0"/>
    <n v="2"/>
    <x v="1"/>
    <s v="HIOMA"/>
    <s v="HIOMA"/>
    <s v="UG"/>
    <n v="1"/>
    <s v="Home"/>
    <s v="KAISO"/>
    <s v="KAISO"/>
    <s v="UG"/>
    <n v="2"/>
    <s v="Work"/>
    <x v="1"/>
    <n v="300000"/>
    <n v="120"/>
    <x v="2"/>
    <n v="2"/>
    <x v="0"/>
    <n v="10"/>
    <s v="Other"/>
    <n v="4"/>
    <x v="0"/>
    <n v="2"/>
    <n v="1"/>
    <n v="3"/>
    <n v="5"/>
    <n v="4"/>
    <s v="Y"/>
    <n v="3000"/>
    <x v="0"/>
  </r>
  <r>
    <d v="2019-10-24T00:00:00"/>
    <d v="1899-12-30T13:22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2"/>
    <s v="Work"/>
    <x v="24"/>
    <n v="15000"/>
    <n v="210"/>
    <x v="3"/>
    <n v="4"/>
    <x v="2"/>
    <n v="4"/>
    <s v="Office Worker"/>
    <n v="4"/>
    <x v="0"/>
    <n v="2"/>
    <n v="1"/>
    <n v="3"/>
    <n v="4"/>
    <n v="5"/>
    <s v="Y"/>
    <m/>
    <x v="3"/>
  </r>
  <r>
    <d v="2019-10-24T00:00:00"/>
    <d v="1899-12-30T12:23:00"/>
    <m/>
    <s v="D"/>
    <n v="2"/>
    <s v="Road Vehicle"/>
    <n v="4"/>
    <x v="3"/>
    <x v="0"/>
    <n v="2"/>
    <x v="1"/>
    <s v="HIOMA"/>
    <s v="HIOMA"/>
    <s v="UG"/>
    <n v="1"/>
    <s v="Home"/>
    <s v="KAMPALA"/>
    <s v="KAMPALA"/>
    <s v="UG"/>
    <n v="1"/>
    <s v="Home"/>
    <x v="16"/>
    <n v="180000"/>
    <n v="200"/>
    <x v="3"/>
    <n v="3"/>
    <x v="0"/>
    <n v="10"/>
    <s v="Other"/>
    <n v="4"/>
    <x v="0"/>
    <n v="5"/>
    <n v="3"/>
    <n v="4"/>
    <n v="1"/>
    <n v="2"/>
    <s v="Y"/>
    <n v="3000"/>
    <x v="0"/>
  </r>
  <r>
    <d v="2019-10-24T00:00:00"/>
    <d v="1899-12-30T16:19:00"/>
    <m/>
    <s v="P"/>
    <n v="2"/>
    <s v="Road Vehicle"/>
    <n v="4"/>
    <x v="3"/>
    <x v="0"/>
    <n v="2"/>
    <x v="1"/>
    <s v="HIOMA"/>
    <s v="HIOMA"/>
    <s v="UG"/>
    <n v="2"/>
    <s v="Work"/>
    <s v="MASINDI"/>
    <s v="MASINDI"/>
    <s v="UG"/>
    <n v="8"/>
    <s v="Others"/>
    <x v="19"/>
    <n v="70000"/>
    <n v="190"/>
    <x v="2"/>
    <n v="2"/>
    <x v="0"/>
    <n v="4"/>
    <s v="Office Worker"/>
    <n v="2"/>
    <x v="3"/>
    <n v="3"/>
    <n v="5"/>
    <n v="1"/>
    <n v="2"/>
    <n v="4"/>
    <s v="Y"/>
    <m/>
    <x v="3"/>
  </r>
  <r>
    <d v="2019-10-24T00:00:00"/>
    <d v="1899-12-30T16:30:00"/>
    <m/>
    <s v="P"/>
    <n v="2"/>
    <s v="Road Vehicle"/>
    <n v="4"/>
    <x v="3"/>
    <x v="0"/>
    <n v="2"/>
    <x v="1"/>
    <s v="HIOMA"/>
    <s v="HIOMA"/>
    <s v="UG"/>
    <n v="1"/>
    <s v="Home"/>
    <s v="HIOMA"/>
    <s v="HIOMA"/>
    <s v="UG"/>
    <n v="2"/>
    <s v="Work"/>
    <x v="1"/>
    <n v="15000"/>
    <n v="196"/>
    <x v="2"/>
    <n v="3"/>
    <x v="0"/>
    <n v="5"/>
    <s v="Professional"/>
    <n v="3"/>
    <x v="1"/>
    <n v="2"/>
    <n v="2"/>
    <n v="1"/>
    <n v="1"/>
    <n v="5"/>
    <s v="Y"/>
    <n v="10000"/>
    <x v="5"/>
  </r>
  <r>
    <d v="2019-10-24T00:00:00"/>
    <d v="1899-12-30T16:15:00"/>
    <m/>
    <s v="P"/>
    <n v="2"/>
    <s v="Road Vehicle"/>
    <n v="4"/>
    <x v="3"/>
    <x v="0"/>
    <n v="2"/>
    <x v="1"/>
    <s v="HIOMA"/>
    <s v="HIOMA"/>
    <s v="UG"/>
    <n v="4"/>
    <s v="Commercial"/>
    <s v="BULIISA"/>
    <s v="BULIISA"/>
    <s v="UG"/>
    <n v="1"/>
    <s v="Home"/>
    <x v="3"/>
    <n v="15000"/>
    <n v="100"/>
    <x v="2"/>
    <n v="3"/>
    <x v="0"/>
    <n v="6"/>
    <s v="Businessman"/>
    <n v="4"/>
    <x v="0"/>
    <n v="3"/>
    <n v="1"/>
    <n v="2"/>
    <n v="4"/>
    <n v="5"/>
    <s v="Y"/>
    <n v="5000"/>
    <x v="2"/>
  </r>
  <r>
    <d v="2019-10-24T00:00:00"/>
    <d v="1899-12-30T15:15:00"/>
    <m/>
    <s v="P"/>
    <n v="2"/>
    <s v="Road Vehicle"/>
    <n v="4"/>
    <x v="3"/>
    <x v="0"/>
    <n v="2"/>
    <x v="1"/>
    <s v="NANSANA"/>
    <s v="WAKISO"/>
    <s v="UG"/>
    <n v="1"/>
    <s v="Home"/>
    <s v="HIOMA"/>
    <s v="HIOMA"/>
    <s v="UG"/>
    <n v="2"/>
    <s v="Work"/>
    <x v="1"/>
    <n v="13000"/>
    <m/>
    <x v="0"/>
    <n v="4"/>
    <x v="2"/>
    <n v="4"/>
    <s v="Office Worker"/>
    <n v="2"/>
    <x v="3"/>
    <n v="3"/>
    <n v="5"/>
    <n v="1"/>
    <n v="2"/>
    <n v="4"/>
    <s v="Y"/>
    <m/>
    <x v="3"/>
  </r>
  <r>
    <d v="2019-10-24T00:00:00"/>
    <d v="1899-12-30T17:07:00"/>
    <m/>
    <s v="P"/>
    <n v="2"/>
    <s v="Road Vehicle"/>
    <n v="4"/>
    <x v="3"/>
    <x v="0"/>
    <n v="2"/>
    <x v="1"/>
    <s v="MASINDI"/>
    <s v="MASINDI"/>
    <s v="UG"/>
    <n v="4"/>
    <s v="Commercial"/>
    <s v="HIOMA"/>
    <s v="HIOMA"/>
    <s v="UG"/>
    <n v="4"/>
    <s v="Commercial"/>
    <x v="18"/>
    <n v="50000"/>
    <m/>
    <x v="0"/>
    <n v="2"/>
    <x v="0"/>
    <n v="10"/>
    <s v="Other"/>
    <n v="4"/>
    <x v="0"/>
    <n v="4"/>
    <n v="4"/>
    <n v="3"/>
    <n v="1"/>
    <n v="2"/>
    <s v="Y"/>
    <n v="2000"/>
    <x v="1"/>
  </r>
  <r>
    <d v="2019-10-24T00:00:00"/>
    <d v="1899-12-30T17:15:00"/>
    <m/>
    <s v="P"/>
    <n v="2"/>
    <s v="Road Vehicle"/>
    <n v="4"/>
    <x v="3"/>
    <x v="0"/>
    <n v="2"/>
    <x v="1"/>
    <s v="KAMPALA"/>
    <s v="KAMPALA"/>
    <s v="UG"/>
    <n v="4"/>
    <s v="Commercial"/>
    <s v="HIOMA"/>
    <s v="HIOMA"/>
    <s v="UG"/>
    <n v="4"/>
    <s v="Commercial"/>
    <x v="18"/>
    <n v="200000"/>
    <m/>
    <x v="0"/>
    <n v="3"/>
    <x v="0"/>
    <n v="10"/>
    <s v="Other"/>
    <n v="5"/>
    <x v="4"/>
    <n v="1"/>
    <n v="1"/>
    <n v="3"/>
    <n v="4"/>
    <n v="5"/>
    <s v="Y"/>
    <m/>
    <x v="3"/>
  </r>
  <r>
    <d v="2019-10-24T00:00:00"/>
    <d v="1899-12-30T17:21:00"/>
    <m/>
    <s v="D"/>
    <n v="2"/>
    <s v="Road Vehicle"/>
    <n v="4"/>
    <x v="3"/>
    <x v="0"/>
    <n v="2"/>
    <x v="1"/>
    <s v="KAMPALA"/>
    <s v="KAMPALA"/>
    <s v="UG"/>
    <n v="4"/>
    <s v="Commercial"/>
    <s v="BULIISA"/>
    <s v="BULIISA"/>
    <s v="UG"/>
    <n v="1"/>
    <s v="Home"/>
    <x v="3"/>
    <n v="350000"/>
    <m/>
    <x v="0"/>
    <n v="6"/>
    <x v="2"/>
    <n v="6"/>
    <s v="Businessman"/>
    <n v="5"/>
    <x v="4"/>
    <n v="5"/>
    <n v="1"/>
    <n v="2"/>
    <n v="3"/>
    <n v="4"/>
    <s v="Y"/>
    <n v="3000"/>
    <x v="0"/>
  </r>
  <r>
    <d v="2019-10-24T00:00:00"/>
    <d v="1899-12-30T17:34:00"/>
    <m/>
    <s v="P"/>
    <n v="2"/>
    <s v="Road Vehicle"/>
    <n v="4"/>
    <x v="3"/>
    <x v="0"/>
    <n v="2"/>
    <x v="1"/>
    <s v="MITYANA"/>
    <s v="MITYANA"/>
    <s v="UG"/>
    <n v="1"/>
    <s v="Home"/>
    <s v="HIOMA"/>
    <s v="HIOMA"/>
    <s v="UG"/>
    <n v="4"/>
    <s v="Commercial"/>
    <x v="0"/>
    <n v="18000"/>
    <m/>
    <x v="0"/>
    <n v="3"/>
    <x v="0"/>
    <n v="6"/>
    <s v="Businessman"/>
    <n v="4"/>
    <x v="0"/>
    <n v="1"/>
    <n v="1"/>
    <n v="2"/>
    <n v="5"/>
    <n v="4"/>
    <s v="Y"/>
    <n v="10000"/>
    <x v="5"/>
  </r>
  <r>
    <d v="2019-10-24T00:00:00"/>
    <d v="1899-12-30T17:41:00"/>
    <m/>
    <s v="D"/>
    <n v="2"/>
    <s v="Road Vehicle"/>
    <n v="4"/>
    <x v="3"/>
    <x v="0"/>
    <n v="2"/>
    <x v="1"/>
    <s v="MASAKA"/>
    <s v="MASAKA"/>
    <s v="UG"/>
    <n v="2"/>
    <s v="Work"/>
    <s v="HIOMA"/>
    <s v="HIOMA"/>
    <s v="UG"/>
    <n v="2"/>
    <s v="Work"/>
    <x v="2"/>
    <n v="120000"/>
    <m/>
    <x v="0"/>
    <n v="4"/>
    <x v="2"/>
    <n v="10"/>
    <s v="Other"/>
    <n v="3"/>
    <x v="1"/>
    <n v="3"/>
    <n v="4"/>
    <n v="5"/>
    <n v="1"/>
    <n v="2"/>
    <s v="Y"/>
    <n v="3000"/>
    <x v="0"/>
  </r>
  <r>
    <d v="2019-10-24T00:00:00"/>
    <d v="1899-12-30T17:52:00"/>
    <m/>
    <s v="D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4"/>
    <s v="Commercial"/>
    <x v="18"/>
    <n v="310000"/>
    <m/>
    <x v="0"/>
    <n v="4"/>
    <x v="2"/>
    <n v="10"/>
    <s v="Other"/>
    <n v="4"/>
    <x v="0"/>
    <n v="5"/>
    <n v="2"/>
    <n v="1"/>
    <n v="3"/>
    <n v="4"/>
    <s v="Y"/>
    <m/>
    <x v="3"/>
  </r>
  <r>
    <d v="2019-10-24T00:00:00"/>
    <d v="1899-12-30T08:23:00"/>
    <m/>
    <s v="D"/>
    <n v="2"/>
    <s v="Road Vehicle"/>
    <n v="4"/>
    <x v="3"/>
    <x v="0"/>
    <n v="2"/>
    <x v="1"/>
    <s v="HIOMA"/>
    <s v="HIOMA"/>
    <s v="UG"/>
    <n v="1"/>
    <s v="Home"/>
    <s v="MASINDI"/>
    <s v="MASINDI"/>
    <s v="UG"/>
    <n v="3"/>
    <s v="Study"/>
    <x v="25"/>
    <n v="100000"/>
    <n v="45"/>
    <x v="5"/>
    <n v="2"/>
    <x v="0"/>
    <n v="6"/>
    <s v="Businessman"/>
    <n v="4"/>
    <x v="0"/>
    <n v="5"/>
    <n v="2"/>
    <n v="3"/>
    <n v="1"/>
    <n v="4"/>
    <s v="Y"/>
    <m/>
    <x v="3"/>
  </r>
  <r>
    <d v="2019-10-24T00:00:00"/>
    <d v="1899-12-30T08:41:00"/>
    <m/>
    <s v="P"/>
    <n v="2"/>
    <s v="Road Vehicle"/>
    <n v="4"/>
    <x v="3"/>
    <x v="0"/>
    <n v="2"/>
    <x v="1"/>
    <s v="HIOMA"/>
    <s v="HIOMA"/>
    <s v="UG"/>
    <n v="1"/>
    <s v="Home"/>
    <s v="MUTANZIJO"/>
    <s v="KAKUMIRO"/>
    <s v="UG"/>
    <n v="4"/>
    <s v="Commercial"/>
    <x v="0"/>
    <n v="10000"/>
    <m/>
    <x v="0"/>
    <n v="3"/>
    <x v="0"/>
    <n v="7"/>
    <s v="Farmer"/>
    <n v="2"/>
    <x v="3"/>
    <n v="2"/>
    <n v="1"/>
    <n v="3"/>
    <n v="5"/>
    <n v="4"/>
    <s v="Y"/>
    <n v="1000"/>
    <x v="4"/>
  </r>
  <r>
    <d v="2019-10-24T00:00:00"/>
    <d v="1899-12-30T09:21:00"/>
    <m/>
    <s v="D"/>
    <n v="2"/>
    <s v="Road Vehicle"/>
    <n v="4"/>
    <x v="3"/>
    <x v="0"/>
    <n v="2"/>
    <x v="1"/>
    <s v="HIOMA"/>
    <s v="HIOMA"/>
    <s v="UG"/>
    <n v="1"/>
    <s v="Home"/>
    <s v="BULIISA"/>
    <s v="WAKISO"/>
    <s v="UG"/>
    <n v="2"/>
    <s v="Work"/>
    <x v="1"/>
    <n v="10000"/>
    <n v="90"/>
    <x v="1"/>
    <n v="2"/>
    <x v="0"/>
    <n v="5"/>
    <s v="Professional"/>
    <n v="2"/>
    <x v="3"/>
    <n v="2"/>
    <n v="3"/>
    <n v="1"/>
    <n v="4"/>
    <n v="2"/>
    <s v="Y"/>
    <n v="5000"/>
    <x v="2"/>
  </r>
  <r>
    <d v="2019-10-25T00:00:00"/>
    <d v="1899-12-30T08:20:00"/>
    <m/>
    <s v="D"/>
    <n v="2"/>
    <s v="Road Vehicle"/>
    <n v="4"/>
    <x v="3"/>
    <x v="0"/>
    <n v="2"/>
    <x v="1"/>
    <s v="HIOMA"/>
    <s v="HIOMA"/>
    <s v="UG"/>
    <n v="2"/>
    <s v="Work"/>
    <s v="MASINDI"/>
    <s v="MASINDI"/>
    <s v="UG"/>
    <n v="2"/>
    <s v="Work"/>
    <x v="2"/>
    <n v="100000"/>
    <n v="45"/>
    <x v="5"/>
    <n v="2"/>
    <x v="0"/>
    <n v="2"/>
    <s v="Manual Labour"/>
    <n v="4"/>
    <x v="0"/>
    <n v="2"/>
    <n v="3"/>
    <n v="5"/>
    <n v="1"/>
    <n v="4"/>
    <s v="Y"/>
    <n v="5000"/>
    <x v="2"/>
  </r>
  <r>
    <d v="2019-10-25T00:00:00"/>
    <d v="1899-12-30T08:23:00"/>
    <m/>
    <s v="D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n v="100000"/>
    <n v="45"/>
    <x v="5"/>
    <n v="2"/>
    <x v="0"/>
    <n v="5"/>
    <s v="Professional"/>
    <n v="4"/>
    <x v="0"/>
    <n v="2"/>
    <n v="3"/>
    <n v="4"/>
    <n v="5"/>
    <n v="1"/>
    <s v="Y"/>
    <m/>
    <x v="3"/>
  </r>
  <r>
    <d v="2019-10-25T00:00:00"/>
    <d v="1899-12-30T08:41:00"/>
    <m/>
    <s v="P"/>
    <n v="2"/>
    <s v="Road Vehicle"/>
    <n v="4"/>
    <x v="3"/>
    <x v="0"/>
    <n v="2"/>
    <x v="1"/>
    <s v="MUNTANZIGE"/>
    <s v="KAKUMIRO"/>
    <s v="UG"/>
    <n v="1"/>
    <s v="Home"/>
    <s v="HIOMA"/>
    <s v="HIOMA"/>
    <s v="UG"/>
    <n v="1"/>
    <s v="Home"/>
    <x v="16"/>
    <n v="10000"/>
    <m/>
    <x v="0"/>
    <n v="4"/>
    <x v="2"/>
    <n v="6"/>
    <s v="Businessman"/>
    <n v="2"/>
    <x v="3"/>
    <n v="3"/>
    <n v="2"/>
    <n v="5"/>
    <n v="4"/>
    <n v="1"/>
    <s v="Y"/>
    <m/>
    <x v="3"/>
  </r>
  <r>
    <d v="2019-10-25T00:00:00"/>
    <d v="1899-12-30T08:32:00"/>
    <m/>
    <s v="D"/>
    <n v="2"/>
    <s v="Road Vehicle"/>
    <n v="4"/>
    <x v="3"/>
    <x v="0"/>
    <n v="2"/>
    <x v="1"/>
    <s v="KISITIA"/>
    <s v="KAKUMIRO"/>
    <s v="UG"/>
    <n v="2"/>
    <s v="Work"/>
    <s v="HIOMA"/>
    <s v="HIOMA"/>
    <s v="UG"/>
    <n v="1"/>
    <s v="Home"/>
    <x v="4"/>
    <n v="100000"/>
    <n v="12"/>
    <x v="6"/>
    <n v="2"/>
    <x v="0"/>
    <n v="5"/>
    <s v="Professional"/>
    <n v="2"/>
    <x v="3"/>
    <n v="1"/>
    <n v="3"/>
    <n v="2"/>
    <n v="5"/>
    <n v="4"/>
    <s v="Y"/>
    <n v="3000"/>
    <x v="0"/>
  </r>
  <r>
    <d v="2019-10-25T00:00:00"/>
    <d v="1899-12-30T14:09:00"/>
    <m/>
    <s v="D"/>
    <n v="2"/>
    <s v="Road Vehicle"/>
    <n v="4"/>
    <x v="3"/>
    <x v="0"/>
    <n v="2"/>
    <x v="1"/>
    <s v="HIOMA"/>
    <s v="HIOMA"/>
    <s v="UG"/>
    <n v="1"/>
    <s v="Home"/>
    <s v="KAGADI"/>
    <s v="KAGADI"/>
    <s v="UG"/>
    <n v="2"/>
    <s v="Work"/>
    <x v="1"/>
    <n v="100000"/>
    <n v="65"/>
    <x v="5"/>
    <n v="3"/>
    <x v="0"/>
    <n v="5"/>
    <s v="Professional"/>
    <n v="2"/>
    <x v="3"/>
    <n v="2"/>
    <n v="1"/>
    <n v="2"/>
    <n v="3"/>
    <n v="5"/>
    <s v="Y"/>
    <n v="5000"/>
    <x v="2"/>
  </r>
  <r>
    <d v="2019-10-25T00:00:00"/>
    <d v="1899-12-30T17:17:00"/>
    <m/>
    <s v="D"/>
    <n v="2"/>
    <s v="Road Vehicle"/>
    <n v="4"/>
    <x v="3"/>
    <x v="0"/>
    <n v="2"/>
    <x v="1"/>
    <s v="HIOMA"/>
    <s v="HIOMA"/>
    <s v="UG"/>
    <n v="1"/>
    <s v="Home"/>
    <s v="KAKUMIRO"/>
    <s v="KAKUMIRO"/>
    <s v="UG"/>
    <n v="2"/>
    <s v="Work"/>
    <x v="1"/>
    <n v="120000"/>
    <n v="63"/>
    <x v="5"/>
    <n v="3"/>
    <x v="0"/>
    <n v="5"/>
    <s v="Professional"/>
    <n v="3"/>
    <x v="1"/>
    <n v="2"/>
    <n v="4"/>
    <n v="1"/>
    <n v="5"/>
    <n v="2"/>
    <s v="Y"/>
    <n v="3000"/>
    <x v="0"/>
  </r>
  <r>
    <d v="2019-10-25T00:00:00"/>
    <d v="1899-12-30T17:09:00"/>
    <m/>
    <s v="D"/>
    <n v="2"/>
    <s v="Road Vehicle"/>
    <n v="4"/>
    <x v="3"/>
    <x v="0"/>
    <n v="2"/>
    <x v="1"/>
    <s v="HIOMA"/>
    <s v="HIOMA"/>
    <s v="UG"/>
    <n v="1"/>
    <s v="Home"/>
    <s v="KAKUMIRO"/>
    <s v="KAKUMIRO"/>
    <s v="UG"/>
    <n v="2"/>
    <s v="Work"/>
    <x v="1"/>
    <n v="120000"/>
    <n v="63"/>
    <x v="5"/>
    <n v="3"/>
    <x v="0"/>
    <n v="5"/>
    <s v="Professional"/>
    <n v="4"/>
    <x v="0"/>
    <n v="3"/>
    <n v="4"/>
    <n v="5"/>
    <n v="2"/>
    <n v="1"/>
    <s v="Y"/>
    <n v="3000"/>
    <x v="0"/>
  </r>
  <r>
    <d v="2019-10-25T00:00:00"/>
    <d v="1899-12-30T16:48:00"/>
    <m/>
    <s v="D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5000"/>
    <n v="200"/>
    <x v="3"/>
    <n v="3"/>
    <x v="0"/>
    <n v="6"/>
    <s v="Businessman"/>
    <n v="2"/>
    <x v="3"/>
    <n v="2"/>
    <n v="1"/>
    <n v="1"/>
    <n v="1"/>
    <n v="1"/>
    <s v="Y"/>
    <n v="2000"/>
    <x v="1"/>
  </r>
  <r>
    <d v="2019-10-25T00:00:00"/>
    <d v="1899-12-30T16:05:00"/>
    <m/>
    <s v="P"/>
    <n v="2"/>
    <s v="Road Vehicle"/>
    <n v="4"/>
    <x v="3"/>
    <x v="0"/>
    <n v="2"/>
    <x v="1"/>
    <s v="HIOMA"/>
    <s v="HIOMA"/>
    <s v="UG"/>
    <n v="1"/>
    <s v="Home"/>
    <s v="HIOMA"/>
    <s v="HIOMA"/>
    <s v="UG"/>
    <n v="2"/>
    <s v="Work"/>
    <x v="1"/>
    <n v="7000"/>
    <n v="70"/>
    <x v="1"/>
    <n v="2"/>
    <x v="0"/>
    <n v="7"/>
    <s v="Farmer"/>
    <n v="2"/>
    <x v="3"/>
    <n v="2"/>
    <n v="1"/>
    <n v="4"/>
    <n v="5"/>
    <n v="2"/>
    <s v="Y"/>
    <n v="5000"/>
    <x v="2"/>
  </r>
  <r>
    <d v="2019-10-25T00:00:00"/>
    <d v="1899-12-30T15:54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5000"/>
    <n v="201"/>
    <x v="3"/>
    <n v="3"/>
    <x v="0"/>
    <n v="6"/>
    <s v="Businessman"/>
    <n v="2"/>
    <x v="3"/>
    <n v="3"/>
    <n v="4"/>
    <n v="1"/>
    <n v="2"/>
    <n v="5"/>
    <s v="Y"/>
    <n v="7000"/>
    <x v="2"/>
  </r>
  <r>
    <d v="2019-10-25T00:00:00"/>
    <d v="1899-12-30T14:32:00"/>
    <m/>
    <s v="P"/>
    <n v="2"/>
    <s v="Road Vehicle"/>
    <n v="4"/>
    <x v="3"/>
    <x v="0"/>
    <n v="2"/>
    <x v="1"/>
    <s v="HIOMA"/>
    <s v="HIOMA"/>
    <s v="UG"/>
    <n v="1"/>
    <s v="Home"/>
    <s v="WANSOKO"/>
    <s v="BULIISA"/>
    <s v="UG"/>
    <n v="6"/>
    <s v="Leisure/Social"/>
    <x v="8"/>
    <n v="15000"/>
    <m/>
    <x v="0"/>
    <m/>
    <x v="3"/>
    <n v="2"/>
    <s v="Manual Labour"/>
    <n v="2"/>
    <x v="3"/>
    <n v="2"/>
    <n v="3"/>
    <n v="4"/>
    <n v="1"/>
    <n v="5"/>
    <s v="Y"/>
    <m/>
    <x v="3"/>
  </r>
  <r>
    <d v="2019-10-25T00:00:00"/>
    <d v="1899-12-30T08:52:00"/>
    <m/>
    <s v="P"/>
    <n v="2"/>
    <s v="Road Vehicle"/>
    <n v="4"/>
    <x v="3"/>
    <x v="0"/>
    <n v="2"/>
    <x v="1"/>
    <s v="MUNTANZIGE"/>
    <s v="KAKUMIRO"/>
    <s v="UG"/>
    <n v="1"/>
    <s v="Home"/>
    <s v="HIOMA"/>
    <s v="HIOMA"/>
    <s v="UG"/>
    <n v="4"/>
    <s v="Commercial"/>
    <x v="0"/>
    <n v="10000"/>
    <m/>
    <x v="0"/>
    <n v="4"/>
    <x v="2"/>
    <n v="2"/>
    <s v="Manual Labour"/>
    <n v="2"/>
    <x v="3"/>
    <n v="1"/>
    <n v="3"/>
    <n v="5"/>
    <n v="4"/>
    <n v="2"/>
    <s v="Y"/>
    <m/>
    <x v="3"/>
  </r>
  <r>
    <d v="2019-10-25T00:00:00"/>
    <d v="1899-12-30T09:04:00"/>
    <m/>
    <s v="P"/>
    <n v="2"/>
    <s v="Road Vehicle"/>
    <n v="4"/>
    <x v="3"/>
    <x v="0"/>
    <n v="2"/>
    <x v="1"/>
    <s v="HIOMA"/>
    <s v="HIOMA"/>
    <s v="UG"/>
    <n v="1"/>
    <s v="Home"/>
    <s v="KISIITA"/>
    <s v="KAKUMIRO"/>
    <s v="UG"/>
    <n v="2"/>
    <s v="Work"/>
    <x v="1"/>
    <n v="10000"/>
    <n v="17"/>
    <x v="6"/>
    <n v="2"/>
    <x v="0"/>
    <n v="6"/>
    <s v="Businessman"/>
    <n v="2"/>
    <x v="3"/>
    <n v="3"/>
    <n v="4"/>
    <n v="5"/>
    <n v="1"/>
    <n v="2"/>
    <s v="Y"/>
    <m/>
    <x v="3"/>
  </r>
  <r>
    <d v="2019-10-25T00:00:00"/>
    <d v="1899-12-30T09:11:00"/>
    <m/>
    <s v="P"/>
    <n v="2"/>
    <s v="Road Vehicle"/>
    <n v="4"/>
    <x v="3"/>
    <x v="0"/>
    <n v="2"/>
    <x v="1"/>
    <s v="MUNTANZIGE"/>
    <s v="KAKUMIRO"/>
    <s v="UG"/>
    <n v="1"/>
    <s v="Home"/>
    <s v="HIOMA"/>
    <s v="HIOMA"/>
    <s v="UG"/>
    <n v="5"/>
    <s v="Tourism"/>
    <x v="20"/>
    <n v="10000"/>
    <n v="150"/>
    <x v="2"/>
    <n v="5"/>
    <x v="2"/>
    <n v="2"/>
    <s v="Manual Labour"/>
    <n v="2"/>
    <x v="3"/>
    <n v="2"/>
    <n v="1"/>
    <n v="4"/>
    <n v="5"/>
    <n v="3"/>
    <s v="Y"/>
    <n v="1000"/>
    <x v="4"/>
  </r>
  <r>
    <d v="2019-10-25T00:00:00"/>
    <d v="1899-12-30T09:21:00"/>
    <m/>
    <s v="P"/>
    <n v="2"/>
    <s v="Road Vehicle"/>
    <n v="4"/>
    <x v="3"/>
    <x v="0"/>
    <n v="2"/>
    <x v="1"/>
    <s v="HIOMA"/>
    <s v="HIOMA"/>
    <s v="UG"/>
    <n v="1"/>
    <s v="Home"/>
    <s v="KISGOLOBYA"/>
    <s v="HIOMA"/>
    <s v="UG"/>
    <n v="5"/>
    <s v="Tourism"/>
    <x v="20"/>
    <m/>
    <n v="10"/>
    <x v="6"/>
    <n v="1"/>
    <x v="1"/>
    <n v="8"/>
    <s v="Student"/>
    <n v="2"/>
    <x v="3"/>
    <n v="2"/>
    <n v="3"/>
    <n v="5"/>
    <n v="4"/>
    <n v="1"/>
    <s v="Y"/>
    <n v="2000"/>
    <x v="1"/>
  </r>
  <r>
    <d v="2019-10-25T00:00:00"/>
    <d v="1899-12-30T10:37:00"/>
    <m/>
    <s v="P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n v="10000"/>
    <n v="30"/>
    <x v="4"/>
    <n v="2"/>
    <x v="0"/>
    <n v="2"/>
    <s v="Manual Labour"/>
    <n v="4"/>
    <x v="0"/>
    <n v="3"/>
    <n v="5"/>
    <n v="1"/>
    <n v="4"/>
    <n v="1"/>
    <s v="Y"/>
    <n v="5000"/>
    <x v="2"/>
  </r>
  <r>
    <d v="2019-10-25T00:00:00"/>
    <d v="1899-12-30T10:42:00"/>
    <m/>
    <s v="P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n v="10000"/>
    <n v="33"/>
    <x v="4"/>
    <n v="2"/>
    <x v="0"/>
    <n v="2"/>
    <s v="Manual Labour"/>
    <n v="2"/>
    <x v="3"/>
    <n v="1"/>
    <n v="3"/>
    <n v="5"/>
    <n v="4"/>
    <n v="2"/>
    <s v="Y"/>
    <n v="3000"/>
    <x v="0"/>
  </r>
  <r>
    <d v="2019-10-25T00:00:00"/>
    <d v="1899-12-30T10:46:00"/>
    <m/>
    <s v="P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m/>
    <m/>
    <x v="0"/>
    <m/>
    <x v="3"/>
    <n v="3"/>
    <s v="Artisan/Domestic"/>
    <n v="2"/>
    <x v="3"/>
    <n v="3"/>
    <n v="5"/>
    <n v="4"/>
    <n v="1"/>
    <n v="2"/>
    <s v="Y"/>
    <m/>
    <x v="3"/>
  </r>
  <r>
    <d v="2019-10-25T00:00:00"/>
    <d v="1899-12-30T11:00:00"/>
    <m/>
    <s v="P"/>
    <n v="2"/>
    <s v="Road Vehicle"/>
    <n v="4"/>
    <x v="3"/>
    <x v="0"/>
    <n v="2"/>
    <x v="1"/>
    <s v="HIOMA"/>
    <s v="HIOMA"/>
    <s v="UG"/>
    <n v="1"/>
    <s v="Home"/>
    <s v="MASINDI"/>
    <s v="MASINDI"/>
    <s v="UG"/>
    <n v="5"/>
    <s v="Tourism"/>
    <x v="20"/>
    <n v="1000"/>
    <n v="48"/>
    <x v="5"/>
    <n v="3"/>
    <x v="0"/>
    <n v="6"/>
    <s v="Businessman"/>
    <n v="2"/>
    <x v="3"/>
    <n v="2"/>
    <n v="3"/>
    <n v="1"/>
    <n v="4"/>
    <n v="5"/>
    <s v="Y"/>
    <m/>
    <x v="3"/>
  </r>
  <r>
    <d v="2019-10-25T00:00:00"/>
    <d v="1899-12-30T11:57:00"/>
    <m/>
    <s v="D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20000"/>
    <n v="125"/>
    <x v="2"/>
    <n v="3"/>
    <x v="0"/>
    <n v="5"/>
    <s v="Professional"/>
    <n v="3"/>
    <x v="1"/>
    <n v="3"/>
    <n v="1"/>
    <n v="2"/>
    <n v="5"/>
    <n v="4"/>
    <s v="Y"/>
    <n v="10000"/>
    <x v="5"/>
  </r>
  <r>
    <d v="2019-10-25T00:00:00"/>
    <d v="1899-12-30T10:59:00"/>
    <m/>
    <s v="D"/>
    <n v="2"/>
    <s v="Road Vehicle"/>
    <n v="4"/>
    <x v="3"/>
    <x v="0"/>
    <n v="2"/>
    <x v="1"/>
    <s v="HIOMA"/>
    <s v="HIOMA"/>
    <s v="UG"/>
    <n v="2"/>
    <s v="Work"/>
    <s v="MASINDI"/>
    <s v="MASINDI"/>
    <s v="UG"/>
    <n v="2"/>
    <s v="Work"/>
    <x v="2"/>
    <n v="20000"/>
    <n v="125"/>
    <x v="2"/>
    <n v="3"/>
    <x v="0"/>
    <n v="5"/>
    <s v="Professional"/>
    <n v="2"/>
    <x v="3"/>
    <n v="3"/>
    <n v="4"/>
    <n v="1"/>
    <n v="2"/>
    <n v="5"/>
    <s v="Y"/>
    <n v="10000"/>
    <x v="5"/>
  </r>
  <r>
    <d v="2019-10-25T00:00:00"/>
    <d v="1899-12-30T10:57:00"/>
    <m/>
    <s v="P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n v="10000"/>
    <n v="48"/>
    <x v="5"/>
    <n v="3"/>
    <x v="0"/>
    <n v="2"/>
    <s v="Manual Labour"/>
    <n v="1"/>
    <x v="2"/>
    <n v="3"/>
    <n v="4"/>
    <n v="1"/>
    <n v="2"/>
    <n v="5"/>
    <s v="Y"/>
    <n v="5000"/>
    <x v="2"/>
  </r>
  <r>
    <d v="2019-10-25T00:00:00"/>
    <d v="1899-12-30T08:44:00"/>
    <m/>
    <s v="D"/>
    <n v="2"/>
    <s v="Road Vehicle"/>
    <n v="4"/>
    <x v="3"/>
    <x v="0"/>
    <n v="2"/>
    <x v="1"/>
    <s v="HIOMA"/>
    <s v="HIOMA"/>
    <s v="UG"/>
    <n v="1"/>
    <s v="Home"/>
    <s v="KISIITA"/>
    <s v="KAKUMIRO"/>
    <s v="UG"/>
    <n v="2"/>
    <s v="Work"/>
    <x v="1"/>
    <n v="100000"/>
    <n v="15"/>
    <x v="6"/>
    <n v="2"/>
    <x v="0"/>
    <n v="5"/>
    <s v="Professional"/>
    <n v="4"/>
    <x v="0"/>
    <n v="3"/>
    <n v="5"/>
    <n v="4"/>
    <n v="2"/>
    <n v="1"/>
    <s v="Y"/>
    <n v="2000"/>
    <x v="1"/>
  </r>
  <r>
    <d v="2019-10-25T00:00:00"/>
    <d v="1899-12-30T08:57:00"/>
    <m/>
    <s v="D"/>
    <n v="2"/>
    <s v="Road Vehicle"/>
    <n v="4"/>
    <x v="3"/>
    <x v="0"/>
    <n v="2"/>
    <x v="1"/>
    <s v="KISITIA"/>
    <s v="KAKUMIRO"/>
    <s v="UG"/>
    <n v="2"/>
    <s v="Work"/>
    <s v="HIOMA"/>
    <s v="HIOMA"/>
    <s v="UG"/>
    <n v="1"/>
    <s v="Home"/>
    <x v="4"/>
    <n v="8000"/>
    <n v="15"/>
    <x v="6"/>
    <n v="2"/>
    <x v="0"/>
    <n v="5"/>
    <s v="Professional"/>
    <n v="4"/>
    <x v="0"/>
    <n v="3"/>
    <n v="5"/>
    <n v="4"/>
    <n v="2"/>
    <n v="1"/>
    <s v="Y"/>
    <n v="5000"/>
    <x v="2"/>
  </r>
  <r>
    <d v="2019-10-25T00:00:00"/>
    <d v="1899-12-30T16:22:00"/>
    <m/>
    <s v="P"/>
    <n v="2"/>
    <s v="Road Vehicle"/>
    <n v="4"/>
    <x v="3"/>
    <x v="0"/>
    <n v="2"/>
    <x v="1"/>
    <s v="HIOMA"/>
    <s v="HIOMA"/>
    <s v="UG"/>
    <n v="2"/>
    <s v="Work"/>
    <s v="KAGADI"/>
    <s v="KAGADI"/>
    <s v="UG"/>
    <n v="1"/>
    <s v="Home"/>
    <x v="4"/>
    <n v="100000"/>
    <n v="65"/>
    <x v="5"/>
    <n v="2"/>
    <x v="0"/>
    <n v="4"/>
    <s v="Office Worker"/>
    <n v="3"/>
    <x v="1"/>
    <n v="2"/>
    <n v="1"/>
    <n v="3"/>
    <n v="4"/>
    <n v="5"/>
    <s v="Y"/>
    <n v="2000"/>
    <x v="1"/>
  </r>
  <r>
    <d v="2019-10-25T00:00:00"/>
    <d v="1899-12-30T13:32:00"/>
    <m/>
    <s v="D"/>
    <n v="2"/>
    <s v="Road Vehicle"/>
    <n v="4"/>
    <x v="3"/>
    <x v="0"/>
    <n v="2"/>
    <x v="1"/>
    <s v="HIOMA"/>
    <s v="HIOMA"/>
    <s v="UG"/>
    <n v="2"/>
    <s v="Work"/>
    <s v="HIOMA"/>
    <s v="HIOMA"/>
    <s v="UG"/>
    <n v="2"/>
    <s v="Work"/>
    <x v="2"/>
    <n v="120000"/>
    <n v="150"/>
    <x v="2"/>
    <n v="3"/>
    <x v="0"/>
    <n v="10"/>
    <s v="Other"/>
    <n v="2"/>
    <x v="3"/>
    <n v="1"/>
    <n v="2"/>
    <n v="5"/>
    <n v="4"/>
    <n v="3"/>
    <s v="Y"/>
    <n v="1000"/>
    <x v="4"/>
  </r>
  <r>
    <d v="2019-10-25T00:00:00"/>
    <d v="1899-12-30T19:14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180000"/>
    <n v="210"/>
    <x v="3"/>
    <n v="4"/>
    <x v="2"/>
    <n v="10"/>
    <s v="Other"/>
    <n v="2"/>
    <x v="3"/>
    <n v="3"/>
    <n v="4"/>
    <n v="5"/>
    <n v="2"/>
    <n v="1"/>
    <s v="Y"/>
    <n v="8000"/>
    <x v="2"/>
  </r>
  <r>
    <d v="2019-10-26T00:00:00"/>
    <d v="1899-12-30T07:05:00"/>
    <m/>
    <s v="P"/>
    <n v="2"/>
    <s v="Road Vehicle"/>
    <n v="4"/>
    <x v="3"/>
    <x v="0"/>
    <n v="2"/>
    <x v="1"/>
    <s v="HIOMA"/>
    <s v="HIOMA"/>
    <s v="UG"/>
    <n v="4"/>
    <s v="Commercial"/>
    <s v="ARUA"/>
    <s v="ARUA"/>
    <s v="UG"/>
    <n v="1"/>
    <s v="Home"/>
    <x v="3"/>
    <n v="35000"/>
    <m/>
    <x v="0"/>
    <n v="9"/>
    <x v="2"/>
    <n v="6"/>
    <s v="Businessman"/>
    <n v="5"/>
    <x v="4"/>
    <n v="1"/>
    <n v="4"/>
    <n v="2"/>
    <n v="4"/>
    <n v="5"/>
    <s v="Y"/>
    <n v="10000"/>
    <x v="5"/>
  </r>
  <r>
    <d v="2019-10-26T00:00:00"/>
    <d v="1899-12-30T08:15:00"/>
    <m/>
    <s v="P"/>
    <n v="2"/>
    <s v="Road Vehicle"/>
    <n v="4"/>
    <x v="3"/>
    <x v="0"/>
    <n v="2"/>
    <x v="1"/>
    <s v="HIOMA"/>
    <s v="HIOMA"/>
    <s v="UG"/>
    <n v="8"/>
    <s v="Others"/>
    <s v="KAMPALA"/>
    <s v="KAMPALA"/>
    <s v="UG"/>
    <n v="2"/>
    <s v="Work"/>
    <x v="14"/>
    <n v="13000"/>
    <m/>
    <x v="0"/>
    <n v="3"/>
    <x v="0"/>
    <n v="4"/>
    <s v="Office Worker"/>
    <n v="3"/>
    <x v="1"/>
    <n v="5"/>
    <n v="2"/>
    <n v="1"/>
    <n v="3"/>
    <n v="4"/>
    <s v="Y"/>
    <n v="3000"/>
    <x v="0"/>
  </r>
  <r>
    <d v="2019-10-26T00:00:00"/>
    <d v="1899-12-30T08:19:00"/>
    <m/>
    <s v="P"/>
    <n v="2"/>
    <s v="Road Vehicle"/>
    <n v="4"/>
    <x v="3"/>
    <x v="0"/>
    <n v="2"/>
    <x v="1"/>
    <s v="HIOMA"/>
    <s v="HIOMA"/>
    <s v="UG"/>
    <n v="1"/>
    <s v="Home"/>
    <s v="ARUA"/>
    <s v="ARUA"/>
    <s v="UG"/>
    <n v="8"/>
    <s v="Others"/>
    <x v="13"/>
    <n v="30000"/>
    <m/>
    <x v="0"/>
    <n v="8"/>
    <x v="2"/>
    <n v="5"/>
    <s v="Professional"/>
    <n v="5"/>
    <x v="4"/>
    <n v="1"/>
    <n v="5"/>
    <n v="4"/>
    <n v="2"/>
    <n v="3"/>
    <s v="Y"/>
    <n v="5000"/>
    <x v="2"/>
  </r>
  <r>
    <d v="2019-10-26T00:00:00"/>
    <d v="1899-12-30T07:30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3000"/>
    <m/>
    <x v="0"/>
    <n v="3"/>
    <x v="0"/>
    <n v="4"/>
    <s v="Office Worker"/>
    <n v="2"/>
    <x v="3"/>
    <n v="3"/>
    <n v="1"/>
    <n v="2"/>
    <n v="4"/>
    <n v="5"/>
    <s v="Y"/>
    <n v="1000"/>
    <x v="4"/>
  </r>
  <r>
    <d v="2019-10-26T00:00:00"/>
    <d v="1899-12-30T15:49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8"/>
    <s v="Others"/>
    <x v="13"/>
    <n v="13000"/>
    <m/>
    <x v="0"/>
    <n v="4"/>
    <x v="2"/>
    <n v="5"/>
    <s v="Professional"/>
    <n v="4"/>
    <x v="0"/>
    <n v="2"/>
    <n v="5"/>
    <n v="3"/>
    <n v="1"/>
    <n v="4"/>
    <s v="Y"/>
    <n v="1000"/>
    <x v="4"/>
  </r>
  <r>
    <d v="2019-10-26T00:00:00"/>
    <d v="1899-12-30T15:37:00"/>
    <m/>
    <s v="P"/>
    <n v="2"/>
    <s v="Road Vehicle"/>
    <n v="4"/>
    <x v="3"/>
    <x v="0"/>
    <n v="2"/>
    <x v="1"/>
    <s v="HIOMA"/>
    <s v="HIOMA"/>
    <s v="UG"/>
    <n v="4"/>
    <s v="Commercial"/>
    <s v="KAISO"/>
    <s v="KIKUUBE"/>
    <s v="UG"/>
    <n v="4"/>
    <s v="Commercial"/>
    <x v="18"/>
    <n v="8000"/>
    <m/>
    <x v="0"/>
    <n v="2"/>
    <x v="0"/>
    <n v="6"/>
    <s v="Businessman"/>
    <n v="4"/>
    <x v="0"/>
    <n v="3"/>
    <n v="4"/>
    <n v="5"/>
    <n v="1"/>
    <n v="2"/>
    <s v="Y"/>
    <n v="2000"/>
    <x v="1"/>
  </r>
  <r>
    <d v="2019-10-26T00:00:00"/>
    <d v="1899-12-30T15:34:00"/>
    <m/>
    <s v="P"/>
    <n v="2"/>
    <s v="Road Vehicle"/>
    <n v="4"/>
    <x v="3"/>
    <x v="0"/>
    <n v="2"/>
    <x v="1"/>
    <s v="HIOMA"/>
    <s v="HIOMA"/>
    <s v="UG"/>
    <n v="1"/>
    <s v="Home"/>
    <s v="HIOMA"/>
    <s v="HIOMA"/>
    <s v="UG"/>
    <n v="1"/>
    <s v="Home"/>
    <x v="16"/>
    <n v="6000"/>
    <m/>
    <x v="0"/>
    <n v="1"/>
    <x v="1"/>
    <n v="1"/>
    <s v="Unemployed"/>
    <n v="2"/>
    <x v="3"/>
    <n v="4"/>
    <n v="3"/>
    <n v="5"/>
    <n v="1"/>
    <n v="2"/>
    <s v="Y"/>
    <m/>
    <x v="3"/>
  </r>
  <r>
    <d v="2019-10-26T00:00:00"/>
    <d v="1899-12-30T15:26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4"/>
    <s v="Office Worker"/>
    <n v="2"/>
    <x v="3"/>
    <n v="2"/>
    <n v="1"/>
    <n v="5"/>
    <n v="4"/>
    <n v="3"/>
    <s v="Y"/>
    <m/>
    <x v="3"/>
  </r>
  <r>
    <d v="2019-10-26T00:00:00"/>
    <d v="1899-12-30T15:26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4"/>
    <s v="Office Worker"/>
    <n v="2"/>
    <x v="3"/>
    <n v="2"/>
    <n v="1"/>
    <n v="5"/>
    <n v="4"/>
    <n v="3"/>
    <s v="Y"/>
    <m/>
    <x v="3"/>
  </r>
  <r>
    <d v="2019-10-26T00:00:00"/>
    <d v="1899-12-30T14:22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4"/>
    <s v="Office Worker"/>
    <n v="2"/>
    <x v="3"/>
    <n v="5"/>
    <n v="2"/>
    <n v="3"/>
    <n v="1"/>
    <n v="4"/>
    <s v="Y"/>
    <m/>
    <x v="3"/>
  </r>
  <r>
    <d v="2019-10-26T00:00:00"/>
    <d v="1899-12-30T14:24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1"/>
    <s v="Home"/>
    <x v="3"/>
    <n v="13000"/>
    <m/>
    <x v="0"/>
    <n v="4"/>
    <x v="2"/>
    <n v="6"/>
    <s v="Businessman"/>
    <n v="5"/>
    <x v="4"/>
    <n v="1"/>
    <n v="4"/>
    <n v="2"/>
    <n v="5"/>
    <n v="3"/>
    <s v="Y"/>
    <m/>
    <x v="3"/>
  </r>
  <r>
    <d v="2019-10-26T00:00:00"/>
    <d v="1899-12-30T14:27:00"/>
    <m/>
    <s v="P"/>
    <n v="2"/>
    <s v="Road Vehicle"/>
    <n v="4"/>
    <x v="3"/>
    <x v="0"/>
    <n v="2"/>
    <x v="1"/>
    <s v="HIOMA"/>
    <s v="HIOMA"/>
    <s v="UG"/>
    <n v="2"/>
    <s v="Work"/>
    <s v="ENTEBBE"/>
    <s v="WAKISO"/>
    <s v="UG"/>
    <n v="1"/>
    <s v="Home"/>
    <x v="4"/>
    <n v="17000"/>
    <m/>
    <x v="0"/>
    <n v="7"/>
    <x v="2"/>
    <n v="5"/>
    <s v="Professional"/>
    <n v="5"/>
    <x v="4"/>
    <n v="1"/>
    <n v="2"/>
    <n v="3"/>
    <n v="4"/>
    <n v="5"/>
    <s v="Y"/>
    <m/>
    <x v="3"/>
  </r>
  <r>
    <d v="2019-10-26T00:00:00"/>
    <d v="1899-12-30T14:18:00"/>
    <m/>
    <s v="P"/>
    <n v="2"/>
    <s v="Road Vehicle"/>
    <n v="4"/>
    <x v="3"/>
    <x v="0"/>
    <n v="2"/>
    <x v="1"/>
    <s v="HIOMA"/>
    <s v="HIOMA"/>
    <s v="UG"/>
    <n v="1"/>
    <s v="Home"/>
    <s v="KAKIRI"/>
    <s v="WAKISO"/>
    <s v="UG"/>
    <n v="2"/>
    <s v="Work"/>
    <x v="1"/>
    <n v="10000"/>
    <m/>
    <x v="0"/>
    <n v="2"/>
    <x v="0"/>
    <n v="6"/>
    <s v="Businessman"/>
    <n v="4"/>
    <x v="0"/>
    <n v="2"/>
    <n v="4"/>
    <n v="5"/>
    <n v="1"/>
    <n v="3"/>
    <s v="Y"/>
    <n v="10000"/>
    <x v="5"/>
  </r>
  <r>
    <d v="2019-10-26T00:00:00"/>
    <d v="1899-12-30T14:15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1"/>
    <s v="Home"/>
    <x v="16"/>
    <n v="13000"/>
    <m/>
    <x v="0"/>
    <n v="5"/>
    <x v="2"/>
    <n v="1"/>
    <s v="Unemployed"/>
    <n v="1"/>
    <x v="2"/>
    <n v="1"/>
    <n v="5"/>
    <n v="4"/>
    <n v="3"/>
    <n v="2"/>
    <s v="Y"/>
    <n v="2000"/>
    <x v="1"/>
  </r>
  <r>
    <d v="2019-10-26T00:00:00"/>
    <d v="1899-12-30T13:40:00"/>
    <m/>
    <s v="P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13000"/>
    <m/>
    <x v="0"/>
    <n v="4"/>
    <x v="2"/>
    <n v="2"/>
    <s v="Manual Labour"/>
    <n v="1"/>
    <x v="2"/>
    <n v="1"/>
    <n v="2"/>
    <n v="4"/>
    <n v="2"/>
    <n v="3"/>
    <s v="Y"/>
    <m/>
    <x v="3"/>
  </r>
  <r>
    <d v="2019-10-26T00:00:00"/>
    <d v="1899-12-30T13:54:00"/>
    <m/>
    <s v="P"/>
    <n v="2"/>
    <s v="Road Vehicle"/>
    <n v="4"/>
    <x v="3"/>
    <x v="0"/>
    <n v="2"/>
    <x v="1"/>
    <s v="HIOMA"/>
    <s v="HIOMA"/>
    <s v="UG"/>
    <n v="4"/>
    <s v="Commercial"/>
    <s v="BUSUNJJU"/>
    <s v="WAKISO"/>
    <s v="UG"/>
    <n v="4"/>
    <s v="Commercial"/>
    <x v="18"/>
    <n v="10000"/>
    <m/>
    <x v="0"/>
    <n v="3"/>
    <x v="0"/>
    <n v="6"/>
    <s v="Businessman"/>
    <n v="5"/>
    <x v="4"/>
    <n v="3"/>
    <n v="1"/>
    <n v="2"/>
    <n v="4"/>
    <n v="5"/>
    <s v="Y"/>
    <n v="5000"/>
    <x v="2"/>
  </r>
  <r>
    <d v="2019-10-26T00:00:00"/>
    <d v="1899-12-30T13:49:00"/>
    <m/>
    <s v="P"/>
    <n v="2"/>
    <s v="Road Vehicle"/>
    <n v="4"/>
    <x v="3"/>
    <x v="0"/>
    <n v="2"/>
    <x v="1"/>
    <s v="NANSANA"/>
    <s v="WAKISO"/>
    <s v="UG"/>
    <n v="2"/>
    <s v="Work"/>
    <s v="HIOMA"/>
    <s v="HIOMA"/>
    <s v="UG"/>
    <n v="2"/>
    <s v="Work"/>
    <x v="2"/>
    <n v="13000"/>
    <m/>
    <x v="0"/>
    <n v="4"/>
    <x v="2"/>
    <n v="4"/>
    <s v="Office Worker"/>
    <n v="3"/>
    <x v="1"/>
    <n v="3"/>
    <n v="2"/>
    <n v="1"/>
    <n v="5"/>
    <n v="4"/>
    <s v="Y"/>
    <n v="5000"/>
    <x v="2"/>
  </r>
  <r>
    <d v="2019-10-26T00:00:00"/>
    <d v="1899-12-30T13:34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8"/>
    <s v="Others"/>
    <x v="13"/>
    <n v="13000"/>
    <m/>
    <x v="0"/>
    <n v="2"/>
    <x v="0"/>
    <n v="5"/>
    <s v="Professional"/>
    <n v="2"/>
    <x v="3"/>
    <n v="1"/>
    <n v="5"/>
    <n v="2"/>
    <n v="3"/>
    <n v="4"/>
    <s v="Y"/>
    <m/>
    <x v="3"/>
  </r>
  <r>
    <d v="2019-10-26T00:00:00"/>
    <d v="1899-12-30T14:07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1"/>
    <s v="Home"/>
    <x v="16"/>
    <n v="13000"/>
    <m/>
    <x v="0"/>
    <n v="4"/>
    <x v="2"/>
    <n v="2"/>
    <s v="Manual Labour"/>
    <n v="1"/>
    <x v="2"/>
    <n v="1"/>
    <n v="2"/>
    <n v="5"/>
    <n v="4"/>
    <n v="3"/>
    <s v="Y"/>
    <n v="5000"/>
    <x v="2"/>
  </r>
  <r>
    <d v="2019-10-26T00:00:00"/>
    <d v="1899-12-30T14:04:00"/>
    <m/>
    <s v="P"/>
    <n v="2"/>
    <s v="Road Vehicle"/>
    <n v="4"/>
    <x v="3"/>
    <x v="0"/>
    <n v="2"/>
    <x v="1"/>
    <s v="HIOMA"/>
    <s v="HIOMA"/>
    <s v="UG"/>
    <n v="2"/>
    <s v="Work"/>
    <s v="KAMPALA"/>
    <s v="KAMPALA"/>
    <s v="UG"/>
    <n v="4"/>
    <s v="Commercial"/>
    <x v="17"/>
    <n v="13000"/>
    <m/>
    <x v="0"/>
    <n v="4"/>
    <x v="2"/>
    <n v="3"/>
    <s v="Artisan/Domestic"/>
    <n v="1"/>
    <x v="2"/>
    <n v="5"/>
    <n v="1"/>
    <n v="3"/>
    <n v="2"/>
    <n v="4"/>
    <s v="Y"/>
    <m/>
    <x v="3"/>
  </r>
  <r>
    <d v="2019-10-26T00:00:00"/>
    <d v="1899-12-30T13:31:00"/>
    <m/>
    <s v="P"/>
    <n v="2"/>
    <s v="Road Vehicle"/>
    <n v="4"/>
    <x v="3"/>
    <x v="0"/>
    <n v="2"/>
    <x v="1"/>
    <s v="HIOMA"/>
    <s v="HIOMA"/>
    <s v="UG"/>
    <n v="2"/>
    <s v="Work"/>
    <s v="KAMPALA"/>
    <s v="KAMPALA"/>
    <s v="UG"/>
    <n v="8"/>
    <s v="Others"/>
    <x v="19"/>
    <n v="13000"/>
    <m/>
    <x v="0"/>
    <n v="4"/>
    <x v="2"/>
    <n v="5"/>
    <s v="Professional"/>
    <n v="4"/>
    <x v="0"/>
    <n v="1"/>
    <n v="4"/>
    <n v="5"/>
    <n v="3"/>
    <n v="2"/>
    <s v="Y"/>
    <n v="4000"/>
    <x v="0"/>
  </r>
  <r>
    <d v="2019-10-26T00:00:00"/>
    <d v="1899-12-30T11:30:00"/>
    <m/>
    <s v="P"/>
    <n v="2"/>
    <s v="Road Vehicle"/>
    <n v="4"/>
    <x v="3"/>
    <x v="0"/>
    <n v="2"/>
    <x v="1"/>
    <s v="HIOMA"/>
    <s v="HIOMA"/>
    <s v="UG"/>
    <n v="2"/>
    <s v="Work"/>
    <s v="KAISO"/>
    <s v="KIKUUBE"/>
    <s v="UG"/>
    <n v="8"/>
    <s v="Others"/>
    <x v="19"/>
    <n v="8000"/>
    <m/>
    <x v="0"/>
    <n v="2"/>
    <x v="0"/>
    <n v="5"/>
    <s v="Professional"/>
    <n v="4"/>
    <x v="0"/>
    <n v="3"/>
    <n v="1"/>
    <n v="4"/>
    <n v="5"/>
    <n v="2"/>
    <s v="Y"/>
    <n v="2000"/>
    <x v="1"/>
  </r>
  <r>
    <d v="2019-10-26T00:00:00"/>
    <d v="1899-12-30T11:29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3000"/>
    <m/>
    <x v="0"/>
    <n v="3"/>
    <x v="0"/>
    <n v="5"/>
    <s v="Professional"/>
    <n v="4"/>
    <x v="0"/>
    <n v="5"/>
    <n v="1"/>
    <n v="4"/>
    <n v="2"/>
    <n v="3"/>
    <s v="Y"/>
    <n v="5000"/>
    <x v="2"/>
  </r>
  <r>
    <d v="2019-10-26T00:00:00"/>
    <d v="1899-12-30T11:08:00"/>
    <m/>
    <s v="P"/>
    <n v="2"/>
    <s v="Road Vehicle"/>
    <n v="4"/>
    <x v="3"/>
    <x v="0"/>
    <n v="2"/>
    <x v="1"/>
    <s v="HIOMA"/>
    <s v="HIOMA"/>
    <s v="UG"/>
    <n v="2"/>
    <s v="Work"/>
    <s v="HIOMA"/>
    <s v="HIOMA"/>
    <s v="UG"/>
    <n v="4"/>
    <s v="Commercial"/>
    <x v="17"/>
    <n v="13000"/>
    <m/>
    <x v="0"/>
    <n v="4"/>
    <x v="2"/>
    <n v="5"/>
    <s v="Professional"/>
    <n v="5"/>
    <x v="4"/>
    <n v="2"/>
    <n v="4"/>
    <n v="5"/>
    <n v="1"/>
    <n v="3"/>
    <s v="Y"/>
    <m/>
    <x v="3"/>
  </r>
  <r>
    <d v="2019-10-26T00:00:00"/>
    <d v="1899-12-30T12:03:00"/>
    <m/>
    <s v="P"/>
    <n v="2"/>
    <s v="Road Vehicle"/>
    <n v="4"/>
    <x v="3"/>
    <x v="0"/>
    <n v="2"/>
    <x v="1"/>
    <s v="HIOMA"/>
    <s v="HIOMA"/>
    <s v="UG"/>
    <n v="2"/>
    <s v="Work"/>
    <s v="HIOMA"/>
    <s v="HIOMA"/>
    <s v="UG"/>
    <n v="8"/>
    <s v="Others"/>
    <x v="19"/>
    <n v="13000"/>
    <m/>
    <x v="0"/>
    <n v="4"/>
    <x v="2"/>
    <n v="5"/>
    <s v="Professional"/>
    <n v="5"/>
    <x v="4"/>
    <n v="3"/>
    <n v="5"/>
    <n v="4"/>
    <n v="1"/>
    <n v="2"/>
    <s v="Y"/>
    <m/>
    <x v="3"/>
  </r>
  <r>
    <d v="2019-10-26T00:00:00"/>
    <d v="1899-12-30T11:08:00"/>
    <m/>
    <s v="P"/>
    <n v="2"/>
    <s v="Road Vehicle"/>
    <n v="4"/>
    <x v="3"/>
    <x v="0"/>
    <n v="2"/>
    <x v="1"/>
    <s v="HIOMA"/>
    <s v="HIOMA"/>
    <s v="UG"/>
    <n v="1"/>
    <s v="Home"/>
    <s v="KAISO"/>
    <s v="KIKUUBE"/>
    <s v="UG"/>
    <n v="2"/>
    <s v="Work"/>
    <x v="1"/>
    <n v="8000"/>
    <m/>
    <x v="0"/>
    <n v="2"/>
    <x v="0"/>
    <n v="4"/>
    <s v="Office Worker"/>
    <n v="2"/>
    <x v="3"/>
    <n v="3"/>
    <n v="5"/>
    <n v="4"/>
    <n v="1"/>
    <n v="2"/>
    <s v="Y"/>
    <n v="1000"/>
    <x v="4"/>
  </r>
  <r>
    <d v="2019-10-26T00:00:00"/>
    <d v="1899-12-30T10:50:00"/>
    <m/>
    <s v="P"/>
    <n v="2"/>
    <s v="Road Vehicle"/>
    <n v="4"/>
    <x v="3"/>
    <x v="0"/>
    <n v="2"/>
    <x v="1"/>
    <s v="HIOMA"/>
    <s v="HIOMA"/>
    <s v="UG"/>
    <n v="1"/>
    <s v="Home"/>
    <s v="MUTYABA"/>
    <s v="BULIISA"/>
    <s v="UG"/>
    <n v="8"/>
    <s v="Others"/>
    <x v="13"/>
    <n v="15000"/>
    <m/>
    <x v="0"/>
    <n v="3"/>
    <x v="0"/>
    <n v="7"/>
    <s v="Farmer"/>
    <n v="4"/>
    <x v="0"/>
    <n v="3"/>
    <n v="2"/>
    <n v="1"/>
    <n v="5"/>
    <n v="4"/>
    <s v="Y"/>
    <m/>
    <x v="3"/>
  </r>
  <r>
    <d v="2019-10-26T00:00:00"/>
    <d v="1899-12-30T11:24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3000"/>
    <m/>
    <x v="0"/>
    <n v="3"/>
    <x v="0"/>
    <n v="5"/>
    <s v="Professional"/>
    <n v="2"/>
    <x v="3"/>
    <n v="3"/>
    <n v="1"/>
    <n v="2"/>
    <n v="5"/>
    <n v="4"/>
    <s v="Y"/>
    <m/>
    <x v="3"/>
  </r>
  <r>
    <d v="2019-10-26T00:00:00"/>
    <d v="1899-12-30T11:57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4"/>
    <s v="Commercial"/>
    <x v="18"/>
    <n v="700000"/>
    <m/>
    <x v="0"/>
    <n v="3"/>
    <x v="0"/>
    <n v="10"/>
    <s v="Other"/>
    <n v="5"/>
    <x v="4"/>
    <n v="2"/>
    <n v="5"/>
    <n v="3"/>
    <n v="4"/>
    <n v="1"/>
    <s v="Y"/>
    <n v="3000"/>
    <x v="0"/>
  </r>
  <r>
    <d v="2019-10-26T00:00:00"/>
    <d v="1899-12-30T12:57:00"/>
    <m/>
    <s v="D"/>
    <n v="2"/>
    <s v="Road Vehicle"/>
    <n v="4"/>
    <x v="3"/>
    <x v="0"/>
    <n v="2"/>
    <x v="1"/>
    <s v="HIOMA"/>
    <s v="HIOMA"/>
    <s v="UG"/>
    <n v="1"/>
    <s v="Home"/>
    <s v="BULIISA"/>
    <s v="BULIISA"/>
    <s v="UG"/>
    <n v="5"/>
    <s v="Tourism"/>
    <x v="20"/>
    <n v="15000"/>
    <n v="160"/>
    <x v="2"/>
    <n v="3"/>
    <x v="0"/>
    <n v="6"/>
    <s v="Businessman"/>
    <n v="4"/>
    <x v="0"/>
    <n v="2"/>
    <n v="5"/>
    <n v="3"/>
    <n v="4"/>
    <n v="1"/>
    <s v="Y"/>
    <n v="1000"/>
    <x v="4"/>
  </r>
  <r>
    <d v="2019-10-26T00:00:00"/>
    <d v="1899-12-30T12:34:00"/>
    <m/>
    <s v="D"/>
    <n v="2"/>
    <s v="Road Vehicle"/>
    <n v="4"/>
    <x v="3"/>
    <x v="0"/>
    <n v="2"/>
    <x v="1"/>
    <s v="HIOMA"/>
    <s v="HIOMA"/>
    <s v="UG"/>
    <n v="1"/>
    <s v="Home"/>
    <s v="KISIITA"/>
    <s v="KAKUMIRO"/>
    <s v="UG"/>
    <n v="2"/>
    <s v="Work"/>
    <x v="1"/>
    <n v="10000"/>
    <n v="15"/>
    <x v="6"/>
    <n v="2"/>
    <x v="0"/>
    <n v="5"/>
    <s v="Professional"/>
    <n v="3"/>
    <x v="1"/>
    <n v="1"/>
    <n v="4"/>
    <n v="5"/>
    <n v="1"/>
    <n v="2"/>
    <s v="Y"/>
    <n v="200"/>
    <x v="3"/>
  </r>
  <r>
    <d v="2019-10-26T00:00:00"/>
    <d v="1899-12-30T12:03:00"/>
    <m/>
    <s v="D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n v="100000"/>
    <n v="50"/>
    <x v="5"/>
    <n v="2"/>
    <x v="0"/>
    <n v="5"/>
    <s v="Professional"/>
    <n v="5"/>
    <x v="4"/>
    <n v="2"/>
    <n v="1"/>
    <n v="4"/>
    <n v="5"/>
    <n v="3"/>
    <s v="Y"/>
    <m/>
    <x v="3"/>
  </r>
  <r>
    <d v="2019-10-26T00:00:00"/>
    <d v="1899-12-30T11:55:00"/>
    <m/>
    <s v="D"/>
    <n v="2"/>
    <s v="Road Vehicle"/>
    <n v="4"/>
    <x v="3"/>
    <x v="0"/>
    <n v="2"/>
    <x v="1"/>
    <s v="HIOMA"/>
    <s v="HIOMA"/>
    <s v="UG"/>
    <n v="1"/>
    <s v="Home"/>
    <s v="MASINDI"/>
    <s v="MASINDI"/>
    <s v="UG"/>
    <n v="2"/>
    <s v="Work"/>
    <x v="1"/>
    <n v="100000"/>
    <n v="45"/>
    <x v="5"/>
    <n v="3"/>
    <x v="0"/>
    <n v="5"/>
    <s v="Professional"/>
    <n v="4"/>
    <x v="0"/>
    <n v="3"/>
    <n v="1"/>
    <n v="2"/>
    <n v="5"/>
    <n v="4"/>
    <s v="Y"/>
    <m/>
    <x v="3"/>
  </r>
  <r>
    <d v="2019-10-26T00:00:00"/>
    <d v="1899-12-30T11:32:00"/>
    <m/>
    <s v="D"/>
    <n v="2"/>
    <s v="Road Vehicle"/>
    <n v="4"/>
    <x v="3"/>
    <x v="0"/>
    <n v="2"/>
    <x v="1"/>
    <s v="HIOMA"/>
    <s v="HIOMA"/>
    <s v="UG"/>
    <n v="1"/>
    <s v="Home"/>
    <s v="BULIISA"/>
    <s v="BULIISA"/>
    <s v="UG"/>
    <n v="2"/>
    <s v="Work"/>
    <x v="1"/>
    <n v="10000"/>
    <n v="175"/>
    <x v="2"/>
    <n v="3"/>
    <x v="0"/>
    <n v="6"/>
    <s v="Businessman"/>
    <n v="3"/>
    <x v="1"/>
    <n v="2"/>
    <n v="3"/>
    <n v="5"/>
    <n v="1"/>
    <n v="4"/>
    <s v="Y"/>
    <n v="1000"/>
    <x v="4"/>
  </r>
  <r>
    <d v="2019-10-26T00:00:00"/>
    <d v="1899-12-30T11:46:00"/>
    <m/>
    <s v="D"/>
    <n v="2"/>
    <s v="Road Vehicle"/>
    <n v="4"/>
    <x v="3"/>
    <x v="0"/>
    <n v="2"/>
    <x v="1"/>
    <s v="HIOMA"/>
    <s v="HIOMA"/>
    <s v="UG"/>
    <n v="1"/>
    <s v="Home"/>
    <s v="KIBOGA"/>
    <s v="KIBOGA"/>
    <s v="UG"/>
    <n v="2"/>
    <s v="Work"/>
    <x v="1"/>
    <n v="90000"/>
    <m/>
    <x v="0"/>
    <n v="1"/>
    <x v="1"/>
    <n v="5"/>
    <s v="Professional"/>
    <n v="3"/>
    <x v="1"/>
    <n v="2"/>
    <n v="3"/>
    <n v="1"/>
    <n v="5"/>
    <n v="4"/>
    <s v="Y"/>
    <n v="2000"/>
    <x v="1"/>
  </r>
  <r>
    <d v="2019-10-26T00:00:00"/>
    <d v="1899-12-30T14:24:00"/>
    <m/>
    <s v="D"/>
    <n v="2"/>
    <s v="Road Vehicle"/>
    <n v="4"/>
    <x v="3"/>
    <x v="0"/>
    <n v="2"/>
    <x v="1"/>
    <s v="HIOMA"/>
    <s v="HIOMA"/>
    <s v="UG"/>
    <n v="1"/>
    <s v="Home"/>
    <s v="HIOMA"/>
    <s v="HIOMA"/>
    <s v="UG"/>
    <n v="6"/>
    <s v="Leisure/Social"/>
    <x v="8"/>
    <n v="5000"/>
    <n v="30"/>
    <x v="4"/>
    <n v="1"/>
    <x v="1"/>
    <n v="8"/>
    <s v="Student"/>
    <n v="2"/>
    <x v="3"/>
    <n v="3"/>
    <n v="5"/>
    <n v="1"/>
    <n v="4"/>
    <n v="2"/>
    <s v="Y"/>
    <m/>
    <x v="3"/>
  </r>
  <r>
    <d v="2019-10-26T00:00:00"/>
    <d v="1899-12-30T15:24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5"/>
    <s v="Tourism"/>
    <x v="20"/>
    <n v="15000"/>
    <n v="200"/>
    <x v="3"/>
    <n v="3"/>
    <x v="0"/>
    <n v="2"/>
    <s v="Manual Labour"/>
    <n v="2"/>
    <x v="3"/>
    <n v="3"/>
    <n v="4"/>
    <n v="1"/>
    <n v="5"/>
    <n v="3"/>
    <s v="Y"/>
    <m/>
    <x v="3"/>
  </r>
  <r>
    <d v="2019-10-26T00:00:00"/>
    <d v="1899-12-30T15:37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1"/>
    <s v="Home"/>
    <x v="3"/>
    <n v="15000"/>
    <n v="200"/>
    <x v="3"/>
    <n v="4"/>
    <x v="2"/>
    <n v="2"/>
    <s v="Manual Labour"/>
    <n v="3"/>
    <x v="1"/>
    <n v="3"/>
    <n v="1"/>
    <n v="2"/>
    <n v="5"/>
    <n v="4"/>
    <s v="Y"/>
    <n v="5000"/>
    <x v="2"/>
  </r>
  <r>
    <d v="2019-10-26T00:00:00"/>
    <d v="1899-12-30T14:43:00"/>
    <m/>
    <s v="D"/>
    <n v="2"/>
    <s v="Road Vehicle"/>
    <n v="4"/>
    <x v="3"/>
    <x v="0"/>
    <n v="2"/>
    <x v="1"/>
    <s v="HIOMA"/>
    <s v="HIOMA"/>
    <s v="UG"/>
    <n v="2"/>
    <s v="Work"/>
    <s v="BULIMA"/>
    <s v="BULIMA"/>
    <s v="UG"/>
    <n v="2"/>
    <s v="Work"/>
    <x v="2"/>
    <n v="10000"/>
    <n v="20"/>
    <x v="4"/>
    <n v="40"/>
    <x v="2"/>
    <n v="2"/>
    <s v="Manual Labour"/>
    <n v="3"/>
    <x v="1"/>
    <n v="5"/>
    <n v="4"/>
    <n v="3"/>
    <n v="2"/>
    <n v="1"/>
    <s v="Y"/>
    <n v="2000"/>
    <x v="1"/>
  </r>
  <r>
    <d v="2019-10-26T00:00:00"/>
    <d v="1899-12-30T14:16:00"/>
    <m/>
    <s v="D"/>
    <n v="2"/>
    <s v="Road Vehicle"/>
    <n v="4"/>
    <x v="3"/>
    <x v="0"/>
    <n v="2"/>
    <x v="1"/>
    <s v="HIOMA"/>
    <s v="HIOMA"/>
    <s v="UG"/>
    <n v="2"/>
    <s v="Work"/>
    <s v="BULIISA"/>
    <s v="BULIISA"/>
    <s v="UG"/>
    <n v="1"/>
    <s v="Home"/>
    <x v="4"/>
    <n v="200000"/>
    <n v="72"/>
    <x v="1"/>
    <n v="1"/>
    <x v="1"/>
    <n v="5"/>
    <s v="Professional"/>
    <n v="3"/>
    <x v="1"/>
    <n v="2"/>
    <n v="1"/>
    <n v="3"/>
    <n v="4"/>
    <n v="5"/>
    <s v="Y"/>
    <n v="4000"/>
    <x v="0"/>
  </r>
  <r>
    <d v="2019-10-26T00:00:00"/>
    <d v="1899-12-30T14:08:00"/>
    <m/>
    <s v="D"/>
    <n v="2"/>
    <s v="Road Vehicle"/>
    <n v="4"/>
    <x v="3"/>
    <x v="0"/>
    <n v="2"/>
    <x v="1"/>
    <s v="HIOMA"/>
    <s v="HIOMA"/>
    <s v="UG"/>
    <n v="1"/>
    <s v="Home"/>
    <s v="KAMPALA"/>
    <s v="KAMPALA"/>
    <s v="UG"/>
    <n v="2"/>
    <s v="Work"/>
    <x v="1"/>
    <n v="1750000"/>
    <n v="190"/>
    <x v="2"/>
    <n v="3"/>
    <x v="0"/>
    <n v="10"/>
    <s v="Other"/>
    <n v="2"/>
    <x v="3"/>
    <n v="3"/>
    <n v="5"/>
    <n v="4"/>
    <n v="2"/>
    <n v="1"/>
    <s v="Y"/>
    <m/>
    <x v="3"/>
  </r>
  <r>
    <d v="2019-10-26T00:00:00"/>
    <d v="1899-12-30T15:42:00"/>
    <m/>
    <s v="D"/>
    <n v="2"/>
    <s v="Road Vehicle"/>
    <n v="4"/>
    <x v="3"/>
    <x v="0"/>
    <n v="2"/>
    <x v="1"/>
    <s v="HIOMA"/>
    <s v="HIOMA"/>
    <s v="UG"/>
    <n v="2"/>
    <s v="Work"/>
    <s v="BUSUNJJU"/>
    <s v="BUSUJJU"/>
    <s v="UG"/>
    <n v="2"/>
    <s v="Work"/>
    <x v="2"/>
    <n v="120000"/>
    <n v="111"/>
    <x v="2"/>
    <n v="3"/>
    <x v="0"/>
    <n v="6"/>
    <s v="Businessman"/>
    <n v="4"/>
    <x v="0"/>
    <n v="5"/>
    <n v="4"/>
    <n v="3"/>
    <n v="2"/>
    <n v="5"/>
    <s v="Y"/>
    <n v="1000"/>
    <x v="4"/>
  </r>
  <r>
    <d v="2019-10-26T00:00:00"/>
    <d v="1899-12-30T12:39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1"/>
    <s v="Home"/>
    <x v="3"/>
    <n v="13000"/>
    <n v="190"/>
    <x v="2"/>
    <n v="3"/>
    <x v="0"/>
    <n v="5"/>
    <s v="Professional"/>
    <n v="3"/>
    <x v="1"/>
    <n v="2"/>
    <n v="1"/>
    <n v="3"/>
    <n v="5"/>
    <n v="4"/>
    <s v="Y"/>
    <n v="10000"/>
    <x v="5"/>
  </r>
  <r>
    <d v="2019-10-26T00:00:00"/>
    <d v="1899-12-30T12:20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2"/>
    <s v="Work"/>
    <x v="2"/>
    <n v="700000"/>
    <n v="195"/>
    <x v="2"/>
    <n v="3"/>
    <x v="0"/>
    <n v="2"/>
    <s v="Manual Labour"/>
    <n v="4"/>
    <x v="0"/>
    <n v="1"/>
    <n v="2"/>
    <n v="5"/>
    <n v="3"/>
    <n v="4"/>
    <s v="Y"/>
    <n v="1000"/>
    <x v="4"/>
  </r>
  <r>
    <d v="2019-10-26T00:00:00"/>
    <d v="1899-12-30T13:58:00"/>
    <m/>
    <s v="D"/>
    <n v="2"/>
    <s v="Road Vehicle"/>
    <n v="4"/>
    <x v="3"/>
    <x v="0"/>
    <n v="2"/>
    <x v="1"/>
    <s v="HIOMA"/>
    <s v="HIOMA"/>
    <s v="UG"/>
    <n v="4"/>
    <s v="Commercial"/>
    <s v="KAISO"/>
    <s v="KIBUULE"/>
    <s v="UG"/>
    <n v="2"/>
    <s v="Work"/>
    <x v="24"/>
    <n v="70000"/>
    <n v="200"/>
    <x v="3"/>
    <n v="3"/>
    <x v="0"/>
    <n v="10"/>
    <s v="Other"/>
    <n v="4"/>
    <x v="0"/>
    <n v="5"/>
    <n v="4"/>
    <n v="3"/>
    <n v="2"/>
    <n v="1"/>
    <s v="Y"/>
    <n v="2000"/>
    <x v="1"/>
  </r>
  <r>
    <d v="2019-10-26T00:00:00"/>
    <d v="1899-12-30T07:08:00"/>
    <m/>
    <s v="P"/>
    <n v="2"/>
    <s v="Road Vehicle"/>
    <n v="4"/>
    <x v="3"/>
    <x v="0"/>
    <n v="2"/>
    <x v="1"/>
    <s v="HIOMA"/>
    <s v="HIOMA"/>
    <s v="UG"/>
    <n v="1"/>
    <s v="Home"/>
    <s v="KAMPALA"/>
    <s v="KAMPALA"/>
    <s v="UG"/>
    <n v="3"/>
    <s v="Study"/>
    <x v="25"/>
    <n v="15000"/>
    <n v="450"/>
    <x v="3"/>
    <n v="3"/>
    <x v="0"/>
    <n v="6"/>
    <s v="Businessman"/>
    <n v="4"/>
    <x v="0"/>
    <n v="1"/>
    <n v="2"/>
    <n v="5"/>
    <n v="3"/>
    <n v="4"/>
    <s v="Y"/>
    <n v="1000"/>
    <x v="4"/>
  </r>
  <r>
    <d v="2019-10-26T00:00:00"/>
    <d v="1899-12-30T15:13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13000"/>
    <n v="195"/>
    <x v="2"/>
    <n v="2"/>
    <x v="0"/>
    <n v="3"/>
    <s v="Artisan/Domestic"/>
    <n v="4"/>
    <x v="0"/>
    <n v="2"/>
    <n v="1"/>
    <n v="5"/>
    <n v="3"/>
    <n v="4"/>
    <s v="Y"/>
    <n v="4000"/>
    <x v="0"/>
  </r>
  <r>
    <d v="2019-10-26T00:00:00"/>
    <d v="1899-12-30T07:36:00"/>
    <m/>
    <s v="P"/>
    <n v="2"/>
    <s v="Road Vehicle"/>
    <n v="4"/>
    <x v="3"/>
    <x v="0"/>
    <n v="2"/>
    <x v="1"/>
    <s v="HIOMA"/>
    <s v="HIOMA"/>
    <s v="UG"/>
    <n v="2"/>
    <s v="Work"/>
    <s v="BUSUNJJU"/>
    <s v="BUSUJJU"/>
    <s v="UG"/>
    <n v="1"/>
    <s v="Home"/>
    <x v="4"/>
    <n v="15000"/>
    <n v="160"/>
    <x v="2"/>
    <n v="2"/>
    <x v="0"/>
    <n v="7"/>
    <s v="Farmer"/>
    <n v="2"/>
    <x v="3"/>
    <n v="4"/>
    <n v="3"/>
    <n v="2"/>
    <n v="1"/>
    <n v="5"/>
    <s v="Y"/>
    <m/>
    <x v="3"/>
  </r>
  <r>
    <d v="2019-10-26T00:00:00"/>
    <d v="1899-12-30T08:36:00"/>
    <m/>
    <s v="D"/>
    <n v="2"/>
    <s v="Road Vehicle"/>
    <n v="4"/>
    <x v="3"/>
    <x v="0"/>
    <n v="2"/>
    <x v="1"/>
    <s v="HIOMA"/>
    <s v="HIOMA"/>
    <s v="UG"/>
    <n v="2"/>
    <s v="Work"/>
    <s v="KAISO"/>
    <s v="KIBUULE"/>
    <s v="UG"/>
    <n v="1"/>
    <s v="Home"/>
    <x v="4"/>
    <n v="250000"/>
    <n v="114"/>
    <x v="2"/>
    <n v="3"/>
    <x v="0"/>
    <n v="10"/>
    <s v="Other"/>
    <n v="3"/>
    <x v="1"/>
    <n v="1"/>
    <n v="2"/>
    <n v="3"/>
    <n v="4"/>
    <n v="2"/>
    <s v="Y"/>
    <n v="1000"/>
    <x v="4"/>
  </r>
  <r>
    <d v="2019-10-26T00:00:00"/>
    <d v="1899-12-30T08:29:00"/>
    <m/>
    <s v="P"/>
    <n v="2"/>
    <s v="Road Vehicle"/>
    <n v="4"/>
    <x v="3"/>
    <x v="0"/>
    <n v="2"/>
    <x v="1"/>
    <s v="HIOMA"/>
    <s v="HIOMA"/>
    <s v="UG"/>
    <n v="3"/>
    <s v="Study"/>
    <s v="KAISO"/>
    <s v="KIBUULE"/>
    <s v="UG"/>
    <n v="1"/>
    <s v="Home"/>
    <x v="9"/>
    <n v="150000"/>
    <n v="110"/>
    <x v="2"/>
    <n v="2"/>
    <x v="0"/>
    <n v="6"/>
    <s v="Businessman"/>
    <n v="2"/>
    <x v="3"/>
    <n v="1"/>
    <n v="2"/>
    <n v="5"/>
    <n v="1"/>
    <n v="3"/>
    <s v="Y"/>
    <m/>
    <x v="3"/>
  </r>
  <r>
    <d v="2019-10-26T00:00:00"/>
    <d v="1899-12-30T17:16:00"/>
    <m/>
    <s v="P"/>
    <n v="2"/>
    <s v="Road Vehicle"/>
    <n v="4"/>
    <x v="3"/>
    <x v="0"/>
    <n v="2"/>
    <x v="1"/>
    <s v="HIOMA"/>
    <s v="HIOMA"/>
    <s v="UG"/>
    <n v="4"/>
    <s v="Commercial"/>
    <s v="KAMPALA"/>
    <s v="KAMPALA"/>
    <s v="UG"/>
    <n v="1"/>
    <s v="Home"/>
    <x v="3"/>
    <n v="150000"/>
    <n v="210"/>
    <x v="3"/>
    <n v="4"/>
    <x v="2"/>
    <n v="6"/>
    <s v="Businessman"/>
    <n v="1"/>
    <x v="2"/>
    <n v="1"/>
    <n v="1"/>
    <n v="1"/>
    <n v="1"/>
    <n v="1"/>
    <s v="Y"/>
    <n v="2500"/>
    <x v="1"/>
  </r>
  <r>
    <d v="2019-10-26T00:00:00"/>
    <d v="1899-12-30T16:10:00"/>
    <m/>
    <s v="D"/>
    <n v="2"/>
    <s v="Road Vehicle"/>
    <n v="4"/>
    <x v="3"/>
    <x v="0"/>
    <n v="2"/>
    <x v="1"/>
    <s v="HIOMA"/>
    <s v="HIOMA"/>
    <s v="UG"/>
    <n v="8"/>
    <s v="Others"/>
    <s v="KAMPALA"/>
    <s v="KAMPALA"/>
    <s v="UG"/>
    <n v="2"/>
    <s v="Work"/>
    <x v="14"/>
    <n v="150000"/>
    <n v="180"/>
    <x v="2"/>
    <n v="4"/>
    <x v="2"/>
    <n v="5"/>
    <s v="Professional"/>
    <n v="4"/>
    <x v="0"/>
    <n v="2"/>
    <n v="5"/>
    <n v="1"/>
    <n v="3"/>
    <n v="4"/>
    <s v="Y"/>
    <n v="3000"/>
    <x v="0"/>
  </r>
  <r>
    <d v="2019-10-26T00:00:00"/>
    <d v="1899-12-30T16:00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2"/>
    <s v="Work"/>
    <x v="2"/>
    <n v="250000"/>
    <n v="210"/>
    <x v="3"/>
    <n v="3"/>
    <x v="0"/>
    <n v="10"/>
    <s v="Other"/>
    <n v="2"/>
    <x v="3"/>
    <n v="3"/>
    <n v="1"/>
    <n v="5"/>
    <n v="4"/>
    <n v="3"/>
    <s v="Y"/>
    <n v="4000"/>
    <x v="0"/>
  </r>
  <r>
    <d v="2019-10-26T00:00:00"/>
    <d v="1899-12-30T10:17:00"/>
    <m/>
    <s v="P"/>
    <n v="2"/>
    <s v="Road Vehicle"/>
    <n v="4"/>
    <x v="3"/>
    <x v="0"/>
    <n v="2"/>
    <x v="1"/>
    <s v="HIOMA"/>
    <s v="HIOMA"/>
    <s v="UG"/>
    <n v="2"/>
    <s v="Work"/>
    <s v="ARUA"/>
    <s v="ARUA"/>
    <s v="UG"/>
    <n v="1"/>
    <s v="Home"/>
    <x v="4"/>
    <n v="350000"/>
    <n v="390"/>
    <x v="3"/>
    <n v="8"/>
    <x v="2"/>
    <n v="4"/>
    <s v="Office Worker"/>
    <n v="3"/>
    <x v="1"/>
    <n v="3"/>
    <n v="4"/>
    <n v="5"/>
    <n v="2"/>
    <n v="1"/>
    <s v="Y"/>
    <n v="3000"/>
    <x v="0"/>
  </r>
  <r>
    <d v="2019-10-26T00:00:00"/>
    <d v="1899-12-30T10:08:00"/>
    <m/>
    <s v="D"/>
    <n v="2"/>
    <s v="Road Vehicle"/>
    <n v="4"/>
    <x v="3"/>
    <x v="0"/>
    <n v="2"/>
    <x v="1"/>
    <s v="HIOMA"/>
    <s v="HIOMA"/>
    <s v="UG"/>
    <n v="4"/>
    <s v="Commercial"/>
    <s v="ARUA"/>
    <s v="ARUA"/>
    <s v="UG"/>
    <n v="1"/>
    <s v="Home"/>
    <x v="3"/>
    <n v="700000"/>
    <n v="390"/>
    <x v="3"/>
    <n v="8"/>
    <x v="2"/>
    <n v="10"/>
    <s v="Other"/>
    <n v="4"/>
    <x v="0"/>
    <n v="2"/>
    <n v="1"/>
    <n v="5"/>
    <n v="4"/>
    <n v="3"/>
    <s v="Y"/>
    <n v="5000"/>
    <x v="2"/>
  </r>
  <r>
    <d v="2019-10-26T00:00:00"/>
    <d v="1899-12-30T09:53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200000"/>
    <n v="200"/>
    <x v="3"/>
    <n v="4"/>
    <x v="2"/>
    <n v="10"/>
    <s v="Other"/>
    <n v="3"/>
    <x v="1"/>
    <n v="5"/>
    <n v="1"/>
    <n v="2"/>
    <n v="4"/>
    <n v="3"/>
    <s v="Y"/>
    <n v="1000"/>
    <x v="4"/>
  </r>
  <r>
    <d v="2019-10-26T00:00:00"/>
    <d v="1899-12-30T09:43:00"/>
    <m/>
    <s v="D"/>
    <n v="2"/>
    <s v="Road Vehicle"/>
    <n v="4"/>
    <x v="3"/>
    <x v="0"/>
    <n v="2"/>
    <x v="1"/>
    <s v="HIOMA"/>
    <s v="HIOMA"/>
    <s v="UG"/>
    <n v="2"/>
    <s v="Work"/>
    <s v="BUSUNJJU"/>
    <s v="BUSUJJU"/>
    <s v="UG"/>
    <n v="2"/>
    <s v="Work"/>
    <x v="2"/>
    <n v="200000"/>
    <n v="80"/>
    <x v="1"/>
    <n v="3"/>
    <x v="0"/>
    <n v="10"/>
    <s v="Other"/>
    <n v="2"/>
    <x v="3"/>
    <n v="1"/>
    <n v="2"/>
    <n v="5"/>
    <n v="4"/>
    <n v="3"/>
    <s v="Y"/>
    <n v="2000"/>
    <x v="1"/>
  </r>
  <r>
    <d v="2019-10-26T00:00:00"/>
    <d v="1899-12-30T09:28:00"/>
    <m/>
    <s v="D"/>
    <n v="2"/>
    <s v="Road Vehicle"/>
    <n v="4"/>
    <x v="3"/>
    <x v="0"/>
    <n v="2"/>
    <x v="1"/>
    <s v="HIOMA"/>
    <s v="HIOMA"/>
    <s v="UG"/>
    <n v="1"/>
    <s v="Home"/>
    <s v="BIISO"/>
    <s v="MASINDI"/>
    <s v="UG"/>
    <n v="2"/>
    <s v="Work"/>
    <x v="1"/>
    <n v="190000"/>
    <n v="73"/>
    <x v="1"/>
    <n v="2"/>
    <x v="0"/>
    <n v="10"/>
    <s v="Other"/>
    <n v="3"/>
    <x v="1"/>
    <n v="5"/>
    <n v="1"/>
    <n v="2"/>
    <n v="3"/>
    <n v="2"/>
    <s v="Y"/>
    <m/>
    <x v="3"/>
  </r>
  <r>
    <d v="2019-10-26T00:00:00"/>
    <d v="1899-12-30T09:30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2"/>
    <s v="Work"/>
    <x v="2"/>
    <n v="13000"/>
    <n v="190"/>
    <x v="2"/>
    <n v="3"/>
    <x v="0"/>
    <n v="5"/>
    <s v="Professional"/>
    <n v="4"/>
    <x v="0"/>
    <n v="1"/>
    <n v="2"/>
    <n v="3"/>
    <n v="5"/>
    <n v="4"/>
    <s v="Y"/>
    <n v="5000"/>
    <x v="2"/>
  </r>
  <r>
    <d v="2019-10-26T00:00:00"/>
    <d v="1899-12-30T13:28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700000"/>
    <n v="190"/>
    <x v="2"/>
    <n v="4"/>
    <x v="2"/>
    <n v="10"/>
    <s v="Other"/>
    <n v="4"/>
    <x v="0"/>
    <n v="2"/>
    <n v="1"/>
    <n v="3"/>
    <n v="5"/>
    <n v="4"/>
    <s v="Y"/>
    <n v="1000"/>
    <x v="4"/>
  </r>
  <r>
    <d v="2019-10-26T00:00:00"/>
    <d v="1899-12-30T09:01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180000"/>
    <n v="190"/>
    <x v="2"/>
    <n v="4"/>
    <x v="2"/>
    <n v="10"/>
    <s v="Other"/>
    <n v="3"/>
    <x v="1"/>
    <n v="3"/>
    <n v="1"/>
    <n v="2"/>
    <n v="4"/>
    <n v="3"/>
    <s v="Y"/>
    <n v="3000"/>
    <x v="0"/>
  </r>
  <r>
    <d v="2019-10-26T00:00:00"/>
    <d v="1899-12-30T07:59:00"/>
    <m/>
    <s v="D"/>
    <n v="2"/>
    <s v="Road Vehicle"/>
    <n v="4"/>
    <x v="3"/>
    <x v="0"/>
    <n v="2"/>
    <x v="1"/>
    <s v="HIOMA"/>
    <s v="HIOMA"/>
    <s v="UG"/>
    <n v="2"/>
    <s v="Work"/>
    <s v="KAMPALA"/>
    <s v="KAMPALA"/>
    <s v="UG"/>
    <n v="1"/>
    <s v="Home"/>
    <x v="4"/>
    <n v="200000"/>
    <n v="220"/>
    <x v="3"/>
    <n v="3"/>
    <x v="0"/>
    <n v="10"/>
    <s v="Other"/>
    <n v="4"/>
    <x v="0"/>
    <n v="1"/>
    <n v="2"/>
    <n v="5"/>
    <n v="4"/>
    <n v="3"/>
    <s v="Y"/>
    <m/>
    <x v="3"/>
  </r>
  <r>
    <d v="2019-10-26T00:00:00"/>
    <d v="1899-12-30T07:53:00"/>
    <m/>
    <s v="D"/>
    <n v="2"/>
    <s v="Road Vehicle"/>
    <n v="4"/>
    <x v="3"/>
    <x v="0"/>
    <n v="2"/>
    <x v="1"/>
    <s v="HIOMA"/>
    <s v="HIOMA"/>
    <s v="UG"/>
    <n v="2"/>
    <s v="Work"/>
    <s v="KAGADI"/>
    <s v="KAGADI"/>
    <s v="UG"/>
    <n v="1"/>
    <s v="Home"/>
    <x v="4"/>
    <n v="180000"/>
    <n v="115"/>
    <x v="2"/>
    <n v="3"/>
    <x v="0"/>
    <n v="10"/>
    <s v="Other"/>
    <n v="2"/>
    <x v="3"/>
    <n v="2"/>
    <n v="3"/>
    <n v="1"/>
    <n v="4"/>
    <n v="5"/>
    <s v="Y"/>
    <m/>
    <x v="3"/>
  </r>
  <r>
    <d v="2019-10-24T00:00:00"/>
    <d v="1899-12-30T08:54:00"/>
    <m/>
    <s v="P"/>
    <n v="2"/>
    <s v="Road Vehicle"/>
    <n v="1"/>
    <x v="0"/>
    <x v="0"/>
    <n v="3"/>
    <x v="2"/>
    <s v="HIOMA"/>
    <s v="HIOMA"/>
    <s v="UG"/>
    <n v="1"/>
    <s v="Home"/>
    <s v="KIBUROYA"/>
    <s v="KIKUUBE"/>
    <s v="UG"/>
    <n v="2"/>
    <s v="Work"/>
    <x v="1"/>
    <n v="7000"/>
    <n v="30"/>
    <x v="4"/>
    <n v="1"/>
    <x v="1"/>
    <n v="4"/>
    <s v="Office Worker"/>
    <n v="4"/>
    <x v="0"/>
    <n v="3"/>
    <n v="5"/>
    <n v="2"/>
    <n v="1"/>
    <n v="4"/>
    <s v="Y"/>
    <n v="1000"/>
    <x v="4"/>
  </r>
  <r>
    <d v="2019-10-25T00:00:00"/>
    <d v="1899-12-30T10:00:00"/>
    <m/>
    <s v="D"/>
    <n v="2"/>
    <s v="Road Vehicle"/>
    <n v="1"/>
    <x v="0"/>
    <x v="0"/>
    <n v="3"/>
    <x v="2"/>
    <s v="HIOMA"/>
    <s v="HIOMA"/>
    <s v="UG"/>
    <n v="2"/>
    <s v="Work"/>
    <s v="MASINDI"/>
    <s v="MASINDI"/>
    <s v="UG"/>
    <n v="1"/>
    <s v="Home"/>
    <x v="4"/>
    <n v="5000"/>
    <n v="40"/>
    <x v="5"/>
    <n v="3"/>
    <x v="0"/>
    <n v="5"/>
    <s v="Professional"/>
    <n v="3"/>
    <x v="1"/>
    <n v="2"/>
    <n v="3"/>
    <n v="5"/>
    <n v="4"/>
    <n v="1"/>
    <s v="Y"/>
    <m/>
    <x v="3"/>
  </r>
  <r>
    <d v="2019-10-25T00:00:00"/>
    <d v="1899-12-30T10:07:00"/>
    <m/>
    <s v="D"/>
    <n v="2"/>
    <s v="Road Vehicle"/>
    <n v="1"/>
    <x v="0"/>
    <x v="0"/>
    <n v="3"/>
    <x v="2"/>
    <s v="HIOMA"/>
    <s v="HIOMA"/>
    <s v="UG"/>
    <n v="1"/>
    <s v="Home"/>
    <s v="MASINDI"/>
    <s v="MASINDI"/>
    <s v="UG"/>
    <n v="2"/>
    <s v="Work"/>
    <x v="1"/>
    <n v="50000"/>
    <n v="40"/>
    <x v="5"/>
    <n v="2"/>
    <x v="0"/>
    <n v="6"/>
    <s v="Businessman"/>
    <n v="3"/>
    <x v="1"/>
    <n v="3"/>
    <n v="4"/>
    <n v="5"/>
    <n v="1"/>
    <n v="2"/>
    <s v="Y"/>
    <n v="1000"/>
    <x v="4"/>
  </r>
  <r>
    <d v="2019-10-24T00:00:00"/>
    <d v="1899-12-30T15:21:00"/>
    <m/>
    <s v="P"/>
    <n v="2"/>
    <s v="Road Vehicle"/>
    <n v="6"/>
    <x v="1"/>
    <x v="1"/>
    <n v="3"/>
    <x v="2"/>
    <s v="HIOMA"/>
    <s v="HIOMA"/>
    <s v="UG"/>
    <n v="2"/>
    <s v="Work"/>
    <s v="ARUA"/>
    <s v="ARUA"/>
    <s v="UG"/>
    <n v="2"/>
    <s v="Work"/>
    <x v="2"/>
    <n v="35000"/>
    <n v="200"/>
    <x v="3"/>
    <n v="8"/>
    <x v="2"/>
    <n v="10"/>
    <s v="Other"/>
    <n v="3"/>
    <x v="1"/>
    <n v="2"/>
    <n v="1"/>
    <n v="3"/>
    <n v="4"/>
    <n v="5"/>
    <s v="Y"/>
    <n v="2000"/>
    <x v="1"/>
  </r>
  <r>
    <d v="2019-10-24T00:00:00"/>
    <s v="18;33"/>
    <m/>
    <s v="D"/>
    <n v="2"/>
    <s v="Road Vehicle"/>
    <n v="6"/>
    <x v="1"/>
    <x v="0"/>
    <n v="3"/>
    <x v="2"/>
    <s v="HIOMA"/>
    <s v="HIOMA"/>
    <s v="UG"/>
    <n v="1"/>
    <s v="Home"/>
    <s v="KAISO"/>
    <s v="KAISO"/>
    <s v="UG"/>
    <n v="2"/>
    <s v="Work"/>
    <x v="1"/>
    <n v="600000"/>
    <n v="120"/>
    <x v="2"/>
    <n v="2"/>
    <x v="0"/>
    <n v="10"/>
    <s v="Other"/>
    <n v="3"/>
    <x v="1"/>
    <n v="2"/>
    <n v="3"/>
    <n v="1"/>
    <n v="5"/>
    <n v="4"/>
    <s v="Y"/>
    <m/>
    <x v="3"/>
  </r>
  <r>
    <d v="2019-10-24T00:00:00"/>
    <d v="1899-12-30T17:52:00"/>
    <m/>
    <s v="D"/>
    <n v="2"/>
    <s v="Road Vehicle"/>
    <n v="6"/>
    <x v="1"/>
    <x v="0"/>
    <n v="3"/>
    <x v="2"/>
    <s v="HIOMA"/>
    <s v="HIOMA"/>
    <s v="UG"/>
    <n v="2"/>
    <s v="Work"/>
    <s v="KIBUULE"/>
    <s v="KIBUULE"/>
    <s v="UG"/>
    <n v="1"/>
    <s v="Home"/>
    <x v="4"/>
    <n v="700000"/>
    <n v="120"/>
    <x v="2"/>
    <n v="2"/>
    <x v="0"/>
    <n v="10"/>
    <s v="Other"/>
    <n v="4"/>
    <x v="0"/>
    <n v="2"/>
    <n v="1"/>
    <n v="3"/>
    <n v="4"/>
    <n v="5"/>
    <s v="Y"/>
    <n v="2000"/>
    <x v="1"/>
  </r>
  <r>
    <d v="2019-10-24T00:00:00"/>
    <d v="1899-12-30T16:25:00"/>
    <m/>
    <s v="D"/>
    <n v="2"/>
    <s v="Road Vehicle"/>
    <n v="6"/>
    <x v="1"/>
    <x v="0"/>
    <n v="3"/>
    <x v="2"/>
    <s v="HIOMA"/>
    <s v="HIOMA"/>
    <s v="UG"/>
    <n v="1"/>
    <s v="Home"/>
    <s v="KAMPALA"/>
    <s v="KAMPALA"/>
    <s v="UG"/>
    <n v="2"/>
    <s v="Work"/>
    <x v="1"/>
    <n v="700000"/>
    <n v="200"/>
    <x v="3"/>
    <n v="4"/>
    <x v="2"/>
    <n v="10"/>
    <s v="Other"/>
    <n v="2"/>
    <x v="3"/>
    <n v="2"/>
    <n v="1"/>
    <n v="3"/>
    <n v="4"/>
    <n v="5"/>
    <s v="Y"/>
    <n v="1000"/>
    <x v="4"/>
  </r>
  <r>
    <d v="2019-10-24T00:00:00"/>
    <d v="1899-12-30T16:15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200"/>
    <x v="3"/>
    <n v="4"/>
    <x v="2"/>
    <n v="10"/>
    <s v="Other"/>
    <n v="4"/>
    <x v="0"/>
    <n v="1"/>
    <n v="5"/>
    <n v="4"/>
    <n v="3"/>
    <n v="2"/>
    <s v="Y"/>
    <m/>
    <x v="3"/>
  </r>
  <r>
    <d v="2019-10-24T00:00:00"/>
    <d v="1899-12-30T15:13:00"/>
    <m/>
    <s v="D"/>
    <n v="2"/>
    <s v="Road Vehicle"/>
    <n v="6"/>
    <x v="1"/>
    <x v="0"/>
    <n v="3"/>
    <x v="2"/>
    <s v="HIOMA"/>
    <s v="HIOMA"/>
    <s v="UG"/>
    <n v="2"/>
    <s v="Work"/>
    <s v="ARUA"/>
    <s v="ARUA"/>
    <s v="UG"/>
    <n v="1"/>
    <s v="Home"/>
    <x v="4"/>
    <n v="700000"/>
    <n v="190"/>
    <x v="2"/>
    <n v="3"/>
    <x v="0"/>
    <n v="10"/>
    <s v="Other"/>
    <n v="4"/>
    <x v="0"/>
    <n v="1"/>
    <n v="1"/>
    <n v="5"/>
    <n v="2"/>
    <n v="4"/>
    <s v="Y"/>
    <n v="1000"/>
    <x v="4"/>
  </r>
  <r>
    <d v="2019-10-24T00:00:00"/>
    <d v="1899-12-30T14:55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2"/>
    <s v="Work"/>
    <x v="2"/>
    <n v="700000"/>
    <n v="190"/>
    <x v="2"/>
    <n v="3"/>
    <x v="0"/>
    <n v="10"/>
    <s v="Other"/>
    <n v="4"/>
    <x v="0"/>
    <n v="3"/>
    <n v="2"/>
    <n v="1"/>
    <n v="5"/>
    <n v="4"/>
    <s v="Y"/>
    <m/>
    <x v="3"/>
  </r>
  <r>
    <d v="2019-10-24T00:00:00"/>
    <d v="1899-12-30T14:31:00"/>
    <m/>
    <s v="P"/>
    <n v="2"/>
    <s v="Road Vehicle"/>
    <n v="6"/>
    <x v="1"/>
    <x v="0"/>
    <n v="3"/>
    <x v="2"/>
    <s v="HIOMA"/>
    <s v="HIOMA"/>
    <s v="UG"/>
    <n v="4"/>
    <s v="Commercial"/>
    <s v="KAMPALA"/>
    <s v="KAMPALA"/>
    <s v="UG"/>
    <n v="3"/>
    <s v="Study"/>
    <x v="26"/>
    <n v="13000"/>
    <n v="190"/>
    <x v="2"/>
    <n v="3"/>
    <x v="0"/>
    <n v="2"/>
    <s v="Manual Labour"/>
    <n v="1"/>
    <x v="2"/>
    <n v="3"/>
    <n v="2"/>
    <n v="1"/>
    <n v="5"/>
    <n v="4"/>
    <s v="Y"/>
    <n v="5000"/>
    <x v="2"/>
  </r>
  <r>
    <d v="2019-10-24T00:00:00"/>
    <d v="1899-12-30T23:50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200"/>
    <x v="3"/>
    <n v="4"/>
    <x v="2"/>
    <n v="10"/>
    <s v="Other"/>
    <n v="4"/>
    <x v="0"/>
    <n v="1"/>
    <n v="2"/>
    <n v="3"/>
    <n v="4"/>
    <n v="5"/>
    <s v="Y"/>
    <m/>
    <x v="3"/>
  </r>
  <r>
    <d v="2019-10-24T00:00:00"/>
    <d v="1899-12-30T13:35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95"/>
    <x v="2"/>
    <n v="4"/>
    <x v="2"/>
    <n v="10"/>
    <s v="Other"/>
    <n v="4"/>
    <x v="0"/>
    <n v="4"/>
    <n v="2"/>
    <n v="1"/>
    <n v="3"/>
    <n v="5"/>
    <s v="Y"/>
    <n v="1000"/>
    <x v="4"/>
  </r>
  <r>
    <d v="2019-10-24T00:00:00"/>
    <d v="1899-12-30T12:52:00"/>
    <m/>
    <s v="D"/>
    <n v="2"/>
    <s v="Road Vehicle"/>
    <n v="6"/>
    <x v="1"/>
    <x v="0"/>
    <n v="3"/>
    <x v="2"/>
    <s v="HIOMA"/>
    <s v="HIOMA"/>
    <s v="UG"/>
    <n v="1"/>
    <s v="Home"/>
    <s v="KAISO"/>
    <s v="KAISO"/>
    <s v="UG"/>
    <n v="2"/>
    <s v="Work"/>
    <x v="1"/>
    <n v="600000"/>
    <n v="150"/>
    <x v="2"/>
    <n v="2"/>
    <x v="0"/>
    <n v="10"/>
    <s v="Other"/>
    <n v="3"/>
    <x v="1"/>
    <n v="2"/>
    <n v="3"/>
    <n v="1"/>
    <n v="9"/>
    <n v="5"/>
    <s v="Y"/>
    <n v="2000"/>
    <x v="1"/>
  </r>
  <r>
    <d v="2019-10-24T00:00:00"/>
    <d v="1899-12-30T12:47:00"/>
    <m/>
    <s v="D"/>
    <n v="2"/>
    <s v="Road Vehicle"/>
    <n v="6"/>
    <x v="1"/>
    <x v="0"/>
    <n v="3"/>
    <x v="2"/>
    <s v="HIOMA"/>
    <s v="HIOMA"/>
    <s v="UG"/>
    <n v="1"/>
    <s v="Home"/>
    <s v="KAMPALA"/>
    <s v="KAMPALA"/>
    <s v="UG"/>
    <n v="2"/>
    <s v="Work"/>
    <x v="1"/>
    <n v="650000"/>
    <n v="198"/>
    <x v="2"/>
    <n v="4"/>
    <x v="2"/>
    <n v="10"/>
    <s v="Other"/>
    <n v="3"/>
    <x v="1"/>
    <n v="2"/>
    <n v="3"/>
    <n v="1"/>
    <n v="5"/>
    <n v="4"/>
    <s v="Y"/>
    <n v="1000"/>
    <x v="4"/>
  </r>
  <r>
    <d v="2019-10-25T00:00:00"/>
    <d v="1899-12-30T18:09:00"/>
    <m/>
    <s v="D"/>
    <n v="2"/>
    <s v="Road Vehicle"/>
    <n v="6"/>
    <x v="1"/>
    <x v="0"/>
    <n v="3"/>
    <x v="2"/>
    <s v="HIOMA"/>
    <s v="HIOMA"/>
    <s v="UG"/>
    <n v="1"/>
    <s v="Home"/>
    <s v="HIOMA"/>
    <s v="HIOMA"/>
    <s v="UG"/>
    <n v="2"/>
    <s v="Work"/>
    <x v="1"/>
    <n v="10000"/>
    <n v="130"/>
    <x v="2"/>
    <n v="3"/>
    <x v="0"/>
    <n v="10"/>
    <s v="Other"/>
    <n v="5"/>
    <x v="4"/>
    <n v="2"/>
    <n v="1"/>
    <n v="3"/>
    <n v="4"/>
    <n v="5"/>
    <s v="Y"/>
    <n v="3000"/>
    <x v="0"/>
  </r>
  <r>
    <d v="2019-10-25T00:00:00"/>
    <d v="1899-12-30T17:53:00"/>
    <m/>
    <s v="D"/>
    <n v="2"/>
    <s v="Road Vehicle"/>
    <n v="6"/>
    <x v="1"/>
    <x v="0"/>
    <n v="3"/>
    <x v="2"/>
    <s v="HIOMA"/>
    <s v="HIOMA"/>
    <s v="UG"/>
    <n v="2"/>
    <s v="Work"/>
    <s v="ARUA"/>
    <s v="ARUA"/>
    <s v="UG"/>
    <n v="1"/>
    <s v="Home"/>
    <x v="4"/>
    <n v="750000"/>
    <n v="400"/>
    <x v="3"/>
    <n v="8"/>
    <x v="2"/>
    <n v="10"/>
    <s v="Other"/>
    <n v="5"/>
    <x v="4"/>
    <n v="1"/>
    <n v="2"/>
    <n v="5"/>
    <n v="3"/>
    <n v="4"/>
    <s v="Y"/>
    <n v="3000"/>
    <x v="0"/>
  </r>
  <r>
    <d v="2019-10-25T00:00:00"/>
    <d v="1899-12-30T17:45:00"/>
    <m/>
    <s v="D"/>
    <n v="2"/>
    <s v="Road Vehicle"/>
    <n v="6"/>
    <x v="1"/>
    <x v="0"/>
    <n v="3"/>
    <x v="2"/>
    <s v="HIOMA"/>
    <s v="HIOMA"/>
    <s v="UG"/>
    <n v="2"/>
    <s v="Work"/>
    <s v="KAISO"/>
    <s v="KAISO"/>
    <s v="UG"/>
    <n v="1"/>
    <s v="Home"/>
    <x v="4"/>
    <n v="500000"/>
    <n v="75"/>
    <x v="1"/>
    <n v="2"/>
    <x v="0"/>
    <n v="10"/>
    <s v="Other"/>
    <n v="4"/>
    <x v="0"/>
    <n v="2"/>
    <n v="1"/>
    <n v="5"/>
    <n v="2"/>
    <n v="4"/>
    <s v="Y"/>
    <n v="1000"/>
    <x v="4"/>
  </r>
  <r>
    <d v="2019-10-25T00:00:00"/>
    <d v="1899-12-30T17:32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90"/>
    <x v="2"/>
    <n v="4"/>
    <x v="2"/>
    <n v="10"/>
    <s v="Other"/>
    <n v="3"/>
    <x v="1"/>
    <n v="2"/>
    <n v="1"/>
    <n v="3"/>
    <n v="2"/>
    <n v="1"/>
    <s v="Y"/>
    <m/>
    <x v="3"/>
  </r>
  <r>
    <d v="2019-10-25T00:00:00"/>
    <d v="1899-12-30T15:20:00"/>
    <m/>
    <s v="P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130000"/>
    <n v="200"/>
    <x v="3"/>
    <n v="5"/>
    <x v="2"/>
    <n v="5"/>
    <s v="Professional"/>
    <n v="4"/>
    <x v="0"/>
    <n v="2"/>
    <n v="2"/>
    <n v="4"/>
    <n v="2"/>
    <n v="5"/>
    <s v="Y"/>
    <m/>
    <x v="3"/>
  </r>
  <r>
    <d v="2019-10-25T00:00:00"/>
    <d v="1899-12-30T15:06:00"/>
    <m/>
    <s v="P"/>
    <n v="2"/>
    <s v="Road Vehicle"/>
    <n v="6"/>
    <x v="1"/>
    <x v="0"/>
    <n v="3"/>
    <x v="2"/>
    <s v="HIOMA"/>
    <s v="HIOMA"/>
    <s v="UG"/>
    <n v="4"/>
    <s v="Commercial"/>
    <s v="KAMPALA"/>
    <s v="KAMPALA"/>
    <s v="UG"/>
    <n v="2"/>
    <s v="Work"/>
    <x v="24"/>
    <n v="130000"/>
    <n v="190"/>
    <x v="2"/>
    <n v="4"/>
    <x v="2"/>
    <n v="6"/>
    <s v="Businessman"/>
    <n v="3"/>
    <x v="1"/>
    <n v="1"/>
    <n v="2"/>
    <n v="3"/>
    <n v="1"/>
    <n v="2"/>
    <s v="Y"/>
    <n v="3000"/>
    <x v="0"/>
  </r>
  <r>
    <d v="2019-10-25T00:00:00"/>
    <d v="1899-12-30T14:22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90"/>
    <x v="2"/>
    <n v="4"/>
    <x v="2"/>
    <n v="10"/>
    <s v="Other"/>
    <n v="2"/>
    <x v="3"/>
    <n v="1"/>
    <n v="3"/>
    <n v="2"/>
    <n v="4"/>
    <n v="5"/>
    <s v="Y"/>
    <n v="1000"/>
    <x v="4"/>
  </r>
  <r>
    <d v="2019-10-25T00:00:00"/>
    <d v="1899-12-30T14:16:00"/>
    <m/>
    <s v="D"/>
    <n v="2"/>
    <s v="Road Vehicle"/>
    <n v="6"/>
    <x v="1"/>
    <x v="0"/>
    <n v="3"/>
    <x v="2"/>
    <s v="HIOMA"/>
    <s v="HIOMA"/>
    <s v="UG"/>
    <n v="1"/>
    <s v="Home"/>
    <s v="KAMPALA"/>
    <s v="KAMPALA"/>
    <s v="UG"/>
    <n v="2"/>
    <s v="Work"/>
    <x v="1"/>
    <n v="400000"/>
    <n v="200"/>
    <x v="3"/>
    <n v="4"/>
    <x v="2"/>
    <n v="10"/>
    <s v="Other"/>
    <n v="4"/>
    <x v="0"/>
    <n v="1"/>
    <n v="5"/>
    <n v="4"/>
    <n v="2"/>
    <n v="3"/>
    <s v="Y"/>
    <n v="1000"/>
    <x v="4"/>
  </r>
  <r>
    <d v="2019-10-25T00:00:00"/>
    <d v="1899-12-30T14:02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225"/>
    <x v="3"/>
    <n v="5"/>
    <x v="2"/>
    <n v="10"/>
    <s v="Other"/>
    <n v="3"/>
    <x v="1"/>
    <n v="1"/>
    <n v="2"/>
    <n v="3"/>
    <n v="5"/>
    <n v="4"/>
    <s v="Y"/>
    <n v="5000"/>
    <x v="2"/>
  </r>
  <r>
    <d v="2019-10-25T00:00:00"/>
    <d v="1899-12-30T13:58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600000"/>
    <n v="200"/>
    <x v="3"/>
    <n v="4"/>
    <x v="2"/>
    <n v="10"/>
    <s v="Other"/>
    <n v="4"/>
    <x v="0"/>
    <n v="1"/>
    <n v="3"/>
    <n v="2"/>
    <n v="5"/>
    <n v="4"/>
    <s v="Y"/>
    <n v="10000"/>
    <x v="5"/>
  </r>
  <r>
    <d v="2019-10-25T00:00:00"/>
    <d v="1899-12-30T13:51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220"/>
    <x v="3"/>
    <n v="4"/>
    <x v="2"/>
    <n v="10"/>
    <s v="Other"/>
    <n v="4"/>
    <x v="0"/>
    <n v="4"/>
    <n v="1"/>
    <n v="2"/>
    <n v="3"/>
    <n v="5"/>
    <s v="Y"/>
    <n v="5000"/>
    <x v="2"/>
  </r>
  <r>
    <d v="2019-10-25T00:00:00"/>
    <d v="1899-12-30T13:23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215"/>
    <x v="3"/>
    <n v="1"/>
    <x v="1"/>
    <n v="10"/>
    <s v="Other"/>
    <n v="2"/>
    <x v="3"/>
    <n v="2"/>
    <n v="3"/>
    <n v="4"/>
    <n v="5"/>
    <n v="1"/>
    <s v="Y"/>
    <n v="1000"/>
    <x v="4"/>
  </r>
  <r>
    <d v="2019-10-25T00:00:00"/>
    <d v="1899-12-30T13:11:00"/>
    <m/>
    <s v="D"/>
    <n v="2"/>
    <s v="Road Vehicle"/>
    <n v="6"/>
    <x v="1"/>
    <x v="0"/>
    <n v="3"/>
    <x v="2"/>
    <s v="HIOMA"/>
    <s v="HIOMA"/>
    <s v="UG"/>
    <n v="2"/>
    <s v="Work"/>
    <s v="LWEZA "/>
    <s v="KAMPALA"/>
    <s v="UG"/>
    <n v="2"/>
    <s v="Work"/>
    <x v="2"/>
    <n v="400000"/>
    <n v="200"/>
    <x v="3"/>
    <n v="4"/>
    <x v="2"/>
    <n v="10"/>
    <s v="Other"/>
    <n v="4"/>
    <x v="0"/>
    <n v="2"/>
    <n v="3"/>
    <n v="5"/>
    <n v="4"/>
    <n v="1"/>
    <s v="Y"/>
    <n v="2000"/>
    <x v="1"/>
  </r>
  <r>
    <d v="2019-10-25T00:00:00"/>
    <d v="1899-12-30T23:06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90"/>
    <x v="2"/>
    <n v="4"/>
    <x v="2"/>
    <n v="10"/>
    <s v="Other"/>
    <n v="3"/>
    <x v="1"/>
    <n v="4"/>
    <n v="2"/>
    <n v="3"/>
    <n v="1"/>
    <n v="5"/>
    <s v="Y"/>
    <n v="5000"/>
    <x v="2"/>
  </r>
  <r>
    <d v="2019-10-25T00:00:00"/>
    <d v="1899-12-30T23:06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90"/>
    <x v="2"/>
    <n v="4"/>
    <x v="2"/>
    <n v="10"/>
    <s v="Other"/>
    <n v="4"/>
    <x v="0"/>
    <n v="5"/>
    <n v="2"/>
    <n v="1"/>
    <n v="3"/>
    <n v="4"/>
    <s v="Y"/>
    <n v="2000"/>
    <x v="1"/>
  </r>
  <r>
    <d v="2019-10-25T00:00:00"/>
    <d v="1899-12-30T22:57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90"/>
    <x v="2"/>
    <n v="4"/>
    <x v="2"/>
    <n v="10"/>
    <s v="Other"/>
    <n v="4"/>
    <x v="0"/>
    <n v="3"/>
    <n v="4"/>
    <n v="1"/>
    <n v="2"/>
    <n v="3"/>
    <s v="Y"/>
    <n v="1000"/>
    <x v="4"/>
  </r>
  <r>
    <d v="2019-10-25T00:00:00"/>
    <d v="1899-12-30T22:49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160"/>
    <x v="2"/>
    <n v="4"/>
    <x v="2"/>
    <n v="10"/>
    <s v="Other"/>
    <n v="4"/>
    <x v="0"/>
    <n v="1"/>
    <n v="2"/>
    <n v="3"/>
    <n v="5"/>
    <n v="4"/>
    <s v="Y"/>
    <n v="6000"/>
    <x v="2"/>
  </r>
  <r>
    <d v="2019-10-25T00:00:00"/>
    <d v="1899-12-30T22:42:00"/>
    <m/>
    <s v="D"/>
    <n v="2"/>
    <s v="Road Vehicle"/>
    <n v="6"/>
    <x v="1"/>
    <x v="0"/>
    <n v="3"/>
    <x v="2"/>
    <s v="HIOMA"/>
    <s v="HIOMA"/>
    <s v="UG"/>
    <n v="2"/>
    <s v="Work"/>
    <s v="KISENYI"/>
    <s v="KAMPALA"/>
    <s v="UG"/>
    <n v="2"/>
    <s v="Work"/>
    <x v="2"/>
    <n v="650000"/>
    <n v="190"/>
    <x v="2"/>
    <n v="4"/>
    <x v="2"/>
    <n v="10"/>
    <s v="Other"/>
    <n v="4"/>
    <x v="0"/>
    <n v="1"/>
    <n v="2"/>
    <n v="5"/>
    <n v="3"/>
    <n v="4"/>
    <s v="Y"/>
    <n v="3000"/>
    <x v="0"/>
  </r>
  <r>
    <d v="2019-10-25T00:00:00"/>
    <d v="1899-12-30T22:31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50000"/>
    <n v="195"/>
    <x v="2"/>
    <n v="5"/>
    <x v="2"/>
    <n v="10"/>
    <s v="Other"/>
    <n v="4"/>
    <x v="0"/>
    <n v="1"/>
    <n v="2"/>
    <n v="3"/>
    <n v="4"/>
    <n v="5"/>
    <s v="Y"/>
    <n v="1000"/>
    <x v="4"/>
  </r>
  <r>
    <d v="2019-10-25T00:00:00"/>
    <d v="1899-12-30T22:00:00"/>
    <m/>
    <s v="D"/>
    <n v="2"/>
    <s v="Road Vehicle"/>
    <n v="6"/>
    <x v="1"/>
    <x v="0"/>
    <n v="3"/>
    <x v="2"/>
    <s v="HIOMA"/>
    <s v="HIOMA"/>
    <s v="UG"/>
    <n v="2"/>
    <s v="Work"/>
    <s v="NAMUGONA"/>
    <s v="KAMPALA"/>
    <s v="UG"/>
    <n v="2"/>
    <s v="Work"/>
    <x v="2"/>
    <n v="700000"/>
    <n v="190"/>
    <x v="2"/>
    <n v="4"/>
    <x v="2"/>
    <n v="10"/>
    <s v="Other"/>
    <n v="3"/>
    <x v="1"/>
    <n v="1"/>
    <n v="3"/>
    <n v="2"/>
    <n v="4"/>
    <n v="5"/>
    <s v="Y"/>
    <n v="5000"/>
    <x v="2"/>
  </r>
  <r>
    <d v="2019-10-25T00:00:00"/>
    <d v="1899-12-30T22:22:00"/>
    <m/>
    <s v="D"/>
    <n v="2"/>
    <s v="Road Vehicle"/>
    <n v="6"/>
    <x v="1"/>
    <x v="0"/>
    <n v="3"/>
    <x v="2"/>
    <s v="HIOMA"/>
    <s v="HIOMA"/>
    <s v="UG"/>
    <n v="2"/>
    <s v="Work"/>
    <s v="KAMPALA"/>
    <s v="KAMPALA"/>
    <s v="UG"/>
    <n v="1"/>
    <s v="Home"/>
    <x v="4"/>
    <n v="700000"/>
    <n v="200"/>
    <x v="3"/>
    <n v="4"/>
    <x v="2"/>
    <n v="10"/>
    <s v="Other"/>
    <n v="3"/>
    <x v="1"/>
    <n v="2"/>
    <n v="1"/>
    <n v="1"/>
    <n v="1"/>
    <n v="2"/>
    <s v="Y"/>
    <n v="1000"/>
    <x v="4"/>
  </r>
  <r>
    <d v="2019-10-25T00:00:00"/>
    <d v="1899-12-30T11:49:00"/>
    <m/>
    <s v="D"/>
    <n v="2"/>
    <s v="Road Vehicle"/>
    <n v="6"/>
    <x v="1"/>
    <x v="0"/>
    <n v="3"/>
    <x v="2"/>
    <s v="HIOMA"/>
    <s v="HIOMA"/>
    <s v="UG"/>
    <n v="2"/>
    <s v="Work"/>
    <s v="BULIISA"/>
    <s v="BULIISA"/>
    <s v="UG"/>
    <n v="1"/>
    <s v="Home"/>
    <x v="4"/>
    <n v="700000"/>
    <n v="200"/>
    <x v="3"/>
    <n v="2"/>
    <x v="0"/>
    <n v="10"/>
    <s v="Other"/>
    <n v="4"/>
    <x v="0"/>
    <n v="3"/>
    <n v="2"/>
    <n v="1"/>
    <n v="4"/>
    <n v="5"/>
    <s v="Y"/>
    <m/>
    <x v="3"/>
  </r>
  <r>
    <d v="2019-10-25T00:00:00"/>
    <d v="1899-12-30T11:42:00"/>
    <m/>
    <s v="D"/>
    <n v="2"/>
    <s v="Road Vehicle"/>
    <n v="6"/>
    <x v="1"/>
    <x v="0"/>
    <n v="3"/>
    <x v="2"/>
    <s v="HIOMA"/>
    <s v="HIOMA"/>
    <s v="UG"/>
    <n v="2"/>
    <s v="Work"/>
    <s v="BULIISA"/>
    <s v="BULIISA"/>
    <s v="UG"/>
    <n v="1"/>
    <s v="Home"/>
    <x v="4"/>
    <n v="650000"/>
    <n v="210"/>
    <x v="3"/>
    <n v="2"/>
    <x v="0"/>
    <n v="10"/>
    <s v="Other"/>
    <n v="3"/>
    <x v="1"/>
    <n v="1"/>
    <n v="2"/>
    <n v="3"/>
    <n v="4"/>
    <n v="5"/>
    <s v="Y"/>
    <n v="10000"/>
    <x v="5"/>
  </r>
  <r>
    <d v="2019-10-25T00:00:00"/>
    <d v="1899-12-30T08:30:00"/>
    <m/>
    <s v="D"/>
    <n v="2"/>
    <s v="Road Vehicle"/>
    <n v="8"/>
    <x v="4"/>
    <x v="0"/>
    <n v="3"/>
    <x v="2"/>
    <s v="HIOMA"/>
    <s v="HIOMA"/>
    <s v="UG"/>
    <n v="1"/>
    <s v="Home"/>
    <s v="MASINDI"/>
    <s v="MASINDI"/>
    <s v="UG"/>
    <n v="2"/>
    <s v="Work"/>
    <x v="1"/>
    <n v="15000"/>
    <n v="45"/>
    <x v="5"/>
    <n v="2"/>
    <x v="0"/>
    <n v="2"/>
    <s v="Manual Labour"/>
    <n v="3"/>
    <x v="1"/>
    <n v="1"/>
    <n v="3"/>
    <n v="5"/>
    <n v="4"/>
    <n v="2"/>
    <s v="Y"/>
    <n v="5000"/>
    <x v="2"/>
  </r>
  <r>
    <d v="2019-10-24T00:00:00"/>
    <d v="1899-12-30T13:03:00"/>
    <m/>
    <s v="D"/>
    <n v="2"/>
    <s v="Road Vehicle"/>
    <n v="4"/>
    <x v="3"/>
    <x v="0"/>
    <n v="3"/>
    <x v="2"/>
    <s v="HIOMA"/>
    <s v="HIOMA"/>
    <s v="UG"/>
    <n v="2"/>
    <s v="Work"/>
    <s v="MASINDI"/>
    <s v="MASINDI"/>
    <s v="UG"/>
    <n v="1"/>
    <s v="Home"/>
    <x v="4"/>
    <n v="160000"/>
    <n v="115"/>
    <x v="2"/>
    <n v="2"/>
    <x v="0"/>
    <n v="6"/>
    <s v="Businessman"/>
    <n v="3"/>
    <x v="1"/>
    <n v="1"/>
    <n v="3"/>
    <n v="2"/>
    <n v="4"/>
    <n v="2"/>
    <s v="Y"/>
    <m/>
    <x v="3"/>
  </r>
  <r>
    <d v="2019-10-24T00:00:00"/>
    <d v="1899-12-30T16:34:00"/>
    <m/>
    <s v="P"/>
    <n v="2"/>
    <s v="Road Vehicle"/>
    <n v="4"/>
    <x v="3"/>
    <x v="0"/>
    <n v="3"/>
    <x v="2"/>
    <s v="HIOMA"/>
    <s v="HIOMA"/>
    <s v="UG"/>
    <n v="4"/>
    <s v="Commercial"/>
    <s v="KAGADE"/>
    <s v="KIBAALE"/>
    <s v="UG"/>
    <n v="4"/>
    <s v="Commercial"/>
    <x v="18"/>
    <n v="80000"/>
    <m/>
    <x v="0"/>
    <n v="4"/>
    <x v="2"/>
    <n v="10"/>
    <s v="Other"/>
    <n v="4"/>
    <x v="0"/>
    <n v="3"/>
    <n v="1"/>
    <n v="2"/>
    <n v="5"/>
    <n v="4"/>
    <s v="Y"/>
    <n v="2000"/>
    <x v="1"/>
  </r>
  <r>
    <d v="2019-10-24T00:00:00"/>
    <d v="1899-12-30T16:56:00"/>
    <m/>
    <s v="P"/>
    <n v="2"/>
    <s v="Road Vehicle"/>
    <n v="4"/>
    <x v="3"/>
    <x v="0"/>
    <n v="3"/>
    <x v="2"/>
    <s v="HIOMA"/>
    <s v="HIOMA"/>
    <s v="UG"/>
    <n v="1"/>
    <s v="Home"/>
    <s v="HIOMA"/>
    <s v="HIOMA"/>
    <s v="UG"/>
    <n v="4"/>
    <s v="Commercial"/>
    <x v="0"/>
    <n v="12000"/>
    <m/>
    <x v="0"/>
    <n v="4"/>
    <x v="2"/>
    <n v="7"/>
    <s v="Farmer"/>
    <n v="3"/>
    <x v="1"/>
    <n v="4"/>
    <n v="3"/>
    <n v="1"/>
    <n v="2"/>
    <n v="5"/>
    <s v="Y"/>
    <n v="10000"/>
    <x v="5"/>
  </r>
  <r>
    <d v="2019-10-24T00:00:00"/>
    <d v="1899-12-30T08:48:00"/>
    <m/>
    <s v="D"/>
    <n v="2"/>
    <s v="Road Vehicle"/>
    <n v="4"/>
    <x v="3"/>
    <x v="0"/>
    <n v="3"/>
    <x v="2"/>
    <s v="HIOMA"/>
    <s v="HIOMA"/>
    <s v="UG"/>
    <n v="1"/>
    <s v="Home"/>
    <s v="KISIITA"/>
    <s v="KAKUMIRO"/>
    <s v="UG"/>
    <n v="2"/>
    <s v="Work"/>
    <x v="1"/>
    <n v="100000"/>
    <n v="15"/>
    <x v="6"/>
    <n v="2"/>
    <x v="0"/>
    <n v="2"/>
    <s v="Manual Labour"/>
    <n v="3"/>
    <x v="1"/>
    <n v="1"/>
    <n v="3"/>
    <n v="4"/>
    <n v="2"/>
    <n v="1"/>
    <s v="Y"/>
    <n v="2000"/>
    <x v="1"/>
  </r>
  <r>
    <d v="2019-10-25T00:00:00"/>
    <d v="1899-12-30T08:27:00"/>
    <m/>
    <s v="D"/>
    <n v="2"/>
    <s v="Road Vehicle"/>
    <n v="4"/>
    <x v="3"/>
    <x v="0"/>
    <n v="3"/>
    <x v="2"/>
    <s v="HIOMA"/>
    <s v="HIOMA"/>
    <s v="UG"/>
    <n v="1"/>
    <s v="Home"/>
    <s v="MASINDI"/>
    <s v="MASINDI"/>
    <s v="UG"/>
    <n v="2"/>
    <s v="Work"/>
    <x v="1"/>
    <n v="100000"/>
    <n v="45"/>
    <x v="5"/>
    <n v="2"/>
    <x v="0"/>
    <n v="5"/>
    <s v="Professional"/>
    <n v="3"/>
    <x v="1"/>
    <n v="2"/>
    <n v="1"/>
    <n v="4"/>
    <n v="5"/>
    <n v="3"/>
    <s v="Y"/>
    <m/>
    <x v="3"/>
  </r>
  <r>
    <d v="2019-10-25T00:00:00"/>
    <d v="1899-12-30T15:48:00"/>
    <m/>
    <s v="P"/>
    <n v="2"/>
    <s v="Road Vehicle"/>
    <n v="4"/>
    <x v="3"/>
    <x v="0"/>
    <n v="3"/>
    <x v="2"/>
    <s v="HIOMA"/>
    <s v="HIOMA"/>
    <s v="UG"/>
    <n v="1"/>
    <s v="Home"/>
    <s v="HIOMA"/>
    <s v="HIOMA"/>
    <s v="UG"/>
    <n v="6"/>
    <s v="Leisure/Social"/>
    <x v="8"/>
    <n v="7000"/>
    <n v="75"/>
    <x v="1"/>
    <n v="4"/>
    <x v="2"/>
    <n v="3"/>
    <s v="Artisan/Domestic"/>
    <n v="1"/>
    <x v="2"/>
    <n v="1"/>
    <n v="3"/>
    <n v="5"/>
    <n v="2"/>
    <n v="4"/>
    <s v="Y"/>
    <m/>
    <x v="3"/>
  </r>
  <r>
    <d v="2019-10-25T00:00:00"/>
    <d v="1899-12-30T15:36:00"/>
    <m/>
    <s v="D"/>
    <n v="2"/>
    <s v="Road Vehicle"/>
    <n v="4"/>
    <x v="3"/>
    <x v="0"/>
    <n v="3"/>
    <x v="2"/>
    <s v="HIOMA"/>
    <s v="HIOMA"/>
    <s v="UG"/>
    <n v="1"/>
    <s v="Home"/>
    <s v="BULIISA"/>
    <s v="WAKISO"/>
    <s v="UG"/>
    <n v="2"/>
    <s v="Work"/>
    <x v="1"/>
    <n v="10000"/>
    <n v="90"/>
    <x v="1"/>
    <n v="2"/>
    <x v="0"/>
    <n v="5"/>
    <s v="Professional"/>
    <n v="2"/>
    <x v="3"/>
    <n v="3"/>
    <n v="2"/>
    <n v="5"/>
    <n v="1"/>
    <n v="4"/>
    <s v="Y"/>
    <m/>
    <x v="3"/>
  </r>
  <r>
    <d v="2019-10-25T00:00:00"/>
    <d v="1899-12-30T14:24:00"/>
    <m/>
    <s v="D"/>
    <n v="2"/>
    <s v="Road Vehicle"/>
    <n v="4"/>
    <x v="3"/>
    <x v="0"/>
    <n v="3"/>
    <x v="2"/>
    <s v="HIOMA"/>
    <s v="HIOMA"/>
    <s v="UG"/>
    <n v="1"/>
    <s v="Home"/>
    <s v="WANSOKO"/>
    <s v="BULIISA"/>
    <s v="UG"/>
    <n v="2"/>
    <s v="Work"/>
    <x v="1"/>
    <n v="100000"/>
    <n v="90"/>
    <x v="1"/>
    <n v="1"/>
    <x v="1"/>
    <n v="5"/>
    <s v="Professional"/>
    <n v="3"/>
    <x v="1"/>
    <n v="3"/>
    <n v="5"/>
    <n v="4"/>
    <n v="1"/>
    <n v="2"/>
    <s v="Y"/>
    <n v="5000"/>
    <x v="2"/>
  </r>
  <r>
    <d v="2019-10-25T00:00:00"/>
    <d v="1899-12-30T09:12:00"/>
    <m/>
    <s v="D"/>
    <n v="2"/>
    <s v="Road Vehicle"/>
    <n v="4"/>
    <x v="3"/>
    <x v="0"/>
    <n v="3"/>
    <x v="2"/>
    <s v="HIOMA"/>
    <s v="HIOMA"/>
    <s v="UG"/>
    <n v="1"/>
    <s v="Home"/>
    <s v="MASINDI"/>
    <s v="MASINDI"/>
    <s v="UG"/>
    <n v="2"/>
    <s v="Work"/>
    <x v="1"/>
    <n v="15000"/>
    <m/>
    <x v="0"/>
    <n v="3"/>
    <x v="0"/>
    <n v="5"/>
    <s v="Professional"/>
    <n v="3"/>
    <x v="1"/>
    <n v="1"/>
    <n v="2"/>
    <n v="3"/>
    <n v="4"/>
    <n v="5"/>
    <s v="Y"/>
    <n v="5000"/>
    <x v="2"/>
  </r>
  <r>
    <d v="2019-10-25T00:00:00"/>
    <d v="1899-12-30T10:12:00"/>
    <m/>
    <s v="P"/>
    <n v="2"/>
    <s v="Road Vehicle"/>
    <n v="4"/>
    <x v="3"/>
    <x v="0"/>
    <n v="3"/>
    <x v="2"/>
    <s v="HIOMA"/>
    <s v="HIOMA"/>
    <s v="UG"/>
    <n v="1"/>
    <s v="Home"/>
    <s v="MASINDI"/>
    <s v="MASINDI"/>
    <s v="UG"/>
    <n v="2"/>
    <s v="Work"/>
    <x v="1"/>
    <n v="10000"/>
    <n v="35"/>
    <x v="4"/>
    <n v="3"/>
    <x v="0"/>
    <n v="5"/>
    <s v="Professional"/>
    <n v="3"/>
    <x v="1"/>
    <n v="3"/>
    <n v="4"/>
    <n v="5"/>
    <n v="1"/>
    <n v="2"/>
    <s v="Y"/>
    <n v="5000"/>
    <x v="2"/>
  </r>
  <r>
    <d v="2019-10-25T00:00:00"/>
    <d v="1899-12-30T10:21:00"/>
    <m/>
    <s v="P"/>
    <n v="2"/>
    <s v="Road Vehicle"/>
    <n v="4"/>
    <x v="3"/>
    <x v="0"/>
    <n v="3"/>
    <x v="2"/>
    <s v="HIOMA"/>
    <s v="HIOMA"/>
    <s v="UG"/>
    <n v="1"/>
    <s v="Home"/>
    <s v="KIGOLOBYA"/>
    <s v="HIOMA"/>
    <s v="UG"/>
    <n v="4"/>
    <s v="Commercial"/>
    <x v="0"/>
    <n v="5000"/>
    <n v="15"/>
    <x v="6"/>
    <n v="1"/>
    <x v="1"/>
    <n v="6"/>
    <s v="Businessman"/>
    <n v="2"/>
    <x v="3"/>
    <n v="1"/>
    <n v="5"/>
    <n v="4"/>
    <n v="2"/>
    <n v="3"/>
    <s v="Y"/>
    <n v="5000"/>
    <x v="2"/>
  </r>
  <r>
    <d v="2019-10-25T00:00:00"/>
    <d v="1899-12-30T12:14:00"/>
    <m/>
    <s v="D"/>
    <n v="2"/>
    <s v="Road Vehicle"/>
    <n v="4"/>
    <x v="3"/>
    <x v="0"/>
    <n v="3"/>
    <x v="2"/>
    <s v="HIOMA"/>
    <s v="HIOMA"/>
    <s v="UG"/>
    <n v="1"/>
    <s v="Home"/>
    <s v="BULIISA"/>
    <s v="BULIISA"/>
    <s v="UG"/>
    <n v="2"/>
    <s v="Work"/>
    <x v="1"/>
    <n v="120000"/>
    <n v="75"/>
    <x v="1"/>
    <n v="3"/>
    <x v="0"/>
    <n v="5"/>
    <s v="Professional"/>
    <n v="3"/>
    <x v="1"/>
    <n v="3"/>
    <n v="4"/>
    <n v="5"/>
    <n v="1"/>
    <n v="2"/>
    <s v="Y"/>
    <n v="5000"/>
    <x v="2"/>
  </r>
  <r>
    <d v="2019-10-25T00:00:00"/>
    <d v="1899-12-30T13:46:00"/>
    <m/>
    <s v="D"/>
    <n v="2"/>
    <s v="Road Vehicle"/>
    <n v="4"/>
    <x v="3"/>
    <x v="0"/>
    <n v="3"/>
    <x v="2"/>
    <s v="HIOMA"/>
    <s v="HIOMA"/>
    <s v="UG"/>
    <n v="1"/>
    <s v="Home"/>
    <s v="BULIISA"/>
    <s v="BULIISA"/>
    <s v="UG"/>
    <n v="2"/>
    <s v="Work"/>
    <x v="1"/>
    <n v="10000"/>
    <n v="175"/>
    <x v="2"/>
    <n v="3"/>
    <x v="0"/>
    <n v="5"/>
    <s v="Professional"/>
    <n v="3"/>
    <x v="1"/>
    <n v="3"/>
    <n v="4"/>
    <n v="5"/>
    <n v="2"/>
    <n v="1"/>
    <s v="Y"/>
    <m/>
    <x v="3"/>
  </r>
  <r>
    <d v="2019-10-25T00:00:00"/>
    <d v="1899-12-30T18:52:00"/>
    <m/>
    <s v="P"/>
    <n v="2"/>
    <s v="Road Vehicle"/>
    <n v="4"/>
    <x v="3"/>
    <x v="0"/>
    <n v="3"/>
    <x v="2"/>
    <s v="HIOMA"/>
    <s v="HIOMA"/>
    <s v="UG"/>
    <n v="7"/>
    <s v="Hospital"/>
    <s v="KAMPALA"/>
    <s v="KAMPALA"/>
    <s v="UG"/>
    <n v="1"/>
    <s v="Home"/>
    <x v="27"/>
    <n v="150000"/>
    <n v="190"/>
    <x v="2"/>
    <n v="4"/>
    <x v="2"/>
    <n v="3"/>
    <s v="Artisan/Domestic"/>
    <n v="3"/>
    <x v="1"/>
    <n v="1"/>
    <n v="2"/>
    <n v="5"/>
    <n v="4"/>
    <n v="3"/>
    <s v="Y"/>
    <n v="1000"/>
    <x v="4"/>
  </r>
  <r>
    <d v="2019-10-26T00:00:00"/>
    <d v="1899-12-30T07:15:00"/>
    <m/>
    <s v="P"/>
    <n v="2"/>
    <s v="Road Vehicle"/>
    <n v="4"/>
    <x v="3"/>
    <x v="0"/>
    <n v="3"/>
    <x v="2"/>
    <s v="HIOMA"/>
    <s v="HIOMA"/>
    <s v="UG"/>
    <n v="8"/>
    <s v="Others"/>
    <s v="KATANABIRA"/>
    <s v="KYANKAZI"/>
    <s v="UG"/>
    <n v="1"/>
    <s v="Home"/>
    <x v="12"/>
    <n v="10000"/>
    <m/>
    <x v="0"/>
    <n v="2"/>
    <x v="0"/>
    <n v="1"/>
    <s v="Unemployed"/>
    <n v="1"/>
    <x v="2"/>
    <n v="5"/>
    <n v="2"/>
    <n v="1"/>
    <n v="3"/>
    <n v="4"/>
    <s v="Y"/>
    <n v="1000"/>
    <x v="4"/>
  </r>
  <r>
    <d v="2019-10-26T00:00:00"/>
    <d v="1899-12-30T07:41:00"/>
    <m/>
    <s v="P"/>
    <n v="2"/>
    <s v="Road Vehicle"/>
    <n v="4"/>
    <x v="3"/>
    <x v="0"/>
    <n v="3"/>
    <x v="2"/>
    <s v="HIOMA"/>
    <s v="HIOMA"/>
    <s v="UG"/>
    <n v="1"/>
    <s v="Home"/>
    <s v="PAKWACH"/>
    <s v="PAKWACH"/>
    <s v="UG"/>
    <n v="4"/>
    <s v="Commercial"/>
    <x v="0"/>
    <n v="30000"/>
    <m/>
    <x v="0"/>
    <n v="7"/>
    <x v="2"/>
    <n v="6"/>
    <s v="Businessman"/>
    <n v="5"/>
    <x v="4"/>
    <n v="1"/>
    <n v="2"/>
    <n v="5"/>
    <n v="4"/>
    <n v="4"/>
    <s v="Y"/>
    <n v="10000"/>
    <x v="5"/>
  </r>
  <r>
    <d v="2019-10-26T00:00:00"/>
    <d v="1899-12-30T07:56:00"/>
    <m/>
    <s v="P"/>
    <n v="2"/>
    <s v="Road Vehicle"/>
    <n v="4"/>
    <x v="3"/>
    <x v="0"/>
    <n v="3"/>
    <x v="2"/>
    <s v="KAISO"/>
    <s v="KIKUUBE"/>
    <s v="UG"/>
    <n v="1"/>
    <s v="Home"/>
    <s v="KAMPALA"/>
    <s v="KAMPALA"/>
    <s v="UG"/>
    <n v="8"/>
    <s v="Others"/>
    <x v="13"/>
    <n v="22000"/>
    <m/>
    <x v="0"/>
    <n v="6"/>
    <x v="2"/>
    <n v="5"/>
    <s v="Professional"/>
    <n v="4"/>
    <x v="0"/>
    <n v="1"/>
    <n v="2"/>
    <n v="5"/>
    <n v="3"/>
    <n v="4"/>
    <s v="Y"/>
    <n v="5000"/>
    <x v="2"/>
  </r>
  <r>
    <d v="2019-10-26T00:00:00"/>
    <d v="1899-12-30T08:30:00"/>
    <m/>
    <s v="P"/>
    <n v="2"/>
    <s v="Road Vehicle"/>
    <n v="4"/>
    <x v="3"/>
    <x v="0"/>
    <n v="3"/>
    <x v="2"/>
    <s v="HIOMA"/>
    <s v="HIOMA"/>
    <s v="UG"/>
    <n v="1"/>
    <s v="Home"/>
    <s v="NEBBI"/>
    <s v="NEBBI"/>
    <s v="UG"/>
    <n v="8"/>
    <s v="Others"/>
    <x v="13"/>
    <n v="30000"/>
    <m/>
    <x v="0"/>
    <n v="8"/>
    <x v="2"/>
    <n v="4"/>
    <s v="Office Worker"/>
    <n v="2"/>
    <x v="3"/>
    <n v="1"/>
    <n v="2"/>
    <n v="4"/>
    <n v="3"/>
    <n v="5"/>
    <s v="Y"/>
    <n v="2000"/>
    <x v="1"/>
  </r>
  <r>
    <d v="2019-10-26T00:00:00"/>
    <d v="1899-12-30T07:36:00"/>
    <m/>
    <s v="P"/>
    <n v="2"/>
    <s v="Road Vehicle"/>
    <n v="4"/>
    <x v="3"/>
    <x v="0"/>
    <n v="3"/>
    <x v="2"/>
    <s v="HIOMA"/>
    <s v="HIOMA"/>
    <s v="UG"/>
    <n v="4"/>
    <s v="Commercial"/>
    <s v="NEBBI"/>
    <s v="NEBBI"/>
    <s v="UG"/>
    <n v="1"/>
    <s v="Home"/>
    <x v="3"/>
    <n v="30000"/>
    <m/>
    <x v="0"/>
    <n v="7"/>
    <x v="2"/>
    <n v="6"/>
    <s v="Businessman"/>
    <n v="5"/>
    <x v="4"/>
    <n v="2"/>
    <n v="3"/>
    <n v="3"/>
    <n v="4"/>
    <n v="5"/>
    <s v="Y"/>
    <n v="10000"/>
    <x v="5"/>
  </r>
  <r>
    <d v="2019-10-26T00:00:00"/>
    <d v="1899-12-30T16:04:00"/>
    <m/>
    <s v="P"/>
    <n v="2"/>
    <s v="Road Vehicle"/>
    <n v="4"/>
    <x v="3"/>
    <x v="0"/>
    <n v="3"/>
    <x v="2"/>
    <s v="HIOMA"/>
    <s v="HIOMA"/>
    <s v="UG"/>
    <n v="4"/>
    <s v="Commercial"/>
    <s v="KAMPALA"/>
    <s v="KAMPALA"/>
    <s v="UG"/>
    <n v="4"/>
    <s v="Commercial"/>
    <x v="18"/>
    <n v="13000"/>
    <m/>
    <x v="0"/>
    <n v="4"/>
    <x v="2"/>
    <n v="6"/>
    <s v="Businessman"/>
    <n v="4"/>
    <x v="0"/>
    <n v="1"/>
    <n v="5"/>
    <n v="2"/>
    <n v="3"/>
    <n v="4"/>
    <s v="Y"/>
    <n v="20000"/>
    <x v="5"/>
  </r>
  <r>
    <d v="2019-10-26T00:00:00"/>
    <d v="1899-12-30T15:28:00"/>
    <m/>
    <s v="P"/>
    <n v="2"/>
    <s v="Road Vehicle"/>
    <n v="4"/>
    <x v="3"/>
    <x v="0"/>
    <n v="3"/>
    <x v="2"/>
    <s v="HIOMA"/>
    <s v="HIOMA"/>
    <s v="UG"/>
    <n v="1"/>
    <s v="Home"/>
    <s v="KIBOGA"/>
    <s v="KIBOGA"/>
    <s v="UG"/>
    <n v="8"/>
    <s v="Others"/>
    <x v="13"/>
    <n v="8000"/>
    <m/>
    <x v="0"/>
    <n v="2"/>
    <x v="0"/>
    <n v="1"/>
    <s v="Unemployed"/>
    <n v="1"/>
    <x v="2"/>
    <n v="2"/>
    <n v="1"/>
    <n v="5"/>
    <n v="4"/>
    <n v="3"/>
    <s v="Y"/>
    <n v="1000"/>
    <x v="4"/>
  </r>
  <r>
    <d v="2019-10-26T00:00:00"/>
    <d v="1899-12-30T13:42:00"/>
    <m/>
    <s v="P"/>
    <n v="2"/>
    <s v="Road Vehicle"/>
    <n v="4"/>
    <x v="3"/>
    <x v="0"/>
    <n v="3"/>
    <x v="2"/>
    <s v="HIOMA"/>
    <s v="HIOMA"/>
    <s v="UG"/>
    <n v="8"/>
    <s v="Others"/>
    <s v="KAMPALA"/>
    <s v="KAMPALA"/>
    <s v="UG"/>
    <n v="2"/>
    <s v="Work"/>
    <x v="14"/>
    <n v="13000"/>
    <m/>
    <x v="0"/>
    <n v="4"/>
    <x v="2"/>
    <n v="6"/>
    <s v="Businessman"/>
    <n v="4"/>
    <x v="0"/>
    <n v="5"/>
    <n v="3"/>
    <n v="1"/>
    <n v="2"/>
    <n v="1"/>
    <s v="Y"/>
    <n v="5000"/>
    <x v="2"/>
  </r>
  <r>
    <d v="2019-10-26T00:00:00"/>
    <d v="1899-12-30T14:02:00"/>
    <m/>
    <s v="P"/>
    <n v="2"/>
    <s v="Road Vehicle"/>
    <n v="4"/>
    <x v="3"/>
    <x v="0"/>
    <n v="3"/>
    <x v="2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4"/>
    <s v="Office Worker"/>
    <n v="3"/>
    <x v="1"/>
    <n v="5"/>
    <n v="4"/>
    <n v="1"/>
    <n v="2"/>
    <n v="3"/>
    <s v="Y"/>
    <m/>
    <x v="3"/>
  </r>
  <r>
    <d v="2019-10-26T00:00:00"/>
    <d v="1899-12-30T11:15:00"/>
    <m/>
    <s v="P"/>
    <n v="2"/>
    <s v="Road Vehicle"/>
    <n v="4"/>
    <x v="3"/>
    <x v="0"/>
    <n v="3"/>
    <x v="2"/>
    <s v="HIOMA"/>
    <s v="HIOMA"/>
    <s v="UG"/>
    <n v="4"/>
    <s v="Commercial"/>
    <s v="KAMPALA"/>
    <s v="KAMPALA"/>
    <s v="UG"/>
    <n v="4"/>
    <s v="Commercial"/>
    <x v="18"/>
    <n v="650000"/>
    <m/>
    <x v="0"/>
    <n v="2"/>
    <x v="0"/>
    <n v="10"/>
    <s v="Other"/>
    <n v="5"/>
    <x v="4"/>
    <n v="3"/>
    <n v="2"/>
    <n v="1"/>
    <n v="5"/>
    <n v="4"/>
    <s v="Y"/>
    <m/>
    <x v="3"/>
  </r>
  <r>
    <d v="2019-10-26T00:00:00"/>
    <d v="1899-12-30T11:45:00"/>
    <m/>
    <s v="P"/>
    <n v="2"/>
    <s v="Road Vehicle"/>
    <n v="4"/>
    <x v="3"/>
    <x v="0"/>
    <n v="3"/>
    <x v="2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5"/>
    <s v="Professional"/>
    <n v="5"/>
    <x v="4"/>
    <n v="1"/>
    <n v="1"/>
    <n v="1"/>
    <n v="1"/>
    <n v="1"/>
    <s v="Y"/>
    <n v="2000"/>
    <x v="1"/>
  </r>
  <r>
    <d v="2019-10-26T00:00:00"/>
    <d v="1899-12-30T13:27:00"/>
    <m/>
    <s v="D"/>
    <n v="2"/>
    <s v="Road Vehicle"/>
    <n v="4"/>
    <x v="3"/>
    <x v="0"/>
    <n v="3"/>
    <x v="2"/>
    <s v="HIOMA"/>
    <s v="HIOMA"/>
    <s v="UG"/>
    <n v="1"/>
    <s v="Home"/>
    <s v="HIOMA"/>
    <s v="HIOMA"/>
    <s v="UG"/>
    <n v="2"/>
    <s v="Work"/>
    <x v="1"/>
    <n v="50000"/>
    <m/>
    <x v="0"/>
    <n v="2"/>
    <x v="0"/>
    <n v="5"/>
    <s v="Professional"/>
    <n v="4"/>
    <x v="0"/>
    <n v="2"/>
    <n v="3"/>
    <n v="5"/>
    <n v="1"/>
    <n v="4"/>
    <s v="Y"/>
    <m/>
    <x v="3"/>
  </r>
  <r>
    <d v="2019-10-26T00:00:00"/>
    <d v="1899-12-30T12:41:00"/>
    <m/>
    <s v="D"/>
    <n v="2"/>
    <s v="Road Vehicle"/>
    <n v="4"/>
    <x v="3"/>
    <x v="0"/>
    <n v="3"/>
    <x v="2"/>
    <s v="HIOMA"/>
    <s v="HIOMA"/>
    <s v="UG"/>
    <n v="1"/>
    <s v="Home"/>
    <s v="KABWOGA"/>
    <s v="KIKUUBE"/>
    <s v="UG"/>
    <n v="6"/>
    <s v="Leisure/Social"/>
    <x v="8"/>
    <n v="7000"/>
    <n v="30"/>
    <x v="4"/>
    <n v="1"/>
    <x v="1"/>
    <n v="6"/>
    <s v="Businessman"/>
    <n v="3"/>
    <x v="1"/>
    <n v="3"/>
    <n v="4"/>
    <n v="1"/>
    <n v="5"/>
    <n v="2"/>
    <s v="Y"/>
    <m/>
    <x v="3"/>
  </r>
  <r>
    <d v="2019-10-26T00:00:00"/>
    <d v="1899-12-30T11:55:00"/>
    <m/>
    <s v="D"/>
    <n v="2"/>
    <s v="Road Vehicle"/>
    <n v="4"/>
    <x v="3"/>
    <x v="0"/>
    <n v="3"/>
    <x v="2"/>
    <s v="HIOMA"/>
    <s v="HIOMA"/>
    <s v="UG"/>
    <n v="1"/>
    <s v="Home"/>
    <s v="KYANGWARE"/>
    <s v="KIKUUBE"/>
    <s v="UG"/>
    <n v="2"/>
    <s v="Work"/>
    <x v="1"/>
    <n v="10000"/>
    <n v="125"/>
    <x v="2"/>
    <n v="2"/>
    <x v="0"/>
    <n v="2"/>
    <s v="Manual Labour"/>
    <n v="2"/>
    <x v="3"/>
    <n v="2"/>
    <n v="3"/>
    <n v="5"/>
    <n v="4"/>
    <n v="1"/>
    <s v="Y"/>
    <n v="3000"/>
    <x v="0"/>
  </r>
  <r>
    <d v="2019-10-26T00:00:00"/>
    <d v="1899-12-30T11:22:00"/>
    <m/>
    <s v="D"/>
    <n v="2"/>
    <s v="Road Vehicle"/>
    <n v="4"/>
    <x v="3"/>
    <x v="0"/>
    <n v="3"/>
    <x v="2"/>
    <s v="HIOMA"/>
    <s v="HIOMA"/>
    <s v="UG"/>
    <n v="1"/>
    <s v="Home"/>
    <s v="WANSIKO"/>
    <s v="BULIISA"/>
    <s v="UG"/>
    <n v="2"/>
    <s v="Work"/>
    <x v="1"/>
    <n v="120000"/>
    <n v="90"/>
    <x v="1"/>
    <n v="2"/>
    <x v="0"/>
    <n v="2"/>
    <s v="Manual Labour"/>
    <n v="4"/>
    <x v="0"/>
    <n v="3"/>
    <n v="4"/>
    <n v="1"/>
    <n v="2"/>
    <n v="5"/>
    <s v="Y"/>
    <n v="5000"/>
    <x v="2"/>
  </r>
  <r>
    <d v="2019-10-26T00:00:00"/>
    <d v="1899-12-30T15:06:00"/>
    <m/>
    <s v="D"/>
    <n v="2"/>
    <s v="Road Vehicle"/>
    <n v="4"/>
    <x v="3"/>
    <x v="0"/>
    <n v="3"/>
    <x v="2"/>
    <s v="HIOMA"/>
    <s v="HIOMA"/>
    <s v="UG"/>
    <n v="1"/>
    <s v="Home"/>
    <s v="KABWOGA"/>
    <s v="KIKUUBE"/>
    <s v="UG"/>
    <n v="6"/>
    <s v="Leisure/Social"/>
    <x v="8"/>
    <n v="7000"/>
    <n v="30"/>
    <x v="4"/>
    <n v="1"/>
    <x v="1"/>
    <n v="7"/>
    <s v="Farmer"/>
    <n v="3"/>
    <x v="1"/>
    <n v="3"/>
    <n v="4"/>
    <n v="1"/>
    <n v="5"/>
    <n v="2"/>
    <s v="Y"/>
    <m/>
    <x v="3"/>
  </r>
  <r>
    <d v="2019-10-26T00:00:00"/>
    <d v="1899-12-30T15:42:00"/>
    <m/>
    <s v="D"/>
    <n v="2"/>
    <s v="Road Vehicle"/>
    <n v="4"/>
    <x v="3"/>
    <x v="0"/>
    <n v="3"/>
    <x v="2"/>
    <s v="HIOMA"/>
    <s v="HIOMA"/>
    <s v="UG"/>
    <n v="1"/>
    <s v="Home"/>
    <s v="BULIISA"/>
    <s v="BULIISA"/>
    <s v="UG"/>
    <n v="2"/>
    <s v="Work"/>
    <x v="1"/>
    <n v="100000"/>
    <n v="90"/>
    <x v="1"/>
    <n v="2"/>
    <x v="0"/>
    <n v="5"/>
    <s v="Professional"/>
    <n v="4"/>
    <x v="0"/>
    <n v="2"/>
    <n v="3"/>
    <n v="5"/>
    <n v="4"/>
    <n v="1"/>
    <s v="Y"/>
    <m/>
    <x v="3"/>
  </r>
  <r>
    <d v="2019-10-26T00:00:00"/>
    <d v="1899-12-30T14:36:00"/>
    <m/>
    <s v="D"/>
    <n v="2"/>
    <s v="Road Vehicle"/>
    <n v="4"/>
    <x v="3"/>
    <x v="0"/>
    <n v="3"/>
    <x v="2"/>
    <s v="HIOMA"/>
    <s v="HIOMA"/>
    <s v="UG"/>
    <n v="2"/>
    <s v="Work"/>
    <s v="KAGADI"/>
    <s v="KAGADI"/>
    <s v="UG"/>
    <n v="1"/>
    <s v="Home"/>
    <x v="4"/>
    <n v="15000"/>
    <n v="200"/>
    <x v="3"/>
    <n v="3"/>
    <x v="0"/>
    <n v="7"/>
    <s v="Farmer"/>
    <n v="3"/>
    <x v="1"/>
    <n v="1"/>
    <n v="2"/>
    <n v="5"/>
    <n v="3"/>
    <n v="4"/>
    <s v="Y"/>
    <n v="1000"/>
    <x v="4"/>
  </r>
  <r>
    <d v="2019-10-26T00:00:00"/>
    <d v="1899-12-30T15:33:00"/>
    <m/>
    <s v="D"/>
    <n v="2"/>
    <s v="Road Vehicle"/>
    <n v="4"/>
    <x v="3"/>
    <x v="0"/>
    <n v="3"/>
    <x v="2"/>
    <s v="HIOMA"/>
    <s v="HIOMA"/>
    <s v="UG"/>
    <n v="2"/>
    <s v="Work"/>
    <s v="KAMPALA"/>
    <s v="KAMPALA"/>
    <s v="UG"/>
    <n v="2"/>
    <s v="Work"/>
    <x v="2"/>
    <n v="700000"/>
    <n v="195"/>
    <x v="2"/>
    <n v="4"/>
    <x v="2"/>
    <n v="4"/>
    <s v="Office Worker"/>
    <n v="2"/>
    <x v="3"/>
    <n v="2"/>
    <n v="1"/>
    <n v="5"/>
    <n v="4"/>
    <n v="3"/>
    <s v="Y"/>
    <n v="3000"/>
    <x v="0"/>
  </r>
  <r>
    <d v="2019-10-26T00:00:00"/>
    <d v="1899-12-30T15:22:00"/>
    <m/>
    <s v="D"/>
    <n v="2"/>
    <s v="Road Vehicle"/>
    <n v="4"/>
    <x v="3"/>
    <x v="0"/>
    <n v="3"/>
    <x v="2"/>
    <s v="HIOMA"/>
    <s v="HIOMA"/>
    <s v="UG"/>
    <n v="2"/>
    <s v="Work"/>
    <s v="KAMPALA"/>
    <s v="KAMPALA"/>
    <s v="UG"/>
    <n v="2"/>
    <s v="Work"/>
    <x v="2"/>
    <n v="13000"/>
    <n v="190"/>
    <x v="2"/>
    <n v="3"/>
    <x v="0"/>
    <n v="5"/>
    <s v="Professional"/>
    <n v="4"/>
    <x v="0"/>
    <n v="2"/>
    <n v="5"/>
    <n v="4"/>
    <n v="1"/>
    <n v="3"/>
    <s v="Y"/>
    <n v="3000"/>
    <x v="0"/>
  </r>
  <r>
    <d v="2019-10-26T00:00:00"/>
    <d v="1899-12-30T13:43:00"/>
    <m/>
    <s v="D"/>
    <n v="2"/>
    <s v="Road Vehicle"/>
    <n v="4"/>
    <x v="3"/>
    <x v="0"/>
    <n v="3"/>
    <x v="2"/>
    <s v="HIOMA"/>
    <s v="HIOMA"/>
    <s v="UG"/>
    <n v="8"/>
    <s v="Others"/>
    <s v="KAMPALA"/>
    <s v="KAMPALA"/>
    <s v="UG"/>
    <n v="2"/>
    <s v="Work"/>
    <x v="14"/>
    <n v="13000"/>
    <n v="190"/>
    <x v="2"/>
    <n v="3"/>
    <x v="0"/>
    <n v="4"/>
    <s v="Office Worker"/>
    <n v="4"/>
    <x v="0"/>
    <n v="2"/>
    <n v="1"/>
    <n v="3"/>
    <n v="5"/>
    <n v="4"/>
    <s v="Y"/>
    <n v="1000"/>
    <x v="4"/>
  </r>
  <r>
    <d v="2019-10-26T00:00:00"/>
    <d v="1899-12-30T13:36:00"/>
    <m/>
    <s v="D"/>
    <n v="2"/>
    <s v="Road Vehicle"/>
    <n v="4"/>
    <x v="3"/>
    <x v="0"/>
    <n v="3"/>
    <x v="2"/>
    <s v="HIOMA"/>
    <s v="HIOMA"/>
    <s v="UG"/>
    <n v="6"/>
    <s v="Leisure/Social"/>
    <s v="KAMPALA"/>
    <s v="KAMPALA"/>
    <s v="UG"/>
    <n v="1"/>
    <s v="Home"/>
    <x v="10"/>
    <n v="130000"/>
    <n v="190"/>
    <x v="2"/>
    <n v="3"/>
    <x v="0"/>
    <n v="6"/>
    <s v="Businessman"/>
    <n v="4"/>
    <x v="0"/>
    <n v="2"/>
    <n v="5"/>
    <n v="3"/>
    <n v="4"/>
    <n v="1"/>
    <s v="Y"/>
    <n v="1000"/>
    <x v="4"/>
  </r>
  <r>
    <d v="2019-10-26T00:00:00"/>
    <d v="1899-12-30T07:16:00"/>
    <m/>
    <s v="D"/>
    <n v="2"/>
    <s v="Road Vehicle"/>
    <n v="4"/>
    <x v="3"/>
    <x v="0"/>
    <n v="3"/>
    <x v="2"/>
    <s v="HIOMA"/>
    <s v="HIOMA"/>
    <s v="UG"/>
    <n v="2"/>
    <s v="Work"/>
    <s v="  KAMPALA"/>
    <s v="KAMPALA"/>
    <s v="UG"/>
    <n v="1"/>
    <s v="Home"/>
    <x v="4"/>
    <n v="700000"/>
    <n v="225"/>
    <x v="3"/>
    <n v="3"/>
    <x v="0"/>
    <n v="10"/>
    <s v="Other"/>
    <n v="4"/>
    <x v="0"/>
    <n v="1"/>
    <n v="2"/>
    <n v="3"/>
    <n v="4"/>
    <n v="5"/>
    <s v="Y"/>
    <n v="1000"/>
    <x v="4"/>
  </r>
  <r>
    <d v="2019-10-26T00:00:00"/>
    <d v="1899-12-30T15:08:00"/>
    <m/>
    <s v="D"/>
    <n v="2"/>
    <s v="Road Vehicle"/>
    <n v="4"/>
    <x v="3"/>
    <x v="0"/>
    <n v="3"/>
    <x v="2"/>
    <s v="HIOMA"/>
    <s v="HIOMA"/>
    <s v="UG"/>
    <n v="2"/>
    <s v="Work"/>
    <s v="KAMPALA"/>
    <s v="KAMPALA"/>
    <s v="UG"/>
    <n v="1"/>
    <s v="Home"/>
    <x v="4"/>
    <n v="180000"/>
    <n v="290"/>
    <x v="3"/>
    <n v="3"/>
    <x v="0"/>
    <n v="10"/>
    <s v="Other"/>
    <n v="3"/>
    <x v="1"/>
    <n v="1"/>
    <n v="2"/>
    <n v="3"/>
    <n v="4"/>
    <n v="5"/>
    <s v="Y"/>
    <n v="100"/>
    <x v="3"/>
  </r>
  <r>
    <d v="2019-10-26T00:00:00"/>
    <d v="1899-12-30T08:09:00"/>
    <m/>
    <s v="P"/>
    <n v="2"/>
    <s v="Road Vehicle"/>
    <n v="4"/>
    <x v="3"/>
    <x v="0"/>
    <n v="3"/>
    <x v="2"/>
    <s v="HIOMA"/>
    <s v="HIOMA"/>
    <s v="UG"/>
    <n v="2"/>
    <s v="Work"/>
    <s v="KAMPALA"/>
    <s v="KAMPALA"/>
    <s v="UG"/>
    <n v="1"/>
    <s v="Home"/>
    <x v="4"/>
    <n v="150000"/>
    <n v="500"/>
    <x v="3"/>
    <n v="3"/>
    <x v="0"/>
    <n v="9"/>
    <s v="Retired"/>
    <n v="1"/>
    <x v="2"/>
    <n v="1"/>
    <n v="1"/>
    <n v="4"/>
    <n v="2"/>
    <n v="5"/>
    <s v="Y"/>
    <n v="1000"/>
    <x v="4"/>
  </r>
  <r>
    <d v="2019-10-26T00:00:00"/>
    <d v="1899-12-30T09:33:00"/>
    <m/>
    <s v="D"/>
    <n v="2"/>
    <s v="Road Vehicle"/>
    <n v="4"/>
    <x v="3"/>
    <x v="0"/>
    <n v="3"/>
    <x v="2"/>
    <s v="HIOMA"/>
    <s v="HIOMA"/>
    <s v="UG"/>
    <n v="2"/>
    <s v="Work"/>
    <s v="KAMPALA"/>
    <s v="KAMPALA"/>
    <s v="UG"/>
    <n v="1"/>
    <s v="Home"/>
    <x v="4"/>
    <n v="180000"/>
    <n v="190"/>
    <x v="2"/>
    <n v="3"/>
    <x v="0"/>
    <n v="10"/>
    <s v="Other"/>
    <n v="3"/>
    <x v="1"/>
    <n v="5"/>
    <n v="4"/>
    <n v="3"/>
    <n v="2"/>
    <n v="1"/>
    <s v="Y"/>
    <n v="1000"/>
    <x v="4"/>
  </r>
  <r>
    <d v="2019-10-26T00:00:00"/>
    <d v="1899-12-30T09:12:00"/>
    <m/>
    <s v="P"/>
    <n v="2"/>
    <s v="Road Vehicle"/>
    <n v="4"/>
    <x v="3"/>
    <x v="0"/>
    <n v="3"/>
    <x v="2"/>
    <s v="HIOMA"/>
    <s v="HIOMA"/>
    <s v="UG"/>
    <n v="2"/>
    <s v="Work"/>
    <s v="BIISO"/>
    <s v="MASINDI"/>
    <s v="UG"/>
    <n v="2"/>
    <s v="Work"/>
    <x v="2"/>
    <n v="100000"/>
    <n v="70"/>
    <x v="1"/>
    <n v="2"/>
    <x v="0"/>
    <n v="5"/>
    <s v="Professional"/>
    <n v="2"/>
    <x v="3"/>
    <n v="2"/>
    <n v="1"/>
    <n v="3"/>
    <n v="4"/>
    <n v="5"/>
    <s v="Y"/>
    <n v="3000"/>
    <x v="0"/>
  </r>
  <r>
    <d v="2019-10-26T00:00:00"/>
    <d v="1899-12-30T08:50:00"/>
    <m/>
    <s v="P"/>
    <n v="2"/>
    <s v="Road Vehicle"/>
    <n v="4"/>
    <x v="3"/>
    <x v="0"/>
    <n v="3"/>
    <x v="2"/>
    <s v="HIOMA"/>
    <s v="HIOMA"/>
    <s v="UG"/>
    <n v="3"/>
    <s v="Study"/>
    <s v="KAMPALA"/>
    <s v="KAMPALA"/>
    <s v="UG"/>
    <n v="2"/>
    <s v="Work"/>
    <x v="22"/>
    <n v="150000"/>
    <n v="190"/>
    <x v="2"/>
    <n v="4"/>
    <x v="2"/>
    <n v="4"/>
    <s v="Office Worker"/>
    <n v="3"/>
    <x v="1"/>
    <n v="2"/>
    <n v="4"/>
    <n v="5"/>
    <n v="1"/>
    <n v="3"/>
    <s v="Y"/>
    <n v="2000"/>
    <x v="1"/>
  </r>
  <r>
    <d v="2019-10-24T00:00:00"/>
    <d v="1899-12-30T08:19:00"/>
    <m/>
    <s v="D"/>
    <n v="2"/>
    <s v="Road Vehicle"/>
    <n v="1"/>
    <x v="0"/>
    <x v="0"/>
    <n v="4"/>
    <x v="3"/>
    <s v="HIOMA"/>
    <s v="HIOMA"/>
    <s v="UG"/>
    <n v="1"/>
    <s v="Home"/>
    <s v="KAMPALA"/>
    <s v="KAMPALA"/>
    <s v="UG"/>
    <n v="2"/>
    <s v="Work"/>
    <x v="1"/>
    <n v="100000"/>
    <n v="175"/>
    <x v="2"/>
    <n v="3"/>
    <x v="0"/>
    <n v="5"/>
    <s v="Professional"/>
    <n v="4"/>
    <x v="0"/>
    <n v="1"/>
    <n v="5"/>
    <n v="4"/>
    <n v="2"/>
    <n v="3"/>
    <s v="Y"/>
    <n v="5000"/>
    <x v="2"/>
  </r>
  <r>
    <d v="2019-10-25T00:00:00"/>
    <d v="1899-12-30T08:00:00"/>
    <m/>
    <s v="D"/>
    <n v="2"/>
    <s v="Road Vehicle"/>
    <n v="1"/>
    <x v="0"/>
    <x v="0"/>
    <n v="4"/>
    <x v="3"/>
    <s v="HIOMA"/>
    <s v="HIOMA"/>
    <s v="UG"/>
    <n v="1"/>
    <s v="Home"/>
    <s v="KIBOGA"/>
    <s v="KIBOGA"/>
    <s v="UG"/>
    <n v="2"/>
    <s v="Work"/>
    <x v="1"/>
    <n v="80000"/>
    <m/>
    <x v="0"/>
    <n v="3"/>
    <x v="0"/>
    <n v="5"/>
    <s v="Professional"/>
    <n v="2"/>
    <x v="3"/>
    <n v="3"/>
    <n v="2"/>
    <n v="4"/>
    <n v="5"/>
    <n v="1"/>
    <s v="Y"/>
    <n v="3000"/>
    <x v="0"/>
  </r>
  <r>
    <d v="2019-10-25T00:00:00"/>
    <d v="1899-12-30T11:13:00"/>
    <m/>
    <s v="D"/>
    <n v="2"/>
    <s v="Road Vehicle"/>
    <n v="1"/>
    <x v="0"/>
    <x v="0"/>
    <n v="4"/>
    <x v="3"/>
    <s v="HIOMA"/>
    <s v="HIOMA"/>
    <s v="UG"/>
    <n v="3"/>
    <s v="Study"/>
    <s v="KABAALE"/>
    <s v="HIOMA"/>
    <s v="UG"/>
    <n v="5"/>
    <s v="Tourism"/>
    <x v="6"/>
    <n v="50000"/>
    <n v="50"/>
    <x v="5"/>
    <n v="2"/>
    <x v="0"/>
    <n v="5"/>
    <s v="Professional"/>
    <n v="3"/>
    <x v="1"/>
    <n v="4"/>
    <n v="5"/>
    <n v="1"/>
    <n v="2"/>
    <n v="3"/>
    <s v="Y"/>
    <m/>
    <x v="3"/>
  </r>
  <r>
    <d v="2019-10-25T00:00:00"/>
    <d v="1899-12-30T08:10:00"/>
    <m/>
    <s v="D"/>
    <n v="2"/>
    <s v="Road Vehicle"/>
    <n v="1"/>
    <x v="0"/>
    <x v="0"/>
    <n v="4"/>
    <x v="3"/>
    <s v="HIOMA"/>
    <s v="HIOMA"/>
    <s v="UG"/>
    <n v="1"/>
    <s v="Home"/>
    <s v="KIBOGA"/>
    <s v="KIBOGA"/>
    <s v="UG"/>
    <n v="2"/>
    <s v="Work"/>
    <x v="1"/>
    <n v="80000"/>
    <m/>
    <x v="0"/>
    <n v="3"/>
    <x v="0"/>
    <n v="5"/>
    <s v="Professional"/>
    <n v="2"/>
    <x v="3"/>
    <n v="3"/>
    <n v="2"/>
    <n v="4"/>
    <n v="5"/>
    <n v="1"/>
    <s v="Y"/>
    <n v="2000"/>
    <x v="1"/>
  </r>
  <r>
    <d v="2019-10-24T00:00:00"/>
    <d v="1899-12-30T14:47:00"/>
    <m/>
    <s v="P"/>
    <n v="2"/>
    <s v="Road Vehicle"/>
    <n v="6"/>
    <x v="1"/>
    <x v="1"/>
    <n v="4"/>
    <x v="3"/>
    <s v="HIOMA"/>
    <s v="HIOMA"/>
    <s v="UG"/>
    <n v="2"/>
    <s v="Work"/>
    <s v="KAMPALA"/>
    <s v="KAMPALA"/>
    <s v="UG"/>
    <n v="1"/>
    <s v="Home"/>
    <x v="4"/>
    <n v="13000"/>
    <n v="195"/>
    <x v="2"/>
    <n v="3"/>
    <x v="0"/>
    <n v="5"/>
    <s v="Professional"/>
    <n v="3"/>
    <x v="1"/>
    <n v="1"/>
    <n v="2"/>
    <n v="3"/>
    <n v="4"/>
    <n v="5"/>
    <s v="Y"/>
    <m/>
    <x v="3"/>
  </r>
  <r>
    <d v="2019-10-25T00:00:00"/>
    <d v="1899-12-30T12:43:00"/>
    <m/>
    <s v="P"/>
    <n v="2"/>
    <s v="Road Vehicle"/>
    <n v="6"/>
    <x v="1"/>
    <x v="0"/>
    <n v="4"/>
    <x v="3"/>
    <s v="HIOMA"/>
    <s v="HIOMA"/>
    <s v="UG"/>
    <n v="1"/>
    <s v="Home"/>
    <s v="HIOMA"/>
    <s v="HIOMA"/>
    <s v="UG"/>
    <n v="5"/>
    <s v="Tourism"/>
    <x v="20"/>
    <n v="100000"/>
    <n v="72"/>
    <x v="1"/>
    <n v="4"/>
    <x v="2"/>
    <n v="5"/>
    <s v="Professional"/>
    <n v="4"/>
    <x v="0"/>
    <n v="1"/>
    <n v="2"/>
    <n v="3"/>
    <n v="4"/>
    <n v="5"/>
    <s v="Y"/>
    <n v="5000"/>
    <x v="2"/>
  </r>
  <r>
    <d v="2019-10-24T00:00:00"/>
    <d v="1899-12-30T13:13:00"/>
    <m/>
    <s v="P"/>
    <n v="2"/>
    <s v="Road Vehicle"/>
    <n v="4"/>
    <x v="3"/>
    <x v="0"/>
    <n v="4"/>
    <x v="3"/>
    <s v="HIOMA"/>
    <s v="HIOMA"/>
    <s v="UG"/>
    <n v="2"/>
    <s v="Work"/>
    <s v="KAMPALA"/>
    <s v="KAMPALA"/>
    <s v="UG"/>
    <n v="1"/>
    <s v="Home"/>
    <x v="4"/>
    <n v="15000"/>
    <n v="200"/>
    <x v="3"/>
    <n v="3"/>
    <x v="0"/>
    <n v="5"/>
    <s v="Professional"/>
    <n v="4"/>
    <x v="0"/>
    <n v="3"/>
    <n v="2"/>
    <n v="4"/>
    <n v="5"/>
    <n v="1"/>
    <s v="Y"/>
    <m/>
    <x v="3"/>
  </r>
  <r>
    <d v="2019-10-24T00:00:00"/>
    <d v="1899-12-30T08:28:00"/>
    <m/>
    <s v="D"/>
    <n v="2"/>
    <s v="Road Vehicle"/>
    <n v="4"/>
    <x v="3"/>
    <x v="0"/>
    <n v="4"/>
    <x v="3"/>
    <s v="HIOMA"/>
    <s v="HIOMA"/>
    <s v="UG"/>
    <n v="1"/>
    <s v="Home"/>
    <s v="MASINDI"/>
    <s v="MASINDI"/>
    <s v="UG"/>
    <n v="2"/>
    <s v="Work"/>
    <x v="1"/>
    <n v="100000"/>
    <n v="45"/>
    <x v="5"/>
    <n v="2"/>
    <x v="0"/>
    <n v="5"/>
    <s v="Professional"/>
    <n v="4"/>
    <x v="0"/>
    <n v="3"/>
    <n v="4"/>
    <n v="5"/>
    <n v="2"/>
    <n v="1"/>
    <s v="Y"/>
    <m/>
    <x v="3"/>
  </r>
  <r>
    <d v="2019-10-24T00:00:00"/>
    <d v="1899-12-30T08:34:00"/>
    <m/>
    <s v="D"/>
    <n v="2"/>
    <s v="Road Vehicle"/>
    <n v="4"/>
    <x v="3"/>
    <x v="0"/>
    <n v="4"/>
    <x v="3"/>
    <s v="HIOMA"/>
    <s v="HIOMA"/>
    <s v="UG"/>
    <n v="1"/>
    <s v="Home"/>
    <s v="HIOMA"/>
    <s v="HIOMA"/>
    <s v="UG"/>
    <n v="2"/>
    <s v="Work"/>
    <x v="1"/>
    <n v="100000"/>
    <n v="45"/>
    <x v="5"/>
    <n v="3"/>
    <x v="0"/>
    <n v="5"/>
    <s v="Professional"/>
    <n v="3"/>
    <x v="1"/>
    <n v="3"/>
    <n v="2"/>
    <n v="1"/>
    <n v="5"/>
    <n v="4"/>
    <s v="Y"/>
    <n v="2000"/>
    <x v="1"/>
  </r>
  <r>
    <d v="2019-10-24T00:00:00"/>
    <d v="1899-12-30T09:09:00"/>
    <m/>
    <s v="P"/>
    <n v="2"/>
    <s v="Road Vehicle"/>
    <n v="4"/>
    <x v="3"/>
    <x v="0"/>
    <n v="4"/>
    <x v="3"/>
    <s v="HIOMA"/>
    <s v="HIOMA"/>
    <s v="UG"/>
    <n v="1"/>
    <s v="Home"/>
    <s v="KISIITA"/>
    <s v="KAKUMIRO"/>
    <s v="UG"/>
    <n v="2"/>
    <s v="Work"/>
    <x v="1"/>
    <n v="80000"/>
    <n v="15"/>
    <x v="6"/>
    <n v="3"/>
    <x v="0"/>
    <n v="4"/>
    <s v="Office Worker"/>
    <n v="3"/>
    <x v="1"/>
    <n v="3"/>
    <n v="4"/>
    <n v="1"/>
    <n v="4"/>
    <n v="2"/>
    <s v="Y"/>
    <n v="5000"/>
    <x v="2"/>
  </r>
  <r>
    <d v="2019-10-24T00:00:00"/>
    <d v="1899-12-30T09:17:00"/>
    <m/>
    <s v="D"/>
    <n v="2"/>
    <s v="Road Vehicle"/>
    <n v="4"/>
    <x v="3"/>
    <x v="0"/>
    <n v="4"/>
    <x v="3"/>
    <s v="HIOMA"/>
    <s v="HIOMA"/>
    <s v="UG"/>
    <n v="1"/>
    <s v="Home"/>
    <s v="BULIISA"/>
    <s v="BULIISA"/>
    <s v="UG"/>
    <n v="2"/>
    <s v="Work"/>
    <x v="1"/>
    <n v="100000"/>
    <n v="175"/>
    <x v="2"/>
    <n v="3"/>
    <x v="0"/>
    <n v="2"/>
    <s v="Manual Labour"/>
    <n v="3"/>
    <x v="1"/>
    <n v="4"/>
    <n v="3"/>
    <n v="5"/>
    <n v="1"/>
    <n v="2"/>
    <s v="Y"/>
    <n v="2000"/>
    <x v="1"/>
  </r>
  <r>
    <d v="2019-10-25T00:00:00"/>
    <d v="1899-12-30T14:54:00"/>
    <m/>
    <s v="D"/>
    <n v="2"/>
    <s v="Road Vehicle"/>
    <n v="4"/>
    <x v="3"/>
    <x v="0"/>
    <n v="4"/>
    <x v="3"/>
    <s v="HIOMA"/>
    <s v="HIOMA"/>
    <s v="UG"/>
    <n v="1"/>
    <s v="Home"/>
    <s v="BULIISA"/>
    <s v="WAKISO"/>
    <s v="UG"/>
    <n v="2"/>
    <s v="Work"/>
    <x v="1"/>
    <n v="100000"/>
    <n v="95"/>
    <x v="1"/>
    <n v="2"/>
    <x v="0"/>
    <n v="3"/>
    <s v="Artisan/Domestic"/>
    <n v="3"/>
    <x v="1"/>
    <n v="2"/>
    <n v="1"/>
    <n v="3"/>
    <n v="4"/>
    <n v="5"/>
    <s v="Y"/>
    <n v="5000"/>
    <x v="2"/>
  </r>
  <r>
    <d v="2019-10-25T00:00:00"/>
    <d v="1899-12-30T15:00:00"/>
    <m/>
    <s v="D"/>
    <n v="2"/>
    <s v="Road Vehicle"/>
    <n v="4"/>
    <x v="3"/>
    <x v="0"/>
    <n v="4"/>
    <x v="3"/>
    <s v="HIOMA"/>
    <s v="HIOMA"/>
    <s v="UG"/>
    <n v="1"/>
    <s v="Home"/>
    <s v="KAGADI"/>
    <s v="KAGADI"/>
    <s v="UG"/>
    <n v="2"/>
    <s v="Work"/>
    <x v="1"/>
    <n v="120000"/>
    <n v="65"/>
    <x v="5"/>
    <n v="2"/>
    <x v="0"/>
    <n v="3"/>
    <s v="Artisan/Domestic"/>
    <n v="2"/>
    <x v="3"/>
    <n v="1"/>
    <n v="5"/>
    <n v="2"/>
    <n v="3"/>
    <n v="4"/>
    <s v="Y"/>
    <n v="3000"/>
    <x v="0"/>
  </r>
  <r>
    <d v="2019-10-25T00:00:00"/>
    <d v="1899-12-30T15:21:00"/>
    <m/>
    <s v="P"/>
    <n v="2"/>
    <s v="Road Vehicle"/>
    <n v="4"/>
    <x v="3"/>
    <x v="0"/>
    <n v="4"/>
    <x v="3"/>
    <s v="HIOMA"/>
    <s v="HIOMA"/>
    <s v="UG"/>
    <n v="1"/>
    <s v="Home"/>
    <s v="WANSOKO"/>
    <s v="BULIISA"/>
    <s v="UG"/>
    <n v="6"/>
    <s v="Leisure/Social"/>
    <x v="8"/>
    <n v="15000"/>
    <n v="90"/>
    <x v="1"/>
    <n v="2"/>
    <x v="0"/>
    <n v="6"/>
    <s v="Businessman"/>
    <n v="3"/>
    <x v="1"/>
    <n v="3"/>
    <n v="4"/>
    <n v="2"/>
    <n v="5"/>
    <n v="1"/>
    <s v="Y"/>
    <m/>
    <x v="3"/>
  </r>
  <r>
    <d v="2019-10-25T00:00:00"/>
    <d v="1899-12-30T10:25:00"/>
    <m/>
    <s v="P"/>
    <n v="2"/>
    <s v="Road Vehicle"/>
    <n v="4"/>
    <x v="3"/>
    <x v="0"/>
    <n v="4"/>
    <x v="3"/>
    <s v="HIOMA"/>
    <s v="HIOMA"/>
    <s v="UG"/>
    <n v="5"/>
    <s v="Tourism"/>
    <s v="KIGOLOBYA"/>
    <s v="HIOMA"/>
    <s v="UG"/>
    <n v="1"/>
    <s v="Home"/>
    <x v="28"/>
    <n v="5000"/>
    <n v="15"/>
    <x v="6"/>
    <n v="4"/>
    <x v="2"/>
    <n v="6"/>
    <s v="Businessman"/>
    <n v="4"/>
    <x v="0"/>
    <n v="2"/>
    <n v="4"/>
    <n v="1"/>
    <n v="2"/>
    <n v="5"/>
    <s v="Y"/>
    <n v="2000"/>
    <x v="1"/>
  </r>
  <r>
    <d v="2019-10-26T00:00:00"/>
    <d v="1899-12-30T15:41:00"/>
    <m/>
    <s v="P"/>
    <n v="2"/>
    <s v="Road Vehicle"/>
    <n v="4"/>
    <x v="3"/>
    <x v="0"/>
    <n v="4"/>
    <x v="3"/>
    <s v="HIOMA"/>
    <s v="HIOMA"/>
    <s v="UG"/>
    <n v="8"/>
    <s v="Others"/>
    <s v="HIOMA"/>
    <s v="HIOMA"/>
    <s v="UG"/>
    <n v="1"/>
    <s v="Home"/>
    <x v="12"/>
    <n v="5000"/>
    <m/>
    <x v="0"/>
    <n v="5"/>
    <x v="2"/>
    <n v="9"/>
    <s v="Retired"/>
    <n v="4"/>
    <x v="0"/>
    <n v="2"/>
    <n v="4"/>
    <n v="5"/>
    <n v="1"/>
    <n v="3"/>
    <s v="Y"/>
    <m/>
    <x v="3"/>
  </r>
  <r>
    <d v="2019-10-26T00:00:00"/>
    <d v="1899-12-30T11:27:00"/>
    <m/>
    <s v="P"/>
    <n v="2"/>
    <s v="Road Vehicle"/>
    <n v="4"/>
    <x v="3"/>
    <x v="0"/>
    <n v="4"/>
    <x v="3"/>
    <s v="HIOMA"/>
    <s v="HIOMA"/>
    <s v="UG"/>
    <n v="1"/>
    <s v="Home"/>
    <s v="KAMPALA"/>
    <s v="KAMPALA"/>
    <s v="UG"/>
    <n v="2"/>
    <s v="Work"/>
    <x v="1"/>
    <n v="13000"/>
    <m/>
    <x v="0"/>
    <n v="4"/>
    <x v="2"/>
    <n v="5"/>
    <s v="Professional"/>
    <n v="5"/>
    <x v="4"/>
    <n v="4"/>
    <n v="5"/>
    <n v="2"/>
    <n v="3"/>
    <n v="1"/>
    <s v="Y"/>
    <n v="10000"/>
    <x v="5"/>
  </r>
  <r>
    <d v="2019-10-26T00:00:00"/>
    <d v="1899-12-30T12:35:00"/>
    <m/>
    <s v="D"/>
    <n v="2"/>
    <s v="Road Vehicle"/>
    <n v="4"/>
    <x v="3"/>
    <x v="0"/>
    <n v="4"/>
    <x v="3"/>
    <s v="KAMPALA"/>
    <s v="KAMPALA"/>
    <s v="UG"/>
    <n v="2"/>
    <s v="Work"/>
    <s v="HIOMA"/>
    <s v="HIOMA"/>
    <s v="UG"/>
    <n v="1"/>
    <s v="Home"/>
    <x v="4"/>
    <n v="13000"/>
    <m/>
    <x v="0"/>
    <n v="4"/>
    <x v="2"/>
    <n v="6"/>
    <s v="Businessman"/>
    <n v="4"/>
    <x v="0"/>
    <n v="3"/>
    <n v="2"/>
    <n v="1"/>
    <n v="4"/>
    <n v="5"/>
    <s v="Y"/>
    <n v="1000"/>
    <x v="4"/>
  </r>
  <r>
    <d v="2019-10-26T00:00:00"/>
    <d v="1899-12-30T12:52:00"/>
    <m/>
    <s v="D"/>
    <n v="2"/>
    <s v="Road Vehicle"/>
    <n v="4"/>
    <x v="3"/>
    <x v="0"/>
    <n v="4"/>
    <x v="3"/>
    <s v="HIOMA"/>
    <s v="HIOMA"/>
    <s v="UG"/>
    <n v="2"/>
    <s v="Work"/>
    <s v="KISIITA"/>
    <s v="KAKUMIRO"/>
    <s v="UG"/>
    <n v="2"/>
    <s v="Work"/>
    <x v="2"/>
    <n v="100000"/>
    <n v="15"/>
    <x v="6"/>
    <n v="2"/>
    <x v="0"/>
    <n v="2"/>
    <s v="Manual Labour"/>
    <n v="3"/>
    <x v="1"/>
    <n v="2"/>
    <n v="3"/>
    <n v="4"/>
    <n v="1"/>
    <n v="5"/>
    <s v="Y"/>
    <n v="2000"/>
    <x v="1"/>
  </r>
  <r>
    <d v="2019-10-26T00:00:00"/>
    <d v="1899-12-30T12:45:00"/>
    <m/>
    <s v="D"/>
    <n v="2"/>
    <s v="Road Vehicle"/>
    <n v="4"/>
    <x v="3"/>
    <x v="0"/>
    <n v="4"/>
    <x v="3"/>
    <s v="HIOMA"/>
    <s v="HIOMA"/>
    <s v="UG"/>
    <n v="1"/>
    <s v="Home"/>
    <s v="KISIITA"/>
    <s v="KAKUMIRO"/>
    <s v="UG"/>
    <n v="2"/>
    <s v="Work"/>
    <x v="1"/>
    <n v="8000"/>
    <n v="15"/>
    <x v="6"/>
    <n v="3"/>
    <x v="0"/>
    <n v="5"/>
    <s v="Professional"/>
    <n v="4"/>
    <x v="0"/>
    <n v="1"/>
    <n v="1"/>
    <n v="1"/>
    <n v="1"/>
    <n v="1"/>
    <s v="Y"/>
    <n v="3000"/>
    <x v="0"/>
  </r>
  <r>
    <d v="2019-10-26T00:00:00"/>
    <d v="1899-12-30T12:28:00"/>
    <m/>
    <s v="D"/>
    <n v="2"/>
    <s v="Road Vehicle"/>
    <n v="4"/>
    <x v="3"/>
    <x v="0"/>
    <n v="4"/>
    <x v="3"/>
    <s v="HIOMA"/>
    <s v="HIOMA"/>
    <s v="UG"/>
    <n v="1"/>
    <s v="Home"/>
    <s v="MASINDI"/>
    <s v="MASINDI"/>
    <s v="UG"/>
    <n v="2"/>
    <s v="Work"/>
    <x v="1"/>
    <n v="100000"/>
    <n v="50"/>
    <x v="5"/>
    <n v="2"/>
    <x v="0"/>
    <n v="5"/>
    <s v="Professional"/>
    <n v="4"/>
    <x v="0"/>
    <n v="3"/>
    <n v="5"/>
    <n v="1"/>
    <n v="4"/>
    <n v="2"/>
    <s v="Y"/>
    <n v="1000"/>
    <x v="4"/>
  </r>
  <r>
    <d v="2019-10-26T00:00:00"/>
    <d v="1899-12-30T12:24:00"/>
    <m/>
    <s v="D"/>
    <n v="2"/>
    <s v="Road Vehicle"/>
    <n v="4"/>
    <x v="3"/>
    <x v="0"/>
    <n v="4"/>
    <x v="3"/>
    <s v="HIOMA"/>
    <s v="HIOMA"/>
    <s v="UG"/>
    <n v="1"/>
    <s v="Home"/>
    <s v="KAGADI"/>
    <s v="KAGADI"/>
    <s v="UG"/>
    <n v="2"/>
    <s v="Work"/>
    <x v="1"/>
    <n v="120000"/>
    <n v="65"/>
    <x v="5"/>
    <n v="3"/>
    <x v="0"/>
    <n v="2"/>
    <s v="Manual Labour"/>
    <n v="5"/>
    <x v="4"/>
    <n v="2"/>
    <n v="4"/>
    <n v="1"/>
    <n v="5"/>
    <n v="4"/>
    <s v="Y"/>
    <n v="3000"/>
    <x v="0"/>
  </r>
  <r>
    <d v="2019-10-26T00:00:00"/>
    <d v="1899-12-30T11:27:00"/>
    <m/>
    <s v="D"/>
    <n v="2"/>
    <s v="Road Vehicle"/>
    <n v="4"/>
    <x v="3"/>
    <x v="0"/>
    <n v="4"/>
    <x v="3"/>
    <s v="HIOMA"/>
    <s v="HIOMA"/>
    <s v="UG"/>
    <n v="1"/>
    <s v="Home"/>
    <s v="BULIISA"/>
    <s v="BULIISA"/>
    <s v="UG"/>
    <n v="2"/>
    <s v="Work"/>
    <x v="1"/>
    <n v="100000"/>
    <n v="180"/>
    <x v="2"/>
    <n v="3"/>
    <x v="0"/>
    <n v="5"/>
    <s v="Professional"/>
    <n v="3"/>
    <x v="1"/>
    <n v="3"/>
    <n v="1"/>
    <n v="5"/>
    <n v="2"/>
    <n v="4"/>
    <s v="Y"/>
    <m/>
    <x v="3"/>
  </r>
  <r>
    <d v="2019-10-21T00:00:00"/>
    <d v="1899-12-30T06:00:00"/>
    <m/>
    <m/>
    <n v="1"/>
    <s v="Walking/Cycling"/>
    <n v="13"/>
    <x v="5"/>
    <x v="1"/>
    <n v="1"/>
    <x v="0"/>
    <s v="Universal college"/>
    <s v="Kasese"/>
    <s v="UGA"/>
    <n v="3"/>
    <s v="Study"/>
    <s v="Kazinga channel"/>
    <s v="kasese"/>
    <s v="UGA"/>
    <n v="1"/>
    <s v="Home"/>
    <x v="9"/>
    <n v="500"/>
    <n v="0.25"/>
    <x v="0"/>
    <n v="8.3000000000000004E-2"/>
    <x v="3"/>
    <n v="8"/>
    <s v="Student"/>
    <n v="1"/>
    <x v="2"/>
    <n v="1"/>
    <n v="2"/>
    <n v="5"/>
    <n v="3"/>
    <n v="4"/>
    <s v="Y"/>
    <n v="500"/>
    <x v="3"/>
  </r>
  <r>
    <d v="2019-10-22T00:00:00"/>
    <d v="1899-12-30T07:40:00"/>
    <m/>
    <m/>
    <n v="1"/>
    <s v="Walking/Cycling"/>
    <n v="13"/>
    <x v="5"/>
    <x v="1"/>
    <n v="1"/>
    <x v="0"/>
    <s v="Kisanyalaze"/>
    <s v="Kasese"/>
    <s v="UGA"/>
    <n v="1"/>
    <s v="Home"/>
    <s v="Universal college"/>
    <s v="kasese"/>
    <s v="UGA"/>
    <n v="3"/>
    <s v="Study"/>
    <x v="25"/>
    <n v="2000"/>
    <n v="11"/>
    <x v="6"/>
    <n v="0.16666600000000001"/>
    <x v="3"/>
    <n v="8"/>
    <s v="Student"/>
    <n v="1"/>
    <x v="2"/>
    <m/>
    <m/>
    <m/>
    <m/>
    <m/>
    <m/>
    <n v="500"/>
    <x v="3"/>
  </r>
  <r>
    <d v="2019-10-22T00:00:00"/>
    <d v="1899-12-30T08:00:00"/>
    <m/>
    <m/>
    <n v="1"/>
    <s v="Walking/Cycling"/>
    <n v="13"/>
    <x v="5"/>
    <x v="1"/>
    <n v="1"/>
    <x v="0"/>
    <s v="Kilembe"/>
    <s v="Kasese"/>
    <s v="UGA"/>
    <n v="1"/>
    <s v="Home"/>
    <s v="mt.Rwenzori"/>
    <s v="kasese"/>
    <s v="UGA"/>
    <n v="3"/>
    <s v="Study"/>
    <x v="25"/>
    <n v="1000"/>
    <n v="2"/>
    <x v="0"/>
    <n v="0.1333"/>
    <x v="3"/>
    <n v="8"/>
    <s v="Student"/>
    <n v="1"/>
    <x v="2"/>
    <n v="3"/>
    <n v="2"/>
    <n v="4"/>
    <n v="2"/>
    <n v="5"/>
    <s v="Y"/>
    <n v="1000"/>
    <x v="4"/>
  </r>
  <r>
    <d v="2019-10-22T00:00:00"/>
    <d v="1899-12-30T07:55:00"/>
    <m/>
    <m/>
    <n v="1"/>
    <s v="Walking/Cycling"/>
    <n v="13"/>
    <x v="5"/>
    <x v="1"/>
    <n v="1"/>
    <x v="0"/>
    <s v="Kilembe"/>
    <s v="Kasese"/>
    <s v="UGA"/>
    <n v="1"/>
    <s v="Home"/>
    <s v="Bright Academy"/>
    <s v="kasese"/>
    <s v="UGA"/>
    <n v="3"/>
    <s v="Study"/>
    <x v="25"/>
    <n v="1000"/>
    <n v="2"/>
    <x v="0"/>
    <n v="8.3333299999999999E-2"/>
    <x v="3"/>
    <n v="8"/>
    <s v="Student"/>
    <n v="1"/>
    <x v="2"/>
    <n v="1"/>
    <n v="2"/>
    <n v="4"/>
    <n v="3"/>
    <n v="5"/>
    <s v="Y"/>
    <m/>
    <x v="3"/>
  </r>
  <r>
    <d v="2019-10-22T00:00:00"/>
    <d v="1899-12-30T09:22:00"/>
    <m/>
    <m/>
    <n v="1"/>
    <s v="Walking/Cycling"/>
    <n v="13"/>
    <x v="5"/>
    <x v="1"/>
    <n v="1"/>
    <x v="0"/>
    <s v="Kaziini camp"/>
    <s v="Kasese"/>
    <s v="UGA"/>
    <n v="1"/>
    <s v="Home"/>
    <s v="Rwenzori inter"/>
    <s v="kasese"/>
    <s v="UGA"/>
    <n v="4"/>
    <s v="Commercial"/>
    <x v="0"/>
    <n v="500"/>
    <n v="0.5"/>
    <x v="0"/>
    <n v="0.1"/>
    <x v="3"/>
    <n v="6"/>
    <s v="Businessman"/>
    <n v="2"/>
    <x v="3"/>
    <n v="1"/>
    <n v="4"/>
    <n v="5"/>
    <n v="2"/>
    <n v="3"/>
    <s v="Y"/>
    <n v="500"/>
    <x v="3"/>
  </r>
  <r>
    <d v="2019-10-22T00:00:00"/>
    <d v="1899-12-30T10:00:00"/>
    <m/>
    <m/>
    <n v="1"/>
    <s v="Walking/Cycling"/>
    <n v="13"/>
    <x v="5"/>
    <x v="1"/>
    <n v="1"/>
    <x v="0"/>
    <s v="Nyakasanga"/>
    <s v="Kasese"/>
    <s v="UGA"/>
    <n v="1"/>
    <s v="Home"/>
    <s v="Towncentre"/>
    <s v="kasese"/>
    <s v="UGA"/>
    <n v="4"/>
    <s v="Commercial"/>
    <x v="0"/>
    <n v="1000"/>
    <n v="0.5"/>
    <x v="0"/>
    <n v="0.1"/>
    <x v="3"/>
    <n v="10"/>
    <s v="Other"/>
    <n v="2"/>
    <x v="3"/>
    <n v="1"/>
    <n v="2"/>
    <n v="4"/>
    <n v="3"/>
    <n v="5"/>
    <s v="Y"/>
    <m/>
    <x v="3"/>
  </r>
  <r>
    <d v="2019-10-22T00:00:00"/>
    <d v="1899-12-30T05:15:00"/>
    <m/>
    <m/>
    <n v="1"/>
    <s v="Walking/Cycling"/>
    <n v="13"/>
    <x v="5"/>
    <x v="1"/>
    <n v="1"/>
    <x v="0"/>
    <s v="Bright Academy"/>
    <s v="Kasese"/>
    <s v="UGA"/>
    <n v="3"/>
    <s v="Study"/>
    <s v="kitalikibi"/>
    <s v="kasese"/>
    <s v="UGA"/>
    <n v="1"/>
    <s v="Home"/>
    <x v="9"/>
    <n v="1000"/>
    <m/>
    <x v="0"/>
    <n v="0.1"/>
    <x v="3"/>
    <n v="8"/>
    <s v="Student"/>
    <n v="1"/>
    <x v="2"/>
    <n v="2"/>
    <n v="1"/>
    <n v="4"/>
    <n v="3"/>
    <n v="5"/>
    <s v="Y"/>
    <n v="500"/>
    <x v="3"/>
  </r>
  <r>
    <d v="2019-10-22T00:00:00"/>
    <d v="1899-12-30T05:00:00"/>
    <m/>
    <m/>
    <n v="1"/>
    <s v="Walking/Cycling"/>
    <n v="13"/>
    <x v="5"/>
    <x v="1"/>
    <n v="1"/>
    <x v="0"/>
    <s v="universal"/>
    <s v="Kasese"/>
    <s v="UGA"/>
    <n v="3"/>
    <s v="Study"/>
    <s v="Kilembe"/>
    <s v="kasese"/>
    <s v="UGA"/>
    <n v="1"/>
    <s v="Home"/>
    <x v="9"/>
    <m/>
    <m/>
    <x v="0"/>
    <m/>
    <x v="3"/>
    <n v="8"/>
    <s v="Student"/>
    <n v="1"/>
    <x v="2"/>
    <n v="1"/>
    <n v="2"/>
    <n v="4"/>
    <n v="3"/>
    <n v="5"/>
    <s v="Y"/>
    <m/>
    <x v="3"/>
  </r>
  <r>
    <d v="2019-10-22T00:00:00"/>
    <d v="1899-12-30T05:44:00"/>
    <m/>
    <m/>
    <n v="1"/>
    <s v="Walking/Cycling"/>
    <n v="13"/>
    <x v="5"/>
    <x v="1"/>
    <n v="1"/>
    <x v="0"/>
    <s v="universal"/>
    <s v="Kasese"/>
    <s v="UGA"/>
    <n v="3"/>
    <s v="Study"/>
    <s v="Kilembe"/>
    <s v="kasese"/>
    <s v="UGA"/>
    <n v="1"/>
    <s v="Home"/>
    <x v="9"/>
    <n v="1000"/>
    <m/>
    <x v="0"/>
    <n v="0.05"/>
    <x v="3"/>
    <n v="8"/>
    <s v="Student"/>
    <n v="1"/>
    <x v="2"/>
    <n v="2"/>
    <n v="3"/>
    <n v="5"/>
    <n v="1"/>
    <n v="4"/>
    <s v="Y"/>
    <n v="2000"/>
    <x v="1"/>
  </r>
  <r>
    <d v="2019-10-22T00:00:00"/>
    <d v="1899-12-30T05:59:00"/>
    <m/>
    <m/>
    <n v="1"/>
    <s v="Walking/Cycling"/>
    <n v="13"/>
    <x v="5"/>
    <x v="1"/>
    <n v="1"/>
    <x v="0"/>
    <s v="Kasese modern"/>
    <s v="Kasese"/>
    <s v="UGA"/>
    <n v="3"/>
    <s v="Study"/>
    <s v="Kilembe"/>
    <s v="kasese"/>
    <s v="UGA"/>
    <n v="1"/>
    <s v="Home"/>
    <x v="9"/>
    <n v="1000"/>
    <m/>
    <x v="0"/>
    <n v="6.6659999999999997E-2"/>
    <x v="3"/>
    <n v="8"/>
    <s v="Student"/>
    <n v="1"/>
    <x v="2"/>
    <n v="3"/>
    <n v="2"/>
    <n v="5"/>
    <n v="1"/>
    <n v="4"/>
    <s v="Y"/>
    <m/>
    <x v="3"/>
  </r>
  <r>
    <d v="2019-10-22T00:00:00"/>
    <d v="1899-12-30T06:10:00"/>
    <m/>
    <m/>
    <n v="1"/>
    <s v="Walking/Cycling"/>
    <n v="13"/>
    <x v="5"/>
    <x v="1"/>
    <n v="1"/>
    <x v="0"/>
    <s v="Universal college"/>
    <s v="Kasese"/>
    <s v="UGA"/>
    <n v="3"/>
    <s v="Study"/>
    <s v="Nyakasanga"/>
    <s v="kasese"/>
    <s v="UGA"/>
    <n v="1"/>
    <s v="Home"/>
    <x v="9"/>
    <n v="1000"/>
    <n v="0.5"/>
    <x v="0"/>
    <n v="8.3330000000000001E-2"/>
    <x v="3"/>
    <n v="8"/>
    <s v="Student"/>
    <n v="1"/>
    <x v="2"/>
    <n v="3"/>
    <n v="2"/>
    <n v="4"/>
    <n v="1"/>
    <n v="5"/>
    <s v="Y"/>
    <n v="1000"/>
    <x v="4"/>
  </r>
  <r>
    <d v="2019-10-23T00:00:00"/>
    <d v="1899-12-30T09:25:00"/>
    <m/>
    <m/>
    <n v="1"/>
    <s v="Walking/Cycling"/>
    <n v="13"/>
    <x v="5"/>
    <x v="1"/>
    <n v="1"/>
    <x v="0"/>
    <s v="rwenzori high"/>
    <s v="Kasese"/>
    <s v="UGA"/>
    <n v="3"/>
    <s v="Study"/>
    <s v="Kilembe"/>
    <s v="kasese"/>
    <s v="UGA"/>
    <n v="1"/>
    <s v="Home"/>
    <x v="9"/>
    <n v="1000"/>
    <m/>
    <x v="0"/>
    <n v="0.1"/>
    <x v="3"/>
    <n v="8"/>
    <s v="Student"/>
    <n v="1"/>
    <x v="2"/>
    <n v="1"/>
    <n v="4"/>
    <n v="5"/>
    <n v="1"/>
    <n v="3"/>
    <s v="Y"/>
    <m/>
    <x v="3"/>
  </r>
  <r>
    <d v="2019-10-23T00:00:00"/>
    <d v="1899-12-30T02:40:00"/>
    <m/>
    <m/>
    <n v="1"/>
    <s v="Walking/Cycling"/>
    <n v="13"/>
    <x v="5"/>
    <x v="1"/>
    <n v="1"/>
    <x v="0"/>
    <s v="Rwenzoriinter"/>
    <s v="Kasese"/>
    <s v="UGA"/>
    <n v="2"/>
    <s v="Work"/>
    <s v="kirome"/>
    <s v="kasese"/>
    <s v="UGA"/>
    <n v="4"/>
    <s v="Commercial"/>
    <x v="17"/>
    <n v="4000"/>
    <n v="16"/>
    <x v="6"/>
    <n v="0.35"/>
    <x v="3"/>
    <n v="6"/>
    <s v="Businessman"/>
    <n v="2"/>
    <x v="3"/>
    <n v="1"/>
    <n v="2"/>
    <n v="4"/>
    <n v="3"/>
    <n v="5"/>
    <s v="Y"/>
    <n v="1000"/>
    <x v="4"/>
  </r>
  <r>
    <d v="2019-10-21T00:00:00"/>
    <d v="1899-12-30T06:02:00"/>
    <m/>
    <m/>
    <n v="1"/>
    <s v="Walking/Cycling"/>
    <n v="13"/>
    <x v="5"/>
    <x v="0"/>
    <n v="1"/>
    <x v="0"/>
    <s v="Bright Academy"/>
    <s v="Kasese"/>
    <s v="UGA"/>
    <n v="3"/>
    <s v="Study"/>
    <s v="Nyakasanga"/>
    <s v="kasese"/>
    <s v="UGA"/>
    <n v="1"/>
    <s v="Home"/>
    <x v="9"/>
    <n v="1000"/>
    <n v="0.25"/>
    <x v="0"/>
    <n v="8.3299999999999999E-2"/>
    <x v="3"/>
    <n v="8"/>
    <s v="Student"/>
    <n v="1"/>
    <x v="2"/>
    <n v="2"/>
    <n v="5"/>
    <n v="3"/>
    <n v="1"/>
    <n v="4"/>
    <s v="Y"/>
    <m/>
    <x v="3"/>
  </r>
  <r>
    <d v="2019-10-21T00:00:00"/>
    <d v="1899-12-30T12:21:00"/>
    <m/>
    <m/>
    <n v="1"/>
    <s v="Walking/Cycling"/>
    <n v="13"/>
    <x v="5"/>
    <x v="0"/>
    <n v="1"/>
    <x v="0"/>
    <s v="Kisanyalaze"/>
    <s v="Kasese"/>
    <s v="UGA"/>
    <n v="1"/>
    <s v="Home"/>
    <s v="Rwenzori inter"/>
    <s v="kasese"/>
    <s v="UGA"/>
    <n v="2"/>
    <s v="Work"/>
    <x v="1"/>
    <n v="1500"/>
    <n v="18"/>
    <x v="6"/>
    <n v="0.16666"/>
    <x v="3"/>
    <n v="2"/>
    <s v="Manual Labour"/>
    <n v="1"/>
    <x v="2"/>
    <n v="1"/>
    <n v="4"/>
    <n v="2"/>
    <n v="5"/>
    <n v="3"/>
    <s v="Y"/>
    <n v="1000"/>
    <x v="4"/>
  </r>
  <r>
    <d v="2019-10-21T00:00:00"/>
    <d v="1899-12-30T12:39:00"/>
    <m/>
    <m/>
    <n v="1"/>
    <s v="Walking/Cycling"/>
    <n v="13"/>
    <x v="5"/>
    <x v="0"/>
    <n v="1"/>
    <x v="0"/>
    <s v="Kidoodo"/>
    <s v="Kasese"/>
    <s v="UGA"/>
    <n v="1"/>
    <s v="Home"/>
    <s v="kasese"/>
    <s v="kasese"/>
    <s v="UGA"/>
    <n v="6"/>
    <s v="Leisure/Social"/>
    <x v="8"/>
    <n v="1000"/>
    <n v="10"/>
    <x v="6"/>
    <n v="8.3000000000000004E-2"/>
    <x v="3"/>
    <n v="7"/>
    <s v="Farmer"/>
    <n v="1"/>
    <x v="2"/>
    <n v="5"/>
    <n v="2"/>
    <n v="4"/>
    <n v="1"/>
    <n v="3"/>
    <s v="Y"/>
    <n v="1000"/>
    <x v="4"/>
  </r>
  <r>
    <d v="2019-10-22T00:00:00"/>
    <d v="1899-12-30T09:05:00"/>
    <m/>
    <m/>
    <n v="1"/>
    <s v="Walking/Cycling"/>
    <n v="13"/>
    <x v="5"/>
    <x v="0"/>
    <n v="1"/>
    <x v="0"/>
    <s v="Kitalikibi"/>
    <s v="Kasese"/>
    <s v="UGA"/>
    <n v="1"/>
    <s v="Home"/>
    <s v="kitembe"/>
    <s v="kasese"/>
    <s v="UGA"/>
    <n v="2"/>
    <s v="Work"/>
    <x v="1"/>
    <n v="1000"/>
    <n v="5"/>
    <x v="0"/>
    <n v="8.3000000000000004E-2"/>
    <x v="3"/>
    <n v="2"/>
    <s v="Manual Labour"/>
    <n v="1"/>
    <x v="2"/>
    <n v="2"/>
    <n v="1"/>
    <n v="5"/>
    <n v="4"/>
    <n v="3"/>
    <s v="Y"/>
    <n v="500"/>
    <x v="3"/>
  </r>
  <r>
    <d v="2019-10-22T00:00:00"/>
    <d v="1899-12-30T09:10:00"/>
    <m/>
    <m/>
    <n v="1"/>
    <s v="Walking/Cycling"/>
    <n v="13"/>
    <x v="5"/>
    <x v="0"/>
    <n v="1"/>
    <x v="0"/>
    <s v="Kitalikibi"/>
    <s v="Kasese"/>
    <s v="UGA"/>
    <n v="1"/>
    <s v="Home"/>
    <s v="Kilembe"/>
    <s v="kasese"/>
    <s v="UGA"/>
    <n v="2"/>
    <s v="Work"/>
    <x v="1"/>
    <n v="1000"/>
    <n v="2"/>
    <x v="0"/>
    <n v="0.1"/>
    <x v="3"/>
    <n v="2"/>
    <s v="Manual Labour"/>
    <n v="1"/>
    <x v="2"/>
    <n v="3"/>
    <n v="1"/>
    <n v="4"/>
    <n v="2"/>
    <n v="5"/>
    <s v="Y"/>
    <m/>
    <x v="3"/>
  </r>
  <r>
    <d v="2019-10-22T00:00:00"/>
    <d v="1899-12-30T10:04:00"/>
    <m/>
    <m/>
    <n v="1"/>
    <s v="Walking/Cycling"/>
    <n v="13"/>
    <x v="5"/>
    <x v="0"/>
    <n v="1"/>
    <x v="0"/>
    <s v="Kikoodo"/>
    <s v="Kasese"/>
    <s v="UGA"/>
    <n v="1"/>
    <s v="Home"/>
    <s v="Rwenzori inter"/>
    <s v="kasese"/>
    <s v="UGA"/>
    <n v="4"/>
    <s v="Commercial"/>
    <x v="0"/>
    <n v="2000"/>
    <n v="5"/>
    <x v="0"/>
    <n v="0.25"/>
    <x v="3"/>
    <n v="6"/>
    <s v="Businessman"/>
    <n v="2"/>
    <x v="3"/>
    <n v="1"/>
    <n v="2"/>
    <n v="3"/>
    <n v="4"/>
    <n v="5"/>
    <s v="Y"/>
    <n v="500"/>
    <x v="3"/>
  </r>
  <r>
    <d v="2019-10-22T00:00:00"/>
    <d v="1899-12-30T05:40:00"/>
    <m/>
    <m/>
    <n v="1"/>
    <s v="Walking/Cycling"/>
    <n v="13"/>
    <x v="5"/>
    <x v="0"/>
    <n v="1"/>
    <x v="0"/>
    <s v="rwenzori high"/>
    <s v="Kasese"/>
    <s v="UGA"/>
    <n v="3"/>
    <s v="Study"/>
    <s v="katadoba"/>
    <s v="kasese"/>
    <s v="UGA"/>
    <n v="1"/>
    <s v="Home"/>
    <x v="9"/>
    <n v="2000"/>
    <n v="0.5"/>
    <x v="0"/>
    <n v="8.3299999999999999E-2"/>
    <x v="3"/>
    <n v="8"/>
    <s v="Student"/>
    <n v="1"/>
    <x v="2"/>
    <n v="1"/>
    <n v="2"/>
    <n v="4"/>
    <n v="3"/>
    <n v="5"/>
    <s v="Y"/>
    <n v="1000"/>
    <x v="4"/>
  </r>
  <r>
    <d v="2019-10-22T00:00:00"/>
    <d v="1899-12-30T05:23:00"/>
    <m/>
    <m/>
    <n v="1"/>
    <s v="Walking/Cycling"/>
    <n v="13"/>
    <x v="5"/>
    <x v="0"/>
    <n v="1"/>
    <x v="0"/>
    <s v="Bright Academy"/>
    <s v="Kasese"/>
    <s v="UGA"/>
    <n v="3"/>
    <s v="Study"/>
    <s v="Nyakasanga"/>
    <s v="kasese"/>
    <s v="UGA"/>
    <n v="1"/>
    <s v="Home"/>
    <x v="9"/>
    <n v="1000"/>
    <n v="1"/>
    <x v="0"/>
    <n v="8.3333000000000004E-2"/>
    <x v="3"/>
    <n v="8"/>
    <s v="Student"/>
    <n v="1"/>
    <x v="2"/>
    <n v="2"/>
    <n v="3"/>
    <n v="4"/>
    <n v="1"/>
    <n v="5"/>
    <s v="Y"/>
    <n v="500"/>
    <x v="3"/>
  </r>
  <r>
    <d v="2019-10-22T00:00:00"/>
    <d v="1899-12-30T05:35:00"/>
    <m/>
    <m/>
    <n v="1"/>
    <s v="Walking/Cycling"/>
    <n v="13"/>
    <x v="5"/>
    <x v="0"/>
    <n v="1"/>
    <x v="0"/>
    <s v="rwenzori high"/>
    <s v="Kasese"/>
    <s v="UGA"/>
    <n v="3"/>
    <s v="Study"/>
    <s v="kidoodo"/>
    <s v="kasese"/>
    <s v="UGA"/>
    <n v="1"/>
    <s v="Home"/>
    <x v="9"/>
    <n v="2000"/>
    <m/>
    <x v="0"/>
    <n v="0.1"/>
    <x v="3"/>
    <n v="8"/>
    <s v="Student"/>
    <n v="1"/>
    <x v="2"/>
    <n v="1"/>
    <n v="3"/>
    <n v="4"/>
    <n v="2"/>
    <n v="5"/>
    <s v="Y"/>
    <m/>
    <x v="3"/>
  </r>
  <r>
    <d v="2019-10-23T00:00:00"/>
    <d v="1899-12-30T09:51:00"/>
    <m/>
    <m/>
    <n v="1"/>
    <s v="Walking/Cycling"/>
    <n v="13"/>
    <x v="5"/>
    <x v="0"/>
    <n v="1"/>
    <x v="0"/>
    <s v="Kasese modern"/>
    <s v="Kasese"/>
    <s v="UGA"/>
    <n v="3"/>
    <s v="Study"/>
    <s v="kyarumba"/>
    <s v="kasese"/>
    <s v="UGA"/>
    <n v="1"/>
    <s v="Home"/>
    <x v="9"/>
    <n v="2000"/>
    <m/>
    <x v="0"/>
    <n v="8.3299999999999999E-2"/>
    <x v="3"/>
    <n v="8"/>
    <s v="Student"/>
    <n v="1"/>
    <x v="2"/>
    <n v="1"/>
    <n v="5"/>
    <n v="3"/>
    <n v="2"/>
    <n v="4"/>
    <s v="Y"/>
    <n v="500"/>
    <x v="3"/>
  </r>
  <r>
    <d v="2019-10-21T00:00:00"/>
    <d v="1899-12-30T11:13:00"/>
    <m/>
    <s v="P"/>
    <n v="2"/>
    <s v="Road Vehicle"/>
    <n v="1"/>
    <x v="0"/>
    <x v="1"/>
    <n v="1"/>
    <x v="0"/>
    <s v="Rubona "/>
    <s v="Bunyangabo"/>
    <s v="UGA"/>
    <n v="4"/>
    <s v="Commercial"/>
    <s v="kasese"/>
    <s v="kasese"/>
    <s v="UGA"/>
    <n v="4"/>
    <s v="Commercial"/>
    <x v="18"/>
    <n v="4000"/>
    <n v="35"/>
    <x v="4"/>
    <n v="0.06"/>
    <x v="3"/>
    <n v="6"/>
    <s v="Businessman"/>
    <n v="1"/>
    <x v="2"/>
    <n v="3"/>
    <n v="4"/>
    <n v="2"/>
    <n v="1"/>
    <n v="5"/>
    <s v="Y"/>
    <n v="1000"/>
    <x v="4"/>
  </r>
  <r>
    <d v="2019-10-21T00:00:00"/>
    <d v="1899-12-30T11:38:00"/>
    <m/>
    <s v="P"/>
    <n v="2"/>
    <s v="Road Vehicle"/>
    <n v="1"/>
    <x v="0"/>
    <x v="1"/>
    <n v="1"/>
    <x v="0"/>
    <s v="Kidoodo"/>
    <s v="Kasese"/>
    <s v="UGA"/>
    <n v="1"/>
    <s v="Home"/>
    <s v="kasese"/>
    <s v="kasese"/>
    <s v="UGA"/>
    <n v="8"/>
    <s v="Others"/>
    <x v="13"/>
    <n v="1000"/>
    <m/>
    <x v="0"/>
    <n v="8.3000000000000004E-2"/>
    <x v="3"/>
    <n v="10"/>
    <s v="Other"/>
    <n v="2"/>
    <x v="3"/>
    <m/>
    <m/>
    <m/>
    <m/>
    <m/>
    <s v="Y"/>
    <m/>
    <x v="3"/>
  </r>
  <r>
    <d v="2019-10-22T00:00:00"/>
    <d v="1899-12-30T07:47:00"/>
    <m/>
    <s v="P"/>
    <n v="2"/>
    <s v="Road Vehicle"/>
    <n v="1"/>
    <x v="0"/>
    <x v="1"/>
    <n v="1"/>
    <x v="0"/>
    <s v="Nyakasanga"/>
    <s v="Kasese"/>
    <s v="UGA"/>
    <n v="1"/>
    <s v="Home"/>
    <s v="Universal college"/>
    <s v="kasese"/>
    <s v="UGA"/>
    <n v="3"/>
    <s v="Study"/>
    <x v="25"/>
    <n v="2000"/>
    <n v="7"/>
    <x v="0"/>
    <n v="0.16666600000000001"/>
    <x v="3"/>
    <n v="8"/>
    <s v="Student"/>
    <n v="1"/>
    <x v="2"/>
    <n v="1"/>
    <n v="2"/>
    <n v="4"/>
    <n v="3"/>
    <n v="5"/>
    <s v="Y"/>
    <n v="1000"/>
    <x v="4"/>
  </r>
  <r>
    <d v="2019-10-23T00:00:00"/>
    <d v="1899-12-30T10:32:00"/>
    <m/>
    <s v="P"/>
    <n v="2"/>
    <s v="Road Vehicle"/>
    <n v="1"/>
    <x v="0"/>
    <x v="1"/>
    <n v="1"/>
    <x v="0"/>
    <s v="kyarumba"/>
    <s v="Kasese"/>
    <s v="UGA"/>
    <n v="4"/>
    <s v="Commercial"/>
    <s v="kasese"/>
    <s v="kasese"/>
    <s v="UGA"/>
    <n v="4"/>
    <s v="Commercial"/>
    <x v="18"/>
    <n v="2000"/>
    <n v="20"/>
    <x v="4"/>
    <n v="0.1666"/>
    <x v="3"/>
    <n v="7"/>
    <s v="Farmer"/>
    <n v="1"/>
    <x v="2"/>
    <n v="4"/>
    <n v="3"/>
    <n v="5"/>
    <n v="1"/>
    <n v="2"/>
    <s v="Y"/>
    <n v="500"/>
    <x v="3"/>
  </r>
  <r>
    <d v="2019-10-23T00:00:00"/>
    <d v="1899-12-30T04:24:00"/>
    <m/>
    <s v="P"/>
    <n v="2"/>
    <s v="Road Vehicle"/>
    <n v="1"/>
    <x v="0"/>
    <x v="1"/>
    <n v="1"/>
    <x v="0"/>
    <s v="Kilembe"/>
    <s v="Kasese"/>
    <s v="UGA"/>
    <n v="6"/>
    <s v="Leisure/Social"/>
    <s v="rugombe"/>
    <s v="kyenjojo"/>
    <s v="UGA"/>
    <n v="1"/>
    <s v="Home"/>
    <x v="10"/>
    <n v="7000"/>
    <m/>
    <x v="0"/>
    <n v="3"/>
    <x v="0"/>
    <n v="8"/>
    <s v="Student"/>
    <n v="1"/>
    <x v="2"/>
    <n v="5"/>
    <n v="2"/>
    <n v="4"/>
    <n v="1"/>
    <n v="3"/>
    <s v="Y"/>
    <s v="3000-5000"/>
    <x v="5"/>
  </r>
  <r>
    <d v="2019-10-23T00:00:00"/>
    <d v="1899-12-30T02:01:00"/>
    <m/>
    <s v="P"/>
    <n v="2"/>
    <s v="Road Vehicle"/>
    <n v="1"/>
    <x v="0"/>
    <x v="1"/>
    <n v="1"/>
    <x v="0"/>
    <s v="Base camp"/>
    <s v="Kasese"/>
    <s v="UGA"/>
    <n v="2"/>
    <s v="Work"/>
    <s v="Bwera"/>
    <s v="kasese"/>
    <s v="UGA"/>
    <n v="1"/>
    <s v="Home"/>
    <x v="4"/>
    <n v="6000"/>
    <m/>
    <x v="0"/>
    <n v="1"/>
    <x v="1"/>
    <n v="5"/>
    <s v="Professional"/>
    <n v="3"/>
    <x v="1"/>
    <n v="2"/>
    <n v="5"/>
    <n v="4"/>
    <n v="1"/>
    <n v="3"/>
    <s v="Y"/>
    <n v="1000"/>
    <x v="4"/>
  </r>
  <r>
    <d v="2019-10-23T00:00:00"/>
    <d v="1899-12-30T01:19:00"/>
    <m/>
    <s v="P"/>
    <n v="2"/>
    <s v="Road Vehicle"/>
    <n v="1"/>
    <x v="0"/>
    <x v="1"/>
    <n v="1"/>
    <x v="0"/>
    <s v="town"/>
    <s v="Kasese"/>
    <s v="UGA"/>
    <n v="7"/>
    <s v="Hospital"/>
    <s v="matiri"/>
    <s v="Kyegegwa"/>
    <s v="UGA"/>
    <n v="1"/>
    <s v="Home"/>
    <x v="27"/>
    <n v="12000"/>
    <n v="300"/>
    <x v="3"/>
    <n v="4"/>
    <x v="2"/>
    <n v="4"/>
    <s v="Office Worker"/>
    <n v="1"/>
    <x v="2"/>
    <n v="2"/>
    <n v="1"/>
    <n v="5"/>
    <n v="3"/>
    <n v="4"/>
    <s v="Y"/>
    <n v="600"/>
    <x v="3"/>
  </r>
  <r>
    <d v="2019-10-21T00:00:00"/>
    <d v="1899-12-30T06:24:00"/>
    <m/>
    <s v="D"/>
    <n v="2"/>
    <s v="Road Vehicle"/>
    <n v="1"/>
    <x v="0"/>
    <x v="0"/>
    <n v="1"/>
    <x v="0"/>
    <s v="Taxi Park"/>
    <s v="Kasese"/>
    <s v="UGA"/>
    <n v="2"/>
    <s v="Work"/>
    <s v="Kinyamaseke"/>
    <s v="kasese"/>
    <s v="UGA"/>
    <n v="2"/>
    <s v="Work"/>
    <x v="2"/>
    <n v="10000"/>
    <m/>
    <x v="0"/>
    <n v="0.5"/>
    <x v="4"/>
    <n v="10"/>
    <s v="Other"/>
    <n v="1"/>
    <x v="2"/>
    <n v="1"/>
    <n v="3"/>
    <n v="5"/>
    <n v="2"/>
    <n v="4"/>
    <s v="Y"/>
    <m/>
    <x v="3"/>
  </r>
  <r>
    <d v="2019-10-21T00:00:00"/>
    <d v="1899-12-30T06:41:00"/>
    <m/>
    <s v="P"/>
    <n v="2"/>
    <s v="Road Vehicle"/>
    <n v="1"/>
    <x v="0"/>
    <x v="0"/>
    <n v="1"/>
    <x v="0"/>
    <s v="Town centre"/>
    <s v="Kasese"/>
    <s v="UGA"/>
    <n v="2"/>
    <s v="Work"/>
    <s v="Towncentre"/>
    <s v="Kyegegwa"/>
    <s v="UGA"/>
    <n v="2"/>
    <s v="Work"/>
    <x v="2"/>
    <n v="15000"/>
    <n v="184"/>
    <x v="2"/>
    <n v="4"/>
    <x v="2"/>
    <n v="10"/>
    <s v="Other"/>
    <n v="1"/>
    <x v="2"/>
    <n v="1"/>
    <n v="2"/>
    <n v="5"/>
    <n v="4"/>
    <n v="3"/>
    <s v="Y"/>
    <n v="1000"/>
    <x v="4"/>
  </r>
  <r>
    <d v="2019-10-22T00:00:00"/>
    <d v="1899-12-30T07:10:00"/>
    <m/>
    <s v="P"/>
    <n v="2"/>
    <s v="Road Vehicle"/>
    <n v="1"/>
    <x v="0"/>
    <x v="0"/>
    <n v="1"/>
    <x v="0"/>
    <s v="Kisanyalaze"/>
    <s v="Kasese"/>
    <s v="UGA"/>
    <n v="1"/>
    <s v="Home"/>
    <s v="ishaka"/>
    <s v="kasese"/>
    <s v="UGA"/>
    <n v="2"/>
    <s v="Work"/>
    <x v="1"/>
    <n v="8000"/>
    <n v="95"/>
    <x v="1"/>
    <n v="3"/>
    <x v="0"/>
    <n v="2"/>
    <s v="Manual Labour"/>
    <n v="1"/>
    <x v="2"/>
    <n v="2"/>
    <n v="5"/>
    <n v="1"/>
    <n v="3"/>
    <n v="4"/>
    <s v="Y"/>
    <n v="1000"/>
    <x v="4"/>
  </r>
  <r>
    <d v="2019-10-22T00:00:00"/>
    <d v="1899-12-30T07:20:00"/>
    <m/>
    <s v="P"/>
    <n v="2"/>
    <s v="Road Vehicle"/>
    <n v="1"/>
    <x v="0"/>
    <x v="0"/>
    <n v="1"/>
    <x v="0"/>
    <s v="Muvuko"/>
    <s v="Kasese"/>
    <s v="UGA"/>
    <n v="1"/>
    <s v="Home"/>
    <s v="Rubirizi"/>
    <s v="Rubirizi"/>
    <s v="UGA"/>
    <n v="4"/>
    <s v="Commercial"/>
    <x v="0"/>
    <n v="5000"/>
    <n v="65"/>
    <x v="5"/>
    <n v="1.5"/>
    <x v="1"/>
    <n v="7"/>
    <s v="Farmer"/>
    <n v="1"/>
    <x v="2"/>
    <n v="1"/>
    <n v="2"/>
    <n v="3"/>
    <n v="4"/>
    <n v="5"/>
    <s v="Y"/>
    <n v="1000"/>
    <x v="4"/>
  </r>
  <r>
    <d v="2019-10-23T00:00:00"/>
    <d v="1899-12-30T07:50:00"/>
    <m/>
    <s v="D"/>
    <n v="2"/>
    <s v="Road Vehicle"/>
    <n v="1"/>
    <x v="0"/>
    <x v="0"/>
    <n v="1"/>
    <x v="0"/>
    <s v="Kinyamaseke"/>
    <s v="Kasese"/>
    <s v="UGA"/>
    <n v="2"/>
    <s v="Work"/>
    <s v="Kasese Tax"/>
    <s v="kasese"/>
    <s v="UGA"/>
    <n v="2"/>
    <s v="Work"/>
    <x v="2"/>
    <n v="150000"/>
    <n v="15"/>
    <x v="6"/>
    <n v="0.33300000000000002"/>
    <x v="3"/>
    <n v="2"/>
    <s v="Manual Labour"/>
    <n v="1"/>
    <x v="2"/>
    <n v="5"/>
    <n v="1"/>
    <n v="4"/>
    <n v="2"/>
    <n v="3"/>
    <s v="Y"/>
    <n v="1000"/>
    <x v="4"/>
  </r>
  <r>
    <d v="2019-10-23T00:00:00"/>
    <d v="1899-12-30T11:50:00"/>
    <m/>
    <s v="D"/>
    <n v="2"/>
    <s v="Road Vehicle"/>
    <n v="1"/>
    <x v="0"/>
    <x v="0"/>
    <n v="1"/>
    <x v="0"/>
    <s v="Kasese"/>
    <s v="Kasese"/>
    <s v="UGA"/>
    <n v="2"/>
    <s v="Work"/>
    <s v="kyarumba"/>
    <s v="kasese"/>
    <s v="UGA"/>
    <n v="2"/>
    <s v="Work"/>
    <x v="2"/>
    <n v="20000"/>
    <m/>
    <x v="0"/>
    <n v="0.33"/>
    <x v="3"/>
    <n v="2"/>
    <s v="Manual Labour"/>
    <n v="1"/>
    <x v="2"/>
    <n v="2"/>
    <n v="1"/>
    <n v="3"/>
    <n v="4"/>
    <n v="5"/>
    <s v="Y"/>
    <m/>
    <x v="3"/>
  </r>
  <r>
    <d v="2019-10-23T00:00:00"/>
    <d v="1899-12-30T12:30:00"/>
    <m/>
    <s v="D"/>
    <n v="2"/>
    <s v="Road Vehicle"/>
    <n v="1"/>
    <x v="0"/>
    <x v="0"/>
    <n v="1"/>
    <x v="0"/>
    <s v="Kasese"/>
    <s v="Kasese"/>
    <s v="UGA"/>
    <n v="2"/>
    <s v="Work"/>
    <s v="kisinga"/>
    <s v="kasese"/>
    <s v="UGA"/>
    <n v="2"/>
    <s v="Work"/>
    <x v="2"/>
    <n v="20000"/>
    <n v="45"/>
    <x v="5"/>
    <n v="0.5"/>
    <x v="4"/>
    <n v="2"/>
    <s v="Manual Labour"/>
    <n v="1"/>
    <x v="2"/>
    <n v="1"/>
    <n v="2"/>
    <n v="4"/>
    <n v="3"/>
    <n v="5"/>
    <s v="Y"/>
    <m/>
    <x v="3"/>
  </r>
  <r>
    <d v="2019-10-23T00:00:00"/>
    <d v="1899-12-30T12:45:00"/>
    <m/>
    <s v="D"/>
    <n v="2"/>
    <s v="Road Vehicle"/>
    <n v="1"/>
    <x v="0"/>
    <x v="0"/>
    <n v="1"/>
    <x v="0"/>
    <s v="Kibito"/>
    <s v="Kasese"/>
    <s v="UGA"/>
    <n v="2"/>
    <s v="Work"/>
    <s v="kasese"/>
    <s v="kasese"/>
    <s v="UGA"/>
    <n v="2"/>
    <s v="Work"/>
    <x v="2"/>
    <n v="15000"/>
    <n v="37"/>
    <x v="4"/>
    <n v="0.75"/>
    <x v="4"/>
    <n v="2"/>
    <s v="Manual Labour"/>
    <n v="1"/>
    <x v="2"/>
    <n v="1"/>
    <n v="2"/>
    <n v="5"/>
    <n v="4"/>
    <n v="3"/>
    <s v="Y"/>
    <m/>
    <x v="3"/>
  </r>
  <r>
    <d v="2019-10-23T00:00:00"/>
    <d v="1899-12-30T05:15:00"/>
    <m/>
    <s v="D"/>
    <n v="2"/>
    <s v="Road Vehicle"/>
    <n v="1"/>
    <x v="0"/>
    <x v="0"/>
    <n v="1"/>
    <x v="0"/>
    <s v="Kasese"/>
    <s v="Kasese"/>
    <s v="UGA"/>
    <n v="2"/>
    <s v="Work"/>
    <s v="mpondwe"/>
    <s v="kasese"/>
    <s v="UGA"/>
    <n v="2"/>
    <s v="Work"/>
    <x v="2"/>
    <n v="50000"/>
    <n v="60"/>
    <x v="5"/>
    <n v="1.5"/>
    <x v="1"/>
    <n v="2"/>
    <s v="Manual Labour"/>
    <n v="1"/>
    <x v="2"/>
    <n v="2"/>
    <n v="1"/>
    <n v="5"/>
    <n v="3"/>
    <n v="4"/>
    <s v="Y"/>
    <n v="2000"/>
    <x v="1"/>
  </r>
  <r>
    <d v="2019-10-23T00:00:00"/>
    <d v="1899-12-30T06:59:00"/>
    <m/>
    <s v="D"/>
    <n v="2"/>
    <s v="Road Vehicle"/>
    <n v="1"/>
    <x v="0"/>
    <x v="0"/>
    <n v="1"/>
    <x v="0"/>
    <s v="Taxi Park"/>
    <s v="Kasese"/>
    <s v="UGA"/>
    <n v="2"/>
    <s v="Work"/>
    <s v="ishaka"/>
    <s v="Bushenyi"/>
    <s v="UGA"/>
    <n v="2"/>
    <s v="Work"/>
    <x v="2"/>
    <n v="80000"/>
    <n v="90"/>
    <x v="1"/>
    <n v="2"/>
    <x v="0"/>
    <n v="10"/>
    <s v="Other"/>
    <n v="2"/>
    <x v="3"/>
    <n v="2"/>
    <n v="3"/>
    <n v="1"/>
    <n v="5"/>
    <n v="4"/>
    <s v="Y"/>
    <n v="100"/>
    <x v="3"/>
  </r>
  <r>
    <d v="2019-10-23T00:00:00"/>
    <d v="1899-12-30T02:42:00"/>
    <m/>
    <s v="P"/>
    <n v="2"/>
    <s v="Road Vehicle"/>
    <n v="1"/>
    <x v="0"/>
    <x v="0"/>
    <n v="1"/>
    <x v="0"/>
    <s v="Mpanga"/>
    <s v="fortportal"/>
    <s v="UGA"/>
    <n v="1"/>
    <s v="Home"/>
    <s v="kighengera"/>
    <s v="kasese"/>
    <s v="UGA"/>
    <n v="6"/>
    <s v="Leisure/Social"/>
    <x v="8"/>
    <n v="11000"/>
    <m/>
    <x v="0"/>
    <n v="3.5"/>
    <x v="2"/>
    <n v="6"/>
    <s v="Businessman"/>
    <n v="1"/>
    <x v="2"/>
    <n v="4"/>
    <n v="5"/>
    <n v="1"/>
    <n v="3"/>
    <n v="2"/>
    <s v="Y"/>
    <n v="1000"/>
    <x v="4"/>
  </r>
  <r>
    <d v="2091-10-23T00:00:00"/>
    <d v="1899-12-30T07:26:00"/>
    <m/>
    <s v="P"/>
    <n v="2"/>
    <s v="Road Vehicle"/>
    <n v="6"/>
    <x v="1"/>
    <x v="1"/>
    <n v="1"/>
    <x v="0"/>
    <s v="coliketa"/>
    <s v="Kasese"/>
    <s v="UGA"/>
    <n v="1"/>
    <s v="Home"/>
    <s v="kampal city"/>
    <s v="KAMPALA"/>
    <s v="UGA"/>
    <n v="6"/>
    <s v="Leisure/Social"/>
    <x v="8"/>
    <n v="25000"/>
    <m/>
    <x v="0"/>
    <m/>
    <x v="3"/>
    <n v="1"/>
    <s v="Unemployed"/>
    <n v="1"/>
    <x v="2"/>
    <n v="5"/>
    <n v="3"/>
    <n v="1"/>
    <n v="2"/>
    <n v="4"/>
    <s v="Y"/>
    <n v="1000"/>
    <x v="4"/>
  </r>
  <r>
    <d v="2019-10-21T00:00:00"/>
    <d v="1899-12-30T11:29:00"/>
    <m/>
    <s v="P"/>
    <n v="2"/>
    <s v="Road Vehicle"/>
    <n v="6"/>
    <x v="1"/>
    <x v="0"/>
    <n v="1"/>
    <x v="0"/>
    <s v="Kidoodo"/>
    <s v="Kasese"/>
    <s v="UGA"/>
    <n v="1"/>
    <s v="Home"/>
    <s v="kampala"/>
    <s v="KAMPALA"/>
    <s v="UGA"/>
    <n v="4"/>
    <s v="Commercial"/>
    <x v="0"/>
    <n v="25000"/>
    <m/>
    <x v="0"/>
    <n v="8"/>
    <x v="2"/>
    <n v="5"/>
    <s v="Professional"/>
    <n v="3"/>
    <x v="1"/>
    <n v="2"/>
    <n v="1"/>
    <n v="5"/>
    <n v="3"/>
    <n v="4"/>
    <s v="Y"/>
    <n v="1000"/>
    <x v="4"/>
  </r>
  <r>
    <d v="2019-10-23T00:00:00"/>
    <d v="1899-12-30T06:09:00"/>
    <m/>
    <s v="P"/>
    <n v="4"/>
    <s v="Water/Ferry"/>
    <n v="6"/>
    <x v="1"/>
    <x v="0"/>
    <n v="1"/>
    <x v="0"/>
    <s v="kigheige"/>
    <s v="Kasese"/>
    <s v="UGA"/>
    <n v="1"/>
    <s v="Home"/>
    <s v="kisenyi"/>
    <s v="KAMPALA"/>
    <s v="UGA"/>
    <n v="2"/>
    <s v="Work"/>
    <x v="1"/>
    <n v="32000"/>
    <m/>
    <x v="0"/>
    <m/>
    <x v="3"/>
    <n v="2"/>
    <s v="Manual Labour"/>
    <n v="2"/>
    <x v="3"/>
    <n v="1"/>
    <n v="3"/>
    <n v="5"/>
    <n v="2"/>
    <n v="4"/>
    <s v="Y"/>
    <m/>
    <x v="3"/>
  </r>
  <r>
    <d v="2019-10-23T00:00:00"/>
    <d v="1899-12-30T05:03:00"/>
    <m/>
    <s v="P"/>
    <n v="2"/>
    <s v="Road Vehicle"/>
    <n v="6"/>
    <x v="1"/>
    <x v="0"/>
    <n v="1"/>
    <x v="0"/>
    <s v="bwera"/>
    <s v="Kasese"/>
    <s v="UGA"/>
    <n v="6"/>
    <s v="Leisure/Social"/>
    <s v="Towncentre"/>
    <s v="mubende"/>
    <s v="UGA"/>
    <n v="1"/>
    <s v="Home"/>
    <x v="10"/>
    <n v="10000"/>
    <m/>
    <x v="0"/>
    <n v="4"/>
    <x v="2"/>
    <n v="4"/>
    <s v="Office Worker"/>
    <n v="3"/>
    <x v="1"/>
    <n v="5"/>
    <n v="2"/>
    <n v="1"/>
    <n v="4"/>
    <n v="3"/>
    <s v="Y"/>
    <s v="500-1000"/>
    <x v="5"/>
  </r>
  <r>
    <d v="2019-10-23T00:00:00"/>
    <d v="1899-12-30T07:31:00"/>
    <m/>
    <s v="P"/>
    <n v="2"/>
    <s v="Road Vehicle"/>
    <n v="6"/>
    <x v="1"/>
    <x v="0"/>
    <n v="1"/>
    <x v="0"/>
    <s v="railway"/>
    <s v="Kasese"/>
    <s v="UGA"/>
    <n v="6"/>
    <s v="Leisure/Social"/>
    <s v="mutundwe"/>
    <s v="KAMPALA"/>
    <s v="UGA"/>
    <n v="2"/>
    <s v="Work"/>
    <x v="29"/>
    <n v="29000"/>
    <n v="400"/>
    <x v="3"/>
    <n v="9"/>
    <x v="2"/>
    <n v="2"/>
    <s v="Manual Labour"/>
    <n v="1"/>
    <x v="2"/>
    <n v="3"/>
    <n v="1"/>
    <n v="2"/>
    <n v="5"/>
    <n v="4"/>
    <s v="Y"/>
    <n v="100"/>
    <x v="3"/>
  </r>
  <r>
    <d v="2019-10-21T00:00:00"/>
    <d v="1899-12-30T12:00:00"/>
    <m/>
    <s v="P"/>
    <n v="2"/>
    <s v="Road Vehicle"/>
    <n v="4"/>
    <x v="3"/>
    <x v="1"/>
    <n v="1"/>
    <x v="0"/>
    <s v="Rwampara"/>
    <s v="Mbarara"/>
    <s v="UGA"/>
    <n v="1"/>
    <s v="Home"/>
    <s v="Lubona"/>
    <s v="FortPortal"/>
    <s v="UGA"/>
    <n v="6"/>
    <s v="Leisure/Social"/>
    <x v="8"/>
    <n v="25000"/>
    <m/>
    <x v="0"/>
    <n v="5"/>
    <x v="2"/>
    <n v="5"/>
    <s v="Professional"/>
    <n v="3"/>
    <x v="1"/>
    <n v="5"/>
    <n v="1"/>
    <n v="3"/>
    <n v="2"/>
    <n v="4"/>
    <s v="Y"/>
    <s v="500-1000"/>
    <x v="5"/>
  </r>
  <r>
    <d v="2019-10-21T00:00:00"/>
    <d v="1899-12-30T12:52:00"/>
    <m/>
    <s v="P"/>
    <n v="2"/>
    <s v="Road Vehicle"/>
    <n v="4"/>
    <x v="3"/>
    <x v="1"/>
    <n v="1"/>
    <x v="0"/>
    <s v="Kaziini camp"/>
    <s v="Kasese"/>
    <s v="UGA"/>
    <n v="6"/>
    <s v="Leisure/Social"/>
    <s v="Bwera"/>
    <s v="kasese"/>
    <s v="UGA"/>
    <n v="1"/>
    <s v="Home"/>
    <x v="10"/>
    <n v="6000"/>
    <n v="60"/>
    <x v="5"/>
    <n v="2"/>
    <x v="0"/>
    <n v="6"/>
    <s v="Businessman"/>
    <n v="1"/>
    <x v="2"/>
    <n v="3"/>
    <n v="2"/>
    <n v="4"/>
    <n v="1"/>
    <n v="5"/>
    <s v="Y"/>
    <n v="100"/>
    <x v="3"/>
  </r>
  <r>
    <d v="2019-10-21T00:00:00"/>
    <d v="1899-12-30T06:12:00"/>
    <m/>
    <s v="P"/>
    <n v="2"/>
    <s v="Road Vehicle"/>
    <n v="4"/>
    <x v="3"/>
    <x v="1"/>
    <n v="1"/>
    <x v="0"/>
    <s v="Town Park"/>
    <s v="Kasese"/>
    <s v="UGA"/>
    <n v="1"/>
    <s v="Home"/>
    <s v="Bwera"/>
    <s v="kasese"/>
    <s v="UGA"/>
    <n v="2"/>
    <s v="Work"/>
    <x v="1"/>
    <n v="5000"/>
    <m/>
    <x v="0"/>
    <n v="1"/>
    <x v="1"/>
    <n v="2"/>
    <s v="Manual Labour"/>
    <n v="1"/>
    <x v="2"/>
    <n v="2"/>
    <n v="4"/>
    <n v="5"/>
    <n v="1"/>
    <n v="3"/>
    <s v="Y"/>
    <s v="1000-2000"/>
    <x v="5"/>
  </r>
  <r>
    <d v="2019-10-21T00:00:00"/>
    <d v="1899-12-30T11:16:00"/>
    <m/>
    <s v="P"/>
    <n v="2"/>
    <s v="Road Vehicle"/>
    <n v="4"/>
    <x v="3"/>
    <x v="1"/>
    <n v="1"/>
    <x v="0"/>
    <s v="katadoba "/>
    <s v="Kasese"/>
    <s v="UGA"/>
    <n v="4"/>
    <s v="Commercial"/>
    <s v="Bwera"/>
    <s v="kasese"/>
    <s v="UGA"/>
    <n v="4"/>
    <s v="Commercial"/>
    <x v="18"/>
    <n v="7000"/>
    <n v="60"/>
    <x v="5"/>
    <n v="1"/>
    <x v="1"/>
    <n v="6"/>
    <s v="Businessman"/>
    <n v="2"/>
    <x v="3"/>
    <n v="2"/>
    <n v="3"/>
    <n v="5"/>
    <n v="1"/>
    <n v="4"/>
    <s v="Y"/>
    <s v="No"/>
    <x v="5"/>
  </r>
  <r>
    <d v="2019-10-21T00:00:00"/>
    <d v="1899-12-30T10:20:00"/>
    <m/>
    <s v="P"/>
    <n v="2"/>
    <s v="Road Vehicle"/>
    <n v="4"/>
    <x v="3"/>
    <x v="1"/>
    <n v="1"/>
    <x v="0"/>
    <s v="Kasitomu"/>
    <s v="Kasese"/>
    <s v="UGA"/>
    <n v="1"/>
    <s v="Home"/>
    <s v="Universal college"/>
    <s v="kasese"/>
    <s v="UGA"/>
    <n v="2"/>
    <s v="Work"/>
    <x v="1"/>
    <n v="8000"/>
    <n v="85"/>
    <x v="1"/>
    <n v="1.5"/>
    <x v="1"/>
    <n v="10"/>
    <s v="Other"/>
    <n v="1"/>
    <x v="2"/>
    <n v="1"/>
    <n v="2"/>
    <n v="4"/>
    <n v="3"/>
    <n v="5"/>
    <s v="Y"/>
    <n v="1000"/>
    <x v="4"/>
  </r>
  <r>
    <d v="2019-10-21T00:00:00"/>
    <d v="1899-12-30T11:35:00"/>
    <m/>
    <s v="P"/>
    <n v="2"/>
    <s v="Road Vehicle"/>
    <n v="4"/>
    <x v="3"/>
    <x v="1"/>
    <n v="1"/>
    <x v="0"/>
    <s v="Ishaka"/>
    <s v="Kasese"/>
    <s v="UGA"/>
    <n v="4"/>
    <s v="Commercial"/>
    <s v="Bundibugyo"/>
    <s v="Bundibugyo"/>
    <s v="UGA"/>
    <n v="4"/>
    <s v="Commercial"/>
    <x v="18"/>
    <n v="13000"/>
    <m/>
    <x v="0"/>
    <n v="5"/>
    <x v="2"/>
    <n v="6"/>
    <s v="Businessman"/>
    <n v="3"/>
    <x v="1"/>
    <m/>
    <m/>
    <m/>
    <m/>
    <m/>
    <m/>
    <n v="2001"/>
    <x v="1"/>
  </r>
  <r>
    <d v="2019-10-23T00:00:00"/>
    <d v="1899-12-30T05:56:00"/>
    <m/>
    <s v="P"/>
    <n v="2"/>
    <s v="Road Vehicle"/>
    <n v="4"/>
    <x v="3"/>
    <x v="1"/>
    <n v="1"/>
    <x v="0"/>
    <s v="oldkampala"/>
    <s v="KAMPALA"/>
    <s v="UGA"/>
    <n v="2"/>
    <s v="Work"/>
    <s v="kabirizi"/>
    <s v="kasese"/>
    <s v="UGA"/>
    <n v="1"/>
    <s v="Home"/>
    <x v="4"/>
    <n v="30000"/>
    <m/>
    <x v="0"/>
    <n v="9"/>
    <x v="2"/>
    <n v="3"/>
    <s v="Artisan/Domestic"/>
    <n v="1"/>
    <x v="2"/>
    <n v="4"/>
    <n v="2"/>
    <n v="5"/>
    <n v="1"/>
    <n v="3"/>
    <s v="Y"/>
    <m/>
    <x v="3"/>
  </r>
  <r>
    <d v="2019-10-23T00:00:00"/>
    <d v="1899-12-30T03:49:00"/>
    <m/>
    <s v="P"/>
    <n v="2"/>
    <s v="Road Vehicle"/>
    <n v="4"/>
    <x v="3"/>
    <x v="1"/>
    <n v="1"/>
    <x v="0"/>
    <s v="Town centre"/>
    <s v="Mbarara"/>
    <s v="UGA"/>
    <n v="4"/>
    <s v="Commercial"/>
    <s v="kichwamba"/>
    <s v="Fortportal"/>
    <s v="UGA"/>
    <n v="1"/>
    <s v="Home"/>
    <x v="3"/>
    <n v="20000"/>
    <n v="136"/>
    <x v="2"/>
    <n v="4"/>
    <x v="2"/>
    <n v="5"/>
    <s v="Professional"/>
    <n v="1"/>
    <x v="2"/>
    <n v="3"/>
    <n v="2"/>
    <n v="4"/>
    <n v="1"/>
    <n v="5"/>
    <s v="Y"/>
    <n v="500"/>
    <x v="3"/>
  </r>
  <r>
    <d v="2019-10-23T00:00:00"/>
    <d v="1899-12-30T03:16:00"/>
    <m/>
    <s v="P"/>
    <n v="2"/>
    <s v="Road Vehicle"/>
    <n v="4"/>
    <x v="3"/>
    <x v="1"/>
    <n v="1"/>
    <x v="0"/>
    <s v="Town"/>
    <s v="Kasese"/>
    <s v="UGA"/>
    <n v="8"/>
    <s v="Others"/>
    <s v="bwera"/>
    <s v="kasese"/>
    <s v="UGA"/>
    <n v="8"/>
    <s v="Others"/>
    <x v="15"/>
    <n v="6000"/>
    <m/>
    <x v="0"/>
    <n v="1.5"/>
    <x v="1"/>
    <n v="6"/>
    <s v="Businessman"/>
    <n v="1"/>
    <x v="2"/>
    <n v="1"/>
    <n v="3"/>
    <n v="4"/>
    <n v="2"/>
    <n v="5"/>
    <s v="Y"/>
    <n v="2000"/>
    <x v="1"/>
  </r>
  <r>
    <d v="2019-10-21T00:00:00"/>
    <d v="1899-12-30T12:20:00"/>
    <m/>
    <s v="P"/>
    <n v="2"/>
    <s v="Road Vehicle"/>
    <n v="4"/>
    <x v="3"/>
    <x v="0"/>
    <n v="1"/>
    <x v="0"/>
    <s v="Town centre"/>
    <s v="Kasese"/>
    <s v="UGA"/>
    <n v="2"/>
    <s v="Work"/>
    <s v="Rwibale"/>
    <s v="Rwibale"/>
    <s v="UGA"/>
    <n v="2"/>
    <s v="Work"/>
    <x v="2"/>
    <n v="11000"/>
    <m/>
    <x v="0"/>
    <m/>
    <x v="3"/>
    <n v="2"/>
    <s v="Manual Labour"/>
    <n v="2"/>
    <x v="3"/>
    <n v="4"/>
    <n v="1"/>
    <n v="3"/>
    <n v="2"/>
    <n v="5"/>
    <s v="Y"/>
    <n v="500"/>
    <x v="3"/>
  </r>
  <r>
    <d v="2019-10-21T00:00:00"/>
    <d v="1899-12-30T12:02:00"/>
    <m/>
    <s v="P"/>
    <n v="2"/>
    <s v="Road Vehicle"/>
    <n v="4"/>
    <x v="3"/>
    <x v="0"/>
    <n v="1"/>
    <x v="0"/>
    <s v="katwe"/>
    <s v="Kasese"/>
    <s v="UGA"/>
    <n v="1"/>
    <s v="Home"/>
    <s v="Bwera"/>
    <s v="kasese"/>
    <s v="UGA"/>
    <n v="2"/>
    <s v="Work"/>
    <x v="1"/>
    <n v="9000"/>
    <m/>
    <x v="0"/>
    <s v="1to 2"/>
    <x v="2"/>
    <n v="6"/>
    <s v="Businessman"/>
    <n v="2"/>
    <x v="3"/>
    <n v="2"/>
    <n v="5"/>
    <n v="1"/>
    <n v="4"/>
    <n v="3"/>
    <s v="Y"/>
    <n v="200"/>
    <x v="3"/>
  </r>
  <r>
    <d v="2019-10-21T00:00:00"/>
    <d v="1899-12-30T12:40:00"/>
    <m/>
    <s v="D"/>
    <n v="2"/>
    <s v="Road Vehicle"/>
    <n v="4"/>
    <x v="3"/>
    <x v="0"/>
    <n v="1"/>
    <x v="0"/>
    <s v="Town centre"/>
    <s v="Kasese"/>
    <s v="UGA"/>
    <n v="2"/>
    <s v="Work"/>
    <s v="Kikome"/>
    <s v="kasese"/>
    <s v="UGA"/>
    <n v="2"/>
    <s v="Work"/>
    <x v="2"/>
    <n v="7600"/>
    <n v="14"/>
    <x v="6"/>
    <n v="0.33"/>
    <x v="3"/>
    <n v="10"/>
    <s v="Other"/>
    <n v="2"/>
    <x v="3"/>
    <n v="3"/>
    <n v="4"/>
    <n v="1"/>
    <n v="2"/>
    <n v="5"/>
    <s v="Y"/>
    <n v="1000"/>
    <x v="4"/>
  </r>
  <r>
    <d v="2019-10-21T00:00:00"/>
    <d v="1899-12-30T06:32:00"/>
    <m/>
    <s v="P"/>
    <n v="2"/>
    <s v="Road Vehicle"/>
    <n v="4"/>
    <x v="3"/>
    <x v="0"/>
    <n v="1"/>
    <x v="0"/>
    <s v="Mt.Rwenzori"/>
    <s v="Kasese"/>
    <s v="UGA"/>
    <n v="2"/>
    <s v="Work"/>
    <s v="Mughete"/>
    <s v="kasese"/>
    <s v="UGA"/>
    <n v="2"/>
    <s v="Work"/>
    <x v="2"/>
    <n v="6000"/>
    <n v="100"/>
    <x v="2"/>
    <n v="1"/>
    <x v="1"/>
    <n v="2"/>
    <s v="Manual Labour"/>
    <n v="1"/>
    <x v="2"/>
    <n v="1"/>
    <n v="2"/>
    <n v="5"/>
    <n v="4"/>
    <n v="3"/>
    <s v="Y"/>
    <n v="100"/>
    <x v="3"/>
  </r>
  <r>
    <d v="2019-10-21T00:00:00"/>
    <d v="1899-12-30T11:22:00"/>
    <m/>
    <s v="P"/>
    <n v="2"/>
    <s v="Road Vehicle"/>
    <n v="4"/>
    <x v="3"/>
    <x v="0"/>
    <n v="1"/>
    <x v="0"/>
    <s v="Katwe"/>
    <s v="Kasese"/>
    <s v="UGA"/>
    <n v="4"/>
    <s v="Commercial"/>
    <s v="Kyegegwa"/>
    <s v="Kyegegwa"/>
    <s v="UGA"/>
    <n v="4"/>
    <s v="Commercial"/>
    <x v="18"/>
    <n v="12000"/>
    <n v="189"/>
    <x v="2"/>
    <n v="3.5"/>
    <x v="2"/>
    <n v="6"/>
    <s v="Businessman"/>
    <n v="2"/>
    <x v="3"/>
    <n v="2"/>
    <n v="1"/>
    <n v="4"/>
    <n v="5"/>
    <n v="3"/>
    <s v="Y"/>
    <n v="1000"/>
    <x v="4"/>
  </r>
  <r>
    <d v="2019-10-21T00:00:00"/>
    <d v="1899-12-30T10:56:00"/>
    <m/>
    <s v="P"/>
    <n v="2"/>
    <s v="Road Vehicle"/>
    <n v="4"/>
    <x v="3"/>
    <x v="0"/>
    <n v="1"/>
    <x v="0"/>
    <s v="Kasitomu"/>
    <s v="Kasese"/>
    <s v="UGA"/>
    <n v="1"/>
    <s v="Home"/>
    <s v="kasitomu"/>
    <s v="kasese"/>
    <s v="UGA"/>
    <n v="2"/>
    <s v="Work"/>
    <x v="1"/>
    <n v="3000"/>
    <n v="58"/>
    <x v="5"/>
    <n v="0.75"/>
    <x v="4"/>
    <n v="2"/>
    <s v="Manual Labour"/>
    <n v="1"/>
    <x v="2"/>
    <n v="2"/>
    <n v="1"/>
    <n v="4"/>
    <n v="3"/>
    <n v="5"/>
    <s v="Y"/>
    <n v="2000"/>
    <x v="1"/>
  </r>
  <r>
    <d v="2019-10-21T00:00:00"/>
    <d v="1899-12-30T11:55:00"/>
    <m/>
    <s v="P"/>
    <n v="2"/>
    <s v="Road Vehicle"/>
    <n v="4"/>
    <x v="3"/>
    <x v="0"/>
    <n v="1"/>
    <x v="0"/>
    <s v="Kisanyalaze"/>
    <s v="Kasese"/>
    <s v="UGA"/>
    <n v="1"/>
    <s v="Home"/>
    <s v="Kazinga channel"/>
    <s v="kasese"/>
    <s v="UGA"/>
    <n v="2"/>
    <s v="Work"/>
    <x v="1"/>
    <n v="3000"/>
    <m/>
    <x v="0"/>
    <n v="0.33300000000000002"/>
    <x v="3"/>
    <n v="10"/>
    <s v="Other"/>
    <n v="2"/>
    <x v="3"/>
    <n v="2"/>
    <n v="3"/>
    <n v="4"/>
    <n v="1"/>
    <n v="5"/>
    <s v="Y"/>
    <m/>
    <x v="3"/>
  </r>
  <r>
    <d v="2019-10-22T00:00:00"/>
    <d v="1899-12-30T08:23:00"/>
    <m/>
    <s v="P"/>
    <n v="2"/>
    <s v="Road Vehicle"/>
    <n v="4"/>
    <x v="3"/>
    <x v="0"/>
    <n v="1"/>
    <x v="0"/>
    <s v="Muhokya"/>
    <s v="Kasese"/>
    <s v="UGA"/>
    <n v="1"/>
    <s v="Home"/>
    <s v="Town centre"/>
    <s v="kasese"/>
    <s v="UGA"/>
    <n v="2"/>
    <s v="Work"/>
    <x v="1"/>
    <n v="2000"/>
    <n v="20"/>
    <x v="4"/>
    <n v="0.16700000000000001"/>
    <x v="3"/>
    <n v="2"/>
    <s v="Manual Labour"/>
    <n v="1"/>
    <x v="2"/>
    <n v="1"/>
    <n v="3"/>
    <n v="4"/>
    <n v="5"/>
    <n v="6"/>
    <s v="Y"/>
    <n v="1000"/>
    <x v="4"/>
  </r>
  <r>
    <d v="2019-10-22T00:00:00"/>
    <d v="1899-12-30T11:50:00"/>
    <m/>
    <s v="P"/>
    <n v="2"/>
    <s v="Road Vehicle"/>
    <n v="4"/>
    <x v="3"/>
    <x v="0"/>
    <n v="1"/>
    <x v="0"/>
    <s v="kikoodo"/>
    <s v="Kasese"/>
    <s v="UGA"/>
    <n v="1"/>
    <s v="Home"/>
    <s v="ishaka"/>
    <s v="kasese"/>
    <s v="UGA"/>
    <n v="2"/>
    <s v="Work"/>
    <x v="1"/>
    <n v="8000"/>
    <n v="92"/>
    <x v="1"/>
    <n v="3"/>
    <x v="0"/>
    <n v="6"/>
    <s v="Businessman"/>
    <n v="2"/>
    <x v="3"/>
    <n v="1"/>
    <n v="2"/>
    <n v="4"/>
    <n v="3"/>
    <n v="5"/>
    <s v="Y"/>
    <n v="1000"/>
    <x v="4"/>
  </r>
  <r>
    <d v="2019-10-23T00:00:00"/>
    <d v="1899-12-30T05:59:00"/>
    <m/>
    <s v="P"/>
    <n v="2"/>
    <s v="Road Vehicle"/>
    <n v="4"/>
    <x v="3"/>
    <x v="0"/>
    <n v="1"/>
    <x v="0"/>
    <s v="Kinyamaseke"/>
    <s v="Kasese"/>
    <s v="UGA"/>
    <n v="1"/>
    <s v="Home"/>
    <s v="kasese"/>
    <s v="kasese"/>
    <s v="UGA"/>
    <n v="4"/>
    <s v="Commercial"/>
    <x v="0"/>
    <n v="3000"/>
    <n v="12"/>
    <x v="6"/>
    <n v="0.33329999999999999"/>
    <x v="3"/>
    <n v="7"/>
    <s v="Farmer"/>
    <n v="1"/>
    <x v="2"/>
    <n v="1"/>
    <n v="2"/>
    <n v="5"/>
    <n v="3"/>
    <n v="4"/>
    <s v="Y"/>
    <m/>
    <x v="3"/>
  </r>
  <r>
    <d v="2019-10-23T00:00:00"/>
    <d v="1899-12-30T01:48:00"/>
    <m/>
    <s v="P"/>
    <n v="2"/>
    <s v="Road Vehicle"/>
    <n v="4"/>
    <x v="3"/>
    <x v="0"/>
    <n v="1"/>
    <x v="0"/>
    <s v="towncity"/>
    <s v="Kasese"/>
    <s v="UGA"/>
    <n v="2"/>
    <s v="Work"/>
    <s v="kisinga"/>
    <s v="kasese"/>
    <s v="UGA"/>
    <n v="1"/>
    <s v="Home"/>
    <x v="4"/>
    <n v="6000"/>
    <n v="40"/>
    <x v="5"/>
    <n v="1.5"/>
    <x v="1"/>
    <n v="6"/>
    <s v="Businessman"/>
    <n v="1"/>
    <x v="2"/>
    <n v="2"/>
    <n v="5"/>
    <n v="1"/>
    <n v="4"/>
    <n v="3"/>
    <s v="Y"/>
    <n v="500"/>
    <x v="3"/>
  </r>
  <r>
    <d v="2019-10-23T00:00:00"/>
    <d v="1899-12-30T04:32:00"/>
    <m/>
    <s v="P"/>
    <n v="2"/>
    <s v="Road Vehicle"/>
    <n v="4"/>
    <x v="3"/>
    <x v="0"/>
    <n v="1"/>
    <x v="0"/>
    <s v="Kibssara"/>
    <s v="Kasese"/>
    <s v="UGA"/>
    <n v="6"/>
    <s v="Leisure/Social"/>
    <s v="muyhete"/>
    <s v="kasese"/>
    <s v="UGA"/>
    <n v="4"/>
    <s v="Commercial"/>
    <x v="21"/>
    <n v="12000"/>
    <m/>
    <x v="0"/>
    <n v="2.5"/>
    <x v="0"/>
    <n v="6"/>
    <s v="Businessman"/>
    <n v="1"/>
    <x v="2"/>
    <n v="5"/>
    <n v="2"/>
    <n v="3"/>
    <n v="4"/>
    <n v="1"/>
    <s v="Y"/>
    <n v="100"/>
    <x v="3"/>
  </r>
  <r>
    <d v="2019-10-23T00:00:00"/>
    <d v="1899-12-30T03:31:00"/>
    <m/>
    <s v="P"/>
    <n v="2"/>
    <s v="Road Vehicle"/>
    <n v="4"/>
    <x v="3"/>
    <x v="0"/>
    <n v="1"/>
    <x v="0"/>
    <s v="Kinyamaseke"/>
    <s v="Kasese"/>
    <s v="UGA"/>
    <n v="8"/>
    <s v="Others"/>
    <s v="Towncentre"/>
    <s v="kasese"/>
    <s v="UGA"/>
    <n v="7"/>
    <s v="Hospital"/>
    <x v="30"/>
    <n v="2000"/>
    <m/>
    <x v="0"/>
    <n v="0.5"/>
    <x v="4"/>
    <n v="1"/>
    <s v="Unemployed"/>
    <n v="1"/>
    <x v="2"/>
    <n v="4"/>
    <n v="5"/>
    <n v="2"/>
    <n v="1"/>
    <n v="3"/>
    <s v="Y"/>
    <m/>
    <x v="3"/>
  </r>
  <r>
    <d v="2019-10-23T00:00:00"/>
    <d v="1899-12-30T03:00:00"/>
    <m/>
    <s v="P"/>
    <n v="2"/>
    <s v="Road Vehicle"/>
    <n v="4"/>
    <x v="3"/>
    <x v="0"/>
    <n v="1"/>
    <x v="0"/>
    <s v="modern"/>
    <s v="Kasese"/>
    <s v="UGA"/>
    <n v="1"/>
    <s v="Home"/>
    <s v="cholikota"/>
    <s v="kasese"/>
    <s v="UGA"/>
    <n v="6"/>
    <s v="Leisure/Social"/>
    <x v="8"/>
    <n v="2500"/>
    <m/>
    <x v="0"/>
    <n v="0.16600000000000001"/>
    <x v="3"/>
    <n v="1"/>
    <s v="Unemployed"/>
    <n v="1"/>
    <x v="2"/>
    <n v="2"/>
    <n v="4"/>
    <n v="3"/>
    <n v="1"/>
    <n v="5"/>
    <s v="Y"/>
    <m/>
    <x v="3"/>
  </r>
  <r>
    <d v="2019-10-23T00:00:00"/>
    <d v="1899-12-30T02:18:00"/>
    <m/>
    <s v="P"/>
    <n v="2"/>
    <s v="Road Vehicle"/>
    <n v="4"/>
    <x v="3"/>
    <x v="0"/>
    <n v="1"/>
    <x v="0"/>
    <s v="Kirembe quata"/>
    <s v="Kasese"/>
    <s v="UGA"/>
    <n v="5"/>
    <s v="Tourism"/>
    <s v="Towncentre"/>
    <s v="miityana"/>
    <s v="UGA"/>
    <n v="5"/>
    <s v="Tourism"/>
    <x v="31"/>
    <n v="22000"/>
    <m/>
    <x v="0"/>
    <m/>
    <x v="3"/>
    <n v="4"/>
    <s v="Office Worker"/>
    <n v="3"/>
    <x v="1"/>
    <n v="4"/>
    <n v="3"/>
    <n v="1"/>
    <n v="2"/>
    <n v="5"/>
    <s v="Y"/>
    <n v="1500"/>
    <x v="4"/>
  </r>
  <r>
    <d v="2019-10-23T00:00:00"/>
    <d v="1899-12-30T12:48:00"/>
    <m/>
    <s v="P"/>
    <n v="2"/>
    <s v="Road Vehicle"/>
    <n v="4"/>
    <x v="3"/>
    <x v="0"/>
    <n v="1"/>
    <x v="0"/>
    <s v="Bwera"/>
    <s v="Kasese"/>
    <s v="UGA"/>
    <n v="2"/>
    <s v="Work"/>
    <s v="Town centre"/>
    <s v="Mbarara"/>
    <s v="UGA"/>
    <n v="2"/>
    <s v="Work"/>
    <x v="2"/>
    <n v="120000"/>
    <m/>
    <x v="0"/>
    <n v="3"/>
    <x v="0"/>
    <n v="10"/>
    <s v="Other"/>
    <n v="1"/>
    <x v="2"/>
    <n v="2"/>
    <n v="1"/>
    <n v="5"/>
    <n v="4"/>
    <n v="3"/>
    <s v="Y"/>
    <n v="1000"/>
    <x v="4"/>
  </r>
  <r>
    <d v="2019-10-23T00:00:00"/>
    <d v="1899-12-30T12:16:00"/>
    <m/>
    <s v="P"/>
    <n v="2"/>
    <s v="Road Vehicle"/>
    <n v="4"/>
    <x v="3"/>
    <x v="0"/>
    <n v="1"/>
    <x v="0"/>
    <s v="bwera"/>
    <s v="Kasese"/>
    <s v="UGA"/>
    <n v="3"/>
    <s v="Study"/>
    <s v="kitalikibi"/>
    <s v="kasese"/>
    <s v="UGA"/>
    <n v="1"/>
    <s v="Home"/>
    <x v="9"/>
    <n v="6000"/>
    <m/>
    <x v="0"/>
    <n v="1"/>
    <x v="1"/>
    <n v="6"/>
    <s v="Businessman"/>
    <n v="5"/>
    <x v="4"/>
    <n v="5"/>
    <n v="1"/>
    <n v="3"/>
    <n v="2"/>
    <n v="4"/>
    <s v="Y"/>
    <n v="1500"/>
    <x v="4"/>
  </r>
  <r>
    <d v="2019-10-23T00:00:00"/>
    <d v="1899-12-30T11:07:00"/>
    <m/>
    <s v="P"/>
    <n v="2"/>
    <s v="Road Vehicle"/>
    <n v="4"/>
    <x v="3"/>
    <x v="0"/>
    <n v="1"/>
    <x v="0"/>
    <s v="colidota"/>
    <s v="Kasese"/>
    <s v="UGA"/>
    <n v="8"/>
    <s v="Others"/>
    <s v="kakabara"/>
    <s v="Kyegegwa"/>
    <s v="UGA"/>
    <n v="8"/>
    <s v="Others"/>
    <x v="15"/>
    <n v="14000"/>
    <m/>
    <x v="0"/>
    <n v="4"/>
    <x v="2"/>
    <n v="6"/>
    <s v="Businessman"/>
    <n v="3"/>
    <x v="1"/>
    <n v="1"/>
    <n v="5"/>
    <n v="3"/>
    <n v="2"/>
    <n v="4"/>
    <s v="Y"/>
    <n v="1500"/>
    <x v="4"/>
  </r>
  <r>
    <d v="2019-10-21T00:00:00"/>
    <d v="1899-12-30T02:10:00"/>
    <m/>
    <m/>
    <n v="2"/>
    <s v="Road Vehicle"/>
    <n v="4"/>
    <x v="3"/>
    <x v="0"/>
    <n v="1"/>
    <x v="0"/>
    <m/>
    <m/>
    <s v="UGA"/>
    <n v="1"/>
    <s v="Home"/>
    <m/>
    <m/>
    <s v="UGA"/>
    <n v="8"/>
    <s v="Others"/>
    <x v="13"/>
    <m/>
    <m/>
    <x v="0"/>
    <m/>
    <x v="3"/>
    <n v="4"/>
    <s v="Office Worker"/>
    <n v="2"/>
    <x v="3"/>
    <m/>
    <m/>
    <m/>
    <m/>
    <m/>
    <m/>
    <m/>
    <x v="3"/>
  </r>
  <r>
    <d v="2019-10-23T00:00:00"/>
    <d v="1899-12-30T08:36:00"/>
    <m/>
    <s v="D"/>
    <n v="2"/>
    <s v="Road Vehicle"/>
    <n v="2"/>
    <x v="6"/>
    <x v="0"/>
    <n v="1"/>
    <x v="0"/>
    <s v="Town centre"/>
    <s v="bushenyi"/>
    <s v="UGA"/>
    <n v="8"/>
    <s v="Others"/>
    <s v="mukungu"/>
    <s v="kasese"/>
    <s v="UGA"/>
    <n v="1"/>
    <s v="Home"/>
    <x v="12"/>
    <n v="71000"/>
    <m/>
    <x v="0"/>
    <n v="3"/>
    <x v="0"/>
    <n v="5"/>
    <s v="Professional"/>
    <n v="3"/>
    <x v="1"/>
    <n v="1"/>
    <n v="5"/>
    <n v="4"/>
    <n v="2"/>
    <n v="3"/>
    <s v="Y"/>
    <n v="1000"/>
    <x v="4"/>
  </r>
  <r>
    <d v="2019-10-21T00:00:00"/>
    <d v="1899-12-30T11:58:00"/>
    <m/>
    <m/>
    <n v="1"/>
    <s v="Walking/Cycling"/>
    <n v="2"/>
    <x v="6"/>
    <x v="0"/>
    <n v="1"/>
    <x v="0"/>
    <s v="Kasitomu"/>
    <s v="Kasese"/>
    <s v="UGA"/>
    <n v="1"/>
    <s v="Home"/>
    <s v="kampala"/>
    <s v="kampala"/>
    <s v="UGA"/>
    <n v="4"/>
    <s v="Commercial"/>
    <x v="0"/>
    <n v="30000"/>
    <n v="443"/>
    <x v="3"/>
    <n v="8"/>
    <x v="2"/>
    <n v="2"/>
    <s v="Manual Labour"/>
    <n v="1"/>
    <x v="2"/>
    <n v="2"/>
    <n v="3"/>
    <n v="5"/>
    <n v="1"/>
    <n v="4"/>
    <s v="Y"/>
    <m/>
    <x v="3"/>
  </r>
  <r>
    <d v="2019-10-21T00:00:00"/>
    <d v="1899-12-30T01:00:00"/>
    <m/>
    <m/>
    <n v="1"/>
    <s v="Walking/Cycling"/>
    <n v="13"/>
    <x v="5"/>
    <x v="1"/>
    <n v="2"/>
    <x v="1"/>
    <s v="Kinyamaseke"/>
    <s v="Kasese"/>
    <s v="UGA"/>
    <n v="1"/>
    <s v="Home"/>
    <s v="Town centre"/>
    <s v="kasese"/>
    <s v="UGA"/>
    <n v="6"/>
    <s v="Leisure/Social"/>
    <x v="8"/>
    <n v="2000"/>
    <m/>
    <x v="0"/>
    <n v="8.3330000000000001E-2"/>
    <x v="3"/>
    <n v="10"/>
    <s v="Other"/>
    <n v="2"/>
    <x v="3"/>
    <n v="2"/>
    <n v="3"/>
    <n v="4"/>
    <n v="1"/>
    <n v="5"/>
    <s v="Y"/>
    <m/>
    <x v="3"/>
  </r>
  <r>
    <d v="2019-10-22T00:00:00"/>
    <d v="1899-12-30T09:18:00"/>
    <m/>
    <m/>
    <n v="1"/>
    <s v="Walking/Cycling"/>
    <n v="13"/>
    <x v="5"/>
    <x v="1"/>
    <n v="2"/>
    <x v="1"/>
    <s v="Rugendabara"/>
    <s v="Kasese"/>
    <s v="UGA"/>
    <n v="1"/>
    <s v="Home"/>
    <s v="Towncentre"/>
    <s v="kasese"/>
    <s v="UGA"/>
    <n v="4"/>
    <s v="Commercial"/>
    <x v="0"/>
    <m/>
    <m/>
    <x v="0"/>
    <m/>
    <x v="3"/>
    <n v="7"/>
    <s v="Farmer"/>
    <n v="1"/>
    <x v="2"/>
    <n v="1"/>
    <n v="2"/>
    <n v="5"/>
    <n v="3"/>
    <n v="4"/>
    <s v="Y"/>
    <m/>
    <x v="3"/>
  </r>
  <r>
    <d v="2019-10-22T00:00:00"/>
    <d v="1899-12-30T12:35:00"/>
    <m/>
    <m/>
    <n v="1"/>
    <s v="Walking/Cycling"/>
    <n v="13"/>
    <x v="5"/>
    <x v="1"/>
    <n v="2"/>
    <x v="1"/>
    <s v="Rugendabara"/>
    <s v="Kasese"/>
    <s v="UGA"/>
    <n v="1"/>
    <s v="Home"/>
    <s v="Towncentre"/>
    <s v="kasese"/>
    <s v="UGA"/>
    <n v="6"/>
    <s v="Leisure/Social"/>
    <x v="8"/>
    <n v="500"/>
    <n v="0.5"/>
    <x v="0"/>
    <n v="0.1"/>
    <x v="3"/>
    <n v="10"/>
    <s v="Other"/>
    <n v="1"/>
    <x v="2"/>
    <n v="1"/>
    <n v="3"/>
    <n v="4"/>
    <n v="2"/>
    <n v="5"/>
    <s v="Y"/>
    <m/>
    <x v="3"/>
  </r>
  <r>
    <d v="2019-10-22T00:00:00"/>
    <d v="1899-12-30T04:57:00"/>
    <m/>
    <m/>
    <n v="1"/>
    <s v="Walking/Cycling"/>
    <n v="13"/>
    <x v="5"/>
    <x v="1"/>
    <n v="2"/>
    <x v="1"/>
    <s v="muvuko"/>
    <s v="Kasese"/>
    <s v="UGA"/>
    <n v="2"/>
    <s v="Work"/>
    <s v="mt.Rwenzori"/>
    <s v="kasese"/>
    <s v="UGA"/>
    <n v="1"/>
    <s v="Home"/>
    <x v="4"/>
    <n v="2500"/>
    <n v="22"/>
    <x v="4"/>
    <n v="0.16669999999999999"/>
    <x v="3"/>
    <n v="5"/>
    <s v="Professional"/>
    <n v="2"/>
    <x v="3"/>
    <n v="1"/>
    <n v="2"/>
    <n v="4"/>
    <n v="3"/>
    <n v="5"/>
    <s v="Y"/>
    <n v="2500"/>
    <x v="1"/>
  </r>
  <r>
    <d v="2019-10-22T00:00:00"/>
    <d v="1899-12-30T04:50:00"/>
    <m/>
    <m/>
    <n v="1"/>
    <s v="Walking/Cycling"/>
    <n v="13"/>
    <x v="5"/>
    <x v="1"/>
    <n v="2"/>
    <x v="1"/>
    <s v="muvuko"/>
    <s v="Kasese"/>
    <s v="UGA"/>
    <n v="2"/>
    <s v="Work"/>
    <s v="mt.Rwenzori"/>
    <s v="kasese"/>
    <s v="UGA"/>
    <n v="1"/>
    <s v="Home"/>
    <x v="4"/>
    <n v="2000"/>
    <n v="15"/>
    <x v="6"/>
    <n v="0.15"/>
    <x v="3"/>
    <n v="5"/>
    <s v="Professional"/>
    <n v="2"/>
    <x v="3"/>
    <n v="1"/>
    <n v="2"/>
    <n v="3"/>
    <n v="4"/>
    <n v="5"/>
    <s v="Y"/>
    <n v="1000"/>
    <x v="4"/>
  </r>
  <r>
    <d v="2019-10-22T00:00:00"/>
    <d v="1899-12-30T04:44:00"/>
    <m/>
    <m/>
    <n v="1"/>
    <s v="Walking/Cycling"/>
    <n v="13"/>
    <x v="5"/>
    <x v="1"/>
    <n v="2"/>
    <x v="1"/>
    <s v="universal"/>
    <s v="Kasese"/>
    <s v="UGA"/>
    <n v="2"/>
    <s v="Work"/>
    <s v="Rubona"/>
    <s v="Bunyangabo"/>
    <s v="UGA"/>
    <n v="1"/>
    <s v="Home"/>
    <x v="4"/>
    <n v="4000"/>
    <n v="20"/>
    <x v="4"/>
    <n v="0.13300000000000001"/>
    <x v="3"/>
    <n v="5"/>
    <s v="Professional"/>
    <n v="2"/>
    <x v="3"/>
    <n v="1"/>
    <n v="5"/>
    <n v="4"/>
    <n v="2"/>
    <n v="3"/>
    <s v="Y"/>
    <n v="1000"/>
    <x v="4"/>
  </r>
  <r>
    <d v="2019-10-22T00:00:00"/>
    <d v="1899-12-30T02:50:00"/>
    <m/>
    <m/>
    <n v="1"/>
    <s v="Walking/Cycling"/>
    <n v="13"/>
    <x v="5"/>
    <x v="1"/>
    <n v="2"/>
    <x v="1"/>
    <s v="Kisanyalaze"/>
    <s v="Kasese"/>
    <s v="UGA"/>
    <n v="1"/>
    <s v="Home"/>
    <s v="Towncentre"/>
    <s v="kasese"/>
    <s v="UGA"/>
    <n v="4"/>
    <s v="Commercial"/>
    <x v="0"/>
    <n v="1000"/>
    <m/>
    <x v="0"/>
    <n v="6.6600000000000006E-2"/>
    <x v="3"/>
    <n v="7"/>
    <s v="Farmer"/>
    <n v="2"/>
    <x v="3"/>
    <n v="2"/>
    <n v="3"/>
    <n v="4"/>
    <n v="5"/>
    <n v="1"/>
    <s v="Y"/>
    <n v="2000"/>
    <x v="1"/>
  </r>
  <r>
    <d v="2019-10-22T00:00:00"/>
    <d v="1899-12-30T02:45:00"/>
    <m/>
    <m/>
    <n v="1"/>
    <s v="Walking/Cycling"/>
    <n v="13"/>
    <x v="5"/>
    <x v="1"/>
    <n v="2"/>
    <x v="1"/>
    <s v="Kisanyalaze"/>
    <s v="Kasese"/>
    <s v="UGA"/>
    <n v="1"/>
    <s v="Home"/>
    <s v="Towncentre"/>
    <s v="kasese"/>
    <s v="UGA"/>
    <n v="6"/>
    <s v="Leisure/Social"/>
    <x v="8"/>
    <n v="1000"/>
    <n v="0.5"/>
    <x v="0"/>
    <n v="6.6659999999999997E-2"/>
    <x v="3"/>
    <n v="7"/>
    <s v="Farmer"/>
    <n v="2"/>
    <x v="3"/>
    <n v="2"/>
    <n v="3"/>
    <n v="4"/>
    <n v="1"/>
    <n v="5"/>
    <s v="Y"/>
    <n v="1000"/>
    <x v="4"/>
  </r>
  <r>
    <d v="2019-10-22T00:00:00"/>
    <d v="1899-12-30T02:36:00"/>
    <m/>
    <m/>
    <n v="1"/>
    <s v="Walking/Cycling"/>
    <n v="13"/>
    <x v="5"/>
    <x v="1"/>
    <n v="2"/>
    <x v="1"/>
    <s v="Ndongo"/>
    <m/>
    <s v="UGA"/>
    <n v="1"/>
    <s v="Home"/>
    <s v="Towncentre"/>
    <m/>
    <s v="UGA"/>
    <n v="6"/>
    <s v="Leisure/Social"/>
    <x v="8"/>
    <n v="1000"/>
    <n v="1"/>
    <x v="0"/>
    <n v="6.6659999999999997E-2"/>
    <x v="3"/>
    <n v="7"/>
    <s v="Farmer"/>
    <n v="2"/>
    <x v="3"/>
    <n v="1"/>
    <n v="2"/>
    <n v="3"/>
    <n v="4"/>
    <n v="5"/>
    <s v="Y"/>
    <m/>
    <x v="3"/>
  </r>
  <r>
    <d v="2019-10-22T00:00:00"/>
    <d v="1899-12-30T02:30:00"/>
    <m/>
    <m/>
    <n v="1"/>
    <s v="Walking/Cycling"/>
    <n v="13"/>
    <x v="5"/>
    <x v="1"/>
    <n v="2"/>
    <x v="1"/>
    <s v="Ndongo"/>
    <m/>
    <s v="UGA"/>
    <n v="1"/>
    <s v="Home"/>
    <s v="Towncentre"/>
    <m/>
    <s v="UGA"/>
    <n v="6"/>
    <s v="Leisure/Social"/>
    <x v="8"/>
    <n v="1000"/>
    <n v="0.5"/>
    <x v="0"/>
    <n v="0.05"/>
    <x v="3"/>
    <n v="7"/>
    <s v="Farmer"/>
    <n v="2"/>
    <x v="3"/>
    <n v="1"/>
    <n v="2"/>
    <n v="3"/>
    <n v="4"/>
    <n v="5"/>
    <s v="Y"/>
    <n v="500"/>
    <x v="3"/>
  </r>
  <r>
    <d v="2019-10-22T00:00:00"/>
    <d v="1899-12-30T02:15:00"/>
    <m/>
    <m/>
    <n v="1"/>
    <s v="Walking/Cycling"/>
    <n v="13"/>
    <x v="5"/>
    <x v="1"/>
    <n v="2"/>
    <x v="1"/>
    <s v="Rugendabara"/>
    <s v="Kasese"/>
    <s v="UGA"/>
    <n v="1"/>
    <s v="Home"/>
    <s v="Towncentre"/>
    <s v="kasese"/>
    <s v="UGA"/>
    <n v="4"/>
    <s v="Commercial"/>
    <x v="0"/>
    <m/>
    <m/>
    <x v="0"/>
    <m/>
    <x v="3"/>
    <n v="10"/>
    <s v="Other"/>
    <n v="1"/>
    <x v="2"/>
    <n v="3"/>
    <n v="2"/>
    <n v="1"/>
    <n v="4"/>
    <n v="5"/>
    <s v="Y"/>
    <m/>
    <x v="3"/>
  </r>
  <r>
    <d v="2019-10-22T00:00:00"/>
    <d v="1899-12-30T04:20:00"/>
    <m/>
    <m/>
    <n v="1"/>
    <s v="Walking/Cycling"/>
    <n v="13"/>
    <x v="5"/>
    <x v="0"/>
    <n v="2"/>
    <x v="1"/>
    <s v="Kidoodo"/>
    <s v="Kasese"/>
    <s v="UGA"/>
    <n v="1"/>
    <s v="Home"/>
    <s v="Towncentre"/>
    <s v="kasese"/>
    <s v="UGA"/>
    <n v="6"/>
    <s v="Leisure/Social"/>
    <x v="8"/>
    <n v="1500"/>
    <m/>
    <x v="0"/>
    <n v="0.1"/>
    <x v="3"/>
    <n v="7"/>
    <s v="Farmer"/>
    <n v="2"/>
    <x v="3"/>
    <m/>
    <m/>
    <m/>
    <m/>
    <m/>
    <m/>
    <n v="2114"/>
    <x v="1"/>
  </r>
  <r>
    <d v="2019-10-22T00:00:00"/>
    <d v="1899-12-30T03:56:00"/>
    <m/>
    <m/>
    <n v="1"/>
    <s v="Walking/Cycling"/>
    <n v="13"/>
    <x v="5"/>
    <x v="0"/>
    <n v="2"/>
    <x v="1"/>
    <s v="Kisanyalaze"/>
    <s v="Kasese"/>
    <s v="UGA"/>
    <n v="6"/>
    <s v="Leisure/Social"/>
    <s v="Towncentre"/>
    <s v="kasese"/>
    <s v="UGA"/>
    <n v="6"/>
    <s v="Leisure/Social"/>
    <x v="7"/>
    <n v="1000"/>
    <n v="0.5"/>
    <x v="0"/>
    <n v="0.1"/>
    <x v="3"/>
    <n v="5"/>
    <s v="Professional"/>
    <n v="2"/>
    <x v="3"/>
    <n v="1"/>
    <n v="2"/>
    <n v="4"/>
    <n v="3"/>
    <n v="5"/>
    <s v="Y"/>
    <m/>
    <x v="3"/>
  </r>
  <r>
    <d v="2019-10-22T00:00:00"/>
    <d v="1899-12-30T03:20:00"/>
    <m/>
    <m/>
    <n v="1"/>
    <s v="Walking/Cycling"/>
    <n v="13"/>
    <x v="5"/>
    <x v="0"/>
    <n v="2"/>
    <x v="1"/>
    <s v="kikome"/>
    <s v="Kasese"/>
    <s v="UGA"/>
    <n v="2"/>
    <s v="Work"/>
    <s v="Fortportal"/>
    <s v="Fortportal"/>
    <s v="UGA"/>
    <n v="2"/>
    <s v="Work"/>
    <x v="2"/>
    <m/>
    <m/>
    <x v="0"/>
    <m/>
    <x v="3"/>
    <n v="2"/>
    <s v="Manual Labour"/>
    <n v="1"/>
    <x v="2"/>
    <n v="1"/>
    <n v="2"/>
    <n v="5"/>
    <n v="3"/>
    <n v="4"/>
    <s v="Y"/>
    <n v="2000"/>
    <x v="1"/>
  </r>
  <r>
    <d v="2019-10-22T00:00:00"/>
    <d v="1899-12-30T01:55:00"/>
    <m/>
    <m/>
    <n v="1"/>
    <s v="Walking/Cycling"/>
    <n v="13"/>
    <x v="5"/>
    <x v="0"/>
    <n v="2"/>
    <x v="1"/>
    <s v="Katwe"/>
    <s v="Kasese"/>
    <s v="UGA"/>
    <n v="4"/>
    <s v="Commercial"/>
    <s v="Kazinga channel"/>
    <s v="kasese"/>
    <s v="UGA"/>
    <n v="4"/>
    <s v="Commercial"/>
    <x v="18"/>
    <n v="2000"/>
    <n v="21"/>
    <x v="4"/>
    <n v="0.66700000000000004"/>
    <x v="4"/>
    <n v="2"/>
    <s v="Manual Labour"/>
    <n v="1"/>
    <x v="2"/>
    <n v="3"/>
    <n v="1"/>
    <n v="5"/>
    <n v="2"/>
    <n v="4"/>
    <s v="Y"/>
    <m/>
    <x v="3"/>
  </r>
  <r>
    <d v="2019-10-22T00:00:00"/>
    <d v="1899-12-30T11:45:00"/>
    <m/>
    <m/>
    <n v="1"/>
    <s v="Walking/Cycling"/>
    <n v="13"/>
    <x v="5"/>
    <x v="0"/>
    <n v="2"/>
    <x v="1"/>
    <s v="kazinn"/>
    <s v="Kasese"/>
    <s v="UGA"/>
    <n v="1"/>
    <s v="Home"/>
    <s v="Rwenzori inter"/>
    <s v="kasese"/>
    <s v="UGA"/>
    <n v="2"/>
    <s v="Work"/>
    <x v="1"/>
    <n v="1000"/>
    <n v="0.5"/>
    <x v="0"/>
    <n v="0.5"/>
    <x v="4"/>
    <n v="2"/>
    <s v="Manual Labour"/>
    <n v="1"/>
    <x v="2"/>
    <n v="1"/>
    <n v="2"/>
    <n v="3"/>
    <n v="4"/>
    <n v="5"/>
    <s v="Y"/>
    <n v="1000"/>
    <x v="4"/>
  </r>
  <r>
    <d v="2019-10-22T00:00:00"/>
    <d v="1899-12-30T01:38:00"/>
    <m/>
    <m/>
    <n v="1"/>
    <s v="Walking/Cycling"/>
    <n v="13"/>
    <x v="5"/>
    <x v="0"/>
    <n v="2"/>
    <x v="1"/>
    <s v="Nyakasanga"/>
    <s v="Kasese"/>
    <s v="UGA"/>
    <n v="1"/>
    <s v="Home"/>
    <s v="Towncentre"/>
    <s v="kasese"/>
    <s v="UGA"/>
    <n v="2"/>
    <s v="Work"/>
    <x v="1"/>
    <n v="1000"/>
    <n v="1"/>
    <x v="0"/>
    <n v="8.3299999999999999E-2"/>
    <x v="3"/>
    <n v="2"/>
    <s v="Manual Labour"/>
    <n v="1"/>
    <x v="2"/>
    <n v="3"/>
    <n v="1"/>
    <n v="4"/>
    <n v="2"/>
    <n v="5"/>
    <s v="Y"/>
    <m/>
    <x v="3"/>
  </r>
  <r>
    <d v="2019-10-22T00:00:00"/>
    <d v="1899-12-30T01:08:00"/>
    <m/>
    <m/>
    <n v="1"/>
    <s v="Walking/Cycling"/>
    <n v="13"/>
    <x v="5"/>
    <x v="0"/>
    <n v="2"/>
    <x v="1"/>
    <s v="Katadabo"/>
    <s v="Kasese"/>
    <s v="UGA"/>
    <n v="1"/>
    <s v="Home"/>
    <s v="Towncentre"/>
    <s v="kasese"/>
    <s v="UGA"/>
    <n v="6"/>
    <s v="Leisure/Social"/>
    <x v="8"/>
    <n v="500"/>
    <n v="0.5"/>
    <x v="0"/>
    <n v="0.1"/>
    <x v="3"/>
    <n v="10"/>
    <s v="Other"/>
    <n v="1"/>
    <x v="2"/>
    <n v="1"/>
    <n v="2"/>
    <n v="4"/>
    <n v="3"/>
    <n v="5"/>
    <s v="Y"/>
    <m/>
    <x v="3"/>
  </r>
  <r>
    <d v="2019-10-22T00:00:00"/>
    <d v="1899-12-30T01:20:00"/>
    <m/>
    <m/>
    <n v="1"/>
    <s v="Walking/Cycling"/>
    <n v="13"/>
    <x v="5"/>
    <x v="0"/>
    <n v="2"/>
    <x v="1"/>
    <s v="Muhokya"/>
    <s v="Kasese"/>
    <s v="UGA"/>
    <n v="1"/>
    <s v="Home"/>
    <s v="kasese"/>
    <s v="kasese"/>
    <s v="UGA"/>
    <n v="2"/>
    <s v="Work"/>
    <x v="1"/>
    <n v="3000"/>
    <n v="20"/>
    <x v="4"/>
    <n v="0.75"/>
    <x v="4"/>
    <n v="2"/>
    <s v="Manual Labour"/>
    <n v="1"/>
    <x v="2"/>
    <n v="1"/>
    <n v="2"/>
    <n v="3"/>
    <n v="4"/>
    <n v="5"/>
    <s v="Y"/>
    <m/>
    <x v="3"/>
  </r>
  <r>
    <d v="2019-10-21T00:00:00"/>
    <d v="1899-12-30T12:24:00"/>
    <m/>
    <s v="P"/>
    <n v="2"/>
    <s v="Road Vehicle"/>
    <n v="1"/>
    <x v="0"/>
    <x v="1"/>
    <n v="2"/>
    <x v="1"/>
    <s v="kasitoma"/>
    <s v="Kasese"/>
    <s v="UGA"/>
    <n v="6"/>
    <s v="Leisure/Social"/>
    <s v="mt.Rwenzori"/>
    <s v="kasese"/>
    <s v="UGA"/>
    <n v="1"/>
    <s v="Home"/>
    <x v="10"/>
    <n v="8000"/>
    <n v="130"/>
    <x v="2"/>
    <n v="1.5"/>
    <x v="1"/>
    <n v="7"/>
    <s v="Farmer"/>
    <n v="1"/>
    <x v="2"/>
    <n v="2"/>
    <n v="4"/>
    <n v="3"/>
    <n v="1"/>
    <n v="5"/>
    <s v="Y"/>
    <n v="1500"/>
    <x v="4"/>
  </r>
  <r>
    <d v="2019-10-21T00:00:00"/>
    <d v="1899-12-30T10:28:00"/>
    <m/>
    <s v="P"/>
    <n v="2"/>
    <s v="Road Vehicle"/>
    <n v="1"/>
    <x v="0"/>
    <x v="1"/>
    <n v="2"/>
    <x v="1"/>
    <s v="Kasitomu"/>
    <s v="Kasese"/>
    <s v="UGA"/>
    <n v="4"/>
    <s v="Commercial"/>
    <s v="Rwimi"/>
    <s v="Bunyangabo"/>
    <s v="UGA"/>
    <n v="4"/>
    <s v="Commercial"/>
    <x v="18"/>
    <n v="10000"/>
    <m/>
    <x v="0"/>
    <n v="2"/>
    <x v="0"/>
    <n v="6"/>
    <s v="Businessman"/>
    <n v="1"/>
    <x v="2"/>
    <n v="1"/>
    <n v="2"/>
    <n v="4"/>
    <n v="3"/>
    <n v="5"/>
    <s v="Y"/>
    <n v="10000"/>
    <x v="5"/>
  </r>
  <r>
    <d v="2019-10-21T00:00:00"/>
    <d v="1899-12-30T12:36:00"/>
    <m/>
    <s v="P"/>
    <n v="2"/>
    <s v="Road Vehicle"/>
    <n v="1"/>
    <x v="0"/>
    <x v="1"/>
    <n v="2"/>
    <x v="1"/>
    <s v="Kidoodo"/>
    <s v="Kasese"/>
    <s v="UGA"/>
    <n v="1"/>
    <s v="Home"/>
    <s v="Mpondwe"/>
    <s v="kasese"/>
    <s v="UGA"/>
    <n v="4"/>
    <s v="Commercial"/>
    <x v="0"/>
    <n v="8000"/>
    <n v="85"/>
    <x v="1"/>
    <n v="2"/>
    <x v="0"/>
    <n v="6"/>
    <s v="Businessman"/>
    <n v="2"/>
    <x v="3"/>
    <n v="1"/>
    <n v="2"/>
    <n v="3"/>
    <n v="4"/>
    <n v="5"/>
    <s v="Y"/>
    <m/>
    <x v="3"/>
  </r>
  <r>
    <d v="2019-10-22T00:00:00"/>
    <d v="1899-12-30T08:08:00"/>
    <m/>
    <s v="P"/>
    <n v="2"/>
    <s v="Road Vehicle"/>
    <n v="1"/>
    <x v="0"/>
    <x v="1"/>
    <n v="2"/>
    <x v="1"/>
    <s v="Kikonjo"/>
    <s v="Kasese"/>
    <s v="UGA"/>
    <n v="1"/>
    <s v="Home"/>
    <s v="ishaka"/>
    <s v="kasese"/>
    <s v="UGA"/>
    <n v="2"/>
    <s v="Work"/>
    <x v="1"/>
    <n v="10000"/>
    <n v="98"/>
    <x v="1"/>
    <n v="4"/>
    <x v="2"/>
    <n v="1"/>
    <s v="Unemployed"/>
    <n v="2"/>
    <x v="3"/>
    <n v="3"/>
    <n v="1"/>
    <n v="5"/>
    <n v="2"/>
    <n v="4"/>
    <s v="Y"/>
    <n v="2000"/>
    <x v="1"/>
  </r>
  <r>
    <d v="2019-10-22T00:00:00"/>
    <d v="1899-12-30T08:18:00"/>
    <m/>
    <s v="P"/>
    <n v="2"/>
    <s v="Road Vehicle"/>
    <n v="1"/>
    <x v="0"/>
    <x v="1"/>
    <n v="2"/>
    <x v="1"/>
    <s v="Kikonjo"/>
    <s v="Kasese"/>
    <s v="UGA"/>
    <n v="1"/>
    <s v="Home"/>
    <s v="Hima"/>
    <s v="kasese"/>
    <s v="UGA"/>
    <n v="4"/>
    <s v="Commercial"/>
    <x v="0"/>
    <n v="3000"/>
    <n v="58"/>
    <x v="5"/>
    <n v="0.5"/>
    <x v="4"/>
    <n v="2"/>
    <s v="Manual Labour"/>
    <n v="1"/>
    <x v="2"/>
    <n v="4"/>
    <n v="1"/>
    <n v="5"/>
    <n v="2"/>
    <n v="3"/>
    <s v="Y"/>
    <n v="1000"/>
    <x v="4"/>
  </r>
  <r>
    <d v="2019-10-22T00:00:00"/>
    <d v="1899-12-30T12:54:00"/>
    <m/>
    <s v="P"/>
    <n v="2"/>
    <s v="Road Vehicle"/>
    <n v="1"/>
    <x v="0"/>
    <x v="1"/>
    <n v="2"/>
    <x v="1"/>
    <s v="katadoba "/>
    <s v="Kasese"/>
    <s v="UGA"/>
    <n v="1"/>
    <s v="Home"/>
    <s v="ishaka"/>
    <s v="kasese"/>
    <s v="UGA"/>
    <n v="7"/>
    <s v="Hospital"/>
    <x v="32"/>
    <n v="10000"/>
    <m/>
    <x v="0"/>
    <n v="3"/>
    <x v="0"/>
    <n v="5"/>
    <s v="Professional"/>
    <n v="2"/>
    <x v="3"/>
    <n v="4"/>
    <n v="5"/>
    <n v="2"/>
    <n v="1"/>
    <n v="3"/>
    <s v="Y"/>
    <n v="2000"/>
    <x v="1"/>
  </r>
  <r>
    <d v="2019-10-22T00:00:00"/>
    <d v="1899-12-30T12:44:00"/>
    <m/>
    <s v="P"/>
    <n v="2"/>
    <s v="Road Vehicle"/>
    <n v="1"/>
    <x v="0"/>
    <x v="1"/>
    <n v="2"/>
    <x v="1"/>
    <s v="Kikonjo"/>
    <s v="Kasese"/>
    <s v="UGA"/>
    <n v="1"/>
    <s v="Home"/>
    <s v="kasitomu"/>
    <s v="kasese"/>
    <s v="UGA"/>
    <n v="2"/>
    <s v="Work"/>
    <x v="1"/>
    <n v="7000"/>
    <m/>
    <x v="0"/>
    <n v="1.5"/>
    <x v="1"/>
    <n v="10"/>
    <s v="Other"/>
    <n v="1"/>
    <x v="2"/>
    <n v="1"/>
    <n v="2"/>
    <n v="3"/>
    <n v="4"/>
    <n v="5"/>
    <s v="Y"/>
    <m/>
    <x v="3"/>
  </r>
  <r>
    <d v="2019-10-22T00:00:00"/>
    <d v="1899-12-30T12:39:00"/>
    <m/>
    <s v="P"/>
    <n v="2"/>
    <s v="Road Vehicle"/>
    <n v="1"/>
    <x v="0"/>
    <x v="1"/>
    <n v="2"/>
    <x v="1"/>
    <s v="Kikonjo"/>
    <s v="Kasese"/>
    <s v="UGA"/>
    <n v="1"/>
    <s v="Home"/>
    <s v="Sheema"/>
    <s v="sheema"/>
    <s v="UGA"/>
    <n v="2"/>
    <s v="Work"/>
    <x v="1"/>
    <n v="9000"/>
    <m/>
    <x v="0"/>
    <m/>
    <x v="3"/>
    <n v="7"/>
    <s v="Farmer"/>
    <n v="1"/>
    <x v="2"/>
    <n v="2"/>
    <n v="1"/>
    <n v="5"/>
    <n v="3"/>
    <n v="4"/>
    <s v="Y"/>
    <m/>
    <x v="3"/>
  </r>
  <r>
    <d v="2019-10-23T00:00:00"/>
    <d v="1899-12-30T10:56:00"/>
    <m/>
    <s v="P"/>
    <n v="2"/>
    <s v="Road Vehicle"/>
    <n v="1"/>
    <x v="0"/>
    <x v="1"/>
    <n v="2"/>
    <x v="1"/>
    <s v="Q.Elizabeth"/>
    <s v="Kasese"/>
    <s v="UGA"/>
    <n v="5"/>
    <s v="Tourism"/>
    <s v="migongwe"/>
    <s v="kyegogwa"/>
    <s v="UGA"/>
    <n v="1"/>
    <s v="Home"/>
    <x v="28"/>
    <n v="16000"/>
    <n v="300"/>
    <x v="3"/>
    <n v="5"/>
    <x v="2"/>
    <n v="5"/>
    <s v="Professional"/>
    <n v="2"/>
    <x v="3"/>
    <n v="4"/>
    <n v="2"/>
    <n v="3"/>
    <n v="1"/>
    <n v="5"/>
    <s v="Y"/>
    <n v="2000"/>
    <x v="1"/>
  </r>
  <r>
    <d v="2019-10-21T00:00:00"/>
    <d v="1899-12-30T01:34:00"/>
    <m/>
    <s v="D"/>
    <n v="2"/>
    <s v="Road Vehicle"/>
    <n v="1"/>
    <x v="0"/>
    <x v="0"/>
    <n v="2"/>
    <x v="1"/>
    <s v="Taxi Park"/>
    <s v="Kasese"/>
    <s v="UGA"/>
    <n v="2"/>
    <s v="Work"/>
    <s v="Towncentre"/>
    <s v="FortPortal"/>
    <s v="UGA"/>
    <n v="2"/>
    <s v="Work"/>
    <x v="2"/>
    <n v="80000"/>
    <n v="140"/>
    <x v="2"/>
    <n v="2.5"/>
    <x v="0"/>
    <n v="10"/>
    <s v="Other"/>
    <n v="2"/>
    <x v="3"/>
    <n v="2"/>
    <n v="1"/>
    <n v="5"/>
    <n v="3"/>
    <n v="4"/>
    <s v="Y"/>
    <n v="2000"/>
    <x v="1"/>
  </r>
  <r>
    <d v="2019-10-21T00:00:00"/>
    <d v="1899-12-30T12:48:00"/>
    <m/>
    <s v="P"/>
    <n v="2"/>
    <s v="Road Vehicle"/>
    <n v="1"/>
    <x v="0"/>
    <x v="0"/>
    <n v="2"/>
    <x v="1"/>
    <s v="muvuko"/>
    <s v="Kasese"/>
    <s v="UGA"/>
    <n v="2"/>
    <s v="Work"/>
    <s v="Sheema"/>
    <s v="sheema"/>
    <s v="UGA"/>
    <n v="4"/>
    <s v="Commercial"/>
    <x v="17"/>
    <n v="10000"/>
    <m/>
    <x v="0"/>
    <n v="2"/>
    <x v="0"/>
    <n v="5"/>
    <s v="Professional"/>
    <n v="2"/>
    <x v="3"/>
    <n v="1"/>
    <n v="2"/>
    <n v="4"/>
    <n v="3"/>
    <n v="5"/>
    <s v="Y"/>
    <n v="2000"/>
    <x v="1"/>
  </r>
  <r>
    <d v="2019-10-22T00:00:00"/>
    <d v="1899-12-30T07:05:00"/>
    <m/>
    <s v="P"/>
    <n v="2"/>
    <s v="Road Vehicle"/>
    <n v="1"/>
    <x v="0"/>
    <x v="0"/>
    <n v="2"/>
    <x v="1"/>
    <s v="Rugendabara"/>
    <s v="Kasese"/>
    <s v="UGA"/>
    <n v="1"/>
    <s v="Home"/>
    <s v="ishaka"/>
    <s v="kasese"/>
    <s v="UGA"/>
    <n v="2"/>
    <s v="Work"/>
    <x v="1"/>
    <n v="8000"/>
    <n v="96"/>
    <x v="1"/>
    <n v="3"/>
    <x v="0"/>
    <n v="1"/>
    <s v="Unemployed"/>
    <n v="2"/>
    <x v="3"/>
    <n v="1"/>
    <n v="5"/>
    <n v="4"/>
    <n v="2"/>
    <n v="3"/>
    <s v="Y"/>
    <n v="1000"/>
    <x v="4"/>
  </r>
  <r>
    <d v="2019-10-22T00:00:00"/>
    <d v="1899-12-30T07:37:00"/>
    <m/>
    <s v="P"/>
    <n v="2"/>
    <s v="Road Vehicle"/>
    <n v="1"/>
    <x v="0"/>
    <x v="0"/>
    <n v="2"/>
    <x v="1"/>
    <s v="Rugendabara"/>
    <s v="Kasese"/>
    <s v="UGA"/>
    <n v="1"/>
    <s v="Home"/>
    <s v="kasese"/>
    <s v="kasese"/>
    <s v="UGA"/>
    <n v="2"/>
    <s v="Work"/>
    <x v="1"/>
    <n v="3000"/>
    <n v="20"/>
    <x v="4"/>
    <n v="0.1666666"/>
    <x v="3"/>
    <n v="2"/>
    <s v="Manual Labour"/>
    <n v="1"/>
    <x v="2"/>
    <n v="4"/>
    <n v="2"/>
    <n v="3"/>
    <n v="1"/>
    <n v="5"/>
    <s v="Y"/>
    <n v="500"/>
    <x v="3"/>
  </r>
  <r>
    <d v="2019-10-22T00:00:00"/>
    <d v="1899-12-30T09:30:00"/>
    <m/>
    <s v="P"/>
    <n v="2"/>
    <s v="Road Vehicle"/>
    <n v="1"/>
    <x v="0"/>
    <x v="0"/>
    <n v="2"/>
    <x v="1"/>
    <s v="Hima"/>
    <s v="Kasese"/>
    <s v="UGA"/>
    <n v="1"/>
    <s v="Home"/>
    <s v="Kikonjo"/>
    <s v="kasese"/>
    <s v="UGA"/>
    <n v="4"/>
    <s v="Commercial"/>
    <x v="0"/>
    <n v="5000"/>
    <n v="30"/>
    <x v="4"/>
    <n v="0.83"/>
    <x v="4"/>
    <n v="6"/>
    <s v="Businessman"/>
    <n v="2"/>
    <x v="3"/>
    <n v="5"/>
    <n v="3"/>
    <n v="4"/>
    <n v="1"/>
    <n v="2"/>
    <s v="Y"/>
    <n v="1000"/>
    <x v="4"/>
  </r>
  <r>
    <d v="2019-10-22T00:00:00"/>
    <d v="1899-12-30T09:36:00"/>
    <m/>
    <s v="P"/>
    <n v="2"/>
    <s v="Road Vehicle"/>
    <n v="1"/>
    <x v="0"/>
    <x v="0"/>
    <n v="2"/>
    <x v="1"/>
    <s v="Kikome"/>
    <s v="Kasese"/>
    <s v="UGA"/>
    <n v="1"/>
    <s v="Home"/>
    <s v="katwe"/>
    <s v="kasses"/>
    <s v="UGA"/>
    <n v="4"/>
    <s v="Commercial"/>
    <x v="0"/>
    <n v="4000"/>
    <n v="30"/>
    <x v="4"/>
    <n v="0.8"/>
    <x v="4"/>
    <n v="6"/>
    <s v="Businessman"/>
    <n v="2"/>
    <x v="3"/>
    <n v="2"/>
    <n v="4"/>
    <n v="3"/>
    <n v="1"/>
    <n v="5"/>
    <s v="Y"/>
    <n v="2000"/>
    <x v="1"/>
  </r>
  <r>
    <d v="2019-10-22T00:00:00"/>
    <d v="1899-12-30T10:20:00"/>
    <m/>
    <s v="P"/>
    <n v="2"/>
    <s v="Road Vehicle"/>
    <n v="1"/>
    <x v="0"/>
    <x v="0"/>
    <n v="2"/>
    <x v="1"/>
    <s v="Kikonjo"/>
    <s v="Kasese"/>
    <s v="UGA"/>
    <n v="1"/>
    <s v="Home"/>
    <s v="Bundibugyo"/>
    <s v="Bundibujjo"/>
    <s v="UGA"/>
    <n v="4"/>
    <s v="Commercial"/>
    <x v="0"/>
    <n v="8000"/>
    <n v="48"/>
    <x v="5"/>
    <n v="1.5"/>
    <x v="1"/>
    <n v="7"/>
    <s v="Farmer"/>
    <n v="2"/>
    <x v="3"/>
    <n v="1"/>
    <n v="2"/>
    <n v="5"/>
    <n v="4"/>
    <n v="3"/>
    <s v="Y"/>
    <m/>
    <x v="3"/>
  </r>
  <r>
    <d v="2019-10-23T00:00:00"/>
    <d v="1899-12-30T11:00:00"/>
    <m/>
    <s v="P"/>
    <n v="2"/>
    <s v="Road Vehicle"/>
    <n v="1"/>
    <x v="0"/>
    <x v="0"/>
    <n v="2"/>
    <x v="1"/>
    <s v="Kisinga"/>
    <s v="Kasese"/>
    <s v="UGA"/>
    <n v="1"/>
    <s v="Home"/>
    <s v="kasese"/>
    <s v="kasese"/>
    <s v="UGA"/>
    <n v="4"/>
    <s v="Commercial"/>
    <x v="0"/>
    <n v="6000"/>
    <n v="45"/>
    <x v="5"/>
    <n v="0.83299999999999996"/>
    <x v="4"/>
    <n v="3"/>
    <s v="Artisan/Domestic"/>
    <n v="2"/>
    <x v="3"/>
    <n v="1"/>
    <n v="2"/>
    <n v="3"/>
    <n v="4"/>
    <n v="5"/>
    <s v="Y"/>
    <m/>
    <x v="3"/>
  </r>
  <r>
    <d v="2019-10-23T00:00:00"/>
    <d v="1899-12-30T01:50:00"/>
    <m/>
    <s v="P"/>
    <n v="2"/>
    <s v="Road Vehicle"/>
    <n v="1"/>
    <x v="0"/>
    <x v="0"/>
    <n v="2"/>
    <x v="1"/>
    <s v="Ndongo"/>
    <s v="Kasese"/>
    <s v="UGA"/>
    <n v="4"/>
    <s v="Commercial"/>
    <s v="kasese"/>
    <s v="kasese"/>
    <s v="UGA"/>
    <n v="4"/>
    <s v="Commercial"/>
    <x v="18"/>
    <n v="5000"/>
    <n v="219"/>
    <x v="3"/>
    <n v="1"/>
    <x v="1"/>
    <n v="5"/>
    <s v="Professional"/>
    <n v="2"/>
    <x v="3"/>
    <n v="5"/>
    <n v="2"/>
    <n v="3"/>
    <n v="1"/>
    <n v="4"/>
    <s v="Y"/>
    <n v="1000"/>
    <x v="4"/>
  </r>
  <r>
    <d v="2019-10-23T00:00:00"/>
    <d v="1899-12-30T03:00:00"/>
    <m/>
    <s v="D"/>
    <n v="2"/>
    <s v="Road Vehicle"/>
    <n v="1"/>
    <x v="0"/>
    <x v="0"/>
    <n v="2"/>
    <x v="1"/>
    <s v="Kinyamaseke"/>
    <s v="Kasese"/>
    <s v="UGA"/>
    <n v="2"/>
    <s v="Work"/>
    <s v="Kilembe"/>
    <s v="kasese"/>
    <s v="UGA"/>
    <n v="2"/>
    <s v="Work"/>
    <x v="2"/>
    <n v="20000"/>
    <n v="45"/>
    <x v="5"/>
    <n v="0.5"/>
    <x v="4"/>
    <n v="2"/>
    <s v="Manual Labour"/>
    <n v="1"/>
    <x v="2"/>
    <n v="2"/>
    <n v="1"/>
    <n v="4"/>
    <n v="3"/>
    <n v="5"/>
    <s v="Y"/>
    <m/>
    <x v="3"/>
  </r>
  <r>
    <d v="2019-10-23T00:00:00"/>
    <d v="1899-12-30T04:45:00"/>
    <m/>
    <s v="D"/>
    <n v="2"/>
    <s v="Road Vehicle"/>
    <n v="1"/>
    <x v="0"/>
    <x v="0"/>
    <n v="2"/>
    <x v="1"/>
    <s v="Kasese"/>
    <s v="Kasese"/>
    <s v="UGA"/>
    <n v="2"/>
    <s v="Work"/>
    <s v="bunyangabo"/>
    <s v="Bunyangabo"/>
    <s v="UGA"/>
    <n v="2"/>
    <s v="Work"/>
    <x v="2"/>
    <n v="40000"/>
    <n v="15"/>
    <x v="6"/>
    <n v="0.1666"/>
    <x v="3"/>
    <n v="1"/>
    <s v="Unemployed"/>
    <n v="2"/>
    <x v="3"/>
    <n v="1"/>
    <n v="3"/>
    <n v="4"/>
    <n v="2"/>
    <n v="5"/>
    <s v="Y"/>
    <m/>
    <x v="3"/>
  </r>
  <r>
    <d v="2019-10-23T00:00:00"/>
    <d v="1899-12-30T05:50:00"/>
    <m/>
    <s v="P"/>
    <n v="2"/>
    <s v="Road Vehicle"/>
    <n v="1"/>
    <x v="0"/>
    <x v="0"/>
    <n v="2"/>
    <x v="1"/>
    <s v="kachwamba"/>
    <s v="fortportal"/>
    <s v="UGA"/>
    <n v="1"/>
    <s v="Home"/>
    <s v="kabirizi"/>
    <s v="kasese"/>
    <s v="UGA"/>
    <n v="6"/>
    <s v="Leisure/Social"/>
    <x v="8"/>
    <n v="10000"/>
    <m/>
    <x v="0"/>
    <n v="2"/>
    <x v="0"/>
    <n v="6"/>
    <s v="Businessman"/>
    <n v="1"/>
    <x v="2"/>
    <n v="3"/>
    <n v="1"/>
    <n v="4"/>
    <n v="2"/>
    <n v="5"/>
    <s v="Y"/>
    <n v="1000"/>
    <x v="4"/>
  </r>
  <r>
    <d v="2019-10-23T00:00:00"/>
    <d v="1899-12-30T03:21:00"/>
    <m/>
    <s v="P"/>
    <n v="2"/>
    <s v="Road Vehicle"/>
    <n v="1"/>
    <x v="0"/>
    <x v="0"/>
    <n v="2"/>
    <x v="1"/>
    <s v="Town"/>
    <s v="Kasese"/>
    <s v="UGA"/>
    <n v="8"/>
    <s v="Others"/>
    <s v="kirome"/>
    <s v="kasese"/>
    <s v="UGA"/>
    <n v="1"/>
    <s v="Home"/>
    <x v="12"/>
    <n v="4000"/>
    <n v="18"/>
    <x v="6"/>
    <n v="0.33329999999999999"/>
    <x v="3"/>
    <n v="6"/>
    <s v="Businessman"/>
    <n v="2"/>
    <x v="3"/>
    <n v="2"/>
    <n v="4"/>
    <n v="3"/>
    <n v="1"/>
    <n v="5"/>
    <s v="Y"/>
    <n v="200"/>
    <x v="3"/>
  </r>
  <r>
    <d v="2019-10-23T00:00:00"/>
    <d v="1899-12-30T12:39:00"/>
    <m/>
    <s v="P"/>
    <n v="2"/>
    <s v="Road Vehicle"/>
    <n v="1"/>
    <x v="0"/>
    <x v="0"/>
    <n v="2"/>
    <x v="1"/>
    <s v="muvuko"/>
    <s v="Kasese"/>
    <s v="UGA"/>
    <n v="2"/>
    <s v="Work"/>
    <s v="tea estate"/>
    <s v="rubirizi"/>
    <s v="UGA"/>
    <n v="4"/>
    <s v="Commercial"/>
    <x v="17"/>
    <n v="5000"/>
    <m/>
    <x v="0"/>
    <n v="1"/>
    <x v="1"/>
    <n v="4"/>
    <s v="Office Worker"/>
    <n v="2"/>
    <x v="3"/>
    <n v="1"/>
    <n v="5"/>
    <n v="4"/>
    <n v="2"/>
    <n v="3"/>
    <s v="Y"/>
    <n v="500"/>
    <x v="3"/>
  </r>
  <r>
    <d v="2019-10-23T00:00:00"/>
    <d v="1899-12-30T12:22:00"/>
    <m/>
    <s v="D"/>
    <n v="2"/>
    <s v="Road Vehicle"/>
    <n v="1"/>
    <x v="0"/>
    <x v="0"/>
    <n v="2"/>
    <x v="1"/>
    <s v="Town centre"/>
    <s v="Kasese"/>
    <s v="UGA"/>
    <n v="2"/>
    <s v="Work"/>
    <s v="Towncentre"/>
    <s v="rwimi"/>
    <s v="UGA"/>
    <n v="2"/>
    <s v="Work"/>
    <x v="2"/>
    <n v="5000"/>
    <n v="35"/>
    <x v="4"/>
    <n v="1"/>
    <x v="1"/>
    <n v="10"/>
    <s v="Other"/>
    <n v="1"/>
    <x v="2"/>
    <n v="5"/>
    <n v="2"/>
    <n v="1"/>
    <n v="3"/>
    <n v="4"/>
    <s v="Y"/>
    <m/>
    <x v="3"/>
  </r>
  <r>
    <d v="2019-10-23T00:00:00"/>
    <d v="1899-12-30T10:24:00"/>
    <m/>
    <s v="D"/>
    <n v="2"/>
    <s v="Road Vehicle"/>
    <n v="1"/>
    <x v="0"/>
    <x v="0"/>
    <n v="2"/>
    <x v="1"/>
    <s v="Town"/>
    <s v="Kasese"/>
    <s v="UGA"/>
    <n v="2"/>
    <s v="Work"/>
    <s v="kikorongo"/>
    <s v="kasese"/>
    <s v="UGA"/>
    <n v="2"/>
    <s v="Work"/>
    <x v="2"/>
    <n v="25000"/>
    <n v="45"/>
    <x v="5"/>
    <n v="1"/>
    <x v="1"/>
    <n v="10"/>
    <s v="Other"/>
    <n v="1"/>
    <x v="2"/>
    <n v="1"/>
    <n v="2"/>
    <n v="5"/>
    <n v="4"/>
    <n v="3"/>
    <s v="Y"/>
    <s v="1000-1500"/>
    <x v="5"/>
  </r>
  <r>
    <d v="2019-10-23T00:00:00"/>
    <d v="1899-12-30T10:00:00"/>
    <m/>
    <s v="D"/>
    <n v="2"/>
    <s v="Road Vehicle"/>
    <n v="1"/>
    <x v="0"/>
    <x v="0"/>
    <n v="2"/>
    <x v="1"/>
    <s v="kizungu"/>
    <s v="Kasese"/>
    <s v="UGA"/>
    <n v="1"/>
    <s v="Home"/>
    <s v="mt rwenzori"/>
    <s v="kasese"/>
    <s v="UGA"/>
    <n v="2"/>
    <s v="Work"/>
    <x v="1"/>
    <n v="3800"/>
    <n v="2"/>
    <x v="0"/>
    <n v="0.25"/>
    <x v="3"/>
    <n v="6"/>
    <s v="Businessman"/>
    <n v="2"/>
    <x v="3"/>
    <n v="1"/>
    <n v="5"/>
    <n v="3"/>
    <n v="4"/>
    <n v="2"/>
    <s v="Y"/>
    <n v="1000"/>
    <x v="4"/>
  </r>
  <r>
    <d v="2019-10-23T00:00:00"/>
    <d v="1899-12-30T07:59:00"/>
    <m/>
    <s v="P"/>
    <n v="2"/>
    <s v="Road Vehicle"/>
    <n v="1"/>
    <x v="0"/>
    <x v="0"/>
    <n v="2"/>
    <x v="1"/>
    <s v="Ishaka"/>
    <s v="bushenyi"/>
    <s v="UGA"/>
    <n v="2"/>
    <s v="Work"/>
    <s v="kyatega"/>
    <s v="Kyegegwa"/>
    <s v="UGA"/>
    <n v="1"/>
    <s v="Home"/>
    <x v="4"/>
    <n v="20000"/>
    <m/>
    <x v="0"/>
    <n v="5"/>
    <x v="2"/>
    <n v="6"/>
    <s v="Businessman"/>
    <n v="1"/>
    <x v="2"/>
    <n v="4"/>
    <n v="3"/>
    <n v="1"/>
    <n v="2"/>
    <n v="5"/>
    <s v="Y"/>
    <n v="600"/>
    <x v="3"/>
  </r>
  <r>
    <d v="2019-10-23T00:00:00"/>
    <d v="1899-12-30T12:01:00"/>
    <m/>
    <s v="P"/>
    <n v="2"/>
    <s v="Road Vehicle"/>
    <n v="6"/>
    <x v="1"/>
    <x v="1"/>
    <n v="2"/>
    <x v="1"/>
    <s v="bwera"/>
    <s v="Kasese"/>
    <s v="UGA"/>
    <n v="2"/>
    <s v="Work"/>
    <s v="city centre"/>
    <s v="kampala"/>
    <s v="UGA"/>
    <n v="1"/>
    <s v="Home"/>
    <x v="4"/>
    <n v="25000"/>
    <n v="420"/>
    <x v="3"/>
    <n v="8"/>
    <x v="2"/>
    <n v="5"/>
    <s v="Professional"/>
    <n v="3"/>
    <x v="1"/>
    <n v="4"/>
    <n v="1"/>
    <n v="3"/>
    <n v="2"/>
    <n v="5"/>
    <s v="Y"/>
    <n v="100"/>
    <x v="3"/>
  </r>
  <r>
    <d v="2019-10-21T00:00:00"/>
    <d v="1899-12-30T10:05:00"/>
    <m/>
    <s v="P"/>
    <n v="2"/>
    <s v="Road Vehicle"/>
    <n v="6"/>
    <x v="1"/>
    <x v="0"/>
    <n v="2"/>
    <x v="1"/>
    <s v="Kasese"/>
    <s v="Kasese"/>
    <s v="UGA"/>
    <n v="4"/>
    <s v="Commercial"/>
    <s v="Kyegegwa"/>
    <s v="Kyegegwa"/>
    <s v="UGA"/>
    <n v="4"/>
    <s v="Commercial"/>
    <x v="18"/>
    <n v="20000"/>
    <n v="189"/>
    <x v="2"/>
    <n v="3"/>
    <x v="0"/>
    <n v="5"/>
    <s v="Professional"/>
    <n v="3"/>
    <x v="1"/>
    <n v="1"/>
    <n v="2"/>
    <n v="4"/>
    <n v="3"/>
    <n v="5"/>
    <s v="Y"/>
    <n v="5000"/>
    <x v="2"/>
  </r>
  <r>
    <d v="2019-10-22T00:00:00"/>
    <d v="1899-12-30T11:20:00"/>
    <m/>
    <s v="P"/>
    <n v="2"/>
    <s v="Road Vehicle"/>
    <n v="6"/>
    <x v="1"/>
    <x v="0"/>
    <n v="2"/>
    <x v="1"/>
    <s v="Kisanyalaze"/>
    <s v="Kasese"/>
    <s v="UGA"/>
    <n v="1"/>
    <s v="Home"/>
    <s v="Bujjuko"/>
    <s v="wakiso"/>
    <s v="UGA"/>
    <n v="6"/>
    <s v="Leisure/Social"/>
    <x v="8"/>
    <n v="20000"/>
    <m/>
    <x v="0"/>
    <n v="6"/>
    <x v="2"/>
    <n v="6"/>
    <s v="Businessman"/>
    <n v="2"/>
    <x v="3"/>
    <n v="1"/>
    <n v="2"/>
    <n v="3"/>
    <n v="4"/>
    <n v="5"/>
    <s v="Y"/>
    <n v="1000"/>
    <x v="4"/>
  </r>
  <r>
    <d v="2019-10-22T00:00:00"/>
    <d v="1899-12-30T10:39:00"/>
    <m/>
    <s v="P"/>
    <n v="2"/>
    <s v="Road Vehicle"/>
    <n v="6"/>
    <x v="1"/>
    <x v="0"/>
    <n v="2"/>
    <x v="1"/>
    <s v="Kikonjo"/>
    <s v="Kasese"/>
    <s v="UGA"/>
    <n v="2"/>
    <s v="Work"/>
    <s v="kampala"/>
    <s v="kampala"/>
    <s v="UGA"/>
    <n v="4"/>
    <s v="Commercial"/>
    <x v="17"/>
    <n v="25000"/>
    <m/>
    <x v="0"/>
    <n v="8"/>
    <x v="2"/>
    <n v="5"/>
    <s v="Professional"/>
    <n v="2"/>
    <x v="3"/>
    <n v="1"/>
    <n v="2"/>
    <n v="4"/>
    <n v="3"/>
    <n v="5"/>
    <s v="Y"/>
    <n v="2000"/>
    <x v="1"/>
  </r>
  <r>
    <d v="2019-10-22T00:00:00"/>
    <d v="1899-12-30T12:03:00"/>
    <m/>
    <s v="P"/>
    <n v="2"/>
    <s v="Road Vehicle"/>
    <n v="6"/>
    <x v="1"/>
    <x v="0"/>
    <n v="2"/>
    <x v="1"/>
    <s v="Mpondwe"/>
    <s v="Kasese"/>
    <s v="UGA"/>
    <n v="1"/>
    <s v="Home"/>
    <s v="Kabojja"/>
    <s v="kampala"/>
    <s v="UGA"/>
    <n v="4"/>
    <s v="Commercial"/>
    <x v="0"/>
    <n v="25000"/>
    <n v="436"/>
    <x v="3"/>
    <n v="8"/>
    <x v="2"/>
    <n v="5"/>
    <s v="Professional"/>
    <n v="3"/>
    <x v="1"/>
    <n v="1"/>
    <n v="2"/>
    <n v="5"/>
    <n v="3"/>
    <n v="4"/>
    <s v="Y"/>
    <n v="2000"/>
    <x v="1"/>
  </r>
  <r>
    <d v="2019-10-23T00:00:00"/>
    <d v="1899-12-30T06:43:00"/>
    <m/>
    <s v="P"/>
    <n v="2"/>
    <s v="Road Vehicle"/>
    <n v="6"/>
    <x v="1"/>
    <x v="0"/>
    <n v="2"/>
    <x v="1"/>
    <s v="Bwera"/>
    <s v="Kasese"/>
    <s v="UGA"/>
    <n v="1"/>
    <s v="Home"/>
    <s v="Towncentre"/>
    <s v="kampala"/>
    <s v="UGA"/>
    <n v="2"/>
    <s v="Work"/>
    <x v="1"/>
    <n v="25000"/>
    <m/>
    <x v="0"/>
    <n v="8"/>
    <x v="2"/>
    <n v="6"/>
    <s v="Businessman"/>
    <n v="1"/>
    <x v="2"/>
    <n v="2"/>
    <n v="1"/>
    <n v="4"/>
    <n v="3"/>
    <n v="5"/>
    <s v="Y"/>
    <n v="1000"/>
    <x v="4"/>
  </r>
  <r>
    <d v="2019-10-23T00:00:00"/>
    <d v="1899-12-30T09:42:00"/>
    <m/>
    <s v="P"/>
    <n v="2"/>
    <s v="Road Vehicle"/>
    <n v="6"/>
    <x v="1"/>
    <x v="0"/>
    <n v="2"/>
    <x v="1"/>
    <s v="Bwera"/>
    <s v="Kasese"/>
    <s v="UGA"/>
    <n v="6"/>
    <s v="Leisure/Social"/>
    <s v="kawempe"/>
    <s v="kampala"/>
    <s v="UGA"/>
    <n v="1"/>
    <s v="Home"/>
    <x v="10"/>
    <n v="29000"/>
    <m/>
    <x v="0"/>
    <n v="8"/>
    <x v="2"/>
    <n v="5"/>
    <s v="Professional"/>
    <n v="3"/>
    <x v="1"/>
    <n v="2"/>
    <n v="5"/>
    <n v="4"/>
    <n v="1"/>
    <n v="3"/>
    <s v="Y"/>
    <m/>
    <x v="3"/>
  </r>
  <r>
    <d v="2019-10-23T00:00:00"/>
    <d v="1899-12-30T07:52:00"/>
    <m/>
    <s v="P"/>
    <n v="2"/>
    <s v="Road Vehicle"/>
    <n v="6"/>
    <x v="1"/>
    <x v="0"/>
    <n v="2"/>
    <x v="1"/>
    <s v="kizungu"/>
    <s v="Kasese"/>
    <s v="UGA"/>
    <n v="6"/>
    <s v="Leisure/Social"/>
    <s v="najanakubi"/>
    <s v="kampala"/>
    <s v="UGA"/>
    <n v="1"/>
    <s v="Home"/>
    <x v="10"/>
    <n v="30000"/>
    <m/>
    <x v="0"/>
    <n v="9"/>
    <x v="2"/>
    <n v="5"/>
    <s v="Professional"/>
    <n v="3"/>
    <x v="1"/>
    <n v="4"/>
    <n v="5"/>
    <n v="1"/>
    <n v="3"/>
    <n v="2"/>
    <s v="Y"/>
    <n v="1000"/>
    <x v="4"/>
  </r>
  <r>
    <d v="2019-10-23T00:00:00"/>
    <d v="1899-12-30T08:39:00"/>
    <m/>
    <s v="P"/>
    <n v="4"/>
    <s v="Water/Ferry"/>
    <n v="7"/>
    <x v="7"/>
    <x v="0"/>
    <n v="2"/>
    <x v="1"/>
    <s v="Kinyamaseke"/>
    <s v="Kasese"/>
    <s v="UGA"/>
    <n v="4"/>
    <s v="Commercial"/>
    <s v="Mpondwe"/>
    <s v="kasese"/>
    <s v="UGA"/>
    <n v="4"/>
    <s v="Commercial"/>
    <x v="18"/>
    <n v="5000"/>
    <n v="49"/>
    <x v="5"/>
    <n v="1"/>
    <x v="1"/>
    <n v="5"/>
    <s v="Professional"/>
    <n v="2"/>
    <x v="3"/>
    <n v="1"/>
    <n v="5"/>
    <n v="4"/>
    <n v="2"/>
    <n v="3"/>
    <s v="Y"/>
    <n v="2000"/>
    <x v="1"/>
  </r>
  <r>
    <d v="2019-10-21T00:00:00"/>
    <d v="1899-12-30T11:29:00"/>
    <m/>
    <s v="P"/>
    <n v="2"/>
    <s v="Road Vehicle"/>
    <n v="4"/>
    <x v="3"/>
    <x v="1"/>
    <n v="2"/>
    <x v="1"/>
    <s v="Kaziini camp"/>
    <s v="Kasese"/>
    <s v="UGA"/>
    <n v="6"/>
    <s v="Leisure/Social"/>
    <s v="Kalambi"/>
    <s v="FortPortal"/>
    <s v="UGA"/>
    <n v="1"/>
    <s v="Home"/>
    <x v="10"/>
    <n v="7000"/>
    <m/>
    <x v="0"/>
    <n v="3"/>
    <x v="0"/>
    <n v="6"/>
    <s v="Businessman"/>
    <n v="1"/>
    <x v="2"/>
    <n v="4"/>
    <n v="1"/>
    <n v="2"/>
    <n v="3"/>
    <n v="5"/>
    <s v="Y"/>
    <n v="800"/>
    <x v="3"/>
  </r>
  <r>
    <d v="2019-10-21T00:00:00"/>
    <d v="1899-12-30T12:16:00"/>
    <m/>
    <s v="P"/>
    <n v="2"/>
    <s v="Road Vehicle"/>
    <n v="4"/>
    <x v="3"/>
    <x v="1"/>
    <n v="2"/>
    <x v="1"/>
    <s v="Nyakasaga"/>
    <s v="Kasese"/>
    <s v="UGA"/>
    <n v="8"/>
    <s v="Others"/>
    <s v="Kaihura"/>
    <s v="Kyenjojo"/>
    <s v="UGA"/>
    <n v="1"/>
    <s v="Home"/>
    <x v="12"/>
    <n v="10000"/>
    <m/>
    <x v="0"/>
    <n v="3"/>
    <x v="0"/>
    <n v="6"/>
    <s v="Businessman"/>
    <n v="1"/>
    <x v="2"/>
    <n v="5"/>
    <n v="4"/>
    <n v="3"/>
    <n v="1"/>
    <n v="2"/>
    <s v="Y"/>
    <s v="500-1000"/>
    <x v="5"/>
  </r>
  <r>
    <d v="2019-10-21T00:00:00"/>
    <d v="1899-12-30T01:06:00"/>
    <m/>
    <s v="P"/>
    <n v="2"/>
    <s v="Road Vehicle"/>
    <n v="4"/>
    <x v="3"/>
    <x v="1"/>
    <n v="2"/>
    <x v="1"/>
    <s v="Rugendabara"/>
    <s v="Kasese"/>
    <s v="UGA"/>
    <n v="1"/>
    <s v="Home"/>
    <s v="Towncentre"/>
    <s v="kyegegwa"/>
    <s v="UGA"/>
    <n v="7"/>
    <s v="Hospital"/>
    <x v="32"/>
    <n v="15000"/>
    <m/>
    <x v="0"/>
    <n v="1.5"/>
    <x v="1"/>
    <n v="6"/>
    <s v="Businessman"/>
    <n v="1"/>
    <x v="2"/>
    <n v="2"/>
    <n v="3"/>
    <n v="5"/>
    <n v="1"/>
    <n v="4"/>
    <s v="Y"/>
    <n v="300"/>
    <x v="3"/>
  </r>
  <r>
    <d v="2019-10-21T00:00:00"/>
    <d v="1899-12-30T02:12:00"/>
    <m/>
    <s v="P"/>
    <n v="2"/>
    <s v="Road Vehicle"/>
    <n v="4"/>
    <x v="3"/>
    <x v="1"/>
    <n v="2"/>
    <x v="1"/>
    <s v="Total-Town"/>
    <s v="Kasese"/>
    <s v="UGA"/>
    <n v="2"/>
    <s v="Work"/>
    <s v="Kikorongo"/>
    <s v="kasese"/>
    <s v="UGA"/>
    <n v="1"/>
    <s v="Home"/>
    <x v="4"/>
    <n v="4000"/>
    <m/>
    <x v="0"/>
    <n v="0.83"/>
    <x v="4"/>
    <n v="2"/>
    <s v="Manual Labour"/>
    <n v="1"/>
    <x v="2"/>
    <n v="1"/>
    <n v="2"/>
    <n v="4"/>
    <n v="3"/>
    <n v="5"/>
    <s v="Y"/>
    <n v="100"/>
    <x v="3"/>
  </r>
  <r>
    <d v="2019-10-21T00:00:00"/>
    <d v="1899-12-30T06:49:00"/>
    <m/>
    <s v="P"/>
    <n v="2"/>
    <s v="Road Vehicle"/>
    <n v="4"/>
    <x v="3"/>
    <x v="1"/>
    <n v="2"/>
    <x v="1"/>
    <s v="Bulenga"/>
    <s v="KAMPALA"/>
    <s v="UGA"/>
    <n v="1"/>
    <s v="Home"/>
    <s v="kiburara"/>
    <s v="kasese"/>
    <s v="UGA"/>
    <n v="6"/>
    <s v="Leisure/Social"/>
    <x v="8"/>
    <n v="35000"/>
    <m/>
    <x v="0"/>
    <n v="9.5"/>
    <x v="2"/>
    <n v="5"/>
    <s v="Professional"/>
    <n v="2"/>
    <x v="3"/>
    <n v="1"/>
    <n v="5"/>
    <n v="3"/>
    <n v="2"/>
    <n v="4"/>
    <s v="Y"/>
    <n v="5000"/>
    <x v="2"/>
  </r>
  <r>
    <d v="2019-10-21T00:00:00"/>
    <d v="1899-12-30T11:07:00"/>
    <m/>
    <s v="P"/>
    <n v="2"/>
    <s v="Road Vehicle"/>
    <n v="4"/>
    <x v="3"/>
    <x v="1"/>
    <n v="2"/>
    <x v="1"/>
    <s v="muvuko"/>
    <s v="Kasese"/>
    <s v="UGA"/>
    <n v="1"/>
    <s v="Home"/>
    <s v="ishaka"/>
    <s v="kasese"/>
    <s v="UGA"/>
    <n v="4"/>
    <s v="Commercial"/>
    <x v="0"/>
    <n v="10000"/>
    <n v="96"/>
    <x v="1"/>
    <n v="3"/>
    <x v="0"/>
    <n v="6"/>
    <s v="Businessman"/>
    <n v="2"/>
    <x v="3"/>
    <n v="1"/>
    <n v="3"/>
    <n v="4"/>
    <n v="2"/>
    <n v="5"/>
    <s v="Y"/>
    <n v="1000"/>
    <x v="4"/>
  </r>
  <r>
    <d v="2019-10-21T00:00:00"/>
    <d v="1899-12-30T10:47:00"/>
    <m/>
    <s v="P"/>
    <n v="2"/>
    <s v="Road Vehicle"/>
    <n v="4"/>
    <x v="3"/>
    <x v="1"/>
    <n v="2"/>
    <x v="1"/>
    <s v="Bundibugyo"/>
    <s v="Bundibugyo"/>
    <s v="UGA"/>
    <n v="1"/>
    <s v="Home"/>
    <s v="ishaka"/>
    <s v="kasese"/>
    <s v="UGA"/>
    <n v="4"/>
    <s v="Commercial"/>
    <x v="0"/>
    <n v="18000"/>
    <n v="123"/>
    <x v="2"/>
    <n v="4"/>
    <x v="2"/>
    <n v="6"/>
    <s v="Businessman"/>
    <n v="2"/>
    <x v="3"/>
    <n v="2"/>
    <n v="1"/>
    <n v="4"/>
    <n v="3"/>
    <n v="5"/>
    <s v="Y"/>
    <n v="2000"/>
    <x v="1"/>
  </r>
  <r>
    <d v="2019-10-21T00:00:00"/>
    <d v="1899-12-30T10:34:00"/>
    <m/>
    <s v="P"/>
    <n v="2"/>
    <s v="Road Vehicle"/>
    <n v="4"/>
    <x v="3"/>
    <x v="1"/>
    <n v="2"/>
    <x v="1"/>
    <s v="kikome"/>
    <s v="Kasese"/>
    <s v="UGA"/>
    <n v="4"/>
    <s v="Commercial"/>
    <s v="muhokya"/>
    <s v="kasese"/>
    <s v="UGA"/>
    <n v="4"/>
    <s v="Commercial"/>
    <x v="18"/>
    <n v="3000"/>
    <n v="37"/>
    <x v="4"/>
    <n v="0.66666000000000003"/>
    <x v="4"/>
    <n v="6"/>
    <s v="Businessman"/>
    <n v="1"/>
    <x v="2"/>
    <n v="1"/>
    <n v="2"/>
    <n v="4"/>
    <n v="3"/>
    <n v="5"/>
    <s v="Y"/>
    <m/>
    <x v="3"/>
  </r>
  <r>
    <d v="2019-10-21T00:00:00"/>
    <d v="1899-12-30T10:31:00"/>
    <m/>
    <s v="P"/>
    <n v="2"/>
    <s v="Road Vehicle"/>
    <n v="4"/>
    <x v="3"/>
    <x v="1"/>
    <n v="2"/>
    <x v="1"/>
    <s v="Mpondwe"/>
    <s v="Kasese"/>
    <s v="UGA"/>
    <n v="2"/>
    <s v="Work"/>
    <s v="Kyegegwa"/>
    <s v="Kyegegwa"/>
    <s v="UGA"/>
    <n v="4"/>
    <s v="Commercial"/>
    <x v="17"/>
    <n v="15000"/>
    <m/>
    <x v="0"/>
    <n v="2.5"/>
    <x v="0"/>
    <n v="5"/>
    <s v="Professional"/>
    <n v="5"/>
    <x v="4"/>
    <n v="3"/>
    <n v="4"/>
    <n v="1"/>
    <n v="2"/>
    <n v="5"/>
    <s v="Y"/>
    <m/>
    <x v="3"/>
  </r>
  <r>
    <d v="2019-10-21T00:00:00"/>
    <d v="1899-12-30T11:43:00"/>
    <m/>
    <s v="P"/>
    <n v="2"/>
    <s v="Road Vehicle"/>
    <n v="4"/>
    <x v="3"/>
    <x v="1"/>
    <n v="2"/>
    <x v="1"/>
    <s v="Ktadoba"/>
    <s v="Kasese"/>
    <s v="UGA"/>
    <n v="1"/>
    <s v="Home"/>
    <s v="ishaka"/>
    <s v="kasese"/>
    <s v="UGA"/>
    <n v="4"/>
    <s v="Commercial"/>
    <x v="0"/>
    <n v="8000"/>
    <m/>
    <x v="0"/>
    <n v="3"/>
    <x v="0"/>
    <n v="6"/>
    <s v="Businessman"/>
    <n v="3"/>
    <x v="1"/>
    <n v="5"/>
    <n v="2"/>
    <n v="3"/>
    <n v="1"/>
    <n v="4"/>
    <s v="Y"/>
    <m/>
    <x v="3"/>
  </r>
  <r>
    <d v="2019-10-21T00:00:00"/>
    <d v="1899-12-30T11:45:00"/>
    <m/>
    <s v="P"/>
    <n v="2"/>
    <s v="Road Vehicle"/>
    <n v="4"/>
    <x v="3"/>
    <x v="1"/>
    <n v="2"/>
    <x v="1"/>
    <s v="Rwimi"/>
    <s v="Bunyangabo"/>
    <s v="UGA"/>
    <n v="1"/>
    <s v="Home"/>
    <s v="ishaka"/>
    <s v="kasese"/>
    <s v="UGA"/>
    <n v="4"/>
    <s v="Commercial"/>
    <x v="0"/>
    <n v="12000"/>
    <n v="102"/>
    <x v="2"/>
    <n v="5"/>
    <x v="2"/>
    <n v="6"/>
    <s v="Businessman"/>
    <n v="4"/>
    <x v="0"/>
    <n v="2"/>
    <n v="3"/>
    <n v="4"/>
    <n v="1"/>
    <n v="5"/>
    <s v="Y"/>
    <m/>
    <x v="3"/>
  </r>
  <r>
    <d v="2019-10-21T00:00:00"/>
    <d v="1899-12-30T11:48:00"/>
    <m/>
    <s v="P"/>
    <n v="2"/>
    <s v="Road Vehicle"/>
    <n v="4"/>
    <x v="3"/>
    <x v="1"/>
    <n v="2"/>
    <x v="1"/>
    <s v="katadoba "/>
    <s v="Kasese"/>
    <s v="UGA"/>
    <n v="1"/>
    <s v="Home"/>
    <s v="Ntungamo"/>
    <s v="Ntugamo"/>
    <s v="UGA"/>
    <n v="4"/>
    <s v="Commercial"/>
    <x v="0"/>
    <n v="15000"/>
    <n v="125"/>
    <x v="2"/>
    <n v="4"/>
    <x v="2"/>
    <n v="7"/>
    <s v="Farmer"/>
    <n v="2"/>
    <x v="3"/>
    <n v="5"/>
    <n v="1"/>
    <n v="4"/>
    <n v="3"/>
    <n v="2"/>
    <s v="Y"/>
    <m/>
    <x v="3"/>
  </r>
  <r>
    <d v="2019-10-21T00:00:00"/>
    <d v="1899-12-30T11:51:00"/>
    <m/>
    <s v="P"/>
    <n v="2"/>
    <s v="Road Vehicle"/>
    <n v="4"/>
    <x v="3"/>
    <x v="1"/>
    <n v="2"/>
    <x v="1"/>
    <s v="katadoba "/>
    <s v="Kasese"/>
    <s v="UGA"/>
    <n v="1"/>
    <s v="Home"/>
    <s v="muhokya"/>
    <s v="kasese"/>
    <s v="UGA"/>
    <n v="2"/>
    <s v="Work"/>
    <x v="1"/>
    <n v="4000"/>
    <n v="35"/>
    <x v="4"/>
    <n v="0.25"/>
    <x v="3"/>
    <n v="10"/>
    <s v="Other"/>
    <n v="1"/>
    <x v="2"/>
    <n v="2"/>
    <n v="1"/>
    <n v="4"/>
    <n v="3"/>
    <n v="5"/>
    <s v="Y"/>
    <m/>
    <x v="3"/>
  </r>
  <r>
    <d v="2019-10-21T00:00:00"/>
    <d v="1899-12-30T12:05:00"/>
    <m/>
    <s v="P"/>
    <n v="2"/>
    <s v="Road Vehicle"/>
    <n v="4"/>
    <x v="3"/>
    <x v="1"/>
    <n v="2"/>
    <x v="1"/>
    <s v="Kilembe"/>
    <s v="Kasese"/>
    <s v="UGA"/>
    <n v="1"/>
    <s v="Home"/>
    <s v="kampala"/>
    <s v="kampala"/>
    <s v="UGA"/>
    <n v="4"/>
    <s v="Commercial"/>
    <x v="0"/>
    <n v="25000"/>
    <m/>
    <x v="0"/>
    <n v="8"/>
    <x v="2"/>
    <n v="6"/>
    <s v="Businessman"/>
    <n v="2"/>
    <x v="3"/>
    <n v="1"/>
    <n v="5"/>
    <n v="3"/>
    <n v="2"/>
    <n v="4"/>
    <s v="Y"/>
    <m/>
    <x v="3"/>
  </r>
  <r>
    <d v="2019-10-21T00:00:00"/>
    <d v="1899-12-30T12:27:00"/>
    <m/>
    <s v="P"/>
    <n v="2"/>
    <s v="Road Vehicle"/>
    <n v="4"/>
    <x v="3"/>
    <x v="1"/>
    <n v="2"/>
    <x v="1"/>
    <s v="Kidoodo"/>
    <s v="Kasese"/>
    <s v="UGA"/>
    <n v="1"/>
    <s v="Home"/>
    <s v="ishaka"/>
    <s v="kasese"/>
    <s v="UGA"/>
    <n v="4"/>
    <s v="Commercial"/>
    <x v="0"/>
    <n v="8000"/>
    <n v="92"/>
    <x v="1"/>
    <n v="3"/>
    <x v="0"/>
    <n v="6"/>
    <s v="Businessman"/>
    <n v="2"/>
    <x v="3"/>
    <n v="1"/>
    <n v="2"/>
    <n v="3"/>
    <n v="4"/>
    <n v="5"/>
    <s v="Y"/>
    <m/>
    <x v="3"/>
  </r>
  <r>
    <d v="2019-10-21T00:00:00"/>
    <d v="1899-12-30T12:30:00"/>
    <m/>
    <s v="P"/>
    <n v="2"/>
    <s v="Road Vehicle"/>
    <n v="4"/>
    <x v="3"/>
    <x v="1"/>
    <n v="2"/>
    <x v="1"/>
    <s v="Katwe"/>
    <s v="Kasese"/>
    <s v="UGA"/>
    <n v="1"/>
    <s v="Home"/>
    <s v="Mpondwe"/>
    <s v="kasese"/>
    <s v="UGA"/>
    <n v="4"/>
    <s v="Commercial"/>
    <x v="0"/>
    <n v="8000"/>
    <n v="87"/>
    <x v="1"/>
    <n v="2"/>
    <x v="0"/>
    <n v="6"/>
    <s v="Businessman"/>
    <n v="2"/>
    <x v="3"/>
    <n v="2"/>
    <n v="1"/>
    <n v="4"/>
    <n v="3"/>
    <n v="5"/>
    <s v="Y"/>
    <n v="2000"/>
    <x v="1"/>
  </r>
  <r>
    <d v="2019-10-21T00:00:00"/>
    <d v="1899-12-30T12:50:00"/>
    <m/>
    <s v="P"/>
    <n v="2"/>
    <s v="Road Vehicle"/>
    <n v="4"/>
    <x v="3"/>
    <x v="1"/>
    <n v="2"/>
    <x v="1"/>
    <s v="Tea Estate"/>
    <s v="Kyamuwunga"/>
    <s v="UGA"/>
    <n v="1"/>
    <s v="Home"/>
    <s v="Kazinga channel"/>
    <s v="kasese"/>
    <s v="UGA"/>
    <n v="4"/>
    <s v="Commercial"/>
    <x v="0"/>
    <n v="5000"/>
    <m/>
    <x v="0"/>
    <n v="1.5"/>
    <x v="1"/>
    <n v="5"/>
    <s v="Professional"/>
    <n v="2"/>
    <x v="3"/>
    <n v="4"/>
    <n v="1"/>
    <n v="3"/>
    <n v="2"/>
    <n v="5"/>
    <s v="Y"/>
    <n v="2000"/>
    <x v="1"/>
  </r>
  <r>
    <d v="2019-10-21T00:00:00"/>
    <d v="1899-12-30T12:58:00"/>
    <m/>
    <s v="P"/>
    <n v="2"/>
    <s v="Road Vehicle"/>
    <n v="4"/>
    <x v="3"/>
    <x v="1"/>
    <n v="2"/>
    <x v="1"/>
    <s v="Ishaka"/>
    <s v="bushenyi"/>
    <s v="UGA"/>
    <n v="2"/>
    <s v="Work"/>
    <s v="Kitagata"/>
    <s v="kasese"/>
    <s v="UGA"/>
    <n v="4"/>
    <s v="Commercial"/>
    <x v="17"/>
    <n v="10000"/>
    <m/>
    <x v="0"/>
    <n v="2"/>
    <x v="0"/>
    <n v="5"/>
    <s v="Professional"/>
    <n v="2"/>
    <x v="3"/>
    <n v="2"/>
    <n v="3"/>
    <n v="4"/>
    <n v="1"/>
    <n v="5"/>
    <s v="Y"/>
    <n v="2018"/>
    <x v="1"/>
  </r>
  <r>
    <d v="2019-10-21T00:00:00"/>
    <d v="1899-12-30T12:45:00"/>
    <m/>
    <s v="P"/>
    <n v="2"/>
    <s v="Road Vehicle"/>
    <n v="4"/>
    <x v="3"/>
    <x v="1"/>
    <n v="2"/>
    <x v="1"/>
    <s v="Ankole tea estate"/>
    <s v="Rubirizi"/>
    <s v="UGA"/>
    <n v="1"/>
    <s v="Home"/>
    <s v="kasese"/>
    <s v="kasese"/>
    <s v="UGA"/>
    <n v="1"/>
    <s v="Home"/>
    <x v="16"/>
    <n v="6000"/>
    <m/>
    <x v="0"/>
    <n v="1.5"/>
    <x v="1"/>
    <n v="2"/>
    <s v="Manual Labour"/>
    <n v="1"/>
    <x v="2"/>
    <n v="1"/>
    <n v="5"/>
    <n v="3"/>
    <n v="2"/>
    <n v="4"/>
    <s v="Y"/>
    <m/>
    <x v="3"/>
  </r>
  <r>
    <d v="2019-10-23T00:00:00"/>
    <d v="1899-12-30T04:30:00"/>
    <m/>
    <s v="P"/>
    <n v="2"/>
    <s v="Road Vehicle"/>
    <n v="4"/>
    <x v="3"/>
    <x v="1"/>
    <n v="2"/>
    <x v="1"/>
    <s v="Kasese"/>
    <s v="Kasese"/>
    <s v="UGA"/>
    <n v="4"/>
    <s v="Commercial"/>
    <s v="mpondwe"/>
    <s v="kasese"/>
    <s v="UGA"/>
    <n v="4"/>
    <s v="Commercial"/>
    <x v="18"/>
    <n v="7000"/>
    <n v="45"/>
    <x v="5"/>
    <n v="1.5"/>
    <x v="1"/>
    <n v="6"/>
    <s v="Businessman"/>
    <n v="1"/>
    <x v="2"/>
    <n v="1"/>
    <n v="2"/>
    <n v="4"/>
    <n v="3"/>
    <n v="5"/>
    <s v="Y"/>
    <n v="2000"/>
    <x v="1"/>
  </r>
  <r>
    <d v="2019-10-23T00:00:00"/>
    <d v="1899-12-30T04:50:00"/>
    <m/>
    <s v="P"/>
    <n v="2"/>
    <s v="Road Vehicle"/>
    <n v="4"/>
    <x v="3"/>
    <x v="1"/>
    <n v="2"/>
    <x v="1"/>
    <s v="Kisinga"/>
    <s v="Kasese"/>
    <s v="UGA"/>
    <n v="1"/>
    <s v="Home"/>
    <s v="Mpondwe"/>
    <s v="kasese"/>
    <s v="UGA"/>
    <n v="4"/>
    <s v="Commercial"/>
    <x v="0"/>
    <n v="12000"/>
    <m/>
    <x v="0"/>
    <n v="2"/>
    <x v="0"/>
    <n v="6"/>
    <s v="Businessman"/>
    <n v="1"/>
    <x v="2"/>
    <m/>
    <m/>
    <m/>
    <m/>
    <m/>
    <m/>
    <m/>
    <x v="3"/>
  </r>
  <r>
    <d v="2019-10-23T00:00:00"/>
    <d v="1899-12-30T05:32:00"/>
    <m/>
    <s v="P"/>
    <n v="2"/>
    <s v="Road Vehicle"/>
    <n v="4"/>
    <x v="3"/>
    <x v="1"/>
    <n v="2"/>
    <x v="1"/>
    <s v="town"/>
    <s v="bushenyi"/>
    <s v="UGA"/>
    <n v="2"/>
    <s v="Work"/>
    <s v="coliketa"/>
    <s v="kasese"/>
    <s v="UGA"/>
    <n v="1"/>
    <s v="Home"/>
    <x v="4"/>
    <n v="9000"/>
    <m/>
    <x v="0"/>
    <n v="2"/>
    <x v="0"/>
    <n v="2"/>
    <s v="Manual Labour"/>
    <n v="1"/>
    <x v="2"/>
    <n v="4"/>
    <n v="3"/>
    <n v="5"/>
    <n v="2"/>
    <n v="1"/>
    <s v="Y"/>
    <n v="400"/>
    <x v="3"/>
  </r>
  <r>
    <d v="2019-10-23T00:00:00"/>
    <d v="1899-12-30T03:36:00"/>
    <m/>
    <s v="P"/>
    <n v="2"/>
    <s v="Road Vehicle"/>
    <n v="4"/>
    <x v="3"/>
    <x v="1"/>
    <n v="2"/>
    <x v="1"/>
    <s v="Ndongo"/>
    <s v="Kasese"/>
    <s v="UGA"/>
    <n v="1"/>
    <s v="Home"/>
    <s v="Kilembe"/>
    <s v="kasese"/>
    <s v="UGA"/>
    <n v="6"/>
    <s v="Leisure/Social"/>
    <x v="8"/>
    <n v="6000"/>
    <n v="40"/>
    <x v="5"/>
    <n v="1"/>
    <x v="1"/>
    <n v="1"/>
    <s v="Unemployed"/>
    <n v="1"/>
    <x v="2"/>
    <n v="5"/>
    <n v="2"/>
    <n v="3"/>
    <n v="1"/>
    <n v="4"/>
    <s v="Y"/>
    <n v="100"/>
    <x v="3"/>
  </r>
  <r>
    <d v="2019-10-23T00:00:00"/>
    <d v="1899-12-30T11:46:00"/>
    <m/>
    <s v="P"/>
    <n v="2"/>
    <s v="Road Vehicle"/>
    <n v="4"/>
    <x v="3"/>
    <x v="1"/>
    <n v="2"/>
    <x v="1"/>
    <s v="Town centre"/>
    <s v="Mbarara"/>
    <s v="UGA"/>
    <n v="8"/>
    <s v="Others"/>
    <s v="kabularoke"/>
    <s v="rwimi"/>
    <s v="UGA"/>
    <n v="1"/>
    <s v="Home"/>
    <x v="12"/>
    <n v="22000"/>
    <n v="155"/>
    <x v="2"/>
    <n v="3.5"/>
    <x v="2"/>
    <n v="6"/>
    <s v="Businessman"/>
    <n v="2"/>
    <x v="3"/>
    <n v="5"/>
    <n v="2"/>
    <n v="3"/>
    <n v="1"/>
    <n v="4"/>
    <s v="Y"/>
    <n v="1000"/>
    <x v="4"/>
  </r>
  <r>
    <d v="2019-10-23T00:00:00"/>
    <s v=" 9:52"/>
    <m/>
    <s v="P"/>
    <n v="2"/>
    <s v="Road Vehicle"/>
    <n v="4"/>
    <x v="3"/>
    <x v="1"/>
    <n v="2"/>
    <x v="1"/>
    <s v="Q.Elizabeth"/>
    <s v="Kasese"/>
    <s v="UGA"/>
    <n v="6"/>
    <s v="Leisure/Social"/>
    <s v="kikorongo"/>
    <s v="kasese"/>
    <s v="UGA"/>
    <n v="1"/>
    <s v="Home"/>
    <x v="10"/>
    <n v="7000"/>
    <m/>
    <x v="0"/>
    <n v="1.5"/>
    <x v="1"/>
    <n v="6"/>
    <s v="Businessman"/>
    <n v="1"/>
    <x v="2"/>
    <n v="4"/>
    <n v="5"/>
    <n v="3"/>
    <n v="1"/>
    <n v="2"/>
    <s v="Y"/>
    <n v="1000"/>
    <x v="4"/>
  </r>
  <r>
    <d v="2019-10-21T00:00:00"/>
    <d v="1899-12-30T02:00:00"/>
    <m/>
    <s v="P"/>
    <n v="2"/>
    <s v="Road Vehicle"/>
    <n v="4"/>
    <x v="3"/>
    <x v="0"/>
    <n v="2"/>
    <x v="1"/>
    <s v="Kilembe"/>
    <s v="Kasese"/>
    <s v="UGA"/>
    <n v="1"/>
    <s v="Home"/>
    <s v="Kabirizi"/>
    <s v="kasese"/>
    <s v="UGA"/>
    <n v="6"/>
    <s v="Leisure/Social"/>
    <x v="8"/>
    <n v="5000"/>
    <m/>
    <x v="0"/>
    <n v="1.5"/>
    <x v="1"/>
    <n v="5"/>
    <s v="Professional"/>
    <n v="2"/>
    <x v="3"/>
    <n v="2"/>
    <n v="4"/>
    <n v="1"/>
    <n v="5"/>
    <n v="3"/>
    <s v="Y"/>
    <n v="500"/>
    <x v="3"/>
  </r>
  <r>
    <d v="2019-10-21T00:00:00"/>
    <d v="1899-12-30T06:00:00"/>
    <m/>
    <s v="P"/>
    <n v="2"/>
    <s v="Road Vehicle"/>
    <n v="4"/>
    <x v="3"/>
    <x v="0"/>
    <n v="2"/>
    <x v="1"/>
    <s v="Town Park"/>
    <s v="Kasese"/>
    <s v="UGA"/>
    <n v="2"/>
    <s v="Work"/>
    <s v="Nyaruzigati"/>
    <s v="kasese"/>
    <s v="UGA"/>
    <n v="1"/>
    <s v="Home"/>
    <x v="4"/>
    <n v="5000"/>
    <m/>
    <x v="0"/>
    <n v="1"/>
    <x v="1"/>
    <n v="4"/>
    <s v="Office Worker"/>
    <n v="1"/>
    <x v="2"/>
    <n v="3"/>
    <n v="4"/>
    <n v="1"/>
    <n v="2"/>
    <n v="3"/>
    <s v="Y"/>
    <n v="100"/>
    <x v="3"/>
  </r>
  <r>
    <d v="2019-10-21T00:00:00"/>
    <d v="1899-12-30T11:23:00"/>
    <m/>
    <s v="P"/>
    <n v="2"/>
    <s v="Road Vehicle"/>
    <n v="4"/>
    <x v="3"/>
    <x v="0"/>
    <n v="2"/>
    <x v="1"/>
    <s v="Kisanyalaze"/>
    <s v="Kasese"/>
    <s v="UGA"/>
    <n v="1"/>
    <s v="Home"/>
    <s v="Rubona"/>
    <s v="kasese"/>
    <s v="UGA"/>
    <n v="4"/>
    <s v="Commercial"/>
    <x v="0"/>
    <n v="4500"/>
    <n v="38"/>
    <x v="4"/>
    <n v="0.33"/>
    <x v="3"/>
    <n v="7"/>
    <s v="Farmer"/>
    <n v="1"/>
    <x v="2"/>
    <n v="2"/>
    <n v="3"/>
    <n v="4"/>
    <n v="5"/>
    <n v="1"/>
    <s v="Y"/>
    <n v="1000"/>
    <x v="4"/>
  </r>
  <r>
    <d v="2019-10-21T00:00:00"/>
    <d v="1899-12-30T11:10:00"/>
    <m/>
    <s v="P"/>
    <n v="2"/>
    <s v="Road Vehicle"/>
    <n v="4"/>
    <x v="3"/>
    <x v="0"/>
    <n v="2"/>
    <x v="1"/>
    <s v="Rwenzori inter"/>
    <s v="Kasese"/>
    <s v="UGA"/>
    <n v="4"/>
    <s v="Commercial"/>
    <s v="Mpondwe"/>
    <s v="kasese"/>
    <s v="UGA"/>
    <n v="4"/>
    <s v="Commercial"/>
    <x v="18"/>
    <n v="7000"/>
    <m/>
    <x v="0"/>
    <n v="1.5"/>
    <x v="1"/>
    <n v="6"/>
    <s v="Businessman"/>
    <n v="2"/>
    <x v="3"/>
    <n v="1"/>
    <n v="2"/>
    <n v="5"/>
    <n v="3"/>
    <n v="4"/>
    <s v="Y"/>
    <m/>
    <x v="3"/>
  </r>
  <r>
    <d v="2019-10-21T00:00:00"/>
    <d v="1899-12-30T11:02:00"/>
    <m/>
    <s v="P"/>
    <n v="2"/>
    <s v="Road Vehicle"/>
    <n v="4"/>
    <x v="3"/>
    <x v="0"/>
    <n v="2"/>
    <x v="1"/>
    <s v="Rubona "/>
    <s v="Bunyangabo"/>
    <s v="UGA"/>
    <n v="4"/>
    <s v="Commercial"/>
    <s v="kitalikibi"/>
    <s v="kasese"/>
    <s v="UGA"/>
    <n v="4"/>
    <s v="Commercial"/>
    <x v="18"/>
    <n v="5000"/>
    <m/>
    <x v="0"/>
    <m/>
    <x v="3"/>
    <n v="10"/>
    <s v="Other"/>
    <n v="1"/>
    <x v="2"/>
    <n v="2"/>
    <n v="3"/>
    <n v="4"/>
    <n v="1"/>
    <n v="5"/>
    <s v="Y"/>
    <n v="1000"/>
    <x v="4"/>
  </r>
  <r>
    <d v="2019-10-21T00:00:00"/>
    <d v="1899-12-30T10:59:00"/>
    <m/>
    <s v="P"/>
    <n v="2"/>
    <s v="Road Vehicle"/>
    <n v="4"/>
    <x v="3"/>
    <x v="0"/>
    <n v="2"/>
    <x v="1"/>
    <s v="Kitalikibi"/>
    <s v="Kasese"/>
    <s v="UGA"/>
    <n v="4"/>
    <s v="Commercial"/>
    <s v="Rwimi"/>
    <s v="Bunyangabo"/>
    <s v="UGA"/>
    <n v="2"/>
    <s v="Work"/>
    <x v="24"/>
    <n v="4000"/>
    <n v="45"/>
    <x v="5"/>
    <n v="0.5"/>
    <x v="4"/>
    <n v="6"/>
    <s v="Businessman"/>
    <n v="2"/>
    <x v="3"/>
    <n v="2"/>
    <n v="3"/>
    <n v="1"/>
    <n v="5"/>
    <n v="4"/>
    <s v="Y"/>
    <n v="1000"/>
    <x v="4"/>
  </r>
  <r>
    <d v="2019-10-21T00:00:00"/>
    <d v="1899-12-30T10:38:00"/>
    <m/>
    <s v="P"/>
    <n v="2"/>
    <s v="Road Vehicle"/>
    <n v="4"/>
    <x v="3"/>
    <x v="0"/>
    <n v="2"/>
    <x v="1"/>
    <s v="Kyegegwa"/>
    <s v="kyegegwa"/>
    <s v="UGA"/>
    <n v="4"/>
    <s v="Commercial"/>
    <s v="Mpondwe"/>
    <s v="Mpondwe"/>
    <s v="UGA"/>
    <n v="4"/>
    <s v="Commercial"/>
    <x v="18"/>
    <n v="9000"/>
    <n v="80"/>
    <x v="1"/>
    <n v="2"/>
    <x v="0"/>
    <n v="6"/>
    <s v="Businessman"/>
    <n v="2"/>
    <x v="3"/>
    <n v="1"/>
    <n v="2"/>
    <n v="5"/>
    <n v="3"/>
    <n v="4"/>
    <s v="Y"/>
    <n v="1000"/>
    <x v="4"/>
  </r>
  <r>
    <d v="2019-10-21T00:00:00"/>
    <d v="1899-12-30T10:18:00"/>
    <m/>
    <s v="P"/>
    <n v="2"/>
    <s v="Road Vehicle"/>
    <n v="4"/>
    <x v="3"/>
    <x v="0"/>
    <n v="2"/>
    <x v="1"/>
    <s v="Kaziini camp"/>
    <s v="Kasese"/>
    <s v="UGA"/>
    <n v="1"/>
    <s v="Home"/>
    <s v="Kazinga channel"/>
    <s v="kasese"/>
    <s v="UGA"/>
    <n v="5"/>
    <s v="Tourism"/>
    <x v="20"/>
    <n v="4000"/>
    <n v="50"/>
    <x v="5"/>
    <n v="0.5"/>
    <x v="4"/>
    <n v="10"/>
    <s v="Other"/>
    <n v="1"/>
    <x v="2"/>
    <n v="1"/>
    <n v="3"/>
    <n v="5"/>
    <n v="2"/>
    <n v="4"/>
    <s v="Y"/>
    <n v="1500"/>
    <x v="4"/>
  </r>
  <r>
    <d v="2019-10-21T00:00:00"/>
    <d v="1899-12-30T11:30:00"/>
    <m/>
    <s v="P"/>
    <n v="2"/>
    <s v="Road Vehicle"/>
    <n v="4"/>
    <x v="3"/>
    <x v="0"/>
    <n v="2"/>
    <x v="1"/>
    <s v="Kidoodo"/>
    <s v="Kasese"/>
    <s v="UGA"/>
    <n v="1"/>
    <s v="Home"/>
    <s v="Mubende"/>
    <s v="Mubende"/>
    <s v="UGA"/>
    <n v="4"/>
    <s v="Commercial"/>
    <x v="0"/>
    <n v="10000"/>
    <m/>
    <x v="0"/>
    <n v="3"/>
    <x v="0"/>
    <n v="6"/>
    <s v="Businessman"/>
    <n v="2"/>
    <x v="3"/>
    <n v="3"/>
    <n v="2"/>
    <n v="5"/>
    <n v="1"/>
    <n v="4"/>
    <s v="Y"/>
    <m/>
    <x v="3"/>
  </r>
  <r>
    <d v="2019-10-21T00:00:00"/>
    <d v="1899-12-30T01:15:00"/>
    <m/>
    <s v="P"/>
    <n v="2"/>
    <s v="Road Vehicle"/>
    <n v="4"/>
    <x v="3"/>
    <x v="0"/>
    <n v="2"/>
    <x v="1"/>
    <s v="Kidoodo"/>
    <s v="Kasese"/>
    <s v="UGA"/>
    <n v="1"/>
    <s v="Home"/>
    <s v="Fortportal"/>
    <s v="Fortportal"/>
    <s v="UGA"/>
    <n v="4"/>
    <s v="Commercial"/>
    <x v="0"/>
    <n v="8000"/>
    <n v="56"/>
    <x v="5"/>
    <n v="1"/>
    <x v="1"/>
    <n v="3"/>
    <s v="Artisan/Domestic"/>
    <n v="2"/>
    <x v="3"/>
    <n v="1"/>
    <n v="2"/>
    <n v="3"/>
    <n v="4"/>
    <n v="5"/>
    <s v="Y"/>
    <n v="1000"/>
    <x v="4"/>
  </r>
  <r>
    <d v="2019-10-22T00:00:00"/>
    <d v="1899-12-30T07:28:00"/>
    <m/>
    <s v="P"/>
    <n v="2"/>
    <s v="Road Vehicle"/>
    <n v="4"/>
    <x v="3"/>
    <x v="0"/>
    <n v="2"/>
    <x v="1"/>
    <s v="Rwenzori inter"/>
    <s v="Kasese"/>
    <s v="UGA"/>
    <n v="1"/>
    <s v="Home"/>
    <s v="Fortportal"/>
    <s v="Fortportal"/>
    <s v="UGA"/>
    <n v="2"/>
    <s v="Work"/>
    <x v="1"/>
    <n v="5000"/>
    <n v="53"/>
    <x v="5"/>
    <n v="0.66600000000000004"/>
    <x v="4"/>
    <n v="2"/>
    <s v="Manual Labour"/>
    <n v="1"/>
    <x v="2"/>
    <m/>
    <m/>
    <s v="."/>
    <m/>
    <m/>
    <s v="Y"/>
    <m/>
    <x v="3"/>
  </r>
  <r>
    <d v="2019-10-22T00:00:00"/>
    <d v="1899-12-30T07:30:00"/>
    <m/>
    <s v="P"/>
    <n v="2"/>
    <s v="Road Vehicle"/>
    <n v="4"/>
    <x v="3"/>
    <x v="0"/>
    <n v="2"/>
    <x v="1"/>
    <s v="Kazinga channel"/>
    <s v="Kasese"/>
    <s v="UGA"/>
    <n v="2"/>
    <s v="Work"/>
    <s v="kibito"/>
    <s v="Bunyangabo"/>
    <s v="UGA"/>
    <n v="1"/>
    <s v="Home"/>
    <x v="4"/>
    <n v="4000"/>
    <n v="58"/>
    <x v="5"/>
    <n v="0.5"/>
    <x v="4"/>
    <n v="10"/>
    <s v="Other"/>
    <n v="1"/>
    <x v="2"/>
    <n v="2"/>
    <n v="4"/>
    <n v="5"/>
    <n v="3"/>
    <n v="1"/>
    <s v="Y"/>
    <m/>
    <x v="3"/>
  </r>
  <r>
    <d v="2019-10-22T00:00:00"/>
    <d v="1899-12-30T08:31:00"/>
    <m/>
    <s v="P"/>
    <n v="2"/>
    <s v="Road Vehicle"/>
    <n v="4"/>
    <x v="3"/>
    <x v="0"/>
    <n v="2"/>
    <x v="1"/>
    <s v="Kaziini camp"/>
    <s v="Kasese"/>
    <s v="UGA"/>
    <n v="1"/>
    <s v="Home"/>
    <s v="Ndongo"/>
    <s v="kasese"/>
    <s v="UGA"/>
    <n v="4"/>
    <s v="Commercial"/>
    <x v="0"/>
    <n v="5000"/>
    <n v="60"/>
    <x v="5"/>
    <n v="1"/>
    <x v="1"/>
    <n v="2"/>
    <s v="Manual Labour"/>
    <n v="1"/>
    <x v="2"/>
    <n v="2"/>
    <n v="1"/>
    <n v="5"/>
    <n v="3"/>
    <n v="4"/>
    <s v="Y"/>
    <n v="1000"/>
    <x v="4"/>
  </r>
  <r>
    <d v="2019-10-22T00:00:00"/>
    <d v="1899-12-30T08:38:00"/>
    <m/>
    <s v="P"/>
    <n v="2"/>
    <s v="Road Vehicle"/>
    <n v="4"/>
    <x v="3"/>
    <x v="0"/>
    <n v="2"/>
    <x v="1"/>
    <s v="Kilembe"/>
    <s v="Kasese"/>
    <s v="UGA"/>
    <n v="1"/>
    <s v="Home"/>
    <s v="Mbarara"/>
    <s v="Mbarara"/>
    <s v="UGA"/>
    <n v="4"/>
    <s v="Commercial"/>
    <x v="0"/>
    <n v="15000"/>
    <m/>
    <x v="0"/>
    <n v="5"/>
    <x v="2"/>
    <n v="6"/>
    <s v="Businessman"/>
    <n v="3"/>
    <x v="1"/>
    <n v="3"/>
    <n v="5"/>
    <n v="4"/>
    <n v="2"/>
    <n v="1"/>
    <s v="Y"/>
    <n v="1000"/>
    <x v="4"/>
  </r>
  <r>
    <d v="2019-10-22T00:00:00"/>
    <d v="1899-12-30T08:45:00"/>
    <m/>
    <s v="P"/>
    <n v="2"/>
    <s v="Road Vehicle"/>
    <n v="4"/>
    <x v="3"/>
    <x v="0"/>
    <n v="2"/>
    <x v="1"/>
    <s v="Ndongo"/>
    <s v="Kasese"/>
    <s v="UGA"/>
    <n v="4"/>
    <s v="Commercial"/>
    <s v="ishaka"/>
    <s v="kasese"/>
    <s v="UGA"/>
    <n v="1"/>
    <s v="Home"/>
    <x v="3"/>
    <n v="12000"/>
    <n v="99"/>
    <x v="1"/>
    <n v="2.5"/>
    <x v="0"/>
    <n v="1"/>
    <s v="Unemployed"/>
    <n v="2"/>
    <x v="3"/>
    <n v="2"/>
    <n v="1"/>
    <n v="4"/>
    <n v="3"/>
    <n v="5"/>
    <s v="Y"/>
    <m/>
    <x v="3"/>
  </r>
  <r>
    <d v="2019-10-22T00:00:00"/>
    <d v="1899-12-30T08:52:00"/>
    <m/>
    <s v="P"/>
    <n v="2"/>
    <s v="Road Vehicle"/>
    <n v="4"/>
    <x v="3"/>
    <x v="0"/>
    <n v="2"/>
    <x v="1"/>
    <s v="Ishaka"/>
    <s v="Kasese"/>
    <s v="UGA"/>
    <n v="4"/>
    <s v="Commercial"/>
    <s v="Bundibugyo"/>
    <s v="Bundibugyo"/>
    <s v="UGA"/>
    <n v="2"/>
    <s v="Work"/>
    <x v="24"/>
    <n v="13000"/>
    <n v="126"/>
    <x v="2"/>
    <n v="5"/>
    <x v="2"/>
    <n v="6"/>
    <s v="Businessman"/>
    <n v="2"/>
    <x v="3"/>
    <n v="1"/>
    <n v="2"/>
    <n v="4"/>
    <n v="3"/>
    <n v="5"/>
    <s v="Y"/>
    <m/>
    <x v="3"/>
  </r>
  <r>
    <d v="2019-10-22T00:00:00"/>
    <d v="1899-12-30T08:57:00"/>
    <m/>
    <s v="P"/>
    <n v="2"/>
    <s v="Road Vehicle"/>
    <n v="4"/>
    <x v="3"/>
    <x v="0"/>
    <n v="2"/>
    <x v="1"/>
    <s v="Muhokya"/>
    <s v="Kasese"/>
    <s v="UGA"/>
    <n v="1"/>
    <s v="Home"/>
    <s v="Bundibugyo"/>
    <s v="Bundibugyo"/>
    <s v="UGA"/>
    <n v="2"/>
    <s v="Work"/>
    <x v="1"/>
    <n v="10000"/>
    <m/>
    <x v="0"/>
    <n v="4"/>
    <x v="2"/>
    <n v="6"/>
    <s v="Businessman"/>
    <n v="2"/>
    <x v="3"/>
    <n v="2"/>
    <n v="1"/>
    <n v="5"/>
    <n v="3"/>
    <n v="4"/>
    <s v="Y"/>
    <n v="1500"/>
    <x v="4"/>
  </r>
  <r>
    <d v="2019-10-22T00:00:00"/>
    <d v="1899-12-30T09:40:00"/>
    <m/>
    <s v="P"/>
    <n v="2"/>
    <s v="Road Vehicle"/>
    <n v="4"/>
    <x v="3"/>
    <x v="0"/>
    <n v="2"/>
    <x v="1"/>
    <s v="Kazinga channel"/>
    <s v="Kasese"/>
    <s v="UGA"/>
    <n v="2"/>
    <s v="Work"/>
    <s v="Kazinga channel"/>
    <s v="kasese"/>
    <s v="UGA"/>
    <n v="1"/>
    <s v="Home"/>
    <x v="4"/>
    <n v="3000"/>
    <n v="15"/>
    <x v="6"/>
    <n v="0.3"/>
    <x v="3"/>
    <n v="6"/>
    <s v="Businessman"/>
    <n v="2"/>
    <x v="3"/>
    <n v="5"/>
    <n v="1"/>
    <n v="3"/>
    <n v="2"/>
    <n v="4"/>
    <s v="Y"/>
    <n v="2000"/>
    <x v="1"/>
  </r>
  <r>
    <d v="2019-10-22T00:00:00"/>
    <d v="1899-12-30T09:47:00"/>
    <m/>
    <s v="P"/>
    <n v="2"/>
    <s v="Road Vehicle"/>
    <n v="4"/>
    <x v="3"/>
    <x v="0"/>
    <n v="2"/>
    <x v="1"/>
    <s v="Kasese"/>
    <s v="Kasese"/>
    <s v="UGA"/>
    <n v="4"/>
    <s v="Commercial"/>
    <s v="Fortportal"/>
    <s v="Fortportal"/>
    <s v="UGA"/>
    <n v="4"/>
    <s v="Commercial"/>
    <x v="18"/>
    <n v="5000"/>
    <n v="29"/>
    <x v="4"/>
    <n v="0.83"/>
    <x v="4"/>
    <n v="6"/>
    <s v="Businessman"/>
    <n v="2"/>
    <x v="3"/>
    <n v="4"/>
    <n v="1"/>
    <n v="3"/>
    <n v="2"/>
    <n v="5"/>
    <s v="Y"/>
    <m/>
    <x v="3"/>
  </r>
  <r>
    <d v="2019-10-22T00:00:00"/>
    <d v="1899-12-30T09:52:00"/>
    <m/>
    <s v="P"/>
    <n v="2"/>
    <s v="Road Vehicle"/>
    <n v="4"/>
    <x v="3"/>
    <x v="0"/>
    <n v="2"/>
    <x v="1"/>
    <s v="Bwera"/>
    <s v="Kasese"/>
    <s v="UGA"/>
    <n v="1"/>
    <s v="Home"/>
    <s v="Rwimi"/>
    <s v="Bunyangabo"/>
    <s v="UGA"/>
    <n v="4"/>
    <s v="Commercial"/>
    <x v="0"/>
    <n v="5000"/>
    <n v="50"/>
    <x v="5"/>
    <n v="1.5"/>
    <x v="1"/>
    <n v="6"/>
    <s v="Businessman"/>
    <n v="2"/>
    <x v="3"/>
    <n v="1"/>
    <n v="5"/>
    <n v="4"/>
    <n v="2"/>
    <n v="3"/>
    <s v="Y"/>
    <n v="2000"/>
    <x v="1"/>
  </r>
  <r>
    <d v="2019-10-22T00:00:00"/>
    <d v="1899-12-30T10:08:00"/>
    <m/>
    <s v="P"/>
    <n v="2"/>
    <s v="Road Vehicle"/>
    <n v="4"/>
    <x v="3"/>
    <x v="0"/>
    <n v="2"/>
    <x v="1"/>
    <s v="kasitomu"/>
    <s v="Kasese"/>
    <s v="UGA"/>
    <n v="1"/>
    <s v="Home"/>
    <s v="Fortportal"/>
    <s v="Fortportal"/>
    <s v="UGA"/>
    <n v="4"/>
    <s v="Commercial"/>
    <x v="0"/>
    <n v="8000"/>
    <n v="56"/>
    <x v="5"/>
    <n v="2"/>
    <x v="0"/>
    <n v="6"/>
    <s v="Businessman"/>
    <n v="2"/>
    <x v="3"/>
    <n v="2"/>
    <n v="1"/>
    <n v="4"/>
    <n v="3"/>
    <n v="5"/>
    <s v="Y"/>
    <m/>
    <x v="3"/>
  </r>
  <r>
    <d v="2019-10-22T00:00:00"/>
    <d v="1899-12-30T10:28:00"/>
    <m/>
    <s v="P"/>
    <n v="2"/>
    <s v="Road Vehicle"/>
    <n v="4"/>
    <x v="3"/>
    <x v="0"/>
    <n v="2"/>
    <x v="1"/>
    <s v="Kikonjo"/>
    <s v="Kasese"/>
    <s v="UGA"/>
    <n v="1"/>
    <s v="Home"/>
    <s v="ishaka"/>
    <s v="kasese"/>
    <s v="UGA"/>
    <n v="4"/>
    <s v="Commercial"/>
    <x v="0"/>
    <n v="8000"/>
    <n v="96"/>
    <x v="1"/>
    <n v="3"/>
    <x v="0"/>
    <n v="6"/>
    <s v="Businessman"/>
    <n v="2"/>
    <x v="3"/>
    <n v="2"/>
    <n v="3"/>
    <n v="4"/>
    <n v="1"/>
    <n v="5"/>
    <s v="Y"/>
    <n v="2000"/>
    <x v="1"/>
  </r>
  <r>
    <d v="2019-10-22T00:00:00"/>
    <d v="1899-12-30T10:25:00"/>
    <m/>
    <s v="P"/>
    <n v="2"/>
    <s v="Road Vehicle"/>
    <n v="4"/>
    <x v="3"/>
    <x v="0"/>
    <n v="2"/>
    <x v="1"/>
    <s v="muvuko"/>
    <s v="Kasese"/>
    <s v="UGA"/>
    <n v="1"/>
    <s v="Home"/>
    <s v="ishaka"/>
    <s v="kasese"/>
    <s v="UGA"/>
    <n v="4"/>
    <s v="Commercial"/>
    <x v="0"/>
    <n v="10000"/>
    <n v="97"/>
    <x v="1"/>
    <n v="3"/>
    <x v="0"/>
    <n v="6"/>
    <s v="Businessman"/>
    <n v="1"/>
    <x v="2"/>
    <n v="3"/>
    <n v="4"/>
    <n v="2"/>
    <n v="1"/>
    <n v="5"/>
    <s v="Y"/>
    <n v="1000"/>
    <x v="4"/>
  </r>
  <r>
    <d v="2019-10-22T00:00:00"/>
    <d v="1899-12-30T10:30:00"/>
    <m/>
    <s v="P"/>
    <n v="2"/>
    <s v="Road Vehicle"/>
    <n v="4"/>
    <x v="3"/>
    <x v="0"/>
    <n v="2"/>
    <x v="1"/>
    <s v="Bwera"/>
    <s v="Kasese"/>
    <s v="UGA"/>
    <n v="1"/>
    <s v="Home"/>
    <s v="kasese"/>
    <s v="kasese"/>
    <s v="UGA"/>
    <n v="4"/>
    <s v="Commercial"/>
    <x v="0"/>
    <n v="9000"/>
    <n v="60"/>
    <x v="5"/>
    <n v="2"/>
    <x v="0"/>
    <n v="6"/>
    <s v="Businessman"/>
    <n v="1"/>
    <x v="2"/>
    <n v="1"/>
    <n v="2"/>
    <n v="3"/>
    <n v="5"/>
    <n v="4"/>
    <s v="Y"/>
    <n v="1000"/>
    <x v="4"/>
  </r>
  <r>
    <d v="2019-10-22T00:00:00"/>
    <d v="1899-12-30T11:15:00"/>
    <m/>
    <s v="P"/>
    <n v="2"/>
    <s v="Road Vehicle"/>
    <n v="4"/>
    <x v="3"/>
    <x v="0"/>
    <n v="2"/>
    <x v="1"/>
    <s v="Muhokya"/>
    <s v="Kasese"/>
    <s v="UGA"/>
    <n v="1"/>
    <s v="Home"/>
    <s v="Hima"/>
    <s v="kasese"/>
    <s v="UGA"/>
    <n v="4"/>
    <s v="Commercial"/>
    <x v="0"/>
    <n v="5000"/>
    <n v="25"/>
    <x v="4"/>
    <n v="1"/>
    <x v="1"/>
    <n v="5"/>
    <s v="Professional"/>
    <n v="2"/>
    <x v="3"/>
    <n v="3"/>
    <n v="2"/>
    <n v="5"/>
    <n v="1"/>
    <n v="4"/>
    <s v="Y"/>
    <n v="1000"/>
    <x v="4"/>
  </r>
  <r>
    <d v="2019-10-22T00:00:00"/>
    <d v="1899-12-30T11:56:00"/>
    <m/>
    <s v="P"/>
    <n v="2"/>
    <s v="Road Vehicle"/>
    <n v="4"/>
    <x v="3"/>
    <x v="0"/>
    <n v="2"/>
    <x v="1"/>
    <s v="Kisanyalaze"/>
    <s v="Kasese"/>
    <s v="UGA"/>
    <n v="1"/>
    <s v="Home"/>
    <s v="Kisoga"/>
    <s v="Mpigi"/>
    <s v="UGA"/>
    <n v="4"/>
    <s v="Commercial"/>
    <x v="0"/>
    <n v="20000"/>
    <n v="186"/>
    <x v="2"/>
    <n v="5"/>
    <x v="2"/>
    <n v="6"/>
    <s v="Businessman"/>
    <n v="2"/>
    <x v="3"/>
    <n v="1"/>
    <n v="2"/>
    <n v="4"/>
    <n v="3"/>
    <n v="5"/>
    <s v="Y"/>
    <m/>
    <x v="3"/>
  </r>
  <r>
    <d v="2019-10-22T00:00:00"/>
    <d v="1899-12-30T11:46:00"/>
    <m/>
    <s v="P"/>
    <n v="2"/>
    <s v="Road Vehicle"/>
    <n v="4"/>
    <x v="3"/>
    <x v="0"/>
    <n v="2"/>
    <x v="1"/>
    <s v="Kitalikibi"/>
    <s v="Kasese"/>
    <s v="UGA"/>
    <n v="1"/>
    <s v="Home"/>
    <s v="Fortportal"/>
    <s v="Fortportal"/>
    <s v="UGA"/>
    <n v="4"/>
    <s v="Commercial"/>
    <x v="0"/>
    <n v="5000"/>
    <n v="56"/>
    <x v="5"/>
    <n v="1"/>
    <x v="1"/>
    <n v="6"/>
    <s v="Businessman"/>
    <n v="1"/>
    <x v="2"/>
    <n v="4"/>
    <n v="1"/>
    <n v="5"/>
    <n v="2"/>
    <n v="3"/>
    <s v="Y"/>
    <n v="1000"/>
    <x v="4"/>
  </r>
  <r>
    <d v="2019-10-22T00:00:00"/>
    <d v="1899-12-30T12:32:00"/>
    <m/>
    <s v="P"/>
    <n v="2"/>
    <s v="Road Vehicle"/>
    <n v="4"/>
    <x v="3"/>
    <x v="0"/>
    <n v="2"/>
    <x v="1"/>
    <s v="kibito"/>
    <s v="Kasese"/>
    <s v="UGA"/>
    <n v="1"/>
    <s v="Home"/>
    <s v="masaka"/>
    <s v="masaka"/>
    <s v="UGA"/>
    <n v="4"/>
    <s v="Commercial"/>
    <x v="0"/>
    <n v="20000"/>
    <m/>
    <x v="0"/>
    <n v="6"/>
    <x v="2"/>
    <n v="3"/>
    <s v="Artisan/Domestic"/>
    <n v="3"/>
    <x v="1"/>
    <n v="2"/>
    <n v="4"/>
    <n v="5"/>
    <n v="1"/>
    <n v="3"/>
    <s v="Y"/>
    <m/>
    <x v="3"/>
  </r>
  <r>
    <d v="2019-10-22T00:00:00"/>
    <d v="1899-12-30T12:12:00"/>
    <m/>
    <s v="P"/>
    <n v="2"/>
    <s v="Road Vehicle"/>
    <n v="4"/>
    <x v="3"/>
    <x v="0"/>
    <n v="2"/>
    <x v="1"/>
    <s v="Kisanyalaze"/>
    <s v="Kasese"/>
    <s v="UGA"/>
    <n v="1"/>
    <s v="Home"/>
    <s v="Mbarara"/>
    <s v="Mbarara"/>
    <s v="UGA"/>
    <n v="4"/>
    <s v="Commercial"/>
    <x v="0"/>
    <n v="15000"/>
    <m/>
    <x v="0"/>
    <n v="5"/>
    <x v="2"/>
    <n v="7"/>
    <s v="Farmer"/>
    <n v="1"/>
    <x v="2"/>
    <n v="3"/>
    <n v="1"/>
    <n v="4"/>
    <n v="2"/>
    <n v="5"/>
    <s v="Y"/>
    <m/>
    <x v="3"/>
  </r>
  <r>
    <d v="2019-10-22T00:00:00"/>
    <d v="1899-12-30T12:25:00"/>
    <m/>
    <s v="P"/>
    <n v="2"/>
    <s v="Road Vehicle"/>
    <n v="4"/>
    <x v="3"/>
    <x v="0"/>
    <n v="2"/>
    <x v="1"/>
    <s v="Bwera"/>
    <s v="Kasese"/>
    <s v="UGA"/>
    <n v="1"/>
    <s v="Home"/>
    <s v="lyatonde"/>
    <s v="lyatonde"/>
    <s v="UGA"/>
    <n v="4"/>
    <s v="Commercial"/>
    <x v="0"/>
    <n v="16000"/>
    <m/>
    <x v="0"/>
    <n v="6"/>
    <x v="2"/>
    <n v="7"/>
    <s v="Farmer"/>
    <n v="2"/>
    <x v="3"/>
    <n v="2"/>
    <n v="4"/>
    <n v="5"/>
    <n v="1"/>
    <n v="3"/>
    <s v="Y"/>
    <m/>
    <x v="3"/>
  </r>
  <r>
    <d v="2019-10-22T00:00:00"/>
    <d v="1899-12-30T01:05:00"/>
    <m/>
    <s v="P"/>
    <n v="2"/>
    <s v="Road Vehicle"/>
    <n v="4"/>
    <x v="3"/>
    <x v="0"/>
    <n v="2"/>
    <x v="1"/>
    <s v="Muhokya"/>
    <s v="Kasese"/>
    <s v="UGA"/>
    <n v="1"/>
    <s v="Home"/>
    <s v="Bundibugyo"/>
    <s v="Bundibugyo"/>
    <s v="UGA"/>
    <n v="4"/>
    <s v="Commercial"/>
    <x v="0"/>
    <n v="9000"/>
    <n v="58"/>
    <x v="5"/>
    <n v="2"/>
    <x v="0"/>
    <n v="6"/>
    <s v="Businessman"/>
    <n v="1"/>
    <x v="2"/>
    <n v="2"/>
    <n v="1"/>
    <n v="3"/>
    <n v="4"/>
    <n v="5"/>
    <s v="Y"/>
    <m/>
    <x v="3"/>
  </r>
  <r>
    <d v="2019-10-22T00:00:00"/>
    <d v="1899-12-30T12:59:00"/>
    <m/>
    <s v="P"/>
    <n v="2"/>
    <s v="Road Vehicle"/>
    <n v="4"/>
    <x v="3"/>
    <x v="0"/>
    <n v="2"/>
    <x v="1"/>
    <s v="Kiryandongo"/>
    <s v="kiryandongo"/>
    <s v="UGA"/>
    <n v="1"/>
    <s v="Home"/>
    <s v="kasese"/>
    <s v="kasese"/>
    <s v="UGA"/>
    <n v="4"/>
    <s v="Commercial"/>
    <x v="0"/>
    <n v="17000"/>
    <m/>
    <x v="0"/>
    <n v="4.5"/>
    <x v="2"/>
    <n v="3"/>
    <s v="Artisan/Domestic"/>
    <n v="1"/>
    <x v="2"/>
    <n v="1"/>
    <n v="2"/>
    <n v="3"/>
    <n v="4"/>
    <n v="5"/>
    <s v="Y"/>
    <m/>
    <x v="3"/>
  </r>
  <r>
    <d v="2019-10-22T00:00:00"/>
    <d v="1899-12-30T05:55:00"/>
    <m/>
    <s v="P"/>
    <n v="2"/>
    <s v="Road Vehicle"/>
    <n v="4"/>
    <x v="3"/>
    <x v="0"/>
    <n v="2"/>
    <x v="1"/>
    <s v="Rubona "/>
    <s v="Bunyangabo"/>
    <s v="UGA"/>
    <n v="1"/>
    <s v="Home"/>
    <s v="kazinga"/>
    <s v="kasese"/>
    <s v="UGA"/>
    <n v="2"/>
    <s v="Work"/>
    <x v="1"/>
    <n v="4000"/>
    <n v="22"/>
    <x v="4"/>
    <n v="0.16666600000000001"/>
    <x v="3"/>
    <n v="5"/>
    <s v="Professional"/>
    <n v="2"/>
    <x v="3"/>
    <n v="1"/>
    <n v="2"/>
    <n v="3"/>
    <n v="4"/>
    <n v="5"/>
    <s v="Y"/>
    <n v="1000"/>
    <x v="4"/>
  </r>
  <r>
    <d v="2019-10-23T00:00:00"/>
    <d v="1899-12-30T11:29:00"/>
    <m/>
    <s v="D"/>
    <n v="2"/>
    <s v="Road Vehicle"/>
    <n v="4"/>
    <x v="3"/>
    <x v="0"/>
    <n v="2"/>
    <x v="1"/>
    <s v="Ishaka"/>
    <s v="Kasese"/>
    <s v="UGA"/>
    <n v="2"/>
    <s v="Work"/>
    <s v="Fortportal"/>
    <s v="Fortportal"/>
    <s v="UGA"/>
    <n v="2"/>
    <s v="Work"/>
    <x v="2"/>
    <n v="30000"/>
    <n v="98"/>
    <x v="1"/>
    <n v="3.5"/>
    <x v="2"/>
    <n v="2"/>
    <s v="Manual Labour"/>
    <n v="1"/>
    <x v="2"/>
    <n v="1"/>
    <n v="2"/>
    <n v="5"/>
    <n v="4"/>
    <n v="3"/>
    <s v="Y"/>
    <n v="1000"/>
    <x v="4"/>
  </r>
  <r>
    <d v="2019-10-23T00:00:00"/>
    <d v="1899-12-30T03:39:00"/>
    <m/>
    <s v="D"/>
    <n v="2"/>
    <s v="Road Vehicle"/>
    <n v="4"/>
    <x v="3"/>
    <x v="0"/>
    <n v="2"/>
    <x v="1"/>
    <s v="muvuko"/>
    <s v="Kasese"/>
    <s v="UGA"/>
    <n v="2"/>
    <s v="Work"/>
    <s v="muhokya"/>
    <s v="kasese"/>
    <s v="UGA"/>
    <n v="2"/>
    <s v="Work"/>
    <x v="2"/>
    <n v="20000"/>
    <n v="45"/>
    <x v="5"/>
    <n v="0.66600000000000004"/>
    <x v="4"/>
    <n v="2"/>
    <s v="Manual Labour"/>
    <n v="1"/>
    <x v="2"/>
    <n v="1"/>
    <n v="2"/>
    <n v="5"/>
    <n v="3"/>
    <n v="4"/>
    <s v="Y"/>
    <n v="1000"/>
    <x v="4"/>
  </r>
  <r>
    <d v="2019-10-23T00:00:00"/>
    <d v="1899-12-30T04:15:00"/>
    <m/>
    <s v="D"/>
    <n v="2"/>
    <s v="Road Vehicle"/>
    <n v="4"/>
    <x v="3"/>
    <x v="0"/>
    <n v="2"/>
    <x v="1"/>
    <s v="Kasese taxi park"/>
    <s v="Kasese"/>
    <s v="UGA"/>
    <n v="2"/>
    <s v="Work"/>
    <s v="kyarumba"/>
    <s v="kasese"/>
    <s v="UGA"/>
    <n v="2"/>
    <s v="Work"/>
    <x v="2"/>
    <n v="20000"/>
    <n v="12"/>
    <x v="6"/>
    <n v="0.16666"/>
    <x v="3"/>
    <n v="2"/>
    <s v="Manual Labour"/>
    <n v="1"/>
    <x v="2"/>
    <n v="5"/>
    <n v="1"/>
    <n v="3"/>
    <n v="2"/>
    <n v="4"/>
    <s v="Y"/>
    <n v="1000"/>
    <x v="4"/>
  </r>
  <r>
    <d v="2019-10-23T00:00:00"/>
    <d v="1899-12-30T01:32:00"/>
    <m/>
    <s v="P"/>
    <n v="2"/>
    <s v="Road Vehicle"/>
    <n v="4"/>
    <x v="3"/>
    <x v="0"/>
    <n v="2"/>
    <x v="1"/>
    <s v="Kalambi"/>
    <s v="fortportal"/>
    <s v="UGA"/>
    <n v="6"/>
    <s v="Leisure/Social"/>
    <s v="nyaruzigati"/>
    <s v="kasese"/>
    <s v="UGA"/>
    <n v="1"/>
    <s v="Home"/>
    <x v="10"/>
    <n v="10000"/>
    <m/>
    <x v="0"/>
    <n v="3"/>
    <x v="0"/>
    <n v="1"/>
    <s v="Unemployed"/>
    <n v="1"/>
    <x v="2"/>
    <n v="2"/>
    <n v="3"/>
    <n v="4"/>
    <n v="1"/>
    <n v="5"/>
    <s v="Y"/>
    <m/>
    <x v="3"/>
  </r>
  <r>
    <d v="2019-10-23T00:00:00"/>
    <d v="1899-12-30T06:38:00"/>
    <m/>
    <s v="P"/>
    <n v="2"/>
    <s v="Road Vehicle"/>
    <n v="4"/>
    <x v="3"/>
    <x v="0"/>
    <n v="2"/>
    <x v="1"/>
    <s v="katwe subcounty"/>
    <s v="Kasese"/>
    <s v="UGA"/>
    <n v="6"/>
    <s v="Leisure/Social"/>
    <s v="rugombe"/>
    <s v="kyenjojo"/>
    <s v="UGA"/>
    <n v="1"/>
    <s v="Home"/>
    <x v="10"/>
    <n v="11000"/>
    <m/>
    <x v="0"/>
    <n v="4"/>
    <x v="2"/>
    <n v="2"/>
    <s v="Manual Labour"/>
    <n v="1"/>
    <x v="2"/>
    <n v="5"/>
    <n v="4"/>
    <n v="2"/>
    <n v="3"/>
    <n v="1"/>
    <s v="Y"/>
    <n v="200"/>
    <x v="3"/>
  </r>
  <r>
    <d v="2019-10-23T00:00:00"/>
    <d v="1899-12-30T06:00:00"/>
    <m/>
    <s v="P"/>
    <n v="2"/>
    <s v="Road Vehicle"/>
    <n v="4"/>
    <x v="3"/>
    <x v="0"/>
    <n v="2"/>
    <x v="1"/>
    <s v="Ishaka"/>
    <s v="bushenyi"/>
    <s v="UGA"/>
    <n v="2"/>
    <s v="Work"/>
    <s v="nyaruzigati"/>
    <s v="kasese"/>
    <s v="UGA"/>
    <n v="6"/>
    <s v="Leisure/Social"/>
    <x v="5"/>
    <n v="13000"/>
    <m/>
    <x v="0"/>
    <n v="3"/>
    <x v="0"/>
    <n v="6"/>
    <s v="Businessman"/>
    <n v="1"/>
    <x v="2"/>
    <n v="5"/>
    <n v="3"/>
    <n v="1"/>
    <n v="4"/>
    <n v="2"/>
    <s v="Y"/>
    <n v="50"/>
    <x v="3"/>
  </r>
  <r>
    <d v="2019-10-23T00:00:00"/>
    <d v="1899-12-30T05:28:00"/>
    <m/>
    <s v="P"/>
    <n v="2"/>
    <s v="Road Vehicle"/>
    <n v="4"/>
    <x v="3"/>
    <x v="0"/>
    <n v="2"/>
    <x v="1"/>
    <s v="ruhumuro"/>
    <s v="bushenyi"/>
    <s v="UGA"/>
    <n v="6"/>
    <s v="Leisure/Social"/>
    <s v="basecamp"/>
    <s v="kasese"/>
    <s v="UGA"/>
    <n v="1"/>
    <s v="Home"/>
    <x v="10"/>
    <n v="10000"/>
    <m/>
    <x v="0"/>
    <n v="2.5"/>
    <x v="0"/>
    <n v="2"/>
    <s v="Manual Labour"/>
    <n v="1"/>
    <x v="2"/>
    <n v="4"/>
    <n v="3"/>
    <n v="2"/>
    <n v="1"/>
    <n v="5"/>
    <s v="Y"/>
    <n v="100"/>
    <x v="3"/>
  </r>
  <r>
    <d v="2019-10-23T00:00:00"/>
    <m/>
    <m/>
    <s v="P"/>
    <n v="2"/>
    <s v="Road Vehicle"/>
    <n v="4"/>
    <x v="3"/>
    <x v="0"/>
    <n v="2"/>
    <x v="1"/>
    <s v="Base camp"/>
    <s v="Kasese"/>
    <s v="UGA"/>
    <n v="5"/>
    <s v="Tourism"/>
    <s v="Town centre"/>
    <s v="mityana"/>
    <s v="UGA"/>
    <n v="1"/>
    <s v="Home"/>
    <x v="28"/>
    <n v="20000"/>
    <m/>
    <x v="0"/>
    <n v="6"/>
    <x v="2"/>
    <n v="5"/>
    <s v="Professional"/>
    <n v="3"/>
    <x v="1"/>
    <n v="4"/>
    <n v="1"/>
    <n v="3"/>
    <n v="5"/>
    <n v="2"/>
    <s v="Y"/>
    <s v="200-500"/>
    <x v="5"/>
  </r>
  <r>
    <d v="2019-10-23T00:00:00"/>
    <d v="1899-12-30T03:09:00"/>
    <m/>
    <s v="P"/>
    <n v="2"/>
    <s v="Road Vehicle"/>
    <n v="4"/>
    <x v="3"/>
    <x v="0"/>
    <n v="2"/>
    <x v="1"/>
    <s v="Kisinga"/>
    <s v="Kasese"/>
    <s v="UGA"/>
    <n v="5"/>
    <s v="Tourism"/>
    <s v="mpondwe"/>
    <s v="kasese"/>
    <s v="UGA"/>
    <n v="1"/>
    <s v="Home"/>
    <x v="28"/>
    <n v="13000"/>
    <m/>
    <x v="0"/>
    <n v="2.5"/>
    <x v="0"/>
    <n v="5"/>
    <s v="Professional"/>
    <n v="2"/>
    <x v="3"/>
    <n v="5"/>
    <n v="1"/>
    <n v="3"/>
    <n v="4"/>
    <n v="2"/>
    <s v="Y"/>
    <n v="1000"/>
    <x v="4"/>
  </r>
  <r>
    <d v="2019-10-23T00:00:00"/>
    <d v="1899-12-30T03:36:00"/>
    <m/>
    <s v="P"/>
    <n v="2"/>
    <s v="Road Vehicle"/>
    <n v="4"/>
    <x v="3"/>
    <x v="0"/>
    <n v="2"/>
    <x v="1"/>
    <s v="Towncenter"/>
    <s v="Kasese"/>
    <s v="UGA"/>
    <n v="8"/>
    <s v="Others"/>
    <s v="kyarumba"/>
    <s v="kyarumba"/>
    <s v="UGA"/>
    <n v="1"/>
    <s v="Home"/>
    <x v="12"/>
    <n v="8000"/>
    <m/>
    <x v="0"/>
    <n v="2"/>
    <x v="0"/>
    <n v="6"/>
    <s v="Businessman"/>
    <n v="2"/>
    <x v="3"/>
    <n v="2"/>
    <n v="4"/>
    <n v="5"/>
    <n v="1"/>
    <n v="3"/>
    <s v="Y"/>
    <n v="2000"/>
    <x v="1"/>
  </r>
  <r>
    <d v="2019-10-23T00:00:00"/>
    <d v="1899-12-30T10:16:00"/>
    <m/>
    <s v="P"/>
    <n v="2"/>
    <s v="Road Vehicle"/>
    <n v="4"/>
    <x v="3"/>
    <x v="0"/>
    <n v="2"/>
    <x v="1"/>
    <s v="Bwera"/>
    <s v="Kasese"/>
    <s v="UGA"/>
    <n v="2"/>
    <s v="Work"/>
    <s v="rwenzori"/>
    <s v="kasese"/>
    <s v="UGA"/>
    <n v="1"/>
    <s v="Home"/>
    <x v="4"/>
    <n v="3000"/>
    <m/>
    <x v="0"/>
    <n v="1"/>
    <x v="1"/>
    <n v="6"/>
    <s v="Businessman"/>
    <n v="1"/>
    <x v="2"/>
    <n v="5"/>
    <n v="1"/>
    <n v="3"/>
    <n v="2"/>
    <n v="4"/>
    <s v="Y"/>
    <n v="300"/>
    <x v="3"/>
  </r>
  <r>
    <d v="2019-10-21T00:00:00"/>
    <d v="1899-12-30T01:20:00"/>
    <m/>
    <s v="P"/>
    <n v="2"/>
    <s v="Road Vehicle"/>
    <n v="4"/>
    <x v="3"/>
    <x v="0"/>
    <n v="2"/>
    <x v="1"/>
    <m/>
    <m/>
    <s v="UGA"/>
    <n v="1"/>
    <s v="Home"/>
    <m/>
    <m/>
    <s v="UGA"/>
    <n v="2"/>
    <s v="Work"/>
    <x v="1"/>
    <m/>
    <m/>
    <x v="0"/>
    <m/>
    <x v="3"/>
    <n v="3"/>
    <s v="Artisan/Domestic"/>
    <n v="2"/>
    <x v="3"/>
    <m/>
    <m/>
    <m/>
    <m/>
    <m/>
    <m/>
    <m/>
    <x v="3"/>
  </r>
  <r>
    <d v="2019-10-22T00:00:00"/>
    <d v="1899-12-30T11:40:00"/>
    <m/>
    <s v="P"/>
    <n v="2"/>
    <s v="Road Vehicle"/>
    <n v="4"/>
    <x v="3"/>
    <x v="0"/>
    <n v="2"/>
    <x v="1"/>
    <s v="Kisanyalaze"/>
    <s v="Kasese"/>
    <s v="UGA"/>
    <n v="1"/>
    <s v="Home"/>
    <s v="ishaka"/>
    <s v="kasese"/>
    <s v="UGA"/>
    <n v="4"/>
    <s v="Commercial"/>
    <x v="0"/>
    <n v="8000"/>
    <n v="95"/>
    <x v="1"/>
    <n v="2"/>
    <x v="0"/>
    <n v="6"/>
    <s v="Businessman"/>
    <n v="2"/>
    <x v="3"/>
    <n v="2"/>
    <n v="3"/>
    <n v="4"/>
    <n v="1"/>
    <n v="5"/>
    <s v="Y"/>
    <n v="1000"/>
    <x v="4"/>
  </r>
  <r>
    <d v="2019-10-23T00:00:00"/>
    <m/>
    <m/>
    <s v="D"/>
    <n v="2"/>
    <s v="Road Vehicle"/>
    <n v="2"/>
    <x v="6"/>
    <x v="1"/>
    <n v="2"/>
    <x v="1"/>
    <s v="town"/>
    <s v="Kasese"/>
    <s v="UGA"/>
    <n v="1"/>
    <s v="Home"/>
    <s v="lubona"/>
    <s v="Fortportal"/>
    <s v="UGA"/>
    <n v="6"/>
    <s v="Leisure/Social"/>
    <x v="8"/>
    <n v="80000"/>
    <n v="74"/>
    <x v="1"/>
    <n v="2"/>
    <x v="0"/>
    <n v="6"/>
    <s v="Businessman"/>
    <n v="2"/>
    <x v="3"/>
    <n v="3"/>
    <n v="1"/>
    <n v="4"/>
    <n v="2"/>
    <n v="5"/>
    <s v="Y"/>
    <s v="500-1000"/>
    <x v="5"/>
  </r>
  <r>
    <d v="2019-10-21T00:00:00"/>
    <d v="1899-12-30T11:42:00"/>
    <m/>
    <s v="D"/>
    <n v="2"/>
    <s v="Road Vehicle"/>
    <n v="2"/>
    <x v="6"/>
    <x v="0"/>
    <n v="2"/>
    <x v="1"/>
    <s v="katwe subcounty"/>
    <s v="Kasese"/>
    <s v="UGA"/>
    <n v="2"/>
    <s v="Work"/>
    <s v="Bwera"/>
    <s v="kasese"/>
    <s v="UGA"/>
    <n v="8"/>
    <s v="Others"/>
    <x v="19"/>
    <n v="60000"/>
    <n v="100"/>
    <x v="2"/>
    <n v="1.5"/>
    <x v="1"/>
    <n v="6"/>
    <s v="Businessman"/>
    <n v="3"/>
    <x v="1"/>
    <n v="1"/>
    <n v="4"/>
    <n v="2"/>
    <n v="3"/>
    <n v="5"/>
    <s v="Y"/>
    <n v="2000"/>
    <x v="1"/>
  </r>
  <r>
    <d v="2019-10-21T00:00:00"/>
    <d v="1899-12-30T11:19:00"/>
    <m/>
    <s v="P"/>
    <n v="2"/>
    <s v="Road Vehicle"/>
    <n v="2"/>
    <x v="6"/>
    <x v="0"/>
    <n v="2"/>
    <x v="1"/>
    <s v="Kaziini camp"/>
    <s v="Kasese"/>
    <s v="UGA"/>
    <n v="4"/>
    <s v="Commercial"/>
    <s v="Fortportal"/>
    <s v="Fortportal"/>
    <s v="UGA"/>
    <n v="4"/>
    <s v="Commercial"/>
    <x v="18"/>
    <n v="50000"/>
    <n v="30"/>
    <x v="4"/>
    <n v="0.33"/>
    <x v="3"/>
    <n v="5"/>
    <s v="Professional"/>
    <n v="3"/>
    <x v="1"/>
    <n v="1"/>
    <n v="5"/>
    <n v="3"/>
    <n v="2"/>
    <n v="4"/>
    <s v="Y"/>
    <n v="1000"/>
    <x v="4"/>
  </r>
  <r>
    <d v="2019-10-21T00:00:00"/>
    <d v="1899-12-30T10:50:00"/>
    <m/>
    <s v="P"/>
    <n v="2"/>
    <s v="Road Vehicle"/>
    <n v="2"/>
    <x v="6"/>
    <x v="0"/>
    <n v="2"/>
    <x v="1"/>
    <s v="Konjo"/>
    <s v="Kasese"/>
    <s v="UGA"/>
    <n v="1"/>
    <s v="Home"/>
    <s v="Fortportal"/>
    <s v="Fortportal"/>
    <s v="UGA"/>
    <n v="7"/>
    <s v="Hospital"/>
    <x v="32"/>
    <n v="50000"/>
    <n v="50"/>
    <x v="5"/>
    <n v="0.66659999999999997"/>
    <x v="4"/>
    <n v="5"/>
    <s v="Professional"/>
    <n v="3"/>
    <x v="1"/>
    <n v="1"/>
    <n v="2"/>
    <n v="5"/>
    <n v="3"/>
    <n v="4"/>
    <s v="Y"/>
    <n v="5000"/>
    <x v="2"/>
  </r>
  <r>
    <d v="2019-10-21T00:00:00"/>
    <d v="1899-12-30T10:24:00"/>
    <m/>
    <s v="P"/>
    <n v="2"/>
    <s v="Road Vehicle"/>
    <n v="2"/>
    <x v="6"/>
    <x v="0"/>
    <n v="2"/>
    <x v="1"/>
    <s v="Kibito"/>
    <s v="Bunyangabo"/>
    <s v="UGA"/>
    <n v="4"/>
    <s v="Commercial"/>
    <s v="muhokya"/>
    <s v="Rubirizi"/>
    <s v="UGA"/>
    <n v="2"/>
    <s v="Work"/>
    <x v="24"/>
    <n v="8000"/>
    <m/>
    <x v="0"/>
    <n v="1.5"/>
    <x v="1"/>
    <n v="6"/>
    <s v="Businessman"/>
    <n v="2"/>
    <x v="3"/>
    <n v="2"/>
    <n v="3"/>
    <n v="4"/>
    <n v="1"/>
    <n v="5"/>
    <s v="Y"/>
    <n v="2000"/>
    <x v="1"/>
  </r>
  <r>
    <d v="2019-10-21T00:00:00"/>
    <d v="1899-12-30T10:15:00"/>
    <m/>
    <s v="P"/>
    <n v="2"/>
    <s v="Road Vehicle"/>
    <n v="2"/>
    <x v="6"/>
    <x v="0"/>
    <n v="2"/>
    <x v="1"/>
    <s v="Rwimi"/>
    <s v="Bunyangabo"/>
    <s v="UGA"/>
    <n v="1"/>
    <s v="Home"/>
    <s v="Kazinga channel"/>
    <s v="kasese"/>
    <s v="UGA"/>
    <n v="5"/>
    <s v="Tourism"/>
    <x v="20"/>
    <n v="8000"/>
    <n v="85"/>
    <x v="1"/>
    <n v="1.5"/>
    <x v="1"/>
    <n v="10"/>
    <s v="Other"/>
    <n v="1"/>
    <x v="2"/>
    <n v="5"/>
    <n v="2"/>
    <n v="4"/>
    <n v="1"/>
    <n v="3"/>
    <s v="Y"/>
    <n v="1000"/>
    <x v="4"/>
  </r>
  <r>
    <d v="2019-10-21T00:00:00"/>
    <d v="1899-12-30T11:27:00"/>
    <m/>
    <s v="P"/>
    <n v="2"/>
    <s v="Road Vehicle"/>
    <n v="2"/>
    <x v="6"/>
    <x v="0"/>
    <n v="2"/>
    <x v="1"/>
    <s v="Kisanyalaze"/>
    <s v="Kasese"/>
    <s v="UGA"/>
    <n v="1"/>
    <s v="Home"/>
    <s v="Kazinga channel"/>
    <s v="kasese"/>
    <s v="UGA"/>
    <n v="6"/>
    <s v="Leisure/Social"/>
    <x v="8"/>
    <n v="20000"/>
    <n v="50"/>
    <x v="5"/>
    <n v="0.25"/>
    <x v="3"/>
    <n v="5"/>
    <s v="Professional"/>
    <n v="2"/>
    <x v="3"/>
    <n v="3"/>
    <n v="2"/>
    <n v="4"/>
    <n v="1"/>
    <n v="5"/>
    <s v="Y"/>
    <m/>
    <x v="3"/>
  </r>
  <r>
    <d v="2019-10-22T00:00:00"/>
    <d v="1899-12-30T10:23:00"/>
    <m/>
    <s v="P"/>
    <n v="2"/>
    <s v="Road Vehicle"/>
    <n v="2"/>
    <x v="6"/>
    <x v="0"/>
    <n v="2"/>
    <x v="1"/>
    <s v="Kazinga channel"/>
    <s v="Kasese"/>
    <s v="UGA"/>
    <n v="1"/>
    <s v="Home"/>
    <s v="Kazinga channel"/>
    <s v="kasese"/>
    <s v="UGA"/>
    <n v="2"/>
    <s v="Work"/>
    <x v="1"/>
    <n v="1000"/>
    <n v="28"/>
    <x v="4"/>
    <n v="0.1666"/>
    <x v="3"/>
    <n v="7"/>
    <s v="Farmer"/>
    <n v="3"/>
    <x v="1"/>
    <n v="4"/>
    <n v="5"/>
    <n v="1"/>
    <n v="2"/>
    <n v="3"/>
    <s v="Y"/>
    <m/>
    <x v="3"/>
  </r>
  <r>
    <d v="2019-10-22T00:00:00"/>
    <d v="1899-12-30T04:35:00"/>
    <m/>
    <m/>
    <n v="1"/>
    <s v="Walking/Cycling"/>
    <n v="13"/>
    <x v="5"/>
    <x v="0"/>
    <n v="3"/>
    <x v="2"/>
    <s v="muvuko"/>
    <s v="Kasese"/>
    <s v="UGA"/>
    <n v="2"/>
    <s v="Work"/>
    <s v="kibito"/>
    <s v="Bunyangabo"/>
    <s v="UGA"/>
    <n v="1"/>
    <s v="Home"/>
    <x v="4"/>
    <n v="3000"/>
    <n v="20"/>
    <x v="4"/>
    <n v="0.75"/>
    <x v="4"/>
    <n v="3"/>
    <s v="Artisan/Domestic"/>
    <n v="1"/>
    <x v="2"/>
    <n v="1"/>
    <n v="2"/>
    <n v="5"/>
    <n v="3"/>
    <n v="4"/>
    <s v="Y"/>
    <m/>
    <x v="3"/>
  </r>
  <r>
    <d v="2019-10-22T00:00:00"/>
    <d v="1899-12-30T04:28:00"/>
    <m/>
    <m/>
    <n v="1"/>
    <s v="Walking/Cycling"/>
    <n v="13"/>
    <x v="5"/>
    <x v="0"/>
    <n v="3"/>
    <x v="2"/>
    <s v="Kidoodo"/>
    <s v="Kasese"/>
    <s v="UGA"/>
    <n v="1"/>
    <s v="Home"/>
    <s v="kasese"/>
    <s v="kasese"/>
    <s v="UGA"/>
    <n v="6"/>
    <s v="Leisure/Social"/>
    <x v="8"/>
    <n v="1000"/>
    <m/>
    <x v="0"/>
    <n v="0.1"/>
    <x v="3"/>
    <n v="7"/>
    <s v="Farmer"/>
    <n v="2"/>
    <x v="3"/>
    <n v="3"/>
    <n v="1"/>
    <n v="4"/>
    <n v="2"/>
    <n v="5"/>
    <s v="Y"/>
    <n v="1000"/>
    <x v="4"/>
  </r>
  <r>
    <d v="2019-10-22T00:00:00"/>
    <d v="1899-12-30T02:58:00"/>
    <m/>
    <s v="D"/>
    <n v="1"/>
    <s v="Walking/Cycling"/>
    <n v="13"/>
    <x v="5"/>
    <x v="0"/>
    <n v="3"/>
    <x v="2"/>
    <s v="Hima"/>
    <s v="Kasese"/>
    <s v="UGA"/>
    <n v="2"/>
    <s v="Work"/>
    <s v="Towncentre"/>
    <s v="kasese"/>
    <s v="UGA"/>
    <n v="1"/>
    <s v="Home"/>
    <x v="4"/>
    <n v="10000"/>
    <n v="15"/>
    <x v="6"/>
    <n v="0.33329999999999999"/>
    <x v="3"/>
    <n v="2"/>
    <s v="Manual Labour"/>
    <n v="1"/>
    <x v="2"/>
    <n v="1"/>
    <n v="4"/>
    <n v="3"/>
    <n v="2"/>
    <n v="5"/>
    <s v="Y"/>
    <n v="1000"/>
    <x v="4"/>
  </r>
  <r>
    <d v="2019-10-23T00:00:00"/>
    <d v="1899-12-30T06:29:00"/>
    <m/>
    <s v="P"/>
    <n v="2"/>
    <s v="Road Vehicle"/>
    <n v="1"/>
    <x v="0"/>
    <x v="1"/>
    <n v="3"/>
    <x v="2"/>
    <s v="Bunga"/>
    <s v="KAMPALA"/>
    <s v="UGA"/>
    <n v="1"/>
    <s v="Home"/>
    <s v="kiganda"/>
    <s v="kasese"/>
    <s v="UGA"/>
    <n v="6"/>
    <s v="Leisure/Social"/>
    <x v="8"/>
    <n v="40000"/>
    <m/>
    <x v="0"/>
    <n v="10"/>
    <x v="2"/>
    <n v="5"/>
    <s v="Professional"/>
    <n v="2"/>
    <x v="3"/>
    <n v="3"/>
    <n v="2"/>
    <n v="4"/>
    <n v="1"/>
    <n v="5"/>
    <s v="Y"/>
    <m/>
    <x v="3"/>
  </r>
  <r>
    <d v="2019-10-21T00:00:00"/>
    <d v="1899-12-30T11:09:00"/>
    <m/>
    <s v="D"/>
    <n v="2"/>
    <s v="Road Vehicle"/>
    <n v="1"/>
    <x v="0"/>
    <x v="0"/>
    <n v="3"/>
    <x v="2"/>
    <s v="Bwera"/>
    <s v="Kasese"/>
    <s v="UGA"/>
    <n v="2"/>
    <s v="Work"/>
    <s v="Towncentre"/>
    <s v="Bundibujjo"/>
    <s v="UGA"/>
    <n v="2"/>
    <s v="Work"/>
    <x v="2"/>
    <n v="800000"/>
    <n v="200"/>
    <x v="3"/>
    <n v="5"/>
    <x v="2"/>
    <n v="10"/>
    <s v="Other"/>
    <n v="1"/>
    <x v="2"/>
    <n v="3"/>
    <n v="2"/>
    <n v="4"/>
    <n v="1"/>
    <n v="5"/>
    <s v="Y"/>
    <n v="500"/>
    <x v="3"/>
  </r>
  <r>
    <d v="2019-10-23T00:00:00"/>
    <d v="1899-12-30T06:15:00"/>
    <m/>
    <s v="D"/>
    <n v="2"/>
    <s v="Road Vehicle"/>
    <n v="1"/>
    <x v="0"/>
    <x v="0"/>
    <n v="3"/>
    <x v="2"/>
    <s v="Taxi Park"/>
    <s v="Kasese"/>
    <s v="UGA"/>
    <n v="2"/>
    <s v="Work"/>
    <s v="Towncentre"/>
    <s v="Bundibujjo"/>
    <s v="UGA"/>
    <n v="2"/>
    <s v="Work"/>
    <x v="2"/>
    <m/>
    <n v="160"/>
    <x v="2"/>
    <n v="4"/>
    <x v="2"/>
    <n v="10"/>
    <s v="Other"/>
    <n v="1"/>
    <x v="2"/>
    <n v="4"/>
    <n v="2"/>
    <n v="3"/>
    <n v="4"/>
    <n v="5"/>
    <s v="Y"/>
    <s v="100-500"/>
    <x v="5"/>
  </r>
  <r>
    <d v="2019-10-23T00:00:00"/>
    <m/>
    <m/>
    <s v="P"/>
    <n v="2"/>
    <s v="Road Vehicle"/>
    <n v="1"/>
    <x v="0"/>
    <x v="0"/>
    <n v="3"/>
    <x v="2"/>
    <s v="Taxi Park"/>
    <s v="Kasese"/>
    <s v="UGA"/>
    <n v="2"/>
    <s v="Work"/>
    <s v="Rusharisa"/>
    <s v="mubende"/>
    <s v="UGA"/>
    <n v="1"/>
    <s v="Home"/>
    <x v="4"/>
    <n v="13000"/>
    <m/>
    <x v="0"/>
    <n v="3.5"/>
    <x v="2"/>
    <n v="6"/>
    <s v="Businessman"/>
    <n v="3"/>
    <x v="1"/>
    <n v="4"/>
    <n v="1"/>
    <n v="3"/>
    <n v="2"/>
    <n v="5"/>
    <s v="Y"/>
    <n v="1500"/>
    <x v="4"/>
  </r>
  <r>
    <d v="2019-10-23T00:00:00"/>
    <d v="1899-12-30T09:36:00"/>
    <m/>
    <s v="D"/>
    <n v="2"/>
    <s v="Road Vehicle"/>
    <n v="1"/>
    <x v="0"/>
    <x v="0"/>
    <n v="3"/>
    <x v="2"/>
    <s v="Kilembe"/>
    <s v="Kasese"/>
    <s v="UGA"/>
    <n v="2"/>
    <s v="Work"/>
    <s v="nabingola"/>
    <s v="mubende"/>
    <s v="UGA"/>
    <n v="1"/>
    <s v="Home"/>
    <x v="4"/>
    <n v="98000"/>
    <m/>
    <x v="0"/>
    <n v="4"/>
    <x v="2"/>
    <n v="5"/>
    <s v="Professional"/>
    <n v="4"/>
    <x v="0"/>
    <n v="2"/>
    <n v="5"/>
    <n v="4"/>
    <n v="1"/>
    <n v="3"/>
    <s v="Y"/>
    <n v="5000"/>
    <x v="2"/>
  </r>
  <r>
    <d v="2019-10-23T00:00:00"/>
    <d v="1899-12-30T04:49:00"/>
    <m/>
    <s v="P"/>
    <n v="2"/>
    <s v="Road Vehicle"/>
    <n v="6"/>
    <x v="1"/>
    <x v="1"/>
    <n v="3"/>
    <x v="2"/>
    <s v="Town centre"/>
    <s v="Kasese"/>
    <s v="UGA"/>
    <n v="8"/>
    <s v="Others"/>
    <s v="matiri"/>
    <s v="Kyegegwa"/>
    <s v="UGA"/>
    <n v="1"/>
    <s v="Home"/>
    <x v="12"/>
    <n v="11000"/>
    <m/>
    <x v="0"/>
    <n v="4"/>
    <x v="2"/>
    <n v="1"/>
    <s v="Unemployed"/>
    <n v="1"/>
    <x v="2"/>
    <n v="2"/>
    <n v="3"/>
    <n v="4"/>
    <n v="1"/>
    <n v="5"/>
    <s v="Y"/>
    <n v="1000"/>
    <x v="4"/>
  </r>
  <r>
    <d v="2019-10-21T00:00:00"/>
    <d v="1899-12-30T11:06:00"/>
    <m/>
    <s v="P"/>
    <n v="2"/>
    <s v="Road Vehicle"/>
    <n v="6"/>
    <x v="1"/>
    <x v="0"/>
    <n v="3"/>
    <x v="2"/>
    <s v="Rwenzori int"/>
    <s v="Kasese"/>
    <s v="UGA"/>
    <n v="6"/>
    <s v="Leisure/Social"/>
    <s v="Bombo Rd"/>
    <s v="Kampala"/>
    <s v="UGA"/>
    <n v="1"/>
    <s v="Home"/>
    <x v="10"/>
    <s v="28-30,000"/>
    <m/>
    <x v="0"/>
    <n v="7"/>
    <x v="2"/>
    <n v="6"/>
    <s v="Businessman"/>
    <n v="3"/>
    <x v="1"/>
    <n v="2"/>
    <n v="1"/>
    <n v="4"/>
    <n v="5"/>
    <n v="3"/>
    <s v="Y"/>
    <n v="2000"/>
    <x v="1"/>
  </r>
  <r>
    <d v="2019-10-21T00:00:00"/>
    <d v="1899-12-30T01:26:00"/>
    <m/>
    <s v="P"/>
    <n v="2"/>
    <s v="Road Vehicle"/>
    <n v="6"/>
    <x v="1"/>
    <x v="0"/>
    <n v="3"/>
    <x v="2"/>
    <s v="Mpondwe"/>
    <s v="Kasese"/>
    <s v="UGA"/>
    <n v="6"/>
    <s v="Leisure/Social"/>
    <s v="Muyenga"/>
    <s v="Kampala"/>
    <s v="UGA"/>
    <n v="1"/>
    <s v="Home"/>
    <x v="10"/>
    <n v="35000"/>
    <m/>
    <x v="0"/>
    <n v="10"/>
    <x v="2"/>
    <n v="6"/>
    <s v="Businessman"/>
    <n v="2"/>
    <x v="3"/>
    <n v="5"/>
    <n v="2"/>
    <n v="4"/>
    <n v="1"/>
    <n v="3"/>
    <s v="Y"/>
    <m/>
    <x v="3"/>
  </r>
  <r>
    <d v="2019-10-21T00:00:00"/>
    <d v="1899-12-30T01:46:00"/>
    <m/>
    <s v="D"/>
    <n v="2"/>
    <s v="Road Vehicle"/>
    <n v="6"/>
    <x v="1"/>
    <x v="0"/>
    <n v="3"/>
    <x v="2"/>
    <s v="Bwera"/>
    <s v="Kasese"/>
    <s v="UGA"/>
    <n v="2"/>
    <s v="Work"/>
    <s v="Towncentre"/>
    <s v="kampala"/>
    <s v="UGA"/>
    <n v="2"/>
    <s v="Work"/>
    <x v="2"/>
    <n v="900000"/>
    <n v="430"/>
    <x v="3"/>
    <n v="8.5"/>
    <x v="2"/>
    <n v="10"/>
    <s v="Other"/>
    <n v="4"/>
    <x v="0"/>
    <n v="2"/>
    <n v="3"/>
    <n v="4"/>
    <m/>
    <n v="5"/>
    <s v="Y"/>
    <n v="4000"/>
    <x v="0"/>
  </r>
  <r>
    <d v="2019-10-22T00:00:00"/>
    <d v="1899-12-30T12:08:00"/>
    <m/>
    <s v="P"/>
    <n v="2"/>
    <s v="Road Vehicle"/>
    <n v="6"/>
    <x v="1"/>
    <x v="0"/>
    <n v="3"/>
    <x v="2"/>
    <s v="Mpondwe"/>
    <s v="Kasese"/>
    <s v="UGA"/>
    <n v="1"/>
    <s v="Home"/>
    <s v="Kabojja"/>
    <s v="kampala"/>
    <s v="UGA"/>
    <n v="4"/>
    <s v="Commercial"/>
    <x v="0"/>
    <n v="30000"/>
    <n v="436"/>
    <x v="3"/>
    <n v="8.5"/>
    <x v="2"/>
    <n v="5"/>
    <s v="Professional"/>
    <n v="2"/>
    <x v="3"/>
    <n v="1"/>
    <n v="2"/>
    <n v="3"/>
    <n v="4"/>
    <n v="5"/>
    <s v="Y"/>
    <n v="2000"/>
    <x v="1"/>
  </r>
  <r>
    <d v="2019-10-23T00:00:00"/>
    <d v="1899-12-30T04:00:00"/>
    <m/>
    <s v="P"/>
    <n v="2"/>
    <s v="Road Vehicle"/>
    <n v="6"/>
    <x v="1"/>
    <x v="0"/>
    <n v="3"/>
    <x v="2"/>
    <s v="Bwera"/>
    <s v="Kasese"/>
    <s v="UGA"/>
    <n v="2"/>
    <s v="Work"/>
    <s v="towncity"/>
    <s v="kampala"/>
    <s v="UGA"/>
    <n v="2"/>
    <s v="Work"/>
    <x v="2"/>
    <n v="1000000"/>
    <n v="450"/>
    <x v="3"/>
    <m/>
    <x v="3"/>
    <n v="8"/>
    <s v="Student"/>
    <n v="4"/>
    <x v="0"/>
    <n v="1"/>
    <n v="4"/>
    <n v="3"/>
    <n v="2"/>
    <n v="5"/>
    <s v="Y"/>
    <n v="2000"/>
    <x v="1"/>
  </r>
  <r>
    <d v="2019-10-23T00:00:00"/>
    <d v="1899-12-30T08:26:00"/>
    <m/>
    <s v="P"/>
    <n v="2"/>
    <s v="Road Vehicle"/>
    <n v="6"/>
    <x v="1"/>
    <x v="0"/>
    <n v="3"/>
    <x v="2"/>
    <s v="Towncenter"/>
    <s v="Kasese"/>
    <s v="UGA"/>
    <n v="6"/>
    <s v="Leisure/Social"/>
    <s v="kiwatule"/>
    <s v="kampala"/>
    <s v="UGA"/>
    <n v="1"/>
    <s v="Home"/>
    <x v="10"/>
    <n v="30000"/>
    <m/>
    <x v="0"/>
    <n v="9"/>
    <x v="2"/>
    <n v="5"/>
    <s v="Professional"/>
    <n v="4"/>
    <x v="0"/>
    <n v="2"/>
    <n v="5"/>
    <n v="3"/>
    <n v="1"/>
    <n v="4"/>
    <s v="Y"/>
    <m/>
    <x v="3"/>
  </r>
  <r>
    <d v="2019-10-21T00:00:00"/>
    <d v="1899-12-30T12:43:00"/>
    <m/>
    <s v="P"/>
    <n v="2"/>
    <s v="Road Vehicle"/>
    <n v="4"/>
    <x v="3"/>
    <x v="1"/>
    <n v="3"/>
    <x v="2"/>
    <s v="Igara tea"/>
    <s v="Rubirizi"/>
    <s v="UGA"/>
    <n v="2"/>
    <s v="Work"/>
    <s v="kasese"/>
    <s v="kasese"/>
    <s v="UGA"/>
    <n v="1"/>
    <s v="Home"/>
    <x v="4"/>
    <n v="5000"/>
    <n v="42"/>
    <x v="5"/>
    <n v="0.1"/>
    <x v="3"/>
    <n v="2"/>
    <s v="Manual Labour"/>
    <n v="1"/>
    <x v="2"/>
    <n v="1"/>
    <n v="2"/>
    <n v="3"/>
    <n v="4"/>
    <n v="5"/>
    <s v="Y"/>
    <m/>
    <x v="3"/>
  </r>
  <r>
    <d v="2019-10-21T00:00:00"/>
    <d v="1899-12-30T10:08:00"/>
    <m/>
    <s v="P"/>
    <n v="2"/>
    <s v="Road Vehicle"/>
    <n v="4"/>
    <x v="3"/>
    <x v="0"/>
    <n v="3"/>
    <x v="2"/>
    <s v="Bunyangabo"/>
    <s v="Bunyangabo"/>
    <s v="UGA"/>
    <n v="1"/>
    <s v="Home"/>
    <s v="Bwera"/>
    <s v="kasese"/>
    <s v="UGA"/>
    <n v="4"/>
    <s v="Commercial"/>
    <x v="0"/>
    <n v="10000"/>
    <n v="101"/>
    <x v="2"/>
    <n v="2"/>
    <x v="0"/>
    <n v="6"/>
    <s v="Businessman"/>
    <n v="4"/>
    <x v="0"/>
    <n v="1"/>
    <n v="2"/>
    <n v="4"/>
    <n v="3"/>
    <n v="5"/>
    <s v="Y"/>
    <n v="2000"/>
    <x v="1"/>
  </r>
  <r>
    <d v="2019-10-22T00:00:00"/>
    <d v="1899-12-30T09:49:00"/>
    <m/>
    <s v="P"/>
    <n v="2"/>
    <s v="Road Vehicle"/>
    <n v="4"/>
    <x v="3"/>
    <x v="0"/>
    <n v="3"/>
    <x v="2"/>
    <s v="Kasese"/>
    <s v="Kasese"/>
    <s v="UGA"/>
    <n v="2"/>
    <s v="Work"/>
    <s v="Fortportal"/>
    <s v="Fortportal"/>
    <s v="UGA"/>
    <n v="4"/>
    <s v="Commercial"/>
    <x v="17"/>
    <n v="5000"/>
    <n v="30"/>
    <x v="4"/>
    <n v="0.57999999999999996"/>
    <x v="4"/>
    <n v="6"/>
    <s v="Businessman"/>
    <n v="2"/>
    <x v="3"/>
    <n v="3"/>
    <n v="4"/>
    <n v="2"/>
    <n v="1"/>
    <n v="5"/>
    <s v="Y"/>
    <n v="2000"/>
    <x v="1"/>
  </r>
  <r>
    <d v="2019-10-22T00:00:00"/>
    <d v="1899-12-30T10:15:00"/>
    <m/>
    <s v="P"/>
    <n v="2"/>
    <s v="Road Vehicle"/>
    <n v="4"/>
    <x v="3"/>
    <x v="0"/>
    <n v="3"/>
    <x v="2"/>
    <s v="Kasitomu"/>
    <s v="Kasese"/>
    <s v="UGA"/>
    <n v="1"/>
    <s v="Home"/>
    <s v="Rwimi"/>
    <s v="Bunyangabo"/>
    <s v="UGA"/>
    <n v="4"/>
    <s v="Commercial"/>
    <x v="0"/>
    <n v="8000"/>
    <n v="56"/>
    <x v="5"/>
    <n v="2"/>
    <x v="0"/>
    <n v="7"/>
    <s v="Farmer"/>
    <n v="1"/>
    <x v="2"/>
    <n v="1"/>
    <n v="2"/>
    <n v="5"/>
    <n v="3"/>
    <n v="4"/>
    <s v="Y"/>
    <m/>
    <x v="3"/>
  </r>
  <r>
    <d v="2019-10-22T00:00:00"/>
    <d v="1899-12-30T10:37:00"/>
    <m/>
    <s v="P"/>
    <n v="2"/>
    <s v="Road Vehicle"/>
    <n v="4"/>
    <x v="3"/>
    <x v="0"/>
    <n v="3"/>
    <x v="2"/>
    <s v="Bwera"/>
    <s v="Kasese"/>
    <s v="UGA"/>
    <n v="1"/>
    <s v="Home"/>
    <s v="Kyegegwa"/>
    <s v="Kyegegwa"/>
    <s v="UGA"/>
    <n v="4"/>
    <s v="Commercial"/>
    <x v="0"/>
    <n v="15000"/>
    <n v="189"/>
    <x v="2"/>
    <n v="3"/>
    <x v="0"/>
    <n v="5"/>
    <s v="Professional"/>
    <n v="2"/>
    <x v="3"/>
    <n v="2"/>
    <n v="1"/>
    <n v="4"/>
    <n v="3"/>
    <n v="5"/>
    <s v="Y"/>
    <n v="2000"/>
    <x v="1"/>
  </r>
  <r>
    <d v="2019-10-23T00:00:00"/>
    <m/>
    <m/>
    <s v="D"/>
    <n v="2"/>
    <s v="Road Vehicle"/>
    <n v="4"/>
    <x v="3"/>
    <x v="0"/>
    <n v="3"/>
    <x v="2"/>
    <s v="Taxi Park"/>
    <s v="Kasese"/>
    <s v="UGA"/>
    <n v="2"/>
    <s v="Work"/>
    <s v="Towncentre"/>
    <s v="Mbarara"/>
    <s v="UGA"/>
    <n v="2"/>
    <s v="Work"/>
    <x v="2"/>
    <n v="100000"/>
    <n v="120"/>
    <x v="2"/>
    <n v="3"/>
    <x v="0"/>
    <n v="10"/>
    <s v="Other"/>
    <n v="1"/>
    <x v="2"/>
    <n v="5"/>
    <n v="2"/>
    <n v="1"/>
    <n v="4"/>
    <n v="3"/>
    <s v="Y"/>
    <n v="2000"/>
    <x v="1"/>
  </r>
  <r>
    <d v="2019-10-23T00:00:00"/>
    <d v="1899-12-30T06:22:00"/>
    <m/>
    <s v="P"/>
    <n v="2"/>
    <s v="Road Vehicle"/>
    <n v="4"/>
    <x v="3"/>
    <x v="0"/>
    <n v="3"/>
    <x v="2"/>
    <s v="kisinga"/>
    <s v="Kasese"/>
    <s v="UGA"/>
    <n v="1"/>
    <s v="Home"/>
    <s v="kyarumba"/>
    <s v="kasese"/>
    <s v="UGA"/>
    <n v="6"/>
    <s v="Leisure/Social"/>
    <x v="8"/>
    <n v="12000"/>
    <m/>
    <x v="0"/>
    <n v="2"/>
    <x v="0"/>
    <n v="6"/>
    <s v="Businessman"/>
    <n v="1"/>
    <x v="2"/>
    <n v="2"/>
    <n v="5"/>
    <n v="4"/>
    <n v="1"/>
    <n v="5"/>
    <s v="Y"/>
    <n v="1000"/>
    <x v="4"/>
  </r>
  <r>
    <d v="2019-10-23T00:00:00"/>
    <d v="1899-12-30T10:42:00"/>
    <m/>
    <s v="P"/>
    <n v="2"/>
    <s v="Road Vehicle"/>
    <n v="4"/>
    <x v="3"/>
    <x v="0"/>
    <n v="3"/>
    <x v="2"/>
    <s v="Ishaka"/>
    <s v="bushenyi"/>
    <s v="UGA"/>
    <n v="6"/>
    <s v="Leisure/Social"/>
    <s v="kiburora"/>
    <s v="kasese"/>
    <s v="UGA"/>
    <n v="1"/>
    <s v="Home"/>
    <x v="10"/>
    <n v="13000"/>
    <m/>
    <x v="0"/>
    <n v="3"/>
    <x v="0"/>
    <n v="2"/>
    <s v="Manual Labour"/>
    <n v="1"/>
    <x v="2"/>
    <n v="3"/>
    <n v="2"/>
    <n v="4"/>
    <n v="1"/>
    <n v="5"/>
    <s v="Y"/>
    <m/>
    <x v="3"/>
  </r>
  <r>
    <d v="2019-10-23T00:00:00"/>
    <d v="1899-12-30T07:41:00"/>
    <m/>
    <s v="P"/>
    <n v="2"/>
    <s v="Road Vehicle"/>
    <n v="4"/>
    <x v="3"/>
    <x v="0"/>
    <n v="3"/>
    <x v="2"/>
    <s v="Taxi Park"/>
    <s v="Kasese"/>
    <s v="UGA"/>
    <n v="2"/>
    <s v="Work"/>
    <s v="ishaka"/>
    <s v="bushenyi"/>
    <s v="UGA"/>
    <n v="2"/>
    <s v="Work"/>
    <x v="2"/>
    <n v="50000"/>
    <n v="90"/>
    <x v="1"/>
    <n v="2"/>
    <x v="0"/>
    <n v="10"/>
    <s v="Other"/>
    <n v="1"/>
    <x v="2"/>
    <n v="2"/>
    <n v="1"/>
    <n v="5"/>
    <n v="4"/>
    <n v="3"/>
    <s v="Y"/>
    <m/>
    <x v="3"/>
  </r>
  <r>
    <d v="2019-10-21T00:00:00"/>
    <d v="1899-12-30T10:42:00"/>
    <m/>
    <s v="D"/>
    <n v="2"/>
    <s v="Road Vehicle"/>
    <n v="2"/>
    <x v="6"/>
    <x v="0"/>
    <n v="3"/>
    <x v="2"/>
    <s v="Town centre"/>
    <s v="Kabarole"/>
    <s v="UGA"/>
    <n v="2"/>
    <s v="Work"/>
    <s v="Towncentre"/>
    <s v="Kyenjojo"/>
    <s v="UGA"/>
    <n v="2"/>
    <s v="Work"/>
    <x v="2"/>
    <n v="100000"/>
    <n v="150"/>
    <x v="2"/>
    <n v="3"/>
    <x v="0"/>
    <n v="10"/>
    <s v="Other"/>
    <n v="2"/>
    <x v="3"/>
    <n v="2"/>
    <n v="3"/>
    <n v="1"/>
    <n v="5"/>
    <n v="4"/>
    <s v="Y"/>
    <m/>
    <x v="3"/>
  </r>
  <r>
    <d v="2019-10-21T00:00:00"/>
    <d v="1899-12-30T10:42:00"/>
    <m/>
    <s v="P"/>
    <n v="2"/>
    <s v="Road Vehicle"/>
    <n v="2"/>
    <x v="6"/>
    <x v="0"/>
    <n v="3"/>
    <x v="2"/>
    <s v="Rwimi"/>
    <s v="Bunyangabo"/>
    <s v="UGA"/>
    <n v="1"/>
    <s v="Home"/>
    <s v="Kazinga channel"/>
    <s v="kasese"/>
    <s v="UGA"/>
    <n v="2"/>
    <s v="Work"/>
    <x v="1"/>
    <n v="5000"/>
    <n v="50"/>
    <x v="5"/>
    <n v="0.83330000000000004"/>
    <x v="4"/>
    <n v="6"/>
    <s v="Businessman"/>
    <n v="1"/>
    <x v="2"/>
    <n v="1"/>
    <n v="3"/>
    <n v="4"/>
    <n v="2"/>
    <n v="5"/>
    <s v="Y"/>
    <n v="2000"/>
    <x v="1"/>
  </r>
  <r>
    <d v="2019-10-22T00:00:00"/>
    <d v="1899-12-30T03:48:00"/>
    <m/>
    <s v="D"/>
    <n v="2"/>
    <s v="Road Vehicle"/>
    <n v="2"/>
    <x v="6"/>
    <x v="0"/>
    <n v="3"/>
    <x v="2"/>
    <s v="Kaziini camp"/>
    <s v="Kasese"/>
    <s v="UGA"/>
    <n v="1"/>
    <s v="Home"/>
    <s v="kazinga"/>
    <s v="kasese"/>
    <s v="UGA"/>
    <n v="5"/>
    <s v="Tourism"/>
    <x v="20"/>
    <n v="30000"/>
    <n v="12"/>
    <x v="6"/>
    <n v="0.33329999999999999"/>
    <x v="3"/>
    <n v="5"/>
    <s v="Professional"/>
    <n v="3"/>
    <x v="1"/>
    <n v="2"/>
    <n v="1"/>
    <n v="4"/>
    <n v="3"/>
    <n v="5"/>
    <s v="Y"/>
    <n v="2000"/>
    <x v="1"/>
  </r>
  <r>
    <d v="2019-10-23T00:00:00"/>
    <m/>
    <m/>
    <s v="P"/>
    <n v="2"/>
    <s v="Road Vehicle"/>
    <n v="1"/>
    <x v="0"/>
    <x v="0"/>
    <n v="4"/>
    <x v="3"/>
    <s v="bwera"/>
    <s v="Kasese"/>
    <s v="UGA"/>
    <n v="2"/>
    <s v="Work"/>
    <s v="excel"/>
    <s v="rwimi"/>
    <s v="UGA"/>
    <n v="2"/>
    <s v="Work"/>
    <x v="2"/>
    <n v="5000"/>
    <m/>
    <x v="0"/>
    <n v="1.5"/>
    <x v="1"/>
    <n v="7"/>
    <s v="Farmer"/>
    <n v="2"/>
    <x v="3"/>
    <n v="2"/>
    <n v="1"/>
    <n v="4"/>
    <n v="5"/>
    <n v="3"/>
    <s v="Y"/>
    <n v="3000"/>
    <x v="0"/>
  </r>
  <r>
    <d v="2019-10-22T00:00:00"/>
    <d v="1899-12-30T11:18:00"/>
    <m/>
    <s v="P"/>
    <n v="2"/>
    <s v="Road Vehicle"/>
    <n v="6"/>
    <x v="1"/>
    <x v="0"/>
    <n v="4"/>
    <x v="3"/>
    <s v="Kidoodo"/>
    <s v="Kasese"/>
    <s v="UGA"/>
    <n v="1"/>
    <s v="Home"/>
    <s v="Namabale"/>
    <s v="wakiso"/>
    <s v="UGA"/>
    <n v="6"/>
    <s v="Leisure/Social"/>
    <x v="8"/>
    <n v="20000"/>
    <m/>
    <x v="0"/>
    <n v="7"/>
    <x v="2"/>
    <n v="9"/>
    <s v="Retired"/>
    <n v="3"/>
    <x v="1"/>
    <n v="1"/>
    <n v="5"/>
    <n v="2"/>
    <n v="3"/>
    <n v="4"/>
    <s v="Y"/>
    <n v="2000"/>
    <x v="1"/>
  </r>
  <r>
    <d v="2019-10-23T00:00:00"/>
    <d v="1899-12-30T10:09:00"/>
    <m/>
    <s v="P"/>
    <n v="2"/>
    <s v="Road Vehicle"/>
    <n v="6"/>
    <x v="1"/>
    <x v="0"/>
    <n v="4"/>
    <x v="3"/>
    <s v="Bwera"/>
    <s v="Kasese"/>
    <s v="UGA"/>
    <n v="6"/>
    <s v="Leisure/Social"/>
    <s v="kyatega"/>
    <s v="Kyegegwa"/>
    <s v="UGA"/>
    <n v="1"/>
    <s v="Home"/>
    <x v="10"/>
    <n v="12000"/>
    <m/>
    <x v="0"/>
    <n v="4"/>
    <x v="2"/>
    <n v="4"/>
    <s v="Office Worker"/>
    <n v="3"/>
    <x v="1"/>
    <n v="3"/>
    <n v="4"/>
    <n v="1"/>
    <n v="2"/>
    <n v="5"/>
    <s v="Y"/>
    <n v="1500"/>
    <x v="4"/>
  </r>
  <r>
    <d v="2019-10-23T00:00:00"/>
    <d v="1899-12-30T07:02:00"/>
    <m/>
    <s v="D"/>
    <n v="2"/>
    <s v="Road Vehicle"/>
    <n v="6"/>
    <x v="1"/>
    <x v="0"/>
    <n v="4"/>
    <x v="3"/>
    <s v="buspark"/>
    <s v="Kasese"/>
    <s v="UGA"/>
    <n v="2"/>
    <s v="Work"/>
    <s v="buspark"/>
    <s v="kampala"/>
    <s v="UGA"/>
    <n v="2"/>
    <s v="Work"/>
    <x v="2"/>
    <n v="1000000"/>
    <n v="450"/>
    <x v="3"/>
    <n v="8"/>
    <x v="2"/>
    <n v="10"/>
    <s v="Other"/>
    <n v="3"/>
    <x v="1"/>
    <n v="2"/>
    <n v="3"/>
    <n v="5"/>
    <n v="1"/>
    <n v="4"/>
    <s v="Y"/>
    <n v="5000"/>
    <x v="2"/>
  </r>
  <r>
    <d v="2019-10-21T00:00:00"/>
    <d v="1899-12-30T10:40:00"/>
    <m/>
    <s v="P"/>
    <n v="2"/>
    <s v="Road Vehicle"/>
    <n v="4"/>
    <x v="3"/>
    <x v="1"/>
    <n v="4"/>
    <x v="3"/>
    <s v="kikome"/>
    <s v="Kasese"/>
    <s v="UGA"/>
    <n v="2"/>
    <s v="Work"/>
    <s v="Rubirizi"/>
    <s v="Rubirizi"/>
    <s v="UGA"/>
    <n v="4"/>
    <s v="Commercial"/>
    <x v="17"/>
    <n v="7000"/>
    <n v="78"/>
    <x v="1"/>
    <n v="2"/>
    <x v="0"/>
    <n v="6"/>
    <s v="Businessman"/>
    <n v="5"/>
    <x v="4"/>
    <n v="1"/>
    <n v="2"/>
    <n v="5"/>
    <n v="3"/>
    <n v="4"/>
    <s v="Y"/>
    <m/>
    <x v="3"/>
  </r>
  <r>
    <d v="2019-10-21T00:00:00"/>
    <d v="1899-12-30T12:10:00"/>
    <m/>
    <s v="P"/>
    <n v="2"/>
    <s v="Road Vehicle"/>
    <n v="4"/>
    <x v="3"/>
    <x v="1"/>
    <n v="4"/>
    <x v="3"/>
    <s v="Kaziini camp"/>
    <s v="Kasese"/>
    <s v="UGA"/>
    <n v="1"/>
    <s v="Home"/>
    <s v="Kazinga channel"/>
    <s v="kasese"/>
    <s v="UGA"/>
    <n v="6"/>
    <s v="Leisure/Social"/>
    <x v="8"/>
    <n v="4000"/>
    <n v="30"/>
    <x v="4"/>
    <n v="0.25"/>
    <x v="3"/>
    <n v="9"/>
    <s v="Retired"/>
    <n v="2"/>
    <x v="3"/>
    <n v="1"/>
    <n v="5"/>
    <n v="3"/>
    <n v="2"/>
    <n v="4"/>
    <s v="Y"/>
    <m/>
    <x v="3"/>
  </r>
  <r>
    <d v="2019-10-23T00:00:00"/>
    <d v="1899-12-30T04:09:00"/>
    <m/>
    <s v="P"/>
    <n v="2"/>
    <s v="Road Vehicle"/>
    <n v="4"/>
    <x v="3"/>
    <x v="1"/>
    <n v="4"/>
    <x v="3"/>
    <s v="Towncenter"/>
    <s v="Kasese"/>
    <s v="UGA"/>
    <n v="8"/>
    <s v="Others"/>
    <s v="kihura"/>
    <s v="bushenyi"/>
    <s v="UGA"/>
    <n v="2"/>
    <s v="Work"/>
    <x v="14"/>
    <n v="11000"/>
    <m/>
    <x v="0"/>
    <n v="2"/>
    <x v="0"/>
    <n v="4"/>
    <s v="Office Worker"/>
    <n v="2"/>
    <x v="3"/>
    <n v="2"/>
    <n v="5"/>
    <n v="1"/>
    <n v="3"/>
    <n v="4"/>
    <s v="Y"/>
    <m/>
    <x v="3"/>
  </r>
  <r>
    <d v="2019-10-21T00:00:00"/>
    <d v="1899-12-30T11:21:00"/>
    <m/>
    <s v="P"/>
    <n v="2"/>
    <s v="Road Vehicle"/>
    <n v="4"/>
    <x v="3"/>
    <x v="0"/>
    <n v="4"/>
    <x v="3"/>
    <s v="Kilembe"/>
    <s v="Kasese"/>
    <s v="UGA"/>
    <n v="1"/>
    <s v="Home"/>
    <s v="Mpanga"/>
    <s v="FortPortal"/>
    <s v="UGA"/>
    <n v="1"/>
    <s v="Home"/>
    <x v="16"/>
    <n v="5000"/>
    <m/>
    <x v="0"/>
    <n v="3"/>
    <x v="0"/>
    <n v="5"/>
    <s v="Professional"/>
    <n v="2"/>
    <x v="3"/>
    <n v="2"/>
    <n v="3"/>
    <n v="1"/>
    <n v="5"/>
    <n v="4"/>
    <s v="Y"/>
    <n v="500"/>
    <x v="3"/>
  </r>
  <r>
    <d v="2019-10-21T00:00:00"/>
    <d v="1899-12-30T11:34:00"/>
    <m/>
    <s v="D"/>
    <n v="2"/>
    <s v="Road Vehicle"/>
    <n v="4"/>
    <x v="3"/>
    <x v="0"/>
    <n v="4"/>
    <x v="3"/>
    <s v="Bus park"/>
    <s v="Kasese"/>
    <s v="UGA"/>
    <n v="2"/>
    <s v="Work"/>
    <s v="Muhokya"/>
    <s v="kasese"/>
    <s v="UGA"/>
    <n v="2"/>
    <s v="Work"/>
    <x v="2"/>
    <n v="40000"/>
    <n v="25"/>
    <x v="4"/>
    <n v="0.7"/>
    <x v="4"/>
    <n v="10"/>
    <s v="Other"/>
    <n v="2"/>
    <x v="3"/>
    <n v="5"/>
    <n v="2"/>
    <n v="3"/>
    <n v="1"/>
    <n v="4"/>
    <s v="Y"/>
    <s v="600-1000"/>
    <x v="5"/>
  </r>
  <r>
    <d v="2019-10-23T00:00:00"/>
    <d v="1899-12-30T01:08:00"/>
    <m/>
    <s v="P"/>
    <n v="2"/>
    <s v="Road Vehicle"/>
    <n v="4"/>
    <x v="3"/>
    <x v="0"/>
    <n v="4"/>
    <x v="3"/>
    <s v="Town"/>
    <s v="Kasese"/>
    <s v="UGA"/>
    <n v="7"/>
    <s v="Hospital"/>
    <s v="Vilika"/>
    <s v="Fortportal"/>
    <s v="UGA"/>
    <n v="1"/>
    <s v="Home"/>
    <x v="27"/>
    <n v="6000"/>
    <m/>
    <x v="0"/>
    <n v="2"/>
    <x v="0"/>
    <n v="7"/>
    <s v="Farmer"/>
    <n v="2"/>
    <x v="3"/>
    <n v="3"/>
    <n v="4"/>
    <n v="2"/>
    <n v="1"/>
    <n v="5"/>
    <s v="Y"/>
    <n v="1000"/>
    <x v="4"/>
  </r>
  <r>
    <d v="2019-10-22T00:00:00"/>
    <d v="1899-12-30T05:49:00"/>
    <m/>
    <s v="D"/>
    <n v="2"/>
    <s v="Road Vehicle"/>
    <n v="2"/>
    <x v="6"/>
    <x v="0"/>
    <n v="4"/>
    <x v="3"/>
    <s v="kibito"/>
    <s v="Bunyangabo"/>
    <s v="UGA"/>
    <n v="4"/>
    <s v="Commercial"/>
    <s v="kazinga"/>
    <s v="kasese"/>
    <s v="UGA"/>
    <n v="1"/>
    <s v="Home"/>
    <x v="3"/>
    <n v="20000"/>
    <n v="20"/>
    <x v="4"/>
    <n v="0.66669999999999996"/>
    <x v="4"/>
    <n v="5"/>
    <s v="Professional"/>
    <n v="2"/>
    <x v="3"/>
    <n v="2"/>
    <n v="3"/>
    <n v="5"/>
    <n v="1"/>
    <n v="4"/>
    <s v="Y"/>
    <n v="1000"/>
    <x v="4"/>
  </r>
  <r>
    <d v="2019-10-21T00:00:00"/>
    <d v="1899-12-30T12:18:00"/>
    <m/>
    <s v="P"/>
    <n v="2"/>
    <s v="Road Vehicle"/>
    <n v="4"/>
    <x v="3"/>
    <x v="0"/>
    <n v="5"/>
    <x v="4"/>
    <s v="Kasese"/>
    <s v="Kasese"/>
    <s v="UGA"/>
    <n v="4"/>
    <s v="Commercial"/>
    <s v="Mbarara"/>
    <s v="Mbarara"/>
    <s v="UGA"/>
    <n v="4"/>
    <s v="Commercial"/>
    <x v="18"/>
    <n v="120000"/>
    <n v="128"/>
    <x v="2"/>
    <n v="5"/>
    <x v="2"/>
    <n v="9"/>
    <s v="Retired"/>
    <n v="3"/>
    <x v="1"/>
    <n v="1"/>
    <n v="4"/>
    <n v="5"/>
    <n v="2"/>
    <n v="3"/>
    <s v="Y"/>
    <n v="500"/>
    <x v="3"/>
  </r>
  <r>
    <d v="2019-10-22T00:00:00"/>
    <d v="1899-12-30T12:48:00"/>
    <m/>
    <s v="P"/>
    <n v="2"/>
    <s v="Road Vehicle"/>
    <n v="1"/>
    <x v="0"/>
    <x v="1"/>
    <n v="6"/>
    <x v="5"/>
    <s v="Muvuko"/>
    <s v="Kasese"/>
    <s v="UGA"/>
    <n v="1"/>
    <s v="Home"/>
    <s v="bulo"/>
    <m/>
    <s v="UGA"/>
    <n v="4"/>
    <s v="Commercial"/>
    <x v="0"/>
    <n v="20000"/>
    <m/>
    <x v="0"/>
    <n v="7"/>
    <x v="2"/>
    <n v="3"/>
    <s v="Artisan/Domestic"/>
    <n v="1"/>
    <x v="2"/>
    <n v="3"/>
    <n v="1"/>
    <n v="4"/>
    <n v="2"/>
    <n v="5"/>
    <s v="Y"/>
    <n v="1000"/>
    <x v="4"/>
  </r>
  <r>
    <s v="19.10.19"/>
    <d v="1899-12-30T13:36:00"/>
    <m/>
    <s v="P"/>
    <n v="1"/>
    <s v="Walking/Cycling"/>
    <n v="13"/>
    <x v="5"/>
    <x v="0"/>
    <n v="1"/>
    <x v="0"/>
    <s v="KARIVARE"/>
    <s v="Mbarara"/>
    <s v="UG"/>
    <n v="1"/>
    <s v="Home"/>
    <s v="BAKULI"/>
    <s v="KAMPALA"/>
    <s v="UG"/>
    <n v="2"/>
    <s v="Work"/>
    <x v="1"/>
    <n v="20000"/>
    <n v="400"/>
    <x v="3"/>
    <n v="5"/>
    <x v="2"/>
    <n v="2"/>
    <s v="Manual Labour"/>
    <n v="1"/>
    <x v="2"/>
    <n v="1"/>
    <n v="5"/>
    <n v="4"/>
    <n v="3"/>
    <n v="2"/>
    <s v="Y"/>
    <n v="0"/>
    <x v="3"/>
  </r>
  <r>
    <s v="20.10.19"/>
    <d v="1899-12-30T09:50:00"/>
    <m/>
    <s v="P"/>
    <n v="1"/>
    <s v="Walking/Cycling"/>
    <n v="13"/>
    <x v="5"/>
    <x v="0"/>
    <n v="1"/>
    <x v="0"/>
    <s v="MBARARA TOWN"/>
    <s v="Mbarara"/>
    <s v="UG"/>
    <n v="8"/>
    <s v="Others"/>
    <s v="IBANDA TOWN"/>
    <s v="IBANDA"/>
    <s v="UG"/>
    <n v="8"/>
    <s v="Others"/>
    <x v="15"/>
    <n v="10000"/>
    <m/>
    <x v="0"/>
    <n v="2.5"/>
    <x v="0"/>
    <n v="2"/>
    <s v="Manual Labour"/>
    <n v="2"/>
    <x v="3"/>
    <n v="2"/>
    <n v="4"/>
    <n v="3"/>
    <n v="3"/>
    <n v="4"/>
    <s v="Y"/>
    <n v="10000"/>
    <x v="5"/>
  </r>
  <r>
    <s v="20.10.19"/>
    <d v="1899-12-30T08:59:00"/>
    <m/>
    <s v="P"/>
    <n v="1"/>
    <s v="Walking/Cycling"/>
    <n v="13"/>
    <x v="5"/>
    <x v="0"/>
    <n v="1"/>
    <x v="0"/>
    <s v="MBARARA TOWN"/>
    <s v="Mbarara"/>
    <s v="UG"/>
    <n v="2"/>
    <s v="Work"/>
    <s v="RUKUNGIRI TOWN"/>
    <s v="RUKUNGIRI"/>
    <s v="UG"/>
    <n v="1"/>
    <s v="Home"/>
    <x v="4"/>
    <n v="10000"/>
    <m/>
    <x v="0"/>
    <n v="3"/>
    <x v="0"/>
    <n v="2"/>
    <s v="Manual Labour"/>
    <n v="2"/>
    <x v="3"/>
    <n v="3"/>
    <n v="5"/>
    <n v="4"/>
    <n v="2"/>
    <n v="1"/>
    <s v="Y"/>
    <n v="5000"/>
    <x v="2"/>
  </r>
  <r>
    <s v="19.10.19"/>
    <m/>
    <m/>
    <s v="D"/>
    <n v="2"/>
    <s v="Road Vehicle"/>
    <n v="1"/>
    <x v="0"/>
    <x v="0"/>
    <n v="1"/>
    <x v="0"/>
    <s v="MBARARA TOWN"/>
    <s v="Mbarara"/>
    <s v="UG"/>
    <n v="1"/>
    <s v="Home"/>
    <s v="ISINGIRO TOWN"/>
    <s v="ISINGIRO"/>
    <s v="UG"/>
    <n v="2"/>
    <s v="Work"/>
    <x v="1"/>
    <n v="70000"/>
    <n v="52"/>
    <x v="5"/>
    <n v="1.5"/>
    <x v="1"/>
    <n v="2"/>
    <s v="Manual Labour"/>
    <n v="3"/>
    <x v="1"/>
    <n v="5"/>
    <n v="5"/>
    <n v="1"/>
    <n v="1"/>
    <n v="1"/>
    <s v="Y"/>
    <n v="200"/>
    <x v="3"/>
  </r>
  <r>
    <s v="20.10.19"/>
    <m/>
    <m/>
    <s v="D"/>
    <n v="2"/>
    <s v="Road Vehicle"/>
    <n v="1"/>
    <x v="0"/>
    <x v="0"/>
    <n v="1"/>
    <x v="0"/>
    <s v="MBARARA TOWN"/>
    <s v="Mbarara"/>
    <s v="UG"/>
    <n v="1"/>
    <s v="Home"/>
    <s v="SEMBABULE TOWN"/>
    <s v="SEMBABULE"/>
    <s v="UG"/>
    <n v="2"/>
    <s v="Work"/>
    <x v="1"/>
    <n v="140000"/>
    <n v="100"/>
    <x v="2"/>
    <n v="4"/>
    <x v="2"/>
    <n v="5"/>
    <s v="Professional"/>
    <n v="3"/>
    <x v="1"/>
    <n v="5"/>
    <n v="2"/>
    <n v="2"/>
    <n v="2"/>
    <n v="2"/>
    <s v="Y"/>
    <n v="5000"/>
    <x v="2"/>
  </r>
  <r>
    <s v="20.10.19"/>
    <m/>
    <m/>
    <s v="P"/>
    <n v="2"/>
    <s v="Road Vehicle"/>
    <n v="1"/>
    <x v="0"/>
    <x v="0"/>
    <n v="1"/>
    <x v="0"/>
    <s v="MBARARA TOWN"/>
    <s v="Mbarara"/>
    <s v="UG"/>
    <n v="1"/>
    <s v="Home"/>
    <s v="ISINGIRO TOWN"/>
    <s v="ISINGIRO"/>
    <s v="UG"/>
    <n v="2"/>
    <s v="Work"/>
    <x v="1"/>
    <n v="5000"/>
    <n v="40"/>
    <x v="5"/>
    <n v="0.5"/>
    <x v="4"/>
    <n v="5"/>
    <s v="Professional"/>
    <n v="1"/>
    <x v="2"/>
    <n v="5"/>
    <n v="2"/>
    <n v="2"/>
    <n v="2"/>
    <n v="2"/>
    <s v="Y"/>
    <n v="0"/>
    <x v="3"/>
  </r>
  <r>
    <s v="18.10.19"/>
    <d v="1899-12-30T16:05:00"/>
    <m/>
    <s v="P"/>
    <n v="2"/>
    <s v="Road Vehicle"/>
    <n v="6"/>
    <x v="1"/>
    <x v="1"/>
    <n v="1"/>
    <x v="0"/>
    <s v="KISENYI"/>
    <s v="Mbarara"/>
    <s v="UG"/>
    <n v="3"/>
    <s v="Study"/>
    <s v="KAMPALA TOWN"/>
    <s v="KAMPALA"/>
    <s v="UG"/>
    <n v="1"/>
    <s v="Home"/>
    <x v="9"/>
    <n v="20000"/>
    <n v="200"/>
    <x v="3"/>
    <n v="4"/>
    <x v="2"/>
    <n v="8"/>
    <s v="Student"/>
    <n v="3"/>
    <x v="1"/>
    <n v="2"/>
    <n v="1"/>
    <n v="5"/>
    <n v="4"/>
    <n v="3"/>
    <s v="Y"/>
    <n v="2000"/>
    <x v="1"/>
  </r>
  <r>
    <s v="18.10.19"/>
    <d v="1899-12-30T16:46:00"/>
    <m/>
    <s v="P"/>
    <n v="2"/>
    <s v="Road Vehicle"/>
    <n v="6"/>
    <x v="1"/>
    <x v="1"/>
    <n v="1"/>
    <x v="0"/>
    <s v="MBARARA TOWN"/>
    <s v="Mbarara"/>
    <s v="UG"/>
    <n v="2"/>
    <s v="Work"/>
    <s v="KAMPALA TOWN"/>
    <s v="KAMPALA"/>
    <s v="UG"/>
    <n v="1"/>
    <s v="Home"/>
    <x v="4"/>
    <n v="20000"/>
    <n v="216"/>
    <x v="3"/>
    <n v="4.5"/>
    <x v="2"/>
    <n v="4"/>
    <s v="Office Worker"/>
    <n v="3"/>
    <x v="1"/>
    <n v="3"/>
    <n v="1"/>
    <n v="2"/>
    <n v="4"/>
    <n v="5"/>
    <s v="Y"/>
    <n v="1000"/>
    <x v="4"/>
  </r>
  <r>
    <s v="18.10.19"/>
    <d v="1899-12-30T18:21:00"/>
    <m/>
    <s v="P"/>
    <n v="2"/>
    <s v="Road Vehicle"/>
    <n v="6"/>
    <x v="1"/>
    <x v="1"/>
    <n v="1"/>
    <x v="0"/>
    <s v="KAMPALA TOWN"/>
    <s v="KAMPALA"/>
    <s v="UG"/>
    <n v="2"/>
    <s v="Work"/>
    <s v="MBARARA TOWN"/>
    <s v="MBARARA"/>
    <s v="UG"/>
    <n v="6"/>
    <s v="Leisure/Social"/>
    <x v="5"/>
    <n v="20000"/>
    <m/>
    <x v="0"/>
    <n v="5"/>
    <x v="2"/>
    <n v="6"/>
    <s v="Businessman"/>
    <n v="4"/>
    <x v="0"/>
    <n v="4"/>
    <n v="5"/>
    <n v="3"/>
    <n v="2"/>
    <n v="1"/>
    <s v="Y"/>
    <n v="3000"/>
    <x v="0"/>
  </r>
  <r>
    <s v="18.10.19"/>
    <d v="1899-12-30T18:40:00"/>
    <m/>
    <s v="P"/>
    <n v="2"/>
    <s v="Road Vehicle"/>
    <n v="6"/>
    <x v="1"/>
    <x v="1"/>
    <n v="1"/>
    <x v="0"/>
    <s v="KAMPALA TOWN"/>
    <s v="KAMPALA"/>
    <s v="UG"/>
    <n v="2"/>
    <s v="Work"/>
    <s v="MBARARA TOWN"/>
    <s v="MBARARA"/>
    <s v="UG"/>
    <n v="8"/>
    <s v="Others"/>
    <x v="19"/>
    <n v="20000"/>
    <m/>
    <x v="0"/>
    <n v="5"/>
    <x v="2"/>
    <n v="5"/>
    <s v="Professional"/>
    <n v="4"/>
    <x v="0"/>
    <n v="1"/>
    <n v="5"/>
    <n v="3"/>
    <n v="2"/>
    <n v="4"/>
    <s v="Y"/>
    <n v="5000"/>
    <x v="2"/>
  </r>
  <r>
    <s v="18.10.19"/>
    <d v="1899-12-30T17:21:00"/>
    <m/>
    <s v="P"/>
    <n v="2"/>
    <s v="Road Vehicle"/>
    <n v="6"/>
    <x v="1"/>
    <x v="1"/>
    <n v="1"/>
    <x v="0"/>
    <s v="KAMPALA TOWN"/>
    <s v="KAMPALA"/>
    <s v="UG"/>
    <n v="8"/>
    <s v="Others"/>
    <s v="RUKUNGIRI TOWN"/>
    <s v="RUKUNGIRI"/>
    <s v="UG"/>
    <n v="1"/>
    <s v="Home"/>
    <x v="12"/>
    <n v="30000"/>
    <m/>
    <x v="0"/>
    <n v="8"/>
    <x v="2"/>
    <n v="6"/>
    <s v="Businessman"/>
    <n v="3"/>
    <x v="1"/>
    <n v="5"/>
    <n v="5"/>
    <n v="1"/>
    <n v="1"/>
    <n v="1"/>
    <s v="Y"/>
    <n v="3000"/>
    <x v="0"/>
  </r>
  <r>
    <s v="18.10.19"/>
    <d v="1899-12-30T16:45:00"/>
    <m/>
    <s v="P"/>
    <n v="2"/>
    <s v="Road Vehicle"/>
    <n v="6"/>
    <x v="1"/>
    <x v="1"/>
    <n v="1"/>
    <x v="0"/>
    <s v="KAMPALA TOWN"/>
    <s v="KAMPALA"/>
    <s v="UG"/>
    <n v="8"/>
    <s v="Others"/>
    <s v="MBARARA TOWN"/>
    <s v="MBARARA"/>
    <s v="UG"/>
    <n v="1"/>
    <s v="Home"/>
    <x v="12"/>
    <n v="20000"/>
    <m/>
    <x v="0"/>
    <n v="4"/>
    <x v="2"/>
    <n v="4"/>
    <s v="Office Worker"/>
    <n v="2"/>
    <x v="3"/>
    <n v="2"/>
    <n v="1"/>
    <n v="3"/>
    <n v="2"/>
    <n v="2"/>
    <s v="Y"/>
    <n v="10000"/>
    <x v="5"/>
  </r>
  <r>
    <s v="18.10.19"/>
    <d v="1899-12-30T15:20:00"/>
    <m/>
    <s v="P"/>
    <n v="2"/>
    <s v="Road Vehicle"/>
    <n v="6"/>
    <x v="1"/>
    <x v="1"/>
    <n v="1"/>
    <x v="0"/>
    <s v="MBARARA TOWN"/>
    <s v="Mbarara"/>
    <s v="UG"/>
    <n v="1"/>
    <s v="Home"/>
    <s v="LYANTONDE TOWN"/>
    <s v="LYANTONDE"/>
    <s v="UG"/>
    <n v="2"/>
    <s v="Work"/>
    <x v="1"/>
    <n v="6000"/>
    <m/>
    <x v="0"/>
    <n v="1"/>
    <x v="1"/>
    <n v="4"/>
    <s v="Office Worker"/>
    <n v="2"/>
    <x v="3"/>
    <n v="2"/>
    <n v="3"/>
    <n v="4"/>
    <n v="2"/>
    <n v="2"/>
    <s v="Y"/>
    <n v="3000"/>
    <x v="0"/>
  </r>
  <r>
    <s v="18.10.19"/>
    <d v="1899-12-30T15:36:00"/>
    <m/>
    <s v="P"/>
    <n v="2"/>
    <s v="Road Vehicle"/>
    <n v="6"/>
    <x v="1"/>
    <x v="1"/>
    <n v="1"/>
    <x v="0"/>
    <s v="MBARARA TOWN"/>
    <s v="Mbarara"/>
    <s v="UG"/>
    <n v="1"/>
    <s v="Home"/>
    <s v="MASAKA TOWN"/>
    <s v="MASAKA"/>
    <s v="UG"/>
    <n v="3"/>
    <s v="Study"/>
    <x v="25"/>
    <n v="15000"/>
    <m/>
    <x v="0"/>
    <n v="2.5"/>
    <x v="0"/>
    <n v="8"/>
    <s v="Student"/>
    <n v="1"/>
    <x v="2"/>
    <n v="2"/>
    <n v="4"/>
    <n v="4"/>
    <n v="3"/>
    <n v="1"/>
    <s v="Y"/>
    <n v="1000"/>
    <x v="4"/>
  </r>
  <r>
    <s v="20.10.19"/>
    <d v="1899-12-30T17:50:00"/>
    <m/>
    <s v="P"/>
    <n v="2"/>
    <s v="Road Vehicle"/>
    <n v="6"/>
    <x v="1"/>
    <x v="1"/>
    <n v="1"/>
    <x v="0"/>
    <s v="KAMPALA TOWN"/>
    <s v="KAMPALA"/>
    <s v="UG"/>
    <n v="1"/>
    <s v="Home"/>
    <s v="MBARARA TOWN"/>
    <s v="MBARARA"/>
    <s v="UG"/>
    <n v="1"/>
    <s v="Home"/>
    <x v="16"/>
    <n v="20000"/>
    <m/>
    <x v="0"/>
    <n v="5.5"/>
    <x v="2"/>
    <n v="4"/>
    <s v="Office Worker"/>
    <n v="2"/>
    <x v="3"/>
    <n v="2"/>
    <n v="1"/>
    <n v="3"/>
    <n v="4"/>
    <n v="5"/>
    <s v="Y"/>
    <n v="2000"/>
    <x v="1"/>
  </r>
  <r>
    <s v="20.10.19"/>
    <d v="1899-12-30T17:25:00"/>
    <m/>
    <s v="P"/>
    <n v="2"/>
    <s v="Road Vehicle"/>
    <n v="6"/>
    <x v="1"/>
    <x v="1"/>
    <n v="1"/>
    <x v="0"/>
    <s v="KAMPALA TOWN"/>
    <s v="KAMPALA"/>
    <s v="UG"/>
    <n v="1"/>
    <s v="Home"/>
    <s v="MBARARA TOWN"/>
    <s v="MBARARA"/>
    <s v="UG"/>
    <n v="2"/>
    <s v="Work"/>
    <x v="1"/>
    <n v="20000"/>
    <m/>
    <x v="0"/>
    <n v="3.5"/>
    <x v="2"/>
    <n v="6"/>
    <s v="Businessman"/>
    <n v="2"/>
    <x v="3"/>
    <n v="1"/>
    <n v="4"/>
    <n v="3"/>
    <n v="2"/>
    <n v="3"/>
    <s v="Y"/>
    <n v="0"/>
    <x v="3"/>
  </r>
  <r>
    <s v="20.10.19"/>
    <d v="1899-12-30T09:36:00"/>
    <m/>
    <s v="P"/>
    <n v="2"/>
    <s v="Road Vehicle"/>
    <n v="6"/>
    <x v="1"/>
    <x v="1"/>
    <n v="1"/>
    <x v="0"/>
    <s v="ISHAKA TOWN"/>
    <s v="bushenyi"/>
    <s v="UG"/>
    <n v="1"/>
    <s v="Home"/>
    <s v="MBARARA TOWN"/>
    <s v="MBARARA"/>
    <s v="UG"/>
    <n v="2"/>
    <s v="Work"/>
    <x v="1"/>
    <n v="15000"/>
    <m/>
    <x v="0"/>
    <n v="2"/>
    <x v="0"/>
    <n v="2"/>
    <s v="Manual Labour"/>
    <n v="1"/>
    <x v="2"/>
    <n v="3"/>
    <n v="3"/>
    <n v="2"/>
    <n v="1"/>
    <n v="4"/>
    <s v="Y"/>
    <n v="2000"/>
    <x v="1"/>
  </r>
  <r>
    <s v="20.10.19"/>
    <d v="1899-12-30T17:17:00"/>
    <m/>
    <s v="P"/>
    <n v="2"/>
    <s v="Road Vehicle"/>
    <n v="6"/>
    <x v="1"/>
    <x v="1"/>
    <n v="1"/>
    <x v="0"/>
    <s v="ISHAKA TOWN"/>
    <s v="bushenyi"/>
    <s v="UG"/>
    <n v="1"/>
    <s v="Home"/>
    <s v="MBARARA TOWN"/>
    <s v="MBARARA"/>
    <s v="UG"/>
    <n v="2"/>
    <s v="Work"/>
    <x v="1"/>
    <n v="9000"/>
    <m/>
    <x v="0"/>
    <n v="1"/>
    <x v="1"/>
    <n v="2"/>
    <s v="Manual Labour"/>
    <n v="1"/>
    <x v="2"/>
    <n v="2"/>
    <n v="4"/>
    <n v="3"/>
    <n v="4"/>
    <n v="3"/>
    <s v="Y"/>
    <n v="1000"/>
    <x v="4"/>
  </r>
  <r>
    <s v="20.10.19"/>
    <d v="1899-12-30T17:07:00"/>
    <m/>
    <s v="P"/>
    <n v="2"/>
    <s v="Road Vehicle"/>
    <n v="6"/>
    <x v="1"/>
    <x v="1"/>
    <n v="1"/>
    <x v="0"/>
    <s v="SHEEMA TOWN"/>
    <s v="SHEEMA"/>
    <s v="UG"/>
    <n v="1"/>
    <s v="Home"/>
    <s v="MBARARA TOWN"/>
    <s v="MBARARA"/>
    <s v="UG"/>
    <n v="8"/>
    <s v="Others"/>
    <x v="13"/>
    <n v="5000"/>
    <m/>
    <x v="0"/>
    <n v="0.66"/>
    <x v="4"/>
    <n v="2"/>
    <s v="Manual Labour"/>
    <n v="1"/>
    <x v="2"/>
    <n v="3"/>
    <n v="3"/>
    <n v="4"/>
    <n v="2"/>
    <n v="4"/>
    <s v="Y"/>
    <n v="1000"/>
    <x v="4"/>
  </r>
  <r>
    <s v="20.10.19"/>
    <d v="1899-12-30T18:27:00"/>
    <m/>
    <s v="P"/>
    <n v="2"/>
    <s v="Road Vehicle"/>
    <n v="6"/>
    <x v="1"/>
    <x v="1"/>
    <n v="1"/>
    <x v="0"/>
    <s v="KAMPALA TOWN"/>
    <s v="KAMPALA"/>
    <s v="UG"/>
    <n v="3"/>
    <s v="Study"/>
    <s v="MBARARA TOWN"/>
    <s v="MBARARA"/>
    <s v="UG"/>
    <n v="1"/>
    <s v="Home"/>
    <x v="9"/>
    <n v="20000"/>
    <n v="210"/>
    <x v="3"/>
    <n v="5"/>
    <x v="2"/>
    <n v="8"/>
    <s v="Student"/>
    <n v="1"/>
    <x v="2"/>
    <n v="1"/>
    <n v="5"/>
    <n v="2"/>
    <n v="3"/>
    <n v="4"/>
    <s v="Y"/>
    <n v="1000"/>
    <x v="4"/>
  </r>
  <r>
    <s v="20.10.19"/>
    <d v="1899-12-30T17:51:00"/>
    <m/>
    <s v="P"/>
    <n v="2"/>
    <s v="Road Vehicle"/>
    <n v="6"/>
    <x v="1"/>
    <x v="1"/>
    <n v="1"/>
    <x v="0"/>
    <s v="KAMPALA TOWN"/>
    <s v="KAMPALA"/>
    <s v="UG"/>
    <n v="2"/>
    <s v="Work"/>
    <s v="RIYIYI"/>
    <s v="MBARARA"/>
    <s v="UG"/>
    <n v="1"/>
    <s v="Home"/>
    <x v="4"/>
    <n v="40000"/>
    <n v="390"/>
    <x v="3"/>
    <n v="8"/>
    <x v="2"/>
    <n v="5"/>
    <s v="Professional"/>
    <n v="4"/>
    <x v="0"/>
    <n v="2"/>
    <n v="1"/>
    <n v="5"/>
    <n v="3"/>
    <n v="4"/>
    <s v="Y"/>
    <n v="5000"/>
    <x v="2"/>
  </r>
  <r>
    <s v="20.10.19"/>
    <d v="1899-12-30T16:01:00"/>
    <m/>
    <s v="P"/>
    <n v="2"/>
    <s v="Road Vehicle"/>
    <n v="6"/>
    <x v="1"/>
    <x v="1"/>
    <n v="1"/>
    <x v="0"/>
    <s v="BUTEKETA"/>
    <s v="KANUNGU"/>
    <s v="UG"/>
    <n v="1"/>
    <s v="Home"/>
    <s v="KIBULI"/>
    <s v="KAMPALA"/>
    <s v="UG"/>
    <n v="2"/>
    <s v="Work"/>
    <x v="1"/>
    <n v="40000"/>
    <n v="415"/>
    <x v="3"/>
    <n v="12"/>
    <x v="2"/>
    <n v="7"/>
    <s v="Farmer"/>
    <n v="2"/>
    <x v="3"/>
    <n v="5"/>
    <n v="2"/>
    <n v="4"/>
    <n v="1"/>
    <n v="3"/>
    <s v="Y"/>
    <n v="500"/>
    <x v="3"/>
  </r>
  <r>
    <s v="20.10.19"/>
    <d v="1899-12-30T17:13:00"/>
    <m/>
    <s v="P"/>
    <n v="2"/>
    <s v="Road Vehicle"/>
    <n v="6"/>
    <x v="1"/>
    <x v="1"/>
    <n v="1"/>
    <x v="0"/>
    <s v="ISHAKA TOWN"/>
    <s v="ISHAKA"/>
    <s v="UG"/>
    <n v="2"/>
    <s v="Work"/>
    <s v="KABALAGALA"/>
    <s v="KAMPALA"/>
    <s v="UG"/>
    <n v="1"/>
    <s v="Home"/>
    <x v="4"/>
    <n v="20000"/>
    <n v="230"/>
    <x v="3"/>
    <n v="5"/>
    <x v="2"/>
    <n v="8"/>
    <s v="Student"/>
    <n v="1"/>
    <x v="2"/>
    <n v="2"/>
    <n v="4"/>
    <n v="5"/>
    <n v="3"/>
    <n v="1"/>
    <s v="Y"/>
    <n v="1000"/>
    <x v="4"/>
  </r>
  <r>
    <s v="18.10.19"/>
    <d v="1899-12-30T16:02:00"/>
    <m/>
    <s v="P"/>
    <n v="2"/>
    <s v="Road Vehicle"/>
    <n v="6"/>
    <x v="1"/>
    <x v="0"/>
    <n v="1"/>
    <x v="0"/>
    <s v="KAMPALA TOWN"/>
    <s v="KAMPALA"/>
    <s v="UG"/>
    <n v="1"/>
    <s v="Home"/>
    <s v="MBARARA TOWN"/>
    <s v="MBARARA"/>
    <s v="UG"/>
    <n v="4"/>
    <s v="Commercial"/>
    <x v="0"/>
    <n v="20000"/>
    <m/>
    <x v="0"/>
    <n v="5"/>
    <x v="2"/>
    <n v="6"/>
    <s v="Businessman"/>
    <n v="5"/>
    <x v="4"/>
    <n v="3"/>
    <n v="4"/>
    <n v="4"/>
    <n v="5"/>
    <n v="4"/>
    <s v="Y"/>
    <n v="3000"/>
    <x v="0"/>
  </r>
  <r>
    <s v="18.10.19"/>
    <d v="1899-12-30T16:23:00"/>
    <m/>
    <s v="P"/>
    <n v="2"/>
    <s v="Road Vehicle"/>
    <n v="6"/>
    <x v="1"/>
    <x v="0"/>
    <n v="1"/>
    <x v="0"/>
    <s v="KIHIHI"/>
    <s v="KANUNGU"/>
    <s v="UG"/>
    <n v="1"/>
    <s v="Home"/>
    <s v="MBARARA TOWN"/>
    <s v="MBARARA"/>
    <s v="UG"/>
    <n v="2"/>
    <s v="Work"/>
    <x v="1"/>
    <n v="15000"/>
    <m/>
    <x v="0"/>
    <n v="2.5"/>
    <x v="0"/>
    <n v="7"/>
    <s v="Farmer"/>
    <n v="2"/>
    <x v="3"/>
    <n v="2"/>
    <n v="3"/>
    <n v="2"/>
    <n v="1"/>
    <n v="2"/>
    <s v="Y"/>
    <n v="0"/>
    <x v="3"/>
  </r>
  <r>
    <s v="19.10.19"/>
    <d v="1899-12-30T12:48:00"/>
    <m/>
    <s v="P"/>
    <n v="2"/>
    <s v="Road Vehicle"/>
    <n v="6"/>
    <x v="1"/>
    <x v="0"/>
    <n v="1"/>
    <x v="0"/>
    <s v="RUKONDE"/>
    <s v="SHEEMA"/>
    <s v="UG"/>
    <n v="1"/>
    <s v="Home"/>
    <s v="KIREKA"/>
    <s v="KAMPALA"/>
    <s v="UG"/>
    <n v="2"/>
    <s v="Work"/>
    <x v="1"/>
    <n v="20000"/>
    <n v="400"/>
    <x v="3"/>
    <n v="4.5"/>
    <x v="2"/>
    <n v="10"/>
    <s v="Other"/>
    <n v="3"/>
    <x v="1"/>
    <n v="1"/>
    <n v="2"/>
    <n v="5"/>
    <n v="4"/>
    <n v="3"/>
    <s v="Y"/>
    <n v="7000"/>
    <x v="2"/>
  </r>
  <r>
    <s v="20.10.19"/>
    <d v="1899-12-30T17:40:00"/>
    <m/>
    <s v="P"/>
    <n v="2"/>
    <s v="Road Vehicle"/>
    <n v="6"/>
    <x v="1"/>
    <x v="0"/>
    <n v="1"/>
    <x v="0"/>
    <s v="MBARARA TOWN"/>
    <s v="Mbarara"/>
    <s v="UG"/>
    <n v="2"/>
    <s v="Work"/>
    <s v="KASESE TOWN"/>
    <s v="KASESE"/>
    <s v="UG"/>
    <n v="1"/>
    <s v="Home"/>
    <x v="4"/>
    <n v="20000"/>
    <n v="130"/>
    <x v="2"/>
    <n v="4"/>
    <x v="2"/>
    <n v="5"/>
    <s v="Professional"/>
    <n v="2"/>
    <x v="3"/>
    <n v="3"/>
    <n v="4"/>
    <n v="2"/>
    <n v="1"/>
    <n v="5"/>
    <s v="Y"/>
    <n v="5000"/>
    <x v="2"/>
  </r>
  <r>
    <s v="20.10.19"/>
    <d v="1899-12-30T16:20:00"/>
    <m/>
    <s v="P"/>
    <n v="2"/>
    <s v="Road Vehicle"/>
    <n v="6"/>
    <x v="1"/>
    <x v="0"/>
    <n v="1"/>
    <x v="0"/>
    <s v="BUKERERE"/>
    <s v="KAMPALA"/>
    <s v="UG"/>
    <n v="1"/>
    <s v="Home"/>
    <s v="MBARARA TOWN"/>
    <s v="MBARARA"/>
    <s v="UG"/>
    <n v="2"/>
    <s v="Work"/>
    <x v="1"/>
    <n v="23000"/>
    <m/>
    <x v="0"/>
    <n v="6"/>
    <x v="2"/>
    <n v="6"/>
    <s v="Businessman"/>
    <n v="1"/>
    <x v="2"/>
    <n v="5"/>
    <n v="5"/>
    <n v="3"/>
    <n v="1"/>
    <n v="3"/>
    <s v="Y"/>
    <n v="3000"/>
    <x v="0"/>
  </r>
  <r>
    <s v="20.10.19"/>
    <d v="1899-12-30T15:40:00"/>
    <m/>
    <s v="P"/>
    <n v="2"/>
    <s v="Road Vehicle"/>
    <n v="6"/>
    <x v="1"/>
    <x v="0"/>
    <n v="1"/>
    <x v="0"/>
    <s v="MBARARA TOWN"/>
    <s v="Mbarara"/>
    <s v="UG"/>
    <n v="2"/>
    <s v="Work"/>
    <s v="KAMPALA TOWN"/>
    <s v="KAMPALA"/>
    <s v="UG"/>
    <n v="4"/>
    <s v="Commercial"/>
    <x v="17"/>
    <n v="20000"/>
    <m/>
    <x v="0"/>
    <n v="4"/>
    <x v="2"/>
    <n v="6"/>
    <s v="Businessman"/>
    <n v="2"/>
    <x v="3"/>
    <n v="2"/>
    <n v="3"/>
    <n v="2"/>
    <n v="2"/>
    <n v="4"/>
    <s v="Y"/>
    <n v="0"/>
    <x v="3"/>
  </r>
  <r>
    <s v="20.10.19"/>
    <m/>
    <m/>
    <s v="P"/>
    <n v="2"/>
    <s v="Road Vehicle"/>
    <n v="6"/>
    <x v="1"/>
    <x v="0"/>
    <n v="1"/>
    <x v="0"/>
    <s v="MBARARA TOWN"/>
    <s v="Mbarara"/>
    <s v="UG"/>
    <n v="1"/>
    <s v="Home"/>
    <s v="KABALE TOWN"/>
    <s v="KABALE"/>
    <s v="UG"/>
    <n v="4"/>
    <s v="Commercial"/>
    <x v="0"/>
    <n v="15000"/>
    <n v="120"/>
    <x v="2"/>
    <n v="2.5"/>
    <x v="0"/>
    <n v="5"/>
    <s v="Professional"/>
    <n v="2"/>
    <x v="3"/>
    <n v="2"/>
    <n v="2"/>
    <n v="2"/>
    <n v="2"/>
    <n v="2"/>
    <s v="Y"/>
    <n v="5000"/>
    <x v="2"/>
  </r>
  <r>
    <s v="20.10.19"/>
    <m/>
    <m/>
    <s v="P"/>
    <n v="2"/>
    <s v="Road Vehicle"/>
    <n v="6"/>
    <x v="1"/>
    <x v="0"/>
    <n v="1"/>
    <x v="0"/>
    <s v="MBARARA TOWN"/>
    <s v="Mbarara"/>
    <s v="UG"/>
    <n v="2"/>
    <s v="Work"/>
    <s v="KAMPALA TOWN"/>
    <s v="KAMPALA"/>
    <s v="UG"/>
    <n v="1"/>
    <s v="Home"/>
    <x v="4"/>
    <n v="20000"/>
    <n v="260"/>
    <x v="3"/>
    <n v="5"/>
    <x v="2"/>
    <n v="5"/>
    <s v="Professional"/>
    <n v="2"/>
    <x v="3"/>
    <n v="5"/>
    <n v="2"/>
    <n v="2"/>
    <n v="2"/>
    <n v="2"/>
    <s v="Y"/>
    <n v="2000"/>
    <x v="1"/>
  </r>
  <r>
    <s v="20.10.19"/>
    <m/>
    <m/>
    <s v="P"/>
    <n v="2"/>
    <s v="Road Vehicle"/>
    <n v="6"/>
    <x v="1"/>
    <x v="0"/>
    <n v="1"/>
    <x v="0"/>
    <s v="MBARARA TOWN"/>
    <s v="Mbarara"/>
    <s v="UG"/>
    <n v="1"/>
    <s v="Home"/>
    <s v="MASAKA TOWN"/>
    <s v="MASAKA"/>
    <s v="UG"/>
    <n v="4"/>
    <s v="Commercial"/>
    <x v="0"/>
    <n v="10000"/>
    <n v="135"/>
    <x v="2"/>
    <n v="2"/>
    <x v="0"/>
    <n v="2"/>
    <s v="Manual Labour"/>
    <n v="1"/>
    <x v="2"/>
    <n v="5"/>
    <n v="2"/>
    <n v="2"/>
    <n v="2"/>
    <n v="2"/>
    <s v="Y"/>
    <n v="5000"/>
    <x v="2"/>
  </r>
  <r>
    <s v="20.10.19"/>
    <m/>
    <m/>
    <s v="P"/>
    <n v="2"/>
    <s v="Road Vehicle"/>
    <n v="6"/>
    <x v="1"/>
    <x v="0"/>
    <n v="1"/>
    <x v="0"/>
    <s v="MBARARA TOWN"/>
    <s v="Mbarara"/>
    <s v="UG"/>
    <n v="1"/>
    <s v="Home"/>
    <s v="KAMPALA TOWN"/>
    <s v="KAMPALA"/>
    <s v="UG"/>
    <n v="4"/>
    <s v="Commercial"/>
    <x v="0"/>
    <n v="20000"/>
    <n v="260"/>
    <x v="3"/>
    <n v="4"/>
    <x v="2"/>
    <n v="2"/>
    <s v="Manual Labour"/>
    <n v="1"/>
    <x v="2"/>
    <n v="5"/>
    <n v="2"/>
    <n v="2"/>
    <n v="2"/>
    <n v="2"/>
    <s v="Y"/>
    <n v="10000"/>
    <x v="5"/>
  </r>
  <r>
    <s v="20.10.19"/>
    <d v="1899-12-30T12:58:00"/>
    <m/>
    <s v="D"/>
    <n v="2"/>
    <s v="Road Vehicle"/>
    <n v="7"/>
    <x v="7"/>
    <x v="0"/>
    <n v="1"/>
    <x v="0"/>
    <s v="KYAMUGURANYI"/>
    <s v="Mbarara"/>
    <s v="UG"/>
    <n v="1"/>
    <s v="Home"/>
    <s v="KIZUNGU"/>
    <s v="MBARARA"/>
    <s v="UG"/>
    <n v="2"/>
    <s v="Work"/>
    <x v="1"/>
    <n v="1000"/>
    <m/>
    <x v="0"/>
    <n v="0.08"/>
    <x v="3"/>
    <n v="2"/>
    <s v="Manual Labour"/>
    <n v="1"/>
    <x v="2"/>
    <n v="2"/>
    <n v="5"/>
    <n v="4"/>
    <n v="2"/>
    <n v="1"/>
    <s v="Y"/>
    <n v="5000"/>
    <x v="2"/>
  </r>
  <r>
    <s v="19.10.19"/>
    <d v="1899-12-30T12:54:00"/>
    <m/>
    <s v="P"/>
    <n v="2"/>
    <s v="Road Vehicle"/>
    <n v="5"/>
    <x v="2"/>
    <x v="1"/>
    <n v="1"/>
    <x v="0"/>
    <s v="KAZO"/>
    <s v="KIRUHURA"/>
    <s v="UG"/>
    <n v="1"/>
    <s v="Home"/>
    <s v="KAKOOBA"/>
    <s v="MBARARA"/>
    <s v="UG"/>
    <n v="4"/>
    <s v="Commercial"/>
    <x v="0"/>
    <n v="5000"/>
    <n v="20"/>
    <x v="4"/>
    <n v="2.5"/>
    <x v="0"/>
    <n v="5"/>
    <s v="Professional"/>
    <n v="2"/>
    <x v="3"/>
    <n v="2"/>
    <n v="1"/>
    <n v="3"/>
    <n v="4"/>
    <n v="3"/>
    <s v="Y"/>
    <n v="2000"/>
    <x v="1"/>
  </r>
  <r>
    <s v="19.10.19"/>
    <d v="1899-12-30T09:58:00"/>
    <m/>
    <s v="P"/>
    <n v="2"/>
    <s v="Road Vehicle"/>
    <n v="5"/>
    <x v="2"/>
    <x v="1"/>
    <n v="1"/>
    <x v="0"/>
    <s v="KALYANGO"/>
    <s v="SHEEMA"/>
    <s v="UG"/>
    <n v="3"/>
    <s v="Study"/>
    <s v="KAKOOBA"/>
    <s v="MBARARA"/>
    <s v="UG"/>
    <n v="1"/>
    <s v="Home"/>
    <x v="9"/>
    <n v="5000"/>
    <n v="15"/>
    <x v="6"/>
    <n v="1.5"/>
    <x v="1"/>
    <n v="8"/>
    <s v="Student"/>
    <n v="1"/>
    <x v="2"/>
    <n v="3"/>
    <n v="1"/>
    <n v="2"/>
    <n v="5"/>
    <n v="4"/>
    <s v="Y"/>
    <n v="5000"/>
    <x v="2"/>
  </r>
  <r>
    <s v="20.10.19"/>
    <d v="1899-12-30T15:00:00"/>
    <m/>
    <s v="D"/>
    <n v="2"/>
    <s v="Road Vehicle"/>
    <n v="5"/>
    <x v="2"/>
    <x v="0"/>
    <n v="1"/>
    <x v="0"/>
    <s v="KAMPALA TOWN"/>
    <s v="KAMPALA"/>
    <s v="UG"/>
    <n v="2"/>
    <s v="Work"/>
    <s v="RUKUNGIRI TOWN"/>
    <s v="RUKUNGIRI"/>
    <s v="UG"/>
    <n v="1"/>
    <s v="Home"/>
    <x v="4"/>
    <n v="650000"/>
    <n v="380"/>
    <x v="3"/>
    <n v="7"/>
    <x v="2"/>
    <n v="10"/>
    <s v="Other"/>
    <n v="4"/>
    <x v="0"/>
    <n v="1"/>
    <n v="2"/>
    <n v="5"/>
    <n v="4"/>
    <n v="3"/>
    <s v="Y"/>
    <n v="4000"/>
    <x v="0"/>
  </r>
  <r>
    <s v="19.10.19"/>
    <m/>
    <m/>
    <s v="P"/>
    <n v="2"/>
    <s v="Road Vehicle"/>
    <n v="4"/>
    <x v="3"/>
    <x v="1"/>
    <n v="1"/>
    <x v="0"/>
    <s v="MBARARA TOWN"/>
    <s v="Mbarara"/>
    <s v="UG"/>
    <n v="1"/>
    <s v="Home"/>
    <s v="KAMPALA TOWN"/>
    <s v="KAMPALA"/>
    <s v="UG"/>
    <n v="4"/>
    <s v="Commercial"/>
    <x v="0"/>
    <n v="20000"/>
    <n v="160"/>
    <x v="2"/>
    <n v="5"/>
    <x v="2"/>
    <n v="2"/>
    <s v="Manual Labour"/>
    <n v="2"/>
    <x v="3"/>
    <n v="2"/>
    <n v="2"/>
    <n v="1"/>
    <n v="1"/>
    <n v="1"/>
    <s v="Y"/>
    <n v="5000"/>
    <x v="2"/>
  </r>
  <r>
    <s v="20.10.19"/>
    <m/>
    <m/>
    <s v="P"/>
    <n v="2"/>
    <s v="Road Vehicle"/>
    <n v="4"/>
    <x v="3"/>
    <x v="1"/>
    <n v="1"/>
    <x v="0"/>
    <s v="MBARARA TOWN"/>
    <s v="Mbarara"/>
    <s v="UG"/>
    <n v="1"/>
    <s v="Home"/>
    <s v="KAMPALA TOWN"/>
    <s v="KAMPALA"/>
    <s v="UG"/>
    <n v="2"/>
    <s v="Work"/>
    <x v="1"/>
    <n v="20000"/>
    <n v="260"/>
    <x v="3"/>
    <n v="5"/>
    <x v="2"/>
    <n v="2"/>
    <s v="Manual Labour"/>
    <n v="1"/>
    <x v="2"/>
    <n v="5"/>
    <n v="2"/>
    <n v="2"/>
    <n v="2"/>
    <n v="2"/>
    <s v="Y"/>
    <n v="0"/>
    <x v="3"/>
  </r>
  <r>
    <s v="20.10.19"/>
    <m/>
    <m/>
    <s v="P"/>
    <n v="2"/>
    <s v="Road Vehicle"/>
    <n v="4"/>
    <x v="3"/>
    <x v="1"/>
    <n v="1"/>
    <x v="0"/>
    <s v="MBARARA TOWN"/>
    <s v="Mbarara"/>
    <s v="UG"/>
    <n v="1"/>
    <s v="Home"/>
    <s v="KABALE TOWN"/>
    <s v="KABALE"/>
    <s v="UG"/>
    <n v="4"/>
    <s v="Commercial"/>
    <x v="0"/>
    <n v="15000"/>
    <n v="220"/>
    <x v="3"/>
    <n v="3"/>
    <x v="0"/>
    <n v="2"/>
    <s v="Manual Labour"/>
    <n v="1"/>
    <x v="2"/>
    <n v="2"/>
    <n v="2"/>
    <n v="2"/>
    <n v="2"/>
    <n v="2"/>
    <s v="Y"/>
    <n v="0"/>
    <x v="3"/>
  </r>
  <r>
    <s v="18.10.19"/>
    <m/>
    <m/>
    <s v="P"/>
    <n v="2"/>
    <s v="Road Vehicle"/>
    <n v="4"/>
    <x v="3"/>
    <x v="0"/>
    <n v="1"/>
    <x v="0"/>
    <s v="MBARARA TOWN"/>
    <s v="Mbarara"/>
    <s v="UG"/>
    <n v="1"/>
    <s v="Home"/>
    <s v="KASESE TOWN"/>
    <s v="KASESE"/>
    <s v="UG"/>
    <n v="2"/>
    <s v="Work"/>
    <x v="1"/>
    <n v="15000"/>
    <n v="25"/>
    <x v="4"/>
    <n v="3"/>
    <x v="0"/>
    <n v="2"/>
    <s v="Manual Labour"/>
    <n v="5"/>
    <x v="4"/>
    <n v="5"/>
    <n v="1"/>
    <n v="1"/>
    <n v="1"/>
    <n v="1"/>
    <s v="Y"/>
    <n v="5000"/>
    <x v="2"/>
  </r>
  <r>
    <s v="19.10.19"/>
    <m/>
    <m/>
    <s v="D"/>
    <n v="2"/>
    <s v="Road Vehicle"/>
    <n v="4"/>
    <x v="3"/>
    <x v="0"/>
    <n v="1"/>
    <x v="0"/>
    <s v="MBARARA TOWN"/>
    <s v="Mbarara"/>
    <s v="UG"/>
    <n v="1"/>
    <s v="Home"/>
    <s v="MITOMA TOWN"/>
    <s v="MITOMA"/>
    <s v="UG"/>
    <n v="2"/>
    <s v="Work"/>
    <x v="1"/>
    <n v="100000"/>
    <n v="110"/>
    <x v="2"/>
    <n v="4"/>
    <x v="2"/>
    <n v="2"/>
    <s v="Manual Labour"/>
    <n v="1"/>
    <x v="2"/>
    <n v="1"/>
    <n v="1"/>
    <n v="1"/>
    <n v="1"/>
    <n v="1"/>
    <s v="Y"/>
    <n v="5000"/>
    <x v="2"/>
  </r>
  <r>
    <s v="19.10.19"/>
    <m/>
    <m/>
    <s v="D"/>
    <n v="2"/>
    <s v="Road Vehicle"/>
    <n v="4"/>
    <x v="3"/>
    <x v="0"/>
    <n v="1"/>
    <x v="0"/>
    <s v="MBARARA TOWN"/>
    <s v="Mbarara"/>
    <s v="UG"/>
    <n v="2"/>
    <s v="Work"/>
    <s v="ISINGIRO TOWN"/>
    <s v="ISINGIRO"/>
    <s v="UG"/>
    <n v="2"/>
    <s v="Work"/>
    <x v="2"/>
    <n v="100000"/>
    <n v="30"/>
    <x v="4"/>
    <n v="3"/>
    <x v="0"/>
    <n v="2"/>
    <s v="Manual Labour"/>
    <n v="1"/>
    <x v="2"/>
    <n v="4"/>
    <n v="4"/>
    <n v="1"/>
    <n v="1"/>
    <n v="1"/>
    <s v="Y"/>
    <n v="0"/>
    <x v="3"/>
  </r>
  <r>
    <s v="19.10.19"/>
    <m/>
    <m/>
    <s v="D"/>
    <n v="2"/>
    <s v="Road Vehicle"/>
    <n v="4"/>
    <x v="3"/>
    <x v="0"/>
    <n v="1"/>
    <x v="0"/>
    <s v="MBARARA TOWN"/>
    <s v="Mbarara"/>
    <s v="UG"/>
    <n v="1"/>
    <s v="Home"/>
    <s v="IBANDA TOWN"/>
    <s v="IBANDA"/>
    <s v="UG"/>
    <n v="2"/>
    <s v="Work"/>
    <x v="1"/>
    <n v="50000"/>
    <n v="54"/>
    <x v="5"/>
    <n v="1.5"/>
    <x v="1"/>
    <n v="2"/>
    <s v="Manual Labour"/>
    <n v="1"/>
    <x v="2"/>
    <n v="2"/>
    <n v="2"/>
    <n v="1"/>
    <n v="1"/>
    <n v="1"/>
    <s v="Y"/>
    <n v="1000"/>
    <x v="4"/>
  </r>
  <r>
    <s v="19.10.19"/>
    <m/>
    <m/>
    <s v="P"/>
    <n v="2"/>
    <s v="Road Vehicle"/>
    <n v="4"/>
    <x v="3"/>
    <x v="0"/>
    <n v="1"/>
    <x v="0"/>
    <s v="KIROWULE"/>
    <s v="Mbarara"/>
    <s v="UG"/>
    <n v="1"/>
    <s v="Home"/>
    <s v="KIRIHURA TOWN"/>
    <s v="KIRIHURA"/>
    <s v="UG"/>
    <n v="2"/>
    <s v="Work"/>
    <x v="1"/>
    <n v="12000"/>
    <n v="200"/>
    <x v="3"/>
    <n v="4"/>
    <x v="2"/>
    <n v="2"/>
    <s v="Manual Labour"/>
    <n v="1"/>
    <x v="2"/>
    <n v="2"/>
    <n v="2"/>
    <n v="1"/>
    <n v="1"/>
    <n v="1"/>
    <s v="Y"/>
    <n v="0"/>
    <x v="3"/>
  </r>
  <r>
    <s v="19.10.19"/>
    <m/>
    <m/>
    <s v="D"/>
    <n v="2"/>
    <s v="Road Vehicle"/>
    <n v="4"/>
    <x v="3"/>
    <x v="0"/>
    <n v="1"/>
    <x v="0"/>
    <s v="MBARARA TOWN"/>
    <s v="Mbarara"/>
    <s v="UG"/>
    <n v="1"/>
    <s v="Home"/>
    <s v="KAMWENGE TOWN"/>
    <s v="KAMWENGE"/>
    <s v="UG"/>
    <n v="2"/>
    <s v="Work"/>
    <x v="1"/>
    <n v="120000"/>
    <n v="75"/>
    <x v="1"/>
    <n v="2"/>
    <x v="0"/>
    <n v="2"/>
    <s v="Manual Labour"/>
    <n v="2"/>
    <x v="3"/>
    <n v="5"/>
    <n v="2"/>
    <n v="1"/>
    <n v="1"/>
    <n v="1"/>
    <s v="Y"/>
    <n v="0"/>
    <x v="3"/>
  </r>
  <r>
    <s v="20.10.19"/>
    <d v="1899-12-30T13:03:00"/>
    <m/>
    <s v="P"/>
    <n v="2"/>
    <s v="Road Vehicle"/>
    <n v="4"/>
    <x v="3"/>
    <x v="0"/>
    <n v="1"/>
    <x v="0"/>
    <s v="KIDONGO"/>
    <s v="Mbarara"/>
    <s v="UG"/>
    <n v="1"/>
    <s v="Home"/>
    <s v="KIZUNGU"/>
    <s v="MBARARA"/>
    <s v="UG"/>
    <n v="2"/>
    <s v="Work"/>
    <x v="1"/>
    <n v="2000"/>
    <m/>
    <x v="0"/>
    <n v="0.11600000000000001"/>
    <x v="3"/>
    <n v="5"/>
    <s v="Professional"/>
    <n v="2"/>
    <x v="3"/>
    <n v="3"/>
    <n v="4"/>
    <n v="4"/>
    <n v="5"/>
    <n v="5"/>
    <s v="Y"/>
    <n v="10000"/>
    <x v="5"/>
  </r>
  <r>
    <s v="20.10.19"/>
    <d v="1899-12-30T12:25:00"/>
    <m/>
    <s v="P"/>
    <n v="2"/>
    <s v="Road Vehicle"/>
    <n v="4"/>
    <x v="3"/>
    <x v="0"/>
    <n v="1"/>
    <x v="0"/>
    <s v="BWAFULA"/>
    <s v="Mbarara"/>
    <s v="UG"/>
    <n v="1"/>
    <s v="Home"/>
    <s v="KIZUNGU"/>
    <s v="MBARARA"/>
    <s v="UG"/>
    <n v="7"/>
    <s v="Hospital"/>
    <x v="32"/>
    <n v="2000"/>
    <m/>
    <x v="0"/>
    <n v="0.06"/>
    <x v="3"/>
    <n v="2"/>
    <s v="Manual Labour"/>
    <n v="2"/>
    <x v="3"/>
    <n v="5"/>
    <n v="3"/>
    <n v="4"/>
    <n v="1"/>
    <n v="2"/>
    <s v="Y"/>
    <n v="10000"/>
    <x v="5"/>
  </r>
  <r>
    <s v="20.10.19"/>
    <d v="1899-12-30T11:15:00"/>
    <m/>
    <s v="P"/>
    <n v="2"/>
    <s v="Road Vehicle"/>
    <n v="4"/>
    <x v="3"/>
    <x v="0"/>
    <n v="1"/>
    <x v="0"/>
    <s v="KISENYI"/>
    <s v="Mbarara"/>
    <s v="UG"/>
    <n v="1"/>
    <s v="Home"/>
    <s v="MBARARA TOWN"/>
    <s v="MBARARA"/>
    <s v="UG"/>
    <n v="2"/>
    <s v="Work"/>
    <x v="1"/>
    <n v="1000"/>
    <m/>
    <x v="0"/>
    <n v="0.5"/>
    <x v="4"/>
    <n v="6"/>
    <s v="Businessman"/>
    <n v="1"/>
    <x v="2"/>
    <n v="5"/>
    <n v="4"/>
    <n v="3"/>
    <n v="1"/>
    <n v="2"/>
    <s v="Y"/>
    <n v="5000"/>
    <x v="2"/>
  </r>
  <r>
    <s v="20.10.19"/>
    <d v="1899-12-30T11:57:00"/>
    <m/>
    <s v="P"/>
    <n v="2"/>
    <s v="Road Vehicle"/>
    <n v="4"/>
    <x v="3"/>
    <x v="0"/>
    <n v="1"/>
    <x v="0"/>
    <s v="KUBIRI"/>
    <s v="Mbarara"/>
    <s v="UG"/>
    <n v="1"/>
    <s v="Home"/>
    <s v="KIZUNGU"/>
    <s v="MBARARA"/>
    <s v="UG"/>
    <n v="2"/>
    <s v="Work"/>
    <x v="1"/>
    <n v="2000"/>
    <n v="2"/>
    <x v="0"/>
    <n v="0.16600000000000001"/>
    <x v="3"/>
    <n v="6"/>
    <s v="Businessman"/>
    <n v="1"/>
    <x v="2"/>
    <n v="4"/>
    <n v="2"/>
    <n v="4"/>
    <n v="3"/>
    <n v="3"/>
    <s v="Y"/>
    <n v="3000"/>
    <x v="0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MITOMA TOWN"/>
    <s v="MITOMA"/>
    <s v="UG"/>
    <n v="8"/>
    <s v="Others"/>
    <x v="13"/>
    <n v="10000"/>
    <m/>
    <x v="0"/>
    <n v="2.5"/>
    <x v="0"/>
    <n v="2"/>
    <s v="Manual Labour"/>
    <n v="1"/>
    <x v="2"/>
    <n v="5"/>
    <n v="2"/>
    <n v="2"/>
    <n v="2"/>
    <n v="2"/>
    <s v="Y"/>
    <n v="7000"/>
    <x v="2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BUSHENYI TOWN"/>
    <s v="BUSHENYI"/>
    <s v="UG"/>
    <n v="2"/>
    <s v="Work"/>
    <x v="1"/>
    <n v="7000"/>
    <m/>
    <x v="0"/>
    <n v="3"/>
    <x v="0"/>
    <n v="2"/>
    <s v="Manual Labour"/>
    <n v="1"/>
    <x v="2"/>
    <n v="2"/>
    <n v="2"/>
    <n v="2"/>
    <n v="2"/>
    <n v="2"/>
    <s v="Y"/>
    <n v="4000"/>
    <x v="0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KABALE TOWN"/>
    <s v="KABALE"/>
    <s v="UG"/>
    <n v="2"/>
    <s v="Work"/>
    <x v="1"/>
    <n v="15000"/>
    <n v="220"/>
    <x v="3"/>
    <n v="2"/>
    <x v="0"/>
    <n v="3"/>
    <s v="Artisan/Domestic"/>
    <n v="1"/>
    <x v="2"/>
    <n v="2"/>
    <n v="2"/>
    <n v="2"/>
    <n v="2"/>
    <n v="2"/>
    <s v="Y"/>
    <n v="0"/>
    <x v="3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KANUNGU TOWN"/>
    <s v="KANUNGU"/>
    <s v="UG"/>
    <n v="8"/>
    <s v="Others"/>
    <x v="13"/>
    <n v="15000"/>
    <n v="200"/>
    <x v="3"/>
    <n v="5"/>
    <x v="2"/>
    <n v="5"/>
    <s v="Professional"/>
    <n v="2"/>
    <x v="3"/>
    <n v="5"/>
    <n v="2"/>
    <n v="2"/>
    <n v="2"/>
    <n v="2"/>
    <s v="Y"/>
    <n v="0"/>
    <x v="3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IBANDA TOWN"/>
    <s v="IBANDA"/>
    <s v="UG"/>
    <n v="6"/>
    <s v="Leisure/Social"/>
    <x v="8"/>
    <n v="8000"/>
    <n v="45"/>
    <x v="5"/>
    <n v="1"/>
    <x v="1"/>
    <n v="2"/>
    <s v="Manual Labour"/>
    <n v="1"/>
    <x v="2"/>
    <n v="5"/>
    <n v="2"/>
    <n v="2"/>
    <n v="2"/>
    <n v="2"/>
    <s v="Y"/>
    <n v="0"/>
    <x v="3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KASESE TOWN"/>
    <s v="KASESE"/>
    <s v="UG"/>
    <n v="2"/>
    <s v="Work"/>
    <x v="1"/>
    <n v="20000"/>
    <n v="130"/>
    <x v="2"/>
    <n v="1"/>
    <x v="1"/>
    <n v="6"/>
    <s v="Businessman"/>
    <n v="1"/>
    <x v="2"/>
    <n v="5"/>
    <n v="5"/>
    <n v="2"/>
    <n v="2"/>
    <n v="2"/>
    <s v="Y"/>
    <n v="5000"/>
    <x v="2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KAMPALA TOWN"/>
    <s v="KAMPALA"/>
    <s v="UG"/>
    <n v="2"/>
    <s v="Work"/>
    <x v="1"/>
    <n v="20000"/>
    <n v="270"/>
    <x v="3"/>
    <n v="4.5"/>
    <x v="2"/>
    <n v="2"/>
    <s v="Manual Labour"/>
    <n v="1"/>
    <x v="2"/>
    <n v="2"/>
    <n v="2"/>
    <n v="2"/>
    <n v="2"/>
    <n v="2"/>
    <s v="Y"/>
    <n v="3000"/>
    <x v="0"/>
  </r>
  <r>
    <s v="20.10.19"/>
    <m/>
    <m/>
    <s v="P"/>
    <n v="2"/>
    <s v="Road Vehicle"/>
    <n v="4"/>
    <x v="3"/>
    <x v="0"/>
    <n v="1"/>
    <x v="0"/>
    <s v="MBARARA TOWN"/>
    <s v="Mbarara"/>
    <s v="UG"/>
    <n v="1"/>
    <s v="Home"/>
    <s v="MASAKA TOWN"/>
    <s v="MASAKA"/>
    <s v="UG"/>
    <n v="2"/>
    <s v="Work"/>
    <x v="1"/>
    <n v="15000"/>
    <n v="130"/>
    <x v="2"/>
    <n v="1.5"/>
    <x v="1"/>
    <n v="2"/>
    <s v="Manual Labour"/>
    <n v="2"/>
    <x v="3"/>
    <n v="5"/>
    <n v="5"/>
    <n v="2"/>
    <n v="2"/>
    <n v="2"/>
    <s v="Y"/>
    <n v="0"/>
    <x v="3"/>
  </r>
  <r>
    <s v="19.10.19"/>
    <d v="1899-12-30T13:20:00"/>
    <m/>
    <s v="P"/>
    <n v="2"/>
    <s v="Road Vehicle"/>
    <n v="1"/>
    <x v="0"/>
    <x v="1"/>
    <n v="2"/>
    <x v="1"/>
    <s v="NAMITYOBORA"/>
    <s v="Mbarara"/>
    <s v="UG"/>
    <n v="2"/>
    <s v="Work"/>
    <s v="KISENYI"/>
    <s v="MBARARA"/>
    <s v="UG"/>
    <n v="1"/>
    <s v="Home"/>
    <x v="4"/>
    <n v="1000"/>
    <n v="2"/>
    <x v="0"/>
    <n v="0.33"/>
    <x v="3"/>
    <n v="5"/>
    <s v="Professional"/>
    <n v="2"/>
    <x v="3"/>
    <n v="2"/>
    <n v="1"/>
    <n v="3"/>
    <n v="3"/>
    <n v="4"/>
    <s v="Y"/>
    <n v="0"/>
    <x v="3"/>
  </r>
  <r>
    <s v="19.10.19"/>
    <d v="1899-12-30T13:02:00"/>
    <m/>
    <s v="P"/>
    <n v="2"/>
    <s v="Road Vehicle"/>
    <n v="1"/>
    <x v="0"/>
    <x v="1"/>
    <n v="2"/>
    <x v="1"/>
    <s v="NAMUJOMBA"/>
    <s v="Mbarara"/>
    <s v="UG"/>
    <n v="1"/>
    <s v="Home"/>
    <s v="KISENYI"/>
    <s v="MBARARA"/>
    <s v="UG"/>
    <n v="2"/>
    <s v="Work"/>
    <x v="1"/>
    <n v="1000"/>
    <n v="1"/>
    <x v="0"/>
    <n v="0.16"/>
    <x v="3"/>
    <n v="2"/>
    <s v="Manual Labour"/>
    <n v="1"/>
    <x v="2"/>
    <n v="2"/>
    <n v="1"/>
    <n v="3"/>
    <n v="4"/>
    <n v="3"/>
    <s v="Y"/>
    <n v="1000"/>
    <x v="4"/>
  </r>
  <r>
    <s v="18.10.19"/>
    <m/>
    <m/>
    <s v="D"/>
    <n v="2"/>
    <s v="Road Vehicle"/>
    <n v="1"/>
    <x v="0"/>
    <x v="0"/>
    <n v="2"/>
    <x v="1"/>
    <s v="MBARARA TOWN"/>
    <s v="Mbarara"/>
    <s v="UG"/>
    <n v="1"/>
    <s v="Home"/>
    <s v="RUKUNGIRI TOWN"/>
    <s v="RUKUNGIRI"/>
    <s v="UG"/>
    <n v="2"/>
    <s v="Work"/>
    <x v="1"/>
    <n v="400000"/>
    <n v="65"/>
    <x v="5"/>
    <n v="2"/>
    <x v="0"/>
    <n v="2"/>
    <s v="Manual Labour"/>
    <n v="2"/>
    <x v="3"/>
    <n v="5"/>
    <n v="1"/>
    <n v="1"/>
    <n v="1"/>
    <n v="1"/>
    <s v="Y"/>
    <n v="5000"/>
    <x v="2"/>
  </r>
  <r>
    <s v="19.10.19"/>
    <m/>
    <m/>
    <s v="D"/>
    <n v="2"/>
    <s v="Road Vehicle"/>
    <n v="1"/>
    <x v="0"/>
    <x v="0"/>
    <n v="2"/>
    <x v="1"/>
    <s v="MBARARA TOWN"/>
    <s v="Mbarara"/>
    <s v="UG"/>
    <n v="1"/>
    <s v="Home"/>
    <s v="KABAYUNDA"/>
    <s v="ISINGIRO"/>
    <s v="UG"/>
    <n v="2"/>
    <s v="Work"/>
    <x v="1"/>
    <n v="60000"/>
    <n v="80"/>
    <x v="1"/>
    <n v="1.5"/>
    <x v="1"/>
    <n v="5"/>
    <s v="Professional"/>
    <n v="5"/>
    <x v="4"/>
    <n v="5"/>
    <n v="2"/>
    <n v="1"/>
    <n v="1"/>
    <n v="1"/>
    <s v="Y"/>
    <n v="2000"/>
    <x v="1"/>
  </r>
  <r>
    <s v="19.10.19"/>
    <d v="1899-12-30T11:20:00"/>
    <m/>
    <s v="D"/>
    <n v="2"/>
    <s v="Road Vehicle"/>
    <n v="1"/>
    <x v="0"/>
    <x v="0"/>
    <n v="2"/>
    <x v="1"/>
    <s v="KAKOOBA"/>
    <s v="Mbarara"/>
    <s v="UG"/>
    <n v="2"/>
    <s v="Work"/>
    <s v="BIHWARWE"/>
    <s v="MBARARA"/>
    <s v="UG"/>
    <n v="1"/>
    <s v="Home"/>
    <x v="4"/>
    <n v="2000"/>
    <n v="6"/>
    <x v="0"/>
    <n v="0.25"/>
    <x v="3"/>
    <n v="10"/>
    <s v="Other"/>
    <n v="4"/>
    <x v="0"/>
    <n v="2"/>
    <n v="1"/>
    <n v="3"/>
    <n v="3"/>
    <n v="4"/>
    <s v="Y"/>
    <n v="500"/>
    <x v="3"/>
  </r>
  <r>
    <s v="20.10.19"/>
    <d v="1899-12-30T10:00:00"/>
    <m/>
    <s v="D"/>
    <n v="2"/>
    <s v="Road Vehicle"/>
    <n v="1"/>
    <x v="0"/>
    <x v="0"/>
    <n v="2"/>
    <x v="1"/>
    <s v="MBARARA TOWN"/>
    <s v="Mbarara"/>
    <s v="UG"/>
    <n v="2"/>
    <s v="Work"/>
    <s v="ISINGIRO TOWN"/>
    <s v="ISINGIRO"/>
    <s v="UG"/>
    <n v="1"/>
    <s v="Home"/>
    <x v="4"/>
    <n v="40000"/>
    <m/>
    <x v="0"/>
    <n v="1"/>
    <x v="1"/>
    <n v="10"/>
    <s v="Other"/>
    <n v="1"/>
    <x v="2"/>
    <n v="3"/>
    <n v="4"/>
    <n v="2"/>
    <n v="3"/>
    <n v="4"/>
    <s v="Y"/>
    <n v="1000"/>
    <x v="4"/>
  </r>
  <r>
    <s v="20.10.19"/>
    <d v="1899-12-30T10:13:00"/>
    <m/>
    <s v="D"/>
    <n v="2"/>
    <s v="Road Vehicle"/>
    <n v="1"/>
    <x v="0"/>
    <x v="0"/>
    <n v="2"/>
    <x v="1"/>
    <s v="SURVEYOR CELL"/>
    <s v="Mbarara"/>
    <s v="UG"/>
    <n v="1"/>
    <s v="Home"/>
    <s v="MBARARA TOWN"/>
    <s v="MBARARA"/>
    <s v="UG"/>
    <n v="2"/>
    <s v="Work"/>
    <x v="1"/>
    <n v="10000"/>
    <m/>
    <x v="0"/>
    <n v="0.5"/>
    <x v="4"/>
    <n v="6"/>
    <s v="Businessman"/>
    <n v="2"/>
    <x v="3"/>
    <n v="4"/>
    <n v="3"/>
    <n v="2"/>
    <n v="4"/>
    <n v="5"/>
    <s v="Y"/>
    <n v="3000"/>
    <x v="0"/>
  </r>
  <r>
    <s v="20.10.19"/>
    <d v="1899-12-30T09:15:00"/>
    <m/>
    <s v="D"/>
    <n v="2"/>
    <s v="Road Vehicle"/>
    <n v="1"/>
    <x v="0"/>
    <x v="0"/>
    <n v="2"/>
    <x v="1"/>
    <s v="MBARARA TOWN"/>
    <s v="Mbarara"/>
    <s v="UG"/>
    <n v="4"/>
    <s v="Commercial"/>
    <s v="BUSHENYI TOWN"/>
    <s v="BUSHENYI"/>
    <s v="UG"/>
    <n v="4"/>
    <s v="Commercial"/>
    <x v="18"/>
    <n v="50000"/>
    <n v="64"/>
    <x v="5"/>
    <n v="1.5"/>
    <x v="1"/>
    <n v="10"/>
    <s v="Other"/>
    <n v="1"/>
    <x v="2"/>
    <n v="4"/>
    <n v="4"/>
    <n v="1"/>
    <n v="3"/>
    <n v="5"/>
    <s v="Y"/>
    <n v="0"/>
    <x v="3"/>
  </r>
  <r>
    <s v="20.10.19"/>
    <m/>
    <m/>
    <s v="D"/>
    <n v="2"/>
    <s v="Road Vehicle"/>
    <n v="1"/>
    <x v="0"/>
    <x v="0"/>
    <n v="2"/>
    <x v="1"/>
    <s v="MBARARA TOWN"/>
    <s v="Mbarara"/>
    <s v="UG"/>
    <n v="2"/>
    <s v="Work"/>
    <s v="KATETE"/>
    <s v="MBARARA"/>
    <s v="UG"/>
    <n v="1"/>
    <s v="Home"/>
    <x v="4"/>
    <n v="6000"/>
    <n v="15"/>
    <x v="6"/>
    <n v="0.33"/>
    <x v="3"/>
    <n v="6"/>
    <s v="Businessman"/>
    <n v="1"/>
    <x v="2"/>
    <n v="5"/>
    <n v="2"/>
    <n v="2"/>
    <n v="2"/>
    <n v="2"/>
    <s v="Y"/>
    <n v="0"/>
    <x v="3"/>
  </r>
  <r>
    <s v="20.10.19"/>
    <m/>
    <m/>
    <s v="P"/>
    <n v="2"/>
    <s v="Road Vehicle"/>
    <n v="1"/>
    <x v="0"/>
    <x v="0"/>
    <n v="2"/>
    <x v="1"/>
    <s v="MBARARA TOWN"/>
    <s v="Mbarara"/>
    <s v="UG"/>
    <n v="1"/>
    <s v="Home"/>
    <s v="KISASI"/>
    <s v="KAMPALA"/>
    <s v="UG"/>
    <n v="6"/>
    <s v="Leisure/Social"/>
    <x v="8"/>
    <n v="30000"/>
    <n v="260"/>
    <x v="3"/>
    <n v="3"/>
    <x v="0"/>
    <n v="5"/>
    <s v="Professional"/>
    <n v="2"/>
    <x v="3"/>
    <n v="2"/>
    <n v="2"/>
    <n v="2"/>
    <n v="2"/>
    <n v="2"/>
    <s v="Y"/>
    <n v="0"/>
    <x v="3"/>
  </r>
  <r>
    <s v="19.10.19"/>
    <d v="1899-12-30T00:25:00"/>
    <m/>
    <s v="D"/>
    <n v="2"/>
    <s v="Road Vehicle"/>
    <n v="9"/>
    <x v="8"/>
    <x v="0"/>
    <n v="2"/>
    <x v="1"/>
    <s v="KYIMANYA"/>
    <s v="MASAKA"/>
    <s v="UG"/>
    <n v="2"/>
    <s v="Work"/>
    <s v="KANSANGA"/>
    <s v="KAMPALA"/>
    <s v="UG"/>
    <n v="1"/>
    <s v="Home"/>
    <x v="4"/>
    <n v="600000"/>
    <n v="138"/>
    <x v="2"/>
    <n v="3"/>
    <x v="0"/>
    <n v="10"/>
    <s v="Other"/>
    <n v="1"/>
    <x v="2"/>
    <n v="2"/>
    <n v="1"/>
    <n v="3"/>
    <n v="4"/>
    <n v="5"/>
    <s v="Y"/>
    <n v="5000"/>
    <x v="2"/>
  </r>
  <r>
    <s v="18.10.19"/>
    <d v="1899-12-30T16:15:00"/>
    <m/>
    <s v="P"/>
    <n v="2"/>
    <s v="Road Vehicle"/>
    <n v="6"/>
    <x v="1"/>
    <x v="1"/>
    <n v="2"/>
    <x v="1"/>
    <s v="MASAKA TOWN"/>
    <s v="MASAKA"/>
    <s v="UG"/>
    <n v="4"/>
    <s v="Commercial"/>
    <s v="MBARARA TOWN"/>
    <s v="MBARARA"/>
    <s v="UG"/>
    <n v="4"/>
    <s v="Commercial"/>
    <x v="18"/>
    <n v="15000"/>
    <m/>
    <x v="0"/>
    <n v="2"/>
    <x v="0"/>
    <n v="6"/>
    <s v="Businessman"/>
    <n v="5"/>
    <x v="4"/>
    <n v="2"/>
    <n v="4"/>
    <n v="2"/>
    <n v="3"/>
    <n v="2"/>
    <s v="Y"/>
    <n v="500"/>
    <x v="3"/>
  </r>
  <r>
    <s v="18.10.19"/>
    <d v="1899-12-30T15:10:00"/>
    <m/>
    <s v="P"/>
    <n v="2"/>
    <s v="Road Vehicle"/>
    <n v="6"/>
    <x v="1"/>
    <x v="1"/>
    <n v="2"/>
    <x v="1"/>
    <s v="MBARARA TOWN"/>
    <s v="Mbarara"/>
    <s v="UG"/>
    <n v="1"/>
    <s v="Home"/>
    <s v="KAMPALA TOWN"/>
    <s v="KAMPALA"/>
    <s v="UG"/>
    <n v="4"/>
    <s v="Commercial"/>
    <x v="0"/>
    <n v="20000"/>
    <m/>
    <x v="0"/>
    <n v="4.5"/>
    <x v="2"/>
    <n v="6"/>
    <s v="Businessman"/>
    <n v="5"/>
    <x v="4"/>
    <n v="3"/>
    <n v="3"/>
    <n v="3"/>
    <n v="1"/>
    <n v="2"/>
    <s v="Y"/>
    <n v="2000"/>
    <x v="1"/>
  </r>
  <r>
    <s v="18.10.19"/>
    <d v="1899-12-30T15:40:00"/>
    <m/>
    <s v="P"/>
    <n v="2"/>
    <s v="Road Vehicle"/>
    <n v="6"/>
    <x v="1"/>
    <x v="1"/>
    <n v="2"/>
    <x v="1"/>
    <s v="MBARARA TOWN"/>
    <s v="Mbarara"/>
    <s v="UG"/>
    <n v="1"/>
    <s v="Home"/>
    <s v="KAMPALA TOWN"/>
    <s v="KAMPALA"/>
    <s v="UG"/>
    <n v="8"/>
    <s v="Others"/>
    <x v="13"/>
    <n v="20000"/>
    <m/>
    <x v="0"/>
    <n v="5.5"/>
    <x v="2"/>
    <n v="5"/>
    <s v="Professional"/>
    <n v="3"/>
    <x v="1"/>
    <n v="2"/>
    <n v="2"/>
    <n v="4"/>
    <n v="2"/>
    <n v="3"/>
    <s v="Y"/>
    <n v="3000"/>
    <x v="0"/>
  </r>
  <r>
    <s v="20.10.19"/>
    <d v="1899-12-30T17:13:00"/>
    <m/>
    <s v="P"/>
    <n v="2"/>
    <s v="Road Vehicle"/>
    <n v="6"/>
    <x v="1"/>
    <x v="1"/>
    <n v="2"/>
    <x v="1"/>
    <s v="BUSHENYI TOWN"/>
    <s v="bushenyi"/>
    <s v="UG"/>
    <n v="8"/>
    <s v="Others"/>
    <s v="MBARARA TOWN"/>
    <s v="MBARARA"/>
    <s v="UG"/>
    <n v="1"/>
    <s v="Home"/>
    <x v="12"/>
    <n v="6000"/>
    <m/>
    <x v="0"/>
    <n v="0.91"/>
    <x v="4"/>
    <n v="4"/>
    <s v="Office Worker"/>
    <n v="2"/>
    <x v="3"/>
    <n v="3"/>
    <n v="4"/>
    <n v="5"/>
    <n v="2"/>
    <n v="4"/>
    <s v="Y"/>
    <n v="3000"/>
    <x v="0"/>
  </r>
  <r>
    <s v="20.10.19"/>
    <d v="1899-12-30T18:03:00"/>
    <m/>
    <s v="P"/>
    <n v="2"/>
    <s v="Road Vehicle"/>
    <n v="6"/>
    <x v="1"/>
    <x v="1"/>
    <n v="2"/>
    <x v="1"/>
    <s v="KIBAARE"/>
    <s v="Mbarara"/>
    <s v="UG"/>
    <n v="2"/>
    <s v="Work"/>
    <s v="KISORO TOWN"/>
    <s v="KISORO"/>
    <s v="UG"/>
    <n v="1"/>
    <s v="Home"/>
    <x v="4"/>
    <n v="10000"/>
    <n v="74"/>
    <x v="1"/>
    <n v="1.5"/>
    <x v="1"/>
    <n v="6"/>
    <s v="Businessman"/>
    <n v="1"/>
    <x v="2"/>
    <n v="3"/>
    <n v="1"/>
    <n v="4"/>
    <n v="2"/>
    <n v="5"/>
    <s v="Y"/>
    <n v="2000"/>
    <x v="1"/>
  </r>
  <r>
    <s v="20.10.19"/>
    <d v="1899-12-30T14:51:00"/>
    <m/>
    <s v="P"/>
    <n v="2"/>
    <s v="Road Vehicle"/>
    <n v="6"/>
    <x v="1"/>
    <x v="1"/>
    <n v="2"/>
    <x v="1"/>
    <s v="MBARARA TOWN"/>
    <s v="Mbarara"/>
    <s v="UG"/>
    <n v="1"/>
    <s v="Home"/>
    <s v="KAMPALA TOWN"/>
    <s v="KAMPALA"/>
    <s v="UG"/>
    <n v="3"/>
    <s v="Study"/>
    <x v="25"/>
    <n v="20000"/>
    <n v="280"/>
    <x v="3"/>
    <n v="5"/>
    <x v="2"/>
    <n v="8"/>
    <s v="Student"/>
    <n v="1"/>
    <x v="2"/>
    <n v="1"/>
    <n v="2"/>
    <n v="3"/>
    <n v="5"/>
    <n v="4"/>
    <s v="Y"/>
    <n v="0"/>
    <x v="3"/>
  </r>
  <r>
    <s v="20.10.19"/>
    <d v="1899-12-30T14:42:00"/>
    <m/>
    <s v="P"/>
    <n v="2"/>
    <s v="Road Vehicle"/>
    <n v="6"/>
    <x v="1"/>
    <x v="1"/>
    <n v="2"/>
    <x v="1"/>
    <s v="KISENYI"/>
    <s v="Mbarara"/>
    <s v="UG"/>
    <n v="2"/>
    <s v="Work"/>
    <s v="ENTEBBE"/>
    <s v="WAKISO"/>
    <s v="UG"/>
    <n v="1"/>
    <s v="Home"/>
    <x v="4"/>
    <n v="20000"/>
    <n v="270"/>
    <x v="3"/>
    <n v="4.5"/>
    <x v="2"/>
    <n v="4"/>
    <s v="Office Worker"/>
    <n v="3"/>
    <x v="1"/>
    <n v="5"/>
    <n v="4"/>
    <n v="3"/>
    <n v="2"/>
    <n v="1"/>
    <s v="Y"/>
    <n v="3000"/>
    <x v="0"/>
  </r>
  <r>
    <s v="20.10.19"/>
    <d v="1899-12-30T14:38:00"/>
    <m/>
    <s v="P"/>
    <n v="2"/>
    <s v="Road Vehicle"/>
    <n v="6"/>
    <x v="1"/>
    <x v="1"/>
    <n v="2"/>
    <x v="1"/>
    <s v="MBARARA TOWN"/>
    <s v="Mbarara"/>
    <s v="UG"/>
    <n v="2"/>
    <s v="Work"/>
    <s v="KISORO TOWN"/>
    <s v="KISORO"/>
    <s v="UG"/>
    <n v="3"/>
    <s v="Study"/>
    <x v="33"/>
    <n v="40000"/>
    <n v="370"/>
    <x v="3"/>
    <n v="9"/>
    <x v="2"/>
    <n v="4"/>
    <s v="Office Worker"/>
    <n v="3"/>
    <x v="1"/>
    <n v="1"/>
    <n v="2"/>
    <n v="5"/>
    <n v="4"/>
    <n v="3"/>
    <s v="Y"/>
    <n v="0"/>
    <x v="3"/>
  </r>
  <r>
    <s v="18.10.19"/>
    <d v="1899-12-30T17:50:00"/>
    <m/>
    <s v="D"/>
    <n v="2"/>
    <s v="Road Vehicle"/>
    <n v="6"/>
    <x v="1"/>
    <x v="0"/>
    <n v="2"/>
    <x v="1"/>
    <s v="KIRERE"/>
    <s v="SHEEMA"/>
    <s v="UG"/>
    <n v="2"/>
    <s v="Work"/>
    <s v="NANSANA"/>
    <s v="WAKISO"/>
    <s v="UG"/>
    <n v="1"/>
    <s v="Home"/>
    <x v="4"/>
    <n v="800000"/>
    <n v="400"/>
    <x v="3"/>
    <n v="5"/>
    <x v="2"/>
    <n v="10"/>
    <s v="Other"/>
    <n v="1"/>
    <x v="2"/>
    <n v="2"/>
    <n v="4"/>
    <n v="1"/>
    <n v="5"/>
    <n v="3"/>
    <s v="Y"/>
    <n v="10000"/>
    <x v="5"/>
  </r>
  <r>
    <s v="18.10.19"/>
    <d v="1899-12-30T16:20:00"/>
    <m/>
    <s v="D"/>
    <n v="2"/>
    <s v="Road Vehicle"/>
    <n v="6"/>
    <x v="1"/>
    <x v="0"/>
    <n v="2"/>
    <x v="1"/>
    <s v="MBARARA TOWN"/>
    <s v="Mbarara"/>
    <s v="UG"/>
    <n v="2"/>
    <s v="Work"/>
    <s v="KAMPALA TOWN"/>
    <s v="KAMPALA"/>
    <s v="UG"/>
    <n v="1"/>
    <s v="Home"/>
    <x v="4"/>
    <n v="800000"/>
    <n v="215"/>
    <x v="3"/>
    <n v="5"/>
    <x v="2"/>
    <n v="10"/>
    <s v="Other"/>
    <n v="4"/>
    <x v="0"/>
    <n v="2"/>
    <n v="3"/>
    <n v="1"/>
    <n v="4"/>
    <n v="5"/>
    <s v="Y"/>
    <n v="0"/>
    <x v="3"/>
  </r>
  <r>
    <s v="18.10.19"/>
    <d v="1899-12-30T16:26:00"/>
    <m/>
    <s v="D"/>
    <n v="2"/>
    <s v="Road Vehicle"/>
    <n v="6"/>
    <x v="1"/>
    <x v="0"/>
    <n v="2"/>
    <x v="1"/>
    <s v="MBARARA TOWN"/>
    <s v="Mbarara"/>
    <s v="UG"/>
    <n v="2"/>
    <s v="Work"/>
    <s v="KAMPALA TOWN"/>
    <s v="KAMPALA"/>
    <s v="UG"/>
    <n v="1"/>
    <s v="Home"/>
    <x v="4"/>
    <n v="650000"/>
    <n v="200"/>
    <x v="3"/>
    <n v="4.5"/>
    <x v="2"/>
    <n v="10"/>
    <s v="Other"/>
    <n v="3"/>
    <x v="1"/>
    <n v="2"/>
    <n v="3"/>
    <n v="5"/>
    <n v="4"/>
    <n v="1"/>
    <s v="Y"/>
    <n v="6000"/>
    <x v="2"/>
  </r>
  <r>
    <s v="18.10.19"/>
    <d v="1899-12-30T17:05:00"/>
    <m/>
    <s v="D"/>
    <n v="2"/>
    <s v="Road Vehicle"/>
    <n v="6"/>
    <x v="1"/>
    <x v="0"/>
    <n v="2"/>
    <x v="1"/>
    <s v="MBARARA TOWN"/>
    <s v="Mbarara"/>
    <s v="UG"/>
    <n v="2"/>
    <s v="Work"/>
    <s v="KAMPALA TOWN"/>
    <s v="KAMPALA"/>
    <s v="UG"/>
    <n v="1"/>
    <s v="Home"/>
    <x v="4"/>
    <n v="650000"/>
    <n v="217"/>
    <x v="3"/>
    <n v="4.5"/>
    <x v="2"/>
    <n v="10"/>
    <s v="Other"/>
    <n v="4"/>
    <x v="0"/>
    <n v="2"/>
    <n v="1"/>
    <n v="3"/>
    <n v="4"/>
    <n v="5"/>
    <s v="Y"/>
    <n v="0"/>
    <x v="3"/>
  </r>
  <r>
    <s v="18.10.19"/>
    <d v="1899-12-30T17:15:00"/>
    <m/>
    <s v="P"/>
    <n v="2"/>
    <s v="Road Vehicle"/>
    <n v="6"/>
    <x v="1"/>
    <x v="0"/>
    <n v="2"/>
    <x v="1"/>
    <s v="KAMPALA TOWN"/>
    <s v="KAMPALA"/>
    <s v="UG"/>
    <n v="2"/>
    <s v="Work"/>
    <s v="NTUNGAMO TOWN"/>
    <s v="NTUNGAMO"/>
    <s v="UG"/>
    <n v="1"/>
    <s v="Home"/>
    <x v="4"/>
    <n v="30000"/>
    <m/>
    <x v="0"/>
    <n v="5"/>
    <x v="2"/>
    <n v="6"/>
    <s v="Businessman"/>
    <n v="3"/>
    <x v="1"/>
    <n v="2"/>
    <n v="4"/>
    <n v="2"/>
    <n v="2"/>
    <n v="2"/>
    <s v="Y"/>
    <n v="0"/>
    <x v="3"/>
  </r>
  <r>
    <s v="18.10.19"/>
    <d v="1899-12-30T16:55:00"/>
    <m/>
    <s v="P"/>
    <n v="2"/>
    <s v="Road Vehicle"/>
    <n v="6"/>
    <x v="1"/>
    <x v="0"/>
    <n v="2"/>
    <x v="1"/>
    <s v="KAMPALA TOWN"/>
    <s v="KAMPALA"/>
    <s v="UG"/>
    <n v="3"/>
    <s v="Study"/>
    <s v="KABALE TOWN"/>
    <s v="KABALE"/>
    <s v="UG"/>
    <n v="1"/>
    <s v="Home"/>
    <x v="9"/>
    <n v="35000"/>
    <m/>
    <x v="0"/>
    <n v="7"/>
    <x v="2"/>
    <n v="5"/>
    <s v="Professional"/>
    <n v="5"/>
    <x v="4"/>
    <n v="3"/>
    <n v="2"/>
    <n v="2"/>
    <n v="1"/>
    <n v="2"/>
    <s v="Y"/>
    <n v="10000"/>
    <x v="5"/>
  </r>
  <r>
    <s v="18.10.19"/>
    <d v="1899-12-30T15:45:00"/>
    <m/>
    <s v="P"/>
    <n v="2"/>
    <s v="Road Vehicle"/>
    <n v="6"/>
    <x v="1"/>
    <x v="0"/>
    <n v="2"/>
    <x v="1"/>
    <s v="ISHAKA TOWN"/>
    <s v="bushenyi"/>
    <s v="UG"/>
    <n v="1"/>
    <s v="Home"/>
    <s v="MBARARA TOWN"/>
    <s v="MBARARA"/>
    <s v="UG"/>
    <n v="2"/>
    <s v="Work"/>
    <x v="1"/>
    <n v="15000"/>
    <m/>
    <x v="0"/>
    <n v="2"/>
    <x v="0"/>
    <n v="4"/>
    <s v="Office Worker"/>
    <n v="3"/>
    <x v="1"/>
    <n v="2"/>
    <n v="4"/>
    <n v="4"/>
    <n v="2"/>
    <n v="3"/>
    <s v="Y"/>
    <n v="4000"/>
    <x v="0"/>
  </r>
  <r>
    <s v="19.10.19"/>
    <m/>
    <m/>
    <s v="P"/>
    <n v="2"/>
    <s v="Road Vehicle"/>
    <n v="6"/>
    <x v="1"/>
    <x v="0"/>
    <n v="2"/>
    <x v="1"/>
    <s v="MBARARA TOWN"/>
    <s v="Mbarara"/>
    <s v="UG"/>
    <n v="1"/>
    <s v="Home"/>
    <s v="KAMPALA TOWN"/>
    <s v="KAMPALA"/>
    <s v="UG"/>
    <n v="4"/>
    <s v="Commercial"/>
    <x v="0"/>
    <n v="20000"/>
    <n v="260"/>
    <x v="3"/>
    <n v="4"/>
    <x v="2"/>
    <n v="6"/>
    <s v="Businessman"/>
    <n v="2"/>
    <x v="3"/>
    <n v="3"/>
    <n v="4"/>
    <n v="1"/>
    <n v="2"/>
    <n v="2"/>
    <s v="Y"/>
    <n v="5000"/>
    <x v="2"/>
  </r>
  <r>
    <s v="19.10.19"/>
    <d v="1899-12-30T11:15:00"/>
    <m/>
    <s v="P"/>
    <n v="2"/>
    <s v="Road Vehicle"/>
    <n v="6"/>
    <x v="1"/>
    <x v="0"/>
    <n v="2"/>
    <x v="1"/>
    <s v="RWEMIRINZI"/>
    <s v="Mbarara"/>
    <s v="UG"/>
    <n v="1"/>
    <s v="Home"/>
    <s v="KISENYI"/>
    <s v="MBARARA"/>
    <s v="UG"/>
    <n v="2"/>
    <s v="Work"/>
    <x v="1"/>
    <n v="2000"/>
    <n v="3"/>
    <x v="0"/>
    <n v="0.16600000000000001"/>
    <x v="3"/>
    <n v="5"/>
    <s v="Professional"/>
    <n v="3"/>
    <x v="1"/>
    <n v="4"/>
    <n v="5"/>
    <n v="3"/>
    <n v="1"/>
    <n v="2"/>
    <s v="Y"/>
    <n v="1000"/>
    <x v="4"/>
  </r>
  <r>
    <s v="19.10.19"/>
    <d v="1899-12-30T13:12:00"/>
    <m/>
    <s v="P"/>
    <n v="2"/>
    <s v="Road Vehicle"/>
    <n v="6"/>
    <x v="1"/>
    <x v="0"/>
    <n v="2"/>
    <x v="1"/>
    <s v="ISINGIRO TOWN"/>
    <s v="ISINGIRO"/>
    <s v="UG"/>
    <n v="2"/>
    <s v="Work"/>
    <s v="MENGO"/>
    <s v="KAMPALA"/>
    <s v="UG"/>
    <n v="1"/>
    <s v="Home"/>
    <x v="4"/>
    <n v="20000"/>
    <n v="380"/>
    <x v="3"/>
    <n v="6"/>
    <x v="2"/>
    <n v="2"/>
    <s v="Manual Labour"/>
    <n v="1"/>
    <x v="2"/>
    <n v="2"/>
    <n v="1"/>
    <n v="3"/>
    <n v="4"/>
    <n v="3"/>
    <s v="Y"/>
    <n v="500"/>
    <x v="3"/>
  </r>
  <r>
    <s v="19.10.19"/>
    <d v="1899-12-30T10:28:00"/>
    <m/>
    <s v="P"/>
    <n v="2"/>
    <s v="Road Vehicle"/>
    <n v="6"/>
    <x v="1"/>
    <x v="0"/>
    <n v="2"/>
    <x v="1"/>
    <s v="KATETE"/>
    <s v="Mbarara"/>
    <s v="UG"/>
    <n v="2"/>
    <s v="Work"/>
    <s v="KASUBI"/>
    <s v="KAMPALA"/>
    <s v="UG"/>
    <n v="1"/>
    <s v="Home"/>
    <x v="4"/>
    <n v="20000"/>
    <n v="200"/>
    <x v="3"/>
    <n v="4.5"/>
    <x v="2"/>
    <n v="6"/>
    <s v="Businessman"/>
    <n v="3"/>
    <x v="1"/>
    <n v="4"/>
    <n v="3"/>
    <n v="5"/>
    <n v="1"/>
    <n v="2"/>
    <s v="Y"/>
    <n v="5000"/>
    <x v="2"/>
  </r>
  <r>
    <s v="20.10.19"/>
    <d v="1899-12-30T18:01:00"/>
    <m/>
    <s v="P"/>
    <n v="2"/>
    <s v="Road Vehicle"/>
    <n v="6"/>
    <x v="1"/>
    <x v="0"/>
    <n v="2"/>
    <x v="1"/>
    <s v="KIHIHI"/>
    <s v="RUKUNGIRI"/>
    <s v="UG"/>
    <n v="4"/>
    <s v="Commercial"/>
    <s v="MBARARA TOWN"/>
    <s v="MBARARA"/>
    <s v="UG"/>
    <n v="4"/>
    <s v="Commercial"/>
    <x v="18"/>
    <n v="10000"/>
    <m/>
    <x v="0"/>
    <n v="2"/>
    <x v="0"/>
    <n v="6"/>
    <s v="Businessman"/>
    <n v="4"/>
    <x v="0"/>
    <n v="3"/>
    <n v="5"/>
    <n v="1"/>
    <n v="4"/>
    <n v="5"/>
    <s v="Y"/>
    <n v="0"/>
    <x v="3"/>
  </r>
  <r>
    <s v="20.10.19"/>
    <d v="1899-12-30T17:44:00"/>
    <m/>
    <s v="P"/>
    <n v="2"/>
    <s v="Road Vehicle"/>
    <n v="6"/>
    <x v="1"/>
    <x v="0"/>
    <n v="2"/>
    <x v="1"/>
    <s v="MASAKA TOWN"/>
    <s v="MASAKA"/>
    <s v="UG"/>
    <n v="1"/>
    <s v="Home"/>
    <s v="MBARARA TOWN"/>
    <s v="MBARARA"/>
    <s v="UG"/>
    <n v="2"/>
    <s v="Work"/>
    <x v="1"/>
    <n v="10000"/>
    <m/>
    <x v="0"/>
    <n v="2.5"/>
    <x v="0"/>
    <n v="2"/>
    <s v="Manual Labour"/>
    <n v="1"/>
    <x v="2"/>
    <n v="3"/>
    <n v="2"/>
    <n v="1"/>
    <n v="3"/>
    <n v="4"/>
    <s v="Y"/>
    <n v="2000"/>
    <x v="1"/>
  </r>
  <r>
    <s v="20.10.19"/>
    <d v="1899-12-30T16:10:00"/>
    <m/>
    <s v="P"/>
    <n v="2"/>
    <s v="Road Vehicle"/>
    <n v="6"/>
    <x v="1"/>
    <x v="0"/>
    <n v="2"/>
    <x v="1"/>
    <s v="MBARARA TOWN"/>
    <s v="Mbarara"/>
    <s v="UG"/>
    <n v="8"/>
    <s v="Others"/>
    <s v="KAMPALA TOWN"/>
    <s v="KAMPALA"/>
    <s v="UG"/>
    <n v="8"/>
    <s v="Others"/>
    <x v="15"/>
    <n v="20000"/>
    <m/>
    <x v="0"/>
    <n v="5"/>
    <x v="2"/>
    <n v="6"/>
    <s v="Businessman"/>
    <n v="1"/>
    <x v="2"/>
    <n v="3"/>
    <n v="4"/>
    <n v="3"/>
    <n v="2"/>
    <n v="3"/>
    <s v="Y"/>
    <n v="2000"/>
    <x v="1"/>
  </r>
  <r>
    <s v="20.10.19"/>
    <d v="1899-12-30T11:48:00"/>
    <m/>
    <s v="P"/>
    <n v="2"/>
    <s v="Road Vehicle"/>
    <n v="6"/>
    <x v="1"/>
    <x v="0"/>
    <n v="2"/>
    <x v="1"/>
    <s v="ENTEBBE"/>
    <s v="WAKISO"/>
    <s v="UG"/>
    <n v="4"/>
    <s v="Commercial"/>
    <s v="MBARARA TOWN"/>
    <s v="MBARARA"/>
    <s v="UG"/>
    <n v="4"/>
    <s v="Commercial"/>
    <x v="18"/>
    <n v="50000"/>
    <m/>
    <x v="0"/>
    <n v="6"/>
    <x v="2"/>
    <n v="6"/>
    <s v="Businessman"/>
    <n v="2"/>
    <x v="3"/>
    <n v="5"/>
    <n v="4"/>
    <n v="3"/>
    <n v="4"/>
    <n v="2"/>
    <s v="Y"/>
    <n v="10000"/>
    <x v="5"/>
  </r>
  <r>
    <s v="20.10.19"/>
    <d v="1899-12-30T09:25:00"/>
    <m/>
    <s v="P"/>
    <n v="2"/>
    <s v="Road Vehicle"/>
    <n v="6"/>
    <x v="1"/>
    <x v="0"/>
    <n v="2"/>
    <x v="1"/>
    <s v="KISIIZI"/>
    <s v="KANUNGU"/>
    <s v="UG"/>
    <n v="1"/>
    <s v="Home"/>
    <s v="KAMPALA TOWN"/>
    <s v="KAMPALA"/>
    <s v="UG"/>
    <n v="2"/>
    <s v="Work"/>
    <x v="1"/>
    <n v="40000"/>
    <m/>
    <x v="0"/>
    <n v="9"/>
    <x v="2"/>
    <n v="6"/>
    <s v="Businessman"/>
    <n v="4"/>
    <x v="0"/>
    <n v="2"/>
    <n v="4"/>
    <n v="3"/>
    <n v="3"/>
    <n v="4"/>
    <s v="Y"/>
    <n v="5000"/>
    <x v="2"/>
  </r>
  <r>
    <s v="20.10.19"/>
    <d v="1899-12-30T17:21:00"/>
    <m/>
    <s v="P"/>
    <n v="2"/>
    <s v="Road Vehicle"/>
    <n v="6"/>
    <x v="1"/>
    <x v="0"/>
    <n v="2"/>
    <x v="1"/>
    <s v="NTUNGAMO TOWN"/>
    <s v="NTUNGAMO"/>
    <s v="UG"/>
    <n v="8"/>
    <s v="Others"/>
    <s v="MBARARA TOWN"/>
    <s v="MBARARA"/>
    <s v="UG"/>
    <n v="8"/>
    <s v="Others"/>
    <x v="15"/>
    <n v="12000"/>
    <m/>
    <x v="0"/>
    <n v="1.5"/>
    <x v="1"/>
    <n v="2"/>
    <s v="Manual Labour"/>
    <n v="2"/>
    <x v="3"/>
    <n v="3"/>
    <n v="4"/>
    <n v="4"/>
    <n v="3"/>
    <n v="4"/>
    <s v="Y"/>
    <n v="0"/>
    <x v="3"/>
  </r>
  <r>
    <s v="20.10.19"/>
    <d v="1899-12-30T07:37:00"/>
    <m/>
    <s v="D"/>
    <n v="2"/>
    <s v="Road Vehicle"/>
    <n v="6"/>
    <x v="1"/>
    <x v="0"/>
    <n v="2"/>
    <x v="1"/>
    <s v="MWIZI"/>
    <s v="Mbarara"/>
    <s v="UG"/>
    <n v="2"/>
    <s v="Work"/>
    <s v="MASANAFU"/>
    <s v="KAMPALA"/>
    <s v="UG"/>
    <n v="1"/>
    <s v="Home"/>
    <x v="4"/>
    <n v="200000"/>
    <n v="280"/>
    <x v="3"/>
    <n v="5"/>
    <x v="2"/>
    <n v="10"/>
    <s v="Other"/>
    <n v="1"/>
    <x v="2"/>
    <n v="5"/>
    <n v="1"/>
    <n v="2"/>
    <n v="3"/>
    <n v="4"/>
    <s v="Y"/>
    <n v="4000"/>
    <x v="0"/>
  </r>
  <r>
    <s v="20.10.19"/>
    <d v="1899-12-30T08:00:00"/>
    <m/>
    <s v="D"/>
    <n v="2"/>
    <s v="Road Vehicle"/>
    <n v="6"/>
    <x v="1"/>
    <x v="0"/>
    <n v="2"/>
    <x v="1"/>
    <s v="KISENYI"/>
    <s v="Mbarara"/>
    <s v="UG"/>
    <n v="2"/>
    <s v="Work"/>
    <s v="KAMPALA TOWN"/>
    <s v="KAMPALA"/>
    <s v="UG"/>
    <n v="1"/>
    <s v="Home"/>
    <x v="4"/>
    <n v="750000"/>
    <n v="290"/>
    <x v="3"/>
    <n v="4.5"/>
    <x v="2"/>
    <n v="10"/>
    <s v="Other"/>
    <n v="4"/>
    <x v="0"/>
    <n v="2"/>
    <n v="1"/>
    <n v="5"/>
    <n v="4"/>
    <n v="3"/>
    <s v="Y"/>
    <n v="2000"/>
    <x v="1"/>
  </r>
  <r>
    <s v="20.10.19"/>
    <d v="1899-12-30T17:41:00"/>
    <m/>
    <s v="D"/>
    <n v="2"/>
    <s v="Road Vehicle"/>
    <n v="6"/>
    <x v="1"/>
    <x v="0"/>
    <n v="2"/>
    <x v="1"/>
    <s v="KAMPALA TOWN"/>
    <s v="KAMPALA"/>
    <s v="UG"/>
    <n v="2"/>
    <s v="Work"/>
    <s v="MBARARA TOWN"/>
    <s v="MBARARA"/>
    <s v="UG"/>
    <n v="1"/>
    <s v="Home"/>
    <x v="4"/>
    <n v="800000"/>
    <n v="216"/>
    <x v="3"/>
    <n v="5"/>
    <x v="2"/>
    <n v="10"/>
    <s v="Other"/>
    <n v="4"/>
    <x v="0"/>
    <n v="1"/>
    <n v="5"/>
    <n v="4"/>
    <n v="2"/>
    <n v="3"/>
    <s v="Y"/>
    <n v="0"/>
    <x v="3"/>
  </r>
  <r>
    <s v="20.10.19"/>
    <d v="1899-12-30T14:30:00"/>
    <m/>
    <s v="D"/>
    <n v="2"/>
    <s v="Road Vehicle"/>
    <n v="6"/>
    <x v="1"/>
    <x v="0"/>
    <n v="2"/>
    <x v="1"/>
    <s v="KAMPALA TOWN"/>
    <s v="KAMPALA"/>
    <s v="UG"/>
    <n v="2"/>
    <s v="Work"/>
    <s v="KISORO TOWN"/>
    <s v="KISORO"/>
    <s v="UG"/>
    <n v="1"/>
    <s v="Home"/>
    <x v="4"/>
    <n v="650000"/>
    <n v="380"/>
    <x v="3"/>
    <n v="9"/>
    <x v="2"/>
    <n v="10"/>
    <s v="Other"/>
    <n v="4"/>
    <x v="0"/>
    <n v="1"/>
    <n v="2"/>
    <n v="3"/>
    <n v="4"/>
    <n v="5"/>
    <s v="Y"/>
    <n v="2000"/>
    <x v="1"/>
  </r>
  <r>
    <s v="20.10.19"/>
    <d v="1899-12-30T14:02:00"/>
    <m/>
    <s v="D"/>
    <n v="2"/>
    <s v="Road Vehicle"/>
    <n v="6"/>
    <x v="1"/>
    <x v="0"/>
    <n v="2"/>
    <x v="1"/>
    <s v="MBARARA TOWN"/>
    <s v="Mbarara"/>
    <s v="UG"/>
    <n v="2"/>
    <s v="Work"/>
    <s v="KAMPALA TOWN"/>
    <s v="KAMPALA"/>
    <s v="UG"/>
    <n v="1"/>
    <s v="Home"/>
    <x v="4"/>
    <n v="750000"/>
    <n v="300"/>
    <x v="3"/>
    <n v="5.5"/>
    <x v="2"/>
    <n v="10"/>
    <s v="Other"/>
    <n v="3"/>
    <x v="1"/>
    <n v="3"/>
    <n v="4"/>
    <n v="5"/>
    <n v="2"/>
    <n v="1"/>
    <s v="Y"/>
    <n v="1000"/>
    <x v="4"/>
  </r>
  <r>
    <s v="20.10.19"/>
    <d v="1899-12-30T19:42:00"/>
    <m/>
    <s v="D"/>
    <n v="2"/>
    <s v="Road Vehicle"/>
    <n v="6"/>
    <x v="1"/>
    <x v="0"/>
    <n v="2"/>
    <x v="1"/>
    <s v="MBARARA TOWN"/>
    <s v="Mbarara"/>
    <s v="UG"/>
    <n v="2"/>
    <s v="Work"/>
    <s v="KAMPALA TOWN"/>
    <s v="KAMPALA"/>
    <s v="UG"/>
    <n v="1"/>
    <s v="Home"/>
    <x v="4"/>
    <n v="600000"/>
    <n v="215"/>
    <x v="3"/>
    <n v="5"/>
    <x v="2"/>
    <n v="10"/>
    <s v="Other"/>
    <n v="4"/>
    <x v="0"/>
    <n v="1"/>
    <n v="2"/>
    <n v="3"/>
    <n v="4"/>
    <n v="5"/>
    <s v="Y"/>
    <n v="3000"/>
    <x v="0"/>
  </r>
  <r>
    <s v="20.10.19"/>
    <d v="1899-12-30T19:32:00"/>
    <m/>
    <s v="D"/>
    <n v="2"/>
    <s v="Road Vehicle"/>
    <n v="6"/>
    <x v="1"/>
    <x v="0"/>
    <n v="2"/>
    <x v="1"/>
    <s v="NYAMITANGA"/>
    <s v="Mbarara"/>
    <s v="UG"/>
    <n v="1"/>
    <s v="Home"/>
    <s v="KIBULI"/>
    <s v="KAMPALA"/>
    <s v="UG"/>
    <n v="2"/>
    <s v="Work"/>
    <x v="1"/>
    <n v="800000"/>
    <n v="215"/>
    <x v="3"/>
    <n v="4.5"/>
    <x v="2"/>
    <n v="10"/>
    <s v="Other"/>
    <n v="3"/>
    <x v="1"/>
    <n v="2"/>
    <n v="1"/>
    <n v="3"/>
    <n v="4"/>
    <n v="5"/>
    <s v="Y"/>
    <n v="0"/>
    <x v="3"/>
  </r>
  <r>
    <s v="20.10.19"/>
    <m/>
    <m/>
    <s v="P"/>
    <n v="2"/>
    <s v="Road Vehicle"/>
    <n v="6"/>
    <x v="1"/>
    <x v="0"/>
    <n v="2"/>
    <x v="1"/>
    <s v="MBARARA TOWN"/>
    <s v="Mbarara"/>
    <s v="UG"/>
    <n v="1"/>
    <s v="Home"/>
    <s v="KAMPALA TOWN"/>
    <s v="KAMPALA"/>
    <s v="UG"/>
    <n v="2"/>
    <s v="Work"/>
    <x v="1"/>
    <n v="20000"/>
    <n v="160"/>
    <x v="2"/>
    <n v="4"/>
    <x v="2"/>
    <n v="2"/>
    <s v="Manual Labour"/>
    <n v="2"/>
    <x v="3"/>
    <n v="5"/>
    <n v="2"/>
    <n v="2"/>
    <n v="2"/>
    <n v="2"/>
    <s v="Y"/>
    <n v="0"/>
    <x v="3"/>
  </r>
  <r>
    <s v="20.10.19"/>
    <m/>
    <m/>
    <s v="P"/>
    <n v="2"/>
    <s v="Road Vehicle"/>
    <n v="6"/>
    <x v="1"/>
    <x v="0"/>
    <n v="2"/>
    <x v="1"/>
    <s v="MBARARA TOWN"/>
    <s v="Mbarara"/>
    <s v="UG"/>
    <n v="1"/>
    <s v="Home"/>
    <s v="KAMPALA TOWN"/>
    <s v="KAMPALA"/>
    <s v="UG"/>
    <n v="4"/>
    <s v="Commercial"/>
    <x v="0"/>
    <n v="20000"/>
    <n v="260"/>
    <x v="3"/>
    <n v="4"/>
    <x v="2"/>
    <n v="6"/>
    <s v="Businessman"/>
    <n v="1"/>
    <x v="2"/>
    <n v="2"/>
    <n v="2"/>
    <n v="2"/>
    <n v="2"/>
    <n v="2"/>
    <s v="Y"/>
    <n v="0"/>
    <x v="3"/>
  </r>
  <r>
    <s v="20.10.19"/>
    <d v="1899-12-30T18:15:00"/>
    <m/>
    <s v="P"/>
    <n v="2"/>
    <s v="Road Vehicle"/>
    <n v="5"/>
    <x v="2"/>
    <x v="1"/>
    <n v="2"/>
    <x v="1"/>
    <s v="RUKUNGIRI TOWN"/>
    <s v="RUKUNGIRI"/>
    <s v="UG"/>
    <n v="1"/>
    <s v="Home"/>
    <s v="MBARARA TOWN"/>
    <s v="MBARARA"/>
    <s v="UG"/>
    <n v="2"/>
    <s v="Work"/>
    <x v="1"/>
    <n v="15000"/>
    <m/>
    <x v="0"/>
    <n v="2"/>
    <x v="0"/>
    <n v="5"/>
    <s v="Professional"/>
    <n v="3"/>
    <x v="1"/>
    <n v="3"/>
    <n v="3"/>
    <n v="5"/>
    <n v="4"/>
    <n v="4"/>
    <s v="Y"/>
    <n v="10000"/>
    <x v="5"/>
  </r>
  <r>
    <s v="20.10.19"/>
    <d v="1899-12-30T09:59:00"/>
    <m/>
    <s v="P"/>
    <n v="2"/>
    <s v="Road Vehicle"/>
    <n v="5"/>
    <x v="2"/>
    <x v="1"/>
    <n v="2"/>
    <x v="1"/>
    <s v="MBARARA TOWN"/>
    <s v="Mbarara"/>
    <s v="UG"/>
    <n v="2"/>
    <s v="Work"/>
    <s v="RWANYAMAHABE"/>
    <s v="MBARARA"/>
    <s v="UG"/>
    <n v="1"/>
    <s v="Home"/>
    <x v="4"/>
    <n v="20000"/>
    <n v="70"/>
    <x v="1"/>
    <n v="2"/>
    <x v="0"/>
    <n v="10"/>
    <s v="Other"/>
    <n v="4"/>
    <x v="0"/>
    <n v="5"/>
    <n v="3"/>
    <n v="4"/>
    <n v="2"/>
    <n v="1"/>
    <s v="Y"/>
    <n v="8000"/>
    <x v="2"/>
  </r>
  <r>
    <s v="19.10.19"/>
    <d v="1899-12-30T12:11:00"/>
    <m/>
    <s v="P"/>
    <n v="2"/>
    <s v="Road Vehicle"/>
    <n v="5"/>
    <x v="2"/>
    <x v="0"/>
    <n v="2"/>
    <x v="1"/>
    <s v="KAKIIKA"/>
    <s v="Mbarara"/>
    <s v="UG"/>
    <n v="2"/>
    <s v="Work"/>
    <s v="MENGO"/>
    <s v="KAMPALA"/>
    <s v="UG"/>
    <n v="1"/>
    <s v="Home"/>
    <x v="4"/>
    <n v="20000"/>
    <n v="400"/>
    <x v="3"/>
    <n v="4.5"/>
    <x v="2"/>
    <n v="2"/>
    <s v="Manual Labour"/>
    <n v="1"/>
    <x v="2"/>
    <n v="1"/>
    <n v="3"/>
    <n v="2"/>
    <n v="3"/>
    <n v="4"/>
    <s v="Y"/>
    <n v="10000"/>
    <x v="5"/>
  </r>
  <r>
    <s v="20.10.19"/>
    <d v="1899-12-30T10:02:00"/>
    <m/>
    <s v="D"/>
    <n v="2"/>
    <s v="Road Vehicle"/>
    <n v="5"/>
    <x v="2"/>
    <x v="0"/>
    <n v="2"/>
    <x v="1"/>
    <s v="MBARARA TOWN"/>
    <s v="Mbarara"/>
    <s v="UG"/>
    <n v="2"/>
    <s v="Work"/>
    <s v="KAMUKOZI"/>
    <s v="RUSHERE"/>
    <s v="UG"/>
    <n v="1"/>
    <s v="Home"/>
    <x v="4"/>
    <n v="90000"/>
    <n v="86"/>
    <x v="1"/>
    <n v="2"/>
    <x v="0"/>
    <n v="10"/>
    <s v="Other"/>
    <n v="3"/>
    <x v="1"/>
    <n v="5"/>
    <n v="4"/>
    <n v="1"/>
    <n v="2"/>
    <n v="3"/>
    <s v="Y"/>
    <n v="0"/>
    <x v="3"/>
  </r>
  <r>
    <s v="20.10.19"/>
    <d v="1899-12-30T09:01:00"/>
    <m/>
    <s v="D"/>
    <n v="2"/>
    <s v="Road Vehicle"/>
    <n v="5"/>
    <x v="2"/>
    <x v="0"/>
    <n v="2"/>
    <x v="1"/>
    <s v="MBARARA TOWN"/>
    <s v="Mbarara"/>
    <s v="UG"/>
    <n v="1"/>
    <s v="Home"/>
    <s v="KABALE TOWN"/>
    <s v="KABALE"/>
    <s v="UG"/>
    <n v="2"/>
    <s v="Work"/>
    <x v="1"/>
    <n v="250000"/>
    <n v="61"/>
    <x v="5"/>
    <n v="1"/>
    <x v="1"/>
    <n v="10"/>
    <s v="Other"/>
    <n v="3"/>
    <x v="1"/>
    <n v="1"/>
    <n v="2"/>
    <n v="5"/>
    <n v="4"/>
    <n v="3"/>
    <s v="Y"/>
    <n v="2000"/>
    <x v="1"/>
  </r>
  <r>
    <s v="20.10.19"/>
    <d v="1899-12-30T08:27:00"/>
    <m/>
    <s v="D"/>
    <n v="2"/>
    <s v="Road Vehicle"/>
    <n v="5"/>
    <x v="2"/>
    <x v="0"/>
    <n v="2"/>
    <x v="1"/>
    <s v="KISENYI"/>
    <s v="Mbarara"/>
    <s v="UG"/>
    <n v="2"/>
    <s v="Work"/>
    <s v="KABALE TOWN"/>
    <s v="KABALE"/>
    <s v="UG"/>
    <n v="1"/>
    <s v="Home"/>
    <x v="4"/>
    <n v="200000"/>
    <n v="74"/>
    <x v="1"/>
    <n v="1.5"/>
    <x v="1"/>
    <n v="10"/>
    <s v="Other"/>
    <n v="2"/>
    <x v="3"/>
    <n v="2"/>
    <n v="1"/>
    <n v="3"/>
    <n v="4"/>
    <n v="5"/>
    <s v="Y"/>
    <n v="1000"/>
    <x v="4"/>
  </r>
  <r>
    <s v="19.10.19"/>
    <m/>
    <m/>
    <s v="P"/>
    <n v="2"/>
    <s v="Road Vehicle"/>
    <n v="4"/>
    <x v="3"/>
    <x v="1"/>
    <n v="2"/>
    <x v="1"/>
    <s v="MBARARA TOWN"/>
    <s v="Mbarara"/>
    <s v="UG"/>
    <n v="1"/>
    <s v="Home"/>
    <s v="KABUYANDA"/>
    <s v="ISINGIRO"/>
    <s v="UG"/>
    <n v="8"/>
    <s v="Others"/>
    <x v="13"/>
    <n v="15000"/>
    <n v="67"/>
    <x v="5"/>
    <n v="2"/>
    <x v="0"/>
    <n v="7"/>
    <s v="Farmer"/>
    <n v="2"/>
    <x v="3"/>
    <n v="1"/>
    <n v="1"/>
    <n v="1"/>
    <n v="1"/>
    <n v="1"/>
    <s v="Y"/>
    <n v="4000"/>
    <x v="0"/>
  </r>
  <r>
    <s v="19.10.19"/>
    <m/>
    <m/>
    <s v="P"/>
    <n v="2"/>
    <s v="Road Vehicle"/>
    <n v="4"/>
    <x v="3"/>
    <x v="1"/>
    <n v="2"/>
    <x v="1"/>
    <s v="MBARARA TOWN"/>
    <s v="Mbarara"/>
    <s v="UG"/>
    <n v="1"/>
    <s v="Home"/>
    <s v="NYAKITUNDE"/>
    <s v="ISINGIRO"/>
    <s v="UG"/>
    <n v="8"/>
    <s v="Others"/>
    <x v="13"/>
    <n v="15000"/>
    <n v="57"/>
    <x v="5"/>
    <n v="1.5"/>
    <x v="1"/>
    <n v="2"/>
    <s v="Manual Labour"/>
    <n v="1"/>
    <x v="2"/>
    <n v="1"/>
    <n v="1"/>
    <n v="1"/>
    <n v="1"/>
    <n v="1"/>
    <s v="Y"/>
    <n v="4000"/>
    <x v="0"/>
  </r>
  <r>
    <s v="19.10.19"/>
    <m/>
    <m/>
    <s v="P"/>
    <n v="2"/>
    <s v="Road Vehicle"/>
    <n v="4"/>
    <x v="3"/>
    <x v="1"/>
    <n v="2"/>
    <x v="1"/>
    <s v="MBARARA TOWN"/>
    <s v="Mbarara"/>
    <s v="UG"/>
    <n v="1"/>
    <s v="Home"/>
    <s v="ISINGIRO TOWN"/>
    <s v="ISINGIRO"/>
    <s v="UG"/>
    <n v="4"/>
    <s v="Commercial"/>
    <x v="0"/>
    <m/>
    <m/>
    <x v="0"/>
    <m/>
    <x v="3"/>
    <n v="6"/>
    <s v="Businessman"/>
    <n v="2"/>
    <x v="3"/>
    <n v="2"/>
    <n v="2"/>
    <n v="1"/>
    <n v="1"/>
    <n v="1"/>
    <s v="Y"/>
    <n v="1000"/>
    <x v="4"/>
  </r>
  <r>
    <s v="20.10.19"/>
    <d v="1899-12-30T18:25:00"/>
    <m/>
    <s v="P"/>
    <n v="2"/>
    <s v="Road Vehicle"/>
    <n v="4"/>
    <x v="3"/>
    <x v="1"/>
    <n v="2"/>
    <x v="1"/>
    <s v="BUSHENYI TOWN"/>
    <s v="bushenyi"/>
    <s v="UG"/>
    <n v="2"/>
    <s v="Work"/>
    <s v="MBARARA TOWN"/>
    <s v="MBARARA"/>
    <s v="UG"/>
    <n v="8"/>
    <s v="Others"/>
    <x v="19"/>
    <n v="8000"/>
    <m/>
    <x v="0"/>
    <n v="0.93"/>
    <x v="4"/>
    <n v="6"/>
    <s v="Businessman"/>
    <n v="4"/>
    <x v="0"/>
    <n v="2"/>
    <n v="5"/>
    <n v="3"/>
    <n v="5"/>
    <n v="4"/>
    <s v="Y"/>
    <n v="0"/>
    <x v="3"/>
  </r>
  <r>
    <s v="20.10.19"/>
    <d v="1899-12-30T07:16:00"/>
    <m/>
    <s v="P"/>
    <n v="2"/>
    <s v="Road Vehicle"/>
    <n v="4"/>
    <x v="3"/>
    <x v="1"/>
    <n v="2"/>
    <x v="1"/>
    <s v="KIBAALE"/>
    <s v="Mbarara"/>
    <s v="UG"/>
    <n v="4"/>
    <s v="Commercial"/>
    <s v="NTUGAMO TOWN"/>
    <s v="NTUNGAMO"/>
    <s v="UG"/>
    <n v="1"/>
    <s v="Home"/>
    <x v="3"/>
    <n v="5000"/>
    <n v="45"/>
    <x v="5"/>
    <n v="1"/>
    <x v="1"/>
    <n v="6"/>
    <s v="Businessman"/>
    <n v="1"/>
    <x v="2"/>
    <n v="1"/>
    <n v="2"/>
    <n v="3"/>
    <n v="4"/>
    <n v="5"/>
    <s v="Y"/>
    <n v="0"/>
    <x v="3"/>
  </r>
  <r>
    <s v="20.10.19"/>
    <d v="1899-12-30T09:12:00"/>
    <m/>
    <s v="P"/>
    <n v="2"/>
    <s v="Road Vehicle"/>
    <n v="4"/>
    <x v="3"/>
    <x v="1"/>
    <n v="2"/>
    <x v="1"/>
    <s v="MBARARA TOWN"/>
    <s v="Mbarara"/>
    <s v="UG"/>
    <n v="2"/>
    <s v="Work"/>
    <s v="KAMUKUZI"/>
    <s v="RUSHERE"/>
    <s v="UG"/>
    <n v="1"/>
    <s v="Home"/>
    <x v="4"/>
    <n v="70000"/>
    <n v="25"/>
    <x v="4"/>
    <n v="0.45"/>
    <x v="3"/>
    <n v="10"/>
    <s v="Other"/>
    <n v="3"/>
    <x v="1"/>
    <n v="5"/>
    <n v="2"/>
    <n v="4"/>
    <n v="3"/>
    <n v="1"/>
    <s v="Y"/>
    <n v="3000"/>
    <x v="0"/>
  </r>
  <r>
    <s v="20.10.19"/>
    <d v="1899-12-30T18:16:00"/>
    <m/>
    <s v="P"/>
    <n v="2"/>
    <s v="Road Vehicle"/>
    <n v="4"/>
    <x v="3"/>
    <x v="1"/>
    <n v="2"/>
    <x v="1"/>
    <s v="KACHWEKANO"/>
    <s v="Mbarara"/>
    <s v="UG"/>
    <n v="2"/>
    <s v="Work"/>
    <s v="KISENYI"/>
    <s v="MBARARA"/>
    <s v="UG"/>
    <n v="1"/>
    <s v="Home"/>
    <x v="4"/>
    <n v="10000"/>
    <n v="61"/>
    <x v="5"/>
    <n v="1"/>
    <x v="1"/>
    <n v="7"/>
    <s v="Farmer"/>
    <n v="1"/>
    <x v="2"/>
    <n v="1"/>
    <n v="2"/>
    <n v="4"/>
    <n v="5"/>
    <n v="3"/>
    <s v="Y"/>
    <n v="500"/>
    <x v="3"/>
  </r>
  <r>
    <s v="18.10.19"/>
    <m/>
    <m/>
    <s v="D"/>
    <n v="2"/>
    <s v="Road Vehicle"/>
    <n v="4"/>
    <x v="3"/>
    <x v="0"/>
    <n v="2"/>
    <x v="1"/>
    <s v="MBARARA TOWN"/>
    <s v="Mbarara"/>
    <s v="UG"/>
    <n v="1"/>
    <s v="Home"/>
    <s v="KAMPALA TOWN"/>
    <s v="KAMPALA"/>
    <s v="UG"/>
    <n v="2"/>
    <s v="Work"/>
    <x v="1"/>
    <n v="350000"/>
    <n v="286"/>
    <x v="3"/>
    <n v="5"/>
    <x v="2"/>
    <n v="5"/>
    <s v="Professional"/>
    <n v="3"/>
    <x v="1"/>
    <n v="5"/>
    <n v="1"/>
    <n v="1"/>
    <n v="1"/>
    <n v="1"/>
    <s v="Y"/>
    <n v="3000"/>
    <x v="0"/>
  </r>
  <r>
    <s v="18.10.19"/>
    <m/>
    <m/>
    <s v="P"/>
    <n v="2"/>
    <s v="Road Vehicle"/>
    <n v="4"/>
    <x v="3"/>
    <x v="0"/>
    <n v="2"/>
    <x v="1"/>
    <s v="MBARARA TOWN"/>
    <s v="Mbarara"/>
    <s v="UG"/>
    <n v="1"/>
    <s v="Home"/>
    <s v="KAMPALA TOWN"/>
    <s v="KAMPALA"/>
    <s v="UG"/>
    <n v="2"/>
    <s v="Work"/>
    <x v="1"/>
    <n v="20000"/>
    <n v="160"/>
    <x v="2"/>
    <n v="5"/>
    <x v="2"/>
    <n v="2"/>
    <s v="Manual Labour"/>
    <n v="1"/>
    <x v="2"/>
    <n v="1"/>
    <n v="3"/>
    <n v="1"/>
    <n v="1"/>
    <n v="1"/>
    <s v="Y"/>
    <n v="3000"/>
    <x v="0"/>
  </r>
  <r>
    <s v="18.10.19"/>
    <m/>
    <m/>
    <s v="D"/>
    <n v="2"/>
    <s v="Road Vehicle"/>
    <n v="4"/>
    <x v="3"/>
    <x v="0"/>
    <n v="2"/>
    <x v="1"/>
    <s v="MBARARA TOWN"/>
    <s v="Mbarara"/>
    <s v="UG"/>
    <n v="1"/>
    <s v="Home"/>
    <s v="RUKUNGIRI TOWN"/>
    <s v="RUKUNGIRI"/>
    <s v="UG"/>
    <n v="2"/>
    <s v="Work"/>
    <x v="1"/>
    <n v="90000"/>
    <m/>
    <x v="0"/>
    <n v="5"/>
    <x v="2"/>
    <n v="2"/>
    <s v="Manual Labour"/>
    <n v="3"/>
    <x v="1"/>
    <n v="5"/>
    <n v="1"/>
    <n v="1"/>
    <n v="1"/>
    <n v="1"/>
    <s v="Y"/>
    <n v="1000"/>
    <x v="4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RUKUNGIRI TOWN"/>
    <s v="RUKUNGIRI"/>
    <s v="UG"/>
    <n v="2"/>
    <s v="Work"/>
    <x v="1"/>
    <n v="130000"/>
    <n v="47"/>
    <x v="5"/>
    <n v="3"/>
    <x v="0"/>
    <n v="2"/>
    <s v="Manual Labour"/>
    <n v="2"/>
    <x v="3"/>
    <n v="5"/>
    <n v="2"/>
    <n v="1"/>
    <n v="1"/>
    <n v="1"/>
    <s v="Y"/>
    <n v="2000"/>
    <x v="1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MUBENDE TOWN"/>
    <s v="MUBENDE"/>
    <s v="UG"/>
    <n v="2"/>
    <s v="Work"/>
    <x v="1"/>
    <n v="250000"/>
    <n v="250"/>
    <x v="3"/>
    <n v="4"/>
    <x v="2"/>
    <n v="2"/>
    <s v="Manual Labour"/>
    <n v="1"/>
    <x v="2"/>
    <n v="5"/>
    <n v="2"/>
    <n v="1"/>
    <n v="1"/>
    <n v="1"/>
    <s v="Y"/>
    <n v="0"/>
    <x v="3"/>
  </r>
  <r>
    <s v="19.10.19"/>
    <m/>
    <m/>
    <s v="P"/>
    <n v="2"/>
    <s v="Road Vehicle"/>
    <n v="4"/>
    <x v="3"/>
    <x v="0"/>
    <n v="2"/>
    <x v="1"/>
    <s v="MBARARA TOWN"/>
    <s v="Mbarara"/>
    <s v="UG"/>
    <n v="1"/>
    <s v="Home"/>
    <s v="ISINGIRO TOWN"/>
    <s v="ISINGIRO"/>
    <s v="UG"/>
    <n v="1"/>
    <s v="Home"/>
    <x v="16"/>
    <n v="10000"/>
    <n v="45"/>
    <x v="5"/>
    <n v="3"/>
    <x v="0"/>
    <n v="2"/>
    <s v="Manual Labour"/>
    <n v="1"/>
    <x v="2"/>
    <n v="1"/>
    <n v="1"/>
    <n v="1"/>
    <n v="1"/>
    <n v="1"/>
    <s v="Y"/>
    <n v="5000"/>
    <x v="2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KYEGWEGWA TOWN"/>
    <s v="KYEGEGWA"/>
    <s v="UG"/>
    <n v="2"/>
    <s v="Work"/>
    <x v="1"/>
    <n v="220000"/>
    <n v="200"/>
    <x v="3"/>
    <n v="3.5"/>
    <x v="2"/>
    <n v="2"/>
    <s v="Manual Labour"/>
    <n v="4"/>
    <x v="0"/>
    <n v="5"/>
    <n v="4"/>
    <n v="1"/>
    <n v="1"/>
    <n v="1"/>
    <s v="Y"/>
    <n v="0"/>
    <x v="3"/>
  </r>
  <r>
    <s v="19.10.19"/>
    <m/>
    <m/>
    <s v="P"/>
    <n v="2"/>
    <s v="Road Vehicle"/>
    <n v="4"/>
    <x v="3"/>
    <x v="0"/>
    <n v="2"/>
    <x v="1"/>
    <s v="MBARARA TOWN"/>
    <s v="Mbarara"/>
    <s v="UG"/>
    <n v="1"/>
    <s v="Home"/>
    <s v="KYEGEGWA TOWN"/>
    <s v="KYEGEGWA"/>
    <s v="UG"/>
    <n v="8"/>
    <s v="Others"/>
    <x v="13"/>
    <n v="25000"/>
    <n v="190"/>
    <x v="2"/>
    <n v="4"/>
    <x v="2"/>
    <n v="5"/>
    <s v="Professional"/>
    <n v="1"/>
    <x v="2"/>
    <n v="5"/>
    <n v="2"/>
    <n v="1"/>
    <n v="1"/>
    <n v="1"/>
    <s v="Y"/>
    <n v="1000"/>
    <x v="4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IBANDA TOWN"/>
    <s v="IBANDA"/>
    <s v="UG"/>
    <n v="2"/>
    <s v="Work"/>
    <x v="1"/>
    <n v="520000"/>
    <n v="75"/>
    <x v="1"/>
    <n v="2"/>
    <x v="0"/>
    <n v="5"/>
    <s v="Professional"/>
    <n v="4"/>
    <x v="0"/>
    <n v="5"/>
    <n v="2"/>
    <n v="1"/>
    <n v="1"/>
    <n v="1"/>
    <s v="Y"/>
    <n v="4000"/>
    <x v="0"/>
  </r>
  <r>
    <s v="19.10.19"/>
    <m/>
    <m/>
    <s v="P"/>
    <n v="2"/>
    <s v="Road Vehicle"/>
    <n v="4"/>
    <x v="3"/>
    <x v="0"/>
    <n v="2"/>
    <x v="1"/>
    <s v="MBARARA TOWN"/>
    <s v="Mbarara"/>
    <s v="UG"/>
    <n v="1"/>
    <s v="Home"/>
    <s v="ISINGIRO TOWN"/>
    <s v="ISINGIRO"/>
    <s v="UG"/>
    <n v="8"/>
    <s v="Others"/>
    <x v="13"/>
    <m/>
    <m/>
    <x v="0"/>
    <m/>
    <x v="3"/>
    <n v="7"/>
    <s v="Farmer"/>
    <n v="1"/>
    <x v="2"/>
    <n v="5"/>
    <n v="2"/>
    <n v="1"/>
    <n v="1"/>
    <n v="1"/>
    <s v="Y"/>
    <n v="5000"/>
    <x v="2"/>
  </r>
  <r>
    <s v="19.10.19"/>
    <m/>
    <m/>
    <s v="P"/>
    <n v="2"/>
    <s v="Road Vehicle"/>
    <n v="4"/>
    <x v="3"/>
    <x v="0"/>
    <n v="2"/>
    <x v="1"/>
    <s v="MBARARA TOWN"/>
    <s v="Mbarara"/>
    <s v="UG"/>
    <n v="1"/>
    <s v="Home"/>
    <s v="NTUNGU"/>
    <s v="ISINGIRO"/>
    <s v="UG"/>
    <n v="2"/>
    <s v="Work"/>
    <x v="1"/>
    <n v="10000"/>
    <n v="30"/>
    <x v="4"/>
    <n v="2.5"/>
    <x v="0"/>
    <n v="2"/>
    <s v="Manual Labour"/>
    <n v="1"/>
    <x v="2"/>
    <n v="2"/>
    <n v="2"/>
    <n v="1"/>
    <n v="1"/>
    <n v="1"/>
    <s v="Y"/>
    <n v="10000"/>
    <x v="5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KAMWENGE TOWN"/>
    <s v="KAMWENGE"/>
    <s v="UG"/>
    <n v="2"/>
    <s v="Work"/>
    <x v="1"/>
    <n v="150000"/>
    <n v="75"/>
    <x v="1"/>
    <n v="3"/>
    <x v="0"/>
    <n v="5"/>
    <s v="Professional"/>
    <n v="4"/>
    <x v="0"/>
    <n v="5"/>
    <n v="2"/>
    <n v="1"/>
    <n v="1"/>
    <n v="1"/>
    <s v="Y"/>
    <n v="2000"/>
    <x v="1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FORTPORTAL TOWN"/>
    <s v="FORTPORTAL"/>
    <s v="UG"/>
    <n v="2"/>
    <s v="Work"/>
    <x v="1"/>
    <n v="250000"/>
    <n v="200"/>
    <x v="3"/>
    <n v="2"/>
    <x v="0"/>
    <n v="5"/>
    <s v="Professional"/>
    <n v="4"/>
    <x v="0"/>
    <n v="2"/>
    <n v="2"/>
    <n v="1"/>
    <n v="1"/>
    <n v="1"/>
    <s v="Y"/>
    <n v="3000"/>
    <x v="0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SEMBABULE TOWN"/>
    <s v="SEMBABULE"/>
    <s v="UG"/>
    <n v="2"/>
    <s v="Work"/>
    <x v="1"/>
    <n v="210000"/>
    <n v="250"/>
    <x v="3"/>
    <n v="3"/>
    <x v="0"/>
    <n v="5"/>
    <s v="Professional"/>
    <n v="4"/>
    <x v="0"/>
    <n v="5"/>
    <n v="4"/>
    <n v="1"/>
    <n v="1"/>
    <n v="1"/>
    <s v="Y"/>
    <n v="0"/>
    <x v="3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KAKITUMBI"/>
    <s v="MBARARA"/>
    <s v="UG"/>
    <n v="2"/>
    <s v="Work"/>
    <x v="1"/>
    <n v="75000"/>
    <n v="20"/>
    <x v="4"/>
    <n v="1.5"/>
    <x v="1"/>
    <n v="5"/>
    <s v="Professional"/>
    <n v="3"/>
    <x v="1"/>
    <n v="2"/>
    <n v="2"/>
    <n v="1"/>
    <n v="1"/>
    <n v="1"/>
    <s v="Y"/>
    <n v="0"/>
    <x v="3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FORTPORTAL TOWN"/>
    <s v="FORTPORTAL"/>
    <s v="UG"/>
    <n v="2"/>
    <s v="Work"/>
    <x v="1"/>
    <n v="220000"/>
    <n v="207"/>
    <x v="3"/>
    <n v="1.5"/>
    <x v="1"/>
    <n v="5"/>
    <s v="Professional"/>
    <n v="5"/>
    <x v="4"/>
    <n v="5"/>
    <n v="4"/>
    <n v="1"/>
    <n v="1"/>
    <n v="1"/>
    <s v="Y"/>
    <n v="0"/>
    <x v="3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RUKUNGIRI TOWN"/>
    <s v="RUKUNGIRI"/>
    <s v="UG"/>
    <n v="2"/>
    <s v="Work"/>
    <x v="1"/>
    <n v="450000"/>
    <n v="65"/>
    <x v="5"/>
    <n v="2.5"/>
    <x v="0"/>
    <n v="2"/>
    <s v="Manual Labour"/>
    <n v="3"/>
    <x v="1"/>
    <n v="5"/>
    <n v="3"/>
    <n v="1"/>
    <n v="1"/>
    <n v="1"/>
    <s v="Y"/>
    <n v="5000"/>
    <x v="2"/>
  </r>
  <r>
    <s v="19.10.19"/>
    <m/>
    <m/>
    <s v="D"/>
    <n v="2"/>
    <s v="Road Vehicle"/>
    <n v="4"/>
    <x v="3"/>
    <x v="0"/>
    <n v="2"/>
    <x v="1"/>
    <s v="MBARARA TOWN"/>
    <s v="Mbarara"/>
    <s v="UG"/>
    <n v="1"/>
    <s v="Home"/>
    <s v="RUKUNGIRI TOWN"/>
    <s v="RUKUNGIRI"/>
    <s v="UG"/>
    <n v="2"/>
    <s v="Work"/>
    <x v="1"/>
    <n v="150000"/>
    <n v="80"/>
    <x v="1"/>
    <n v="3"/>
    <x v="0"/>
    <n v="5"/>
    <s v="Professional"/>
    <n v="4"/>
    <x v="0"/>
    <n v="5"/>
    <n v="3"/>
    <n v="1"/>
    <n v="1"/>
    <n v="1"/>
    <s v="Y"/>
    <n v="5000"/>
    <x v="2"/>
  </r>
  <r>
    <s v="19.10.19"/>
    <d v="1899-12-30T13:30:00"/>
    <m/>
    <s v="P"/>
    <n v="2"/>
    <s v="Road Vehicle"/>
    <n v="4"/>
    <x v="3"/>
    <x v="0"/>
    <n v="2"/>
    <x v="1"/>
    <s v="KAKIIKA"/>
    <s v="Mbarara"/>
    <s v="UG"/>
    <n v="2"/>
    <s v="Work"/>
    <s v="NAMITANGA"/>
    <s v="MBARARA"/>
    <s v="UG"/>
    <n v="1"/>
    <s v="Home"/>
    <x v="4"/>
    <n v="10000"/>
    <n v="2"/>
    <x v="0"/>
    <n v="0.16"/>
    <x v="3"/>
    <n v="10"/>
    <s v="Other"/>
    <n v="3"/>
    <x v="1"/>
    <n v="4"/>
    <n v="3"/>
    <n v="1"/>
    <n v="5"/>
    <n v="2"/>
    <s v="Y"/>
    <n v="0"/>
    <x v="3"/>
  </r>
  <r>
    <s v="20.10.19"/>
    <d v="1899-12-30T11:26:00"/>
    <m/>
    <s v="P"/>
    <n v="2"/>
    <s v="Road Vehicle"/>
    <n v="4"/>
    <x v="3"/>
    <x v="0"/>
    <n v="2"/>
    <x v="1"/>
    <s v="KATEETE"/>
    <s v="Mbarara"/>
    <s v="UG"/>
    <n v="1"/>
    <s v="Home"/>
    <s v="KIZUNGU"/>
    <s v="MBARARA"/>
    <s v="UG"/>
    <n v="2"/>
    <s v="Work"/>
    <x v="1"/>
    <n v="3000"/>
    <n v="5"/>
    <x v="0"/>
    <n v="0.25"/>
    <x v="3"/>
    <n v="6"/>
    <s v="Businessman"/>
    <n v="2"/>
    <x v="3"/>
    <n v="4"/>
    <n v="3"/>
    <n v="5"/>
    <n v="4"/>
    <n v="2"/>
    <s v="Y"/>
    <n v="1000"/>
    <x v="4"/>
  </r>
  <r>
    <s v="20.10.19"/>
    <d v="1899-12-30T11:01:00"/>
    <m/>
    <s v="P"/>
    <n v="2"/>
    <s v="Road Vehicle"/>
    <n v="4"/>
    <x v="3"/>
    <x v="0"/>
    <n v="2"/>
    <x v="1"/>
    <s v="NYAMITENGA"/>
    <s v="Mbarara"/>
    <s v="UG"/>
    <n v="1"/>
    <s v="Home"/>
    <s v="MBARARA TOWN"/>
    <s v="MBARARA"/>
    <s v="UG"/>
    <n v="2"/>
    <s v="Work"/>
    <x v="1"/>
    <n v="6000"/>
    <n v="3"/>
    <x v="0"/>
    <n v="0.33"/>
    <x v="3"/>
    <n v="6"/>
    <s v="Businessman"/>
    <n v="1"/>
    <x v="2"/>
    <n v="4"/>
    <n v="2"/>
    <n v="4"/>
    <n v="3"/>
    <n v="5"/>
    <s v="Y"/>
    <n v="1000"/>
    <x v="4"/>
  </r>
  <r>
    <s v="20.10.19"/>
    <d v="1899-12-30T10:53:00"/>
    <m/>
    <s v="P"/>
    <n v="2"/>
    <s v="Road Vehicle"/>
    <n v="4"/>
    <x v="3"/>
    <x v="0"/>
    <n v="2"/>
    <x v="1"/>
    <s v="KAKIIKA"/>
    <s v="Mbarara"/>
    <s v="UG"/>
    <n v="1"/>
    <s v="Home"/>
    <s v="MBARARA TOWN"/>
    <s v="MBARARA"/>
    <s v="UG"/>
    <n v="2"/>
    <s v="Work"/>
    <x v="1"/>
    <n v="2000"/>
    <n v="2"/>
    <x v="0"/>
    <n v="0.16"/>
    <x v="3"/>
    <n v="6"/>
    <s v="Businessman"/>
    <n v="1"/>
    <x v="2"/>
    <n v="5"/>
    <n v="4"/>
    <n v="4"/>
    <n v="2"/>
    <n v="3"/>
    <s v="Y"/>
    <n v="5000"/>
    <x v="2"/>
  </r>
  <r>
    <s v="20.10.19"/>
    <d v="1899-12-30T10:41:00"/>
    <m/>
    <s v="P"/>
    <n v="2"/>
    <s v="Road Vehicle"/>
    <n v="4"/>
    <x v="3"/>
    <x v="0"/>
    <n v="2"/>
    <x v="1"/>
    <s v="ANDREWS"/>
    <s v="Mbarara"/>
    <s v="UG"/>
    <n v="1"/>
    <s v="Home"/>
    <s v="MBARARA TOWN"/>
    <s v="MBARARA"/>
    <s v="UG"/>
    <n v="2"/>
    <s v="Work"/>
    <x v="1"/>
    <n v="1500"/>
    <n v="2"/>
    <x v="0"/>
    <n v="0.13300000000000001"/>
    <x v="3"/>
    <n v="4"/>
    <s v="Office Worker"/>
    <n v="1"/>
    <x v="2"/>
    <n v="2"/>
    <n v="3"/>
    <n v="1"/>
    <n v="5"/>
    <n v="4"/>
    <s v="Y"/>
    <n v="5000"/>
    <x v="2"/>
  </r>
  <r>
    <s v="20.10.19"/>
    <m/>
    <m/>
    <s v="P"/>
    <n v="2"/>
    <s v="Road Vehicle"/>
    <n v="4"/>
    <x v="3"/>
    <x v="0"/>
    <n v="2"/>
    <x v="1"/>
    <s v="MBARARA TOWN"/>
    <s v="Mbarara"/>
    <s v="UG"/>
    <n v="1"/>
    <s v="Home"/>
    <s v="KAMPALA TOWN"/>
    <s v="KAMPALA"/>
    <s v="UG"/>
    <n v="4"/>
    <s v="Commercial"/>
    <x v="0"/>
    <n v="20000"/>
    <n v="240"/>
    <x v="3"/>
    <n v="4"/>
    <x v="2"/>
    <n v="6"/>
    <s v="Businessman"/>
    <n v="1"/>
    <x v="2"/>
    <n v="2"/>
    <n v="2"/>
    <n v="2"/>
    <n v="2"/>
    <n v="2"/>
    <s v="Y"/>
    <n v="4000"/>
    <x v="0"/>
  </r>
  <r>
    <s v="20.10.19"/>
    <m/>
    <m/>
    <s v="P"/>
    <n v="2"/>
    <s v="Road Vehicle"/>
    <n v="4"/>
    <x v="3"/>
    <x v="0"/>
    <n v="2"/>
    <x v="1"/>
    <s v="MBARARA TOWN"/>
    <s v="Mbarara"/>
    <s v="UG"/>
    <n v="1"/>
    <s v="Home"/>
    <s v="NTUGAMO TOWN"/>
    <s v="NTUNGAMO"/>
    <s v="UG"/>
    <n v="2"/>
    <s v="Work"/>
    <x v="1"/>
    <n v="7000"/>
    <n v="50"/>
    <x v="5"/>
    <n v="1"/>
    <x v="1"/>
    <n v="2"/>
    <s v="Manual Labour"/>
    <n v="1"/>
    <x v="2"/>
    <n v="2"/>
    <n v="2"/>
    <n v="2"/>
    <n v="2"/>
    <n v="2"/>
    <s v="Y"/>
    <n v="0"/>
    <x v="3"/>
  </r>
  <r>
    <s v="20.10.19"/>
    <m/>
    <m/>
    <s v="P"/>
    <n v="2"/>
    <s v="Road Vehicle"/>
    <n v="4"/>
    <x v="3"/>
    <x v="0"/>
    <n v="2"/>
    <x v="1"/>
    <s v="MBARARA TOWN"/>
    <s v="Mbarara"/>
    <s v="UG"/>
    <n v="1"/>
    <s v="Home"/>
    <s v="BUSHENYI TOWN"/>
    <s v="BUSHENYI"/>
    <s v="UG"/>
    <n v="2"/>
    <s v="Work"/>
    <x v="1"/>
    <n v="7000"/>
    <n v="75"/>
    <x v="1"/>
    <n v="1.5"/>
    <x v="1"/>
    <n v="5"/>
    <s v="Professional"/>
    <n v="2"/>
    <x v="3"/>
    <n v="5"/>
    <n v="5"/>
    <n v="2"/>
    <n v="2"/>
    <n v="2"/>
    <s v="Y"/>
    <n v="5000"/>
    <x v="2"/>
  </r>
  <r>
    <s v="20.10.19"/>
    <m/>
    <m/>
    <s v="D"/>
    <n v="2"/>
    <s v="Road Vehicle"/>
    <n v="3"/>
    <x v="9"/>
    <x v="0"/>
    <n v="2"/>
    <x v="1"/>
    <s v="MBARARA TOWN"/>
    <s v="Mbarara"/>
    <s v="UG"/>
    <n v="1"/>
    <s v="Home"/>
    <s v="BAGUMA"/>
    <s v="MBARARA"/>
    <s v="UG"/>
    <n v="2"/>
    <s v="Work"/>
    <x v="1"/>
    <n v="8000"/>
    <n v="66"/>
    <x v="5"/>
    <n v="1.5"/>
    <x v="1"/>
    <n v="2"/>
    <s v="Manual Labour"/>
    <n v="1"/>
    <x v="2"/>
    <n v="2"/>
    <n v="2"/>
    <n v="2"/>
    <n v="2"/>
    <n v="2"/>
    <s v="Y"/>
    <n v="7000"/>
    <x v="2"/>
  </r>
  <r>
    <s v="18.10.19"/>
    <d v="1899-12-30T15:04:00"/>
    <m/>
    <s v="D"/>
    <n v="2"/>
    <s v="Road Vehicle"/>
    <n v="6"/>
    <x v="1"/>
    <x v="0"/>
    <n v="3"/>
    <x v="2"/>
    <s v="KIBAARE"/>
    <s v="Mbarara"/>
    <s v="UG"/>
    <n v="2"/>
    <s v="Work"/>
    <s v="KISENYI"/>
    <s v="KAMPALA"/>
    <s v="UG"/>
    <n v="1"/>
    <s v="Home"/>
    <x v="4"/>
    <n v="750000"/>
    <n v="280"/>
    <x v="3"/>
    <n v="5"/>
    <x v="2"/>
    <n v="10"/>
    <s v="Other"/>
    <n v="3"/>
    <x v="1"/>
    <n v="1"/>
    <n v="2"/>
    <n v="5"/>
    <n v="4"/>
    <n v="5"/>
    <s v="Y"/>
    <n v="5000"/>
    <x v="2"/>
  </r>
  <r>
    <s v="18.10.19"/>
    <d v="1899-12-30T15:20:00"/>
    <m/>
    <s v="D"/>
    <n v="2"/>
    <s v="Road Vehicle"/>
    <n v="6"/>
    <x v="1"/>
    <x v="0"/>
    <n v="3"/>
    <x v="2"/>
    <s v="MWIZI"/>
    <s v="Mbarara"/>
    <s v="UG"/>
    <n v="1"/>
    <s v="Home"/>
    <s v="KAMPALA TOWN"/>
    <s v="KAMPALA"/>
    <s v="UG"/>
    <n v="2"/>
    <s v="Work"/>
    <x v="1"/>
    <n v="650000"/>
    <n v="215"/>
    <x v="3"/>
    <n v="4"/>
    <x v="2"/>
    <n v="10"/>
    <s v="Other"/>
    <n v="3"/>
    <x v="1"/>
    <n v="2"/>
    <n v="3"/>
    <n v="4"/>
    <n v="5"/>
    <n v="1"/>
    <s v="Y"/>
    <n v="4000"/>
    <x v="0"/>
  </r>
  <r>
    <s v="18.10.19"/>
    <d v="1899-12-30T15:37:00"/>
    <m/>
    <s v="D"/>
    <n v="2"/>
    <s v="Road Vehicle"/>
    <n v="6"/>
    <x v="1"/>
    <x v="0"/>
    <n v="3"/>
    <x v="2"/>
    <s v="KAMUKOZI"/>
    <s v="Mbarara"/>
    <s v="UG"/>
    <n v="2"/>
    <s v="Work"/>
    <s v="KISENYI"/>
    <s v="KAMPALA"/>
    <s v="UG"/>
    <n v="1"/>
    <s v="Home"/>
    <x v="4"/>
    <n v="750000"/>
    <n v="218"/>
    <x v="3"/>
    <n v="4.5"/>
    <x v="2"/>
    <n v="10"/>
    <s v="Other"/>
    <n v="3"/>
    <x v="1"/>
    <n v="1"/>
    <n v="2"/>
    <n v="3"/>
    <n v="5"/>
    <n v="4"/>
    <s v="Y"/>
    <n v="0"/>
    <x v="3"/>
  </r>
  <r>
    <s v="18.10.19"/>
    <d v="1899-12-30T15:48:00"/>
    <m/>
    <s v="D"/>
    <n v="2"/>
    <s v="Road Vehicle"/>
    <n v="6"/>
    <x v="1"/>
    <x v="0"/>
    <n v="3"/>
    <x v="2"/>
    <m/>
    <m/>
    <s v="UG"/>
    <n v="1"/>
    <s v="Home"/>
    <m/>
    <m/>
    <s v="UG"/>
    <n v="2"/>
    <s v="Work"/>
    <x v="1"/>
    <n v="850000"/>
    <n v="220"/>
    <x v="3"/>
    <n v="5.5"/>
    <x v="2"/>
    <n v="10"/>
    <s v="Other"/>
    <n v="4"/>
    <x v="0"/>
    <n v="2"/>
    <n v="1"/>
    <n v="3"/>
    <n v="4"/>
    <n v="5"/>
    <s v="Y"/>
    <n v="10000"/>
    <x v="5"/>
  </r>
  <r>
    <s v="18.10.19"/>
    <d v="1899-12-30T16:06:00"/>
    <m/>
    <s v="D"/>
    <n v="2"/>
    <s v="Road Vehicle"/>
    <n v="6"/>
    <x v="1"/>
    <x v="0"/>
    <n v="3"/>
    <x v="2"/>
    <s v="KAKOBA"/>
    <s v="Mbarara"/>
    <s v="UG"/>
    <n v="1"/>
    <s v="Home"/>
    <s v="KISENYI"/>
    <s v="KAMPALA"/>
    <s v="UG"/>
    <n v="2"/>
    <s v="Work"/>
    <x v="1"/>
    <n v="800000"/>
    <n v="215"/>
    <x v="3"/>
    <n v="5"/>
    <x v="2"/>
    <n v="10"/>
    <s v="Other"/>
    <n v="2"/>
    <x v="3"/>
    <n v="1"/>
    <n v="2"/>
    <n v="3"/>
    <n v="5"/>
    <n v="4"/>
    <s v="Y"/>
    <n v="1000"/>
    <x v="4"/>
  </r>
  <r>
    <s v="18.10.19"/>
    <d v="1899-12-30T18:48:00"/>
    <m/>
    <s v="P"/>
    <n v="2"/>
    <s v="Road Vehicle"/>
    <n v="6"/>
    <x v="1"/>
    <x v="0"/>
    <n v="3"/>
    <x v="2"/>
    <s v="KISWAYIRI"/>
    <s v="Mbarara"/>
    <s v="UG"/>
    <n v="4"/>
    <s v="Commercial"/>
    <s v="NANSANA"/>
    <s v="WAKISO"/>
    <s v="UG"/>
    <n v="1"/>
    <s v="Home"/>
    <x v="3"/>
    <n v="20000"/>
    <n v="400"/>
    <x v="3"/>
    <n v="5"/>
    <x v="2"/>
    <n v="7"/>
    <s v="Farmer"/>
    <n v="2"/>
    <x v="3"/>
    <n v="3"/>
    <n v="2"/>
    <n v="1"/>
    <n v="5"/>
    <n v="4"/>
    <s v="Y"/>
    <n v="1000"/>
    <x v="4"/>
  </r>
  <r>
    <s v="18.10.19"/>
    <d v="1899-12-30T18:00:00"/>
    <m/>
    <s v="D"/>
    <n v="2"/>
    <s v="Road Vehicle"/>
    <n v="6"/>
    <x v="1"/>
    <x v="0"/>
    <n v="3"/>
    <x v="2"/>
    <s v="KAMPALA TOWN"/>
    <s v="KAMPALA"/>
    <s v="UG"/>
    <n v="4"/>
    <s v="Commercial"/>
    <s v="KISORO TOWN"/>
    <s v="KISORO"/>
    <s v="UG"/>
    <n v="4"/>
    <s v="Commercial"/>
    <x v="18"/>
    <n v="1100000"/>
    <m/>
    <x v="0"/>
    <n v="12"/>
    <x v="2"/>
    <n v="10"/>
    <s v="Other"/>
    <n v="4"/>
    <x v="0"/>
    <n v="5"/>
    <n v="2"/>
    <n v="4"/>
    <n v="3"/>
    <n v="1"/>
    <s v="Y"/>
    <n v="10000"/>
    <x v="5"/>
  </r>
  <r>
    <s v="18.10.19"/>
    <d v="1899-12-30T17:40:00"/>
    <m/>
    <s v="D"/>
    <n v="2"/>
    <s v="Road Vehicle"/>
    <n v="6"/>
    <x v="1"/>
    <x v="0"/>
    <n v="3"/>
    <x v="2"/>
    <s v="KAMPALA TOWN"/>
    <s v="KAMPALA"/>
    <s v="UG"/>
    <n v="4"/>
    <s v="Commercial"/>
    <s v="RUKUNGIRI TOWN"/>
    <s v="RUKUNGIRI"/>
    <s v="UG"/>
    <n v="4"/>
    <s v="Commercial"/>
    <x v="18"/>
    <n v="700000"/>
    <m/>
    <x v="0"/>
    <n v="8.5"/>
    <x v="2"/>
    <n v="10"/>
    <s v="Other"/>
    <n v="5"/>
    <x v="4"/>
    <n v="4"/>
    <n v="4"/>
    <n v="3"/>
    <n v="3"/>
    <n v="2"/>
    <s v="Y"/>
    <n v="6000"/>
    <x v="2"/>
  </r>
  <r>
    <s v="18.10.19"/>
    <d v="1899-12-30T17:49:00"/>
    <m/>
    <s v="D"/>
    <n v="2"/>
    <s v="Road Vehicle"/>
    <n v="6"/>
    <x v="1"/>
    <x v="0"/>
    <n v="3"/>
    <x v="2"/>
    <s v="KAMPALA TOWN"/>
    <s v="KAMPALA"/>
    <s v="UG"/>
    <n v="4"/>
    <s v="Commercial"/>
    <s v="ISHAKA TOWN"/>
    <s v="ISHAKA"/>
    <s v="UG"/>
    <n v="4"/>
    <s v="Commercial"/>
    <x v="18"/>
    <n v="570000"/>
    <m/>
    <x v="0"/>
    <n v="7"/>
    <x v="2"/>
    <n v="10"/>
    <s v="Other"/>
    <n v="5"/>
    <x v="4"/>
    <n v="5"/>
    <n v="4"/>
    <n v="4"/>
    <n v="2"/>
    <n v="3"/>
    <s v="Y"/>
    <n v="5000"/>
    <x v="2"/>
  </r>
  <r>
    <s v="18.10.19"/>
    <d v="1899-12-30T16:30:00"/>
    <m/>
    <s v="D"/>
    <n v="2"/>
    <s v="Road Vehicle"/>
    <n v="6"/>
    <x v="1"/>
    <x v="0"/>
    <n v="3"/>
    <x v="2"/>
    <s v="KAMPALA TOWN"/>
    <s v="KAMPALA"/>
    <s v="UG"/>
    <n v="4"/>
    <s v="Commercial"/>
    <s v="KISORO TOWN"/>
    <s v="KISORO"/>
    <s v="UG"/>
    <n v="4"/>
    <s v="Commercial"/>
    <x v="18"/>
    <n v="2400000"/>
    <m/>
    <x v="0"/>
    <n v="12"/>
    <x v="2"/>
    <n v="10"/>
    <s v="Other"/>
    <n v="5"/>
    <x v="4"/>
    <n v="4"/>
    <n v="4"/>
    <n v="4"/>
    <n v="3"/>
    <n v="5"/>
    <s v="Y"/>
    <n v="5000"/>
    <x v="2"/>
  </r>
  <r>
    <s v="18.10.19"/>
    <d v="1899-12-30T15:49:00"/>
    <m/>
    <s v="D"/>
    <n v="2"/>
    <s v="Road Vehicle"/>
    <n v="6"/>
    <x v="1"/>
    <x v="0"/>
    <n v="3"/>
    <x v="2"/>
    <s v="KAMPALA TOWN"/>
    <s v="KAMPALA"/>
    <s v="UG"/>
    <n v="4"/>
    <s v="Commercial"/>
    <s v="MBARARA TOWN"/>
    <s v="MBARARA"/>
    <s v="UG"/>
    <n v="4"/>
    <s v="Commercial"/>
    <x v="18"/>
    <n v="420000"/>
    <m/>
    <x v="0"/>
    <n v="4.5"/>
    <x v="2"/>
    <n v="10"/>
    <s v="Other"/>
    <n v="5"/>
    <x v="4"/>
    <n v="2"/>
    <n v="3"/>
    <n v="4"/>
    <n v="2"/>
    <n v="4"/>
    <s v="Y"/>
    <n v="5000"/>
    <x v="2"/>
  </r>
  <r>
    <s v="19.10.19"/>
    <d v="1899-12-30T11:36:00"/>
    <m/>
    <s v="P"/>
    <n v="2"/>
    <s v="Road Vehicle"/>
    <n v="6"/>
    <x v="1"/>
    <x v="0"/>
    <n v="3"/>
    <x v="2"/>
    <s v="KISENYI"/>
    <s v="Mbarara"/>
    <s v="UG"/>
    <n v="1"/>
    <s v="Home"/>
    <s v="KABOWA"/>
    <s v="KAMPALA"/>
    <s v="UG"/>
    <n v="4"/>
    <s v="Commercial"/>
    <x v="0"/>
    <n v="20000"/>
    <n v="400"/>
    <x v="3"/>
    <n v="5"/>
    <x v="2"/>
    <n v="6"/>
    <s v="Businessman"/>
    <n v="2"/>
    <x v="3"/>
    <n v="2"/>
    <n v="1"/>
    <n v="4"/>
    <n v="5"/>
    <n v="3"/>
    <s v="Y"/>
    <n v="1500"/>
    <x v="4"/>
  </r>
  <r>
    <s v="20.10.19"/>
    <d v="1899-12-30T16:41:00"/>
    <m/>
    <s v="D"/>
    <n v="2"/>
    <s v="Road Vehicle"/>
    <n v="6"/>
    <x v="1"/>
    <x v="0"/>
    <n v="3"/>
    <x v="2"/>
    <s v="MBARARA TOWN"/>
    <s v="Mbarara"/>
    <s v="UG"/>
    <n v="4"/>
    <s v="Commercial"/>
    <s v="KAMPALA TOWN"/>
    <s v="KAMPALA"/>
    <s v="UG"/>
    <n v="4"/>
    <s v="Commercial"/>
    <x v="18"/>
    <n v="400000"/>
    <n v="260"/>
    <x v="3"/>
    <n v="6"/>
    <x v="2"/>
    <n v="10"/>
    <s v="Other"/>
    <n v="4"/>
    <x v="0"/>
    <n v="4"/>
    <n v="4"/>
    <n v="5"/>
    <n v="2"/>
    <n v="3"/>
    <s v="Y"/>
    <n v="0"/>
    <x v="3"/>
  </r>
  <r>
    <s v="20.10.19"/>
    <d v="1899-12-30T17:02:00"/>
    <m/>
    <s v="D"/>
    <n v="2"/>
    <s v="Road Vehicle"/>
    <n v="6"/>
    <x v="1"/>
    <x v="0"/>
    <n v="3"/>
    <x v="2"/>
    <s v="KABALE TOWN"/>
    <s v="KABALE"/>
    <s v="UG"/>
    <n v="4"/>
    <s v="Commercial"/>
    <s v="KAMPALA TOWN"/>
    <s v="KAMPALA"/>
    <s v="UG"/>
    <n v="4"/>
    <s v="Commercial"/>
    <x v="18"/>
    <n v="550000"/>
    <m/>
    <x v="0"/>
    <n v="8.5"/>
    <x v="2"/>
    <n v="2"/>
    <s v="Manual Labour"/>
    <n v="5"/>
    <x v="4"/>
    <n v="2"/>
    <n v="4"/>
    <n v="3"/>
    <n v="4"/>
    <n v="3"/>
    <s v="Y"/>
    <n v="10000"/>
    <x v="5"/>
  </r>
  <r>
    <s v="20.10.19"/>
    <d v="1899-12-30T14:00:00"/>
    <m/>
    <s v="D"/>
    <n v="2"/>
    <s v="Road Vehicle"/>
    <n v="6"/>
    <x v="1"/>
    <x v="0"/>
    <n v="3"/>
    <x v="2"/>
    <s v="MBARARA TOWN"/>
    <s v="Mbarara"/>
    <s v="UG"/>
    <n v="2"/>
    <s v="Work"/>
    <s v="KAMPALA TOWN"/>
    <s v="KAMPALA"/>
    <s v="UG"/>
    <n v="1"/>
    <s v="Home"/>
    <x v="4"/>
    <n v="800000"/>
    <n v="280"/>
    <x v="3"/>
    <n v="4.5"/>
    <x v="2"/>
    <n v="10"/>
    <s v="Other"/>
    <n v="4"/>
    <x v="0"/>
    <n v="5"/>
    <n v="3"/>
    <n v="2"/>
    <n v="1"/>
    <n v="4"/>
    <s v="Y"/>
    <n v="6000"/>
    <x v="2"/>
  </r>
  <r>
    <s v="20.10.19"/>
    <d v="1899-12-30T07:02:00"/>
    <m/>
    <s v="D"/>
    <n v="2"/>
    <s v="Road Vehicle"/>
    <n v="6"/>
    <x v="1"/>
    <x v="0"/>
    <n v="3"/>
    <x v="2"/>
    <s v="MBARARA TOWN"/>
    <s v="Mbarara"/>
    <s v="UG"/>
    <n v="2"/>
    <s v="Work"/>
    <s v="KAWEMPE"/>
    <s v="WAKISO"/>
    <s v="UG"/>
    <n v="1"/>
    <s v="Home"/>
    <x v="4"/>
    <n v="800000"/>
    <n v="280"/>
    <x v="3"/>
    <n v="5"/>
    <x v="2"/>
    <n v="10"/>
    <s v="Other"/>
    <n v="3"/>
    <x v="1"/>
    <n v="4"/>
    <n v="5"/>
    <n v="3"/>
    <n v="2"/>
    <n v="1"/>
    <s v="Y"/>
    <n v="6000"/>
    <x v="2"/>
  </r>
  <r>
    <s v="20.10.19"/>
    <d v="1899-12-30T08:55:00"/>
    <m/>
    <s v="D"/>
    <n v="2"/>
    <s v="Road Vehicle"/>
    <n v="6"/>
    <x v="1"/>
    <x v="0"/>
    <n v="3"/>
    <x v="2"/>
    <s v="KIBAALE"/>
    <s v="Mbarara"/>
    <s v="UG"/>
    <n v="1"/>
    <s v="Home"/>
    <s v="KAMPALA TOWN"/>
    <s v="KAMPALA"/>
    <s v="UG"/>
    <n v="2"/>
    <s v="Work"/>
    <x v="1"/>
    <n v="800000"/>
    <n v="300"/>
    <x v="3"/>
    <n v="5"/>
    <x v="2"/>
    <n v="10"/>
    <s v="Other"/>
    <n v="4"/>
    <x v="0"/>
    <n v="1"/>
    <n v="4"/>
    <n v="5"/>
    <n v="3"/>
    <n v="2"/>
    <s v="Y"/>
    <n v="4000"/>
    <x v="0"/>
  </r>
  <r>
    <s v="20.10.19"/>
    <d v="1899-12-30T08:41:00"/>
    <m/>
    <s v="D"/>
    <n v="2"/>
    <s v="Road Vehicle"/>
    <n v="6"/>
    <x v="1"/>
    <x v="0"/>
    <n v="3"/>
    <x v="2"/>
    <s v="MBARARA TOWN"/>
    <s v="Mbarara"/>
    <s v="UG"/>
    <n v="2"/>
    <s v="Work"/>
    <s v="MUTUNGO"/>
    <s v="KAMPALA"/>
    <s v="UG"/>
    <n v="1"/>
    <s v="Home"/>
    <x v="4"/>
    <n v="750000"/>
    <n v="288"/>
    <x v="3"/>
    <n v="5.5"/>
    <x v="2"/>
    <n v="10"/>
    <s v="Other"/>
    <n v="4"/>
    <x v="0"/>
    <n v="2"/>
    <n v="1"/>
    <n v="3"/>
    <n v="5"/>
    <n v="4"/>
    <s v="Y"/>
    <n v="7000"/>
    <x v="2"/>
  </r>
  <r>
    <s v="20.10.19"/>
    <d v="1899-12-30T08:37:00"/>
    <m/>
    <s v="D"/>
    <n v="2"/>
    <s v="Road Vehicle"/>
    <n v="6"/>
    <x v="1"/>
    <x v="0"/>
    <n v="3"/>
    <x v="2"/>
    <s v="KISENYI"/>
    <s v="Mbarara"/>
    <s v="UG"/>
    <n v="1"/>
    <s v="Home"/>
    <s v="RUBAGA"/>
    <s v="KAMPALA"/>
    <s v="UG"/>
    <n v="2"/>
    <s v="Work"/>
    <x v="1"/>
    <n v="750000"/>
    <n v="280"/>
    <x v="3"/>
    <n v="5"/>
    <x v="2"/>
    <n v="10"/>
    <s v="Other"/>
    <n v="3"/>
    <x v="1"/>
    <n v="5"/>
    <n v="2"/>
    <n v="3"/>
    <n v="1"/>
    <n v="4"/>
    <s v="Y"/>
    <n v="0"/>
    <x v="3"/>
  </r>
  <r>
    <s v="20.10.19"/>
    <d v="1899-12-30T08:11:00"/>
    <m/>
    <s v="D"/>
    <n v="2"/>
    <s v="Road Vehicle"/>
    <n v="6"/>
    <x v="1"/>
    <x v="0"/>
    <n v="3"/>
    <x v="2"/>
    <s v="KAMUKUZI"/>
    <s v="Mbarara"/>
    <s v="UG"/>
    <n v="2"/>
    <s v="Work"/>
    <s v="LWEZA"/>
    <s v="WAKISO"/>
    <s v="UG"/>
    <n v="1"/>
    <s v="Home"/>
    <x v="4"/>
    <n v="800000"/>
    <n v="280"/>
    <x v="3"/>
    <n v="4.5"/>
    <x v="2"/>
    <n v="10"/>
    <s v="Other"/>
    <n v="3"/>
    <x v="1"/>
    <n v="1"/>
    <n v="2"/>
    <n v="4"/>
    <n v="3"/>
    <n v="5"/>
    <s v="Y"/>
    <n v="0"/>
    <x v="3"/>
  </r>
  <r>
    <s v="20.10.19"/>
    <d v="1899-12-30T17:32:00"/>
    <m/>
    <s v="D"/>
    <n v="2"/>
    <s v="Road Vehicle"/>
    <n v="6"/>
    <x v="1"/>
    <x v="0"/>
    <n v="3"/>
    <x v="2"/>
    <s v="KAMPALA TOWN"/>
    <s v="KAMPALA"/>
    <s v="UG"/>
    <n v="1"/>
    <s v="Home"/>
    <s v="MBARARA TOWN"/>
    <s v="MBARARA"/>
    <s v="UG"/>
    <n v="2"/>
    <s v="Work"/>
    <x v="1"/>
    <n v="700000"/>
    <n v="215"/>
    <x v="3"/>
    <n v="4.5"/>
    <x v="2"/>
    <n v="10"/>
    <s v="Other"/>
    <n v="3"/>
    <x v="1"/>
    <n v="2"/>
    <n v="1"/>
    <n v="3"/>
    <n v="5"/>
    <n v="4"/>
    <s v="Y"/>
    <n v="1000"/>
    <x v="4"/>
  </r>
  <r>
    <s v="20.10.19"/>
    <d v="1899-12-30T17:22:00"/>
    <m/>
    <s v="D"/>
    <n v="2"/>
    <s v="Road Vehicle"/>
    <n v="6"/>
    <x v="1"/>
    <x v="0"/>
    <n v="3"/>
    <x v="2"/>
    <s v="KABALE TOWN"/>
    <s v="KABALE"/>
    <s v="UG"/>
    <n v="2"/>
    <s v="Work"/>
    <s v="MBARARA TOWN"/>
    <s v="MBARARA"/>
    <s v="UG"/>
    <n v="1"/>
    <s v="Home"/>
    <x v="4"/>
    <n v="300000"/>
    <n v="110"/>
    <x v="2"/>
    <n v="3"/>
    <x v="0"/>
    <n v="10"/>
    <s v="Other"/>
    <n v="3"/>
    <x v="1"/>
    <n v="2"/>
    <n v="1"/>
    <n v="3"/>
    <n v="4"/>
    <n v="5"/>
    <s v="Y"/>
    <n v="0"/>
    <x v="3"/>
  </r>
  <r>
    <s v="20.10.19"/>
    <d v="1899-12-30T17:10:00"/>
    <m/>
    <s v="D"/>
    <n v="2"/>
    <s v="Road Vehicle"/>
    <n v="6"/>
    <x v="1"/>
    <x v="0"/>
    <n v="3"/>
    <x v="2"/>
    <s v="KAMPALA TOWN"/>
    <s v="KAMPALA"/>
    <s v="UG"/>
    <n v="1"/>
    <s v="Home"/>
    <s v="MBARARA TOWN"/>
    <s v="MBARARA"/>
    <s v="UG"/>
    <n v="2"/>
    <s v="Work"/>
    <x v="1"/>
    <n v="700000"/>
    <n v="215"/>
    <x v="3"/>
    <n v="5"/>
    <x v="2"/>
    <n v="10"/>
    <s v="Other"/>
    <n v="4"/>
    <x v="0"/>
    <n v="1"/>
    <n v="3"/>
    <n v="4"/>
    <n v="5"/>
    <n v="2"/>
    <s v="Y"/>
    <n v="9000"/>
    <x v="2"/>
  </r>
  <r>
    <s v="20.10.19"/>
    <d v="1899-12-30T16:58:00"/>
    <m/>
    <s v="D"/>
    <n v="2"/>
    <s v="Road Vehicle"/>
    <n v="6"/>
    <x v="1"/>
    <x v="0"/>
    <n v="3"/>
    <x v="2"/>
    <s v="KAMPALA TOWN"/>
    <s v="KAMPALA"/>
    <s v="UG"/>
    <n v="2"/>
    <s v="Work"/>
    <s v="KABALE TOWN"/>
    <s v="KABALE"/>
    <s v="UG"/>
    <n v="1"/>
    <s v="Home"/>
    <x v="4"/>
    <n v="850000"/>
    <n v="396"/>
    <x v="3"/>
    <n v="8"/>
    <x v="2"/>
    <n v="10"/>
    <s v="Other"/>
    <n v="4"/>
    <x v="0"/>
    <n v="1"/>
    <n v="2"/>
    <n v="5"/>
    <n v="4"/>
    <n v="3"/>
    <s v="Y"/>
    <n v="10000"/>
    <x v="5"/>
  </r>
  <r>
    <s v="20.10.19"/>
    <d v="1899-12-30T16:53:00"/>
    <m/>
    <s v="D"/>
    <n v="2"/>
    <s v="Road Vehicle"/>
    <n v="6"/>
    <x v="1"/>
    <x v="0"/>
    <n v="3"/>
    <x v="2"/>
    <s v="KIYIYI"/>
    <s v="RUKUNGIRI"/>
    <s v="UG"/>
    <n v="1"/>
    <s v="Home"/>
    <s v="KAMPALA TOWN"/>
    <s v="KAMPALA"/>
    <s v="UG"/>
    <n v="2"/>
    <s v="Work"/>
    <x v="1"/>
    <n v="650000"/>
    <n v="390"/>
    <x v="3"/>
    <n v="8.5"/>
    <x v="2"/>
    <n v="10"/>
    <s v="Other"/>
    <n v="4"/>
    <x v="0"/>
    <n v="3"/>
    <n v="5"/>
    <n v="4"/>
    <n v="2"/>
    <n v="1"/>
    <s v="Y"/>
    <n v="7000"/>
    <x v="2"/>
  </r>
  <r>
    <s v="20.10.19"/>
    <d v="1899-12-30T16:49:00"/>
    <m/>
    <s v="D"/>
    <n v="2"/>
    <s v="Road Vehicle"/>
    <n v="6"/>
    <x v="1"/>
    <x v="0"/>
    <n v="3"/>
    <x v="2"/>
    <s v="KAMPALA TOWN"/>
    <s v="KAMPALA"/>
    <s v="UG"/>
    <n v="2"/>
    <s v="Work"/>
    <s v="MBARARA TOWN"/>
    <s v="MBARARA"/>
    <s v="UG"/>
    <n v="1"/>
    <s v="Home"/>
    <x v="4"/>
    <n v="800000"/>
    <n v="220"/>
    <x v="3"/>
    <n v="5"/>
    <x v="2"/>
    <n v="10"/>
    <s v="Other"/>
    <n v="3"/>
    <x v="1"/>
    <n v="1"/>
    <n v="2"/>
    <n v="3"/>
    <n v="4"/>
    <n v="5"/>
    <s v="Y"/>
    <n v="1000"/>
    <x v="4"/>
  </r>
  <r>
    <s v="20.10.19"/>
    <d v="1899-12-30T16:34:00"/>
    <m/>
    <s v="D"/>
    <n v="2"/>
    <s v="Road Vehicle"/>
    <n v="6"/>
    <x v="1"/>
    <x v="0"/>
    <n v="3"/>
    <x v="2"/>
    <s v="KAMPALA TOWN"/>
    <s v="KAMPALA"/>
    <s v="UG"/>
    <n v="2"/>
    <s v="Work"/>
    <s v="KABALE TOWN"/>
    <s v="KABALE"/>
    <s v="UG"/>
    <n v="1"/>
    <s v="Home"/>
    <x v="4"/>
    <n v="660000"/>
    <n v="395"/>
    <x v="3"/>
    <n v="7"/>
    <x v="2"/>
    <n v="10"/>
    <s v="Other"/>
    <n v="3"/>
    <x v="1"/>
    <n v="3"/>
    <n v="4"/>
    <n v="5"/>
    <n v="1"/>
    <n v="2"/>
    <s v="Y"/>
    <n v="6000"/>
    <x v="2"/>
  </r>
  <r>
    <s v="20.10.19"/>
    <d v="1899-12-30T15:55:00"/>
    <m/>
    <s v="D"/>
    <n v="2"/>
    <s v="Road Vehicle"/>
    <n v="6"/>
    <x v="1"/>
    <x v="0"/>
    <n v="3"/>
    <x v="2"/>
    <s v="KABALE TOWN"/>
    <s v="KABALE"/>
    <s v="UG"/>
    <n v="2"/>
    <s v="Work"/>
    <s v="KAMPALA TOWN"/>
    <s v="KAMPALA"/>
    <s v="UG"/>
    <n v="1"/>
    <s v="Home"/>
    <x v="4"/>
    <n v="850000"/>
    <n v="396"/>
    <x v="3"/>
    <n v="6.5"/>
    <x v="2"/>
    <n v="10"/>
    <s v="Other"/>
    <n v="4"/>
    <x v="0"/>
    <n v="2"/>
    <n v="1"/>
    <n v="3"/>
    <n v="5"/>
    <n v="4"/>
    <s v="Y"/>
    <n v="9000"/>
    <x v="2"/>
  </r>
  <r>
    <s v="20.10.19"/>
    <d v="1899-12-30T15:28:00"/>
    <m/>
    <s v="D"/>
    <n v="2"/>
    <s v="Road Vehicle"/>
    <n v="6"/>
    <x v="1"/>
    <x v="0"/>
    <n v="3"/>
    <x v="2"/>
    <s v="KAMPALA TOWN"/>
    <s v="KAMPALA"/>
    <s v="UG"/>
    <n v="2"/>
    <s v="Work"/>
    <s v="MBARARA TOWN"/>
    <s v="MBARARA"/>
    <s v="UG"/>
    <n v="1"/>
    <s v="Home"/>
    <x v="4"/>
    <n v="700000"/>
    <n v="215"/>
    <x v="3"/>
    <n v="4.5"/>
    <x v="2"/>
    <n v="10"/>
    <s v="Other"/>
    <n v="3"/>
    <x v="1"/>
    <n v="4"/>
    <n v="5"/>
    <n v="2"/>
    <n v="3"/>
    <n v="1"/>
    <s v="Y"/>
    <n v="0"/>
    <x v="3"/>
  </r>
  <r>
    <s v="20.10.19"/>
    <d v="1899-12-30T15:15:00"/>
    <m/>
    <s v="D"/>
    <n v="2"/>
    <s v="Road Vehicle"/>
    <n v="6"/>
    <x v="1"/>
    <x v="0"/>
    <n v="3"/>
    <x v="2"/>
    <s v="KAMPALA TOWN"/>
    <s v="KAMPALA"/>
    <s v="UG"/>
    <n v="2"/>
    <s v="Work"/>
    <s v="MBARARA TOWN"/>
    <s v="MBARARA"/>
    <s v="UG"/>
    <n v="1"/>
    <s v="Home"/>
    <x v="4"/>
    <n v="750000"/>
    <n v="275"/>
    <x v="3"/>
    <n v="4.5"/>
    <x v="2"/>
    <n v="10"/>
    <s v="Other"/>
    <n v="4"/>
    <x v="0"/>
    <n v="1"/>
    <n v="5"/>
    <n v="3"/>
    <n v="2"/>
    <n v="4"/>
    <s v="Y"/>
    <n v="8000"/>
    <x v="2"/>
  </r>
  <r>
    <s v="20.10.19"/>
    <d v="1899-12-30T14:11:00"/>
    <m/>
    <s v="D"/>
    <n v="2"/>
    <s v="Road Vehicle"/>
    <n v="6"/>
    <x v="1"/>
    <x v="0"/>
    <n v="3"/>
    <x v="2"/>
    <s v="MBARARA TOWN"/>
    <s v="Mbarara"/>
    <s v="UG"/>
    <n v="1"/>
    <s v="Home"/>
    <s v="KAMPALA TOWN"/>
    <s v="KAMPALA"/>
    <s v="UG"/>
    <n v="2"/>
    <s v="Work"/>
    <x v="1"/>
    <n v="850000"/>
    <n v="290"/>
    <x v="3"/>
    <n v="4.5"/>
    <x v="2"/>
    <n v="10"/>
    <s v="Other"/>
    <n v="4"/>
    <x v="0"/>
    <n v="2"/>
    <n v="2"/>
    <n v="1"/>
    <n v="1"/>
    <n v="1"/>
    <s v="Y"/>
    <n v="7000"/>
    <x v="2"/>
  </r>
  <r>
    <s v="20.10.19"/>
    <d v="1899-12-30T16:45:00"/>
    <m/>
    <s v="D"/>
    <n v="2"/>
    <s v="Road Vehicle"/>
    <n v="6"/>
    <x v="1"/>
    <x v="0"/>
    <n v="3"/>
    <x v="2"/>
    <s v="KAKOBA"/>
    <s v="Mbarara"/>
    <s v="UG"/>
    <n v="1"/>
    <s v="Home"/>
    <s v="KAMPALA TOWN"/>
    <s v="KAMPALA"/>
    <s v="UG"/>
    <n v="2"/>
    <s v="Work"/>
    <x v="1"/>
    <n v="800000"/>
    <n v="217"/>
    <x v="3"/>
    <n v="4.5"/>
    <x v="2"/>
    <n v="10"/>
    <s v="Other"/>
    <n v="4"/>
    <x v="0"/>
    <n v="2"/>
    <n v="5"/>
    <n v="2"/>
    <n v="4"/>
    <n v="1"/>
    <s v="Y"/>
    <n v="4000"/>
    <x v="0"/>
  </r>
  <r>
    <s v="20.10.19"/>
    <d v="1899-12-30T19:08:00"/>
    <m/>
    <s v="D"/>
    <n v="2"/>
    <s v="Road Vehicle"/>
    <n v="6"/>
    <x v="1"/>
    <x v="0"/>
    <n v="3"/>
    <x v="2"/>
    <s v="NYARUBUNGE"/>
    <s v="Mbarara"/>
    <s v="UG"/>
    <n v="1"/>
    <s v="Home"/>
    <s v="NAMASUBA"/>
    <s v="WAKISO"/>
    <s v="UG"/>
    <n v="2"/>
    <s v="Work"/>
    <x v="1"/>
    <n v="750000"/>
    <n v="230"/>
    <x v="3"/>
    <n v="5.5"/>
    <x v="2"/>
    <n v="10"/>
    <s v="Other"/>
    <n v="4"/>
    <x v="0"/>
    <n v="2"/>
    <n v="1"/>
    <n v="3"/>
    <n v="5"/>
    <n v="4"/>
    <s v="Y"/>
    <n v="3000"/>
    <x v="0"/>
  </r>
  <r>
    <s v="20.10.19"/>
    <d v="1899-12-30T18:58:00"/>
    <m/>
    <s v="D"/>
    <n v="2"/>
    <s v="Road Vehicle"/>
    <n v="6"/>
    <x v="1"/>
    <x v="0"/>
    <n v="3"/>
    <x v="2"/>
    <s v="KAMUKOZI"/>
    <s v="Mbarara"/>
    <s v="UG"/>
    <n v="1"/>
    <s v="Home"/>
    <s v="MENGO"/>
    <s v="KAMPALA"/>
    <s v="UG"/>
    <n v="2"/>
    <s v="Work"/>
    <x v="1"/>
    <n v="800000"/>
    <n v="217"/>
    <x v="3"/>
    <n v="5"/>
    <x v="2"/>
    <n v="10"/>
    <s v="Other"/>
    <n v="3"/>
    <x v="1"/>
    <n v="3"/>
    <n v="4"/>
    <n v="5"/>
    <n v="1"/>
    <n v="2"/>
    <s v="Y"/>
    <n v="8000"/>
    <x v="2"/>
  </r>
  <r>
    <s v="20.10.19"/>
    <d v="1899-12-30T18:34:00"/>
    <m/>
    <s v="D"/>
    <n v="2"/>
    <s v="Road Vehicle"/>
    <n v="6"/>
    <x v="1"/>
    <x v="0"/>
    <n v="3"/>
    <x v="2"/>
    <s v="KAKIIKA"/>
    <s v="Mbarara"/>
    <s v="UG"/>
    <n v="2"/>
    <s v="Work"/>
    <s v="LUBIRI"/>
    <s v="KAMPALA"/>
    <s v="UG"/>
    <n v="1"/>
    <s v="Home"/>
    <x v="4"/>
    <n v="700000"/>
    <n v="220"/>
    <x v="3"/>
    <n v="5"/>
    <x v="2"/>
    <n v="10"/>
    <s v="Other"/>
    <n v="4"/>
    <x v="0"/>
    <n v="1"/>
    <n v="2"/>
    <n v="3"/>
    <n v="4"/>
    <n v="5"/>
    <s v="Y"/>
    <n v="0"/>
    <x v="3"/>
  </r>
  <r>
    <s v="20.10.19"/>
    <d v="1899-12-30T18:50:00"/>
    <m/>
    <s v="D"/>
    <n v="2"/>
    <s v="Road Vehicle"/>
    <n v="6"/>
    <x v="1"/>
    <x v="0"/>
    <n v="3"/>
    <x v="2"/>
    <s v="MWIZI"/>
    <s v="Mbarara"/>
    <s v="UG"/>
    <n v="1"/>
    <s v="Home"/>
    <s v="KAMPALA TOWN"/>
    <s v="KAMPALA"/>
    <s v="UG"/>
    <n v="2"/>
    <s v="Work"/>
    <x v="1"/>
    <n v="750000"/>
    <n v="215"/>
    <x v="3"/>
    <n v="4.5"/>
    <x v="2"/>
    <n v="10"/>
    <s v="Other"/>
    <n v="4"/>
    <x v="0"/>
    <n v="2"/>
    <n v="1"/>
    <n v="3"/>
    <n v="5"/>
    <n v="4"/>
    <s v="Y"/>
    <n v="10000"/>
    <x v="5"/>
  </r>
  <r>
    <s v="20.10.19"/>
    <m/>
    <m/>
    <s v="P"/>
    <n v="2"/>
    <s v="Road Vehicle"/>
    <n v="6"/>
    <x v="1"/>
    <x v="0"/>
    <n v="3"/>
    <x v="2"/>
    <s v="MBARARA TOWN"/>
    <s v="Mbarara"/>
    <s v="UG"/>
    <n v="1"/>
    <s v="Home"/>
    <s v="KAMPALA TOWN"/>
    <s v="KAMPALA"/>
    <s v="UG"/>
    <n v="4"/>
    <s v="Commercial"/>
    <x v="0"/>
    <n v="20000"/>
    <n v="160"/>
    <x v="2"/>
    <n v="4"/>
    <x v="2"/>
    <n v="6"/>
    <s v="Businessman"/>
    <n v="1"/>
    <x v="2"/>
    <n v="2"/>
    <n v="2"/>
    <n v="2"/>
    <n v="2"/>
    <n v="2"/>
    <s v="Y"/>
    <n v="5000"/>
    <x v="2"/>
  </r>
  <r>
    <s v="20.10.19"/>
    <d v="1899-12-30T10:29:00"/>
    <m/>
    <s v="D"/>
    <n v="2"/>
    <s v="Road Vehicle"/>
    <n v="7"/>
    <x v="7"/>
    <x v="0"/>
    <n v="3"/>
    <x v="2"/>
    <s v="BUS PARK"/>
    <s v="Mbarara"/>
    <s v="UG"/>
    <n v="4"/>
    <s v="Commercial"/>
    <s v="MBARARA TOWN"/>
    <s v="MBARARA"/>
    <s v="UG"/>
    <n v="4"/>
    <s v="Commercial"/>
    <x v="18"/>
    <n v="30000"/>
    <m/>
    <x v="0"/>
    <n v="0.16"/>
    <x v="3"/>
    <n v="10"/>
    <s v="Other"/>
    <n v="2"/>
    <x v="3"/>
    <n v="3"/>
    <n v="1"/>
    <n v="2"/>
    <n v="5"/>
    <n v="2"/>
    <s v="Y"/>
    <n v="1000"/>
    <x v="4"/>
  </r>
  <r>
    <s v="19.10.19"/>
    <d v="1899-12-30T10:21:00"/>
    <m/>
    <s v="P"/>
    <n v="2"/>
    <s v="Road Vehicle"/>
    <n v="5"/>
    <x v="2"/>
    <x v="1"/>
    <n v="3"/>
    <x v="2"/>
    <s v="RUKUNGIRI TOWN"/>
    <s v="RUKUNGIRI"/>
    <s v="UG"/>
    <n v="2"/>
    <s v="Work"/>
    <s v="KAKOOBA"/>
    <s v="MBARARA"/>
    <s v="UG"/>
    <n v="1"/>
    <s v="Home"/>
    <x v="4"/>
    <n v="10000"/>
    <n v="50"/>
    <x v="5"/>
    <n v="3"/>
    <x v="0"/>
    <n v="6"/>
    <s v="Businessman"/>
    <n v="1"/>
    <x v="2"/>
    <n v="2"/>
    <n v="1"/>
    <n v="3"/>
    <n v="4"/>
    <n v="3"/>
    <s v="Y"/>
    <n v="2000"/>
    <x v="1"/>
  </r>
  <r>
    <s v="19.10.19"/>
    <d v="1899-12-30T10:11:00"/>
    <m/>
    <s v="P"/>
    <n v="2"/>
    <s v="Road Vehicle"/>
    <n v="5"/>
    <x v="2"/>
    <x v="1"/>
    <n v="3"/>
    <x v="2"/>
    <s v="BUHIMBA"/>
    <s v="bushenyi"/>
    <s v="UG"/>
    <n v="2"/>
    <s v="Work"/>
    <s v="KAYANGA"/>
    <s v="BUSHENYI"/>
    <s v="UG"/>
    <n v="7"/>
    <s v="Hospital"/>
    <x v="23"/>
    <n v="15000"/>
    <n v="30"/>
    <x v="4"/>
    <n v="2.5"/>
    <x v="0"/>
    <n v="6"/>
    <s v="Businessman"/>
    <n v="2"/>
    <x v="3"/>
    <n v="1"/>
    <n v="5"/>
    <n v="2"/>
    <n v="3"/>
    <n v="4"/>
    <s v="Y"/>
    <n v="3000"/>
    <x v="0"/>
  </r>
  <r>
    <s v="18.10.19"/>
    <d v="1899-12-30T15:25:00"/>
    <m/>
    <s v="D"/>
    <n v="2"/>
    <s v="Road Vehicle"/>
    <n v="5"/>
    <x v="2"/>
    <x v="0"/>
    <n v="3"/>
    <x v="2"/>
    <s v="KAMPALA TOWN"/>
    <s v="KAMPALA"/>
    <s v="UG"/>
    <n v="4"/>
    <s v="Commercial"/>
    <s v="KABALE TOWN"/>
    <s v="KABALE"/>
    <s v="UG"/>
    <n v="4"/>
    <s v="Commercial"/>
    <x v="18"/>
    <n v="1300000"/>
    <m/>
    <x v="0"/>
    <n v="10.5"/>
    <x v="2"/>
    <n v="10"/>
    <s v="Other"/>
    <n v="5"/>
    <x v="4"/>
    <n v="2"/>
    <n v="5"/>
    <n v="4"/>
    <n v="3"/>
    <n v="4"/>
    <s v="Y"/>
    <n v="0"/>
    <x v="3"/>
  </r>
  <r>
    <s v="19.10.19"/>
    <d v="1899-12-30T11:50:00"/>
    <m/>
    <s v="P"/>
    <n v="2"/>
    <s v="Road Vehicle"/>
    <n v="5"/>
    <x v="2"/>
    <x v="0"/>
    <n v="3"/>
    <x v="2"/>
    <s v="KAKIIKA"/>
    <s v="Mbarara"/>
    <s v="UG"/>
    <n v="2"/>
    <s v="Work"/>
    <s v="LUNGUJJA"/>
    <s v="KAMPALA"/>
    <s v="UG"/>
    <n v="1"/>
    <s v="Home"/>
    <x v="4"/>
    <n v="20000"/>
    <n v="400"/>
    <x v="3"/>
    <n v="4.5"/>
    <x v="2"/>
    <n v="5"/>
    <s v="Professional"/>
    <n v="1"/>
    <x v="2"/>
    <n v="1"/>
    <n v="2"/>
    <n v="4"/>
    <n v="3"/>
    <n v="3"/>
    <s v="Y"/>
    <n v="3000"/>
    <x v="0"/>
  </r>
  <r>
    <s v="19.10.19"/>
    <m/>
    <m/>
    <s v="P"/>
    <n v="2"/>
    <s v="Road Vehicle"/>
    <n v="4"/>
    <x v="3"/>
    <x v="1"/>
    <n v="3"/>
    <x v="2"/>
    <s v="MBARARA TOWN"/>
    <s v="Mbarara"/>
    <s v="UG"/>
    <n v="1"/>
    <s v="Home"/>
    <s v="BUGAMBO"/>
    <s v="ISINGIRO"/>
    <s v="UG"/>
    <n v="8"/>
    <s v="Others"/>
    <x v="13"/>
    <n v="10000"/>
    <n v="47"/>
    <x v="5"/>
    <n v="2"/>
    <x v="0"/>
    <n v="2"/>
    <s v="Manual Labour"/>
    <n v="2"/>
    <x v="3"/>
    <n v="5"/>
    <n v="2"/>
    <n v="1"/>
    <n v="1"/>
    <n v="1"/>
    <s v="Y"/>
    <n v="5000"/>
    <x v="2"/>
  </r>
  <r>
    <s v="20.10.19"/>
    <d v="1899-12-30T09:50:00"/>
    <m/>
    <s v="P"/>
    <n v="2"/>
    <s v="Road Vehicle"/>
    <n v="4"/>
    <x v="3"/>
    <x v="1"/>
    <n v="3"/>
    <x v="2"/>
    <s v="MBARARA TOWN"/>
    <s v="Mbarara"/>
    <s v="UG"/>
    <n v="2"/>
    <s v="Work"/>
    <s v="ISHAKA TOWN"/>
    <s v="MBARARA"/>
    <s v="UG"/>
    <n v="4"/>
    <s v="Commercial"/>
    <x v="17"/>
    <n v="15000"/>
    <n v="59"/>
    <x v="5"/>
    <n v="0.63300000000000001"/>
    <x v="4"/>
    <n v="6"/>
    <s v="Businessman"/>
    <n v="3"/>
    <x v="1"/>
    <n v="5"/>
    <n v="3"/>
    <n v="2"/>
    <n v="1"/>
    <n v="4"/>
    <s v="Y"/>
    <n v="5000"/>
    <x v="2"/>
  </r>
  <r>
    <s v="18.10.19"/>
    <m/>
    <m/>
    <s v="D"/>
    <n v="2"/>
    <s v="Road Vehicle"/>
    <n v="4"/>
    <x v="3"/>
    <x v="0"/>
    <n v="3"/>
    <x v="2"/>
    <s v="KAMWENGE TOWN"/>
    <s v="KAMWENGE"/>
    <s v="UG"/>
    <n v="1"/>
    <s v="Home"/>
    <s v="MBARARA TOWN"/>
    <s v="MBARARA"/>
    <s v="UG"/>
    <n v="2"/>
    <s v="Work"/>
    <x v="1"/>
    <n v="70000"/>
    <n v="120"/>
    <x v="2"/>
    <n v="2.5"/>
    <x v="0"/>
    <n v="2"/>
    <s v="Manual Labour"/>
    <n v="3"/>
    <x v="1"/>
    <n v="5"/>
    <n v="5"/>
    <n v="1"/>
    <n v="1"/>
    <n v="1"/>
    <s v="Y"/>
    <n v="4000"/>
    <x v="0"/>
  </r>
  <r>
    <s v="18.10.19"/>
    <m/>
    <m/>
    <s v="D"/>
    <n v="2"/>
    <s v="Road Vehicle"/>
    <n v="4"/>
    <x v="3"/>
    <x v="0"/>
    <n v="3"/>
    <x v="2"/>
    <s v="MBARARA TOWN"/>
    <s v="MBARARA"/>
    <s v="UG"/>
    <n v="1"/>
    <s v="Home"/>
    <s v="RUKUNGIRI TOWN"/>
    <s v="RUKUNGIRI"/>
    <s v="UG"/>
    <n v="2"/>
    <s v="Work"/>
    <x v="1"/>
    <n v="140000"/>
    <m/>
    <x v="0"/>
    <n v="3"/>
    <x v="0"/>
    <n v="2"/>
    <s v="Manual Labour"/>
    <n v="2"/>
    <x v="3"/>
    <n v="5"/>
    <n v="1"/>
    <n v="1"/>
    <n v="1"/>
    <n v="1"/>
    <s v="Y"/>
    <n v="4000"/>
    <x v="0"/>
  </r>
  <r>
    <s v="18.10.19"/>
    <m/>
    <m/>
    <s v="D"/>
    <n v="2"/>
    <s v="Road Vehicle"/>
    <n v="4"/>
    <x v="3"/>
    <x v="0"/>
    <n v="3"/>
    <x v="2"/>
    <s v="MBARARA TOWN"/>
    <s v="MBARARA"/>
    <s v="UG"/>
    <n v="1"/>
    <s v="Home"/>
    <s v="KAMPALA TOWN"/>
    <s v="KAMPALA"/>
    <s v="UG"/>
    <n v="2"/>
    <s v="Work"/>
    <x v="1"/>
    <n v="350000"/>
    <n v="286"/>
    <x v="3"/>
    <n v="5"/>
    <x v="2"/>
    <n v="2"/>
    <s v="Manual Labour"/>
    <n v="3"/>
    <x v="1"/>
    <n v="5"/>
    <n v="1"/>
    <n v="1"/>
    <n v="1"/>
    <n v="1"/>
    <s v="Y"/>
    <n v="7000"/>
    <x v="2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RUKUNGIRI TOWN"/>
    <s v="RUKUNGIRI"/>
    <s v="UG"/>
    <n v="2"/>
    <s v="Work"/>
    <x v="1"/>
    <n v="130000"/>
    <n v="85"/>
    <x v="1"/>
    <n v="4"/>
    <x v="2"/>
    <n v="5"/>
    <s v="Professional"/>
    <n v="3"/>
    <x v="1"/>
    <n v="4"/>
    <n v="2"/>
    <n v="1"/>
    <n v="1"/>
    <n v="1"/>
    <s v="Y"/>
    <n v="0"/>
    <x v="3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KAMWENGE TOWN"/>
    <s v="KAMWENGE"/>
    <s v="UG"/>
    <n v="2"/>
    <s v="Work"/>
    <x v="1"/>
    <n v="150000"/>
    <n v="75"/>
    <x v="1"/>
    <n v="3"/>
    <x v="0"/>
    <n v="5"/>
    <s v="Professional"/>
    <n v="4"/>
    <x v="0"/>
    <n v="4"/>
    <n v="2"/>
    <n v="1"/>
    <n v="1"/>
    <n v="1"/>
    <s v="Y"/>
    <n v="3000"/>
    <x v="0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ISINGIRO TOWN"/>
    <s v="ISINGIRO"/>
    <s v="UG"/>
    <n v="2"/>
    <s v="Work"/>
    <x v="1"/>
    <n v="120000"/>
    <n v="52"/>
    <x v="5"/>
    <n v="3"/>
    <x v="0"/>
    <n v="2"/>
    <s v="Manual Labour"/>
    <n v="1"/>
    <x v="2"/>
    <n v="5"/>
    <n v="1"/>
    <n v="1"/>
    <n v="1"/>
    <n v="1"/>
    <s v="Y"/>
    <n v="7500"/>
    <x v="2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ISINGIRO TOWN"/>
    <s v="ISINGIRO"/>
    <s v="UG"/>
    <n v="2"/>
    <s v="Work"/>
    <x v="1"/>
    <n v="100000"/>
    <n v="80"/>
    <x v="1"/>
    <n v="4"/>
    <x v="2"/>
    <n v="5"/>
    <s v="Professional"/>
    <n v="4"/>
    <x v="0"/>
    <n v="5"/>
    <n v="2"/>
    <n v="1"/>
    <n v="1"/>
    <n v="1"/>
    <s v="Y"/>
    <n v="0"/>
    <x v="3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KAMPALA TOWN"/>
    <s v="KAMPALA"/>
    <s v="UG"/>
    <n v="2"/>
    <s v="Work"/>
    <x v="1"/>
    <n v="130000"/>
    <n v="260"/>
    <x v="3"/>
    <n v="3.5"/>
    <x v="2"/>
    <n v="2"/>
    <s v="Manual Labour"/>
    <n v="1"/>
    <x v="2"/>
    <n v="5"/>
    <n v="5"/>
    <n v="3"/>
    <n v="3"/>
    <n v="4"/>
    <s v="Y"/>
    <n v="3000"/>
    <x v="0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SEMBABULE TOWN"/>
    <s v="SEMBABULE"/>
    <s v="UG"/>
    <n v="2"/>
    <s v="Work"/>
    <x v="1"/>
    <n v="200000"/>
    <n v="300"/>
    <x v="3"/>
    <n v="1"/>
    <x v="1"/>
    <n v="2"/>
    <s v="Manual Labour"/>
    <n v="2"/>
    <x v="3"/>
    <n v="5"/>
    <n v="2"/>
    <n v="1"/>
    <n v="1"/>
    <n v="1"/>
    <s v="Y"/>
    <n v="5000"/>
    <x v="2"/>
  </r>
  <r>
    <s v="19.10.19"/>
    <m/>
    <m/>
    <s v="D"/>
    <n v="2"/>
    <s v="Road Vehicle"/>
    <n v="4"/>
    <x v="3"/>
    <x v="0"/>
    <n v="3"/>
    <x v="2"/>
    <s v="MBARARA TOWN"/>
    <s v="MBARARA"/>
    <s v="UG"/>
    <n v="1"/>
    <s v="Home"/>
    <s v="FORTPORTAL TOWN"/>
    <s v="FORTPORTAL"/>
    <s v="UG"/>
    <n v="2"/>
    <s v="Work"/>
    <x v="1"/>
    <n v="220000"/>
    <n v="207"/>
    <x v="3"/>
    <n v="4"/>
    <x v="2"/>
    <n v="5"/>
    <s v="Professional"/>
    <n v="4"/>
    <x v="0"/>
    <n v="5"/>
    <n v="2"/>
    <n v="1"/>
    <n v="1"/>
    <n v="1"/>
    <s v="Y"/>
    <n v="3000"/>
    <x v="0"/>
  </r>
  <r>
    <s v="19.10.19"/>
    <m/>
    <m/>
    <s v="P"/>
    <n v="2"/>
    <s v="Road Vehicle"/>
    <n v="4"/>
    <x v="3"/>
    <x v="0"/>
    <n v="3"/>
    <x v="2"/>
    <s v="MBARARA TOWN"/>
    <s v="MBARARA"/>
    <s v="UG"/>
    <n v="1"/>
    <s v="Home"/>
    <s v="BUGAMBA"/>
    <s v="ISINGIRO"/>
    <s v="UG"/>
    <n v="2"/>
    <s v="Work"/>
    <x v="1"/>
    <n v="10000"/>
    <n v="45"/>
    <x v="5"/>
    <n v="3"/>
    <x v="0"/>
    <n v="2"/>
    <s v="Manual Labour"/>
    <n v="1"/>
    <x v="2"/>
    <n v="2"/>
    <n v="2"/>
    <n v="1"/>
    <n v="1"/>
    <n v="1"/>
    <s v="Y"/>
    <n v="5000"/>
    <x v="2"/>
  </r>
  <r>
    <s v="20.10.19"/>
    <d v="1899-12-30T08:37:00"/>
    <m/>
    <s v="P"/>
    <n v="2"/>
    <s v="Road Vehicle"/>
    <n v="4"/>
    <x v="3"/>
    <x v="0"/>
    <n v="3"/>
    <x v="2"/>
    <s v="MBARARA TOWN"/>
    <s v="MBARARA"/>
    <s v="UG"/>
    <n v="4"/>
    <s v="Commercial"/>
    <s v="KABAALE TOWN"/>
    <s v="KABAALE"/>
    <s v="UG"/>
    <n v="4"/>
    <s v="Commercial"/>
    <x v="18"/>
    <n v="15000"/>
    <n v="100"/>
    <x v="2"/>
    <n v="4"/>
    <x v="2"/>
    <n v="10"/>
    <s v="Other"/>
    <n v="1"/>
    <x v="2"/>
    <n v="3"/>
    <n v="4"/>
    <n v="3"/>
    <n v="2"/>
    <n v="4"/>
    <s v="Y"/>
    <n v="4000"/>
    <x v="0"/>
  </r>
  <r>
    <s v="20.10.19"/>
    <d v="1899-12-30T07:24:00"/>
    <m/>
    <s v="D"/>
    <n v="2"/>
    <s v="Road Vehicle"/>
    <n v="4"/>
    <x v="3"/>
    <x v="0"/>
    <n v="3"/>
    <x v="2"/>
    <s v="KAKIIKA"/>
    <s v="MBARARA"/>
    <s v="UG"/>
    <n v="1"/>
    <s v="Home"/>
    <s v="KAMWENGE TOWN"/>
    <s v="KAMWENGE"/>
    <s v="UG"/>
    <n v="2"/>
    <s v="Work"/>
    <x v="1"/>
    <n v="150000"/>
    <n v="75"/>
    <x v="1"/>
    <n v="3"/>
    <x v="0"/>
    <n v="10"/>
    <s v="Other"/>
    <n v="1"/>
    <x v="2"/>
    <n v="2"/>
    <n v="1"/>
    <n v="3"/>
    <n v="4"/>
    <n v="3"/>
    <s v="Y"/>
    <n v="1000"/>
    <x v="4"/>
  </r>
  <r>
    <s v="20.10.19"/>
    <m/>
    <m/>
    <s v="P"/>
    <n v="2"/>
    <s v="Road Vehicle"/>
    <n v="4"/>
    <x v="3"/>
    <x v="0"/>
    <n v="3"/>
    <x v="2"/>
    <s v="MBARARA TOWN"/>
    <s v="MBARARA"/>
    <s v="UG"/>
    <n v="1"/>
    <s v="Home"/>
    <s v="NTUGAMO TOWN"/>
    <s v="NTUNGAMO"/>
    <s v="UG"/>
    <n v="6"/>
    <s v="Leisure/Social"/>
    <x v="8"/>
    <n v="5000"/>
    <n v="40"/>
    <x v="5"/>
    <n v="1.5"/>
    <x v="1"/>
    <n v="6"/>
    <s v="Businessman"/>
    <n v="2"/>
    <x v="3"/>
    <n v="5"/>
    <n v="2"/>
    <n v="2"/>
    <n v="2"/>
    <n v="2"/>
    <s v="Y"/>
    <n v="0"/>
    <x v="3"/>
  </r>
  <r>
    <s v="18.10.19"/>
    <d v="1899-12-30T18:55:00"/>
    <m/>
    <s v="P"/>
    <n v="1"/>
    <s v="Walking/Cycling"/>
    <n v="13"/>
    <x v="10"/>
    <x v="0"/>
    <n v="4"/>
    <x v="3"/>
    <s v="KISWAYIRI"/>
    <s v="MBARARA"/>
    <s v="UG"/>
    <n v="2"/>
    <s v="Work"/>
    <s v="KAMUKOZI"/>
    <s v="MBARARA"/>
    <s v="UG"/>
    <n v="1"/>
    <s v="Home"/>
    <x v="4"/>
    <n v="1000"/>
    <n v="1"/>
    <x v="0"/>
    <n v="0.05"/>
    <x v="3"/>
    <n v="7"/>
    <s v="Farmer"/>
    <n v="1"/>
    <x v="2"/>
    <n v="5"/>
    <n v="4"/>
    <n v="3"/>
    <n v="2"/>
    <n v="1"/>
    <s v="Y"/>
    <n v="3000"/>
    <x v="0"/>
  </r>
  <r>
    <s v="18.10.19"/>
    <m/>
    <m/>
    <s v="D"/>
    <n v="2"/>
    <s v="Road Vehicle"/>
    <n v="1"/>
    <x v="0"/>
    <x v="0"/>
    <n v="4"/>
    <x v="3"/>
    <s v="MBARARA TOWN"/>
    <s v="MBARARA"/>
    <s v="UG"/>
    <n v="1"/>
    <s v="Home"/>
    <s v="IBANDA TOWN"/>
    <s v="IBANDA"/>
    <s v="UG"/>
    <n v="2"/>
    <s v="Work"/>
    <x v="1"/>
    <n v="500000"/>
    <n v="75"/>
    <x v="1"/>
    <n v="2"/>
    <x v="0"/>
    <n v="2"/>
    <s v="Manual Labour"/>
    <n v="2"/>
    <x v="3"/>
    <n v="5"/>
    <n v="5"/>
    <n v="5"/>
    <n v="5"/>
    <n v="5"/>
    <s v="Y"/>
    <n v="4000"/>
    <x v="0"/>
  </r>
  <r>
    <s v="18.10.19"/>
    <d v="1899-12-30T18:19:00"/>
    <m/>
    <s v="D"/>
    <n v="2"/>
    <s v="Road Vehicle"/>
    <n v="6"/>
    <x v="1"/>
    <x v="0"/>
    <n v="4"/>
    <x v="3"/>
    <s v="MAJALI"/>
    <s v="KABALE"/>
    <s v="UG"/>
    <n v="2"/>
    <s v="Work"/>
    <s v="ZANA"/>
    <s v="WAKISO"/>
    <s v="UG"/>
    <n v="1"/>
    <s v="Home"/>
    <x v="4"/>
    <n v="820000"/>
    <n v="400"/>
    <x v="3"/>
    <n v="5"/>
    <x v="2"/>
    <n v="10"/>
    <s v="Other"/>
    <n v="1"/>
    <x v="2"/>
    <n v="2"/>
    <n v="4"/>
    <n v="1"/>
    <n v="5"/>
    <n v="3"/>
    <s v="Y"/>
    <n v="3000"/>
    <x v="0"/>
  </r>
  <r>
    <s v="18.10.19"/>
    <d v="1899-12-30T18:14:00"/>
    <m/>
    <s v="D"/>
    <n v="2"/>
    <s v="Road Vehicle"/>
    <n v="6"/>
    <x v="1"/>
    <x v="0"/>
    <n v="4"/>
    <x v="3"/>
    <s v="KAMPALA TOWN"/>
    <s v="KAMPALA"/>
    <s v="UG"/>
    <n v="4"/>
    <s v="Commercial"/>
    <s v="MBARARA TOWN"/>
    <s v="MBARARA"/>
    <s v="UG"/>
    <n v="4"/>
    <s v="Commercial"/>
    <x v="18"/>
    <n v="520000"/>
    <m/>
    <x v="0"/>
    <n v="5.5"/>
    <x v="2"/>
    <n v="10"/>
    <s v="Other"/>
    <n v="5"/>
    <x v="4"/>
    <n v="3"/>
    <n v="4"/>
    <n v="2"/>
    <n v="4"/>
    <n v="5"/>
    <s v="Y"/>
    <n v="10000"/>
    <x v="5"/>
  </r>
  <r>
    <s v="18.10.19"/>
    <d v="1899-12-30T15:03:00"/>
    <m/>
    <s v="D"/>
    <n v="2"/>
    <s v="Road Vehicle"/>
    <n v="6"/>
    <x v="1"/>
    <x v="0"/>
    <n v="4"/>
    <x v="3"/>
    <s v="MBARARA TOWN"/>
    <s v="MBARARA"/>
    <s v="UG"/>
    <n v="4"/>
    <s v="Commercial"/>
    <s v="KAMPALA TOWN"/>
    <s v="KAMPALA"/>
    <s v="UG"/>
    <n v="4"/>
    <s v="Commercial"/>
    <x v="18"/>
    <n v="440000"/>
    <m/>
    <x v="0"/>
    <n v="5"/>
    <x v="2"/>
    <n v="10"/>
    <s v="Other"/>
    <n v="5"/>
    <x v="4"/>
    <n v="3"/>
    <n v="2"/>
    <n v="1"/>
    <n v="2"/>
    <n v="4"/>
    <s v="Y"/>
    <n v="5000"/>
    <x v="2"/>
  </r>
  <r>
    <s v="19.10.19"/>
    <d v="1899-12-30T11:45:00"/>
    <m/>
    <s v="P"/>
    <n v="2"/>
    <s v="Road Vehicle"/>
    <n v="6"/>
    <x v="1"/>
    <x v="0"/>
    <n v="4"/>
    <x v="3"/>
    <s v="KIRERE"/>
    <s v="MBARARA"/>
    <s v="UG"/>
    <n v="1"/>
    <s v="Home"/>
    <s v="BULOBA"/>
    <s v="WAKISO"/>
    <s v="UG"/>
    <n v="2"/>
    <s v="Work"/>
    <x v="1"/>
    <n v="15000"/>
    <n v="400"/>
    <x v="3"/>
    <n v="5"/>
    <x v="2"/>
    <n v="5"/>
    <s v="Professional"/>
    <n v="2"/>
    <x v="3"/>
    <n v="1"/>
    <n v="5"/>
    <n v="4"/>
    <n v="3"/>
    <n v="2"/>
    <s v="Y"/>
    <n v="1000"/>
    <x v="4"/>
  </r>
  <r>
    <s v="20.10.19"/>
    <d v="1899-12-30T14:56:00"/>
    <m/>
    <s v="P"/>
    <n v="2"/>
    <s v="Road Vehicle"/>
    <n v="6"/>
    <x v="1"/>
    <x v="0"/>
    <n v="4"/>
    <x v="3"/>
    <s v="ISHAKA TOWN"/>
    <s v="ISHAKA"/>
    <s v="UG"/>
    <n v="1"/>
    <s v="Home"/>
    <s v="KAMPALA TOWN"/>
    <s v="KAMPALA"/>
    <s v="UG"/>
    <n v="3"/>
    <s v="Study"/>
    <x v="25"/>
    <n v="25000"/>
    <n v="285"/>
    <x v="3"/>
    <n v="5"/>
    <x v="2"/>
    <n v="9"/>
    <s v="Retired"/>
    <n v="4"/>
    <x v="0"/>
    <n v="2"/>
    <n v="3"/>
    <n v="5"/>
    <n v="1"/>
    <n v="4"/>
    <s v="Y"/>
    <n v="4000"/>
    <x v="0"/>
  </r>
  <r>
    <s v="20.10.19"/>
    <d v="1899-12-30T09:30:00"/>
    <m/>
    <s v="P"/>
    <n v="2"/>
    <s v="Road Vehicle"/>
    <n v="5"/>
    <x v="2"/>
    <x v="0"/>
    <n v="4"/>
    <x v="3"/>
    <s v="MBARARA TOWN"/>
    <s v="MBARARA"/>
    <s v="UG"/>
    <n v="2"/>
    <s v="Work"/>
    <s v="KAGONGI"/>
    <s v="NYAKAYOJO"/>
    <s v="UG"/>
    <n v="1"/>
    <s v="Home"/>
    <x v="4"/>
    <n v="85000"/>
    <n v="378.2"/>
    <x v="3"/>
    <n v="7.5"/>
    <x v="2"/>
    <n v="4"/>
    <s v="Office Worker"/>
    <n v="4"/>
    <x v="0"/>
    <n v="1"/>
    <n v="3"/>
    <n v="2"/>
    <n v="5"/>
    <n v="4"/>
    <s v="Y"/>
    <n v="10000"/>
    <x v="5"/>
  </r>
  <r>
    <s v="19.10.19"/>
    <m/>
    <m/>
    <s v="P"/>
    <n v="2"/>
    <s v="Road Vehicle"/>
    <n v="4"/>
    <x v="3"/>
    <x v="1"/>
    <n v="4"/>
    <x v="3"/>
    <s v="MBARARA TOWN"/>
    <s v="MBARARA"/>
    <s v="UG"/>
    <n v="1"/>
    <s v="Home"/>
    <s v="BUGAMBA"/>
    <s v="ISINGIRO"/>
    <s v="UG"/>
    <n v="4"/>
    <s v="Commercial"/>
    <x v="0"/>
    <n v="10000"/>
    <n v="45"/>
    <x v="5"/>
    <n v="2"/>
    <x v="0"/>
    <n v="5"/>
    <s v="Professional"/>
    <n v="2"/>
    <x v="3"/>
    <n v="2"/>
    <n v="2"/>
    <n v="1"/>
    <n v="1"/>
    <n v="1"/>
    <s v="Y"/>
    <n v="5000"/>
    <x v="2"/>
  </r>
  <r>
    <s v="19.10.19"/>
    <m/>
    <m/>
    <s v="P"/>
    <n v="2"/>
    <s v="Road Vehicle"/>
    <n v="4"/>
    <x v="3"/>
    <x v="0"/>
    <n v="4"/>
    <x v="3"/>
    <s v="MBARARA TOWN"/>
    <s v="MBARARA"/>
    <s v="UG"/>
    <n v="1"/>
    <s v="Home"/>
    <s v="FORTPORTAL TOWN"/>
    <s v="FORTPORTAL"/>
    <s v="UG"/>
    <n v="2"/>
    <s v="Work"/>
    <x v="1"/>
    <n v="20000"/>
    <n v="207"/>
    <x v="3"/>
    <n v="3"/>
    <x v="0"/>
    <n v="6"/>
    <s v="Businessman"/>
    <n v="2"/>
    <x v="3"/>
    <n v="5"/>
    <n v="2"/>
    <n v="1"/>
    <n v="1"/>
    <n v="1"/>
    <s v="Y"/>
    <n v="1000"/>
    <x v="4"/>
  </r>
  <r>
    <s v="20.10.19"/>
    <d v="1899-12-30T16:22:00"/>
    <m/>
    <s v="P"/>
    <n v="2"/>
    <s v="Road Vehicle"/>
    <n v="6"/>
    <x v="1"/>
    <x v="0"/>
    <n v="5"/>
    <x v="4"/>
    <s v="KAMPALA TOWN"/>
    <s v="KAMPALA"/>
    <s v="UG"/>
    <n v="6"/>
    <s v="Leisure/Social"/>
    <s v="KABALE TOWN"/>
    <s v="KABALE"/>
    <s v="UG"/>
    <n v="1"/>
    <s v="Home"/>
    <x v="10"/>
    <n v="35000"/>
    <n v="320"/>
    <x v="3"/>
    <n v="7"/>
    <x v="2"/>
    <n v="9"/>
    <s v="Retired"/>
    <n v="1"/>
    <x v="2"/>
    <n v="4"/>
    <n v="5"/>
    <n v="3"/>
    <n v="1"/>
    <n v="2"/>
    <s v="Y"/>
    <n v="0"/>
    <x v="3"/>
  </r>
  <r>
    <s v="21.10.19"/>
    <d v="1899-12-30T16:43:00"/>
    <m/>
    <s v="P"/>
    <n v="2"/>
    <s v="Road Vehicle"/>
    <n v="1"/>
    <x v="0"/>
    <x v="1"/>
    <n v="1"/>
    <x v="0"/>
    <s v="RUBANDA TOWN"/>
    <s v="RUBANDA"/>
    <s v="UG"/>
    <n v="2"/>
    <s v="Work"/>
    <s v="KABALE TOWN"/>
    <s v="KABALE"/>
    <s v="UG"/>
    <n v="1"/>
    <s v="Home"/>
    <x v="4"/>
    <n v="6000"/>
    <n v="46"/>
    <x v="5"/>
    <n v="0.66"/>
    <x v="4"/>
    <n v="4"/>
    <s v="Office Worker"/>
    <n v="5"/>
    <x v="4"/>
    <n v="1"/>
    <n v="1"/>
    <n v="1"/>
    <n v="1"/>
    <n v="1"/>
    <s v="Y"/>
    <n v="1000"/>
    <x v="4"/>
  </r>
  <r>
    <s v="23.10.19"/>
    <d v="1899-12-30T07:10:00"/>
    <s v="UAX 023K"/>
    <s v="D"/>
    <n v="2"/>
    <s v="Road Vehicle"/>
    <n v="1"/>
    <x v="0"/>
    <x v="1"/>
    <n v="1"/>
    <x v="0"/>
    <s v="KABALE TOWN"/>
    <s v="KABALE"/>
    <s v="UG"/>
    <n v="1"/>
    <s v="Home"/>
    <s v="KATUNA"/>
    <s v="KABALE"/>
    <s v="UG"/>
    <n v="2"/>
    <s v="Work"/>
    <x v="1"/>
    <n v="20000"/>
    <n v="20"/>
    <x v="4"/>
    <n v="0.5"/>
    <x v="4"/>
    <n v="6"/>
    <s v="Businessman"/>
    <n v="3"/>
    <x v="1"/>
    <n v="2"/>
    <n v="2"/>
    <n v="2"/>
    <n v="2"/>
    <n v="2"/>
    <s v="Y"/>
    <n v="2000"/>
    <x v="1"/>
  </r>
  <r>
    <s v="21.10.19"/>
    <d v="1899-12-30T18:03:00"/>
    <m/>
    <s v="P"/>
    <n v="2"/>
    <s v="Road Vehicle"/>
    <n v="6"/>
    <x v="1"/>
    <x v="1"/>
    <n v="1"/>
    <x v="0"/>
    <s v="KISORO TOWN"/>
    <s v="KISORO"/>
    <s v="UG"/>
    <n v="1"/>
    <s v="Home"/>
    <s v="KAMPALA TOWN"/>
    <s v="KAMPALA"/>
    <s v="UG"/>
    <n v="2"/>
    <s v="Work"/>
    <x v="1"/>
    <n v="60000"/>
    <n v="490"/>
    <x v="3"/>
    <n v="14"/>
    <x v="2"/>
    <n v="4"/>
    <s v="Office Worker"/>
    <n v="3"/>
    <x v="1"/>
    <n v="1"/>
    <n v="1"/>
    <n v="1"/>
    <n v="1"/>
    <n v="1"/>
    <s v="Y"/>
    <n v="2000"/>
    <x v="1"/>
  </r>
  <r>
    <s v="21.10.19"/>
    <d v="1899-12-30T15:36:00"/>
    <m/>
    <s v="P"/>
    <n v="2"/>
    <s v="Road Vehicle"/>
    <n v="6"/>
    <x v="1"/>
    <x v="1"/>
    <n v="1"/>
    <x v="0"/>
    <s v="KISORO TOWN"/>
    <s v="KISORO"/>
    <s v="UG"/>
    <n v="1"/>
    <s v="Home"/>
    <s v="KAMPALA TOWN"/>
    <s v="KAMPALA"/>
    <s v="UG"/>
    <n v="3"/>
    <s v="Study"/>
    <x v="25"/>
    <n v="40000"/>
    <n v="410"/>
    <x v="3"/>
    <n v="4"/>
    <x v="2"/>
    <n v="1"/>
    <s v="Unemployed"/>
    <n v="1"/>
    <x v="2"/>
    <n v="5"/>
    <n v="1"/>
    <n v="1"/>
    <n v="1"/>
    <n v="5"/>
    <s v="Y"/>
    <n v="0"/>
    <x v="3"/>
  </r>
  <r>
    <s v="21.10.19"/>
    <d v="1899-12-30T15:07:00"/>
    <m/>
    <s v="P"/>
    <n v="2"/>
    <s v="Road Vehicle"/>
    <n v="6"/>
    <x v="1"/>
    <x v="1"/>
    <n v="1"/>
    <x v="0"/>
    <s v="KABALE TOWN"/>
    <s v="KABALE"/>
    <s v="UG"/>
    <n v="1"/>
    <s v="Home"/>
    <s v="MBARARA TOWN"/>
    <s v="MBARARA"/>
    <s v="UG"/>
    <n v="3"/>
    <s v="Study"/>
    <x v="25"/>
    <n v="15000"/>
    <n v="137"/>
    <x v="2"/>
    <n v="2"/>
    <x v="0"/>
    <n v="1"/>
    <s v="Unemployed"/>
    <n v="1"/>
    <x v="2"/>
    <n v="1"/>
    <n v="1"/>
    <n v="1"/>
    <n v="1"/>
    <n v="1"/>
    <s v="Y"/>
    <n v="0"/>
    <x v="3"/>
  </r>
  <r>
    <s v="21.10.19"/>
    <d v="1899-12-30T16:31:00"/>
    <m/>
    <s v="P"/>
    <n v="2"/>
    <s v="Road Vehicle"/>
    <n v="6"/>
    <x v="1"/>
    <x v="0"/>
    <n v="1"/>
    <x v="0"/>
    <s v="KISORO TOWN"/>
    <s v="KISORO"/>
    <s v="UG"/>
    <n v="3"/>
    <s v="Study"/>
    <s v="KAMPALA TOWN"/>
    <s v="KAMPALA"/>
    <s v="UG"/>
    <n v="3"/>
    <s v="Study"/>
    <x v="34"/>
    <n v="30000"/>
    <n v="487"/>
    <x v="3"/>
    <n v="14"/>
    <x v="2"/>
    <n v="8"/>
    <s v="Student"/>
    <n v="1"/>
    <x v="2"/>
    <n v="1"/>
    <n v="1"/>
    <n v="1"/>
    <n v="1"/>
    <n v="1"/>
    <s v="Y"/>
    <n v="0"/>
    <x v="3"/>
  </r>
  <r>
    <s v="21.10.19"/>
    <d v="1899-12-30T15:52:00"/>
    <m/>
    <s v="P"/>
    <n v="2"/>
    <s v="Road Vehicle"/>
    <n v="6"/>
    <x v="1"/>
    <x v="0"/>
    <n v="1"/>
    <x v="0"/>
    <s v="KABALE TOWN"/>
    <s v="KABALE"/>
    <s v="UG"/>
    <n v="1"/>
    <s v="Home"/>
    <s v="KAMPALA TOWN"/>
    <s v="KAMPALA"/>
    <s v="UG"/>
    <n v="3"/>
    <s v="Study"/>
    <x v="25"/>
    <n v="30000"/>
    <n v="396"/>
    <x v="3"/>
    <n v="4"/>
    <x v="2"/>
    <n v="1"/>
    <s v="Unemployed"/>
    <n v="1"/>
    <x v="2"/>
    <n v="5"/>
    <n v="1"/>
    <n v="1"/>
    <n v="1"/>
    <n v="5"/>
    <s v="Y"/>
    <n v="0"/>
    <x v="3"/>
  </r>
  <r>
    <s v="22.10.19"/>
    <d v="1899-12-30T10:57:00"/>
    <s v="UAV 473X"/>
    <s v="D"/>
    <n v="2"/>
    <s v="Road Vehicle"/>
    <n v="7"/>
    <x v="7"/>
    <x v="0"/>
    <n v="1"/>
    <x v="0"/>
    <s v="KABALE TOWN"/>
    <s v="KABALE"/>
    <s v="UG"/>
    <n v="4"/>
    <s v="Commercial"/>
    <s v="IBANDA TOWN"/>
    <s v="IBANDA"/>
    <s v="UG"/>
    <n v="4"/>
    <s v="Commercial"/>
    <x v="18"/>
    <n v="50000"/>
    <n v="150"/>
    <x v="2"/>
    <n v="2"/>
    <x v="0"/>
    <n v="5"/>
    <s v="Professional"/>
    <n v="2"/>
    <x v="3"/>
    <n v="5"/>
    <n v="5"/>
    <n v="5"/>
    <n v="1"/>
    <n v="1"/>
    <s v="Y"/>
    <n v="2000"/>
    <x v="1"/>
  </r>
  <r>
    <s v="21.10.19"/>
    <d v="1899-12-30T15:22:00"/>
    <m/>
    <s v="P"/>
    <n v="2"/>
    <s v="Road Vehicle"/>
    <n v="4"/>
    <x v="3"/>
    <x v="1"/>
    <n v="1"/>
    <x v="0"/>
    <s v="KISIRIZI"/>
    <s v="KABALE"/>
    <s v="UG"/>
    <n v="2"/>
    <s v="Work"/>
    <s v="KABALE TOWN"/>
    <s v="KABALE"/>
    <s v="UG"/>
    <n v="1"/>
    <s v="Home"/>
    <x v="4"/>
    <n v="7000"/>
    <n v="46"/>
    <x v="5"/>
    <n v="1"/>
    <x v="1"/>
    <n v="4"/>
    <s v="Office Worker"/>
    <n v="3"/>
    <x v="1"/>
    <n v="2"/>
    <n v="2"/>
    <n v="2"/>
    <n v="4"/>
    <n v="4"/>
    <s v="Y"/>
    <n v="0"/>
    <x v="3"/>
  </r>
  <r>
    <s v="21.10.19"/>
    <d v="1899-12-30T16:09:00"/>
    <m/>
    <s v="P"/>
    <n v="2"/>
    <s v="Road Vehicle"/>
    <n v="4"/>
    <x v="3"/>
    <x v="1"/>
    <n v="1"/>
    <x v="0"/>
    <s v="KABALE TOWN"/>
    <s v="KABALE"/>
    <s v="UG"/>
    <n v="1"/>
    <s v="Home"/>
    <s v="SIR APOLLO"/>
    <s v="KAMPALA"/>
    <s v="UG"/>
    <n v="3"/>
    <s v="Study"/>
    <x v="25"/>
    <n v="40000"/>
    <n v="369"/>
    <x v="3"/>
    <n v="5"/>
    <x v="2"/>
    <n v="1"/>
    <s v="Unemployed"/>
    <n v="1"/>
    <x v="2"/>
    <n v="1"/>
    <n v="1"/>
    <n v="5"/>
    <n v="5"/>
    <n v="1"/>
    <s v="Y"/>
    <n v="0"/>
    <x v="3"/>
  </r>
  <r>
    <s v="21.10.19"/>
    <d v="1899-12-30T15:15:00"/>
    <m/>
    <s v="P"/>
    <n v="2"/>
    <s v="Road Vehicle"/>
    <n v="4"/>
    <x v="3"/>
    <x v="1"/>
    <n v="1"/>
    <x v="0"/>
    <s v="KABALE TOWN"/>
    <s v="KABALE"/>
    <s v="UG"/>
    <n v="1"/>
    <s v="Home"/>
    <s v="MASAKA TOWN"/>
    <s v="MASAKA"/>
    <s v="UG"/>
    <n v="6"/>
    <s v="Leisure/Social"/>
    <x v="8"/>
    <n v="20000"/>
    <n v="390"/>
    <x v="3"/>
    <n v="3"/>
    <x v="0"/>
    <n v="6"/>
    <s v="Businessman"/>
    <n v="2"/>
    <x v="3"/>
    <n v="1"/>
    <n v="1"/>
    <n v="1"/>
    <n v="1"/>
    <n v="1"/>
    <s v="Y"/>
    <n v="2000"/>
    <x v="1"/>
  </r>
  <r>
    <s v="22.10.19"/>
    <d v="1899-12-30T08:49:00"/>
    <s v="UAX 751Y"/>
    <s v="D"/>
    <n v="2"/>
    <s v="Road Vehicle"/>
    <n v="4"/>
    <x v="3"/>
    <x v="1"/>
    <n v="1"/>
    <x v="0"/>
    <s v="KABALE TOWN"/>
    <s v="KABALE"/>
    <s v="UG"/>
    <n v="4"/>
    <s v="Commercial"/>
    <s v="NTUNGAMO TOWN"/>
    <s v="NTUNGAMO"/>
    <s v="UG"/>
    <n v="4"/>
    <s v="Commercial"/>
    <x v="18"/>
    <n v="30000"/>
    <n v="96"/>
    <x v="1"/>
    <n v="2"/>
    <x v="0"/>
    <n v="5"/>
    <s v="Professional"/>
    <n v="2"/>
    <x v="3"/>
    <n v="5"/>
    <n v="5"/>
    <n v="5"/>
    <n v="3"/>
    <n v="5"/>
    <s v="Y"/>
    <n v="2000"/>
    <x v="1"/>
  </r>
  <r>
    <s v="22.10.19"/>
    <d v="1899-12-30T12:36:00"/>
    <m/>
    <s v="P"/>
    <n v="2"/>
    <s v="Road Vehicle"/>
    <n v="4"/>
    <x v="3"/>
    <x v="1"/>
    <n v="1"/>
    <x v="0"/>
    <s v="MUKIGUGWE"/>
    <s v="KABALE"/>
    <s v="UG"/>
    <n v="1"/>
    <s v="Home"/>
    <s v="KABALE TOWN"/>
    <s v="KABALE"/>
    <s v="UG"/>
    <n v="3"/>
    <s v="Study"/>
    <x v="25"/>
    <n v="3000"/>
    <n v="3"/>
    <x v="0"/>
    <n v="0.28000000000000003"/>
    <x v="3"/>
    <n v="1"/>
    <s v="Unemployed"/>
    <n v="1"/>
    <x v="2"/>
    <n v="1"/>
    <n v="1"/>
    <n v="5"/>
    <n v="5"/>
    <n v="1"/>
    <s v="Y"/>
    <n v="0"/>
    <x v="3"/>
  </r>
  <r>
    <s v="22.10.19"/>
    <d v="1899-12-30T12:57:00"/>
    <m/>
    <s v="P"/>
    <n v="2"/>
    <s v="Road Vehicle"/>
    <n v="4"/>
    <x v="3"/>
    <x v="1"/>
    <n v="1"/>
    <x v="0"/>
    <s v="KATUNA"/>
    <s v="KABALE"/>
    <s v="UG"/>
    <n v="1"/>
    <s v="Home"/>
    <s v="KABALE TOWN"/>
    <s v="KABALE"/>
    <s v="UG"/>
    <n v="4"/>
    <s v="Commercial"/>
    <x v="0"/>
    <n v="4000"/>
    <n v="3"/>
    <x v="0"/>
    <n v="0.3"/>
    <x v="3"/>
    <n v="5"/>
    <s v="Professional"/>
    <n v="1"/>
    <x v="2"/>
    <n v="1"/>
    <n v="1"/>
    <n v="1"/>
    <n v="1"/>
    <n v="5"/>
    <s v="Y"/>
    <n v="1000"/>
    <x v="4"/>
  </r>
  <r>
    <s v="22.10.19"/>
    <d v="1899-12-30T13:39:00"/>
    <m/>
    <s v="P"/>
    <n v="2"/>
    <s v="Road Vehicle"/>
    <n v="4"/>
    <x v="3"/>
    <x v="1"/>
    <n v="1"/>
    <x v="0"/>
    <s v="KABALE TOWN"/>
    <s v="KABALE"/>
    <s v="UG"/>
    <n v="1"/>
    <s v="Home"/>
    <s v="KAGADI TOWN"/>
    <s v="KAGADI"/>
    <s v="UG"/>
    <n v="1"/>
    <s v="Home"/>
    <x v="16"/>
    <n v="40000"/>
    <n v="370"/>
    <x v="3"/>
    <n v="4"/>
    <x v="2"/>
    <n v="1"/>
    <s v="Unemployed"/>
    <n v="1"/>
    <x v="2"/>
    <n v="5"/>
    <n v="5"/>
    <n v="5"/>
    <n v="5"/>
    <n v="5"/>
    <s v="Y"/>
    <n v="0"/>
    <x v="3"/>
  </r>
  <r>
    <s v="22.10.19"/>
    <d v="1899-12-30T14:19:00"/>
    <m/>
    <s v="P"/>
    <n v="2"/>
    <s v="Road Vehicle"/>
    <n v="4"/>
    <x v="3"/>
    <x v="1"/>
    <n v="1"/>
    <x v="0"/>
    <s v="LUKINDA"/>
    <s v="KABALE"/>
    <s v="UG"/>
    <n v="1"/>
    <s v="Home"/>
    <s v="KABALE TOWN"/>
    <s v="KABALE"/>
    <s v="UG"/>
    <n v="2"/>
    <s v="Work"/>
    <x v="1"/>
    <n v="10000"/>
    <n v="3"/>
    <x v="0"/>
    <n v="0.28000000000000003"/>
    <x v="3"/>
    <n v="5"/>
    <s v="Professional"/>
    <n v="2"/>
    <x v="3"/>
    <n v="1"/>
    <n v="1"/>
    <n v="5"/>
    <n v="5"/>
    <n v="5"/>
    <s v="Y"/>
    <n v="3000"/>
    <x v="0"/>
  </r>
  <r>
    <s v="22.10.19"/>
    <d v="1899-12-30T15:37:00"/>
    <m/>
    <s v="P"/>
    <n v="2"/>
    <s v="Road Vehicle"/>
    <n v="4"/>
    <x v="3"/>
    <x v="1"/>
    <n v="1"/>
    <x v="0"/>
    <s v="KABALE TOWN"/>
    <s v="KABALE"/>
    <s v="UG"/>
    <n v="1"/>
    <s v="Home"/>
    <s v="MBARARA TOWN"/>
    <s v="MBARARA"/>
    <s v="UG"/>
    <n v="7"/>
    <s v="Hospital"/>
    <x v="32"/>
    <n v="15000"/>
    <n v="136"/>
    <x v="2"/>
    <n v="2"/>
    <x v="0"/>
    <n v="1"/>
    <s v="Unemployed"/>
    <n v="1"/>
    <x v="2"/>
    <n v="5"/>
    <n v="1"/>
    <n v="1"/>
    <n v="1"/>
    <n v="1"/>
    <s v="Y"/>
    <n v="0"/>
    <x v="3"/>
  </r>
  <r>
    <s v="22.10.19"/>
    <d v="1899-12-30T17:17:00"/>
    <m/>
    <s v="P"/>
    <n v="2"/>
    <s v="Road Vehicle"/>
    <n v="4"/>
    <x v="3"/>
    <x v="1"/>
    <n v="1"/>
    <x v="0"/>
    <s v="KABALE TOWN"/>
    <s v="KABALE"/>
    <s v="UG"/>
    <n v="1"/>
    <s v="Home"/>
    <s v="MBARARA TOWN"/>
    <s v="MBARARA"/>
    <s v="UG"/>
    <n v="6"/>
    <s v="Leisure/Social"/>
    <x v="8"/>
    <n v="15000"/>
    <n v="136"/>
    <x v="2"/>
    <n v="3"/>
    <x v="0"/>
    <n v="1"/>
    <s v="Unemployed"/>
    <n v="1"/>
    <x v="2"/>
    <n v="1"/>
    <n v="1"/>
    <n v="1"/>
    <n v="1"/>
    <n v="1"/>
    <s v="Y"/>
    <n v="2000"/>
    <x v="1"/>
  </r>
  <r>
    <s v="22.10.19"/>
    <d v="1899-12-30T17:32:00"/>
    <m/>
    <s v="P"/>
    <n v="2"/>
    <s v="Road Vehicle"/>
    <n v="4"/>
    <x v="3"/>
    <x v="1"/>
    <n v="1"/>
    <x v="0"/>
    <s v="KABALE TOWN"/>
    <s v="KABALE"/>
    <s v="UG"/>
    <n v="1"/>
    <s v="Home"/>
    <s v="NTUNGAMO TOWN"/>
    <s v="NTUNGAMO"/>
    <s v="UG"/>
    <n v="6"/>
    <s v="Leisure/Social"/>
    <x v="8"/>
    <n v="7000"/>
    <n v="76"/>
    <x v="1"/>
    <n v="1"/>
    <x v="1"/>
    <n v="1"/>
    <s v="Unemployed"/>
    <n v="1"/>
    <x v="2"/>
    <n v="1"/>
    <n v="1"/>
    <n v="1"/>
    <n v="1"/>
    <n v="1"/>
    <s v="Y"/>
    <n v="0"/>
    <x v="3"/>
  </r>
  <r>
    <s v="22.10.19"/>
    <d v="1899-12-30T18:09:00"/>
    <m/>
    <s v="P"/>
    <n v="2"/>
    <s v="Road Vehicle"/>
    <n v="4"/>
    <x v="3"/>
    <x v="1"/>
    <n v="1"/>
    <x v="0"/>
    <s v="KABALE TOWN"/>
    <s v="KABALE"/>
    <s v="UG"/>
    <n v="1"/>
    <s v="Home"/>
    <s v="MBARARA TOWN"/>
    <s v="MBARARA"/>
    <s v="UG"/>
    <n v="3"/>
    <s v="Study"/>
    <x v="25"/>
    <n v="15000"/>
    <n v="136"/>
    <x v="2"/>
    <n v="1.5"/>
    <x v="1"/>
    <n v="1"/>
    <s v="Unemployed"/>
    <n v="1"/>
    <x v="2"/>
    <n v="1"/>
    <n v="1"/>
    <n v="1"/>
    <n v="1"/>
    <n v="1"/>
    <s v="Y"/>
    <n v="0"/>
    <x v="3"/>
  </r>
  <r>
    <s v="22.10.19"/>
    <d v="1899-12-30T18:39:00"/>
    <m/>
    <s v="P"/>
    <n v="2"/>
    <s v="Road Vehicle"/>
    <n v="4"/>
    <x v="3"/>
    <x v="1"/>
    <n v="1"/>
    <x v="0"/>
    <s v="KABALE TOWN"/>
    <s v="KABALE"/>
    <s v="UG"/>
    <n v="4"/>
    <s v="Commercial"/>
    <s v="HOIMA TOWN"/>
    <s v="HOIMA"/>
    <s v="UG"/>
    <n v="4"/>
    <s v="Commercial"/>
    <x v="18"/>
    <n v="50000"/>
    <n v="470"/>
    <x v="3"/>
    <n v="4"/>
    <x v="2"/>
    <n v="7"/>
    <s v="Farmer"/>
    <n v="2"/>
    <x v="3"/>
    <n v="1"/>
    <n v="1"/>
    <n v="5"/>
    <n v="5"/>
    <n v="5"/>
    <s v="Y"/>
    <n v="2000"/>
    <x v="1"/>
  </r>
  <r>
    <s v="23.10.19"/>
    <d v="1899-12-30T15:52:00"/>
    <m/>
    <s v="P"/>
    <n v="2"/>
    <s v="Road Vehicle"/>
    <n v="4"/>
    <x v="3"/>
    <x v="1"/>
    <n v="1"/>
    <x v="0"/>
    <s v="BWINDI TOWN"/>
    <s v="BWINDI"/>
    <s v="UG"/>
    <n v="1"/>
    <s v="Home"/>
    <s v="KABALE TOWN"/>
    <s v="KABALE"/>
    <s v="UG"/>
    <n v="6"/>
    <s v="Leisure/Social"/>
    <x v="8"/>
    <n v="40000"/>
    <n v="340"/>
    <x v="3"/>
    <n v="4"/>
    <x v="2"/>
    <n v="6"/>
    <s v="Businessman"/>
    <n v="2"/>
    <x v="3"/>
    <n v="1"/>
    <n v="1"/>
    <n v="1"/>
    <n v="1"/>
    <n v="1"/>
    <s v="Y"/>
    <n v="3000"/>
    <x v="0"/>
  </r>
  <r>
    <s v="23.10.19"/>
    <d v="1899-12-30T07:16:00"/>
    <m/>
    <s v="P"/>
    <n v="2"/>
    <s v="Road Vehicle"/>
    <n v="4"/>
    <x v="3"/>
    <x v="1"/>
    <n v="1"/>
    <x v="0"/>
    <s v="KABALE TOWN"/>
    <s v="KABALE"/>
    <s v="UG"/>
    <n v="1"/>
    <s v="Home"/>
    <s v="KAMPALA TOWN"/>
    <s v="KAMPALA"/>
    <s v="UG"/>
    <n v="3"/>
    <s v="Study"/>
    <x v="25"/>
    <n v="30000"/>
    <n v="480"/>
    <x v="3"/>
    <n v="4"/>
    <x v="2"/>
    <n v="1"/>
    <s v="Unemployed"/>
    <n v="1"/>
    <x v="2"/>
    <n v="1"/>
    <n v="1"/>
    <n v="1"/>
    <n v="1"/>
    <n v="1"/>
    <s v="Y"/>
    <n v="0"/>
    <x v="3"/>
  </r>
  <r>
    <s v="23.10.19"/>
    <d v="1899-12-30T10:17:00"/>
    <m/>
    <s v="P"/>
    <n v="2"/>
    <s v="Road Vehicle"/>
    <n v="4"/>
    <x v="3"/>
    <x v="1"/>
    <n v="1"/>
    <x v="0"/>
    <s v="LUBALA"/>
    <s v="KABALE"/>
    <s v="UG"/>
    <n v="1"/>
    <s v="Home"/>
    <s v="KABALE TOWN"/>
    <s v="KABALE"/>
    <s v="UG"/>
    <n v="2"/>
    <s v="Work"/>
    <x v="1"/>
    <n v="5000"/>
    <n v="40"/>
    <x v="5"/>
    <n v="1"/>
    <x v="1"/>
    <n v="7"/>
    <s v="Farmer"/>
    <n v="2"/>
    <x v="3"/>
    <n v="1"/>
    <n v="1"/>
    <n v="5"/>
    <n v="5"/>
    <n v="1"/>
    <s v="Y"/>
    <n v="1000"/>
    <x v="4"/>
  </r>
  <r>
    <s v="23.10.19"/>
    <d v="1899-12-30T11:13:00"/>
    <m/>
    <s v="P"/>
    <n v="2"/>
    <s v="Road Vehicle"/>
    <n v="4"/>
    <x v="3"/>
    <x v="1"/>
    <n v="1"/>
    <x v="0"/>
    <s v="KABALE TOWN"/>
    <s v="KABALE"/>
    <s v="UG"/>
    <n v="1"/>
    <s v="Home"/>
    <s v="HOIMA TOWN"/>
    <s v="HOIMA"/>
    <s v="UG"/>
    <n v="3"/>
    <s v="Study"/>
    <x v="25"/>
    <n v="50000"/>
    <n v="450"/>
    <x v="3"/>
    <n v="7"/>
    <x v="2"/>
    <n v="1"/>
    <s v="Unemployed"/>
    <n v="1"/>
    <x v="2"/>
    <n v="5"/>
    <n v="5"/>
    <n v="1"/>
    <n v="1"/>
    <n v="5"/>
    <s v="Y"/>
    <n v="0"/>
    <x v="3"/>
  </r>
  <r>
    <s v="23.10.19"/>
    <d v="1899-12-30T12:07:00"/>
    <m/>
    <s v="P"/>
    <n v="2"/>
    <s v="Road Vehicle"/>
    <n v="4"/>
    <x v="3"/>
    <x v="1"/>
    <n v="1"/>
    <x v="0"/>
    <s v="KABALE TOWN"/>
    <s v="KABALE"/>
    <s v="UG"/>
    <n v="1"/>
    <s v="Home"/>
    <s v="BUSHENYI TOWN"/>
    <s v="BUSHENYI"/>
    <s v="UG"/>
    <n v="1"/>
    <s v="Home"/>
    <x v="16"/>
    <n v="3000"/>
    <n v="47"/>
    <x v="5"/>
    <n v="0.8"/>
    <x v="4"/>
    <n v="6"/>
    <s v="Businessman"/>
    <n v="1"/>
    <x v="2"/>
    <n v="2"/>
    <n v="2"/>
    <n v="2"/>
    <n v="2"/>
    <n v="2"/>
    <s v="Y"/>
    <n v="0"/>
    <x v="3"/>
  </r>
  <r>
    <s v="23.10.19"/>
    <d v="1899-12-30T15:32:00"/>
    <m/>
    <s v="P"/>
    <n v="2"/>
    <s v="Road Vehicle"/>
    <n v="4"/>
    <x v="3"/>
    <x v="1"/>
    <n v="1"/>
    <x v="0"/>
    <s v="KABALE TOWN"/>
    <s v="KABALE"/>
    <s v="UG"/>
    <n v="1"/>
    <s v="Home"/>
    <s v="ISHAKA TOWN"/>
    <s v="ISHAKA"/>
    <s v="UG"/>
    <n v="4"/>
    <s v="Commercial"/>
    <x v="0"/>
    <n v="25000"/>
    <n v="250"/>
    <x v="3"/>
    <n v="3"/>
    <x v="0"/>
    <n v="2"/>
    <s v="Manual Labour"/>
    <n v="2"/>
    <x v="3"/>
    <n v="1"/>
    <n v="5"/>
    <n v="5"/>
    <n v="1"/>
    <n v="5"/>
    <s v="Y"/>
    <n v="1000"/>
    <x v="4"/>
  </r>
  <r>
    <s v="23.10.19"/>
    <d v="1899-12-30T11:28:00"/>
    <m/>
    <s v="P"/>
    <n v="2"/>
    <s v="Road Vehicle"/>
    <n v="4"/>
    <x v="3"/>
    <x v="1"/>
    <n v="1"/>
    <x v="0"/>
    <s v="KABALE TOWN"/>
    <s v="KABALE"/>
    <s v="UG"/>
    <n v="2"/>
    <s v="Work"/>
    <s v="NAKIGUGWE"/>
    <s v="KABALE"/>
    <s v="UG"/>
    <n v="1"/>
    <s v="Home"/>
    <x v="4"/>
    <n v="3000"/>
    <n v="12"/>
    <x v="6"/>
    <n v="0.66"/>
    <x v="4"/>
    <n v="7"/>
    <s v="Farmer"/>
    <n v="1"/>
    <x v="2"/>
    <n v="5"/>
    <n v="4"/>
    <n v="2"/>
    <n v="2"/>
    <n v="2"/>
    <s v="Y"/>
    <n v="0"/>
    <x v="3"/>
  </r>
  <r>
    <s v="23.10.19"/>
    <d v="1899-12-30T09:03:00"/>
    <m/>
    <s v="D"/>
    <n v="2"/>
    <s v="Road Vehicle"/>
    <n v="4"/>
    <x v="3"/>
    <x v="1"/>
    <n v="1"/>
    <x v="0"/>
    <s v="KISORO TOWN"/>
    <s v="KISORO"/>
    <s v="UG"/>
    <n v="2"/>
    <s v="Work"/>
    <s v="KAMPALA TOWN"/>
    <s v="KAMPALA"/>
    <s v="UG"/>
    <n v="2"/>
    <s v="Work"/>
    <x v="2"/>
    <n v="400000"/>
    <n v="480"/>
    <x v="3"/>
    <n v="13"/>
    <x v="2"/>
    <n v="5"/>
    <s v="Professional"/>
    <n v="5"/>
    <x v="4"/>
    <n v="1"/>
    <n v="1"/>
    <n v="1"/>
    <n v="1"/>
    <n v="1"/>
    <s v="Y"/>
    <n v="1000"/>
    <x v="4"/>
  </r>
  <r>
    <s v="21.10.19"/>
    <d v="1899-12-30T17:44:00"/>
    <s v="UAM 749V"/>
    <s v="D"/>
    <n v="2"/>
    <s v="Road Vehicle"/>
    <n v="4"/>
    <x v="3"/>
    <x v="0"/>
    <n v="1"/>
    <x v="0"/>
    <s v="KABALE TOWN"/>
    <s v="KABALE"/>
    <s v="UG"/>
    <n v="4"/>
    <s v="Commercial"/>
    <s v="FORTPORTAL TOWN"/>
    <s v="FORTPORTAL"/>
    <s v="UG"/>
    <n v="4"/>
    <s v="Commercial"/>
    <x v="18"/>
    <n v="100000"/>
    <n v="370"/>
    <x v="3"/>
    <n v="4"/>
    <x v="2"/>
    <n v="5"/>
    <s v="Professional"/>
    <n v="2"/>
    <x v="3"/>
    <n v="4"/>
    <n v="5"/>
    <n v="1"/>
    <n v="1"/>
    <n v="1"/>
    <s v="Y"/>
    <n v="2000"/>
    <x v="1"/>
  </r>
  <r>
    <s v="22.10.19"/>
    <d v="1899-12-30T10:37:00"/>
    <m/>
    <s v="P"/>
    <n v="2"/>
    <s v="Road Vehicle"/>
    <n v="4"/>
    <x v="3"/>
    <x v="0"/>
    <n v="1"/>
    <x v="0"/>
    <s v="KABALE TOWN"/>
    <s v="KABALE"/>
    <s v="UG"/>
    <n v="1"/>
    <s v="Home"/>
    <s v="KARUGUUZA"/>
    <s v="KIBALE"/>
    <s v="UG"/>
    <n v="1"/>
    <s v="Home"/>
    <x v="16"/>
    <n v="50000"/>
    <n v="300"/>
    <x v="3"/>
    <n v="5"/>
    <x v="2"/>
    <n v="1"/>
    <s v="Unemployed"/>
    <n v="1"/>
    <x v="2"/>
    <n v="5"/>
    <n v="5"/>
    <n v="1"/>
    <n v="5"/>
    <n v="5"/>
    <s v="Y"/>
    <n v="0"/>
    <x v="3"/>
  </r>
  <r>
    <s v="22.10.19"/>
    <d v="1899-12-30T12:24:00"/>
    <m/>
    <s v="P"/>
    <n v="2"/>
    <s v="Road Vehicle"/>
    <n v="4"/>
    <x v="3"/>
    <x v="0"/>
    <n v="1"/>
    <x v="0"/>
    <s v="KABALE TOWN"/>
    <s v="KABALE"/>
    <s v="UG"/>
    <n v="1"/>
    <s v="Home"/>
    <s v="MBARARA TOWN"/>
    <s v="MBARARA"/>
    <s v="UG"/>
    <n v="3"/>
    <s v="Study"/>
    <x v="25"/>
    <n v="15000"/>
    <n v="136"/>
    <x v="2"/>
    <n v="2"/>
    <x v="0"/>
    <n v="1"/>
    <s v="Unemployed"/>
    <n v="1"/>
    <x v="2"/>
    <n v="1"/>
    <n v="1"/>
    <n v="1"/>
    <n v="1"/>
    <n v="1"/>
    <s v="Y"/>
    <n v="0"/>
    <x v="3"/>
  </r>
  <r>
    <s v="22.10.19"/>
    <d v="1899-12-30T12:31:00"/>
    <m/>
    <s v="P"/>
    <n v="2"/>
    <s v="Road Vehicle"/>
    <n v="4"/>
    <x v="3"/>
    <x v="0"/>
    <n v="1"/>
    <x v="0"/>
    <s v="KABALE TOWN"/>
    <s v="KABALE"/>
    <s v="UG"/>
    <n v="1"/>
    <s v="Home"/>
    <s v="KAMWENGE TOWN"/>
    <s v="KAMWENGE"/>
    <s v="UG"/>
    <n v="6"/>
    <s v="Leisure/Social"/>
    <x v="8"/>
    <n v="30000"/>
    <n v="470"/>
    <x v="3"/>
    <n v="5"/>
    <x v="2"/>
    <n v="1"/>
    <s v="Unemployed"/>
    <n v="1"/>
    <x v="2"/>
    <n v="5"/>
    <n v="5"/>
    <n v="5"/>
    <n v="5"/>
    <n v="1"/>
    <s v="Y"/>
    <n v="0"/>
    <x v="3"/>
  </r>
  <r>
    <s v="22.10.19"/>
    <d v="1899-12-30T13:31:00"/>
    <m/>
    <s v="P"/>
    <n v="2"/>
    <s v="Road Vehicle"/>
    <n v="4"/>
    <x v="3"/>
    <x v="0"/>
    <n v="1"/>
    <x v="0"/>
    <s v="KABALE TOWN"/>
    <s v="KABALE"/>
    <s v="UG"/>
    <n v="1"/>
    <s v="Home"/>
    <s v="MBARARA TOWN"/>
    <s v="MBARARA"/>
    <s v="UG"/>
    <n v="7"/>
    <s v="Hospital"/>
    <x v="32"/>
    <n v="15000"/>
    <n v="137"/>
    <x v="2"/>
    <n v="2.5"/>
    <x v="0"/>
    <n v="1"/>
    <s v="Unemployed"/>
    <n v="1"/>
    <x v="2"/>
    <n v="5"/>
    <n v="1"/>
    <n v="1"/>
    <n v="1"/>
    <n v="1"/>
    <s v="Y"/>
    <n v="500"/>
    <x v="3"/>
  </r>
  <r>
    <s v="22.10.19"/>
    <d v="1899-12-30T15:26:00"/>
    <s v="UBE 291K"/>
    <s v="D"/>
    <n v="2"/>
    <s v="Road Vehicle"/>
    <n v="4"/>
    <x v="3"/>
    <x v="0"/>
    <n v="1"/>
    <x v="0"/>
    <s v="KABALE TOWN"/>
    <s v="KABALE"/>
    <s v="UG"/>
    <n v="4"/>
    <s v="Commercial"/>
    <s v="MBARARA TOWN"/>
    <s v="MBARARA"/>
    <s v="UG"/>
    <n v="4"/>
    <s v="Commercial"/>
    <x v="18"/>
    <n v="10000"/>
    <n v="136"/>
    <x v="2"/>
    <n v="3"/>
    <x v="0"/>
    <n v="5"/>
    <s v="Professional"/>
    <n v="2"/>
    <x v="3"/>
    <n v="1"/>
    <n v="1"/>
    <n v="1"/>
    <n v="1"/>
    <n v="5"/>
    <s v="Y"/>
    <n v="1000"/>
    <x v="4"/>
  </r>
  <r>
    <s v="22.10.19"/>
    <d v="1899-12-30T15:47:00"/>
    <m/>
    <s v="P"/>
    <n v="2"/>
    <s v="Road Vehicle"/>
    <n v="4"/>
    <x v="3"/>
    <x v="0"/>
    <n v="1"/>
    <x v="0"/>
    <s v="KABALE TOWN"/>
    <s v="KABALE"/>
    <s v="UG"/>
    <n v="1"/>
    <s v="Home"/>
    <s v="ISHAKA TOWN"/>
    <s v="ISHAKA"/>
    <s v="UG"/>
    <n v="6"/>
    <s v="Leisure/Social"/>
    <x v="8"/>
    <n v="25000"/>
    <n v="137"/>
    <x v="2"/>
    <n v="2.5"/>
    <x v="0"/>
    <n v="1"/>
    <s v="Unemployed"/>
    <n v="1"/>
    <x v="2"/>
    <n v="5"/>
    <n v="1"/>
    <n v="1"/>
    <n v="1"/>
    <n v="1"/>
    <s v="Y"/>
    <n v="0"/>
    <x v="3"/>
  </r>
  <r>
    <s v="22.10.19"/>
    <d v="1899-12-30T15:59:00"/>
    <m/>
    <s v="P"/>
    <n v="2"/>
    <s v="Road Vehicle"/>
    <n v="4"/>
    <x v="3"/>
    <x v="0"/>
    <n v="1"/>
    <x v="0"/>
    <s v="KABALE TOWN"/>
    <s v="KABALE"/>
    <s v="UG"/>
    <n v="1"/>
    <s v="Home"/>
    <s v="MBARARA TOWN"/>
    <s v="MBARARA"/>
    <s v="UG"/>
    <n v="3"/>
    <s v="Study"/>
    <x v="25"/>
    <n v="15000"/>
    <n v="136"/>
    <x v="2"/>
    <n v="2"/>
    <x v="0"/>
    <n v="1"/>
    <s v="Unemployed"/>
    <n v="1"/>
    <x v="2"/>
    <n v="1"/>
    <n v="1"/>
    <n v="1"/>
    <n v="1"/>
    <n v="1"/>
    <s v="Y"/>
    <n v="0"/>
    <x v="3"/>
  </r>
  <r>
    <s v="22.10.19"/>
    <d v="1899-12-30T16:15:00"/>
    <m/>
    <s v="P"/>
    <n v="2"/>
    <s v="Road Vehicle"/>
    <n v="4"/>
    <x v="3"/>
    <x v="0"/>
    <n v="1"/>
    <x v="0"/>
    <s v="KABALE TOWN"/>
    <s v="KABALE"/>
    <s v="UG"/>
    <n v="1"/>
    <s v="Home"/>
    <s v="MBARARA TOWN"/>
    <s v="MBARARA"/>
    <s v="UG"/>
    <n v="7"/>
    <s v="Hospital"/>
    <x v="32"/>
    <n v="15000"/>
    <n v="133"/>
    <x v="2"/>
    <n v="2"/>
    <x v="0"/>
    <n v="1"/>
    <s v="Unemployed"/>
    <n v="1"/>
    <x v="2"/>
    <n v="1"/>
    <n v="1"/>
    <n v="1"/>
    <n v="1"/>
    <n v="1"/>
    <s v="Y"/>
    <n v="0"/>
    <x v="3"/>
  </r>
  <r>
    <s v="23.10.19"/>
    <d v="1899-12-30T08:16:00"/>
    <m/>
    <s v="P"/>
    <n v="2"/>
    <s v="Road Vehicle"/>
    <n v="4"/>
    <x v="3"/>
    <x v="0"/>
    <n v="1"/>
    <x v="0"/>
    <s v="MUKIGUGWE"/>
    <s v="KABALE"/>
    <s v="UG"/>
    <n v="1"/>
    <s v="Home"/>
    <s v="KABALE TOWN"/>
    <s v="KABALE"/>
    <s v="UG"/>
    <n v="3"/>
    <s v="Study"/>
    <x v="25"/>
    <n v="2000"/>
    <n v="23"/>
    <x v="4"/>
    <n v="0.57999999999999996"/>
    <x v="4"/>
    <n v="1"/>
    <s v="Unemployed"/>
    <n v="1"/>
    <x v="2"/>
    <n v="1"/>
    <n v="1"/>
    <n v="1"/>
    <n v="2"/>
    <n v="2"/>
    <s v="Y"/>
    <n v="0"/>
    <x v="3"/>
  </r>
  <r>
    <s v="23.10.19"/>
    <d v="1899-12-30T08:32:00"/>
    <m/>
    <s v="P"/>
    <n v="2"/>
    <s v="Road Vehicle"/>
    <n v="4"/>
    <x v="3"/>
    <x v="0"/>
    <n v="1"/>
    <x v="0"/>
    <s v="KABALE TOWN"/>
    <s v="KABALE"/>
    <s v="UG"/>
    <n v="1"/>
    <s v="Home"/>
    <s v="MBARARA TOWN"/>
    <s v="MBARARA"/>
    <s v="UG"/>
    <n v="3"/>
    <s v="Study"/>
    <x v="25"/>
    <n v="15000"/>
    <n v="197"/>
    <x v="2"/>
    <n v="2"/>
    <x v="0"/>
    <n v="1"/>
    <s v="Unemployed"/>
    <n v="1"/>
    <x v="2"/>
    <n v="1"/>
    <n v="1"/>
    <n v="1"/>
    <n v="1"/>
    <n v="1"/>
    <s v="Y"/>
    <n v="0"/>
    <x v="3"/>
  </r>
  <r>
    <s v="23.10.19"/>
    <d v="1899-12-30T09:30:00"/>
    <m/>
    <s v="P"/>
    <n v="2"/>
    <s v="Road Vehicle"/>
    <n v="4"/>
    <x v="3"/>
    <x v="0"/>
    <n v="1"/>
    <x v="0"/>
    <s v="KABALE TOWN"/>
    <s v="KABALE"/>
    <s v="UG"/>
    <n v="1"/>
    <s v="Home"/>
    <s v="KAGAABA TOWN"/>
    <s v="KABALE"/>
    <s v="UG"/>
    <n v="2"/>
    <s v="Work"/>
    <x v="1"/>
    <n v="10000"/>
    <n v="40"/>
    <x v="5"/>
    <n v="0.56000000000000005"/>
    <x v="4"/>
    <n v="2"/>
    <s v="Manual Labour"/>
    <n v="2"/>
    <x v="3"/>
    <n v="4"/>
    <n v="1"/>
    <n v="1"/>
    <n v="1"/>
    <n v="5"/>
    <s v="Y"/>
    <n v="1000"/>
    <x v="4"/>
  </r>
  <r>
    <s v="23.10.19"/>
    <d v="1899-12-30T10:00:00"/>
    <m/>
    <s v="P"/>
    <n v="2"/>
    <s v="Road Vehicle"/>
    <n v="4"/>
    <x v="3"/>
    <x v="0"/>
    <n v="1"/>
    <x v="0"/>
    <s v="KABALE TOWN"/>
    <s v="KABALE"/>
    <s v="UG"/>
    <n v="1"/>
    <s v="Home"/>
    <s v="KAMPALA TOWN"/>
    <s v="KAMPALA"/>
    <s v="UG"/>
    <n v="6"/>
    <s v="Leisure/Social"/>
    <x v="8"/>
    <n v="30000"/>
    <n v="388"/>
    <x v="3"/>
    <n v="4"/>
    <x v="2"/>
    <n v="2"/>
    <s v="Manual Labour"/>
    <n v="2"/>
    <x v="3"/>
    <n v="1"/>
    <n v="1"/>
    <n v="1"/>
    <n v="1"/>
    <n v="1"/>
    <s v="Y"/>
    <n v="0"/>
    <x v="3"/>
  </r>
  <r>
    <s v="23.10.19"/>
    <d v="1899-12-30T13:10:00"/>
    <m/>
    <s v="P"/>
    <n v="2"/>
    <s v="Road Vehicle"/>
    <n v="4"/>
    <x v="3"/>
    <x v="0"/>
    <n v="1"/>
    <x v="0"/>
    <s v="KABALE TOWN"/>
    <s v="KABALE"/>
    <s v="UG"/>
    <n v="1"/>
    <s v="Home"/>
    <s v="MBARARA TOWN"/>
    <s v="MBARARA"/>
    <s v="UG"/>
    <n v="2"/>
    <s v="Work"/>
    <x v="1"/>
    <n v="15000"/>
    <n v="150"/>
    <x v="2"/>
    <n v="1.5"/>
    <x v="1"/>
    <n v="4"/>
    <s v="Office Worker"/>
    <n v="3"/>
    <x v="1"/>
    <n v="1"/>
    <n v="1"/>
    <n v="1"/>
    <n v="1"/>
    <n v="1"/>
    <s v="Y"/>
    <n v="3000"/>
    <x v="0"/>
  </r>
  <r>
    <s v="23.10.19"/>
    <d v="1899-12-30T07:12:00"/>
    <m/>
    <s v="P"/>
    <n v="2"/>
    <s v="Road Vehicle"/>
    <n v="4"/>
    <x v="3"/>
    <x v="0"/>
    <n v="1"/>
    <x v="0"/>
    <s v="MAKIGUGWE"/>
    <s v="KABALE"/>
    <s v="UG"/>
    <n v="1"/>
    <s v="Home"/>
    <s v="KABALE TOWN"/>
    <s v="KABALE"/>
    <s v="UG"/>
    <n v="2"/>
    <s v="Work"/>
    <x v="1"/>
    <n v="4000"/>
    <n v="18"/>
    <x v="6"/>
    <n v="0.66"/>
    <x v="4"/>
    <n v="7"/>
    <s v="Farmer"/>
    <n v="2"/>
    <x v="3"/>
    <n v="3"/>
    <n v="2"/>
    <n v="2"/>
    <n v="3"/>
    <n v="2"/>
    <s v="Y"/>
    <n v="1000"/>
    <x v="4"/>
  </r>
  <r>
    <s v="23.10.19"/>
    <d v="1899-12-30T08:44:00"/>
    <m/>
    <s v="P"/>
    <n v="2"/>
    <s v="Road Vehicle"/>
    <n v="3"/>
    <x v="9"/>
    <x v="0"/>
    <n v="1"/>
    <x v="0"/>
    <s v="NYAMUNONGA"/>
    <s v="KABALE"/>
    <s v="UG"/>
    <n v="1"/>
    <s v="Home"/>
    <s v="KABALE TOWN"/>
    <s v="KABALE"/>
    <s v="UG"/>
    <n v="2"/>
    <s v="Work"/>
    <x v="1"/>
    <n v="2000"/>
    <n v="11"/>
    <x v="6"/>
    <n v="0.33"/>
    <x v="3"/>
    <n v="6"/>
    <s v="Businessman"/>
    <n v="4"/>
    <x v="0"/>
    <n v="4"/>
    <n v="2"/>
    <n v="2"/>
    <n v="2"/>
    <n v="2"/>
    <s v="Y"/>
    <n v="1000"/>
    <x v="4"/>
  </r>
  <r>
    <s v="23.10.19"/>
    <d v="1899-12-30T08:14:00"/>
    <m/>
    <s v="P"/>
    <n v="2"/>
    <s v="Road Vehicle"/>
    <n v="2"/>
    <x v="6"/>
    <x v="0"/>
    <n v="1"/>
    <x v="0"/>
    <s v="KISORO TOWN"/>
    <s v="KISORO"/>
    <s v="UG"/>
    <n v="5"/>
    <s v="Tourism"/>
    <s v="KABALE TOWN"/>
    <s v="KABALE"/>
    <s v="UG"/>
    <n v="1"/>
    <s v="Home"/>
    <x v="28"/>
    <m/>
    <n v="61"/>
    <x v="5"/>
    <n v="1"/>
    <x v="1"/>
    <n v="10"/>
    <s v="Other"/>
    <n v="5"/>
    <x v="4"/>
    <n v="1"/>
    <n v="1"/>
    <n v="1"/>
    <n v="1"/>
    <n v="1"/>
    <s v="Y"/>
    <n v="0"/>
    <x v="3"/>
  </r>
  <r>
    <s v="21.10.19"/>
    <d v="1899-12-30T16:01:00"/>
    <m/>
    <s v="P"/>
    <n v="2"/>
    <s v="Road Vehicle"/>
    <n v="6"/>
    <x v="1"/>
    <x v="1"/>
    <n v="2"/>
    <x v="1"/>
    <s v="RUBANDA TOWN"/>
    <s v="RUBANDA"/>
    <s v="UG"/>
    <n v="1"/>
    <s v="Home"/>
    <s v="KAMPALA TOWN"/>
    <s v="KAMPALA"/>
    <s v="UG"/>
    <n v="2"/>
    <s v="Work"/>
    <x v="1"/>
    <n v="30000"/>
    <n v="436"/>
    <x v="3"/>
    <n v="13"/>
    <x v="2"/>
    <n v="6"/>
    <s v="Businessman"/>
    <n v="4"/>
    <x v="0"/>
    <n v="1"/>
    <n v="1"/>
    <n v="1"/>
    <n v="1"/>
    <n v="1"/>
    <s v="Y"/>
    <n v="1000"/>
    <x v="4"/>
  </r>
  <r>
    <s v="21.10.19"/>
    <d v="1899-12-30T16:00:00"/>
    <m/>
    <s v="P"/>
    <n v="2"/>
    <s v="Road Vehicle"/>
    <n v="6"/>
    <x v="1"/>
    <x v="1"/>
    <n v="2"/>
    <x v="1"/>
    <s v="KABALE TOWN"/>
    <s v="KABALE"/>
    <s v="UG"/>
    <n v="2"/>
    <s v="Work"/>
    <s v="KAMPALA TOWN"/>
    <s v="KAMPALA"/>
    <s v="UG"/>
    <n v="2"/>
    <s v="Work"/>
    <x v="2"/>
    <n v="30000"/>
    <n v="399"/>
    <x v="3"/>
    <n v="14"/>
    <x v="2"/>
    <n v="5"/>
    <s v="Professional"/>
    <n v="3"/>
    <x v="1"/>
    <n v="1"/>
    <n v="1"/>
    <n v="1"/>
    <n v="1"/>
    <n v="1"/>
    <s v="Y"/>
    <n v="2000"/>
    <x v="1"/>
  </r>
  <r>
    <s v="21.10.19"/>
    <d v="1899-12-30T15:34:00"/>
    <m/>
    <s v="P"/>
    <n v="2"/>
    <s v="Road Vehicle"/>
    <n v="6"/>
    <x v="1"/>
    <x v="1"/>
    <n v="2"/>
    <x v="1"/>
    <s v="KABALE TOWN"/>
    <s v="KABALE"/>
    <s v="UG"/>
    <n v="2"/>
    <s v="Work"/>
    <s v="NTUNGAMO TOWN"/>
    <s v="NTUNGAMO"/>
    <s v="UG"/>
    <n v="2"/>
    <s v="Work"/>
    <x v="2"/>
    <n v="7000"/>
    <n v="74"/>
    <x v="1"/>
    <n v="1"/>
    <x v="1"/>
    <n v="7"/>
    <s v="Farmer"/>
    <n v="4"/>
    <x v="0"/>
    <n v="1"/>
    <n v="1"/>
    <n v="1"/>
    <n v="1"/>
    <n v="1"/>
    <s v="Y"/>
    <n v="2000"/>
    <x v="1"/>
  </r>
  <r>
    <s v="21.10.19"/>
    <d v="1899-12-30T14:22:00"/>
    <m/>
    <s v="P"/>
    <n v="2"/>
    <s v="Road Vehicle"/>
    <n v="6"/>
    <x v="1"/>
    <x v="1"/>
    <n v="2"/>
    <x v="1"/>
    <s v="KATUNA"/>
    <s v="KABALE"/>
    <s v="UG"/>
    <n v="1"/>
    <s v="Home"/>
    <s v="KAMPALA TOWN"/>
    <s v="KAMPALA"/>
    <s v="UG"/>
    <n v="4"/>
    <s v="Commercial"/>
    <x v="0"/>
    <n v="30000"/>
    <n v="420"/>
    <x v="3"/>
    <n v="14"/>
    <x v="2"/>
    <n v="6"/>
    <s v="Businessman"/>
    <n v="3"/>
    <x v="1"/>
    <n v="3"/>
    <n v="2"/>
    <n v="3"/>
    <n v="2"/>
    <n v="2"/>
    <s v="Y"/>
    <n v="2000"/>
    <x v="1"/>
  </r>
  <r>
    <s v="21.10.19"/>
    <d v="1899-12-30T15:08:00"/>
    <m/>
    <s v="P"/>
    <n v="2"/>
    <s v="Road Vehicle"/>
    <n v="6"/>
    <x v="1"/>
    <x v="1"/>
    <n v="2"/>
    <x v="1"/>
    <s v="GISENYI"/>
    <s v="KABALE"/>
    <s v="UG"/>
    <n v="1"/>
    <s v="Home"/>
    <s v="KIREKA"/>
    <s v="KAMPALA"/>
    <s v="UG"/>
    <n v="2"/>
    <s v="Work"/>
    <x v="1"/>
    <n v="40000"/>
    <n v="250"/>
    <x v="3"/>
    <n v="6"/>
    <x v="2"/>
    <n v="6"/>
    <s v="Businessman"/>
    <n v="1"/>
    <x v="2"/>
    <n v="2"/>
    <n v="2"/>
    <n v="4"/>
    <n v="2"/>
    <n v="2"/>
    <s v="Y"/>
    <n v="0"/>
    <x v="3"/>
  </r>
  <r>
    <s v="21.10.19"/>
    <d v="1899-12-30T16:40:00"/>
    <m/>
    <s v="P"/>
    <n v="2"/>
    <s v="Road Vehicle"/>
    <n v="6"/>
    <x v="1"/>
    <x v="1"/>
    <n v="2"/>
    <x v="1"/>
    <s v="GISENYI"/>
    <s v="KABALE"/>
    <s v="UG"/>
    <n v="2"/>
    <s v="Work"/>
    <s v="KAMWOKYA"/>
    <s v="KAMPALA"/>
    <s v="UG"/>
    <n v="8"/>
    <s v="Others"/>
    <x v="19"/>
    <n v="40000"/>
    <n v="250"/>
    <x v="3"/>
    <n v="6"/>
    <x v="2"/>
    <n v="6"/>
    <s v="Businessman"/>
    <n v="1"/>
    <x v="2"/>
    <n v="2"/>
    <n v="4"/>
    <n v="1"/>
    <n v="2"/>
    <n v="1"/>
    <s v="Y"/>
    <n v="0"/>
    <x v="3"/>
  </r>
  <r>
    <s v="21.10.19"/>
    <m/>
    <m/>
    <s v="P"/>
    <n v="2"/>
    <s v="Road Vehicle"/>
    <n v="6"/>
    <x v="1"/>
    <x v="1"/>
    <n v="2"/>
    <x v="1"/>
    <s v="KIGALI TOWN"/>
    <s v="KIGALI"/>
    <s v="Rwanda"/>
    <n v="1"/>
    <s v="Home"/>
    <s v="KIREKA"/>
    <s v="KAMPALA"/>
    <s v="UG"/>
    <n v="2"/>
    <s v="Work"/>
    <x v="1"/>
    <n v="40000"/>
    <n v="250"/>
    <x v="3"/>
    <n v="6"/>
    <x v="2"/>
    <n v="6"/>
    <s v="Businessman"/>
    <n v="1"/>
    <x v="2"/>
    <n v="2"/>
    <n v="4"/>
    <n v="1"/>
    <n v="2"/>
    <n v="2"/>
    <s v="Y"/>
    <n v="0"/>
    <x v="3"/>
  </r>
  <r>
    <s v="21.10.19"/>
    <d v="1899-12-30T18:38:00"/>
    <m/>
    <s v="P"/>
    <n v="2"/>
    <s v="Road Vehicle"/>
    <n v="6"/>
    <x v="1"/>
    <x v="1"/>
    <n v="2"/>
    <x v="1"/>
    <s v="KIGALI TOWN"/>
    <s v="KIGALI"/>
    <s v="Rwanda"/>
    <n v="1"/>
    <s v="Home"/>
    <s v="MUNYONYO"/>
    <s v="KAMPALA"/>
    <s v="UG"/>
    <n v="8"/>
    <s v="Others"/>
    <x v="13"/>
    <n v="40000"/>
    <n v="250"/>
    <x v="3"/>
    <n v="6"/>
    <x v="2"/>
    <n v="6"/>
    <s v="Businessman"/>
    <n v="1"/>
    <x v="2"/>
    <n v="5"/>
    <n v="4"/>
    <n v="5"/>
    <n v="2"/>
    <n v="5"/>
    <s v="Y"/>
    <n v="0"/>
    <x v="3"/>
  </r>
  <r>
    <s v="21.10.19"/>
    <d v="1899-12-30T18:49:00"/>
    <m/>
    <s v="P"/>
    <n v="2"/>
    <s v="Road Vehicle"/>
    <n v="6"/>
    <x v="1"/>
    <x v="1"/>
    <n v="2"/>
    <x v="1"/>
    <s v="KIGALI TOWN"/>
    <s v="KIGALI"/>
    <s v="Rwanda"/>
    <n v="1"/>
    <s v="Home"/>
    <s v="GGABA"/>
    <s v="KAMPALA"/>
    <s v="UG"/>
    <n v="2"/>
    <s v="Work"/>
    <x v="1"/>
    <n v="40000"/>
    <n v="250"/>
    <x v="3"/>
    <n v="6"/>
    <x v="2"/>
    <n v="6"/>
    <s v="Businessman"/>
    <n v="1"/>
    <x v="2"/>
    <n v="5"/>
    <n v="4"/>
    <n v="2"/>
    <n v="2"/>
    <n v="2"/>
    <s v="Y"/>
    <n v="0"/>
    <x v="3"/>
  </r>
  <r>
    <s v="21.10.19"/>
    <d v="1899-12-30T18:30:00"/>
    <m/>
    <s v="P"/>
    <n v="2"/>
    <s v="Road Vehicle"/>
    <n v="6"/>
    <x v="1"/>
    <x v="1"/>
    <n v="2"/>
    <x v="1"/>
    <s v="KYANIKA TOWN"/>
    <s v="KISORO"/>
    <s v="UG"/>
    <n v="1"/>
    <s v="Home"/>
    <s v="KAMPALA TOWN"/>
    <s v="KAMPALA"/>
    <s v="UG"/>
    <n v="2"/>
    <s v="Work"/>
    <x v="1"/>
    <n v="40000"/>
    <n v="250"/>
    <x v="3"/>
    <n v="6"/>
    <x v="2"/>
    <n v="6"/>
    <s v="Businessman"/>
    <n v="1"/>
    <x v="2"/>
    <n v="2"/>
    <n v="2"/>
    <n v="4"/>
    <n v="5"/>
    <n v="5"/>
    <s v="Y"/>
    <n v="0"/>
    <x v="3"/>
  </r>
  <r>
    <s v="21.10.19"/>
    <d v="1899-12-30T18:09:00"/>
    <m/>
    <s v="P"/>
    <n v="2"/>
    <s v="Road Vehicle"/>
    <n v="6"/>
    <x v="1"/>
    <x v="1"/>
    <n v="2"/>
    <x v="1"/>
    <s v="KYANIKA TOWN"/>
    <s v="KISORO"/>
    <s v="UG"/>
    <n v="1"/>
    <s v="Home"/>
    <s v="MUKONO TOWN"/>
    <s v="MUKONO"/>
    <s v="UG"/>
    <n v="8"/>
    <s v="Others"/>
    <x v="13"/>
    <n v="40000"/>
    <n v="250"/>
    <x v="3"/>
    <n v="6"/>
    <x v="2"/>
    <n v="6"/>
    <s v="Businessman"/>
    <n v="1"/>
    <x v="2"/>
    <n v="2"/>
    <n v="2"/>
    <n v="2"/>
    <n v="2"/>
    <n v="2"/>
    <s v="Y"/>
    <n v="0"/>
    <x v="3"/>
  </r>
  <r>
    <s v="21.10.19"/>
    <d v="1899-12-30T18:19:00"/>
    <m/>
    <s v="P"/>
    <n v="2"/>
    <s v="Road Vehicle"/>
    <n v="6"/>
    <x v="1"/>
    <x v="1"/>
    <n v="2"/>
    <x v="1"/>
    <s v="KYANIKA TOWN"/>
    <s v="KISORO"/>
    <s v="UG"/>
    <n v="1"/>
    <s v="Home"/>
    <s v="MASAJJA"/>
    <s v="WAKISO"/>
    <s v="UG"/>
    <n v="2"/>
    <s v="Work"/>
    <x v="1"/>
    <n v="40000"/>
    <n v="250"/>
    <x v="3"/>
    <n v="6"/>
    <x v="2"/>
    <n v="6"/>
    <s v="Businessman"/>
    <n v="1"/>
    <x v="2"/>
    <n v="5"/>
    <n v="4"/>
    <n v="4"/>
    <n v="5"/>
    <n v="5"/>
    <s v="Y"/>
    <n v="0"/>
    <x v="3"/>
  </r>
  <r>
    <s v="21.10.19"/>
    <d v="1899-12-30T17:40:00"/>
    <m/>
    <s v="P"/>
    <n v="2"/>
    <s v="Road Vehicle"/>
    <n v="6"/>
    <x v="1"/>
    <x v="1"/>
    <n v="2"/>
    <x v="1"/>
    <s v="GISENYI"/>
    <s v="KABALE"/>
    <s v="UG"/>
    <n v="1"/>
    <s v="Home"/>
    <s v="LUGOGO"/>
    <s v="KAMPALA"/>
    <s v="UG"/>
    <n v="8"/>
    <s v="Others"/>
    <x v="13"/>
    <n v="40000"/>
    <n v="250"/>
    <x v="3"/>
    <n v="6"/>
    <x v="2"/>
    <n v="6"/>
    <s v="Businessman"/>
    <n v="1"/>
    <x v="2"/>
    <n v="2"/>
    <n v="2"/>
    <n v="2"/>
    <n v="2"/>
    <n v="2"/>
    <s v="Y"/>
    <n v="0"/>
    <x v="3"/>
  </r>
  <r>
    <s v="21.10.19"/>
    <d v="1899-12-30T17:43:00"/>
    <m/>
    <s v="P"/>
    <n v="2"/>
    <s v="Road Vehicle"/>
    <n v="6"/>
    <x v="1"/>
    <x v="1"/>
    <n v="2"/>
    <x v="1"/>
    <s v="GISENYI"/>
    <s v="KABALE"/>
    <s v="UG"/>
    <n v="1"/>
    <s v="Home"/>
    <s v="SEETA"/>
    <s v="MUKONO"/>
    <s v="UG"/>
    <n v="2"/>
    <s v="Work"/>
    <x v="1"/>
    <n v="40000"/>
    <n v="250"/>
    <x v="3"/>
    <n v="6"/>
    <x v="2"/>
    <n v="6"/>
    <s v="Businessman"/>
    <n v="1"/>
    <x v="2"/>
    <n v="5"/>
    <n v="4"/>
    <n v="5"/>
    <n v="2"/>
    <n v="5"/>
    <s v="Y"/>
    <n v="0"/>
    <x v="3"/>
  </r>
  <r>
    <s v="21.10.19"/>
    <d v="1899-12-30T17:25:00"/>
    <m/>
    <s v="P"/>
    <n v="2"/>
    <s v="Road Vehicle"/>
    <n v="6"/>
    <x v="1"/>
    <x v="1"/>
    <n v="2"/>
    <x v="1"/>
    <s v="GOMA"/>
    <s v="GOMA"/>
    <s v="UG"/>
    <n v="1"/>
    <s v="Home"/>
    <s v="KAWEMPE"/>
    <s v="WAKISO"/>
    <s v="UG"/>
    <n v="2"/>
    <s v="Work"/>
    <x v="1"/>
    <n v="50000"/>
    <n v="300"/>
    <x v="3"/>
    <n v="7"/>
    <x v="2"/>
    <n v="6"/>
    <s v="Businessman"/>
    <n v="1"/>
    <x v="2"/>
    <n v="5"/>
    <n v="4"/>
    <n v="2"/>
    <n v="2"/>
    <n v="1"/>
    <s v="Y"/>
    <n v="0"/>
    <x v="3"/>
  </r>
  <r>
    <s v="21.10.19"/>
    <d v="1899-12-30T17:18:00"/>
    <m/>
    <s v="P"/>
    <n v="2"/>
    <s v="Road Vehicle"/>
    <n v="6"/>
    <x v="1"/>
    <x v="1"/>
    <n v="2"/>
    <x v="1"/>
    <s v="GOMA"/>
    <s v="GOMA"/>
    <s v="DRC"/>
    <n v="2"/>
    <s v="Work"/>
    <s v="KOLOLO"/>
    <s v="KAMPALA"/>
    <s v="UG"/>
    <n v="8"/>
    <s v="Others"/>
    <x v="19"/>
    <n v="50000"/>
    <n v="300"/>
    <x v="3"/>
    <n v="7"/>
    <x v="2"/>
    <n v="6"/>
    <s v="Businessman"/>
    <n v="1"/>
    <x v="2"/>
    <n v="5"/>
    <n v="4"/>
    <n v="2"/>
    <n v="2"/>
    <n v="1"/>
    <s v="Y"/>
    <n v="0"/>
    <x v="3"/>
  </r>
  <r>
    <s v="21.10.19"/>
    <d v="1899-12-30T15:43:00"/>
    <m/>
    <s v="P"/>
    <n v="2"/>
    <s v="Road Vehicle"/>
    <n v="6"/>
    <x v="1"/>
    <x v="1"/>
    <n v="2"/>
    <x v="1"/>
    <s v="GOMA"/>
    <s v="GOMA"/>
    <s v="DRC"/>
    <n v="2"/>
    <s v="Work"/>
    <s v="SEETA"/>
    <s v="MUKONO"/>
    <s v="UG"/>
    <n v="3"/>
    <s v="Study"/>
    <x v="33"/>
    <n v="50000"/>
    <n v="300"/>
    <x v="3"/>
    <n v="6"/>
    <x v="2"/>
    <n v="6"/>
    <s v="Businessman"/>
    <n v="1"/>
    <x v="2"/>
    <n v="5"/>
    <n v="5"/>
    <n v="5"/>
    <n v="1"/>
    <n v="1"/>
    <s v="Y"/>
    <n v="0"/>
    <x v="3"/>
  </r>
  <r>
    <s v="21.10.19"/>
    <d v="1899-12-30T15:33:00"/>
    <m/>
    <s v="P"/>
    <n v="2"/>
    <s v="Road Vehicle"/>
    <n v="6"/>
    <x v="1"/>
    <x v="1"/>
    <n v="2"/>
    <x v="1"/>
    <s v="GOMA"/>
    <s v="GOMA"/>
    <s v="DRC"/>
    <n v="2"/>
    <s v="Work"/>
    <s v="MAKINDYE"/>
    <s v="KAMPALA"/>
    <s v="UG"/>
    <n v="3"/>
    <s v="Study"/>
    <x v="33"/>
    <n v="50000"/>
    <n v="3000"/>
    <x v="3"/>
    <n v="7"/>
    <x v="2"/>
    <n v="8"/>
    <s v="Student"/>
    <n v="1"/>
    <x v="2"/>
    <n v="2"/>
    <n v="4"/>
    <n v="1"/>
    <n v="2"/>
    <n v="1"/>
    <s v="Y"/>
    <n v="0"/>
    <x v="3"/>
  </r>
  <r>
    <s v="21.10.19"/>
    <d v="1899-12-30T16:01:00"/>
    <m/>
    <s v="P"/>
    <n v="2"/>
    <s v="Road Vehicle"/>
    <n v="6"/>
    <x v="1"/>
    <x v="1"/>
    <n v="2"/>
    <x v="1"/>
    <s v="KYANIKA TOWN"/>
    <s v="KISORO"/>
    <s v="UG"/>
    <n v="2"/>
    <s v="Work"/>
    <s v="KAMPALA TOWN"/>
    <s v="KAMPALA"/>
    <s v="UG"/>
    <n v="1"/>
    <s v="Home"/>
    <x v="4"/>
    <n v="40000"/>
    <n v="250"/>
    <x v="3"/>
    <n v="6"/>
    <x v="2"/>
    <n v="6"/>
    <s v="Businessman"/>
    <n v="1"/>
    <x v="2"/>
    <n v="5"/>
    <n v="4"/>
    <n v="2"/>
    <n v="2"/>
    <n v="2"/>
    <s v="Y"/>
    <n v="0"/>
    <x v="3"/>
  </r>
  <r>
    <s v="21.10.19"/>
    <d v="1899-12-30T18:03:00"/>
    <m/>
    <s v="P"/>
    <n v="2"/>
    <s v="Road Vehicle"/>
    <n v="6"/>
    <x v="1"/>
    <x v="1"/>
    <n v="2"/>
    <x v="1"/>
    <s v="KISORO TOWN"/>
    <s v="KISORO"/>
    <s v="UG"/>
    <n v="1"/>
    <s v="Home"/>
    <s v="MBARARA TOWN"/>
    <s v="MBARARA"/>
    <s v="UG"/>
    <n v="4"/>
    <s v="Commercial"/>
    <x v="0"/>
    <n v="25000"/>
    <n v="240"/>
    <x v="3"/>
    <n v="3"/>
    <x v="0"/>
    <n v="6"/>
    <s v="Businessman"/>
    <n v="2"/>
    <x v="3"/>
    <n v="1"/>
    <n v="1"/>
    <n v="1"/>
    <n v="1"/>
    <n v="5"/>
    <s v="Y"/>
    <n v="2000"/>
    <x v="1"/>
  </r>
  <r>
    <s v="22.10.19"/>
    <d v="1899-12-30T11:19:00"/>
    <s v="UBB 454W"/>
    <s v="D"/>
    <n v="2"/>
    <s v="Road Vehicle"/>
    <n v="6"/>
    <x v="1"/>
    <x v="1"/>
    <n v="2"/>
    <x v="1"/>
    <s v="KASINZI"/>
    <s v="KABALE"/>
    <s v="UG"/>
    <n v="1"/>
    <s v="Home"/>
    <s v="KABALE TOWN"/>
    <s v="KABALE"/>
    <s v="UG"/>
    <n v="2"/>
    <s v="Work"/>
    <x v="1"/>
    <n v="30000"/>
    <n v="40"/>
    <x v="5"/>
    <n v="0.33"/>
    <x v="3"/>
    <n v="4"/>
    <s v="Office Worker"/>
    <n v="3"/>
    <x v="1"/>
    <n v="1"/>
    <n v="1"/>
    <n v="1"/>
    <n v="5"/>
    <n v="5"/>
    <s v="Y"/>
    <n v="1000"/>
    <x v="4"/>
  </r>
  <r>
    <s v="22.10.19"/>
    <d v="1899-12-30T13:50:00"/>
    <m/>
    <s v="P"/>
    <n v="2"/>
    <s v="Road Vehicle"/>
    <n v="6"/>
    <x v="1"/>
    <x v="1"/>
    <n v="2"/>
    <x v="1"/>
    <s v="KISIIZI TOWN"/>
    <s v="RUKUNGIRI"/>
    <s v="UG"/>
    <n v="1"/>
    <s v="Home"/>
    <s v="NATEETE"/>
    <s v="KAMPALA"/>
    <s v="UG"/>
    <n v="2"/>
    <s v="Work"/>
    <x v="1"/>
    <n v="30000"/>
    <n v="150"/>
    <x v="2"/>
    <n v="4"/>
    <x v="2"/>
    <n v="6"/>
    <s v="Businessman"/>
    <n v="1"/>
    <x v="2"/>
    <n v="5"/>
    <n v="5"/>
    <n v="5"/>
    <n v="5"/>
    <n v="5"/>
    <s v="Y"/>
    <n v="0"/>
    <x v="3"/>
  </r>
  <r>
    <s v="22.10.19"/>
    <d v="1899-12-30T13:23:00"/>
    <m/>
    <s v="P"/>
    <n v="2"/>
    <s v="Road Vehicle"/>
    <n v="6"/>
    <x v="1"/>
    <x v="1"/>
    <n v="2"/>
    <x v="1"/>
    <s v="KISIIZI TOWN"/>
    <s v="RUKUNGIRI"/>
    <s v="UG"/>
    <n v="1"/>
    <s v="Home"/>
    <s v="NAKAWUKA"/>
    <s v="WAKISO"/>
    <s v="UG"/>
    <n v="8"/>
    <s v="Others"/>
    <x v="13"/>
    <n v="30000"/>
    <n v="150"/>
    <x v="2"/>
    <n v="4"/>
    <x v="2"/>
    <n v="10"/>
    <s v="Other"/>
    <n v="1"/>
    <x v="2"/>
    <n v="5"/>
    <n v="5"/>
    <n v="5"/>
    <n v="1"/>
    <n v="2"/>
    <s v="Y"/>
    <n v="0"/>
    <x v="3"/>
  </r>
  <r>
    <s v="22.10.19"/>
    <d v="1899-12-30T12:40:00"/>
    <m/>
    <s v="P"/>
    <n v="2"/>
    <s v="Road Vehicle"/>
    <n v="6"/>
    <x v="1"/>
    <x v="1"/>
    <n v="2"/>
    <x v="1"/>
    <s v="KABALE TOWN"/>
    <s v="KABALE"/>
    <s v="UG"/>
    <n v="1"/>
    <s v="Home"/>
    <s v="KINONI"/>
    <s v="MASAKA"/>
    <s v="UG"/>
    <n v="2"/>
    <s v="Work"/>
    <x v="1"/>
    <n v="20000"/>
    <n v="270"/>
    <x v="3"/>
    <n v="3"/>
    <x v="0"/>
    <n v="6"/>
    <s v="Businessman"/>
    <n v="1"/>
    <x v="2"/>
    <n v="2"/>
    <n v="2"/>
    <n v="2"/>
    <n v="2"/>
    <n v="2"/>
    <s v="Y"/>
    <n v="0"/>
    <x v="3"/>
  </r>
  <r>
    <s v="22.10.19"/>
    <d v="1899-12-30T12:52:00"/>
    <m/>
    <s v="P"/>
    <n v="2"/>
    <s v="Road Vehicle"/>
    <n v="6"/>
    <x v="1"/>
    <x v="1"/>
    <n v="2"/>
    <x v="1"/>
    <s v="KABALE TOWN"/>
    <s v="KABALE"/>
    <s v="UG"/>
    <n v="2"/>
    <s v="Work"/>
    <s v="KYOTERA"/>
    <s v="MASAKA"/>
    <s v="UG"/>
    <n v="1"/>
    <s v="Home"/>
    <x v="4"/>
    <n v="20000"/>
    <n v="270"/>
    <x v="3"/>
    <n v="3"/>
    <x v="0"/>
    <n v="6"/>
    <s v="Businessman"/>
    <n v="1"/>
    <x v="2"/>
    <n v="5"/>
    <n v="4"/>
    <n v="2"/>
    <n v="2"/>
    <n v="2"/>
    <s v="Y"/>
    <n v="0"/>
    <x v="3"/>
  </r>
  <r>
    <s v="22.10.19"/>
    <d v="1899-12-30T12:28:00"/>
    <m/>
    <s v="P"/>
    <n v="2"/>
    <s v="Road Vehicle"/>
    <n v="6"/>
    <x v="1"/>
    <x v="1"/>
    <n v="2"/>
    <x v="1"/>
    <s v="KABALE TOWN"/>
    <s v="KABALE"/>
    <s v="UG"/>
    <n v="2"/>
    <s v="Work"/>
    <s v="BIZIRI TOWN"/>
    <s v="BIZIRI"/>
    <s v="UG"/>
    <n v="1"/>
    <s v="Home"/>
    <x v="4"/>
    <n v="20000"/>
    <n v="260"/>
    <x v="3"/>
    <n v="3"/>
    <x v="0"/>
    <n v="6"/>
    <s v="Businessman"/>
    <n v="1"/>
    <x v="2"/>
    <n v="5"/>
    <n v="4"/>
    <n v="5"/>
    <n v="1"/>
    <n v="5"/>
    <s v="Y"/>
    <n v="0"/>
    <x v="3"/>
  </r>
  <r>
    <s v="22.10.19"/>
    <d v="1899-12-30T12:09:00"/>
    <m/>
    <s v="P"/>
    <n v="2"/>
    <s v="Road Vehicle"/>
    <n v="6"/>
    <x v="1"/>
    <x v="1"/>
    <n v="2"/>
    <x v="1"/>
    <s v="KABALE TOWN"/>
    <s v="KABALE"/>
    <s v="UG"/>
    <n v="1"/>
    <s v="Home"/>
    <s v="BWAISE"/>
    <s v="KAMPALA"/>
    <s v="UG"/>
    <n v="2"/>
    <s v="Work"/>
    <x v="1"/>
    <n v="30000"/>
    <n v="390"/>
    <x v="3"/>
    <n v="4.5"/>
    <x v="2"/>
    <n v="6"/>
    <s v="Businessman"/>
    <n v="1"/>
    <x v="2"/>
    <n v="2"/>
    <n v="2"/>
    <n v="4"/>
    <n v="2"/>
    <n v="1"/>
    <s v="Y"/>
    <n v="0"/>
    <x v="3"/>
  </r>
  <r>
    <s v="22.10.19"/>
    <d v="1899-12-30T11:45:00"/>
    <m/>
    <s v="P"/>
    <n v="2"/>
    <s v="Road Vehicle"/>
    <n v="6"/>
    <x v="1"/>
    <x v="1"/>
    <n v="2"/>
    <x v="1"/>
    <s v="KABALE TOWN"/>
    <s v="KABALE"/>
    <s v="UG"/>
    <n v="1"/>
    <s v="Home"/>
    <s v="ENTEBBE"/>
    <s v="WAKISO"/>
    <s v="UG"/>
    <n v="2"/>
    <s v="Work"/>
    <x v="1"/>
    <n v="30000"/>
    <n v="390"/>
    <x v="3"/>
    <n v="4.5"/>
    <x v="2"/>
    <n v="6"/>
    <s v="Businessman"/>
    <n v="1"/>
    <x v="2"/>
    <n v="5"/>
    <n v="4"/>
    <n v="5"/>
    <n v="2"/>
    <n v="5"/>
    <s v="Y"/>
    <n v="0"/>
    <x v="3"/>
  </r>
  <r>
    <s v="22.10.19"/>
    <d v="1899-12-30T11:20:00"/>
    <m/>
    <s v="P"/>
    <n v="2"/>
    <s v="Road Vehicle"/>
    <n v="6"/>
    <x v="1"/>
    <x v="1"/>
    <n v="2"/>
    <x v="1"/>
    <s v="KABALE TOWN"/>
    <s v="KABALE"/>
    <s v="UG"/>
    <n v="2"/>
    <s v="Work"/>
    <s v="KAGAABA TOWN"/>
    <s v="KAGAABA"/>
    <s v="UG"/>
    <n v="1"/>
    <s v="Home"/>
    <x v="4"/>
    <n v="10000"/>
    <n v="90"/>
    <x v="1"/>
    <n v="2"/>
    <x v="0"/>
    <n v="6"/>
    <s v="Businessman"/>
    <n v="1"/>
    <x v="2"/>
    <n v="2"/>
    <n v="1"/>
    <n v="2"/>
    <n v="2"/>
    <n v="1"/>
    <s v="Y"/>
    <n v="0"/>
    <x v="3"/>
  </r>
  <r>
    <s v="22.10.19"/>
    <d v="1899-12-30T08:55:00"/>
    <m/>
    <s v="P"/>
    <n v="2"/>
    <s v="Road Vehicle"/>
    <n v="6"/>
    <x v="1"/>
    <x v="1"/>
    <n v="2"/>
    <x v="1"/>
    <s v="KISIIZI TOWN"/>
    <s v="RUKUNGIRI"/>
    <s v="UG"/>
    <n v="1"/>
    <s v="Home"/>
    <s v="ENTEBBE"/>
    <s v="WAKISO"/>
    <s v="UG"/>
    <n v="2"/>
    <s v="Work"/>
    <x v="1"/>
    <n v="30000"/>
    <n v="150"/>
    <x v="2"/>
    <n v="4"/>
    <x v="2"/>
    <n v="6"/>
    <s v="Businessman"/>
    <n v="1"/>
    <x v="2"/>
    <n v="2"/>
    <n v="4"/>
    <n v="1"/>
    <n v="2"/>
    <n v="1"/>
    <s v="Y"/>
    <n v="0"/>
    <x v="3"/>
  </r>
  <r>
    <s v="22.10.19"/>
    <d v="1899-12-30T09:09:00"/>
    <m/>
    <s v="P"/>
    <n v="2"/>
    <s v="Road Vehicle"/>
    <n v="6"/>
    <x v="1"/>
    <x v="1"/>
    <n v="2"/>
    <x v="1"/>
    <s v="KABALE TOWN"/>
    <s v="KABALE"/>
    <s v="UG"/>
    <n v="1"/>
    <s v="Home"/>
    <s v="LUKAYA"/>
    <s v="MASAKA"/>
    <s v="UG"/>
    <n v="2"/>
    <s v="Work"/>
    <x v="1"/>
    <n v="20000"/>
    <n v="270"/>
    <x v="3"/>
    <n v="3"/>
    <x v="0"/>
    <n v="6"/>
    <s v="Businessman"/>
    <n v="1"/>
    <x v="2"/>
    <n v="5"/>
    <n v="4"/>
    <n v="2"/>
    <n v="2"/>
    <n v="2"/>
    <s v="Y"/>
    <n v="0"/>
    <x v="3"/>
  </r>
  <r>
    <s v="22.10.19"/>
    <d v="1899-12-30T09:51:00"/>
    <m/>
    <s v="P"/>
    <n v="2"/>
    <s v="Road Vehicle"/>
    <n v="6"/>
    <x v="1"/>
    <x v="1"/>
    <n v="2"/>
    <x v="1"/>
    <s v="KISIIZI TOWN"/>
    <s v="RUKUNGIRI"/>
    <s v="UG"/>
    <n v="1"/>
    <s v="Home"/>
    <s v="KITALA"/>
    <s v="WAKISO"/>
    <s v="UG"/>
    <n v="2"/>
    <s v="Work"/>
    <x v="1"/>
    <n v="30000"/>
    <n v="150"/>
    <x v="2"/>
    <n v="4"/>
    <x v="2"/>
    <n v="6"/>
    <s v="Businessman"/>
    <n v="1"/>
    <x v="2"/>
    <n v="2"/>
    <n v="2"/>
    <n v="2"/>
    <n v="2"/>
    <n v="2"/>
    <s v="Y"/>
    <n v="0"/>
    <x v="3"/>
  </r>
  <r>
    <s v="22.10.19"/>
    <d v="1899-12-30T16:12:00"/>
    <m/>
    <s v="P"/>
    <n v="2"/>
    <s v="Road Vehicle"/>
    <n v="6"/>
    <x v="1"/>
    <x v="1"/>
    <n v="2"/>
    <x v="1"/>
    <s v="KISORO TOWN"/>
    <s v="KISORO"/>
    <s v="UG"/>
    <n v="1"/>
    <s v="Home"/>
    <s v="NANSANA"/>
    <s v="WAKISO"/>
    <s v="UG"/>
    <n v="2"/>
    <s v="Work"/>
    <x v="1"/>
    <n v="30000"/>
    <n v="200"/>
    <x v="3"/>
    <n v="4.5"/>
    <x v="2"/>
    <n v="6"/>
    <s v="Businessman"/>
    <n v="1"/>
    <x v="2"/>
    <n v="5"/>
    <n v="5"/>
    <n v="5"/>
    <n v="5"/>
    <n v="5"/>
    <s v="Y"/>
    <n v="0"/>
    <x v="3"/>
  </r>
  <r>
    <s v="22.10.19"/>
    <d v="1899-12-30T16:20:00"/>
    <m/>
    <s v="P"/>
    <n v="2"/>
    <s v="Road Vehicle"/>
    <n v="6"/>
    <x v="1"/>
    <x v="1"/>
    <n v="2"/>
    <x v="1"/>
    <s v="KISORO TOWN"/>
    <s v="KISORO"/>
    <s v="UG"/>
    <n v="1"/>
    <s v="Home"/>
    <s v="KIBULI"/>
    <s v="KAMPALA"/>
    <s v="UG"/>
    <n v="8"/>
    <s v="Others"/>
    <x v="13"/>
    <n v="30000"/>
    <n v="200"/>
    <x v="3"/>
    <n v="4.5"/>
    <x v="2"/>
    <n v="6"/>
    <s v="Businessman"/>
    <n v="1"/>
    <x v="2"/>
    <n v="5"/>
    <n v="2"/>
    <n v="1"/>
    <n v="1"/>
    <n v="2"/>
    <s v="Y"/>
    <n v="0"/>
    <x v="3"/>
  </r>
  <r>
    <s v="22.10.19"/>
    <d v="1899-12-30T14:48:00"/>
    <m/>
    <s v="P"/>
    <n v="2"/>
    <s v="Road Vehicle"/>
    <n v="6"/>
    <x v="1"/>
    <x v="1"/>
    <n v="2"/>
    <x v="1"/>
    <s v="KABALE TOWN"/>
    <s v="KABALE"/>
    <s v="UG"/>
    <n v="1"/>
    <s v="Home"/>
    <s v="NAMUNUKA TOWN"/>
    <s v="NAMUNUKA"/>
    <s v="UG"/>
    <n v="2"/>
    <s v="Work"/>
    <x v="1"/>
    <n v="10000"/>
    <n v="90"/>
    <x v="1"/>
    <n v="2"/>
    <x v="0"/>
    <n v="6"/>
    <s v="Businessman"/>
    <n v="1"/>
    <x v="2"/>
    <n v="2"/>
    <n v="4"/>
    <n v="1"/>
    <n v="2"/>
    <n v="1"/>
    <s v="Y"/>
    <n v="0"/>
    <x v="3"/>
  </r>
  <r>
    <s v="22.10.19"/>
    <d v="1899-12-30T16:28:00"/>
    <m/>
    <s v="P"/>
    <n v="2"/>
    <s v="Road Vehicle"/>
    <n v="6"/>
    <x v="1"/>
    <x v="1"/>
    <n v="2"/>
    <x v="1"/>
    <s v="KABALE TOWN"/>
    <s v="KABALE"/>
    <s v="UG"/>
    <n v="2"/>
    <s v="Work"/>
    <s v="ISHAKA TOWN"/>
    <s v="ISHAKA"/>
    <s v="UG"/>
    <n v="8"/>
    <s v="Others"/>
    <x v="19"/>
    <n v="25000"/>
    <n v="330"/>
    <x v="3"/>
    <n v="4"/>
    <x v="2"/>
    <n v="6"/>
    <s v="Businessman"/>
    <n v="1"/>
    <x v="2"/>
    <n v="5"/>
    <n v="2"/>
    <n v="2"/>
    <n v="2"/>
    <n v="2"/>
    <s v="Y"/>
    <n v="0"/>
    <x v="3"/>
  </r>
  <r>
    <s v="22.10.19"/>
    <d v="1899-12-30T16:00:00"/>
    <m/>
    <s v="P"/>
    <n v="2"/>
    <s v="Road Vehicle"/>
    <n v="6"/>
    <x v="1"/>
    <x v="1"/>
    <n v="2"/>
    <x v="1"/>
    <s v="KABALE TOWN"/>
    <s v="KABALE"/>
    <s v="UG"/>
    <n v="1"/>
    <s v="Home"/>
    <s v="HOIMA TOWN"/>
    <s v="HOIMA"/>
    <s v="UG"/>
    <n v="2"/>
    <s v="Work"/>
    <x v="1"/>
    <n v="50000"/>
    <n v="800"/>
    <x v="3"/>
    <n v="12"/>
    <x v="2"/>
    <n v="6"/>
    <s v="Businessman"/>
    <n v="1"/>
    <x v="2"/>
    <n v="5"/>
    <n v="5"/>
    <n v="2"/>
    <n v="2"/>
    <n v="2"/>
    <s v="Y"/>
    <n v="0"/>
    <x v="3"/>
  </r>
  <r>
    <s v="22.10.19"/>
    <d v="1899-12-30T15:28:00"/>
    <m/>
    <s v="P"/>
    <n v="2"/>
    <s v="Road Vehicle"/>
    <n v="6"/>
    <x v="1"/>
    <x v="1"/>
    <n v="2"/>
    <x v="1"/>
    <s v="KABALE TOWN"/>
    <s v="KABALE"/>
    <s v="UG"/>
    <n v="2"/>
    <s v="Work"/>
    <s v="MBARARA TOWN"/>
    <s v="MBARARA"/>
    <s v="UG"/>
    <n v="1"/>
    <s v="Home"/>
    <x v="4"/>
    <n v="15000"/>
    <n v="135"/>
    <x v="2"/>
    <n v="2.5"/>
    <x v="0"/>
    <n v="6"/>
    <s v="Businessman"/>
    <n v="1"/>
    <x v="2"/>
    <n v="2"/>
    <n v="2"/>
    <n v="2"/>
    <n v="2"/>
    <n v="2"/>
    <s v="Y"/>
    <n v="0"/>
    <x v="3"/>
  </r>
  <r>
    <s v="23.10.19"/>
    <d v="1899-12-30T14:59:00"/>
    <m/>
    <s v="P"/>
    <n v="2"/>
    <s v="Road Vehicle"/>
    <n v="6"/>
    <x v="1"/>
    <x v="1"/>
    <n v="2"/>
    <x v="1"/>
    <s v="KATUNA"/>
    <s v="KABALE"/>
    <s v="UG"/>
    <n v="2"/>
    <s v="Work"/>
    <s v="LUBIIRI"/>
    <s v="KAMPALA"/>
    <s v="UG"/>
    <n v="1"/>
    <s v="Home"/>
    <x v="4"/>
    <n v="30000"/>
    <n v="120"/>
    <x v="2"/>
    <n v="2"/>
    <x v="0"/>
    <n v="6"/>
    <s v="Businessman"/>
    <n v="1"/>
    <x v="2"/>
    <n v="5"/>
    <n v="4"/>
    <n v="2"/>
    <n v="2"/>
    <n v="2"/>
    <s v="Y"/>
    <n v="0"/>
    <x v="3"/>
  </r>
  <r>
    <s v="23.10.19"/>
    <d v="1899-12-30T10:20:00"/>
    <m/>
    <s v="P"/>
    <n v="2"/>
    <s v="Road Vehicle"/>
    <n v="6"/>
    <x v="1"/>
    <x v="1"/>
    <n v="2"/>
    <x v="1"/>
    <s v="KAHIHI TOWN"/>
    <s v="KAHIHI"/>
    <s v="UG"/>
    <n v="2"/>
    <s v="Work"/>
    <s v="KAMPALA TOWN"/>
    <s v="KAMPALA"/>
    <s v="UG"/>
    <n v="1"/>
    <s v="Home"/>
    <x v="4"/>
    <n v="40000"/>
    <n v="340"/>
    <x v="3"/>
    <n v="6"/>
    <x v="2"/>
    <n v="6"/>
    <s v="Businessman"/>
    <n v="1"/>
    <x v="2"/>
    <n v="2"/>
    <n v="4"/>
    <n v="1"/>
    <n v="2"/>
    <n v="2"/>
    <s v="Y"/>
    <n v="0"/>
    <x v="3"/>
  </r>
  <r>
    <s v="23.10.19"/>
    <d v="1899-12-30T10:30:00"/>
    <m/>
    <s v="P"/>
    <n v="2"/>
    <s v="Road Vehicle"/>
    <n v="6"/>
    <x v="1"/>
    <x v="1"/>
    <n v="2"/>
    <x v="1"/>
    <s v="BUTOGOTA TOWN"/>
    <s v="KANUNGU"/>
    <s v="UG"/>
    <n v="2"/>
    <s v="Work"/>
    <s v="LUZIRA"/>
    <s v="KAMPALA"/>
    <s v="UG"/>
    <n v="1"/>
    <s v="Home"/>
    <x v="4"/>
    <n v="40000"/>
    <n v="340"/>
    <x v="3"/>
    <n v="6"/>
    <x v="2"/>
    <n v="6"/>
    <s v="Businessman"/>
    <n v="1"/>
    <x v="2"/>
    <n v="2"/>
    <n v="2"/>
    <n v="2"/>
    <n v="2"/>
    <n v="2"/>
    <s v="Y"/>
    <n v="0"/>
    <x v="3"/>
  </r>
  <r>
    <s v="23.10.19"/>
    <d v="1899-12-30T09:40:00"/>
    <m/>
    <s v="P"/>
    <n v="2"/>
    <s v="Road Vehicle"/>
    <n v="6"/>
    <x v="1"/>
    <x v="1"/>
    <n v="2"/>
    <x v="1"/>
    <s v="KABALE TOWN"/>
    <s v="KABALE"/>
    <s v="UG"/>
    <n v="1"/>
    <s v="Home"/>
    <s v="MASAKA TOWN"/>
    <s v="MASAKA"/>
    <s v="UG"/>
    <n v="2"/>
    <s v="Work"/>
    <x v="1"/>
    <n v="20000"/>
    <n v="320"/>
    <x v="3"/>
    <n v="3"/>
    <x v="0"/>
    <n v="6"/>
    <s v="Businessman"/>
    <n v="1"/>
    <x v="2"/>
    <n v="2"/>
    <n v="2"/>
    <n v="2"/>
    <n v="2"/>
    <n v="2"/>
    <s v="Y"/>
    <n v="0"/>
    <x v="3"/>
  </r>
  <r>
    <s v="23.10.19"/>
    <d v="1899-12-30T08:40:00"/>
    <m/>
    <s v="P"/>
    <n v="2"/>
    <s v="Road Vehicle"/>
    <n v="6"/>
    <x v="1"/>
    <x v="1"/>
    <n v="2"/>
    <x v="1"/>
    <s v="KABALE TOWN"/>
    <s v="KABALE"/>
    <s v="UG"/>
    <n v="2"/>
    <s v="Work"/>
    <s v="KAGADI TOWN"/>
    <s v="KAGADI"/>
    <s v="UG"/>
    <n v="1"/>
    <s v="Home"/>
    <x v="4"/>
    <n v="40000"/>
    <n v="360"/>
    <x v="3"/>
    <n v="6"/>
    <x v="2"/>
    <n v="6"/>
    <s v="Businessman"/>
    <n v="1"/>
    <x v="2"/>
    <n v="2"/>
    <n v="4"/>
    <n v="1"/>
    <n v="2"/>
    <n v="1"/>
    <s v="Y"/>
    <n v="0"/>
    <x v="3"/>
  </r>
  <r>
    <s v="23.10.19"/>
    <d v="1899-12-30T08:30:00"/>
    <m/>
    <s v="P"/>
    <n v="2"/>
    <s v="Road Vehicle"/>
    <n v="6"/>
    <x v="1"/>
    <x v="1"/>
    <n v="2"/>
    <x v="1"/>
    <s v="KABALE TOWN"/>
    <s v="KABALE"/>
    <s v="UG"/>
    <n v="1"/>
    <s v="Home"/>
    <s v="FORTPORTAL TOWN"/>
    <s v="FORTPORTAL"/>
    <s v="UG"/>
    <n v="8"/>
    <s v="Others"/>
    <x v="13"/>
    <n v="30000"/>
    <n v="320"/>
    <x v="3"/>
    <n v="5"/>
    <x v="2"/>
    <n v="6"/>
    <s v="Businessman"/>
    <n v="1"/>
    <x v="2"/>
    <n v="5"/>
    <n v="2"/>
    <n v="2"/>
    <n v="2"/>
    <n v="2"/>
    <s v="Y"/>
    <n v="0"/>
    <x v="3"/>
  </r>
  <r>
    <s v="23.10.19"/>
    <d v="1899-12-30T07:06:00"/>
    <m/>
    <s v="P"/>
    <n v="2"/>
    <s v="Road Vehicle"/>
    <n v="6"/>
    <x v="1"/>
    <x v="1"/>
    <n v="2"/>
    <x v="1"/>
    <s v="KISORO TOWN"/>
    <s v="KISORO"/>
    <s v="UG"/>
    <n v="1"/>
    <s v="Home"/>
    <s v="KAMPALA TOWN"/>
    <s v="KAMPALA"/>
    <s v="UG"/>
    <n v="7"/>
    <s v="Hospital"/>
    <x v="32"/>
    <n v="30000"/>
    <n v="480"/>
    <x v="3"/>
    <n v="12"/>
    <x v="2"/>
    <n v="6"/>
    <s v="Businessman"/>
    <n v="3"/>
    <x v="1"/>
    <n v="2"/>
    <n v="1"/>
    <n v="1"/>
    <n v="1"/>
    <n v="1"/>
    <s v="Y"/>
    <n v="3000"/>
    <x v="0"/>
  </r>
  <r>
    <s v="23.10.19"/>
    <d v="1899-12-30T07:27:00"/>
    <m/>
    <s v="P"/>
    <n v="2"/>
    <s v="Road Vehicle"/>
    <n v="6"/>
    <x v="1"/>
    <x v="1"/>
    <n v="2"/>
    <x v="1"/>
    <s v="KABALE TOWN"/>
    <s v="KABALE"/>
    <s v="UG"/>
    <n v="1"/>
    <s v="Home"/>
    <s v="FORTPORTAL TOWN"/>
    <s v="FORTPORTAL"/>
    <s v="UG"/>
    <n v="4"/>
    <s v="Commercial"/>
    <x v="0"/>
    <n v="30000"/>
    <n v="400"/>
    <x v="3"/>
    <n v="8"/>
    <x v="2"/>
    <n v="6"/>
    <s v="Businessman"/>
    <n v="3"/>
    <x v="1"/>
    <n v="1"/>
    <n v="1"/>
    <n v="1"/>
    <n v="1"/>
    <n v="1"/>
    <s v="Y"/>
    <n v="2000"/>
    <x v="1"/>
  </r>
  <r>
    <s v="21.10.19"/>
    <d v="1899-12-30T17:16:00"/>
    <m/>
    <s v="P"/>
    <n v="2"/>
    <s v="Road Vehicle"/>
    <n v="6"/>
    <x v="1"/>
    <x v="0"/>
    <n v="2"/>
    <x v="1"/>
    <s v="KIGALI TOWN"/>
    <s v="KIGALI"/>
    <s v="UG"/>
    <n v="1"/>
    <s v="Home"/>
    <s v="NAIROBI TOWN"/>
    <s v="NAIROBI"/>
    <s v="UG"/>
    <n v="6"/>
    <s v="Leisure/Social"/>
    <x v="8"/>
    <n v="234000"/>
    <n v="1500"/>
    <x v="3"/>
    <n v="30"/>
    <x v="2"/>
    <n v="5"/>
    <s v="Professional"/>
    <n v="5"/>
    <x v="4"/>
    <n v="2"/>
    <n v="2"/>
    <n v="1"/>
    <n v="1"/>
    <n v="1"/>
    <s v="Y"/>
    <n v="0"/>
    <x v="3"/>
  </r>
  <r>
    <s v="21.10.19"/>
    <d v="1899-12-30T15:33:00"/>
    <m/>
    <s v="P"/>
    <n v="2"/>
    <s v="Road Vehicle"/>
    <n v="6"/>
    <x v="1"/>
    <x v="0"/>
    <n v="2"/>
    <x v="1"/>
    <s v="RUBANDA TOWN"/>
    <s v="RUBANDA"/>
    <s v="UG"/>
    <n v="1"/>
    <s v="Home"/>
    <s v="KAMPALA TOWN"/>
    <s v="KAMPALA"/>
    <s v="UG"/>
    <n v="2"/>
    <s v="Work"/>
    <x v="1"/>
    <n v="60000"/>
    <n v="420"/>
    <x v="3"/>
    <n v="13"/>
    <x v="2"/>
    <n v="5"/>
    <s v="Professional"/>
    <n v="4"/>
    <x v="0"/>
    <n v="2"/>
    <n v="3"/>
    <n v="3"/>
    <n v="4"/>
    <n v="3"/>
    <s v="Y"/>
    <n v="2000"/>
    <x v="1"/>
  </r>
  <r>
    <s v="21.10.19"/>
    <d v="1899-12-30T15:31:00"/>
    <m/>
    <s v="P"/>
    <n v="2"/>
    <s v="Road Vehicle"/>
    <n v="6"/>
    <x v="1"/>
    <x v="0"/>
    <n v="2"/>
    <x v="1"/>
    <s v="KISORO TOWN"/>
    <s v="KISORO"/>
    <s v="UG"/>
    <n v="1"/>
    <s v="Home"/>
    <s v="KAMPALA TOWN"/>
    <s v="KAMPALA"/>
    <s v="UG"/>
    <n v="4"/>
    <s v="Commercial"/>
    <x v="0"/>
    <n v="60000"/>
    <n v="430"/>
    <x v="3"/>
    <n v="13"/>
    <x v="2"/>
    <n v="6"/>
    <s v="Businessman"/>
    <n v="3"/>
    <x v="1"/>
    <n v="3"/>
    <n v="3"/>
    <n v="2"/>
    <n v="4"/>
    <n v="3"/>
    <s v="Y"/>
    <n v="3000"/>
    <x v="0"/>
  </r>
  <r>
    <s v="21.10.19"/>
    <d v="1899-12-30T15:28:00"/>
    <m/>
    <s v="P"/>
    <n v="2"/>
    <s v="Road Vehicle"/>
    <n v="6"/>
    <x v="1"/>
    <x v="0"/>
    <n v="2"/>
    <x v="1"/>
    <s v="GISENYI"/>
    <s v="KABALE"/>
    <s v="UG"/>
    <n v="2"/>
    <s v="Work"/>
    <s v="MAKERERE"/>
    <s v="KAMPALA"/>
    <s v="UG"/>
    <n v="8"/>
    <s v="Others"/>
    <x v="19"/>
    <n v="40000"/>
    <n v="250"/>
    <x v="3"/>
    <n v="6"/>
    <x v="2"/>
    <n v="7"/>
    <s v="Farmer"/>
    <n v="1"/>
    <x v="2"/>
    <n v="5"/>
    <n v="4"/>
    <n v="2"/>
    <n v="2"/>
    <n v="2"/>
    <s v="Y"/>
    <n v="0"/>
    <x v="3"/>
  </r>
  <r>
    <s v="21.10.19"/>
    <d v="1899-12-30T18:50:00"/>
    <m/>
    <s v="P"/>
    <n v="2"/>
    <s v="Road Vehicle"/>
    <n v="6"/>
    <x v="1"/>
    <x v="0"/>
    <n v="2"/>
    <x v="1"/>
    <s v="KIGALI TOWN"/>
    <s v="KIGALI"/>
    <s v="Rwanda"/>
    <n v="2"/>
    <s v="Work"/>
    <s v="KAMPALA TOWN"/>
    <s v="KAMPALA"/>
    <s v="UG"/>
    <n v="3"/>
    <s v="Study"/>
    <x v="33"/>
    <n v="40000"/>
    <n v="250"/>
    <x v="3"/>
    <n v="6"/>
    <x v="2"/>
    <n v="8"/>
    <s v="Student"/>
    <n v="1"/>
    <x v="2"/>
    <n v="5"/>
    <n v="4"/>
    <n v="2"/>
    <n v="5"/>
    <n v="2"/>
    <s v="Y"/>
    <n v="0"/>
    <x v="3"/>
  </r>
  <r>
    <s v="21.10.19"/>
    <d v="1899-12-30T18:23:00"/>
    <s v="UAZ 962C"/>
    <s v="D"/>
    <n v="2"/>
    <s v="Road Vehicle"/>
    <n v="6"/>
    <x v="1"/>
    <x v="0"/>
    <n v="2"/>
    <x v="1"/>
    <s v="KIGALI TOWN"/>
    <s v="KIGALI"/>
    <s v="UG"/>
    <n v="2"/>
    <s v="Work"/>
    <s v="KAMPALA TOWN"/>
    <s v="KAMPALA"/>
    <s v="UG"/>
    <n v="8"/>
    <s v="Others"/>
    <x v="19"/>
    <n v="200000"/>
    <n v="250"/>
    <x v="3"/>
    <n v="6"/>
    <x v="2"/>
    <n v="5"/>
    <s v="Professional"/>
    <n v="2"/>
    <x v="3"/>
    <n v="5"/>
    <n v="4"/>
    <n v="5"/>
    <n v="5"/>
    <n v="5"/>
    <s v="Y"/>
    <n v="3000"/>
    <x v="0"/>
  </r>
  <r>
    <s v="21.10.19"/>
    <d v="1899-12-30T17:50:00"/>
    <m/>
    <s v="D"/>
    <n v="2"/>
    <s v="Road Vehicle"/>
    <n v="6"/>
    <x v="1"/>
    <x v="0"/>
    <n v="2"/>
    <x v="1"/>
    <s v="GOMA"/>
    <s v="GOMA"/>
    <s v="UG"/>
    <n v="2"/>
    <s v="Work"/>
    <s v="KAMPALA TOWN"/>
    <s v="KAMPALA"/>
    <s v="UG"/>
    <n v="8"/>
    <s v="Others"/>
    <x v="19"/>
    <n v="200000"/>
    <n v="3000"/>
    <x v="3"/>
    <n v="6"/>
    <x v="2"/>
    <n v="5"/>
    <s v="Professional"/>
    <n v="2"/>
    <x v="3"/>
    <n v="5"/>
    <n v="1"/>
    <n v="4"/>
    <n v="2"/>
    <n v="1"/>
    <s v="Y"/>
    <n v="2000"/>
    <x v="1"/>
  </r>
  <r>
    <s v="21.10.19"/>
    <d v="1899-12-30T18:00:00"/>
    <s v="UAV 309X"/>
    <s v="D"/>
    <n v="2"/>
    <s v="Road Vehicle"/>
    <n v="6"/>
    <x v="1"/>
    <x v="0"/>
    <n v="2"/>
    <x v="1"/>
    <s v="KISORO TOWN"/>
    <s v="KISORO"/>
    <s v="UG"/>
    <n v="2"/>
    <s v="Work"/>
    <s v="KAMPALA TOWN"/>
    <s v="KAMPALA"/>
    <s v="UG"/>
    <n v="2"/>
    <s v="Work"/>
    <x v="2"/>
    <n v="200000"/>
    <n v="200"/>
    <x v="3"/>
    <n v="4.5"/>
    <x v="2"/>
    <n v="10"/>
    <s v="Other"/>
    <n v="2"/>
    <x v="3"/>
    <n v="5"/>
    <n v="2"/>
    <n v="1"/>
    <n v="1"/>
    <n v="2"/>
    <s v="Y"/>
    <n v="2000"/>
    <x v="1"/>
  </r>
  <r>
    <s v="21.10.19"/>
    <d v="1899-12-30T17:33:00"/>
    <s v="UAY 783A"/>
    <s v="D"/>
    <n v="2"/>
    <s v="Road Vehicle"/>
    <n v="6"/>
    <x v="1"/>
    <x v="0"/>
    <n v="2"/>
    <x v="1"/>
    <s v="KYANIKA TOWN"/>
    <s v="KISORO"/>
    <s v="UG"/>
    <n v="2"/>
    <s v="Work"/>
    <s v="KAMPALA TOWN"/>
    <s v="KAMPALA"/>
    <s v="UG"/>
    <n v="8"/>
    <s v="Others"/>
    <x v="19"/>
    <n v="200000"/>
    <n v="250"/>
    <x v="3"/>
    <n v="6"/>
    <x v="2"/>
    <n v="5"/>
    <s v="Professional"/>
    <n v="2"/>
    <x v="3"/>
    <n v="5"/>
    <n v="4"/>
    <n v="1"/>
    <n v="2"/>
    <n v="2"/>
    <s v="Y"/>
    <n v="3000"/>
    <x v="0"/>
  </r>
  <r>
    <s v="21.10.19"/>
    <d v="1899-12-30T17:02:00"/>
    <m/>
    <s v="P"/>
    <n v="2"/>
    <s v="Road Vehicle"/>
    <n v="6"/>
    <x v="1"/>
    <x v="0"/>
    <n v="2"/>
    <x v="1"/>
    <s v="GOMA"/>
    <s v="GOMA"/>
    <s v="DRC"/>
    <n v="1"/>
    <s v="Home"/>
    <s v="BUSABALA"/>
    <s v="WAKISO"/>
    <s v="UG"/>
    <n v="8"/>
    <s v="Others"/>
    <x v="13"/>
    <n v="50000"/>
    <n v="300"/>
    <x v="3"/>
    <n v="7"/>
    <x v="2"/>
    <n v="6"/>
    <s v="Businessman"/>
    <n v="1"/>
    <x v="2"/>
    <n v="5"/>
    <n v="5"/>
    <n v="5"/>
    <n v="5"/>
    <n v="5"/>
    <s v="Y"/>
    <n v="0"/>
    <x v="3"/>
  </r>
  <r>
    <s v="21.10.19"/>
    <d v="1899-12-30T15:53:00"/>
    <m/>
    <s v="P"/>
    <n v="2"/>
    <s v="Road Vehicle"/>
    <n v="6"/>
    <x v="1"/>
    <x v="0"/>
    <n v="2"/>
    <x v="1"/>
    <s v="KYANIKA TOWN"/>
    <s v="KISORO"/>
    <s v="UG"/>
    <n v="1"/>
    <s v="Home"/>
    <s v="KAMPALA TOWN"/>
    <s v="KAMPALA"/>
    <s v="UG"/>
    <n v="2"/>
    <s v="Work"/>
    <x v="1"/>
    <n v="40000"/>
    <n v="250"/>
    <x v="3"/>
    <n v="6"/>
    <x v="2"/>
    <n v="6"/>
    <s v="Businessman"/>
    <n v="1"/>
    <x v="2"/>
    <n v="2"/>
    <n v="2"/>
    <n v="2"/>
    <n v="2"/>
    <n v="2"/>
    <s v="Y"/>
    <n v="0"/>
    <x v="3"/>
  </r>
  <r>
    <s v="21.10.19"/>
    <d v="1899-12-30T15:59:00"/>
    <s v="UAR 371K"/>
    <s v="D"/>
    <n v="2"/>
    <s v="Road Vehicle"/>
    <n v="6"/>
    <x v="1"/>
    <x v="0"/>
    <n v="2"/>
    <x v="1"/>
    <s v="KABALE TOWN"/>
    <s v="KABALE"/>
    <s v="UG"/>
    <n v="4"/>
    <s v="Commercial"/>
    <s v="KAMPALA TOWN"/>
    <s v="KAMPALA"/>
    <s v="UG"/>
    <n v="4"/>
    <s v="Commercial"/>
    <x v="18"/>
    <n v="300000"/>
    <n v="399"/>
    <x v="3"/>
    <n v="5"/>
    <x v="2"/>
    <n v="5"/>
    <s v="Professional"/>
    <n v="2"/>
    <x v="3"/>
    <n v="5"/>
    <n v="1"/>
    <n v="5"/>
    <n v="5"/>
    <n v="1"/>
    <s v="Y"/>
    <n v="0"/>
    <x v="3"/>
  </r>
  <r>
    <s v="21.10.19"/>
    <d v="1899-12-30T15:19:00"/>
    <m/>
    <s v="P"/>
    <n v="2"/>
    <s v="Road Vehicle"/>
    <n v="6"/>
    <x v="1"/>
    <x v="0"/>
    <n v="2"/>
    <x v="1"/>
    <s v="KABALE TOWN"/>
    <s v="KABALE"/>
    <s v="UG"/>
    <n v="1"/>
    <s v="Home"/>
    <s v="KAMPALA TOWN"/>
    <s v="KAMPALA"/>
    <s v="UG"/>
    <n v="4"/>
    <s v="Commercial"/>
    <x v="0"/>
    <n v="45000"/>
    <n v="369"/>
    <x v="3"/>
    <n v="4"/>
    <x v="2"/>
    <n v="6"/>
    <s v="Businessman"/>
    <n v="3"/>
    <x v="1"/>
    <n v="5"/>
    <n v="1"/>
    <n v="1"/>
    <n v="1"/>
    <n v="1"/>
    <s v="Y"/>
    <n v="1000"/>
    <x v="4"/>
  </r>
  <r>
    <s v="22.10.19"/>
    <d v="1899-12-30T09:53:00"/>
    <s v="UAE 566Q"/>
    <s v="D"/>
    <n v="2"/>
    <s v="Road Vehicle"/>
    <n v="6"/>
    <x v="1"/>
    <x v="0"/>
    <n v="2"/>
    <x v="1"/>
    <s v="KISORO TOWN"/>
    <s v="KISORO"/>
    <s v="UG"/>
    <n v="4"/>
    <s v="Commercial"/>
    <s v="KAMPALA TOWN"/>
    <s v="KAMPALA"/>
    <s v="UG"/>
    <n v="4"/>
    <s v="Commercial"/>
    <x v="18"/>
    <n v="100000"/>
    <n v="360"/>
    <x v="3"/>
    <n v="5"/>
    <x v="2"/>
    <n v="5"/>
    <s v="Professional"/>
    <n v="2"/>
    <x v="3"/>
    <n v="1"/>
    <n v="1"/>
    <n v="1"/>
    <n v="1"/>
    <n v="1"/>
    <s v="Y"/>
    <n v="5000"/>
    <x v="2"/>
  </r>
  <r>
    <s v="22.10.19"/>
    <d v="1899-12-30T14:09:00"/>
    <s v="UBB 797U"/>
    <s v="D"/>
    <n v="2"/>
    <s v="Road Vehicle"/>
    <n v="6"/>
    <x v="1"/>
    <x v="0"/>
    <n v="2"/>
    <x v="1"/>
    <s v="KABALE TOWN"/>
    <s v="KABALE"/>
    <s v="UG"/>
    <n v="2"/>
    <s v="Work"/>
    <s v="KAMENZI TOWN"/>
    <s v="KAMENZI"/>
    <s v="UG"/>
    <n v="8"/>
    <s v="Others"/>
    <x v="19"/>
    <n v="100000"/>
    <n v="90"/>
    <x v="1"/>
    <n v="2"/>
    <x v="0"/>
    <n v="5"/>
    <s v="Professional"/>
    <n v="2"/>
    <x v="3"/>
    <n v="5"/>
    <n v="5"/>
    <n v="5"/>
    <n v="5"/>
    <n v="5"/>
    <s v="Y"/>
    <n v="1000"/>
    <x v="4"/>
  </r>
  <r>
    <s v="22.10.19"/>
    <d v="1899-12-30T13:01:00"/>
    <m/>
    <s v="P"/>
    <n v="2"/>
    <s v="Road Vehicle"/>
    <n v="6"/>
    <x v="1"/>
    <x v="0"/>
    <n v="2"/>
    <x v="1"/>
    <s v="KISIIZI TOWN"/>
    <s v="RUKUNGIRI"/>
    <s v="UG"/>
    <n v="1"/>
    <s v="Home"/>
    <s v="KINAWA"/>
    <s v="WAKISO"/>
    <s v="UG"/>
    <n v="2"/>
    <s v="Work"/>
    <x v="1"/>
    <n v="30000"/>
    <n v="150"/>
    <x v="2"/>
    <n v="4"/>
    <x v="2"/>
    <n v="6"/>
    <s v="Businessman"/>
    <n v="1"/>
    <x v="2"/>
    <n v="5"/>
    <n v="4"/>
    <n v="5"/>
    <n v="5"/>
    <n v="5"/>
    <s v="Y"/>
    <n v="0"/>
    <x v="3"/>
  </r>
  <r>
    <s v="22.10.19"/>
    <d v="1899-12-30T12:19:00"/>
    <s v="UAF 795X"/>
    <s v="D"/>
    <n v="2"/>
    <s v="Road Vehicle"/>
    <n v="6"/>
    <x v="1"/>
    <x v="0"/>
    <n v="2"/>
    <x v="1"/>
    <s v="KABALE TOWN"/>
    <s v="KABALE"/>
    <s v="UG"/>
    <n v="1"/>
    <s v="Home"/>
    <s v="BIZIRI TOWN"/>
    <s v="BIZIRI"/>
    <s v="UG"/>
    <n v="8"/>
    <s v="Others"/>
    <x v="13"/>
    <n v="100000"/>
    <n v="260"/>
    <x v="3"/>
    <n v="3"/>
    <x v="0"/>
    <n v="5"/>
    <s v="Professional"/>
    <n v="1"/>
    <x v="2"/>
    <n v="5"/>
    <n v="4"/>
    <n v="2"/>
    <n v="2"/>
    <n v="2"/>
    <s v="Y"/>
    <n v="1000"/>
    <x v="4"/>
  </r>
  <r>
    <s v="22.10.19"/>
    <d v="1899-12-30T11:30:00"/>
    <m/>
    <s v="P"/>
    <n v="2"/>
    <s v="Road Vehicle"/>
    <n v="6"/>
    <x v="1"/>
    <x v="0"/>
    <n v="2"/>
    <x v="1"/>
    <s v="KABALE TOWN"/>
    <s v="KABALE"/>
    <s v="UG"/>
    <n v="1"/>
    <s v="Home"/>
    <s v="KAJJANSI"/>
    <s v="WAKISO"/>
    <s v="UG"/>
    <n v="2"/>
    <s v="Work"/>
    <x v="1"/>
    <n v="30000"/>
    <n v="390"/>
    <x v="3"/>
    <n v="4.5"/>
    <x v="2"/>
    <n v="6"/>
    <s v="Businessman"/>
    <n v="1"/>
    <x v="2"/>
    <n v="5"/>
    <n v="2"/>
    <n v="2"/>
    <n v="5"/>
    <n v="2"/>
    <s v="Y"/>
    <n v="0"/>
    <x v="3"/>
  </r>
  <r>
    <s v="22.10.19"/>
    <d v="1899-12-30T11:10:00"/>
    <s v="UBE 453T"/>
    <s v="D"/>
    <n v="2"/>
    <s v="Road Vehicle"/>
    <n v="6"/>
    <x v="1"/>
    <x v="0"/>
    <n v="2"/>
    <x v="1"/>
    <s v="KABALE TOWN"/>
    <s v="KABALE"/>
    <s v="UG"/>
    <n v="2"/>
    <s v="Work"/>
    <s v="KAGAABA TOWN"/>
    <s v="KAGABA"/>
    <s v="UG"/>
    <n v="2"/>
    <s v="Work"/>
    <x v="2"/>
    <n v="100000"/>
    <n v="90"/>
    <x v="1"/>
    <n v="2"/>
    <x v="0"/>
    <n v="5"/>
    <s v="Professional"/>
    <n v="2"/>
    <x v="3"/>
    <n v="5"/>
    <n v="5"/>
    <n v="2"/>
    <n v="2"/>
    <n v="2"/>
    <s v="Y"/>
    <n v="1000"/>
    <x v="4"/>
  </r>
  <r>
    <s v="22.10.19"/>
    <d v="1899-12-30T10:55:00"/>
    <s v="UAV 799V"/>
    <s v="D"/>
    <n v="2"/>
    <s v="Road Vehicle"/>
    <n v="6"/>
    <x v="1"/>
    <x v="0"/>
    <n v="2"/>
    <x v="1"/>
    <s v="KABALE TOWN"/>
    <s v="KABALE"/>
    <s v="UG"/>
    <n v="2"/>
    <s v="Work"/>
    <s v="IBANDA TOWN"/>
    <s v="IBANDA"/>
    <s v="UG"/>
    <n v="8"/>
    <s v="Others"/>
    <x v="19"/>
    <n v="150000"/>
    <n v="300"/>
    <x v="3"/>
    <n v="3.5"/>
    <x v="2"/>
    <n v="10"/>
    <s v="Other"/>
    <n v="2"/>
    <x v="3"/>
    <n v="5"/>
    <n v="5"/>
    <n v="2"/>
    <n v="2"/>
    <n v="2"/>
    <s v="Y"/>
    <n v="2000"/>
    <x v="1"/>
  </r>
  <r>
    <s v="22.10.19"/>
    <d v="1899-12-30T11:00:00"/>
    <m/>
    <s v="P"/>
    <n v="2"/>
    <s v="Road Vehicle"/>
    <n v="6"/>
    <x v="1"/>
    <x v="0"/>
    <n v="2"/>
    <x v="1"/>
    <s v="KABALE TOWN"/>
    <s v="KABALE"/>
    <s v="UG"/>
    <n v="2"/>
    <s v="Work"/>
    <s v="IBANDA TOWN"/>
    <s v="IBANDA"/>
    <s v="UG"/>
    <n v="1"/>
    <s v="Home"/>
    <x v="4"/>
    <n v="25000"/>
    <n v="300"/>
    <x v="3"/>
    <n v="3.5"/>
    <x v="2"/>
    <n v="6"/>
    <s v="Businessman"/>
    <n v="1"/>
    <x v="2"/>
    <n v="2"/>
    <n v="4"/>
    <n v="2"/>
    <n v="2"/>
    <n v="2"/>
    <s v="Y"/>
    <n v="0"/>
    <x v="3"/>
  </r>
  <r>
    <s v="22.10.19"/>
    <d v="1899-12-30T09:24:00"/>
    <m/>
    <s v="P"/>
    <n v="2"/>
    <s v="Road Vehicle"/>
    <n v="6"/>
    <x v="1"/>
    <x v="0"/>
    <n v="2"/>
    <x v="1"/>
    <s v="KABALE TOWN"/>
    <s v="KABALE"/>
    <s v="UG"/>
    <n v="1"/>
    <s v="Home"/>
    <s v="MASAKA TOWN"/>
    <s v="MASAKA"/>
    <s v="UG"/>
    <n v="2"/>
    <s v="Work"/>
    <x v="1"/>
    <n v="20000"/>
    <n v="270"/>
    <x v="3"/>
    <n v="3"/>
    <x v="0"/>
    <n v="6"/>
    <s v="Businessman"/>
    <n v="1"/>
    <x v="2"/>
    <n v="2"/>
    <n v="2"/>
    <n v="2"/>
    <n v="2"/>
    <n v="2"/>
    <s v="Y"/>
    <n v="0"/>
    <x v="3"/>
  </r>
  <r>
    <s v="22.10.19"/>
    <d v="1899-12-30T09:33:00"/>
    <m/>
    <s v="P"/>
    <n v="2"/>
    <s v="Road Vehicle"/>
    <n v="6"/>
    <x v="1"/>
    <x v="0"/>
    <n v="2"/>
    <x v="1"/>
    <s v="KISIIZI TOWN"/>
    <s v="RUKUNGIRI"/>
    <s v="UG"/>
    <n v="1"/>
    <s v="Home"/>
    <s v="MAKERERE"/>
    <s v="KAMPALA"/>
    <s v="UG"/>
    <n v="3"/>
    <s v="Study"/>
    <x v="25"/>
    <n v="30000"/>
    <n v="150"/>
    <x v="2"/>
    <n v="4"/>
    <x v="2"/>
    <n v="8"/>
    <s v="Student"/>
    <n v="1"/>
    <x v="2"/>
    <n v="5"/>
    <n v="4"/>
    <n v="2"/>
    <n v="2"/>
    <n v="2"/>
    <s v="Y"/>
    <n v="0"/>
    <x v="3"/>
  </r>
  <r>
    <s v="22.10.19"/>
    <d v="1899-12-30T16:33:00"/>
    <m/>
    <s v="P"/>
    <n v="2"/>
    <s v="Road Vehicle"/>
    <n v="6"/>
    <x v="1"/>
    <x v="0"/>
    <n v="2"/>
    <x v="1"/>
    <s v="KISORO TOWN"/>
    <s v="KISORO"/>
    <s v="UG"/>
    <n v="1"/>
    <s v="Home"/>
    <s v="KIREKA"/>
    <s v="KAMPALA"/>
    <s v="UG"/>
    <n v="2"/>
    <s v="Work"/>
    <x v="1"/>
    <n v="30000"/>
    <n v="200"/>
    <x v="3"/>
    <n v="4.5"/>
    <x v="2"/>
    <n v="6"/>
    <s v="Businessman"/>
    <n v="1"/>
    <x v="2"/>
    <n v="5"/>
    <n v="5"/>
    <n v="5"/>
    <n v="5"/>
    <n v="5"/>
    <s v="Y"/>
    <n v="0"/>
    <x v="3"/>
  </r>
  <r>
    <s v="22.10.19"/>
    <d v="1899-12-30T17:00:00"/>
    <m/>
    <s v="P"/>
    <n v="2"/>
    <s v="Road Vehicle"/>
    <n v="6"/>
    <x v="1"/>
    <x v="0"/>
    <n v="2"/>
    <x v="1"/>
    <s v="KABALE TOWN"/>
    <s v="KABALE"/>
    <s v="UG"/>
    <n v="2"/>
    <s v="Work"/>
    <s v="LYANTONDE TOWN"/>
    <s v="LYANTONDE"/>
    <s v="UG"/>
    <n v="8"/>
    <s v="Others"/>
    <x v="19"/>
    <n v="20000"/>
    <n v="270"/>
    <x v="3"/>
    <n v="3"/>
    <x v="0"/>
    <n v="6"/>
    <s v="Businessman"/>
    <n v="1"/>
    <x v="2"/>
    <n v="2"/>
    <n v="4"/>
    <n v="2"/>
    <n v="2"/>
    <n v="1"/>
    <s v="Y"/>
    <n v="0"/>
    <x v="3"/>
  </r>
  <r>
    <s v="22.10.19"/>
    <d v="1899-12-30T15:48:00"/>
    <s v="UAX 859G"/>
    <s v="D"/>
    <n v="2"/>
    <s v="Road Vehicle"/>
    <n v="6"/>
    <x v="1"/>
    <x v="0"/>
    <n v="2"/>
    <x v="1"/>
    <s v="KABALE TOWN"/>
    <s v="KABALE"/>
    <s v="UG"/>
    <n v="2"/>
    <s v="Work"/>
    <s v="HOIMA TOWN"/>
    <s v="HOIMA"/>
    <s v="UG"/>
    <n v="2"/>
    <s v="Work"/>
    <x v="2"/>
    <n v="300000"/>
    <n v="800"/>
    <x v="3"/>
    <n v="12"/>
    <x v="2"/>
    <n v="5"/>
    <s v="Professional"/>
    <n v="3"/>
    <x v="1"/>
    <n v="5"/>
    <n v="5"/>
    <n v="5"/>
    <n v="5"/>
    <n v="5"/>
    <s v="Y"/>
    <n v="5000"/>
    <x v="2"/>
  </r>
  <r>
    <s v="23.10.19"/>
    <d v="1899-12-30T14:42:00"/>
    <s v="UAP 050Q"/>
    <s v="D"/>
    <n v="2"/>
    <s v="Road Vehicle"/>
    <n v="6"/>
    <x v="1"/>
    <x v="0"/>
    <n v="2"/>
    <x v="1"/>
    <s v="KATUNA"/>
    <s v="KABALE"/>
    <s v="UG"/>
    <n v="2"/>
    <s v="Work"/>
    <s v="KAMPALA TOWN"/>
    <s v="KAMPALA"/>
    <s v="UG"/>
    <n v="8"/>
    <s v="Others"/>
    <x v="19"/>
    <n v="100000"/>
    <n v="120"/>
    <x v="2"/>
    <n v="4"/>
    <x v="2"/>
    <n v="10"/>
    <s v="Other"/>
    <n v="2"/>
    <x v="3"/>
    <n v="5"/>
    <n v="4"/>
    <n v="5"/>
    <n v="5"/>
    <n v="5"/>
    <s v="Y"/>
    <n v="2000"/>
    <x v="1"/>
  </r>
  <r>
    <s v="23.10.19"/>
    <d v="1899-12-30T10:10:00"/>
    <s v="UAS 989T"/>
    <s v="D"/>
    <n v="2"/>
    <s v="Road Vehicle"/>
    <n v="6"/>
    <x v="1"/>
    <x v="0"/>
    <n v="2"/>
    <x v="1"/>
    <s v="KAHIHI TOWN"/>
    <s v="KAHIHI"/>
    <s v="UG"/>
    <n v="2"/>
    <s v="Work"/>
    <s v="KAMPALA TOWN"/>
    <s v="KAMPALA"/>
    <s v="UG"/>
    <n v="8"/>
    <s v="Others"/>
    <x v="19"/>
    <n v="200000"/>
    <n v="340"/>
    <x v="3"/>
    <n v="6"/>
    <x v="2"/>
    <n v="5"/>
    <s v="Professional"/>
    <n v="2"/>
    <x v="3"/>
    <n v="5"/>
    <n v="4"/>
    <n v="2"/>
    <n v="2"/>
    <n v="2"/>
    <s v="Y"/>
    <n v="2000"/>
    <x v="1"/>
  </r>
  <r>
    <s v="23.10.19"/>
    <d v="1899-12-30T09:30:00"/>
    <s v="UAG 917R"/>
    <s v="D"/>
    <n v="2"/>
    <s v="Road Vehicle"/>
    <n v="6"/>
    <x v="1"/>
    <x v="0"/>
    <n v="2"/>
    <x v="1"/>
    <s v="KABALE TOWN"/>
    <s v="KABALE"/>
    <s v="UG"/>
    <n v="2"/>
    <s v="Work"/>
    <s v="MASAKA TOWN"/>
    <s v="MASAKA"/>
    <s v="UG"/>
    <n v="8"/>
    <s v="Others"/>
    <x v="19"/>
    <n v="80000"/>
    <n v="320"/>
    <x v="3"/>
    <n v="3"/>
    <x v="0"/>
    <n v="5"/>
    <s v="Professional"/>
    <n v="2"/>
    <x v="3"/>
    <n v="5"/>
    <n v="4"/>
    <n v="5"/>
    <n v="5"/>
    <n v="5"/>
    <s v="Y"/>
    <n v="2000"/>
    <x v="1"/>
  </r>
  <r>
    <s v="23.10.19"/>
    <d v="1899-12-30T08:53:00"/>
    <s v="UAQ 755R"/>
    <s v="D"/>
    <n v="2"/>
    <s v="Road Vehicle"/>
    <n v="6"/>
    <x v="1"/>
    <x v="0"/>
    <n v="2"/>
    <x v="1"/>
    <s v="KABALE TOWN"/>
    <s v="KABALE"/>
    <s v="UG"/>
    <n v="2"/>
    <s v="Work"/>
    <s v="HOIMA TOWN"/>
    <s v="HOIMA"/>
    <s v="UG"/>
    <n v="8"/>
    <s v="Others"/>
    <x v="19"/>
    <n v="200000"/>
    <n v="600"/>
    <x v="3"/>
    <n v="8"/>
    <x v="2"/>
    <n v="10"/>
    <s v="Other"/>
    <n v="2"/>
    <x v="3"/>
    <n v="5"/>
    <n v="4"/>
    <n v="2"/>
    <n v="2"/>
    <n v="2"/>
    <s v="Y"/>
    <n v="2000"/>
    <x v="1"/>
  </r>
  <r>
    <s v="23.10.19"/>
    <d v="1899-12-30T08:00:00"/>
    <s v="UAZ 672E"/>
    <s v="D"/>
    <n v="2"/>
    <s v="Road Vehicle"/>
    <n v="6"/>
    <x v="1"/>
    <x v="0"/>
    <n v="2"/>
    <x v="1"/>
    <s v="KABALE TOWN"/>
    <s v="KABALE"/>
    <s v="UG"/>
    <n v="2"/>
    <s v="Work"/>
    <s v="KAMWENGE TOWN"/>
    <s v="KAMWENGE"/>
    <s v="UG"/>
    <n v="8"/>
    <s v="Others"/>
    <x v="19"/>
    <n v="200000"/>
    <n v="320"/>
    <x v="3"/>
    <n v="5"/>
    <x v="2"/>
    <n v="5"/>
    <s v="Professional"/>
    <n v="2"/>
    <x v="3"/>
    <n v="5"/>
    <n v="4"/>
    <n v="5"/>
    <n v="5"/>
    <n v="5"/>
    <s v="Y"/>
    <n v="2000"/>
    <x v="1"/>
  </r>
  <r>
    <s v="23.10.19"/>
    <d v="1899-12-30T08:19:00"/>
    <m/>
    <s v="P"/>
    <n v="2"/>
    <s v="Road Vehicle"/>
    <n v="6"/>
    <x v="1"/>
    <x v="0"/>
    <n v="2"/>
    <x v="1"/>
    <s v="KABALE TOWN"/>
    <s v="KABALE"/>
    <s v="UG"/>
    <n v="1"/>
    <s v="Home"/>
    <s v="KAMWENGE TOWN"/>
    <s v="KAMWENGE"/>
    <s v="UG"/>
    <n v="8"/>
    <s v="Others"/>
    <x v="13"/>
    <n v="30000"/>
    <n v="320"/>
    <x v="3"/>
    <n v="5"/>
    <x v="2"/>
    <n v="6"/>
    <s v="Businessman"/>
    <n v="1"/>
    <x v="2"/>
    <n v="2"/>
    <n v="2"/>
    <n v="2"/>
    <n v="2"/>
    <n v="2"/>
    <s v="Y"/>
    <n v="0"/>
    <x v="3"/>
  </r>
  <r>
    <s v="23.10.19"/>
    <d v="1899-12-30T07:04:00"/>
    <s v="UBE 711N"/>
    <s v="D"/>
    <n v="2"/>
    <s v="Road Vehicle"/>
    <n v="6"/>
    <x v="1"/>
    <x v="0"/>
    <n v="2"/>
    <x v="1"/>
    <s v="KISORO TOWN"/>
    <s v="KISORO"/>
    <s v="UG"/>
    <n v="2"/>
    <s v="Work"/>
    <s v="KAMPALA TOWN"/>
    <s v="KAMPALA"/>
    <s v="UG"/>
    <n v="2"/>
    <s v="Work"/>
    <x v="2"/>
    <n v="380000"/>
    <n v="480"/>
    <x v="3"/>
    <n v="12"/>
    <x v="2"/>
    <n v="5"/>
    <s v="Professional"/>
    <n v="5"/>
    <x v="4"/>
    <n v="2"/>
    <n v="1"/>
    <n v="2"/>
    <n v="2"/>
    <n v="1"/>
    <s v="Y"/>
    <n v="5000"/>
    <x v="2"/>
  </r>
  <r>
    <s v="21.10.19"/>
    <d v="1899-12-30T16:16:00"/>
    <m/>
    <s v="P"/>
    <n v="2"/>
    <s v="Road Vehicle"/>
    <n v="7"/>
    <x v="7"/>
    <x v="1"/>
    <n v="2"/>
    <x v="1"/>
    <s v="KISORO TOWN"/>
    <s v="KISORO"/>
    <s v="UG"/>
    <n v="2"/>
    <s v="Work"/>
    <s v="MBARARA TOWN"/>
    <s v="MBARARA"/>
    <s v="UG"/>
    <n v="4"/>
    <s v="Commercial"/>
    <x v="17"/>
    <n v="30000"/>
    <n v="280"/>
    <x v="3"/>
    <n v="6"/>
    <x v="2"/>
    <n v="6"/>
    <s v="Businessman"/>
    <n v="3"/>
    <x v="1"/>
    <n v="2"/>
    <n v="2"/>
    <n v="3"/>
    <n v="2"/>
    <n v="2"/>
    <s v="Y"/>
    <n v="0"/>
    <x v="3"/>
  </r>
  <r>
    <s v="21.10.19"/>
    <d v="1899-12-30T17:29:00"/>
    <m/>
    <s v="D"/>
    <n v="2"/>
    <s v="Road Vehicle"/>
    <n v="7"/>
    <x v="7"/>
    <x v="0"/>
    <n v="2"/>
    <x v="1"/>
    <s v="KIZIRIZI"/>
    <s v="KABALE"/>
    <s v="UG"/>
    <n v="2"/>
    <s v="Work"/>
    <s v="KABALE TOWN"/>
    <s v="KABALE"/>
    <s v="UG"/>
    <n v="4"/>
    <s v="Commercial"/>
    <x v="17"/>
    <n v="30000"/>
    <n v="21"/>
    <x v="4"/>
    <n v="1"/>
    <x v="1"/>
    <n v="7"/>
    <s v="Farmer"/>
    <n v="3"/>
    <x v="1"/>
    <n v="3"/>
    <n v="3"/>
    <n v="4"/>
    <n v="5"/>
    <n v="3"/>
    <s v="Y"/>
    <n v="1000"/>
    <x v="4"/>
  </r>
  <r>
    <s v="21.10.19"/>
    <d v="1899-12-30T18:22:00"/>
    <m/>
    <s v="P"/>
    <n v="2"/>
    <s v="Road Vehicle"/>
    <n v="4"/>
    <x v="3"/>
    <x v="1"/>
    <n v="2"/>
    <x v="1"/>
    <s v="RUBANDA TOWN"/>
    <s v="RUBANDA"/>
    <s v="UG"/>
    <n v="4"/>
    <s v="Commercial"/>
    <s v="KABALE TOWN"/>
    <s v="KABALE"/>
    <s v="UG"/>
    <n v="1"/>
    <s v="Home"/>
    <x v="3"/>
    <n v="5000"/>
    <n v="51"/>
    <x v="5"/>
    <n v="1"/>
    <x v="1"/>
    <n v="6"/>
    <s v="Businessman"/>
    <n v="4"/>
    <x v="0"/>
    <n v="3"/>
    <n v="2"/>
    <n v="2"/>
    <n v="2"/>
    <n v="2"/>
    <s v="Y"/>
    <n v="1500"/>
    <x v="4"/>
  </r>
  <r>
    <s v="21.10.19"/>
    <d v="1899-12-30T16:19:00"/>
    <m/>
    <s v="P"/>
    <n v="2"/>
    <s v="Road Vehicle"/>
    <n v="4"/>
    <x v="3"/>
    <x v="1"/>
    <n v="2"/>
    <x v="1"/>
    <s v="KASHERERE"/>
    <s v="KABALE"/>
    <s v="UG"/>
    <n v="1"/>
    <s v="Home"/>
    <s v="KABALE TOWN"/>
    <s v="KABALE"/>
    <s v="UG"/>
    <n v="4"/>
    <s v="Commercial"/>
    <x v="0"/>
    <n v="3000"/>
    <n v="42"/>
    <x v="5"/>
    <n v="2"/>
    <x v="0"/>
    <n v="6"/>
    <s v="Businessman"/>
    <n v="4"/>
    <x v="0"/>
    <n v="3"/>
    <n v="2"/>
    <n v="3"/>
    <n v="4"/>
    <n v="2"/>
    <s v="Y"/>
    <n v="2000"/>
    <x v="1"/>
  </r>
  <r>
    <s v="21.10.19"/>
    <d v="1899-12-30T18:47:00"/>
    <m/>
    <s v="P"/>
    <n v="2"/>
    <s v="Road Vehicle"/>
    <n v="4"/>
    <x v="3"/>
    <x v="1"/>
    <n v="2"/>
    <x v="1"/>
    <s v="KABALE TOWN"/>
    <s v="KABALE"/>
    <s v="UG"/>
    <n v="1"/>
    <s v="Home"/>
    <s v="MBARARA TOWN"/>
    <s v="MBARARA"/>
    <s v="UG"/>
    <n v="4"/>
    <s v="Commercial"/>
    <x v="0"/>
    <n v="10000"/>
    <n v="136"/>
    <x v="2"/>
    <n v="2"/>
    <x v="0"/>
    <n v="7"/>
    <s v="Farmer"/>
    <n v="1"/>
    <x v="2"/>
    <n v="5"/>
    <n v="1"/>
    <n v="1"/>
    <n v="1"/>
    <n v="1"/>
    <s v="Y"/>
    <n v="1000"/>
    <x v="4"/>
  </r>
  <r>
    <s v="22.10.19"/>
    <d v="1899-12-30T08:57:00"/>
    <s v="UAX 296X"/>
    <s v="D"/>
    <n v="2"/>
    <s v="Road Vehicle"/>
    <n v="4"/>
    <x v="3"/>
    <x v="1"/>
    <n v="2"/>
    <x v="1"/>
    <s v="RUKUNGIRI TOWN"/>
    <s v="RUKUNGIRI"/>
    <s v="UG"/>
    <n v="1"/>
    <s v="Home"/>
    <s v="KAMPALA TOWN"/>
    <s v="KAMPALA"/>
    <s v="UG"/>
    <n v="2"/>
    <s v="Work"/>
    <x v="1"/>
    <n v="400000"/>
    <n v="470"/>
    <x v="3"/>
    <n v="5"/>
    <x v="2"/>
    <n v="4"/>
    <s v="Office Worker"/>
    <n v="2"/>
    <x v="3"/>
    <n v="1"/>
    <n v="5"/>
    <n v="5"/>
    <n v="5"/>
    <n v="1"/>
    <s v="Y"/>
    <n v="1000"/>
    <x v="4"/>
  </r>
  <r>
    <s v="22.10.19"/>
    <d v="1899-12-30T09:10:00"/>
    <m/>
    <s v="P"/>
    <n v="2"/>
    <s v="Road Vehicle"/>
    <n v="4"/>
    <x v="3"/>
    <x v="1"/>
    <n v="2"/>
    <x v="1"/>
    <m/>
    <m/>
    <s v="UG"/>
    <n v="1"/>
    <s v="Home"/>
    <m/>
    <m/>
    <s v="UG"/>
    <n v="2"/>
    <s v="Work"/>
    <x v="1"/>
    <m/>
    <m/>
    <x v="0"/>
    <m/>
    <x v="3"/>
    <n v="5"/>
    <s v="Professional"/>
    <n v="5"/>
    <x v="4"/>
    <n v="5"/>
    <n v="1"/>
    <n v="1"/>
    <n v="5"/>
    <n v="5"/>
    <s v="Y"/>
    <n v="2000"/>
    <x v="1"/>
  </r>
  <r>
    <s v="22.10.19"/>
    <d v="1899-12-30T09:17:00"/>
    <m/>
    <s v="P"/>
    <n v="2"/>
    <s v="Road Vehicle"/>
    <n v="4"/>
    <x v="3"/>
    <x v="1"/>
    <n v="2"/>
    <x v="1"/>
    <s v="KATUNA"/>
    <s v="KABALE"/>
    <s v="UG"/>
    <n v="1"/>
    <s v="Home"/>
    <s v="KABALE TOWN"/>
    <s v="KABALE"/>
    <s v="UG"/>
    <n v="4"/>
    <s v="Commercial"/>
    <x v="0"/>
    <n v="4000"/>
    <n v="2"/>
    <x v="0"/>
    <n v="0.33"/>
    <x v="3"/>
    <n v="2"/>
    <s v="Manual Labour"/>
    <n v="2"/>
    <x v="3"/>
    <n v="1"/>
    <n v="1"/>
    <n v="5"/>
    <n v="5"/>
    <n v="1"/>
    <s v="Y"/>
    <n v="6000"/>
    <x v="2"/>
  </r>
  <r>
    <s v="22.10.19"/>
    <d v="1899-12-30T09:46:00"/>
    <s v="UAH 160Q"/>
    <s v="D"/>
    <n v="2"/>
    <s v="Road Vehicle"/>
    <n v="4"/>
    <x v="3"/>
    <x v="1"/>
    <n v="2"/>
    <x v="1"/>
    <s v="MUKIGUGWE"/>
    <s v="KABALE"/>
    <s v="UG"/>
    <n v="1"/>
    <s v="Home"/>
    <s v="KABALE TOWN"/>
    <s v="KABALE"/>
    <s v="UG"/>
    <n v="2"/>
    <s v="Work"/>
    <x v="1"/>
    <n v="10000"/>
    <n v="3"/>
    <x v="0"/>
    <n v="0.25"/>
    <x v="3"/>
    <n v="5"/>
    <s v="Professional"/>
    <n v="2"/>
    <x v="3"/>
    <n v="1"/>
    <n v="1"/>
    <n v="1"/>
    <n v="5"/>
    <n v="5"/>
    <s v="Y"/>
    <n v="1000"/>
    <x v="4"/>
  </r>
  <r>
    <s v="22.10.19"/>
    <d v="1899-12-30T10:44:00"/>
    <m/>
    <s v="P"/>
    <n v="2"/>
    <s v="Road Vehicle"/>
    <n v="4"/>
    <x v="3"/>
    <x v="1"/>
    <n v="2"/>
    <x v="1"/>
    <s v="KABALE TOWN"/>
    <s v="KABALE"/>
    <s v="UG"/>
    <n v="1"/>
    <s v="Home"/>
    <s v="KAGADI TOWN"/>
    <s v="KAGADI"/>
    <s v="UG"/>
    <n v="4"/>
    <s v="Commercial"/>
    <x v="0"/>
    <n v="40000"/>
    <n v="240"/>
    <x v="3"/>
    <n v="6"/>
    <x v="2"/>
    <n v="1"/>
    <s v="Unemployed"/>
    <n v="1"/>
    <x v="2"/>
    <n v="5"/>
    <n v="5"/>
    <n v="1"/>
    <n v="4"/>
    <n v="5"/>
    <s v="Y"/>
    <n v="1000"/>
    <x v="4"/>
  </r>
  <r>
    <s v="22.10.19"/>
    <d v="1899-12-30T11:27:00"/>
    <m/>
    <s v="P"/>
    <n v="2"/>
    <s v="Road Vehicle"/>
    <n v="4"/>
    <x v="3"/>
    <x v="1"/>
    <n v="2"/>
    <x v="1"/>
    <s v="MUKIGUGWE"/>
    <s v="KABALE"/>
    <s v="UG"/>
    <n v="1"/>
    <s v="Home"/>
    <s v="KABALE TOWN"/>
    <s v="KABALE"/>
    <s v="UG"/>
    <n v="2"/>
    <s v="Work"/>
    <x v="1"/>
    <n v="3000"/>
    <n v="20"/>
    <x v="4"/>
    <n v="0.25"/>
    <x v="3"/>
    <n v="2"/>
    <s v="Manual Labour"/>
    <n v="1"/>
    <x v="2"/>
    <n v="5"/>
    <n v="5"/>
    <n v="5"/>
    <n v="1"/>
    <n v="5"/>
    <s v="Y"/>
    <n v="3000"/>
    <x v="0"/>
  </r>
  <r>
    <s v="22.10.19"/>
    <d v="1899-12-30T11:46:00"/>
    <m/>
    <s v="P"/>
    <n v="2"/>
    <s v="Road Vehicle"/>
    <n v="4"/>
    <x v="3"/>
    <x v="1"/>
    <n v="2"/>
    <x v="1"/>
    <s v="MUKO"/>
    <s v="KABALE"/>
    <s v="UG"/>
    <n v="1"/>
    <s v="Home"/>
    <s v="KABALE TOWN"/>
    <s v="KABALE"/>
    <s v="UG"/>
    <n v="2"/>
    <s v="Work"/>
    <x v="1"/>
    <n v="7000"/>
    <n v="32"/>
    <x v="4"/>
    <n v="1"/>
    <x v="1"/>
    <n v="5"/>
    <s v="Professional"/>
    <n v="2"/>
    <x v="3"/>
    <n v="5"/>
    <n v="1"/>
    <n v="1"/>
    <n v="5"/>
    <n v="4"/>
    <s v="Y"/>
    <n v="0"/>
    <x v="3"/>
  </r>
  <r>
    <s v="22.10.19"/>
    <d v="1899-12-30T13:10:00"/>
    <s v="UAU 731B"/>
    <s v="D"/>
    <n v="2"/>
    <s v="Road Vehicle"/>
    <n v="4"/>
    <x v="3"/>
    <x v="1"/>
    <n v="2"/>
    <x v="1"/>
    <s v="KABALE TOWN"/>
    <s v="KABALE"/>
    <s v="UG"/>
    <n v="4"/>
    <s v="Commercial"/>
    <s v="HOIMA TOWN"/>
    <s v="HOIMA"/>
    <s v="UG"/>
    <n v="4"/>
    <s v="Commercial"/>
    <x v="18"/>
    <n v="300000"/>
    <n v="470"/>
    <x v="3"/>
    <m/>
    <x v="3"/>
    <n v="5"/>
    <s v="Professional"/>
    <n v="2"/>
    <x v="3"/>
    <n v="1"/>
    <n v="5"/>
    <n v="5"/>
    <n v="5"/>
    <n v="5"/>
    <s v="Y"/>
    <n v="0"/>
    <x v="3"/>
  </r>
  <r>
    <s v="22.10.19"/>
    <d v="1899-12-30T13:16:00"/>
    <m/>
    <s v="P"/>
    <n v="2"/>
    <s v="Road Vehicle"/>
    <n v="4"/>
    <x v="3"/>
    <x v="1"/>
    <n v="2"/>
    <x v="1"/>
    <s v="KABALE TOWN"/>
    <s v="KABALE"/>
    <s v="UG"/>
    <n v="1"/>
    <s v="Home"/>
    <s v="BWINDI TOWN"/>
    <s v="BWINDI"/>
    <s v="UG"/>
    <n v="1"/>
    <s v="Home"/>
    <x v="16"/>
    <n v="40000"/>
    <n v="470"/>
    <x v="3"/>
    <n v="5"/>
    <x v="2"/>
    <n v="1"/>
    <s v="Unemployed"/>
    <n v="1"/>
    <x v="2"/>
    <n v="5"/>
    <n v="5"/>
    <n v="5"/>
    <n v="5"/>
    <n v="1"/>
    <s v="Y"/>
    <n v="0"/>
    <x v="3"/>
  </r>
  <r>
    <s v="22.10.19"/>
    <d v="1899-12-30T14:26:00"/>
    <m/>
    <s v="P"/>
    <n v="2"/>
    <s v="Road Vehicle"/>
    <n v="4"/>
    <x v="3"/>
    <x v="1"/>
    <n v="2"/>
    <x v="1"/>
    <s v="LUKINDA"/>
    <s v="KABALE"/>
    <s v="UG"/>
    <n v="1"/>
    <s v="Home"/>
    <s v="KABALE TOWN"/>
    <s v="KABALE"/>
    <s v="UG"/>
    <n v="4"/>
    <s v="Commercial"/>
    <x v="0"/>
    <n v="4000"/>
    <n v="32"/>
    <x v="4"/>
    <n v="0.33"/>
    <x v="3"/>
    <n v="3"/>
    <s v="Artisan/Domestic"/>
    <n v="1"/>
    <x v="2"/>
    <n v="4"/>
    <n v="1"/>
    <n v="1"/>
    <n v="1"/>
    <n v="1"/>
    <s v="Y"/>
    <n v="0"/>
    <x v="3"/>
  </r>
  <r>
    <s v="22.10.19"/>
    <d v="1899-12-30T14:30:00"/>
    <m/>
    <s v="P"/>
    <n v="2"/>
    <s v="Road Vehicle"/>
    <n v="4"/>
    <x v="3"/>
    <x v="1"/>
    <n v="2"/>
    <x v="1"/>
    <s v="MUKIGUGWE"/>
    <s v="KABALE"/>
    <s v="UG"/>
    <n v="1"/>
    <s v="Home"/>
    <s v="KABALE TOWN"/>
    <s v="KABALE"/>
    <s v="UG"/>
    <n v="2"/>
    <s v="Work"/>
    <x v="1"/>
    <n v="10000"/>
    <n v="3"/>
    <x v="0"/>
    <n v="0.28000000000000003"/>
    <x v="3"/>
    <n v="4"/>
    <s v="Office Worker"/>
    <n v="2"/>
    <x v="3"/>
    <n v="1"/>
    <n v="1"/>
    <n v="1"/>
    <n v="1"/>
    <n v="5"/>
    <s v="Y"/>
    <n v="2000"/>
    <x v="1"/>
  </r>
  <r>
    <s v="22.10.19"/>
    <d v="1899-12-30T14:46:00"/>
    <m/>
    <s v="P"/>
    <n v="2"/>
    <s v="Road Vehicle"/>
    <n v="4"/>
    <x v="3"/>
    <x v="1"/>
    <n v="2"/>
    <x v="1"/>
    <s v="KABALE TOWN"/>
    <s v="KABALE"/>
    <s v="UG"/>
    <n v="4"/>
    <s v="Commercial"/>
    <s v="KABALE TOWN"/>
    <s v="KABALE"/>
    <s v="UG"/>
    <n v="4"/>
    <s v="Commercial"/>
    <x v="18"/>
    <n v="1000"/>
    <n v="1"/>
    <x v="0"/>
    <n v="0.06"/>
    <x v="3"/>
    <n v="6"/>
    <s v="Businessman"/>
    <n v="2"/>
    <x v="3"/>
    <n v="1"/>
    <n v="1"/>
    <n v="1"/>
    <n v="1"/>
    <n v="1"/>
    <s v="Y"/>
    <n v="2000"/>
    <x v="1"/>
  </r>
  <r>
    <s v="22.10.19"/>
    <d v="1899-12-30T15:17:00"/>
    <m/>
    <s v="P"/>
    <n v="2"/>
    <s v="Road Vehicle"/>
    <n v="4"/>
    <x v="3"/>
    <x v="1"/>
    <n v="2"/>
    <x v="1"/>
    <s v="KABALE TOWN"/>
    <s v="KABALE"/>
    <s v="UG"/>
    <n v="4"/>
    <s v="Commercial"/>
    <s v="KAMWENGE TOWN"/>
    <s v="KAMWENGE"/>
    <s v="UG"/>
    <n v="4"/>
    <s v="Commercial"/>
    <x v="18"/>
    <n v="10000"/>
    <n v="130"/>
    <x v="2"/>
    <n v="3"/>
    <x v="0"/>
    <n v="5"/>
    <s v="Professional"/>
    <n v="2"/>
    <x v="3"/>
    <n v="5"/>
    <n v="1"/>
    <n v="5"/>
    <n v="5"/>
    <n v="5"/>
    <s v="Y"/>
    <n v="1000"/>
    <x v="4"/>
  </r>
  <r>
    <s v="22.10.19"/>
    <d v="1899-12-30T14:23:00"/>
    <m/>
    <s v="P"/>
    <n v="2"/>
    <s v="Road Vehicle"/>
    <n v="4"/>
    <x v="3"/>
    <x v="1"/>
    <n v="2"/>
    <x v="1"/>
    <s v="KABALE TOWN"/>
    <s v="KABALE"/>
    <s v="UG"/>
    <n v="2"/>
    <s v="Work"/>
    <s v="KAMENZI TOWN"/>
    <s v="KAMENZI"/>
    <s v="UG"/>
    <n v="3"/>
    <s v="Study"/>
    <x v="33"/>
    <n v="10000"/>
    <n v="90"/>
    <x v="1"/>
    <n v="2"/>
    <x v="0"/>
    <n v="8"/>
    <s v="Student"/>
    <n v="1"/>
    <x v="2"/>
    <n v="2"/>
    <n v="4"/>
    <n v="1"/>
    <n v="2"/>
    <n v="2"/>
    <s v="Y"/>
    <n v="0"/>
    <x v="3"/>
  </r>
  <r>
    <s v="22.10.19"/>
    <d v="1899-12-30T10:40:00"/>
    <m/>
    <s v="P"/>
    <n v="2"/>
    <s v="Road Vehicle"/>
    <n v="4"/>
    <x v="3"/>
    <x v="1"/>
    <n v="2"/>
    <x v="1"/>
    <s v="KABALE TOWN"/>
    <s v="KABALE"/>
    <s v="UG"/>
    <n v="2"/>
    <s v="Work"/>
    <s v="KITWE "/>
    <s v="MBARARA"/>
    <s v="UG"/>
    <n v="1"/>
    <s v="Home"/>
    <x v="4"/>
    <n v="15000"/>
    <n v="150"/>
    <x v="2"/>
    <n v="2"/>
    <x v="0"/>
    <n v="6"/>
    <s v="Businessman"/>
    <n v="1"/>
    <x v="2"/>
    <n v="2"/>
    <n v="2"/>
    <n v="2"/>
    <n v="2"/>
    <n v="2"/>
    <s v="Y"/>
    <n v="0"/>
    <x v="3"/>
  </r>
  <r>
    <s v="22.10.19"/>
    <d v="1899-12-30T10:21:00"/>
    <m/>
    <s v="P"/>
    <n v="2"/>
    <s v="Road Vehicle"/>
    <n v="4"/>
    <x v="3"/>
    <x v="1"/>
    <n v="2"/>
    <x v="1"/>
    <s v="KABALE TOWN"/>
    <s v="KABALE"/>
    <s v="UG"/>
    <n v="2"/>
    <s v="Work"/>
    <s v="RUKUNGIRI TOWN"/>
    <s v="RUKUNGIRI"/>
    <s v="UG"/>
    <n v="1"/>
    <s v="Home"/>
    <x v="4"/>
    <n v="15000"/>
    <n v="150"/>
    <x v="2"/>
    <n v="2"/>
    <x v="0"/>
    <n v="6"/>
    <s v="Businessman"/>
    <n v="1"/>
    <x v="2"/>
    <n v="2"/>
    <n v="1"/>
    <n v="2"/>
    <n v="2"/>
    <n v="2"/>
    <s v="Y"/>
    <n v="0"/>
    <x v="3"/>
  </r>
  <r>
    <s v="23.10.19"/>
    <d v="1899-12-30T07:42:00"/>
    <m/>
    <s v="P"/>
    <n v="2"/>
    <s v="Road Vehicle"/>
    <n v="4"/>
    <x v="3"/>
    <x v="1"/>
    <n v="2"/>
    <x v="1"/>
    <s v="KABALE TOWN"/>
    <s v="KABALE"/>
    <s v="UG"/>
    <n v="6"/>
    <s v="Leisure/Social"/>
    <s v="HOIMA TOWN"/>
    <s v="HOIMA"/>
    <s v="UG"/>
    <n v="6"/>
    <s v="Leisure/Social"/>
    <x v="7"/>
    <n v="50000"/>
    <n v="480"/>
    <x v="3"/>
    <n v="7"/>
    <x v="2"/>
    <n v="1"/>
    <s v="Unemployed"/>
    <n v="1"/>
    <x v="2"/>
    <n v="1"/>
    <n v="1"/>
    <n v="1"/>
    <n v="5"/>
    <n v="5"/>
    <s v="Y"/>
    <n v="0"/>
    <x v="3"/>
  </r>
  <r>
    <s v="23.10.19"/>
    <d v="1899-12-30T07:58:00"/>
    <m/>
    <s v="D"/>
    <n v="2"/>
    <s v="Road Vehicle"/>
    <n v="4"/>
    <x v="3"/>
    <x v="1"/>
    <n v="2"/>
    <x v="1"/>
    <s v="LUKINDA"/>
    <s v="KABALE"/>
    <s v="UG"/>
    <n v="1"/>
    <s v="Home"/>
    <s v="KABALE TOWN"/>
    <s v="KABALE"/>
    <s v="UG"/>
    <n v="2"/>
    <s v="Work"/>
    <x v="1"/>
    <n v="10000"/>
    <n v="40"/>
    <x v="5"/>
    <n v="0.5"/>
    <x v="4"/>
    <n v="4"/>
    <s v="Office Worker"/>
    <n v="2"/>
    <x v="3"/>
    <n v="1"/>
    <n v="1"/>
    <n v="1"/>
    <n v="5"/>
    <n v="5"/>
    <s v="Y"/>
    <n v="2000"/>
    <x v="1"/>
  </r>
  <r>
    <s v="23.10.19"/>
    <d v="1899-12-30T08:24:00"/>
    <m/>
    <s v="P"/>
    <n v="2"/>
    <s v="Road Vehicle"/>
    <n v="4"/>
    <x v="3"/>
    <x v="1"/>
    <n v="2"/>
    <x v="1"/>
    <s v="KABALE TOWN"/>
    <s v="KABALE"/>
    <s v="UG"/>
    <n v="1"/>
    <s v="Home"/>
    <s v="HOIMA TOWN"/>
    <s v="HOIMA"/>
    <s v="UG"/>
    <n v="6"/>
    <s v="Leisure/Social"/>
    <x v="8"/>
    <n v="40000"/>
    <n v="487"/>
    <x v="3"/>
    <n v="7"/>
    <x v="2"/>
    <n v="2"/>
    <s v="Manual Labour"/>
    <n v="2"/>
    <x v="3"/>
    <n v="1"/>
    <n v="1"/>
    <n v="5"/>
    <n v="5"/>
    <n v="5"/>
    <s v="Y"/>
    <n v="2000"/>
    <x v="1"/>
  </r>
  <r>
    <s v="23.10.19"/>
    <d v="1899-12-30T09:00:00"/>
    <m/>
    <s v="P"/>
    <n v="2"/>
    <s v="Road Vehicle"/>
    <n v="4"/>
    <x v="3"/>
    <x v="1"/>
    <n v="2"/>
    <x v="1"/>
    <s v="KABALE TOWN"/>
    <s v="KABALE"/>
    <s v="UG"/>
    <n v="1"/>
    <s v="Home"/>
    <s v="KAMPALA TOWN"/>
    <s v="KAMPALA"/>
    <s v="UG"/>
    <n v="4"/>
    <s v="Commercial"/>
    <x v="0"/>
    <n v="30000"/>
    <n v="340"/>
    <x v="3"/>
    <n v="5"/>
    <x v="2"/>
    <n v="6"/>
    <s v="Businessman"/>
    <n v="3"/>
    <x v="1"/>
    <n v="1"/>
    <n v="1"/>
    <n v="5"/>
    <n v="5"/>
    <n v="5"/>
    <s v="Y"/>
    <n v="5000"/>
    <x v="2"/>
  </r>
  <r>
    <s v="23.10.19"/>
    <d v="1899-12-30T09:17:00"/>
    <m/>
    <s v="P"/>
    <n v="2"/>
    <s v="Road Vehicle"/>
    <n v="4"/>
    <x v="3"/>
    <x v="1"/>
    <n v="2"/>
    <x v="1"/>
    <s v="KABALE TOWN"/>
    <s v="KABALE"/>
    <s v="UG"/>
    <n v="1"/>
    <s v="Home"/>
    <s v="HOIMA TOWN"/>
    <s v="HOIMA"/>
    <s v="UG"/>
    <n v="2"/>
    <s v="Work"/>
    <x v="1"/>
    <n v="50000"/>
    <n v="448"/>
    <x v="3"/>
    <n v="7"/>
    <x v="2"/>
    <n v="6"/>
    <s v="Businessman"/>
    <n v="2"/>
    <x v="3"/>
    <n v="1"/>
    <n v="5"/>
    <n v="5"/>
    <n v="5"/>
    <n v="5"/>
    <s v="Y"/>
    <n v="3000"/>
    <x v="0"/>
  </r>
  <r>
    <s v="23.10.19"/>
    <d v="1899-12-30T13:26:00"/>
    <m/>
    <s v="P"/>
    <n v="2"/>
    <s v="Road Vehicle"/>
    <n v="4"/>
    <x v="3"/>
    <x v="1"/>
    <n v="2"/>
    <x v="1"/>
    <s v="KABALE TOWN"/>
    <s v="KABALE"/>
    <s v="UG"/>
    <n v="1"/>
    <s v="Home"/>
    <s v="MBARARA TOWN"/>
    <s v="MBARARA"/>
    <s v="UG"/>
    <n v="6"/>
    <s v="Leisure/Social"/>
    <x v="8"/>
    <n v="15000"/>
    <n v="139"/>
    <x v="2"/>
    <n v="1.5"/>
    <x v="1"/>
    <n v="6"/>
    <s v="Businessman"/>
    <n v="3"/>
    <x v="1"/>
    <n v="1"/>
    <n v="1"/>
    <n v="1"/>
    <n v="1"/>
    <n v="1"/>
    <s v="Y"/>
    <n v="2000"/>
    <x v="1"/>
  </r>
  <r>
    <s v="23.10.19"/>
    <d v="1899-12-30T14:29:00"/>
    <m/>
    <s v="P"/>
    <n v="2"/>
    <s v="Road Vehicle"/>
    <n v="4"/>
    <x v="3"/>
    <x v="1"/>
    <n v="2"/>
    <x v="1"/>
    <s v="KABALE TOWN"/>
    <s v="KABALE"/>
    <s v="UG"/>
    <n v="1"/>
    <s v="Home"/>
    <s v="KITWE "/>
    <s v="MBARARA"/>
    <s v="UG"/>
    <n v="4"/>
    <s v="Commercial"/>
    <x v="0"/>
    <n v="15000"/>
    <n v="40"/>
    <x v="5"/>
    <n v="0.66"/>
    <x v="4"/>
    <n v="6"/>
    <s v="Businessman"/>
    <n v="2"/>
    <x v="3"/>
    <n v="1"/>
    <n v="1"/>
    <n v="1"/>
    <n v="1"/>
    <n v="1"/>
    <s v="Y"/>
    <n v="5000"/>
    <x v="2"/>
  </r>
  <r>
    <s v="23.10.19"/>
    <d v="1899-12-30T15:50:00"/>
    <m/>
    <s v="P"/>
    <n v="2"/>
    <s v="Road Vehicle"/>
    <n v="4"/>
    <x v="3"/>
    <x v="1"/>
    <n v="2"/>
    <x v="1"/>
    <s v="KABALE TOWN"/>
    <s v="KABALE"/>
    <s v="UG"/>
    <n v="2"/>
    <s v="Work"/>
    <s v="MBARARA TOWN"/>
    <s v="MBARARA"/>
    <s v="UG"/>
    <n v="1"/>
    <s v="Home"/>
    <x v="4"/>
    <n v="10000"/>
    <n v="95"/>
    <x v="1"/>
    <n v="2.5"/>
    <x v="0"/>
    <n v="6"/>
    <s v="Businessman"/>
    <n v="1"/>
    <x v="2"/>
    <n v="5"/>
    <n v="4"/>
    <n v="2"/>
    <n v="2"/>
    <n v="2"/>
    <s v="Y"/>
    <n v="0"/>
    <x v="3"/>
  </r>
  <r>
    <s v="23.10.19"/>
    <d v="1899-12-30T15:30:00"/>
    <m/>
    <s v="P"/>
    <n v="2"/>
    <s v="Road Vehicle"/>
    <n v="4"/>
    <x v="3"/>
    <x v="1"/>
    <n v="2"/>
    <x v="1"/>
    <s v="KABALE TOWN"/>
    <s v="KABALE"/>
    <s v="UG"/>
    <n v="2"/>
    <s v="Work"/>
    <s v="MUKO"/>
    <s v="KABALE"/>
    <s v="UG"/>
    <n v="1"/>
    <s v="Home"/>
    <x v="4"/>
    <n v="7000"/>
    <n v="48"/>
    <x v="5"/>
    <n v="1.5"/>
    <x v="1"/>
    <n v="6"/>
    <s v="Businessman"/>
    <n v="1"/>
    <x v="2"/>
    <n v="2"/>
    <n v="2"/>
    <n v="2"/>
    <n v="2"/>
    <n v="2"/>
    <s v="Y"/>
    <n v="0"/>
    <x v="3"/>
  </r>
  <r>
    <s v="23.10.19"/>
    <d v="1899-12-30T14:28:00"/>
    <m/>
    <s v="P"/>
    <n v="2"/>
    <s v="Road Vehicle"/>
    <n v="4"/>
    <x v="3"/>
    <x v="1"/>
    <n v="2"/>
    <x v="1"/>
    <s v="KABALE TOWN"/>
    <s v="KABALE"/>
    <s v="UG"/>
    <n v="2"/>
    <s v="Work"/>
    <s v="KASHERERE"/>
    <s v="KABALE"/>
    <s v="UG"/>
    <n v="1"/>
    <s v="Home"/>
    <x v="4"/>
    <n v="5000"/>
    <n v="45"/>
    <x v="5"/>
    <n v="1"/>
    <x v="1"/>
    <n v="6"/>
    <s v="Businessman"/>
    <n v="1"/>
    <x v="2"/>
    <n v="2"/>
    <n v="4"/>
    <n v="2"/>
    <n v="2"/>
    <n v="2"/>
    <s v="Y"/>
    <n v="0"/>
    <x v="3"/>
  </r>
  <r>
    <s v="23.10.19"/>
    <d v="1899-12-30T14:28:00"/>
    <m/>
    <s v="P"/>
    <n v="2"/>
    <s v="Road Vehicle"/>
    <n v="4"/>
    <x v="3"/>
    <x v="1"/>
    <n v="2"/>
    <x v="1"/>
    <s v="KABALE TOWN"/>
    <s v="KABALE"/>
    <s v="UG"/>
    <n v="2"/>
    <s v="Work"/>
    <s v="KASHERERE"/>
    <s v="KABALE"/>
    <s v="UG"/>
    <n v="1"/>
    <s v="Home"/>
    <x v="4"/>
    <n v="5000"/>
    <n v="45"/>
    <x v="5"/>
    <n v="1"/>
    <x v="1"/>
    <n v="6"/>
    <s v="Businessman"/>
    <n v="1"/>
    <x v="2"/>
    <n v="2"/>
    <n v="4"/>
    <n v="2"/>
    <n v="2"/>
    <n v="2"/>
    <s v="Y"/>
    <n v="0"/>
    <x v="3"/>
  </r>
  <r>
    <s v="23.10.19"/>
    <d v="1899-12-30T13:38:00"/>
    <m/>
    <s v="P"/>
    <n v="2"/>
    <s v="Road Vehicle"/>
    <n v="4"/>
    <x v="3"/>
    <x v="1"/>
    <n v="2"/>
    <x v="1"/>
    <s v="KABALE TOWN"/>
    <s v="KABALE"/>
    <s v="UG"/>
    <n v="2"/>
    <s v="Work"/>
    <s v="KABUYANDA TOWN"/>
    <s v="KABUYANDA"/>
    <s v="UG"/>
    <n v="1"/>
    <s v="Home"/>
    <x v="4"/>
    <n v="10000"/>
    <n v="95"/>
    <x v="1"/>
    <n v="2.5"/>
    <x v="0"/>
    <n v="6"/>
    <s v="Businessman"/>
    <n v="1"/>
    <x v="2"/>
    <n v="5"/>
    <n v="2"/>
    <n v="1"/>
    <n v="2"/>
    <n v="2"/>
    <s v="Y"/>
    <n v="0"/>
    <x v="3"/>
  </r>
  <r>
    <s v="23.10.19"/>
    <d v="1899-12-30T12:28:00"/>
    <m/>
    <s v="P"/>
    <n v="2"/>
    <s v="Road Vehicle"/>
    <n v="4"/>
    <x v="3"/>
    <x v="1"/>
    <n v="2"/>
    <x v="1"/>
    <s v="KABALE TOWN"/>
    <s v="KABALE"/>
    <s v="UG"/>
    <n v="2"/>
    <s v="Work"/>
    <s v="NTUNGAMO TOWN"/>
    <s v="NTUNGAMO"/>
    <s v="UG"/>
    <n v="1"/>
    <s v="Home"/>
    <x v="4"/>
    <n v="7000"/>
    <n v="68"/>
    <x v="5"/>
    <n v="1.5"/>
    <x v="1"/>
    <n v="6"/>
    <s v="Businessman"/>
    <n v="1"/>
    <x v="2"/>
    <n v="2"/>
    <n v="2"/>
    <n v="2"/>
    <n v="2"/>
    <n v="2"/>
    <s v="Y"/>
    <n v="0"/>
    <x v="3"/>
  </r>
  <r>
    <s v="23.10.19"/>
    <d v="1899-12-30T07:42:00"/>
    <m/>
    <s v="P"/>
    <n v="2"/>
    <s v="Road Vehicle"/>
    <n v="4"/>
    <x v="3"/>
    <x v="1"/>
    <n v="2"/>
    <x v="1"/>
    <s v="KABALE TOWN"/>
    <s v="KABALE"/>
    <s v="UG"/>
    <n v="1"/>
    <s v="Home"/>
    <s v="KAMENZI TOWN"/>
    <s v="KAMENZI"/>
    <s v="UG"/>
    <n v="4"/>
    <s v="Commercial"/>
    <x v="0"/>
    <n v="10000"/>
    <n v="95"/>
    <x v="1"/>
    <n v="2.5"/>
    <x v="0"/>
    <n v="6"/>
    <s v="Businessman"/>
    <n v="1"/>
    <x v="2"/>
    <n v="2"/>
    <n v="2"/>
    <n v="2"/>
    <n v="5"/>
    <n v="5"/>
    <s v="Y"/>
    <n v="0"/>
    <x v="3"/>
  </r>
  <r>
    <s v="23.10.19"/>
    <d v="1899-12-30T07:28:00"/>
    <m/>
    <s v="P"/>
    <n v="2"/>
    <s v="Road Vehicle"/>
    <n v="4"/>
    <x v="3"/>
    <x v="1"/>
    <n v="2"/>
    <x v="1"/>
    <s v="KABALE TOWN"/>
    <s v="KABALE"/>
    <s v="UG"/>
    <n v="2"/>
    <s v="Work"/>
    <s v="LUBAALE TOWN"/>
    <s v="LUBAALE"/>
    <s v="UG"/>
    <n v="1"/>
    <s v="Home"/>
    <x v="4"/>
    <n v="5000"/>
    <n v="30"/>
    <x v="4"/>
    <n v="1"/>
    <x v="1"/>
    <n v="6"/>
    <s v="Businessman"/>
    <n v="1"/>
    <x v="2"/>
    <n v="2"/>
    <n v="4"/>
    <n v="1"/>
    <n v="2"/>
    <n v="2"/>
    <s v="Y"/>
    <n v="0"/>
    <x v="3"/>
  </r>
  <r>
    <s v="23.10.19"/>
    <d v="1899-12-30T07:00:00"/>
    <s v="UAR 322R"/>
    <s v="D"/>
    <n v="2"/>
    <s v="Road Vehicle"/>
    <n v="4"/>
    <x v="3"/>
    <x v="1"/>
    <n v="2"/>
    <x v="1"/>
    <s v="KABALE TOWN"/>
    <s v="KABALE"/>
    <s v="UG"/>
    <n v="2"/>
    <s v="Work"/>
    <s v="LUKINDA"/>
    <s v="KABALE"/>
    <s v="UG"/>
    <n v="8"/>
    <s v="Others"/>
    <x v="19"/>
    <n v="30000"/>
    <n v="15"/>
    <x v="6"/>
    <n v="0.83"/>
    <x v="4"/>
    <n v="10"/>
    <s v="Other"/>
    <n v="1"/>
    <x v="2"/>
    <n v="5"/>
    <n v="4"/>
    <n v="2"/>
    <n v="5"/>
    <n v="2"/>
    <s v="Y"/>
    <n v="0"/>
    <x v="3"/>
  </r>
  <r>
    <s v="21.10.19"/>
    <d v="1899-12-30T16:56:00"/>
    <m/>
    <s v="P"/>
    <n v="2"/>
    <s v="Road Vehicle"/>
    <n v="4"/>
    <x v="3"/>
    <x v="0"/>
    <n v="2"/>
    <x v="1"/>
    <s v="MBARARA TOWN"/>
    <s v="MBARARA"/>
    <s v="UG"/>
    <n v="7"/>
    <s v="Hospital"/>
    <s v="KABALE TOWN"/>
    <s v="KABALE"/>
    <s v="UG"/>
    <n v="1"/>
    <s v="Home"/>
    <x v="27"/>
    <n v="15000"/>
    <n v="136"/>
    <x v="2"/>
    <n v="3"/>
    <x v="0"/>
    <n v="7"/>
    <s v="Farmer"/>
    <n v="2"/>
    <x v="3"/>
    <n v="1"/>
    <n v="1"/>
    <n v="1"/>
    <n v="2"/>
    <n v="2"/>
    <s v="Y"/>
    <n v="0"/>
    <x v="3"/>
  </r>
  <r>
    <s v="21.10.19"/>
    <d v="1899-12-30T15:38:00"/>
    <s v="UBE 709R"/>
    <s v="D"/>
    <n v="2"/>
    <s v="Road Vehicle"/>
    <n v="4"/>
    <x v="3"/>
    <x v="0"/>
    <n v="2"/>
    <x v="1"/>
    <s v="LUKINDA"/>
    <s v="KABALE"/>
    <s v="UG"/>
    <n v="2"/>
    <s v="Work"/>
    <s v="KABALE TOWN"/>
    <s v="KABALE"/>
    <s v="UG"/>
    <n v="1"/>
    <s v="Home"/>
    <x v="4"/>
    <n v="7000"/>
    <n v="54"/>
    <x v="5"/>
    <n v="1"/>
    <x v="1"/>
    <n v="6"/>
    <s v="Businessman"/>
    <n v="2"/>
    <x v="3"/>
    <n v="4"/>
    <n v="4"/>
    <n v="4"/>
    <n v="3"/>
    <n v="4"/>
    <s v="Y"/>
    <n v="0"/>
    <x v="3"/>
  </r>
  <r>
    <s v="21.10.19"/>
    <d v="1899-12-30T14:09:00"/>
    <m/>
    <s v="P"/>
    <n v="2"/>
    <s v="Road Vehicle"/>
    <n v="4"/>
    <x v="3"/>
    <x v="0"/>
    <n v="2"/>
    <x v="1"/>
    <s v="KATUNA"/>
    <s v="KABALE"/>
    <s v="UG"/>
    <n v="1"/>
    <s v="Home"/>
    <s v="KABALE TOWN"/>
    <s v="KABALE"/>
    <s v="UG"/>
    <n v="4"/>
    <s v="Commercial"/>
    <x v="0"/>
    <n v="4000"/>
    <n v="40"/>
    <x v="5"/>
    <n v="0.33"/>
    <x v="3"/>
    <n v="7"/>
    <s v="Farmer"/>
    <n v="2"/>
    <x v="3"/>
    <n v="2"/>
    <n v="2"/>
    <n v="2"/>
    <n v="1"/>
    <n v="1"/>
    <s v="Y"/>
    <n v="1000"/>
    <x v="4"/>
  </r>
  <r>
    <s v="21.10.19"/>
    <d v="1899-12-30T17:26:00"/>
    <m/>
    <s v="P"/>
    <n v="2"/>
    <s v="Road Vehicle"/>
    <n v="4"/>
    <x v="3"/>
    <x v="0"/>
    <n v="2"/>
    <x v="1"/>
    <s v="KABALE TOWN"/>
    <s v="KABALE"/>
    <s v="UG"/>
    <n v="1"/>
    <s v="Home"/>
    <s v="ISINGIRO TOWN"/>
    <s v="ISINGIRO"/>
    <s v="UG"/>
    <n v="4"/>
    <s v="Commercial"/>
    <x v="0"/>
    <n v="30000"/>
    <n v="480"/>
    <x v="3"/>
    <n v="4"/>
    <x v="2"/>
    <n v="5"/>
    <s v="Professional"/>
    <n v="2"/>
    <x v="3"/>
    <n v="5"/>
    <n v="5"/>
    <n v="5"/>
    <n v="5"/>
    <n v="5"/>
    <s v="Y"/>
    <n v="1000"/>
    <x v="4"/>
  </r>
  <r>
    <s v="21.10.19"/>
    <d v="1899-12-30T16:49:00"/>
    <m/>
    <s v="P"/>
    <n v="2"/>
    <s v="Road Vehicle"/>
    <n v="4"/>
    <x v="3"/>
    <x v="0"/>
    <n v="2"/>
    <x v="1"/>
    <s v="KABALE TOWN"/>
    <s v="KABALE"/>
    <s v="UG"/>
    <n v="1"/>
    <s v="Home"/>
    <s v="ISINGIRO TOWN"/>
    <s v="ISINGIRO"/>
    <s v="UG"/>
    <n v="2"/>
    <s v="Work"/>
    <x v="1"/>
    <n v="30000"/>
    <n v="470"/>
    <x v="3"/>
    <n v="5"/>
    <x v="2"/>
    <n v="4"/>
    <s v="Office Worker"/>
    <n v="2"/>
    <x v="3"/>
    <n v="5"/>
    <n v="5"/>
    <n v="5"/>
    <n v="5"/>
    <n v="5"/>
    <s v="Y"/>
    <n v="5000"/>
    <x v="2"/>
  </r>
  <r>
    <s v="21.10.19"/>
    <d v="1899-12-30T16:37:00"/>
    <s v="UAR 717C"/>
    <s v="D"/>
    <n v="2"/>
    <s v="Road Vehicle"/>
    <n v="4"/>
    <x v="3"/>
    <x v="0"/>
    <n v="2"/>
    <x v="1"/>
    <s v="KABALE TOWN"/>
    <s v="KABALE"/>
    <s v="UG"/>
    <n v="1"/>
    <s v="Home"/>
    <s v="MBARARA TOWN"/>
    <s v="MBARARA"/>
    <s v="UG"/>
    <n v="4"/>
    <s v="Commercial"/>
    <x v="0"/>
    <n v="100000"/>
    <n v="270"/>
    <x v="3"/>
    <n v="2"/>
    <x v="0"/>
    <n v="2"/>
    <s v="Manual Labour"/>
    <n v="2"/>
    <x v="3"/>
    <n v="1"/>
    <n v="1"/>
    <n v="1"/>
    <n v="1"/>
    <n v="1"/>
    <s v="Y"/>
    <n v="1000"/>
    <x v="4"/>
  </r>
  <r>
    <s v="22.10.19"/>
    <d v="1899-12-30T09:31:00"/>
    <m/>
    <s v="P"/>
    <n v="2"/>
    <s v="Road Vehicle"/>
    <n v="4"/>
    <x v="3"/>
    <x v="0"/>
    <n v="2"/>
    <x v="1"/>
    <s v="KABALE TOWN"/>
    <s v="KABALE"/>
    <s v="UG"/>
    <n v="1"/>
    <s v="Home"/>
    <s v="RUKINDO"/>
    <s v="KIBALE"/>
    <s v="UG"/>
    <n v="1"/>
    <s v="Home"/>
    <x v="16"/>
    <n v="50000"/>
    <n v="340"/>
    <x v="3"/>
    <n v="6"/>
    <x v="2"/>
    <n v="1"/>
    <s v="Unemployed"/>
    <n v="1"/>
    <x v="2"/>
    <n v="5"/>
    <n v="3"/>
    <n v="1"/>
    <n v="1"/>
    <n v="5"/>
    <s v="Y"/>
    <n v="1000"/>
    <x v="4"/>
  </r>
  <r>
    <s v="22.10.19"/>
    <d v="1899-12-30T10:39:00"/>
    <s v="UBF 388Y"/>
    <s v="D"/>
    <n v="2"/>
    <s v="Road Vehicle"/>
    <n v="4"/>
    <x v="3"/>
    <x v="0"/>
    <n v="2"/>
    <x v="1"/>
    <s v="KABALE TOWN"/>
    <s v="KABALE"/>
    <s v="UG"/>
    <n v="4"/>
    <s v="Commercial"/>
    <s v="KAGADI TOWN"/>
    <s v="KAGADI"/>
    <s v="UG"/>
    <n v="4"/>
    <s v="Commercial"/>
    <x v="18"/>
    <n v="200000"/>
    <n v="240"/>
    <x v="3"/>
    <n v="4"/>
    <x v="2"/>
    <n v="5"/>
    <s v="Professional"/>
    <n v="2"/>
    <x v="3"/>
    <n v="5"/>
    <n v="5"/>
    <n v="5"/>
    <n v="5"/>
    <n v="1"/>
    <s v="Y"/>
    <n v="2000"/>
    <x v="1"/>
  </r>
  <r>
    <s v="22.10.19"/>
    <d v="1899-12-30T11:02:00"/>
    <m/>
    <s v="D"/>
    <n v="2"/>
    <s v="Road Vehicle"/>
    <n v="4"/>
    <x v="3"/>
    <x v="0"/>
    <n v="2"/>
    <x v="1"/>
    <s v="KATUNA"/>
    <s v="KABALE"/>
    <s v="UG"/>
    <n v="1"/>
    <s v="Home"/>
    <s v="NTUNGAMO TOWN"/>
    <s v="NTUNGAMO"/>
    <s v="UG"/>
    <n v="2"/>
    <s v="Work"/>
    <x v="1"/>
    <n v="120000"/>
    <n v="109"/>
    <x v="2"/>
    <n v="1.5"/>
    <x v="1"/>
    <n v="4"/>
    <s v="Office Worker"/>
    <n v="2"/>
    <x v="3"/>
    <n v="1"/>
    <n v="1"/>
    <n v="1"/>
    <n v="1"/>
    <n v="1"/>
    <s v="Y"/>
    <n v="5000"/>
    <x v="2"/>
  </r>
  <r>
    <s v="22.10.19"/>
    <d v="1899-12-30T11:36:00"/>
    <m/>
    <s v="P"/>
    <n v="2"/>
    <s v="Road Vehicle"/>
    <n v="4"/>
    <x v="3"/>
    <x v="0"/>
    <n v="2"/>
    <x v="1"/>
    <s v="LUBAALE"/>
    <s v="KABALE"/>
    <s v="UG"/>
    <n v="1"/>
    <s v="Home"/>
    <s v="KABALE TOWN"/>
    <s v="KABALE"/>
    <s v="UG"/>
    <n v="3"/>
    <s v="Study"/>
    <x v="25"/>
    <n v="5000"/>
    <n v="32"/>
    <x v="4"/>
    <n v="0.33"/>
    <x v="3"/>
    <n v="5"/>
    <s v="Professional"/>
    <n v="2"/>
    <x v="3"/>
    <n v="1"/>
    <n v="1"/>
    <n v="5"/>
    <n v="5"/>
    <n v="5"/>
    <s v="Y"/>
    <n v="2000"/>
    <x v="1"/>
  </r>
  <r>
    <s v="22.10.19"/>
    <d v="1899-12-30T12:44:00"/>
    <s v="UAX 513Q"/>
    <s v="D"/>
    <n v="2"/>
    <s v="Road Vehicle"/>
    <n v="4"/>
    <x v="3"/>
    <x v="0"/>
    <n v="2"/>
    <x v="1"/>
    <s v="KABALE TOWN"/>
    <s v="KABALE"/>
    <s v="UG"/>
    <n v="4"/>
    <s v="Commercial"/>
    <s v="FORTPORTAL TOWN"/>
    <s v="FORTPORTAL"/>
    <s v="UG"/>
    <n v="4"/>
    <s v="Commercial"/>
    <x v="18"/>
    <n v="100000"/>
    <n v="347"/>
    <x v="3"/>
    <n v="5"/>
    <x v="2"/>
    <n v="5"/>
    <s v="Professional"/>
    <n v="2"/>
    <x v="3"/>
    <n v="5"/>
    <n v="5"/>
    <n v="5"/>
    <n v="5"/>
    <n v="5"/>
    <s v="Y"/>
    <n v="1000"/>
    <x v="4"/>
  </r>
  <r>
    <s v="22.10.19"/>
    <d v="1899-12-30T13:48:00"/>
    <s v="UAY 513G"/>
    <s v="D"/>
    <n v="2"/>
    <s v="Road Vehicle"/>
    <n v="4"/>
    <x v="3"/>
    <x v="0"/>
    <n v="2"/>
    <x v="1"/>
    <s v="KASINZI"/>
    <s v="KABALE"/>
    <s v="UG"/>
    <n v="4"/>
    <s v="Commercial"/>
    <s v="KABALE TOWN"/>
    <s v="KABALE"/>
    <s v="UG"/>
    <n v="4"/>
    <s v="Commercial"/>
    <x v="18"/>
    <n v="20000"/>
    <n v="90"/>
    <x v="1"/>
    <n v="1"/>
    <x v="1"/>
    <n v="5"/>
    <s v="Professional"/>
    <n v="2"/>
    <x v="3"/>
    <n v="5"/>
    <n v="4"/>
    <n v="5"/>
    <n v="5"/>
    <n v="1"/>
    <s v="Y"/>
    <n v="2000"/>
    <x v="1"/>
  </r>
  <r>
    <s v="22.10.19"/>
    <d v="1899-12-30T16:49:00"/>
    <m/>
    <s v="P"/>
    <n v="2"/>
    <s v="Road Vehicle"/>
    <n v="4"/>
    <x v="3"/>
    <x v="0"/>
    <n v="2"/>
    <x v="1"/>
    <s v="LUBANYA"/>
    <s v="KABALE"/>
    <s v="UG"/>
    <n v="1"/>
    <s v="Home"/>
    <s v="FORTPORTAL TOWN"/>
    <s v="FORTPORTAL"/>
    <s v="UG"/>
    <n v="6"/>
    <s v="Leisure/Social"/>
    <x v="8"/>
    <n v="40000"/>
    <n v="480"/>
    <x v="3"/>
    <n v="5"/>
    <x v="2"/>
    <n v="1"/>
    <s v="Unemployed"/>
    <n v="1"/>
    <x v="2"/>
    <n v="1"/>
    <n v="1"/>
    <n v="5"/>
    <n v="5"/>
    <n v="5"/>
    <s v="Y"/>
    <n v="1000"/>
    <x v="4"/>
  </r>
  <r>
    <s v="22.10.19"/>
    <d v="1899-12-30T18:57:00"/>
    <s v="UBE 119P"/>
    <s v="D"/>
    <n v="2"/>
    <s v="Road Vehicle"/>
    <n v="4"/>
    <x v="3"/>
    <x v="0"/>
    <n v="2"/>
    <x v="1"/>
    <s v="KABALE TOWN"/>
    <s v="KABALE"/>
    <s v="UG"/>
    <n v="4"/>
    <s v="Commercial"/>
    <s v="IBANDA TOWN"/>
    <s v="IBANDA"/>
    <s v="UG"/>
    <n v="4"/>
    <s v="Commercial"/>
    <x v="18"/>
    <n v="70000"/>
    <n v="240"/>
    <x v="3"/>
    <n v="2"/>
    <x v="0"/>
    <n v="5"/>
    <s v="Professional"/>
    <n v="2"/>
    <x v="3"/>
    <n v="1"/>
    <n v="1"/>
    <n v="1"/>
    <n v="1"/>
    <n v="1"/>
    <s v="Y"/>
    <n v="1000"/>
    <x v="4"/>
  </r>
  <r>
    <s v="22.10.19"/>
    <d v="1899-12-30T10:30:00"/>
    <s v="UAZ 672E"/>
    <s v="D"/>
    <n v="2"/>
    <s v="Road Vehicle"/>
    <n v="4"/>
    <x v="3"/>
    <x v="0"/>
    <n v="2"/>
    <x v="1"/>
    <s v="KABALE TOWN"/>
    <s v="KABALE"/>
    <s v="UG"/>
    <n v="2"/>
    <s v="Work"/>
    <s v="KITWE "/>
    <s v="MBARARA"/>
    <s v="UG"/>
    <n v="1"/>
    <s v="Home"/>
    <x v="4"/>
    <n v="100000"/>
    <n v="150"/>
    <x v="2"/>
    <n v="2"/>
    <x v="0"/>
    <n v="5"/>
    <s v="Professional"/>
    <n v="1"/>
    <x v="2"/>
    <n v="2"/>
    <n v="4"/>
    <n v="1"/>
    <n v="2"/>
    <n v="2"/>
    <s v="Y"/>
    <n v="1000"/>
    <x v="4"/>
  </r>
  <r>
    <s v="23.10.19"/>
    <d v="1899-12-30T08:53:00"/>
    <m/>
    <s v="D"/>
    <n v="2"/>
    <s v="Road Vehicle"/>
    <n v="4"/>
    <x v="3"/>
    <x v="0"/>
    <n v="2"/>
    <x v="1"/>
    <s v="KABALE TOWN"/>
    <s v="KABALE"/>
    <s v="UG"/>
    <n v="4"/>
    <s v="Commercial"/>
    <s v="HOIMA TOWN"/>
    <s v="HOIMA"/>
    <s v="UG"/>
    <n v="4"/>
    <s v="Commercial"/>
    <x v="18"/>
    <n v="200000"/>
    <n v="480"/>
    <x v="3"/>
    <n v="7"/>
    <x v="2"/>
    <n v="5"/>
    <s v="Professional"/>
    <n v="2"/>
    <x v="3"/>
    <n v="5"/>
    <n v="1"/>
    <n v="1"/>
    <n v="5"/>
    <n v="2"/>
    <s v="Y"/>
    <n v="2000"/>
    <x v="1"/>
  </r>
  <r>
    <s v="23.10.19"/>
    <d v="1899-12-30T10:58:00"/>
    <m/>
    <s v="P"/>
    <n v="2"/>
    <s v="Road Vehicle"/>
    <n v="4"/>
    <x v="3"/>
    <x v="0"/>
    <n v="2"/>
    <x v="1"/>
    <s v="KABALE TOWN"/>
    <s v="KABALE"/>
    <s v="UG"/>
    <n v="1"/>
    <s v="Home"/>
    <s v="RUKUNGIRI TOWN"/>
    <s v="RUKUNGIRI"/>
    <s v="UG"/>
    <n v="4"/>
    <s v="Commercial"/>
    <x v="0"/>
    <n v="30000"/>
    <n v="121"/>
    <x v="2"/>
    <n v="2"/>
    <x v="0"/>
    <n v="5"/>
    <s v="Professional"/>
    <n v="3"/>
    <x v="1"/>
    <n v="5"/>
    <n v="5"/>
    <n v="5"/>
    <n v="5"/>
    <n v="5"/>
    <s v="Y"/>
    <n v="5000"/>
    <x v="2"/>
  </r>
  <r>
    <s v="23.10.19"/>
    <d v="1899-12-30T11:20:00"/>
    <m/>
    <s v="P"/>
    <n v="2"/>
    <s v="Road Vehicle"/>
    <n v="4"/>
    <x v="3"/>
    <x v="0"/>
    <n v="2"/>
    <x v="1"/>
    <s v="KABALE TOWN"/>
    <s v="KABALE"/>
    <s v="UG"/>
    <n v="1"/>
    <s v="Home"/>
    <s v="KARUGUUZA"/>
    <s v="KIBALE"/>
    <s v="UG"/>
    <n v="4"/>
    <s v="Commercial"/>
    <x v="0"/>
    <n v="70000"/>
    <n v="361"/>
    <x v="3"/>
    <n v="6"/>
    <x v="2"/>
    <n v="6"/>
    <s v="Businessman"/>
    <n v="3"/>
    <x v="1"/>
    <n v="5"/>
    <n v="5"/>
    <n v="5"/>
    <n v="5"/>
    <n v="5"/>
    <s v="Y"/>
    <n v="1000"/>
    <x v="4"/>
  </r>
  <r>
    <s v="23.10.19"/>
    <d v="1899-12-30T11:32:00"/>
    <m/>
    <s v="P"/>
    <n v="2"/>
    <s v="Road Vehicle"/>
    <n v="4"/>
    <x v="3"/>
    <x v="0"/>
    <n v="2"/>
    <x v="1"/>
    <s v="KABALE TOWN"/>
    <s v="KABALE"/>
    <s v="UG"/>
    <n v="1"/>
    <s v="Home"/>
    <s v="KISORO TOWN"/>
    <s v="KISORO"/>
    <s v="UG"/>
    <n v="4"/>
    <s v="Commercial"/>
    <x v="0"/>
    <n v="10000"/>
    <n v="140"/>
    <x v="2"/>
    <n v="2"/>
    <x v="0"/>
    <n v="2"/>
    <s v="Manual Labour"/>
    <n v="2"/>
    <x v="3"/>
    <n v="1"/>
    <n v="1"/>
    <n v="1"/>
    <n v="1"/>
    <n v="1"/>
    <s v="Y"/>
    <n v="1000"/>
    <x v="4"/>
  </r>
  <r>
    <s v="23.10.19"/>
    <d v="1899-12-30T11:45:00"/>
    <m/>
    <s v="D"/>
    <n v="2"/>
    <s v="Road Vehicle"/>
    <n v="4"/>
    <x v="3"/>
    <x v="0"/>
    <n v="2"/>
    <x v="1"/>
    <s v="KABALE TOWN"/>
    <s v="KABALE"/>
    <s v="UG"/>
    <n v="4"/>
    <s v="Commercial"/>
    <s v="MBARARA TOWN"/>
    <s v="MBARARA"/>
    <s v="UG"/>
    <n v="4"/>
    <s v="Commercial"/>
    <x v="18"/>
    <n v="50000"/>
    <n v="142"/>
    <x v="2"/>
    <n v="2"/>
    <x v="0"/>
    <n v="5"/>
    <s v="Professional"/>
    <n v="2"/>
    <x v="3"/>
    <n v="1"/>
    <n v="1"/>
    <n v="1"/>
    <n v="1"/>
    <n v="1"/>
    <s v="Y"/>
    <n v="5000"/>
    <x v="2"/>
  </r>
  <r>
    <s v="23.10.19"/>
    <d v="1899-12-30T14:55:00"/>
    <m/>
    <s v="D"/>
    <n v="2"/>
    <s v="Road Vehicle"/>
    <n v="4"/>
    <x v="3"/>
    <x v="0"/>
    <n v="2"/>
    <x v="1"/>
    <s v="KABALE TOWN"/>
    <s v="KABALE"/>
    <s v="UG"/>
    <n v="1"/>
    <s v="Home"/>
    <s v="FORTPORTAL TOWN"/>
    <s v="FORTPORTAL"/>
    <s v="UG"/>
    <n v="6"/>
    <s v="Leisure/Social"/>
    <x v="8"/>
    <n v="200000"/>
    <n v="312"/>
    <x v="3"/>
    <n v="4"/>
    <x v="2"/>
    <n v="2"/>
    <s v="Manual Labour"/>
    <n v="2"/>
    <x v="3"/>
    <n v="5"/>
    <n v="5"/>
    <n v="5"/>
    <n v="5"/>
    <n v="5"/>
    <s v="Y"/>
    <n v="2000"/>
    <x v="1"/>
  </r>
  <r>
    <s v="23.10.19"/>
    <d v="1899-12-30T15:40:00"/>
    <s v="UAZ 562X"/>
    <s v="D"/>
    <n v="2"/>
    <s v="Road Vehicle"/>
    <n v="4"/>
    <x v="3"/>
    <x v="0"/>
    <n v="2"/>
    <x v="1"/>
    <s v="KABALE TOWN"/>
    <s v="KABALE"/>
    <s v="UG"/>
    <n v="2"/>
    <s v="Work"/>
    <s v="NAMUNUKA TOWN"/>
    <s v="NAMUNUKA"/>
    <s v="UG"/>
    <n v="8"/>
    <s v="Others"/>
    <x v="19"/>
    <n v="70000"/>
    <n v="95"/>
    <x v="1"/>
    <n v="2.5"/>
    <x v="0"/>
    <n v="10"/>
    <s v="Other"/>
    <n v="1"/>
    <x v="2"/>
    <n v="5"/>
    <n v="4"/>
    <n v="5"/>
    <n v="5"/>
    <n v="5"/>
    <s v="Y"/>
    <n v="1000"/>
    <x v="4"/>
  </r>
  <r>
    <s v="23.10.19"/>
    <d v="1899-12-30T15:18:00"/>
    <s v="UAQ 302J"/>
    <s v="D"/>
    <n v="2"/>
    <s v="Road Vehicle"/>
    <n v="4"/>
    <x v="3"/>
    <x v="0"/>
    <n v="2"/>
    <x v="1"/>
    <s v="KABALE TOWN"/>
    <s v="KABALE"/>
    <s v="UG"/>
    <n v="2"/>
    <s v="Work"/>
    <s v="MUKO"/>
    <s v="KABALE"/>
    <s v="UG"/>
    <n v="8"/>
    <s v="Others"/>
    <x v="19"/>
    <n v="70000"/>
    <n v="48"/>
    <x v="5"/>
    <n v="1.5"/>
    <x v="1"/>
    <n v="10"/>
    <s v="Other"/>
    <n v="1"/>
    <x v="2"/>
    <n v="5"/>
    <n v="4"/>
    <n v="5"/>
    <n v="5"/>
    <n v="5"/>
    <s v="Y"/>
    <n v="0"/>
    <x v="3"/>
  </r>
  <r>
    <s v="23.10.19"/>
    <d v="1899-12-30T14:10:00"/>
    <s v="UAM 810Z"/>
    <s v="D"/>
    <n v="2"/>
    <s v="Road Vehicle"/>
    <n v="4"/>
    <x v="3"/>
    <x v="0"/>
    <n v="2"/>
    <x v="1"/>
    <s v="KABALE TOWN"/>
    <s v="KABALE"/>
    <s v="UG"/>
    <n v="2"/>
    <s v="Work"/>
    <s v="KASHERERE"/>
    <s v="KABALE"/>
    <s v="UG"/>
    <n v="1"/>
    <s v="Home"/>
    <x v="4"/>
    <n v="70000"/>
    <n v="45"/>
    <x v="5"/>
    <n v="1"/>
    <x v="1"/>
    <n v="10"/>
    <s v="Other"/>
    <n v="1"/>
    <x v="2"/>
    <n v="5"/>
    <n v="4"/>
    <n v="5"/>
    <n v="5"/>
    <n v="5"/>
    <s v="Y"/>
    <n v="0"/>
    <x v="3"/>
  </r>
  <r>
    <s v="23.10.19"/>
    <d v="1899-12-30T13:09:00"/>
    <s v="UAS 136V"/>
    <s v="D"/>
    <n v="2"/>
    <s v="Road Vehicle"/>
    <n v="4"/>
    <x v="3"/>
    <x v="0"/>
    <n v="2"/>
    <x v="1"/>
    <s v="KABALE TOWN"/>
    <s v="KABALE"/>
    <s v="UG"/>
    <n v="2"/>
    <s v="Work"/>
    <s v="KABUYANDA TOWN"/>
    <s v="KABUYANDA"/>
    <s v="UG"/>
    <n v="8"/>
    <s v="Others"/>
    <x v="19"/>
    <n v="80000"/>
    <n v="95"/>
    <x v="1"/>
    <n v="2.5"/>
    <x v="0"/>
    <n v="5"/>
    <s v="Professional"/>
    <n v="2"/>
    <x v="3"/>
    <n v="5"/>
    <n v="5"/>
    <n v="5"/>
    <n v="5"/>
    <n v="5"/>
    <s v="Y"/>
    <n v="2000"/>
    <x v="1"/>
  </r>
  <r>
    <s v="23.10.19"/>
    <d v="1899-12-30T12:10:00"/>
    <s v="UAM 807C"/>
    <s v="D"/>
    <n v="2"/>
    <s v="Road Vehicle"/>
    <n v="4"/>
    <x v="3"/>
    <x v="0"/>
    <n v="2"/>
    <x v="1"/>
    <s v="KABALE TOWN"/>
    <s v="KABALE"/>
    <s v="UG"/>
    <n v="2"/>
    <s v="Work"/>
    <s v="NTUNGAMO TOWN"/>
    <s v="NTUNGAMO"/>
    <s v="UG"/>
    <n v="8"/>
    <s v="Others"/>
    <x v="19"/>
    <n v="70000"/>
    <n v="68"/>
    <x v="5"/>
    <n v="1.5"/>
    <x v="1"/>
    <n v="10"/>
    <s v="Other"/>
    <n v="2"/>
    <x v="3"/>
    <n v="5"/>
    <n v="5"/>
    <n v="5"/>
    <n v="5"/>
    <n v="5"/>
    <s v="Y"/>
    <n v="0"/>
    <x v="3"/>
  </r>
  <r>
    <s v="23.10.19"/>
    <d v="1899-12-30T11:09:00"/>
    <s v="UAX 587B"/>
    <s v="D"/>
    <n v="2"/>
    <s v="Road Vehicle"/>
    <n v="4"/>
    <x v="3"/>
    <x v="0"/>
    <n v="2"/>
    <x v="1"/>
    <s v="KABALE TOWN"/>
    <s v="KABALE"/>
    <s v="UG"/>
    <n v="2"/>
    <s v="Work"/>
    <s v="NAKIGUGWE"/>
    <s v="KABALE"/>
    <s v="UG"/>
    <n v="8"/>
    <s v="Others"/>
    <x v="19"/>
    <n v="30000"/>
    <n v="12"/>
    <x v="6"/>
    <n v="0.66"/>
    <x v="4"/>
    <n v="10"/>
    <s v="Other"/>
    <n v="1"/>
    <x v="2"/>
    <n v="5"/>
    <n v="4"/>
    <n v="5"/>
    <n v="2"/>
    <n v="2"/>
    <s v="Y"/>
    <n v="1000"/>
    <x v="4"/>
  </r>
  <r>
    <s v="23.10.19"/>
    <d v="1899-12-30T07:35:00"/>
    <s v="UBE 083C"/>
    <s v="D"/>
    <n v="2"/>
    <s v="Road Vehicle"/>
    <n v="4"/>
    <x v="3"/>
    <x v="0"/>
    <n v="2"/>
    <x v="1"/>
    <s v="KABALE TOWN"/>
    <s v="KABALE"/>
    <s v="UG"/>
    <n v="2"/>
    <s v="Work"/>
    <s v="KAMENZI TOWN"/>
    <s v="KAMENZI"/>
    <s v="UG"/>
    <n v="8"/>
    <s v="Others"/>
    <x v="19"/>
    <n v="70000"/>
    <n v="95"/>
    <x v="1"/>
    <n v="2.5"/>
    <x v="0"/>
    <n v="5"/>
    <s v="Professional"/>
    <n v="1"/>
    <x v="2"/>
    <n v="5"/>
    <n v="5"/>
    <n v="5"/>
    <n v="5"/>
    <n v="5"/>
    <s v="Y"/>
    <n v="1000"/>
    <x v="4"/>
  </r>
  <r>
    <s v="23.10.19"/>
    <d v="1899-12-30T07:20:00"/>
    <s v="UBF 472U"/>
    <s v="D"/>
    <n v="2"/>
    <s v="Road Vehicle"/>
    <n v="4"/>
    <x v="3"/>
    <x v="0"/>
    <n v="2"/>
    <x v="1"/>
    <s v="KABALE TOWN"/>
    <s v="KABALE"/>
    <s v="UG"/>
    <n v="2"/>
    <s v="Work"/>
    <s v="LUBAALE TOWN"/>
    <s v="LUBAALE"/>
    <s v="UG"/>
    <n v="8"/>
    <s v="Others"/>
    <x v="19"/>
    <n v="50000"/>
    <n v="30"/>
    <x v="4"/>
    <n v="1"/>
    <x v="1"/>
    <n v="6"/>
    <s v="Businessman"/>
    <n v="2"/>
    <x v="3"/>
    <n v="5"/>
    <n v="4"/>
    <n v="2"/>
    <n v="2"/>
    <n v="2"/>
    <s v="Y"/>
    <n v="2000"/>
    <x v="1"/>
  </r>
  <r>
    <s v="23.10.19"/>
    <d v="1899-12-30T07:08:00"/>
    <m/>
    <s v="P"/>
    <n v="2"/>
    <s v="Road Vehicle"/>
    <n v="4"/>
    <x v="3"/>
    <x v="0"/>
    <n v="2"/>
    <x v="1"/>
    <s v="KABALE TOWN"/>
    <s v="KABALE"/>
    <s v="UG"/>
    <n v="2"/>
    <s v="Work"/>
    <s v="LUKINDA"/>
    <s v="KABALE"/>
    <s v="UG"/>
    <n v="4"/>
    <s v="Commercial"/>
    <x v="17"/>
    <n v="4000"/>
    <n v="15"/>
    <x v="6"/>
    <n v="0.83"/>
    <x v="4"/>
    <n v="7"/>
    <s v="Farmer"/>
    <n v="1"/>
    <x v="2"/>
    <n v="2"/>
    <n v="4"/>
    <n v="1"/>
    <n v="2"/>
    <n v="1"/>
    <s v="Y"/>
    <n v="0"/>
    <x v="3"/>
  </r>
  <r>
    <s v="23.10.19"/>
    <d v="1899-12-30T08:32:00"/>
    <s v="UBB 413X"/>
    <s v="D"/>
    <n v="2"/>
    <s v="Road Vehicle"/>
    <n v="4"/>
    <x v="3"/>
    <x v="0"/>
    <n v="2"/>
    <x v="1"/>
    <s v="KABALE TOWN"/>
    <s v="KABALE"/>
    <s v="UG"/>
    <n v="1"/>
    <s v="Home"/>
    <s v="L. BUNYONYI"/>
    <s v="KABALE"/>
    <s v="UG"/>
    <n v="5"/>
    <s v="Tourism"/>
    <x v="20"/>
    <n v="30000"/>
    <n v="42"/>
    <x v="5"/>
    <m/>
    <x v="3"/>
    <n v="5"/>
    <s v="Professional"/>
    <n v="5"/>
    <x v="4"/>
    <n v="2"/>
    <n v="2"/>
    <n v="2"/>
    <n v="3"/>
    <n v="1"/>
    <s v="Y"/>
    <n v="4000"/>
    <x v="0"/>
  </r>
  <r>
    <s v="21.10.19"/>
    <d v="1899-12-30T17:37:00"/>
    <s v="UAD 108R"/>
    <s v="D"/>
    <n v="2"/>
    <s v="Road Vehicle"/>
    <n v="3"/>
    <x v="9"/>
    <x v="0"/>
    <n v="2"/>
    <x v="1"/>
    <s v="KINONI"/>
    <s v="KABALE"/>
    <s v="UG"/>
    <n v="2"/>
    <s v="Work"/>
    <s v="KABALE TOWN"/>
    <s v="KABALE"/>
    <s v="UG"/>
    <n v="1"/>
    <s v="Home"/>
    <x v="4"/>
    <n v="20000"/>
    <n v="20"/>
    <x v="4"/>
    <n v="1"/>
    <x v="1"/>
    <n v="7"/>
    <s v="Farmer"/>
    <n v="2"/>
    <x v="3"/>
    <n v="4"/>
    <n v="4"/>
    <n v="4"/>
    <n v="4"/>
    <n v="4"/>
    <s v="Y"/>
    <n v="500"/>
    <x v="3"/>
  </r>
  <r>
    <s v="21.10.19"/>
    <d v="1899-12-30T16:59:00"/>
    <s v="UAG371X"/>
    <s v="D"/>
    <n v="2"/>
    <s v="Road Vehicle"/>
    <n v="3"/>
    <x v="9"/>
    <x v="0"/>
    <n v="2"/>
    <x v="1"/>
    <s v="RUBANDA TOWN"/>
    <s v="RUBANDA"/>
    <s v="UG"/>
    <n v="4"/>
    <s v="Commercial"/>
    <s v="NTUNGAMO TOWN"/>
    <s v="NTUNGAMO"/>
    <s v="UG"/>
    <n v="4"/>
    <s v="Commercial"/>
    <x v="18"/>
    <n v="50000"/>
    <n v="126"/>
    <x v="2"/>
    <n v="3"/>
    <x v="0"/>
    <n v="6"/>
    <s v="Businessman"/>
    <n v="3"/>
    <x v="1"/>
    <n v="4"/>
    <n v="2"/>
    <n v="2"/>
    <n v="2"/>
    <n v="2"/>
    <s v="Y"/>
    <n v="1000"/>
    <x v="4"/>
  </r>
  <r>
    <s v="21.10.19"/>
    <d v="1899-12-30T16:12:00"/>
    <s v="UBF 910A"/>
    <s v="D"/>
    <n v="2"/>
    <s v="Road Vehicle"/>
    <n v="2"/>
    <x v="6"/>
    <x v="1"/>
    <n v="2"/>
    <x v="1"/>
    <s v="GORILLA CAMP"/>
    <s v="KABALE"/>
    <s v="UG"/>
    <n v="5"/>
    <s v="Tourism"/>
    <s v="KABALE TOWN"/>
    <s v="KABALE"/>
    <s v="UG"/>
    <n v="5"/>
    <s v="Tourism"/>
    <x v="31"/>
    <n v="20000"/>
    <n v="17"/>
    <x v="6"/>
    <n v="1"/>
    <x v="1"/>
    <n v="10"/>
    <s v="Other"/>
    <n v="5"/>
    <x v="4"/>
    <n v="1"/>
    <n v="1"/>
    <n v="1"/>
    <n v="1"/>
    <n v="1"/>
    <s v="Y"/>
    <n v="0"/>
    <x v="3"/>
  </r>
  <r>
    <s v="23.10.19"/>
    <d v="1899-12-30T07:08:00"/>
    <s v="UG 0443M"/>
    <s v="D"/>
    <n v="2"/>
    <s v="Road Vehicle"/>
    <n v="2"/>
    <x v="6"/>
    <x v="1"/>
    <n v="2"/>
    <x v="1"/>
    <s v="KABALE TOWN"/>
    <s v="KABALE"/>
    <s v="UG"/>
    <n v="1"/>
    <s v="Home"/>
    <s v="NTUNGAMO TOWN"/>
    <s v="NTUNGAMO"/>
    <s v="UG"/>
    <n v="7"/>
    <s v="Hospital"/>
    <x v="32"/>
    <n v="30000"/>
    <n v="74"/>
    <x v="1"/>
    <n v="1"/>
    <x v="1"/>
    <n v="5"/>
    <s v="Professional"/>
    <n v="5"/>
    <x v="4"/>
    <n v="2"/>
    <n v="1"/>
    <n v="1"/>
    <n v="1"/>
    <n v="1"/>
    <s v="Y"/>
    <n v="1000"/>
    <x v="4"/>
  </r>
  <r>
    <s v="23.10.19"/>
    <d v="1899-12-30T07:31:00"/>
    <s v="UG 4113T"/>
    <s v="D"/>
    <n v="2"/>
    <s v="Road Vehicle"/>
    <n v="2"/>
    <x v="6"/>
    <x v="1"/>
    <n v="2"/>
    <x v="1"/>
    <s v="BWINDI TOWN"/>
    <s v="BWINDI"/>
    <s v="UG"/>
    <n v="5"/>
    <s v="Tourism"/>
    <s v="KABALE TOWN"/>
    <s v="KABALE"/>
    <s v="UG"/>
    <n v="2"/>
    <s v="Work"/>
    <x v="35"/>
    <n v="20000"/>
    <n v="30"/>
    <x v="4"/>
    <n v="1"/>
    <x v="1"/>
    <n v="4"/>
    <s v="Office Worker"/>
    <n v="5"/>
    <x v="4"/>
    <n v="1"/>
    <n v="1"/>
    <n v="1"/>
    <n v="1"/>
    <n v="1"/>
    <s v="Y"/>
    <n v="3000"/>
    <x v="0"/>
  </r>
  <r>
    <s v="23.10.19"/>
    <d v="1899-12-30T08:16:00"/>
    <m/>
    <s v="P"/>
    <n v="2"/>
    <s v="Road Vehicle"/>
    <n v="2"/>
    <x v="6"/>
    <x v="1"/>
    <n v="2"/>
    <x v="1"/>
    <s v="KISORO TOWN"/>
    <s v="KISORO"/>
    <s v="UG"/>
    <n v="5"/>
    <s v="Tourism"/>
    <s v="KABALE TOWN"/>
    <s v="KABALE"/>
    <s v="UG"/>
    <n v="1"/>
    <s v="Home"/>
    <x v="28"/>
    <m/>
    <n v="61"/>
    <x v="5"/>
    <m/>
    <x v="3"/>
    <n v="10"/>
    <s v="Other"/>
    <n v="5"/>
    <x v="4"/>
    <n v="1"/>
    <n v="1"/>
    <n v="1"/>
    <n v="1"/>
    <n v="1"/>
    <s v="Y"/>
    <n v="0"/>
    <x v="3"/>
  </r>
  <r>
    <s v="21.10.19"/>
    <d v="1899-12-30T16:44:00"/>
    <s v="UAQ 039B"/>
    <s v="D"/>
    <n v="2"/>
    <s v="Road Vehicle"/>
    <n v="2"/>
    <x v="6"/>
    <x v="0"/>
    <n v="2"/>
    <x v="1"/>
    <s v="KATUNA"/>
    <s v="KABALE"/>
    <s v="UG"/>
    <n v="4"/>
    <s v="Commercial"/>
    <s v="NTUNGAMO TOWN"/>
    <s v="NTUNGAMO"/>
    <s v="UG"/>
    <n v="1"/>
    <s v="Home"/>
    <x v="3"/>
    <n v="30000"/>
    <n v="86"/>
    <x v="1"/>
    <n v="1"/>
    <x v="1"/>
    <n v="6"/>
    <s v="Businessman"/>
    <n v="5"/>
    <x v="4"/>
    <n v="2"/>
    <n v="2"/>
    <n v="1"/>
    <n v="1"/>
    <n v="1"/>
    <s v="Y"/>
    <n v="2000"/>
    <x v="1"/>
  </r>
  <r>
    <s v="21.10.19"/>
    <d v="1899-12-30T16:04:00"/>
    <m/>
    <s v="P"/>
    <n v="2"/>
    <s v="Road Vehicle"/>
    <n v="6"/>
    <x v="1"/>
    <x v="1"/>
    <n v="3"/>
    <x v="2"/>
    <s v="KABALE TOWN"/>
    <s v="KABALE"/>
    <s v="UG"/>
    <n v="1"/>
    <s v="Home"/>
    <s v="MBARARA TOWN"/>
    <s v="MBARARA"/>
    <s v="UG"/>
    <n v="2"/>
    <s v="Work"/>
    <x v="1"/>
    <n v="15000"/>
    <n v="136"/>
    <x v="2"/>
    <n v="2"/>
    <x v="0"/>
    <n v="4"/>
    <s v="Office Worker"/>
    <n v="5"/>
    <x v="4"/>
    <n v="3"/>
    <n v="2"/>
    <n v="1"/>
    <n v="3"/>
    <n v="4"/>
    <s v="Y"/>
    <n v="3000"/>
    <x v="0"/>
  </r>
  <r>
    <s v="21.10.19"/>
    <d v="1899-12-30T18:38:00"/>
    <m/>
    <s v="P"/>
    <n v="2"/>
    <s v="Road Vehicle"/>
    <n v="6"/>
    <x v="1"/>
    <x v="1"/>
    <n v="3"/>
    <x v="2"/>
    <s v="GOMA"/>
    <s v="GOMA"/>
    <s v="DRC"/>
    <n v="1"/>
    <s v="Home"/>
    <s v="KAMPALA TOWN"/>
    <s v="KAMPALA"/>
    <s v="UG"/>
    <n v="4"/>
    <s v="Commercial"/>
    <x v="0"/>
    <n v="50000"/>
    <n v="750"/>
    <x v="3"/>
    <n v="7"/>
    <x v="2"/>
    <n v="6"/>
    <s v="Businessman"/>
    <n v="2"/>
    <x v="3"/>
    <n v="5"/>
    <n v="5"/>
    <n v="5"/>
    <n v="5"/>
    <n v="5"/>
    <s v="Y"/>
    <n v="2000"/>
    <x v="1"/>
  </r>
  <r>
    <s v="22.10.19"/>
    <d v="1899-12-30T08:46:00"/>
    <m/>
    <s v="P"/>
    <n v="2"/>
    <s v="Road Vehicle"/>
    <n v="6"/>
    <x v="1"/>
    <x v="1"/>
    <n v="3"/>
    <x v="2"/>
    <s v="KABALE TOWN"/>
    <s v="KABALE"/>
    <s v="UG"/>
    <n v="1"/>
    <s v="Home"/>
    <s v="BUSEGA"/>
    <s v="WAKISO"/>
    <s v="UG"/>
    <n v="4"/>
    <s v="Commercial"/>
    <x v="0"/>
    <n v="30000"/>
    <n v="280"/>
    <x v="3"/>
    <n v="4"/>
    <x v="2"/>
    <n v="2"/>
    <s v="Manual Labour"/>
    <n v="3"/>
    <x v="1"/>
    <n v="1"/>
    <n v="5"/>
    <n v="5"/>
    <n v="5"/>
    <n v="5"/>
    <s v="Y"/>
    <n v="1000"/>
    <x v="4"/>
  </r>
  <r>
    <s v="22.10.19"/>
    <d v="1899-12-30T16:28:00"/>
    <m/>
    <s v="P"/>
    <n v="2"/>
    <s v="Road Vehicle"/>
    <n v="6"/>
    <x v="1"/>
    <x v="1"/>
    <n v="3"/>
    <x v="2"/>
    <s v="KISORO TOWN"/>
    <s v="KISORO"/>
    <s v="UG"/>
    <n v="1"/>
    <s v="Home"/>
    <s v="KITINTALE"/>
    <s v="KAMPALA"/>
    <s v="UG"/>
    <n v="2"/>
    <s v="Work"/>
    <x v="1"/>
    <n v="30000"/>
    <n v="200"/>
    <x v="3"/>
    <n v="4.5"/>
    <x v="2"/>
    <n v="6"/>
    <s v="Businessman"/>
    <n v="1"/>
    <x v="2"/>
    <n v="1"/>
    <n v="2"/>
    <n v="1"/>
    <n v="2"/>
    <n v="2"/>
    <s v="Y"/>
    <n v="0"/>
    <x v="3"/>
  </r>
  <r>
    <s v="21.10.19"/>
    <d v="1899-12-30T16:33:00"/>
    <m/>
    <s v="P"/>
    <n v="2"/>
    <s v="Road Vehicle"/>
    <n v="6"/>
    <x v="1"/>
    <x v="0"/>
    <n v="3"/>
    <x v="2"/>
    <s v="KISORO TOWN"/>
    <s v="KISORO"/>
    <s v="UG"/>
    <n v="1"/>
    <s v="Home"/>
    <s v="KAMPALA TOWN"/>
    <s v="KAMPALA"/>
    <s v="UG"/>
    <n v="2"/>
    <s v="Work"/>
    <x v="1"/>
    <n v="30000"/>
    <n v="480"/>
    <x v="3"/>
    <n v="14"/>
    <x v="2"/>
    <n v="5"/>
    <s v="Professional"/>
    <n v="5"/>
    <x v="4"/>
    <n v="3"/>
    <n v="2"/>
    <n v="3"/>
    <n v="3"/>
    <n v="4"/>
    <s v="Y"/>
    <n v="0"/>
    <x v="3"/>
  </r>
  <r>
    <s v="21.10.19"/>
    <d v="1899-12-30T15:56:00"/>
    <m/>
    <s v="P"/>
    <n v="2"/>
    <s v="Road Vehicle"/>
    <n v="6"/>
    <x v="1"/>
    <x v="0"/>
    <n v="3"/>
    <x v="2"/>
    <s v="KABALE TOWN"/>
    <s v="KABALE"/>
    <s v="UG"/>
    <n v="1"/>
    <s v="Home"/>
    <s v="KAMPALA TOWN"/>
    <s v="KAMPALA"/>
    <s v="UG"/>
    <n v="2"/>
    <s v="Work"/>
    <x v="1"/>
    <n v="30000"/>
    <n v="400"/>
    <x v="3"/>
    <n v="13"/>
    <x v="2"/>
    <n v="5"/>
    <s v="Professional"/>
    <n v="3"/>
    <x v="1"/>
    <n v="3"/>
    <n v="2"/>
    <n v="3"/>
    <n v="3"/>
    <n v="2"/>
    <s v="Y"/>
    <n v="3000"/>
    <x v="0"/>
  </r>
  <r>
    <s v="21.10.19"/>
    <d v="1899-12-30T14:14:00"/>
    <m/>
    <s v="P"/>
    <n v="2"/>
    <s v="Road Vehicle"/>
    <n v="6"/>
    <x v="1"/>
    <x v="0"/>
    <n v="3"/>
    <x v="2"/>
    <s v="RUBANDA TOWN"/>
    <s v="RUBANDA"/>
    <s v="UG"/>
    <n v="1"/>
    <s v="Home"/>
    <s v="KAMPALA TOWN"/>
    <s v="KAMPALA"/>
    <s v="UG"/>
    <n v="4"/>
    <s v="Commercial"/>
    <x v="0"/>
    <n v="30000"/>
    <n v="420"/>
    <x v="3"/>
    <n v="14"/>
    <x v="2"/>
    <n v="7"/>
    <s v="Farmer"/>
    <n v="3"/>
    <x v="1"/>
    <n v="1"/>
    <n v="1"/>
    <n v="1"/>
    <n v="1"/>
    <n v="1"/>
    <s v="Y"/>
    <n v="4000"/>
    <x v="0"/>
  </r>
  <r>
    <s v="21.10.19"/>
    <d v="1899-12-30T16:48:00"/>
    <s v="UAH 783T"/>
    <s v="D"/>
    <n v="2"/>
    <s v="Road Vehicle"/>
    <n v="6"/>
    <x v="1"/>
    <x v="0"/>
    <n v="3"/>
    <x v="2"/>
    <s v="GISENYI"/>
    <s v="KABALE"/>
    <s v="UG"/>
    <n v="2"/>
    <s v="Work"/>
    <s v="KAMPALA TOWN"/>
    <s v="KAMPALA"/>
    <s v="UG"/>
    <n v="8"/>
    <s v="Others"/>
    <x v="19"/>
    <n v="200000"/>
    <n v="250"/>
    <x v="3"/>
    <n v="6"/>
    <x v="2"/>
    <n v="5"/>
    <s v="Professional"/>
    <n v="2"/>
    <x v="3"/>
    <n v="5"/>
    <n v="4"/>
    <n v="2"/>
    <n v="2"/>
    <n v="2"/>
    <s v="Y"/>
    <n v="2000"/>
    <x v="1"/>
  </r>
  <r>
    <s v="21.10.19"/>
    <d v="1899-12-30T16:21:00"/>
    <s v="UAN 181F"/>
    <s v="D"/>
    <n v="2"/>
    <s v="Road Vehicle"/>
    <n v="6"/>
    <x v="1"/>
    <x v="0"/>
    <n v="3"/>
    <x v="2"/>
    <s v="KABALE TOWN"/>
    <s v="KABALE"/>
    <s v="UG"/>
    <n v="4"/>
    <s v="Commercial"/>
    <s v="KAMPALA TOWN"/>
    <s v="KAMPALA"/>
    <s v="UG"/>
    <n v="4"/>
    <s v="Commercial"/>
    <x v="18"/>
    <n v="200000"/>
    <n v="396"/>
    <x v="3"/>
    <n v="4"/>
    <x v="2"/>
    <n v="5"/>
    <s v="Professional"/>
    <n v="3"/>
    <x v="1"/>
    <n v="1"/>
    <n v="1"/>
    <n v="5"/>
    <n v="5"/>
    <n v="5"/>
    <s v="Y"/>
    <n v="5000"/>
    <x v="2"/>
  </r>
  <r>
    <s v="21.10.19"/>
    <m/>
    <m/>
    <s v="P"/>
    <n v="2"/>
    <s v="Road Vehicle"/>
    <n v="6"/>
    <x v="1"/>
    <x v="0"/>
    <n v="3"/>
    <x v="2"/>
    <s v="KABALE TOWN"/>
    <s v="KABALE"/>
    <s v="UG"/>
    <n v="4"/>
    <s v="Commercial"/>
    <s v="MASAKA TOWN"/>
    <s v="MASAKA"/>
    <s v="UG"/>
    <n v="4"/>
    <s v="Commercial"/>
    <x v="18"/>
    <n v="30000"/>
    <m/>
    <x v="0"/>
    <n v="4"/>
    <x v="2"/>
    <n v="1"/>
    <s v="Unemployed"/>
    <n v="1"/>
    <x v="2"/>
    <n v="1"/>
    <n v="1"/>
    <n v="1"/>
    <n v="1"/>
    <n v="1"/>
    <s v="Y"/>
    <n v="1000"/>
    <x v="4"/>
  </r>
  <r>
    <s v="22.10.19"/>
    <d v="1899-12-30T10:05:00"/>
    <m/>
    <s v="P"/>
    <n v="2"/>
    <s v="Road Vehicle"/>
    <n v="6"/>
    <x v="1"/>
    <x v="0"/>
    <n v="3"/>
    <x v="2"/>
    <s v="KABALE TOWN"/>
    <s v="KABALE"/>
    <s v="UG"/>
    <n v="1"/>
    <s v="Home"/>
    <s v="MBARARA TOWN"/>
    <s v="MBARARA"/>
    <s v="UG"/>
    <n v="4"/>
    <s v="Commercial"/>
    <x v="0"/>
    <n v="15000"/>
    <n v="96"/>
    <x v="1"/>
    <n v="2"/>
    <x v="0"/>
    <n v="5"/>
    <s v="Professional"/>
    <n v="2"/>
    <x v="3"/>
    <n v="1"/>
    <n v="1"/>
    <n v="1"/>
    <n v="1"/>
    <n v="1"/>
    <s v="Y"/>
    <n v="2000"/>
    <x v="1"/>
  </r>
  <r>
    <s v="22.10.19"/>
    <d v="1899-12-30T18:23:00"/>
    <s v="UBF 068X"/>
    <s v="D"/>
    <n v="2"/>
    <s v="Road Vehicle"/>
    <n v="6"/>
    <x v="1"/>
    <x v="0"/>
    <n v="3"/>
    <x v="2"/>
    <s v="KISORO TOWN"/>
    <s v="KISORO"/>
    <s v="UG"/>
    <n v="4"/>
    <s v="Commercial"/>
    <s v="KABALE TOWN"/>
    <s v="KABALE"/>
    <s v="UG"/>
    <n v="4"/>
    <s v="Commercial"/>
    <x v="18"/>
    <n v="200000"/>
    <n v="390"/>
    <x v="3"/>
    <n v="4"/>
    <x v="2"/>
    <n v="5"/>
    <s v="Professional"/>
    <n v="3"/>
    <x v="1"/>
    <n v="1"/>
    <n v="1"/>
    <n v="1"/>
    <n v="1"/>
    <n v="1"/>
    <s v="Y"/>
    <n v="5000"/>
    <x v="2"/>
  </r>
  <r>
    <s v="22.10.19"/>
    <d v="1899-12-30T13:38:00"/>
    <s v="UAN 179A"/>
    <s v="D"/>
    <n v="2"/>
    <s v="Road Vehicle"/>
    <n v="6"/>
    <x v="1"/>
    <x v="0"/>
    <n v="3"/>
    <x v="2"/>
    <s v="KABALE TOWN"/>
    <s v="KABALE"/>
    <s v="UG"/>
    <n v="2"/>
    <s v="Work"/>
    <s v="MASAKA TOWN"/>
    <s v="MASAKA"/>
    <s v="UG"/>
    <n v="2"/>
    <s v="Work"/>
    <x v="2"/>
    <n v="100000"/>
    <n v="270"/>
    <x v="3"/>
    <n v="3"/>
    <x v="0"/>
    <n v="5"/>
    <s v="Professional"/>
    <n v="2"/>
    <x v="3"/>
    <n v="5"/>
    <n v="5"/>
    <n v="4"/>
    <n v="2"/>
    <n v="2"/>
    <s v="Y"/>
    <n v="2000"/>
    <x v="1"/>
  </r>
  <r>
    <s v="22.10.19"/>
    <d v="1899-12-30T12:00:00"/>
    <s v="UBE 453T"/>
    <s v="D"/>
    <n v="2"/>
    <s v="Road Vehicle"/>
    <n v="6"/>
    <x v="1"/>
    <x v="0"/>
    <n v="3"/>
    <x v="2"/>
    <s v="KABALE TOWN"/>
    <s v="KABALE"/>
    <s v="UG"/>
    <n v="2"/>
    <s v="Work"/>
    <s v="KAMPALA TOWN"/>
    <s v="KAMPALA"/>
    <s v="UG"/>
    <n v="8"/>
    <s v="Others"/>
    <x v="19"/>
    <n v="150000"/>
    <n v="390"/>
    <x v="3"/>
    <n v="4.5"/>
    <x v="2"/>
    <n v="5"/>
    <s v="Professional"/>
    <n v="2"/>
    <x v="3"/>
    <n v="5"/>
    <n v="5"/>
    <n v="2"/>
    <n v="2"/>
    <n v="2"/>
    <s v="Y"/>
    <n v="2000"/>
    <x v="1"/>
  </r>
  <r>
    <s v="22.10.19"/>
    <d v="1899-12-30T08:40:00"/>
    <s v="UAZ 962C"/>
    <s v="D"/>
    <n v="2"/>
    <s v="Road Vehicle"/>
    <n v="6"/>
    <x v="1"/>
    <x v="0"/>
    <n v="3"/>
    <x v="2"/>
    <s v="KISIIZI TOWN"/>
    <s v="RUKUNGIRI"/>
    <s v="UG"/>
    <n v="2"/>
    <s v="Work"/>
    <s v="KAMPALA TOWN"/>
    <s v="KAMPALA"/>
    <s v="UG"/>
    <n v="8"/>
    <s v="Others"/>
    <x v="19"/>
    <n v="150000"/>
    <n v="150"/>
    <x v="2"/>
    <n v="4"/>
    <x v="2"/>
    <n v="10"/>
    <s v="Other"/>
    <n v="2"/>
    <x v="3"/>
    <n v="5"/>
    <n v="4"/>
    <n v="2"/>
    <n v="2"/>
    <n v="2"/>
    <s v="Y"/>
    <n v="3000"/>
    <x v="0"/>
  </r>
  <r>
    <s v="22.10.19"/>
    <d v="1899-12-30T14:30:00"/>
    <s v="UAM 419R"/>
    <s v="D"/>
    <n v="2"/>
    <s v="Road Vehicle"/>
    <n v="6"/>
    <x v="1"/>
    <x v="0"/>
    <n v="3"/>
    <x v="2"/>
    <s v="KABALE TOWN"/>
    <s v="KABALE"/>
    <s v="UG"/>
    <n v="2"/>
    <s v="Work"/>
    <s v="NAMUNUKA TOWN"/>
    <s v="NAMUNUKA"/>
    <s v="UG"/>
    <n v="2"/>
    <s v="Work"/>
    <x v="2"/>
    <n v="100000"/>
    <n v="90"/>
    <x v="1"/>
    <n v="2"/>
    <x v="0"/>
    <n v="5"/>
    <s v="Professional"/>
    <n v="2"/>
    <x v="3"/>
    <n v="5"/>
    <n v="4"/>
    <n v="2"/>
    <n v="2"/>
    <n v="2"/>
    <s v="Y"/>
    <n v="2000"/>
    <x v="1"/>
  </r>
  <r>
    <s v="22.10.19"/>
    <d v="1899-12-30T16:42:00"/>
    <s v="UAZ 962C"/>
    <s v="D"/>
    <n v="2"/>
    <s v="Road Vehicle"/>
    <n v="6"/>
    <x v="1"/>
    <x v="0"/>
    <n v="3"/>
    <x v="2"/>
    <s v="KABALE TOWN"/>
    <s v="KABALE"/>
    <s v="UG"/>
    <n v="2"/>
    <s v="Work"/>
    <s v="LYANTONDE TOWN"/>
    <s v="LYANTONDE"/>
    <s v="UG"/>
    <n v="8"/>
    <s v="Others"/>
    <x v="19"/>
    <n v="150000"/>
    <n v="270"/>
    <x v="3"/>
    <n v="3"/>
    <x v="0"/>
    <n v="5"/>
    <s v="Professional"/>
    <n v="2"/>
    <x v="3"/>
    <n v="5"/>
    <n v="2"/>
    <n v="5"/>
    <n v="5"/>
    <n v="5"/>
    <s v="Y"/>
    <n v="2000"/>
    <x v="1"/>
  </r>
  <r>
    <s v="22.10.19"/>
    <d v="1899-12-30T16:13:00"/>
    <s v="UAX 309X"/>
    <s v="D"/>
    <n v="2"/>
    <s v="Road Vehicle"/>
    <n v="6"/>
    <x v="1"/>
    <x v="0"/>
    <n v="3"/>
    <x v="2"/>
    <s v="KABALE TOWN"/>
    <s v="KABALE"/>
    <s v="UG"/>
    <n v="2"/>
    <s v="Work"/>
    <s v="ISHAKA TOWN"/>
    <s v="ISHAKA"/>
    <s v="UG"/>
    <n v="2"/>
    <s v="Work"/>
    <x v="2"/>
    <n v="200000"/>
    <n v="330"/>
    <x v="3"/>
    <n v="4"/>
    <x v="2"/>
    <n v="10"/>
    <s v="Other"/>
    <n v="2"/>
    <x v="3"/>
    <n v="5"/>
    <n v="4"/>
    <n v="5"/>
    <n v="5"/>
    <n v="5"/>
    <s v="Y"/>
    <n v="1000"/>
    <x v="4"/>
  </r>
  <r>
    <s v="22.10.19"/>
    <d v="1899-12-30T15:18:00"/>
    <s v="UAM 823W"/>
    <s v="D"/>
    <n v="2"/>
    <s v="Road Vehicle"/>
    <n v="6"/>
    <x v="1"/>
    <x v="0"/>
    <n v="3"/>
    <x v="2"/>
    <s v="KABALE TOWN"/>
    <s v="KABALE"/>
    <s v="UG"/>
    <n v="2"/>
    <s v="Work"/>
    <s v="MBARARA TOWN"/>
    <s v="MBARARA"/>
    <s v="UG"/>
    <n v="2"/>
    <s v="Work"/>
    <x v="2"/>
    <n v="100000"/>
    <n v="135"/>
    <x v="2"/>
    <n v="2.5"/>
    <x v="0"/>
    <n v="5"/>
    <s v="Professional"/>
    <n v="2"/>
    <x v="3"/>
    <n v="2"/>
    <n v="4"/>
    <n v="2"/>
    <n v="1"/>
    <n v="1"/>
    <s v="Y"/>
    <n v="0"/>
    <x v="3"/>
  </r>
  <r>
    <s v="23.10.19"/>
    <d v="1899-12-30T09:46:00"/>
    <m/>
    <s v="D"/>
    <n v="2"/>
    <s v="Road Vehicle"/>
    <n v="6"/>
    <x v="1"/>
    <x v="0"/>
    <n v="3"/>
    <x v="2"/>
    <s v="RUKUNGIRI TOWN"/>
    <s v="RUKUNGIRI"/>
    <s v="UG"/>
    <n v="4"/>
    <s v="Commercial"/>
    <s v="KABALE TOWN"/>
    <s v="KABALE"/>
    <s v="UG"/>
    <n v="4"/>
    <s v="Commercial"/>
    <x v="18"/>
    <n v="50000"/>
    <n v="47"/>
    <x v="5"/>
    <n v="2"/>
    <x v="0"/>
    <n v="5"/>
    <s v="Professional"/>
    <n v="3"/>
    <x v="1"/>
    <n v="1"/>
    <n v="5"/>
    <n v="5"/>
    <n v="5"/>
    <n v="5"/>
    <s v="Y"/>
    <n v="2000"/>
    <x v="1"/>
  </r>
  <r>
    <s v="23.10.19"/>
    <d v="1899-12-30T09:55:00"/>
    <s v="UAY 783A"/>
    <s v="D"/>
    <n v="2"/>
    <s v="Road Vehicle"/>
    <n v="6"/>
    <x v="1"/>
    <x v="0"/>
    <n v="3"/>
    <x v="2"/>
    <s v="BUTOGOTA TOWN"/>
    <s v="KANUNGU"/>
    <s v="UG"/>
    <n v="2"/>
    <s v="Work"/>
    <s v="KAMPALA TOWN"/>
    <s v="KAMPALA"/>
    <s v="UG"/>
    <n v="8"/>
    <s v="Others"/>
    <x v="19"/>
    <n v="200000"/>
    <n v="340"/>
    <x v="3"/>
    <n v="6"/>
    <x v="2"/>
    <n v="10"/>
    <s v="Other"/>
    <n v="2"/>
    <x v="3"/>
    <n v="5"/>
    <n v="4"/>
    <n v="5"/>
    <n v="5"/>
    <n v="5"/>
    <s v="Y"/>
    <n v="3000"/>
    <x v="0"/>
  </r>
  <r>
    <s v="23.10.19"/>
    <d v="1899-12-30T09:20:00"/>
    <m/>
    <s v="P"/>
    <n v="2"/>
    <s v="Road Vehicle"/>
    <n v="6"/>
    <x v="1"/>
    <x v="0"/>
    <n v="3"/>
    <x v="2"/>
    <s v="KABALE TOWN"/>
    <s v="KABALE"/>
    <s v="UG"/>
    <n v="2"/>
    <s v="Work"/>
    <s v="HOIMA TOWN"/>
    <s v="HOIMA"/>
    <s v="UG"/>
    <n v="8"/>
    <s v="Others"/>
    <x v="19"/>
    <n v="50000"/>
    <n v="600"/>
    <x v="3"/>
    <n v="9"/>
    <x v="2"/>
    <n v="5"/>
    <s v="Professional"/>
    <n v="2"/>
    <x v="3"/>
    <n v="5"/>
    <n v="5"/>
    <n v="5"/>
    <n v="5"/>
    <n v="5"/>
    <s v="Y"/>
    <n v="0"/>
    <x v="3"/>
  </r>
  <r>
    <s v="23.10.19"/>
    <d v="1899-12-30T08:38:00"/>
    <s v="UAG 917R"/>
    <s v="D"/>
    <n v="2"/>
    <s v="Road Vehicle"/>
    <n v="6"/>
    <x v="1"/>
    <x v="0"/>
    <n v="3"/>
    <x v="2"/>
    <s v="KABALE TOWN"/>
    <s v="KABALE"/>
    <s v="UG"/>
    <n v="2"/>
    <s v="Work"/>
    <s v="KAGADI TOWN"/>
    <s v="KAGADI"/>
    <s v="UG"/>
    <n v="8"/>
    <s v="Others"/>
    <x v="19"/>
    <n v="200000"/>
    <n v="360"/>
    <x v="3"/>
    <n v="6"/>
    <x v="2"/>
    <n v="5"/>
    <s v="Professional"/>
    <n v="2"/>
    <x v="3"/>
    <n v="5"/>
    <n v="4"/>
    <n v="1"/>
    <n v="1"/>
    <n v="2"/>
    <s v="Y"/>
    <n v="2000"/>
    <x v="1"/>
  </r>
  <r>
    <s v="23.10.19"/>
    <d v="1899-12-30T08:22:00"/>
    <s v="UAT 700G"/>
    <s v="D"/>
    <n v="2"/>
    <s v="Road Vehicle"/>
    <n v="6"/>
    <x v="1"/>
    <x v="0"/>
    <n v="3"/>
    <x v="2"/>
    <s v="KABALE TOWN"/>
    <s v="KABALE"/>
    <s v="UG"/>
    <n v="2"/>
    <s v="Work"/>
    <s v="FORTPORTAL TOWN"/>
    <s v="FORTPORTAL"/>
    <s v="UG"/>
    <n v="8"/>
    <s v="Others"/>
    <x v="19"/>
    <n v="20000"/>
    <n v="320"/>
    <x v="3"/>
    <n v="5"/>
    <x v="2"/>
    <n v="5"/>
    <s v="Professional"/>
    <n v="2"/>
    <x v="3"/>
    <n v="5"/>
    <n v="4"/>
    <n v="2"/>
    <n v="2"/>
    <n v="2"/>
    <s v="Y"/>
    <n v="2000"/>
    <x v="1"/>
  </r>
  <r>
    <s v="23.10.19"/>
    <d v="1899-12-30T07:22:00"/>
    <s v="UBD 911A"/>
    <s v="D"/>
    <n v="2"/>
    <s v="Road Vehicle"/>
    <n v="6"/>
    <x v="1"/>
    <x v="0"/>
    <n v="3"/>
    <x v="2"/>
    <s v="KISORO TOWN"/>
    <s v="KISORO"/>
    <s v="UG"/>
    <n v="2"/>
    <s v="Work"/>
    <s v="KAMPALA TOWN"/>
    <s v="KAMPALA"/>
    <s v="UG"/>
    <n v="2"/>
    <s v="Work"/>
    <x v="2"/>
    <n v="400000"/>
    <n v="480"/>
    <x v="3"/>
    <n v="13"/>
    <x v="2"/>
    <n v="5"/>
    <s v="Professional"/>
    <n v="5"/>
    <x v="4"/>
    <n v="2"/>
    <n v="2"/>
    <n v="1"/>
    <n v="1"/>
    <n v="2"/>
    <s v="Y"/>
    <n v="5000"/>
    <x v="2"/>
  </r>
  <r>
    <s v="21.10.19"/>
    <d v="1899-12-30T16:14:00"/>
    <s v="UAT 109S"/>
    <s v="D"/>
    <n v="2"/>
    <s v="Road Vehicle"/>
    <n v="7"/>
    <x v="7"/>
    <x v="0"/>
    <n v="3"/>
    <x v="2"/>
    <s v="KISORO TOWN"/>
    <s v="KISORO"/>
    <s v="UG"/>
    <n v="2"/>
    <s v="Work"/>
    <s v="MBARARA TOWN"/>
    <s v="MBARARA"/>
    <s v="UG"/>
    <n v="4"/>
    <s v="Commercial"/>
    <x v="17"/>
    <n v="160000"/>
    <n v="224"/>
    <x v="3"/>
    <n v="5"/>
    <x v="2"/>
    <n v="7"/>
    <s v="Farmer"/>
    <n v="5"/>
    <x v="4"/>
    <n v="3"/>
    <n v="3"/>
    <n v="2"/>
    <n v="3"/>
    <n v="3"/>
    <s v="Y"/>
    <n v="4000"/>
    <x v="0"/>
  </r>
  <r>
    <s v="21.10.19"/>
    <d v="1899-12-30T15:43:00"/>
    <m/>
    <s v="P"/>
    <n v="2"/>
    <s v="Road Vehicle"/>
    <n v="5"/>
    <x v="2"/>
    <x v="0"/>
    <n v="3"/>
    <x v="2"/>
    <s v="KISORO TOWN"/>
    <s v="KISORO"/>
    <s v="UG"/>
    <n v="2"/>
    <s v="Work"/>
    <s v="KABALE TOWN"/>
    <s v="KABALE"/>
    <s v="UG"/>
    <n v="2"/>
    <s v="Work"/>
    <x v="2"/>
    <n v="7000"/>
    <n v="70"/>
    <x v="1"/>
    <n v="1"/>
    <x v="1"/>
    <n v="4"/>
    <s v="Office Worker"/>
    <n v="4"/>
    <x v="0"/>
    <n v="2"/>
    <n v="2"/>
    <n v="2"/>
    <n v="3"/>
    <n v="4"/>
    <s v="Y"/>
    <n v="3000"/>
    <x v="0"/>
  </r>
  <r>
    <s v="21.10.19"/>
    <d v="1899-12-30T16:26:00"/>
    <s v="UAP 781N"/>
    <s v="D"/>
    <n v="2"/>
    <s v="Road Vehicle"/>
    <n v="8"/>
    <x v="4"/>
    <x v="0"/>
    <n v="3"/>
    <x v="2"/>
    <s v="KISORO TOWN"/>
    <s v="KISORO"/>
    <s v="UG"/>
    <n v="4"/>
    <s v="Commercial"/>
    <s v="MASAKA TOWN"/>
    <s v="MASAKA"/>
    <s v="UG"/>
    <n v="4"/>
    <s v="Commercial"/>
    <x v="18"/>
    <n v="260000"/>
    <n v="359"/>
    <x v="3"/>
    <n v="6"/>
    <x v="2"/>
    <n v="6"/>
    <s v="Businessman"/>
    <n v="3"/>
    <x v="1"/>
    <n v="2"/>
    <n v="2"/>
    <n v="2"/>
    <n v="4"/>
    <n v="3"/>
    <s v="Y"/>
    <n v="0"/>
    <x v="3"/>
  </r>
  <r>
    <s v="21.10.19"/>
    <d v="1899-12-30T15:44:00"/>
    <m/>
    <s v="P"/>
    <n v="2"/>
    <s v="Road Vehicle"/>
    <n v="4"/>
    <x v="3"/>
    <x v="1"/>
    <n v="3"/>
    <x v="2"/>
    <s v="KABALE TOWN"/>
    <s v="KABALE"/>
    <s v="UG"/>
    <n v="1"/>
    <s v="Home"/>
    <s v="NTUNGAMO TOWN"/>
    <s v="NTUNGAMO"/>
    <s v="UG"/>
    <n v="4"/>
    <s v="Commercial"/>
    <x v="0"/>
    <n v="10000"/>
    <n v="96"/>
    <x v="1"/>
    <n v="2"/>
    <x v="0"/>
    <n v="1"/>
    <s v="Unemployed"/>
    <n v="2"/>
    <x v="3"/>
    <n v="1"/>
    <n v="1"/>
    <n v="1"/>
    <n v="1"/>
    <n v="1"/>
    <s v="Y"/>
    <n v="1000"/>
    <x v="4"/>
  </r>
  <r>
    <s v="22.10.19"/>
    <d v="1899-12-30T08:52:00"/>
    <m/>
    <s v="P"/>
    <n v="2"/>
    <s v="Road Vehicle"/>
    <n v="4"/>
    <x v="3"/>
    <x v="1"/>
    <n v="3"/>
    <x v="2"/>
    <s v="KABALE TOWN"/>
    <s v="KABALE"/>
    <s v="UG"/>
    <n v="1"/>
    <s v="Home"/>
    <s v="HOIMA TOWN"/>
    <s v="HOIMA"/>
    <s v="UG"/>
    <n v="4"/>
    <s v="Commercial"/>
    <x v="0"/>
    <n v="50000"/>
    <n v="360"/>
    <x v="3"/>
    <n v="6"/>
    <x v="2"/>
    <n v="5"/>
    <s v="Professional"/>
    <n v="2"/>
    <x v="3"/>
    <n v="5"/>
    <n v="5"/>
    <n v="5"/>
    <n v="5"/>
    <n v="5"/>
    <s v="Y"/>
    <n v="4000"/>
    <x v="0"/>
  </r>
  <r>
    <s v="22.10.19"/>
    <d v="1899-12-30T10:27:00"/>
    <m/>
    <s v="P"/>
    <n v="2"/>
    <s v="Road Vehicle"/>
    <n v="4"/>
    <x v="3"/>
    <x v="1"/>
    <n v="3"/>
    <x v="2"/>
    <s v="KABALE TOWN"/>
    <s v="KABALE"/>
    <s v="UG"/>
    <n v="1"/>
    <s v="Home"/>
    <s v="NYENDO"/>
    <s v="MASAKA"/>
    <s v="UG"/>
    <n v="6"/>
    <s v="Leisure/Social"/>
    <x v="8"/>
    <n v="20000"/>
    <n v="200"/>
    <x v="3"/>
    <n v="3"/>
    <x v="0"/>
    <n v="1"/>
    <s v="Unemployed"/>
    <n v="1"/>
    <x v="2"/>
    <n v="1"/>
    <n v="1"/>
    <n v="1"/>
    <n v="1"/>
    <n v="1"/>
    <s v="Y"/>
    <n v="0"/>
    <x v="3"/>
  </r>
  <r>
    <s v="22.10.19"/>
    <d v="1899-12-30T18:17:00"/>
    <s v="UBB 545W"/>
    <s v="D"/>
    <n v="2"/>
    <s v="Road Vehicle"/>
    <n v="4"/>
    <x v="3"/>
    <x v="1"/>
    <n v="3"/>
    <x v="2"/>
    <s v="LUKINDA"/>
    <s v="KABALE"/>
    <s v="UG"/>
    <n v="1"/>
    <s v="Home"/>
    <s v="KABALE TOWN"/>
    <s v="KABALE"/>
    <s v="UG"/>
    <n v="2"/>
    <s v="Work"/>
    <x v="1"/>
    <n v="10000"/>
    <n v="3"/>
    <x v="0"/>
    <n v="0.28000000000000003"/>
    <x v="3"/>
    <n v="4"/>
    <s v="Office Worker"/>
    <n v="3"/>
    <x v="1"/>
    <n v="1"/>
    <n v="1"/>
    <n v="1"/>
    <n v="1"/>
    <n v="1"/>
    <s v="Y"/>
    <n v="2000"/>
    <x v="1"/>
  </r>
  <r>
    <s v="22.10.19"/>
    <d v="1899-12-30T18:44:00"/>
    <m/>
    <s v="P"/>
    <n v="2"/>
    <s v="Road Vehicle"/>
    <n v="4"/>
    <x v="3"/>
    <x v="1"/>
    <n v="3"/>
    <x v="2"/>
    <s v="KABALE TOWN"/>
    <s v="KABALE"/>
    <s v="UG"/>
    <n v="1"/>
    <s v="Home"/>
    <s v="IBANDA TOWN"/>
    <s v="IBANDA"/>
    <s v="UG"/>
    <n v="1"/>
    <s v="Home"/>
    <x v="16"/>
    <n v="25000"/>
    <n v="230"/>
    <x v="3"/>
    <n v="2"/>
    <x v="0"/>
    <n v="2"/>
    <s v="Manual Labour"/>
    <n v="2"/>
    <x v="3"/>
    <n v="1"/>
    <n v="5"/>
    <n v="5"/>
    <n v="1"/>
    <n v="1"/>
    <s v="Y"/>
    <n v="2000"/>
    <x v="1"/>
  </r>
  <r>
    <s v="23.10.19"/>
    <d v="1899-12-30T07:24:00"/>
    <m/>
    <s v="D"/>
    <n v="2"/>
    <s v="Road Vehicle"/>
    <n v="4"/>
    <x v="3"/>
    <x v="1"/>
    <n v="3"/>
    <x v="2"/>
    <s v="KITWE"/>
    <s v="MBARARA"/>
    <s v="UG"/>
    <n v="1"/>
    <s v="Home"/>
    <s v="KABALE TOWN"/>
    <s v="KABALE"/>
    <s v="UG"/>
    <n v="4"/>
    <s v="Commercial"/>
    <x v="0"/>
    <n v="30000"/>
    <n v="40"/>
    <x v="5"/>
    <n v="2"/>
    <x v="0"/>
    <n v="2"/>
    <s v="Manual Labour"/>
    <n v="2"/>
    <x v="3"/>
    <n v="5"/>
    <n v="5"/>
    <n v="5"/>
    <n v="5"/>
    <n v="5"/>
    <s v="Y"/>
    <n v="1000"/>
    <x v="4"/>
  </r>
  <r>
    <s v="23.10.19"/>
    <d v="1899-12-30T10:38:00"/>
    <m/>
    <s v="P"/>
    <n v="2"/>
    <s v="Road Vehicle"/>
    <n v="4"/>
    <x v="3"/>
    <x v="1"/>
    <n v="3"/>
    <x v="2"/>
    <s v="BWINDI TOWN"/>
    <s v="KANUNGU"/>
    <s v="UG"/>
    <n v="4"/>
    <s v="Commercial"/>
    <s v="KABALE TOWN"/>
    <s v="KABALE"/>
    <s v="UG"/>
    <n v="4"/>
    <s v="Commercial"/>
    <x v="18"/>
    <n v="40000"/>
    <n v="420"/>
    <x v="3"/>
    <n v="7"/>
    <x v="2"/>
    <n v="6"/>
    <s v="Businessman"/>
    <n v="3"/>
    <x v="1"/>
    <n v="5"/>
    <n v="5"/>
    <n v="5"/>
    <n v="5"/>
    <n v="5"/>
    <s v="Y"/>
    <n v="3000"/>
    <x v="0"/>
  </r>
  <r>
    <s v="23.10.19"/>
    <d v="1899-12-30T10:44:00"/>
    <m/>
    <s v="P"/>
    <n v="2"/>
    <s v="Road Vehicle"/>
    <n v="4"/>
    <x v="3"/>
    <x v="1"/>
    <n v="3"/>
    <x v="2"/>
    <s v="KABALE TOWN"/>
    <s v="KABALE"/>
    <s v="UG"/>
    <n v="4"/>
    <s v="Commercial"/>
    <s v="MITOMA TOWN"/>
    <s v="MITOMA"/>
    <s v="UG"/>
    <n v="6"/>
    <s v="Leisure/Social"/>
    <x v="36"/>
    <n v="12000"/>
    <n v="120"/>
    <x v="2"/>
    <n v="2"/>
    <x v="0"/>
    <n v="5"/>
    <s v="Professional"/>
    <n v="2"/>
    <x v="3"/>
    <n v="2"/>
    <n v="2"/>
    <n v="5"/>
    <n v="5"/>
    <n v="2"/>
    <s v="Y"/>
    <n v="0"/>
    <x v="3"/>
  </r>
  <r>
    <s v="23.10.19"/>
    <d v="1899-12-30T11:55:00"/>
    <m/>
    <s v="P"/>
    <n v="2"/>
    <s v="Road Vehicle"/>
    <n v="4"/>
    <x v="3"/>
    <x v="1"/>
    <n v="3"/>
    <x v="2"/>
    <s v="KABALE TOWN"/>
    <s v="KABALE"/>
    <s v="UG"/>
    <n v="1"/>
    <s v="Home"/>
    <s v="BUSHENYI TOWN"/>
    <s v="BUSHENYI"/>
    <s v="UG"/>
    <n v="4"/>
    <s v="Commercial"/>
    <x v="0"/>
    <n v="3000"/>
    <n v="47"/>
    <x v="5"/>
    <n v="0.78"/>
    <x v="4"/>
    <n v="6"/>
    <s v="Businessman"/>
    <n v="3"/>
    <x v="1"/>
    <n v="1"/>
    <n v="1"/>
    <n v="1"/>
    <n v="1"/>
    <n v="1"/>
    <s v="Y"/>
    <n v="1000"/>
    <x v="4"/>
  </r>
  <r>
    <s v="23.10.19"/>
    <d v="1899-12-30T12:41:00"/>
    <m/>
    <s v="P"/>
    <n v="2"/>
    <s v="Road Vehicle"/>
    <n v="4"/>
    <x v="3"/>
    <x v="1"/>
    <n v="3"/>
    <x v="2"/>
    <s v="KABALE TOWN"/>
    <s v="KABALE"/>
    <s v="UG"/>
    <n v="1"/>
    <s v="Home"/>
    <s v="HOIMA TOWN"/>
    <s v="HOIMA"/>
    <s v="UG"/>
    <n v="4"/>
    <s v="Commercial"/>
    <x v="0"/>
    <n v="50000"/>
    <n v="480"/>
    <x v="3"/>
    <n v="7"/>
    <x v="2"/>
    <n v="6"/>
    <s v="Businessman"/>
    <n v="3"/>
    <x v="1"/>
    <n v="5"/>
    <n v="5"/>
    <n v="5"/>
    <n v="5"/>
    <n v="5"/>
    <s v="Y"/>
    <n v="3000"/>
    <x v="0"/>
  </r>
  <r>
    <s v="23.10.19"/>
    <d v="1899-12-30T14:10:00"/>
    <m/>
    <s v="D"/>
    <n v="2"/>
    <s v="Road Vehicle"/>
    <n v="4"/>
    <x v="3"/>
    <x v="1"/>
    <n v="3"/>
    <x v="2"/>
    <s v="KATUNA"/>
    <s v="KABALE"/>
    <s v="UG"/>
    <n v="1"/>
    <s v="Home"/>
    <s v="KABALE TOWN"/>
    <s v="KABALE"/>
    <s v="UG"/>
    <n v="2"/>
    <s v="Work"/>
    <x v="1"/>
    <n v="20000"/>
    <n v="30"/>
    <x v="4"/>
    <n v="0.5"/>
    <x v="4"/>
    <n v="4"/>
    <s v="Office Worker"/>
    <n v="3"/>
    <x v="1"/>
    <n v="1"/>
    <n v="1"/>
    <n v="1"/>
    <n v="1"/>
    <n v="1"/>
    <s v="Y"/>
    <n v="2000"/>
    <x v="1"/>
  </r>
  <r>
    <s v="21.10.19"/>
    <d v="1899-12-30T15:13:00"/>
    <m/>
    <s v="P"/>
    <n v="2"/>
    <s v="Road Vehicle"/>
    <n v="4"/>
    <x v="3"/>
    <x v="0"/>
    <n v="3"/>
    <x v="2"/>
    <s v="KASHERERE"/>
    <s v="KABALE"/>
    <s v="UG"/>
    <n v="1"/>
    <s v="Home"/>
    <s v="KABALE TOWN"/>
    <s v="KABALE"/>
    <s v="UG"/>
    <n v="4"/>
    <s v="Commercial"/>
    <x v="0"/>
    <n v="5000"/>
    <n v="41"/>
    <x v="5"/>
    <n v="0.5"/>
    <x v="4"/>
    <n v="7"/>
    <s v="Farmer"/>
    <n v="2"/>
    <x v="3"/>
    <n v="1"/>
    <n v="1"/>
    <n v="1"/>
    <n v="1"/>
    <n v="1"/>
    <s v="Y"/>
    <n v="0"/>
    <x v="3"/>
  </r>
  <r>
    <s v="21.10.19"/>
    <d v="1899-12-30T15:27:00"/>
    <m/>
    <s v="P"/>
    <n v="2"/>
    <s v="Road Vehicle"/>
    <n v="4"/>
    <x v="3"/>
    <x v="0"/>
    <n v="3"/>
    <x v="2"/>
    <s v="KITWE"/>
    <s v="KABALE"/>
    <s v="UG"/>
    <n v="1"/>
    <s v="Home"/>
    <s v="KABALE TOWN"/>
    <s v="KABALE"/>
    <s v="UG"/>
    <n v="4"/>
    <s v="Commercial"/>
    <x v="0"/>
    <n v="15000"/>
    <n v="57"/>
    <x v="5"/>
    <n v="2"/>
    <x v="0"/>
    <n v="2"/>
    <s v="Manual Labour"/>
    <n v="2"/>
    <x v="3"/>
    <n v="5"/>
    <n v="5"/>
    <n v="5"/>
    <n v="5"/>
    <n v="5"/>
    <s v="Y"/>
    <n v="2000"/>
    <x v="1"/>
  </r>
  <r>
    <s v="22.10.19"/>
    <d v="1899-12-30T09:26:00"/>
    <s v="UBC 556E"/>
    <s v="D"/>
    <n v="2"/>
    <s v="Road Vehicle"/>
    <n v="4"/>
    <x v="3"/>
    <x v="0"/>
    <n v="3"/>
    <x v="2"/>
    <s v="LUKINDA"/>
    <s v="KABALE"/>
    <s v="UG"/>
    <n v="4"/>
    <s v="Commercial"/>
    <s v="KABALE TOWN"/>
    <s v="KABALE"/>
    <s v="UG"/>
    <n v="4"/>
    <s v="Commercial"/>
    <x v="18"/>
    <n v="70000"/>
    <n v="3"/>
    <x v="0"/>
    <n v="1"/>
    <x v="1"/>
    <n v="5"/>
    <s v="Professional"/>
    <n v="2"/>
    <x v="3"/>
    <n v="5"/>
    <n v="5"/>
    <n v="5"/>
    <n v="5"/>
    <n v="5"/>
    <s v="Y"/>
    <n v="3000"/>
    <x v="0"/>
  </r>
  <r>
    <s v="22.10.19"/>
    <d v="1899-12-30T09:37:00"/>
    <s v="UAF 575F"/>
    <s v="D"/>
    <n v="2"/>
    <s v="Road Vehicle"/>
    <n v="4"/>
    <x v="3"/>
    <x v="0"/>
    <n v="3"/>
    <x v="2"/>
    <s v="LUKINDA"/>
    <s v="KABALE"/>
    <s v="UG"/>
    <n v="4"/>
    <s v="Commercial"/>
    <s v="KABALE TOWN"/>
    <s v="KABALE"/>
    <s v="UG"/>
    <n v="4"/>
    <s v="Commercial"/>
    <x v="18"/>
    <n v="60000"/>
    <n v="3"/>
    <x v="0"/>
    <n v="1"/>
    <x v="1"/>
    <n v="5"/>
    <s v="Professional"/>
    <n v="2"/>
    <x v="3"/>
    <n v="5"/>
    <n v="5"/>
    <n v="1"/>
    <n v="1"/>
    <n v="3"/>
    <s v="Y"/>
    <n v="500"/>
    <x v="3"/>
  </r>
  <r>
    <s v="22.10.19"/>
    <d v="1899-12-30T13:38:00"/>
    <s v="UAS 006S"/>
    <s v="D"/>
    <n v="2"/>
    <s v="Road Vehicle"/>
    <n v="4"/>
    <x v="3"/>
    <x v="0"/>
    <n v="3"/>
    <x v="2"/>
    <s v="KABALE TOWN"/>
    <s v="KABALE"/>
    <s v="UG"/>
    <n v="4"/>
    <s v="Commercial"/>
    <s v="MUNANUKA"/>
    <s v="KABALE"/>
    <s v="UG"/>
    <n v="4"/>
    <s v="Commercial"/>
    <x v="18"/>
    <n v="10000"/>
    <n v="137"/>
    <x v="2"/>
    <n v="2"/>
    <x v="0"/>
    <n v="5"/>
    <s v="Professional"/>
    <n v="2"/>
    <x v="3"/>
    <n v="5"/>
    <n v="5"/>
    <n v="1"/>
    <n v="5"/>
    <n v="1"/>
    <s v="Y"/>
    <n v="2000"/>
    <x v="1"/>
  </r>
  <r>
    <s v="22.10.19"/>
    <d v="1899-12-30T14:57:00"/>
    <s v="UAU 731B"/>
    <s v="D"/>
    <n v="2"/>
    <s v="Road Vehicle"/>
    <n v="4"/>
    <x v="3"/>
    <x v="0"/>
    <n v="3"/>
    <x v="2"/>
    <m/>
    <m/>
    <s v="UG"/>
    <n v="4"/>
    <s v="Commercial"/>
    <m/>
    <m/>
    <s v="UG"/>
    <n v="4"/>
    <s v="Commercial"/>
    <x v="18"/>
    <n v="700000"/>
    <n v="240"/>
    <x v="3"/>
    <n v="4"/>
    <x v="2"/>
    <n v="5"/>
    <s v="Professional"/>
    <n v="2"/>
    <x v="3"/>
    <n v="1"/>
    <n v="5"/>
    <n v="1"/>
    <n v="5"/>
    <n v="5"/>
    <s v="Y"/>
    <n v="1000"/>
    <x v="4"/>
  </r>
  <r>
    <s v="22.10.19"/>
    <d v="1899-12-30T17:46:00"/>
    <m/>
    <s v="P"/>
    <n v="2"/>
    <s v="Road Vehicle"/>
    <n v="4"/>
    <x v="3"/>
    <x v="0"/>
    <n v="3"/>
    <x v="2"/>
    <s v="MAKUNGUGUDE"/>
    <s v="KABALE"/>
    <s v="UG"/>
    <n v="1"/>
    <s v="Home"/>
    <s v="KABALE TOWN"/>
    <s v="KABALE"/>
    <s v="UG"/>
    <n v="2"/>
    <s v="Work"/>
    <x v="1"/>
    <n v="4000"/>
    <n v="30"/>
    <x v="4"/>
    <n v="0.36599999999999999"/>
    <x v="3"/>
    <n v="7"/>
    <s v="Farmer"/>
    <n v="2"/>
    <x v="3"/>
    <n v="1"/>
    <n v="1"/>
    <n v="5"/>
    <n v="5"/>
    <n v="5"/>
    <s v="Y"/>
    <n v="1000"/>
    <x v="4"/>
  </r>
  <r>
    <s v="22.10.19"/>
    <d v="1899-12-30T10:01:00"/>
    <s v="UAP 745F"/>
    <s v="D"/>
    <n v="2"/>
    <s v="Road Vehicle"/>
    <n v="4"/>
    <x v="3"/>
    <x v="0"/>
    <n v="3"/>
    <x v="2"/>
    <s v="KABALE TOWN"/>
    <s v="KABALE"/>
    <s v="UG"/>
    <n v="2"/>
    <s v="Work"/>
    <s v="RUKUNGIRI TOWN"/>
    <s v="RUKUNGIRI"/>
    <s v="UG"/>
    <n v="8"/>
    <s v="Others"/>
    <x v="19"/>
    <n v="100000"/>
    <n v="150"/>
    <x v="2"/>
    <n v="2"/>
    <x v="0"/>
    <n v="5"/>
    <s v="Professional"/>
    <n v="1"/>
    <x v="2"/>
    <n v="5"/>
    <n v="4"/>
    <n v="5"/>
    <n v="5"/>
    <n v="5"/>
    <s v="Y"/>
    <n v="0"/>
    <x v="3"/>
  </r>
  <r>
    <s v="23.10.19"/>
    <d v="1899-12-30T16:01:00"/>
    <m/>
    <s v="D"/>
    <n v="2"/>
    <s v="Road Vehicle"/>
    <n v="4"/>
    <x v="3"/>
    <x v="0"/>
    <n v="3"/>
    <x v="2"/>
    <s v="MBARARA TOWN"/>
    <s v="MBARARA"/>
    <s v="UG"/>
    <n v="4"/>
    <s v="Commercial"/>
    <s v="KABALE TOWN"/>
    <s v="KABALE"/>
    <s v="UG"/>
    <n v="4"/>
    <s v="Commercial"/>
    <x v="18"/>
    <n v="60000"/>
    <n v="143"/>
    <x v="2"/>
    <n v="2.5"/>
    <x v="0"/>
    <n v="5"/>
    <s v="Professional"/>
    <n v="3"/>
    <x v="1"/>
    <n v="1"/>
    <n v="1"/>
    <n v="1"/>
    <n v="1"/>
    <n v="1"/>
    <s v="Y"/>
    <n v="2000"/>
    <x v="1"/>
  </r>
  <r>
    <s v="23.10.19"/>
    <d v="1899-12-30T08:41:00"/>
    <m/>
    <s v="D"/>
    <n v="2"/>
    <s v="Road Vehicle"/>
    <n v="4"/>
    <x v="3"/>
    <x v="0"/>
    <n v="3"/>
    <x v="2"/>
    <s v="KABALE TOWN"/>
    <s v="KABALE"/>
    <s v="UG"/>
    <n v="4"/>
    <s v="Commercial"/>
    <s v="FORTPORTAL TOWN"/>
    <s v="FORTPORTAL"/>
    <s v="UG"/>
    <n v="4"/>
    <s v="Commercial"/>
    <x v="18"/>
    <n v="200000"/>
    <n v="360"/>
    <x v="3"/>
    <n v="3"/>
    <x v="0"/>
    <n v="5"/>
    <s v="Professional"/>
    <n v="2"/>
    <x v="3"/>
    <n v="1"/>
    <n v="1"/>
    <n v="1"/>
    <n v="1"/>
    <n v="1"/>
    <s v="Y"/>
    <n v="2000"/>
    <x v="1"/>
  </r>
  <r>
    <s v="23.10.19"/>
    <d v="1899-12-30T11:49:00"/>
    <m/>
    <s v="D"/>
    <n v="2"/>
    <s v="Road Vehicle"/>
    <n v="4"/>
    <x v="3"/>
    <x v="0"/>
    <n v="3"/>
    <x v="2"/>
    <s v="KABALE TOWN"/>
    <s v="KABALE"/>
    <s v="UG"/>
    <n v="4"/>
    <s v="Commercial"/>
    <s v="KASESE TOWN"/>
    <s v="KASESE"/>
    <s v="UG"/>
    <n v="4"/>
    <s v="Commercial"/>
    <x v="18"/>
    <n v="20000"/>
    <n v="223"/>
    <x v="3"/>
    <n v="3"/>
    <x v="0"/>
    <n v="5"/>
    <s v="Professional"/>
    <n v="2"/>
    <x v="3"/>
    <n v="1"/>
    <n v="1"/>
    <n v="1"/>
    <n v="1"/>
    <n v="1"/>
    <s v="Y"/>
    <n v="1000"/>
    <x v="4"/>
  </r>
  <r>
    <s v="23.10.19"/>
    <d v="1899-12-30T12:23:00"/>
    <m/>
    <s v="D"/>
    <n v="2"/>
    <s v="Road Vehicle"/>
    <n v="4"/>
    <x v="3"/>
    <x v="0"/>
    <n v="3"/>
    <x v="2"/>
    <s v="KABALE TOWN"/>
    <s v="KABALE"/>
    <s v="UG"/>
    <n v="4"/>
    <s v="Commercial"/>
    <s v="FORTPORTAL TOWN"/>
    <s v="FORTPORTAL"/>
    <s v="UG"/>
    <n v="4"/>
    <s v="Commercial"/>
    <x v="18"/>
    <n v="300000"/>
    <n v="312"/>
    <x v="3"/>
    <n v="4"/>
    <x v="2"/>
    <n v="5"/>
    <s v="Professional"/>
    <n v="3"/>
    <x v="1"/>
    <n v="5"/>
    <n v="5"/>
    <n v="1"/>
    <n v="1"/>
    <n v="5"/>
    <s v="Y"/>
    <n v="5000"/>
    <x v="2"/>
  </r>
  <r>
    <s v="23.10.19"/>
    <d v="1899-12-30T13:36:00"/>
    <m/>
    <s v="D"/>
    <n v="2"/>
    <s v="Road Vehicle"/>
    <n v="4"/>
    <x v="3"/>
    <x v="0"/>
    <n v="3"/>
    <x v="2"/>
    <s v="KISIIZI TOWN"/>
    <s v="RUKUNGIRI"/>
    <s v="UG"/>
    <n v="4"/>
    <s v="Commercial"/>
    <s v="KABALE TOWN"/>
    <s v="KABALE"/>
    <s v="UG"/>
    <n v="4"/>
    <s v="Commercial"/>
    <x v="18"/>
    <n v="3000"/>
    <n v="40"/>
    <x v="5"/>
    <n v="0.66"/>
    <x v="4"/>
    <n v="5"/>
    <s v="Professional"/>
    <n v="2"/>
    <x v="3"/>
    <n v="1"/>
    <n v="5"/>
    <n v="5"/>
    <n v="5"/>
    <n v="1"/>
    <s v="Y"/>
    <n v="0"/>
    <x v="3"/>
  </r>
  <r>
    <s v="23.10.19"/>
    <d v="1899-12-30T11:34:00"/>
    <s v="UAS 136V"/>
    <s v="D"/>
    <n v="2"/>
    <s v="Road Vehicle"/>
    <n v="4"/>
    <x v="3"/>
    <x v="0"/>
    <n v="3"/>
    <x v="2"/>
    <s v="KABALE TOWN"/>
    <s v="KABALE"/>
    <s v="UG"/>
    <n v="2"/>
    <s v="Work"/>
    <s v="LUKINDA"/>
    <s v="KABALE"/>
    <s v="UG"/>
    <n v="1"/>
    <s v="Home"/>
    <x v="4"/>
    <n v="30000"/>
    <n v="15"/>
    <x v="6"/>
    <n v="0.83"/>
    <x v="4"/>
    <n v="10"/>
    <s v="Other"/>
    <n v="1"/>
    <x v="2"/>
    <n v="2"/>
    <n v="2"/>
    <n v="2"/>
    <n v="2"/>
    <n v="2"/>
    <s v="Y"/>
    <n v="0"/>
    <x v="3"/>
  </r>
  <r>
    <s v="23.10.19"/>
    <d v="1899-12-30T08:19:00"/>
    <m/>
    <s v="P"/>
    <n v="2"/>
    <s v="Road Vehicle"/>
    <n v="3"/>
    <x v="9"/>
    <x v="1"/>
    <n v="3"/>
    <x v="2"/>
    <s v="RUBANDA TOWN"/>
    <s v="RUBANDA"/>
    <s v="UG"/>
    <n v="4"/>
    <s v="Commercial"/>
    <s v="KABALE TOWN"/>
    <s v="KABALE"/>
    <s v="UG"/>
    <n v="1"/>
    <s v="Home"/>
    <x v="3"/>
    <n v="10000"/>
    <n v="33"/>
    <x v="4"/>
    <n v="0.83"/>
    <x v="4"/>
    <n v="5"/>
    <s v="Professional"/>
    <n v="5"/>
    <x v="4"/>
    <n v="2"/>
    <n v="2"/>
    <n v="2"/>
    <n v="3"/>
    <n v="3"/>
    <s v="Y"/>
    <n v="5000"/>
    <x v="2"/>
  </r>
  <r>
    <s v="21.10.19"/>
    <d v="1899-12-30T16:39:00"/>
    <s v="UG 0461R"/>
    <s v="D"/>
    <n v="2"/>
    <s v="Road Vehicle"/>
    <n v="2"/>
    <x v="6"/>
    <x v="1"/>
    <n v="3"/>
    <x v="2"/>
    <s v="KABALE TOWN"/>
    <s v="KABALE"/>
    <s v="UG"/>
    <n v="2"/>
    <s v="Work"/>
    <s v="KAZIRA"/>
    <s v="KABALE"/>
    <s v="UG"/>
    <n v="1"/>
    <s v="Home"/>
    <x v="4"/>
    <n v="5000"/>
    <n v="3"/>
    <x v="0"/>
    <n v="0.05"/>
    <x v="3"/>
    <n v="4"/>
    <s v="Office Worker"/>
    <n v="5"/>
    <x v="4"/>
    <n v="1"/>
    <n v="1"/>
    <n v="1"/>
    <n v="1"/>
    <n v="1"/>
    <s v="Y"/>
    <n v="5000"/>
    <x v="2"/>
  </r>
  <r>
    <s v="21.10.19"/>
    <d v="1899-12-30T16:08:00"/>
    <s v="UBB 776S"/>
    <s v="D"/>
    <n v="2"/>
    <s v="Road Vehicle"/>
    <n v="9"/>
    <x v="8"/>
    <x v="0"/>
    <n v="4"/>
    <x v="3"/>
    <s v="KISORO TOWN"/>
    <s v="KISORO"/>
    <s v="UG"/>
    <n v="4"/>
    <s v="Commercial"/>
    <s v="KAMPALA TOWN"/>
    <s v="KAMPALA"/>
    <s v="UG"/>
    <n v="2"/>
    <s v="Work"/>
    <x v="24"/>
    <n v="500000"/>
    <n v="460"/>
    <x v="3"/>
    <n v="16"/>
    <x v="2"/>
    <n v="5"/>
    <s v="Professional"/>
    <n v="5"/>
    <x v="4"/>
    <n v="3"/>
    <n v="3"/>
    <n v="3"/>
    <n v="3"/>
    <n v="2"/>
    <s v="Y"/>
    <n v="5000"/>
    <x v="2"/>
  </r>
  <r>
    <s v="21.10.19"/>
    <d v="1899-12-30T15:28:00"/>
    <s v="UBA 002P"/>
    <s v="D"/>
    <n v="2"/>
    <s v="Road Vehicle"/>
    <n v="6"/>
    <x v="1"/>
    <x v="0"/>
    <n v="4"/>
    <x v="3"/>
    <s v="KISORO TOWN"/>
    <s v="KISORO"/>
    <s v="UG"/>
    <n v="2"/>
    <s v="Work"/>
    <s v="KAMPALA TOWN"/>
    <s v="KAMPALA"/>
    <s v="UG"/>
    <n v="2"/>
    <s v="Work"/>
    <x v="2"/>
    <n v="350000"/>
    <n v="436"/>
    <x v="3"/>
    <n v="14"/>
    <x v="2"/>
    <n v="5"/>
    <s v="Professional"/>
    <n v="5"/>
    <x v="4"/>
    <n v="1"/>
    <n v="1"/>
    <n v="1"/>
    <n v="1"/>
    <n v="1"/>
    <s v="Y"/>
    <n v="5000"/>
    <x v="2"/>
  </r>
  <r>
    <s v="21.10.19"/>
    <d v="1899-12-30T14:33:00"/>
    <s v="UAX 410K"/>
    <s v="D"/>
    <n v="2"/>
    <s v="Road Vehicle"/>
    <n v="6"/>
    <x v="1"/>
    <x v="0"/>
    <n v="4"/>
    <x v="3"/>
    <s v="KISORO TOWN"/>
    <s v="KISORO"/>
    <s v="UG"/>
    <n v="2"/>
    <s v="Work"/>
    <s v="KAMPALA TOWN"/>
    <s v="KAMPALA"/>
    <s v="UG"/>
    <n v="2"/>
    <s v="Work"/>
    <x v="2"/>
    <n v="320000"/>
    <n v="480"/>
    <x v="3"/>
    <n v="14"/>
    <x v="2"/>
    <n v="5"/>
    <s v="Professional"/>
    <n v="5"/>
    <x v="4"/>
    <n v="1"/>
    <n v="1"/>
    <n v="1"/>
    <n v="1"/>
    <n v="1"/>
    <s v="Y"/>
    <n v="5000"/>
    <x v="2"/>
  </r>
  <r>
    <s v="22.10.19"/>
    <d v="1899-12-30T09:24:00"/>
    <m/>
    <s v="P"/>
    <n v="2"/>
    <s v="Road Vehicle"/>
    <n v="4"/>
    <x v="3"/>
    <x v="1"/>
    <n v="4"/>
    <x v="3"/>
    <s v="KABALE TOWN"/>
    <s v="KABALE"/>
    <s v="UG"/>
    <n v="1"/>
    <s v="Home"/>
    <s v="ISHAKA TOWN"/>
    <s v="ISHAKA"/>
    <s v="UG"/>
    <n v="3"/>
    <s v="Study"/>
    <x v="25"/>
    <n v="25000"/>
    <n v="260"/>
    <x v="3"/>
    <n v="3"/>
    <x v="0"/>
    <n v="1"/>
    <s v="Unemployed"/>
    <n v="1"/>
    <x v="2"/>
    <n v="1"/>
    <n v="1"/>
    <n v="1"/>
    <n v="1"/>
    <n v="5"/>
    <s v="Y"/>
    <n v="0"/>
    <x v="3"/>
  </r>
  <r>
    <s v="23.10.19"/>
    <d v="1899-12-30T09:22:00"/>
    <m/>
    <s v="P"/>
    <n v="2"/>
    <s v="Road Vehicle"/>
    <n v="4"/>
    <x v="3"/>
    <x v="1"/>
    <n v="4"/>
    <x v="3"/>
    <s v="KABALE TOWN"/>
    <s v="KABALE"/>
    <s v="UG"/>
    <n v="1"/>
    <s v="Home"/>
    <s v="MBARARA TOWN"/>
    <s v="MBARARA"/>
    <s v="UG"/>
    <n v="7"/>
    <s v="Hospital"/>
    <x v="32"/>
    <n v="15000"/>
    <n v="139"/>
    <x v="2"/>
    <n v="2"/>
    <x v="0"/>
    <n v="2"/>
    <s v="Manual Labour"/>
    <n v="2"/>
    <x v="3"/>
    <n v="1"/>
    <n v="1"/>
    <n v="1"/>
    <n v="1"/>
    <n v="1"/>
    <s v="Y"/>
    <n v="1000"/>
    <x v="4"/>
  </r>
  <r>
    <s v="21.10.19"/>
    <d v="1899-12-30T18:17:00"/>
    <s v="UBA 059Y"/>
    <s v="D"/>
    <n v="2"/>
    <s v="Road Vehicle"/>
    <n v="4"/>
    <x v="3"/>
    <x v="0"/>
    <n v="4"/>
    <x v="3"/>
    <s v="KABALE TOWN"/>
    <s v="KABALE"/>
    <s v="UG"/>
    <n v="4"/>
    <s v="Commercial"/>
    <s v="HOIMA TOWN"/>
    <s v="HOIMA"/>
    <s v="UG"/>
    <n v="4"/>
    <s v="Commercial"/>
    <x v="18"/>
    <n v="200000"/>
    <n v="460"/>
    <x v="3"/>
    <n v="4"/>
    <x v="2"/>
    <n v="5"/>
    <s v="Professional"/>
    <n v="2"/>
    <x v="3"/>
    <n v="5"/>
    <n v="5"/>
    <n v="1"/>
    <n v="5"/>
    <n v="5"/>
    <s v="Y"/>
    <n v="2000"/>
    <x v="1"/>
  </r>
  <r>
    <s v="22.10.19"/>
    <d v="1899-12-30T10:15:00"/>
    <m/>
    <s v="P"/>
    <n v="2"/>
    <s v="Road Vehicle"/>
    <n v="4"/>
    <x v="3"/>
    <x v="0"/>
    <n v="4"/>
    <x v="3"/>
    <s v="RISINJI"/>
    <s v="KABALE"/>
    <s v="UG"/>
    <n v="1"/>
    <s v="Home"/>
    <s v="KABALE TOWN"/>
    <s v="KABALE"/>
    <s v="UG"/>
    <n v="1"/>
    <s v="Home"/>
    <x v="16"/>
    <n v="7000"/>
    <n v="3"/>
    <x v="0"/>
    <n v="0.5"/>
    <x v="4"/>
    <n v="4"/>
    <s v="Office Worker"/>
    <n v="3"/>
    <x v="1"/>
    <n v="1"/>
    <n v="5"/>
    <n v="5"/>
    <n v="5"/>
    <n v="1"/>
    <s v="Y"/>
    <n v="2000"/>
    <x v="1"/>
  </r>
  <r>
    <s v="22.10.19"/>
    <d v="1899-12-30T11:57:00"/>
    <s v="UAY 566Y"/>
    <s v="D"/>
    <n v="2"/>
    <s v="Road Vehicle"/>
    <n v="4"/>
    <x v="3"/>
    <x v="0"/>
    <n v="4"/>
    <x v="3"/>
    <s v="KABALE TOWN"/>
    <s v="KABALE"/>
    <s v="UG"/>
    <n v="4"/>
    <s v="Commercial"/>
    <s v="KASHERERE"/>
    <s v="KABALE"/>
    <s v="UG"/>
    <n v="4"/>
    <s v="Commercial"/>
    <x v="18"/>
    <n v="30000"/>
    <n v="42"/>
    <x v="5"/>
    <n v="0.66"/>
    <x v="4"/>
    <n v="5"/>
    <s v="Professional"/>
    <n v="2"/>
    <x v="3"/>
    <n v="5"/>
    <n v="5"/>
    <n v="5"/>
    <n v="5"/>
    <n v="5"/>
    <s v="Y"/>
    <n v="1000"/>
    <x v="4"/>
  </r>
  <r>
    <s v="22.10.19"/>
    <d v="1899-12-30T12:17:00"/>
    <s v="UAA 588V"/>
    <s v="D"/>
    <n v="2"/>
    <s v="Road Vehicle"/>
    <n v="4"/>
    <x v="3"/>
    <x v="0"/>
    <n v="4"/>
    <x v="3"/>
    <s v="KATUNA"/>
    <s v="KABALE"/>
    <s v="UG"/>
    <n v="4"/>
    <s v="Commercial"/>
    <s v="KABALE TOWN"/>
    <s v="KABALE"/>
    <s v="UG"/>
    <n v="4"/>
    <s v="Commercial"/>
    <x v="18"/>
    <n v="10000"/>
    <n v="2"/>
    <x v="0"/>
    <n v="0.28000000000000003"/>
    <x v="3"/>
    <n v="5"/>
    <s v="Professional"/>
    <n v="2"/>
    <x v="3"/>
    <n v="5"/>
    <n v="5"/>
    <n v="1"/>
    <n v="5"/>
    <n v="1"/>
    <s v="Y"/>
    <n v="2000"/>
    <x v="1"/>
  </r>
  <r>
    <s v="22.10.19"/>
    <d v="1899-12-30T15:06:00"/>
    <m/>
    <s v="P"/>
    <n v="2"/>
    <s v="Road Vehicle"/>
    <n v="4"/>
    <x v="3"/>
    <x v="0"/>
    <n v="4"/>
    <x v="3"/>
    <s v="KABALE TOWN"/>
    <s v="KABALE"/>
    <s v="UG"/>
    <n v="1"/>
    <s v="Home"/>
    <s v="KAMPALA TOWN"/>
    <s v="KAMPALA"/>
    <s v="UG"/>
    <n v="2"/>
    <s v="Work"/>
    <x v="1"/>
    <n v="40000"/>
    <n v="399"/>
    <x v="3"/>
    <n v="5"/>
    <x v="2"/>
    <n v="5"/>
    <s v="Professional"/>
    <n v="3"/>
    <x v="1"/>
    <n v="5"/>
    <n v="5"/>
    <n v="1"/>
    <n v="5"/>
    <n v="1"/>
    <s v="Y"/>
    <n v="10000"/>
    <x v="5"/>
  </r>
  <r>
    <s v="22.10.19"/>
    <d v="1899-12-30T16:36:00"/>
    <s v="UAF 068X"/>
    <s v="D"/>
    <n v="2"/>
    <s v="Road Vehicle"/>
    <n v="4"/>
    <x v="3"/>
    <x v="0"/>
    <n v="4"/>
    <x v="3"/>
    <s v="KABALE TOWN"/>
    <s v="KABALE"/>
    <s v="UG"/>
    <n v="4"/>
    <s v="Commercial"/>
    <s v="KAGADI TOWN"/>
    <s v="KAGADI"/>
    <s v="UG"/>
    <n v="4"/>
    <s v="Commercial"/>
    <x v="18"/>
    <n v="100000"/>
    <n v="560"/>
    <x v="3"/>
    <n v="5"/>
    <x v="2"/>
    <n v="5"/>
    <s v="Professional"/>
    <n v="2"/>
    <x v="3"/>
    <n v="5"/>
    <n v="5"/>
    <n v="5"/>
    <n v="5"/>
    <n v="1"/>
    <s v="Y"/>
    <n v="5000"/>
    <x v="2"/>
  </r>
  <r>
    <s v="23.10.19"/>
    <d v="1899-12-30T07:37:00"/>
    <m/>
    <s v="D"/>
    <n v="2"/>
    <s v="Road Vehicle"/>
    <n v="4"/>
    <x v="3"/>
    <x v="0"/>
    <n v="4"/>
    <x v="3"/>
    <s v="KYANIKA TOWN"/>
    <s v="KISORO"/>
    <s v="UG"/>
    <n v="4"/>
    <s v="Commercial"/>
    <s v="KAMPALA TOWN"/>
    <s v="KAMPALA"/>
    <s v="UG"/>
    <n v="4"/>
    <s v="Commercial"/>
    <x v="18"/>
    <n v="200000"/>
    <n v="470"/>
    <x v="3"/>
    <n v="8"/>
    <x v="2"/>
    <n v="5"/>
    <s v="Professional"/>
    <n v="2"/>
    <x v="3"/>
    <n v="5"/>
    <n v="1"/>
    <n v="5"/>
    <n v="5"/>
    <n v="5"/>
    <s v="Y"/>
    <n v="1000"/>
    <x v="4"/>
  </r>
  <r>
    <s v="23.10.19"/>
    <d v="1899-12-30T09:35:00"/>
    <m/>
    <s v="D"/>
    <n v="2"/>
    <s v="Road Vehicle"/>
    <n v="4"/>
    <x v="3"/>
    <x v="0"/>
    <n v="4"/>
    <x v="3"/>
    <s v="KABALE TOWN"/>
    <s v="KABALE"/>
    <s v="UG"/>
    <n v="4"/>
    <s v="Commercial"/>
    <s v="KAMWENGE TOWN"/>
    <s v="KAMWENGE"/>
    <s v="UG"/>
    <n v="4"/>
    <s v="Commercial"/>
    <x v="18"/>
    <n v="300000"/>
    <n v="360"/>
    <x v="3"/>
    <n v="3"/>
    <x v="0"/>
    <n v="5"/>
    <s v="Professional"/>
    <n v="2"/>
    <x v="3"/>
    <n v="1"/>
    <n v="5"/>
    <n v="5"/>
    <n v="5"/>
    <n v="5"/>
    <s v="Y"/>
    <n v="1000"/>
    <x v="4"/>
  </r>
  <r>
    <s v="23.10.19"/>
    <d v="1899-12-30T10:27:00"/>
    <m/>
    <s v="P"/>
    <n v="2"/>
    <s v="Road Vehicle"/>
    <n v="4"/>
    <x v="3"/>
    <x v="1"/>
    <n v="5"/>
    <x v="4"/>
    <s v="KABALE TOWN"/>
    <s v="KABALE"/>
    <s v="UG"/>
    <n v="1"/>
    <s v="Home"/>
    <s v="MBARARA TOWN"/>
    <s v="MBARARA"/>
    <s v="UG"/>
    <n v="7"/>
    <s v="Hospital"/>
    <x v="32"/>
    <n v="15000"/>
    <n v="136"/>
    <x v="2"/>
    <n v="2"/>
    <x v="0"/>
    <n v="3"/>
    <s v="Artisan/Domestic"/>
    <n v="2"/>
    <x v="3"/>
    <n v="1"/>
    <n v="1"/>
    <n v="1"/>
    <n v="1"/>
    <n v="1"/>
    <s v="Y"/>
    <n v="0"/>
    <x v="3"/>
  </r>
  <r>
    <d v="2019-10-18T00:00:00"/>
    <d v="1899-12-30T14:45:00"/>
    <m/>
    <s v="P"/>
    <n v="1"/>
    <s v="Walking/Cycling"/>
    <n v="13"/>
    <x v="5"/>
    <x v="1"/>
    <n v="1"/>
    <x v="0"/>
    <s v="LIGHT S.S"/>
    <s v="BUSHENYI"/>
    <s v="UGA"/>
    <n v="3"/>
    <s v="Study"/>
    <s v="ISHAKA"/>
    <s v="BUSHENYI"/>
    <s v="UGA"/>
    <n v="1"/>
    <s v="Home"/>
    <x v="9"/>
    <n v="1000"/>
    <m/>
    <x v="0"/>
    <n v="0.3"/>
    <x v="3"/>
    <n v="8"/>
    <s v="Student"/>
    <n v="1"/>
    <x v="2"/>
    <n v="1"/>
    <n v="1"/>
    <n v="1"/>
    <n v="1"/>
    <n v="1"/>
    <s v="Y"/>
    <m/>
    <x v="3"/>
  </r>
  <r>
    <d v="2019-10-18T00:00:00"/>
    <d v="1899-12-30T15:20:00"/>
    <m/>
    <s v="P"/>
    <n v="1"/>
    <s v="Walking/Cycling"/>
    <n v="13"/>
    <x v="5"/>
    <x v="1"/>
    <n v="1"/>
    <x v="0"/>
    <s v="KIZINDA"/>
    <s v="BUSHENYI"/>
    <s v="UGA"/>
    <n v="3"/>
    <s v="Study"/>
    <s v="ISHAKA"/>
    <s v="BUSHENYI"/>
    <s v="UGA"/>
    <n v="1"/>
    <s v="Home"/>
    <x v="9"/>
    <n v="1000"/>
    <m/>
    <x v="0"/>
    <n v="0.2"/>
    <x v="3"/>
    <n v="8"/>
    <s v="Student"/>
    <n v="1"/>
    <x v="2"/>
    <n v="1"/>
    <n v="2"/>
    <n v="3"/>
    <n v="4"/>
    <n v="5"/>
    <s v="N"/>
    <m/>
    <x v="3"/>
  </r>
  <r>
    <d v="2019-10-18T00:00:00"/>
    <d v="1899-12-30T16:15:00"/>
    <m/>
    <m/>
    <n v="1"/>
    <s v="Walking/Cycling"/>
    <n v="13"/>
    <x v="5"/>
    <x v="1"/>
    <n v="1"/>
    <x v="0"/>
    <s v="ISHAKA"/>
    <s v="BUSHENYI"/>
    <s v="UGA"/>
    <n v="3"/>
    <s v="Study"/>
    <s v="NYABUBARE"/>
    <s v="BUSHENYI"/>
    <s v="UGA"/>
    <n v="1"/>
    <s v="Home"/>
    <x v="9"/>
    <n v="1000"/>
    <m/>
    <x v="0"/>
    <n v="0.3"/>
    <x v="3"/>
    <n v="8"/>
    <s v="Student"/>
    <n v="1"/>
    <x v="2"/>
    <n v="3"/>
    <n v="2"/>
    <n v="4"/>
    <n v="1"/>
    <n v="5"/>
    <s v="Y"/>
    <m/>
    <x v="3"/>
  </r>
  <r>
    <d v="2019-10-18T00:00:00"/>
    <d v="1899-12-30T13:50:00"/>
    <m/>
    <m/>
    <n v="1"/>
    <s v="Walking/Cycling"/>
    <n v="13"/>
    <x v="5"/>
    <x v="1"/>
    <n v="1"/>
    <x v="0"/>
    <s v="KYAMUWUNGA"/>
    <s v="BUSHENYI"/>
    <s v="UGA"/>
    <n v="3"/>
    <s v="Study"/>
    <s v="BUTARE"/>
    <s v="BUSHENYI"/>
    <s v="UGA"/>
    <n v="1"/>
    <s v="Home"/>
    <x v="9"/>
    <n v="2000"/>
    <m/>
    <x v="0"/>
    <n v="0.3"/>
    <x v="3"/>
    <n v="8"/>
    <s v="Student"/>
    <n v="1"/>
    <x v="2"/>
    <n v="1"/>
    <n v="2"/>
    <n v="4"/>
    <n v="3"/>
    <n v="5"/>
    <s v="Y"/>
    <n v="500"/>
    <x v="3"/>
  </r>
  <r>
    <d v="2019-10-18T00:00:00"/>
    <d v="1899-12-30T13:40:00"/>
    <m/>
    <m/>
    <n v="1"/>
    <s v="Walking/Cycling"/>
    <n v="13"/>
    <x v="5"/>
    <x v="1"/>
    <n v="1"/>
    <x v="0"/>
    <s v="KYAMUWUNGA"/>
    <s v="BUSHENYI"/>
    <s v="UGA"/>
    <n v="3"/>
    <s v="Study"/>
    <s v="KALIZA"/>
    <s v="BUSHENYI"/>
    <s v="UGA"/>
    <n v="1"/>
    <s v="Home"/>
    <x v="9"/>
    <n v="1000"/>
    <m/>
    <x v="0"/>
    <n v="0.2"/>
    <x v="3"/>
    <n v="8"/>
    <s v="Student"/>
    <n v="1"/>
    <x v="2"/>
    <n v="1"/>
    <n v="2"/>
    <n v="4"/>
    <n v="3"/>
    <n v="5"/>
    <s v="Y"/>
    <m/>
    <x v="3"/>
  </r>
  <r>
    <d v="2019-10-19T00:00:00"/>
    <d v="1899-12-30T09:35:00"/>
    <m/>
    <m/>
    <n v="1"/>
    <s v="Walking/Cycling"/>
    <n v="13"/>
    <x v="5"/>
    <x v="1"/>
    <n v="1"/>
    <x v="0"/>
    <s v="KIZINDA"/>
    <s v="BUSHENYI"/>
    <s v="UGA"/>
    <n v="1"/>
    <s v="Home"/>
    <s v="ST.KAGWA"/>
    <s v="BUSHENYI"/>
    <s v="UGA"/>
    <n v="3"/>
    <s v="Study"/>
    <x v="25"/>
    <n v="1500"/>
    <n v="5"/>
    <x v="0"/>
    <n v="0.2"/>
    <x v="3"/>
    <n v="8"/>
    <s v="Student"/>
    <n v="1"/>
    <x v="2"/>
    <n v="1"/>
    <n v="2"/>
    <n v="5"/>
    <n v="3"/>
    <n v="4"/>
    <s v="Y"/>
    <n v="1000"/>
    <x v="4"/>
  </r>
  <r>
    <d v="2019-10-19T00:00:00"/>
    <d v="1899-12-30T09:42:00"/>
    <m/>
    <m/>
    <n v="1"/>
    <s v="Walking/Cycling"/>
    <n v="13"/>
    <x v="5"/>
    <x v="1"/>
    <n v="1"/>
    <x v="0"/>
    <s v="NSUMI"/>
    <s v="BUSHENYI"/>
    <s v="UGA"/>
    <n v="1"/>
    <s v="Home"/>
    <s v="ISHAKA"/>
    <s v="BUSHENYI"/>
    <s v="UGA"/>
    <n v="8"/>
    <s v="Others"/>
    <x v="13"/>
    <n v="2000"/>
    <n v="5"/>
    <x v="0"/>
    <n v="0.2"/>
    <x v="3"/>
    <n v="7"/>
    <s v="Farmer"/>
    <n v="1"/>
    <x v="2"/>
    <n v="5"/>
    <n v="4"/>
    <n v="3"/>
    <n v="1"/>
    <n v="2"/>
    <s v="Y"/>
    <m/>
    <x v="3"/>
  </r>
  <r>
    <d v="2019-10-19T00:00:00"/>
    <d v="1899-12-30T16:31:00"/>
    <m/>
    <m/>
    <n v="1"/>
    <s v="Walking/Cycling"/>
    <n v="13"/>
    <x v="5"/>
    <x v="1"/>
    <n v="1"/>
    <x v="0"/>
    <s v="KIZINDA"/>
    <s v="BUSHENYI"/>
    <s v="UGA"/>
    <n v="1"/>
    <s v="Home"/>
    <s v="ISHAKA"/>
    <s v="BUSHENYI"/>
    <s v="UGA"/>
    <n v="6"/>
    <s v="Leisure/Social"/>
    <x v="8"/>
    <n v="1000"/>
    <m/>
    <x v="0"/>
    <n v="0.1"/>
    <x v="3"/>
    <n v="7"/>
    <s v="Farmer"/>
    <n v="2"/>
    <x v="3"/>
    <n v="2"/>
    <n v="1"/>
    <n v="3"/>
    <n v="4"/>
    <n v="5"/>
    <s v="Y"/>
    <m/>
    <x v="3"/>
  </r>
  <r>
    <d v="2019-10-20T00:00:00"/>
    <d v="1899-12-30T15:06:00"/>
    <m/>
    <s v="P"/>
    <n v="1"/>
    <s v="Walking/Cycling"/>
    <n v="13"/>
    <x v="5"/>
    <x v="1"/>
    <n v="1"/>
    <x v="0"/>
    <s v="KIZINDA"/>
    <s v="BUSHENYI"/>
    <s v="UGA"/>
    <n v="1"/>
    <s v="Home"/>
    <s v="ADVENTIST SCHOOL"/>
    <s v="BUSHENYI"/>
    <s v="UGA"/>
    <n v="3"/>
    <s v="Study"/>
    <x v="25"/>
    <n v="1500"/>
    <m/>
    <x v="0"/>
    <n v="0.3"/>
    <x v="3"/>
    <n v="8"/>
    <s v="Student"/>
    <n v="1"/>
    <x v="2"/>
    <n v="3"/>
    <n v="1"/>
    <n v="2"/>
    <n v="5"/>
    <n v="4"/>
    <s v="Y"/>
    <n v="1000"/>
    <x v="4"/>
  </r>
  <r>
    <d v="2019-10-20T00:00:00"/>
    <d v="1899-12-30T17:27:00"/>
    <m/>
    <m/>
    <n v="1"/>
    <s v="Walking/Cycling"/>
    <n v="13"/>
    <x v="5"/>
    <x v="1"/>
    <n v="1"/>
    <x v="0"/>
    <s v="ISHAKA"/>
    <s v="BUSHENYI"/>
    <s v="UGA"/>
    <n v="3"/>
    <s v="Study"/>
    <s v="RUBIRIZI"/>
    <s v="RUBIRIZI"/>
    <s v="UGA"/>
    <n v="1"/>
    <s v="Home"/>
    <x v="9"/>
    <n v="5000"/>
    <m/>
    <x v="0"/>
    <n v="1.5"/>
    <x v="1"/>
    <n v="8"/>
    <s v="Student"/>
    <n v="1"/>
    <x v="2"/>
    <n v="3"/>
    <n v="4"/>
    <n v="1"/>
    <n v="2"/>
    <n v="5"/>
    <s v="Y"/>
    <n v="2000"/>
    <x v="1"/>
  </r>
  <r>
    <d v="2019-10-20T00:00:00"/>
    <d v="1899-12-30T17:53:00"/>
    <m/>
    <m/>
    <n v="1"/>
    <s v="Walking/Cycling"/>
    <n v="13"/>
    <x v="5"/>
    <x v="1"/>
    <n v="1"/>
    <x v="0"/>
    <s v="KIGOMA"/>
    <s v="BUSHENYI"/>
    <s v="UGA"/>
    <n v="1"/>
    <s v="Home"/>
    <s v="ISHAKA"/>
    <s v="BUSHENYI"/>
    <s v="UGA"/>
    <n v="2"/>
    <s v="Work"/>
    <x v="1"/>
    <n v="1000"/>
    <m/>
    <x v="0"/>
    <n v="0.2"/>
    <x v="3"/>
    <n v="10"/>
    <s v="Other"/>
    <n v="1"/>
    <x v="2"/>
    <n v="3"/>
    <n v="2"/>
    <n v="5"/>
    <n v="1"/>
    <n v="4"/>
    <s v="Y"/>
    <n v="1500"/>
    <x v="4"/>
  </r>
  <r>
    <d v="2019-10-20T00:00:00"/>
    <d v="1899-12-30T17:59:00"/>
    <m/>
    <m/>
    <n v="1"/>
    <s v="Walking/Cycling"/>
    <n v="13"/>
    <x v="5"/>
    <x v="1"/>
    <n v="1"/>
    <x v="0"/>
    <s v="ST.GEORGE"/>
    <s v="BUSHENYI"/>
    <s v="UGA"/>
    <n v="3"/>
    <s v="Study"/>
    <s v="KASOZI"/>
    <s v="BUSHENYI"/>
    <s v="UGA"/>
    <n v="1"/>
    <s v="Home"/>
    <x v="9"/>
    <n v="2000"/>
    <m/>
    <x v="0"/>
    <n v="0.5"/>
    <x v="4"/>
    <n v="8"/>
    <s v="Student"/>
    <n v="1"/>
    <x v="2"/>
    <n v="2"/>
    <n v="4"/>
    <n v="3"/>
    <n v="1"/>
    <n v="5"/>
    <s v="Y"/>
    <n v="1000"/>
    <x v="4"/>
  </r>
  <r>
    <d v="2019-10-18T00:00:00"/>
    <d v="1899-12-30T17:30:00"/>
    <m/>
    <m/>
    <n v="1"/>
    <s v="Walking/Cycling"/>
    <n v="13"/>
    <x v="5"/>
    <x v="0"/>
    <n v="1"/>
    <x v="0"/>
    <s v="LIGHT S.S"/>
    <s v="BUSHENYI"/>
    <s v="UGA"/>
    <n v="3"/>
    <s v="Study"/>
    <s v="ISHAKA"/>
    <s v="BUSHENYI"/>
    <s v="UGA"/>
    <n v="1"/>
    <s v="Home"/>
    <x v="9"/>
    <m/>
    <m/>
    <x v="0"/>
    <m/>
    <x v="3"/>
    <n v="8"/>
    <s v="Student"/>
    <n v="1"/>
    <x v="2"/>
    <n v="3"/>
    <n v="1"/>
    <n v="2"/>
    <n v="5"/>
    <n v="4"/>
    <s v="Y"/>
    <n v="5000"/>
    <x v="2"/>
  </r>
  <r>
    <d v="2019-10-18T00:00:00"/>
    <d v="1899-12-30T18:00:00"/>
    <m/>
    <m/>
    <n v="1"/>
    <s v="Walking/Cycling"/>
    <n v="13"/>
    <x v="5"/>
    <x v="0"/>
    <n v="1"/>
    <x v="0"/>
    <s v="LIGHT S.S"/>
    <s v="BUSHENYI"/>
    <s v="UGA"/>
    <n v="3"/>
    <s v="Study"/>
    <s v="ISHAKA"/>
    <s v="BUSHENYI"/>
    <s v="UGA"/>
    <n v="1"/>
    <s v="Home"/>
    <x v="9"/>
    <n v="1000"/>
    <m/>
    <x v="0"/>
    <n v="0.3"/>
    <x v="3"/>
    <n v="8"/>
    <s v="Student"/>
    <n v="1"/>
    <x v="2"/>
    <n v="1"/>
    <n v="2"/>
    <n v="3"/>
    <n v="4"/>
    <n v="5"/>
    <s v="Y"/>
    <m/>
    <x v="3"/>
  </r>
  <r>
    <d v="2019-10-19T00:00:00"/>
    <d v="1899-12-30T10:39:00"/>
    <m/>
    <s v="P"/>
    <n v="1"/>
    <s v="Walking/Cycling"/>
    <n v="13"/>
    <x v="5"/>
    <x v="0"/>
    <n v="1"/>
    <x v="0"/>
    <s v="SHUKU"/>
    <s v="SHEEMA"/>
    <s v="UGA"/>
    <n v="2"/>
    <s v="Work"/>
    <s v="KIZUMO"/>
    <s v="BUSHENYI"/>
    <s v="UGA"/>
    <n v="1"/>
    <s v="Home"/>
    <x v="4"/>
    <n v="3000"/>
    <n v="20"/>
    <x v="4"/>
    <n v="1"/>
    <x v="1"/>
    <n v="2"/>
    <s v="Manual Labour"/>
    <n v="1"/>
    <x v="2"/>
    <n v="1"/>
    <n v="5"/>
    <n v="2"/>
    <n v="3"/>
    <n v="4"/>
    <s v="Y"/>
    <n v="1000"/>
    <x v="4"/>
  </r>
  <r>
    <d v="2019-10-19T00:00:00"/>
    <d v="1899-12-30T11:52:00"/>
    <m/>
    <m/>
    <n v="1"/>
    <s v="Walking/Cycling"/>
    <n v="13"/>
    <x v="5"/>
    <x v="0"/>
    <n v="1"/>
    <x v="0"/>
    <s v="KYAMAWUNGA"/>
    <s v="BUSHENYI"/>
    <s v="UGA"/>
    <n v="1"/>
    <s v="Home"/>
    <s v="ISHAKA"/>
    <s v="BUSHENYI"/>
    <s v="UGA"/>
    <n v="8"/>
    <s v="Others"/>
    <x v="13"/>
    <n v="1000"/>
    <n v="8"/>
    <x v="0"/>
    <n v="0.1"/>
    <x v="3"/>
    <n v="7"/>
    <s v="Farmer"/>
    <n v="1"/>
    <x v="2"/>
    <n v="2"/>
    <n v="3"/>
    <n v="5"/>
    <n v="1"/>
    <n v="4"/>
    <s v="Y"/>
    <n v="1000"/>
    <x v="4"/>
  </r>
  <r>
    <d v="2019-10-19T00:00:00"/>
    <d v="1899-12-30T16:20:00"/>
    <m/>
    <m/>
    <n v="1"/>
    <s v="Walking/Cycling"/>
    <n v="13"/>
    <x v="5"/>
    <x v="0"/>
    <n v="1"/>
    <x v="0"/>
    <s v="KIZINDA"/>
    <s v="BUSHENYI"/>
    <s v="UGA"/>
    <n v="1"/>
    <s v="Home"/>
    <s v="ISHAKA"/>
    <s v="BUSHENYI"/>
    <s v="UGA"/>
    <n v="7"/>
    <s v="Hospital"/>
    <x v="32"/>
    <n v="1000"/>
    <m/>
    <x v="0"/>
    <n v="0.1"/>
    <x v="3"/>
    <n v="7"/>
    <s v="Farmer"/>
    <n v="2"/>
    <x v="3"/>
    <n v="3"/>
    <n v="2"/>
    <n v="1"/>
    <n v="5"/>
    <n v="4"/>
    <s v="Y"/>
    <n v="1000"/>
    <x v="4"/>
  </r>
  <r>
    <d v="2019-10-19T00:00:00"/>
    <d v="1899-12-30T12:47:00"/>
    <m/>
    <s v="P"/>
    <n v="1"/>
    <s v="Walking/Cycling"/>
    <n v="13"/>
    <x v="5"/>
    <x v="0"/>
    <n v="1"/>
    <x v="0"/>
    <s v="KITEMBE"/>
    <s v="SHEEMA"/>
    <s v="UGA"/>
    <n v="1"/>
    <s v="Home"/>
    <s v="ISHAKA"/>
    <s v="BUSHENYI"/>
    <s v="UGA"/>
    <n v="3"/>
    <s v="Study"/>
    <x v="25"/>
    <n v="3000"/>
    <n v="15"/>
    <x v="6"/>
    <n v="0.3"/>
    <x v="3"/>
    <n v="8"/>
    <s v="Student"/>
    <n v="1"/>
    <x v="2"/>
    <n v="5"/>
    <n v="1"/>
    <n v="2"/>
    <n v="3"/>
    <n v="4"/>
    <s v="Y"/>
    <n v="1000"/>
    <x v="4"/>
  </r>
  <r>
    <d v="2019-10-20T00:00:00"/>
    <d v="1899-12-30T10:15:00"/>
    <m/>
    <m/>
    <n v="1"/>
    <s v="Walking/Cycling"/>
    <n v="13"/>
    <x v="5"/>
    <x v="0"/>
    <n v="1"/>
    <x v="0"/>
    <s v="KIZINDA"/>
    <s v="BUSHENYI"/>
    <s v="UGA"/>
    <n v="1"/>
    <s v="Home"/>
    <s v="ISHAKA"/>
    <s v="BUSHENYI"/>
    <s v="UGA"/>
    <n v="6"/>
    <s v="Leisure/Social"/>
    <x v="8"/>
    <n v="1000"/>
    <n v="8"/>
    <x v="0"/>
    <n v="0.3"/>
    <x v="3"/>
    <n v="10"/>
    <s v="Other"/>
    <n v="2"/>
    <x v="3"/>
    <n v="4"/>
    <n v="2"/>
    <n v="3"/>
    <n v="1"/>
    <n v="5"/>
    <s v="Y"/>
    <m/>
    <x v="3"/>
  </r>
  <r>
    <d v="2019-10-20T00:00:00"/>
    <d v="1899-12-30T10:50:00"/>
    <m/>
    <m/>
    <n v="1"/>
    <s v="Walking/Cycling"/>
    <n v="13"/>
    <x v="5"/>
    <x v="0"/>
    <n v="1"/>
    <x v="0"/>
    <s v="KIZINDA"/>
    <s v="BUSHENYI"/>
    <s v="UGA"/>
    <n v="1"/>
    <s v="Home"/>
    <s v="ISHAKA"/>
    <s v="BUSHENYI"/>
    <s v="UGA"/>
    <n v="2"/>
    <s v="Work"/>
    <x v="1"/>
    <n v="1000"/>
    <m/>
    <x v="0"/>
    <n v="0.2"/>
    <x v="3"/>
    <n v="2"/>
    <s v="Manual Labour"/>
    <n v="1"/>
    <x v="2"/>
    <n v="3"/>
    <n v="4"/>
    <n v="2"/>
    <n v="1"/>
    <n v="5"/>
    <s v="Y"/>
    <n v="1000"/>
    <x v="4"/>
  </r>
  <r>
    <d v="2019-10-20T00:00:00"/>
    <d v="1899-12-30T07:30:00"/>
    <m/>
    <m/>
    <n v="1"/>
    <s v="Walking/Cycling"/>
    <n v="13"/>
    <x v="5"/>
    <x v="0"/>
    <n v="1"/>
    <x v="0"/>
    <s v="NYABUBARE"/>
    <s v="BUSHENYI"/>
    <s v="UGA"/>
    <n v="1"/>
    <s v="Home"/>
    <s v="ISHAKA"/>
    <s v="BUSHENYI"/>
    <s v="UGA"/>
    <n v="6"/>
    <s v="Leisure/Social"/>
    <x v="8"/>
    <n v="1000"/>
    <n v="10"/>
    <x v="6"/>
    <n v="0.3"/>
    <x v="3"/>
    <n v="10"/>
    <s v="Other"/>
    <n v="1"/>
    <x v="2"/>
    <n v="4"/>
    <n v="1"/>
    <n v="3"/>
    <n v="5"/>
    <n v="2"/>
    <s v="Y"/>
    <n v="5000"/>
    <x v="2"/>
  </r>
  <r>
    <d v="2019-10-20T00:00:00"/>
    <d v="1899-12-30T17:05:00"/>
    <m/>
    <m/>
    <n v="1"/>
    <s v="Walking/Cycling"/>
    <n v="13"/>
    <x v="5"/>
    <x v="0"/>
    <n v="1"/>
    <x v="0"/>
    <s v="NYABUBARE"/>
    <s v="BUSHENYI"/>
    <s v="UGA"/>
    <n v="1"/>
    <s v="Home"/>
    <s v="ISHAKA"/>
    <s v="BUSHENYI"/>
    <s v="UGA"/>
    <n v="2"/>
    <s v="Work"/>
    <x v="1"/>
    <n v="2000"/>
    <m/>
    <x v="0"/>
    <n v="0.7"/>
    <x v="4"/>
    <n v="6"/>
    <s v="Businessman"/>
    <n v="1"/>
    <x v="2"/>
    <n v="2"/>
    <n v="1"/>
    <n v="4"/>
    <n v="3"/>
    <n v="5"/>
    <s v="Y"/>
    <n v="1000"/>
    <x v="4"/>
  </r>
  <r>
    <d v="2019-10-20T00:00:00"/>
    <d v="1899-12-30T17:25:00"/>
    <m/>
    <m/>
    <n v="1"/>
    <s v="Walking/Cycling"/>
    <n v="13"/>
    <x v="5"/>
    <x v="0"/>
    <n v="1"/>
    <x v="0"/>
    <s v="KIGOMA"/>
    <s v="BUSHENYI"/>
    <s v="UGA"/>
    <n v="1"/>
    <s v="Home"/>
    <s v="ISHAKA"/>
    <s v="BUSHENYI"/>
    <s v="UGA"/>
    <n v="2"/>
    <s v="Work"/>
    <x v="1"/>
    <n v="1000"/>
    <n v="4"/>
    <x v="0"/>
    <n v="0.2"/>
    <x v="3"/>
    <n v="10"/>
    <s v="Other"/>
    <n v="1"/>
    <x v="2"/>
    <m/>
    <m/>
    <m/>
    <m/>
    <m/>
    <s v="Y"/>
    <m/>
    <x v="3"/>
  </r>
  <r>
    <d v="2019-10-20T00:00:00"/>
    <d v="1899-12-30T17:42:00"/>
    <m/>
    <m/>
    <n v="1"/>
    <s v="Walking/Cycling"/>
    <n v="13"/>
    <x v="5"/>
    <x v="0"/>
    <n v="1"/>
    <x v="0"/>
    <s v="NYABUBARE"/>
    <s v="BUSHENYI"/>
    <s v="UGA"/>
    <n v="1"/>
    <s v="Home"/>
    <s v="ISHAKA"/>
    <s v="BUSHENYI"/>
    <s v="UGA"/>
    <n v="2"/>
    <s v="Work"/>
    <x v="1"/>
    <n v="2000"/>
    <n v="18"/>
    <x v="6"/>
    <n v="0.3"/>
    <x v="3"/>
    <n v="10"/>
    <s v="Other"/>
    <n v="2"/>
    <x v="3"/>
    <n v="4"/>
    <n v="2"/>
    <n v="3"/>
    <n v="1"/>
    <n v="5"/>
    <s v="Y"/>
    <n v="1000"/>
    <x v="4"/>
  </r>
  <r>
    <d v="2019-10-20T00:00:00"/>
    <d v="1899-12-30T17:47:00"/>
    <m/>
    <m/>
    <n v="1"/>
    <s v="Walking/Cycling"/>
    <n v="13"/>
    <x v="5"/>
    <x v="0"/>
    <n v="1"/>
    <x v="0"/>
    <s v="KIGOMA"/>
    <s v="BUSHENYI"/>
    <s v="UGA"/>
    <n v="1"/>
    <s v="Home"/>
    <s v="ISHAKA"/>
    <s v="BUSHENYI"/>
    <s v="UGA"/>
    <n v="2"/>
    <s v="Work"/>
    <x v="1"/>
    <n v="1000"/>
    <n v="5"/>
    <x v="0"/>
    <n v="0.2"/>
    <x v="3"/>
    <n v="10"/>
    <s v="Other"/>
    <n v="1"/>
    <x v="2"/>
    <n v="2"/>
    <n v="3"/>
    <n v="4"/>
    <n v="1"/>
    <n v="5"/>
    <s v="Y"/>
    <n v="1000"/>
    <x v="4"/>
  </r>
  <r>
    <d v="2019-10-19T00:00:00"/>
    <d v="1899-12-30T08:38:00"/>
    <m/>
    <s v="P"/>
    <n v="2"/>
    <s v="Road Vehicle"/>
    <n v="1"/>
    <x v="0"/>
    <x v="1"/>
    <n v="1"/>
    <x v="0"/>
    <s v="KITEMBE"/>
    <s v="SHEEMA"/>
    <s v="UGA"/>
    <n v="1"/>
    <s v="Home"/>
    <s v="ISHAKA"/>
    <s v="BUSHENYI"/>
    <s v="UGA"/>
    <n v="8"/>
    <s v="Others"/>
    <x v="13"/>
    <n v="2000"/>
    <n v="15"/>
    <x v="6"/>
    <n v="0.2"/>
    <x v="3"/>
    <n v="7"/>
    <s v="Farmer"/>
    <n v="1"/>
    <x v="2"/>
    <n v="2"/>
    <n v="1"/>
    <n v="3"/>
    <n v="4"/>
    <n v="5"/>
    <s v="Y"/>
    <n v="2000"/>
    <x v="1"/>
  </r>
  <r>
    <d v="2019-10-19T00:00:00"/>
    <m/>
    <m/>
    <s v="P"/>
    <n v="2"/>
    <s v="Road Vehicle"/>
    <n v="1"/>
    <x v="0"/>
    <x v="1"/>
    <n v="1"/>
    <x v="0"/>
    <s v="BUSHENYI"/>
    <s v="BUSHENYI"/>
    <s v="UGA"/>
    <n v="2"/>
    <s v="Work"/>
    <s v="NYAMUFUMA"/>
    <s v="MBARARA"/>
    <s v="UGA"/>
    <n v="1"/>
    <s v="Home"/>
    <x v="4"/>
    <n v="7000"/>
    <m/>
    <x v="0"/>
    <n v="0.8"/>
    <x v="4"/>
    <n v="6"/>
    <s v="Businessman"/>
    <n v="5"/>
    <x v="4"/>
    <n v="1"/>
    <n v="5"/>
    <n v="2"/>
    <n v="3"/>
    <n v="4"/>
    <s v="Y"/>
    <n v="2000"/>
    <x v="1"/>
  </r>
  <r>
    <d v="2019-10-19T00:00:00"/>
    <d v="1899-12-30T11:11:00"/>
    <m/>
    <s v="P"/>
    <n v="2"/>
    <s v="Road Vehicle"/>
    <n v="1"/>
    <x v="0"/>
    <x v="1"/>
    <n v="1"/>
    <x v="0"/>
    <s v="NYAKABIRIZI"/>
    <s v="MBARARA"/>
    <s v="UGA"/>
    <n v="1"/>
    <s v="Home"/>
    <s v="ISHAKA"/>
    <s v="BUSHENYI"/>
    <s v="UGA"/>
    <n v="2"/>
    <s v="Work"/>
    <x v="1"/>
    <n v="10000"/>
    <m/>
    <x v="0"/>
    <n v="1.5"/>
    <x v="1"/>
    <n v="2"/>
    <s v="Manual Labour"/>
    <n v="1"/>
    <x v="2"/>
    <n v="3"/>
    <n v="2"/>
    <n v="4"/>
    <n v="1"/>
    <n v="5"/>
    <s v="Y"/>
    <m/>
    <x v="3"/>
  </r>
  <r>
    <d v="2019-10-20T00:00:00"/>
    <d v="1899-12-30T10:06:00"/>
    <m/>
    <s v="D"/>
    <n v="2"/>
    <s v="Road Vehicle"/>
    <n v="1"/>
    <x v="0"/>
    <x v="1"/>
    <n v="1"/>
    <x v="0"/>
    <s v="KYAMUHANGA"/>
    <s v="BUSHENYI"/>
    <s v="UGA"/>
    <n v="1"/>
    <s v="Home"/>
    <s v="ISHAKA"/>
    <s v="BUSHENYI"/>
    <s v="UGA"/>
    <n v="2"/>
    <s v="Work"/>
    <x v="1"/>
    <n v="10000"/>
    <m/>
    <x v="0"/>
    <n v="0.3"/>
    <x v="3"/>
    <n v="4"/>
    <s v="Office Worker"/>
    <n v="2"/>
    <x v="3"/>
    <n v="3"/>
    <n v="1"/>
    <n v="2"/>
    <n v="5"/>
    <n v="4"/>
    <s v="Y"/>
    <n v="1000"/>
    <x v="4"/>
  </r>
  <r>
    <d v="2019-10-20T00:00:00"/>
    <d v="1899-12-30T10:11:00"/>
    <m/>
    <s v="P"/>
    <n v="2"/>
    <s v="Road Vehicle"/>
    <n v="1"/>
    <x v="0"/>
    <x v="1"/>
    <n v="1"/>
    <x v="0"/>
    <s v="ISHAKA"/>
    <s v="BUSHENYI"/>
    <s v="UGA"/>
    <n v="1"/>
    <s v="Home"/>
    <s v="TOWN CENTER"/>
    <s v="MBARARA"/>
    <s v="UGA"/>
    <n v="3"/>
    <s v="Study"/>
    <x v="25"/>
    <n v="8000"/>
    <m/>
    <x v="0"/>
    <n v="0.8"/>
    <x v="4"/>
    <n v="8"/>
    <s v="Student"/>
    <n v="1"/>
    <x v="2"/>
    <n v="2"/>
    <n v="3"/>
    <n v="5"/>
    <n v="1"/>
    <n v="4"/>
    <s v="Y"/>
    <n v="500"/>
    <x v="3"/>
  </r>
  <r>
    <d v="2019-10-20T00:00:00"/>
    <d v="1899-12-30T10:32:00"/>
    <m/>
    <s v="P"/>
    <n v="2"/>
    <s v="Road Vehicle"/>
    <n v="1"/>
    <x v="0"/>
    <x v="1"/>
    <n v="1"/>
    <x v="0"/>
    <s v="NTALE"/>
    <s v="MBARARA"/>
    <s v="UGA"/>
    <n v="8"/>
    <s v="Others"/>
    <s v="KIREMBE"/>
    <s v="KASESE"/>
    <s v="UGA"/>
    <n v="8"/>
    <s v="Others"/>
    <x v="15"/>
    <n v="19000"/>
    <m/>
    <x v="0"/>
    <m/>
    <x v="3"/>
    <n v="10"/>
    <s v="Other"/>
    <n v="3"/>
    <x v="1"/>
    <m/>
    <m/>
    <m/>
    <m/>
    <m/>
    <s v="Y"/>
    <m/>
    <x v="3"/>
  </r>
  <r>
    <d v="2019-10-20T00:00:00"/>
    <d v="1899-12-30T13:59:00"/>
    <m/>
    <s v="P"/>
    <n v="2"/>
    <s v="Road Vehicle"/>
    <n v="1"/>
    <x v="0"/>
    <x v="1"/>
    <n v="1"/>
    <x v="0"/>
    <s v="ISHAKA"/>
    <s v="BUSHENYI"/>
    <s v="UGA"/>
    <n v="6"/>
    <s v="Leisure/Social"/>
    <s v="BWEBUKONA"/>
    <s v="MBARARA"/>
    <s v="UGA"/>
    <n v="1"/>
    <s v="Home"/>
    <x v="10"/>
    <n v="8000"/>
    <m/>
    <x v="0"/>
    <n v="1"/>
    <x v="1"/>
    <n v="6"/>
    <s v="Businessman"/>
    <n v="2"/>
    <x v="3"/>
    <n v="3"/>
    <n v="1"/>
    <n v="4"/>
    <n v="2"/>
    <n v="5"/>
    <s v="Y"/>
    <n v="1000"/>
    <x v="4"/>
  </r>
  <r>
    <d v="2019-10-20T00:00:00"/>
    <d v="1899-12-30T14:40:00"/>
    <m/>
    <s v="P"/>
    <n v="2"/>
    <s v="Road Vehicle"/>
    <n v="1"/>
    <x v="0"/>
    <x v="1"/>
    <n v="1"/>
    <x v="0"/>
    <s v="RUHUMURO"/>
    <s v="BUSHENYI"/>
    <s v="UGA"/>
    <n v="1"/>
    <s v="Home"/>
    <s v="MAKENGE"/>
    <s v="MBARARA"/>
    <s v="UGA"/>
    <n v="8"/>
    <s v="Others"/>
    <x v="13"/>
    <n v="9000"/>
    <m/>
    <x v="0"/>
    <n v="0.7"/>
    <x v="4"/>
    <n v="8"/>
    <s v="Student"/>
    <n v="1"/>
    <x v="2"/>
    <n v="5"/>
    <n v="4"/>
    <n v="2"/>
    <n v="1"/>
    <n v="3"/>
    <s v="Y"/>
    <m/>
    <x v="3"/>
  </r>
  <r>
    <d v="2019-10-20T00:00:00"/>
    <d v="1899-12-30T14:59:00"/>
    <m/>
    <s v="P"/>
    <n v="2"/>
    <s v="Road Vehicle"/>
    <n v="1"/>
    <x v="0"/>
    <x v="1"/>
    <n v="1"/>
    <x v="0"/>
    <s v="ISHAKA"/>
    <s v="BUSHENYI"/>
    <s v="UGA"/>
    <n v="6"/>
    <s v="Leisure/Social"/>
    <s v="KITOJO"/>
    <s v="RUKUNGIRI"/>
    <s v="UGA"/>
    <n v="1"/>
    <s v="Home"/>
    <x v="10"/>
    <n v="12000"/>
    <m/>
    <x v="0"/>
    <m/>
    <x v="3"/>
    <n v="2"/>
    <s v="Manual Labour"/>
    <n v="2"/>
    <x v="3"/>
    <n v="5"/>
    <n v="3"/>
    <n v="1"/>
    <n v="4"/>
    <n v="2"/>
    <s v="Y"/>
    <n v="500"/>
    <x v="3"/>
  </r>
  <r>
    <d v="2019-10-20T00:00:00"/>
    <d v="1899-12-30T09:30:00"/>
    <m/>
    <s v="P"/>
    <n v="2"/>
    <s v="Road Vehicle"/>
    <n v="1"/>
    <x v="0"/>
    <x v="1"/>
    <n v="1"/>
    <x v="0"/>
    <s v="CHRIST THE KING"/>
    <s v="SHEEMA"/>
    <s v="UGA"/>
    <n v="8"/>
    <s v="Others"/>
    <s v="KIZINDA"/>
    <s v="BUSHENYI"/>
    <s v="UGA"/>
    <n v="1"/>
    <s v="Home"/>
    <x v="12"/>
    <n v="2000"/>
    <n v="8"/>
    <x v="0"/>
    <n v="0.7"/>
    <x v="4"/>
    <n v="8"/>
    <s v="Student"/>
    <n v="3"/>
    <x v="1"/>
    <n v="5"/>
    <n v="1"/>
    <n v="4"/>
    <n v="8"/>
    <m/>
    <s v="Y"/>
    <n v="1000"/>
    <x v="4"/>
  </r>
  <r>
    <d v="2019-10-20T00:00:00"/>
    <d v="1899-12-30T09:38:00"/>
    <m/>
    <s v="P"/>
    <n v="2"/>
    <s v="Road Vehicle"/>
    <n v="1"/>
    <x v="0"/>
    <x v="1"/>
    <n v="1"/>
    <x v="0"/>
    <s v="RUHINDO"/>
    <s v="BUSHENYI"/>
    <s v="UGA"/>
    <n v="8"/>
    <s v="Others"/>
    <s v="BUNYARIGI"/>
    <s v="BUSHENYI"/>
    <s v="UGA"/>
    <n v="6"/>
    <s v="Leisure/Social"/>
    <x v="37"/>
    <n v="2000"/>
    <n v="10"/>
    <x v="6"/>
    <n v="0.7"/>
    <x v="4"/>
    <n v="7"/>
    <s v="Farmer"/>
    <n v="3"/>
    <x v="1"/>
    <n v="4"/>
    <n v="1"/>
    <n v="2"/>
    <n v="3"/>
    <n v="5"/>
    <s v="Y"/>
    <m/>
    <x v="3"/>
  </r>
  <r>
    <d v="2019-10-20T00:00:00"/>
    <d v="1899-12-30T15:40:00"/>
    <m/>
    <s v="P"/>
    <n v="2"/>
    <s v="Road Vehicle"/>
    <n v="1"/>
    <x v="0"/>
    <x v="1"/>
    <n v="1"/>
    <x v="0"/>
    <s v="CHRIST THE KING"/>
    <s v="SHEEMA"/>
    <s v="UGA"/>
    <n v="8"/>
    <s v="Others"/>
    <s v="KYAMBURA"/>
    <s v="MITOMA"/>
    <s v="UGA"/>
    <n v="1"/>
    <s v="Home"/>
    <x v="12"/>
    <n v="8000"/>
    <m/>
    <x v="0"/>
    <n v="1.5"/>
    <x v="1"/>
    <n v="10"/>
    <s v="Other"/>
    <n v="1"/>
    <x v="2"/>
    <n v="2"/>
    <n v="3"/>
    <n v="4"/>
    <n v="1"/>
    <n v="5"/>
    <s v="Y"/>
    <n v="1000"/>
    <x v="4"/>
  </r>
  <r>
    <d v="2019-10-18T00:00:00"/>
    <m/>
    <m/>
    <s v="P"/>
    <n v="2"/>
    <s v="Road Vehicle"/>
    <n v="1"/>
    <x v="0"/>
    <x v="0"/>
    <n v="1"/>
    <x v="0"/>
    <s v="KAKANZA"/>
    <s v="BUSHENYI"/>
    <s v="UGA"/>
    <n v="6"/>
    <s v="Leisure/Social"/>
    <s v="RUWIZI"/>
    <s v="MBARARA"/>
    <s v="UGA"/>
    <n v="1"/>
    <s v="Home"/>
    <x v="10"/>
    <n v="18000"/>
    <m/>
    <x v="0"/>
    <n v="1.5"/>
    <x v="1"/>
    <n v="8"/>
    <s v="Student"/>
    <n v="1"/>
    <x v="2"/>
    <n v="5"/>
    <n v="2"/>
    <n v="1"/>
    <n v="3"/>
    <n v="4"/>
    <s v="Y"/>
    <n v="3000"/>
    <x v="0"/>
  </r>
  <r>
    <d v="2019-10-18T00:00:00"/>
    <m/>
    <m/>
    <s v="D"/>
    <n v="2"/>
    <s v="Road Vehicle"/>
    <n v="1"/>
    <x v="0"/>
    <x v="0"/>
    <n v="1"/>
    <x v="0"/>
    <s v="ISHAKA"/>
    <s v="BUSHENYI"/>
    <s v="UGA"/>
    <n v="1"/>
    <s v="Home"/>
    <s v="TOWN"/>
    <s v="HOIMA"/>
    <s v="UGA"/>
    <n v="8"/>
    <s v="Others"/>
    <x v="13"/>
    <n v="300000"/>
    <n v="12"/>
    <x v="6"/>
    <n v="8"/>
    <x v="2"/>
    <n v="6"/>
    <s v="Businessman"/>
    <n v="3"/>
    <x v="1"/>
    <n v="4"/>
    <n v="2"/>
    <n v="1"/>
    <n v="3"/>
    <n v="5"/>
    <s v="Y"/>
    <n v="1000"/>
    <x v="4"/>
  </r>
  <r>
    <d v="2019-10-18T00:00:00"/>
    <d v="1899-12-30T15:59:00"/>
    <m/>
    <s v="P"/>
    <n v="2"/>
    <s v="Road Vehicle"/>
    <n v="1"/>
    <x v="0"/>
    <x v="0"/>
    <n v="1"/>
    <x v="0"/>
    <s v="ISHAKA"/>
    <s v="BUSHENYI"/>
    <s v="UGA"/>
    <n v="1"/>
    <s v="Home"/>
    <s v="MBARARA"/>
    <s v="MBARARA"/>
    <s v="UGA"/>
    <n v="7"/>
    <s v="Hospital"/>
    <x v="32"/>
    <n v="7000"/>
    <m/>
    <x v="0"/>
    <n v="0.5"/>
    <x v="4"/>
    <n v="6"/>
    <s v="Businessman"/>
    <n v="2"/>
    <x v="3"/>
    <n v="4"/>
    <n v="5"/>
    <n v="1"/>
    <n v="3"/>
    <n v="2"/>
    <s v="Y"/>
    <n v="500"/>
    <x v="3"/>
  </r>
  <r>
    <d v="2019-10-19T00:00:00"/>
    <d v="1899-12-30T07:10:00"/>
    <m/>
    <s v="D"/>
    <n v="2"/>
    <s v="Road Vehicle"/>
    <n v="1"/>
    <x v="0"/>
    <x v="0"/>
    <n v="1"/>
    <x v="0"/>
    <s v="ISHAKA"/>
    <s v="BUSHENYI"/>
    <s v="UGA"/>
    <n v="1"/>
    <s v="Home"/>
    <s v="MBARARA"/>
    <s v="MBARARA"/>
    <s v="UGA"/>
    <n v="2"/>
    <s v="Work"/>
    <x v="1"/>
    <n v="7000"/>
    <n v="40"/>
    <x v="5"/>
    <n v="0.8"/>
    <x v="4"/>
    <n v="2"/>
    <s v="Manual Labour"/>
    <n v="1"/>
    <x v="2"/>
    <n v="1"/>
    <n v="3"/>
    <n v="2"/>
    <n v="5"/>
    <n v="4"/>
    <s v="Y"/>
    <n v="1000"/>
    <x v="4"/>
  </r>
  <r>
    <d v="2019-10-19T00:00:00"/>
    <d v="1899-12-30T08:00:00"/>
    <m/>
    <s v="D"/>
    <n v="2"/>
    <s v="Road Vehicle"/>
    <n v="1"/>
    <x v="0"/>
    <x v="0"/>
    <n v="1"/>
    <x v="0"/>
    <s v="KABWOHE"/>
    <s v="SHEEMA"/>
    <s v="UGA"/>
    <n v="1"/>
    <s v="Home"/>
    <s v="KAGAMBA"/>
    <s v="NTUNGAMO"/>
    <s v="UGA"/>
    <n v="2"/>
    <s v="Work"/>
    <x v="1"/>
    <n v="60000"/>
    <n v="50"/>
    <x v="5"/>
    <n v="1"/>
    <x v="1"/>
    <n v="2"/>
    <s v="Manual Labour"/>
    <n v="1"/>
    <x v="2"/>
    <n v="3"/>
    <n v="1"/>
    <n v="2"/>
    <n v="5"/>
    <n v="4"/>
    <s v="Y"/>
    <n v="1000"/>
    <x v="4"/>
  </r>
  <r>
    <d v="2019-10-19T00:00:00"/>
    <d v="1899-12-30T08:42:00"/>
    <m/>
    <s v="D"/>
    <n v="2"/>
    <s v="Road Vehicle"/>
    <n v="1"/>
    <x v="0"/>
    <x v="0"/>
    <n v="1"/>
    <x v="0"/>
    <s v="ISHAKA"/>
    <s v="BUSHENYI"/>
    <s v="UGA"/>
    <n v="2"/>
    <s v="Work"/>
    <s v="MBARARA"/>
    <s v="MBARARA"/>
    <s v="UGA"/>
    <n v="2"/>
    <s v="Work"/>
    <x v="2"/>
    <n v="40000"/>
    <n v="0.7"/>
    <x v="0"/>
    <n v="1"/>
    <x v="1"/>
    <n v="2"/>
    <s v="Manual Labour"/>
    <n v="1"/>
    <x v="2"/>
    <n v="3"/>
    <n v="1"/>
    <n v="2"/>
    <n v="4"/>
    <n v="5"/>
    <s v="Y"/>
    <n v="5000"/>
    <x v="2"/>
  </r>
  <r>
    <d v="2019-10-20T00:00:00"/>
    <d v="1899-12-30T07:09:00"/>
    <m/>
    <s v="D"/>
    <n v="2"/>
    <s v="Road Vehicle"/>
    <n v="1"/>
    <x v="0"/>
    <x v="0"/>
    <n v="1"/>
    <x v="0"/>
    <s v="ISHAKA"/>
    <s v="BUSHENYI"/>
    <s v="UGA"/>
    <n v="2"/>
    <s v="Work"/>
    <s v="TOWN CENTER"/>
    <s v="MBARARA"/>
    <s v="UGA"/>
    <n v="2"/>
    <s v="Work"/>
    <x v="2"/>
    <n v="20000"/>
    <n v="83"/>
    <x v="1"/>
    <n v="0.5"/>
    <x v="4"/>
    <n v="10"/>
    <s v="Other"/>
    <n v="1"/>
    <x v="2"/>
    <n v="3"/>
    <n v="2"/>
    <n v="5"/>
    <n v="1"/>
    <n v="4"/>
    <s v="Y"/>
    <n v="500"/>
    <x v="3"/>
  </r>
  <r>
    <d v="2019-10-20T00:00:00"/>
    <d v="1899-12-30T15:19:00"/>
    <m/>
    <s v="D"/>
    <n v="2"/>
    <s v="Road Vehicle"/>
    <n v="1"/>
    <x v="0"/>
    <x v="0"/>
    <n v="1"/>
    <x v="0"/>
    <s v="ISHAKA"/>
    <s v="BUSHENYI"/>
    <s v="UGA"/>
    <n v="2"/>
    <s v="Work"/>
    <s v="TOWN CENTER"/>
    <s v="MBARARA"/>
    <s v="UGA"/>
    <n v="2"/>
    <s v="Work"/>
    <x v="2"/>
    <n v="90000"/>
    <m/>
    <x v="0"/>
    <n v="0.8"/>
    <x v="4"/>
    <n v="10"/>
    <s v="Other"/>
    <n v="1"/>
    <x v="2"/>
    <n v="5"/>
    <n v="2"/>
    <n v="3"/>
    <n v="1"/>
    <n v="4"/>
    <s v="Y"/>
    <n v="1000"/>
    <x v="4"/>
  </r>
  <r>
    <d v="2019-10-20T00:00:00"/>
    <d v="1899-12-30T14:34:00"/>
    <m/>
    <s v="D"/>
    <n v="2"/>
    <s v="Road Vehicle"/>
    <n v="1"/>
    <x v="0"/>
    <x v="0"/>
    <n v="1"/>
    <x v="0"/>
    <s v="ISHAKA"/>
    <s v="BUSHENYI"/>
    <s v="UGA"/>
    <n v="2"/>
    <s v="Work"/>
    <s v="TOWN CENTER"/>
    <s v="MBARARA"/>
    <s v="UGA"/>
    <n v="2"/>
    <s v="Work"/>
    <x v="2"/>
    <n v="60000"/>
    <m/>
    <x v="0"/>
    <n v="0.8"/>
    <x v="4"/>
    <n v="10"/>
    <s v="Other"/>
    <n v="2"/>
    <x v="3"/>
    <n v="3"/>
    <n v="2"/>
    <n v="5"/>
    <n v="1"/>
    <n v="4"/>
    <s v="Y"/>
    <n v="600"/>
    <x v="3"/>
  </r>
  <r>
    <d v="2019-10-20T00:00:00"/>
    <d v="1899-12-30T16:59:00"/>
    <m/>
    <s v="P"/>
    <n v="2"/>
    <s v="Road Vehicle"/>
    <n v="1"/>
    <x v="0"/>
    <x v="0"/>
    <n v="1"/>
    <x v="0"/>
    <s v="ISHAKA"/>
    <s v="BUSHENYI"/>
    <s v="UGA"/>
    <n v="6"/>
    <s v="Leisure/Social"/>
    <s v="KATUNGULU"/>
    <s v="KATUGULU"/>
    <s v="UGA"/>
    <n v="1"/>
    <s v="Home"/>
    <x v="10"/>
    <n v="7000"/>
    <m/>
    <x v="0"/>
    <n v="0.7"/>
    <x v="4"/>
    <n v="4"/>
    <s v="Office Worker"/>
    <n v="2"/>
    <x v="3"/>
    <n v="5"/>
    <n v="4"/>
    <n v="1"/>
    <n v="2"/>
    <n v="3"/>
    <s v="Y"/>
    <n v="2000"/>
    <x v="1"/>
  </r>
  <r>
    <d v="2019-10-20T00:00:00"/>
    <d v="1899-12-30T17:12:00"/>
    <m/>
    <s v="P"/>
    <n v="2"/>
    <s v="Road Vehicle"/>
    <n v="1"/>
    <x v="0"/>
    <x v="0"/>
    <n v="1"/>
    <x v="0"/>
    <s v="KASOZI"/>
    <s v="BUSHENYI"/>
    <s v="UGA"/>
    <n v="2"/>
    <s v="Work"/>
    <s v="TOWN CENTER"/>
    <s v="MBARARA"/>
    <s v="UGA"/>
    <n v="1"/>
    <s v="Home"/>
    <x v="4"/>
    <n v="10000"/>
    <m/>
    <x v="0"/>
    <n v="1.5"/>
    <x v="1"/>
    <n v="8"/>
    <s v="Student"/>
    <n v="1"/>
    <x v="2"/>
    <n v="3"/>
    <n v="1"/>
    <n v="2"/>
    <n v="4"/>
    <n v="5"/>
    <s v="Y"/>
    <n v="1000"/>
    <x v="4"/>
  </r>
  <r>
    <d v="2019-10-20T00:00:00"/>
    <d v="1899-12-30T10:34:00"/>
    <m/>
    <s v="P"/>
    <n v="2"/>
    <s v="Road Vehicle"/>
    <n v="1"/>
    <x v="0"/>
    <x v="0"/>
    <n v="1"/>
    <x v="0"/>
    <s v="SHEEMA"/>
    <s v="SHEEMA"/>
    <s v="UGA"/>
    <n v="4"/>
    <s v="Commercial"/>
    <s v="NYABUBARE"/>
    <s v="BUSHENYI"/>
    <s v="UGA"/>
    <n v="4"/>
    <s v="Commercial"/>
    <x v="18"/>
    <n v="5000"/>
    <n v="58"/>
    <x v="5"/>
    <n v="0.8"/>
    <x v="4"/>
    <n v="7"/>
    <s v="Farmer"/>
    <n v="2"/>
    <x v="3"/>
    <n v="1"/>
    <n v="5"/>
    <n v="4"/>
    <n v="3"/>
    <n v="2"/>
    <s v="Y"/>
    <n v="1000"/>
    <x v="4"/>
  </r>
  <r>
    <d v="2019-10-19T00:00:00"/>
    <d v="1899-12-30T08:23:00"/>
    <m/>
    <s v="P"/>
    <n v="2"/>
    <s v="Road Vehicle"/>
    <n v="6"/>
    <x v="1"/>
    <x v="1"/>
    <n v="1"/>
    <x v="0"/>
    <s v="NYAMUFULA"/>
    <s v="MBARARA"/>
    <s v="UGA"/>
    <n v="3"/>
    <s v="Study"/>
    <s v="MITOMO"/>
    <s v="MITOMO"/>
    <s v="UGA"/>
    <n v="1"/>
    <s v="Home"/>
    <x v="9"/>
    <n v="10000"/>
    <n v="55"/>
    <x v="5"/>
    <n v="1.5"/>
    <x v="1"/>
    <n v="8"/>
    <s v="Student"/>
    <n v="1"/>
    <x v="2"/>
    <n v="1"/>
    <n v="4"/>
    <n v="5"/>
    <n v="2"/>
    <n v="3"/>
    <s v="Y"/>
    <n v="1000"/>
    <x v="4"/>
  </r>
  <r>
    <d v="2019-10-19T00:00:00"/>
    <d v="1899-12-30T10:50:00"/>
    <m/>
    <s v="P"/>
    <n v="2"/>
    <s v="Road Vehicle"/>
    <n v="6"/>
    <x v="1"/>
    <x v="1"/>
    <n v="1"/>
    <x v="0"/>
    <s v="BUSHENYI"/>
    <s v="BUSHENYI"/>
    <s v="UGA"/>
    <n v="4"/>
    <s v="Commercial"/>
    <s v="WENTULA"/>
    <s v="MBARARA"/>
    <s v="UGA"/>
    <n v="4"/>
    <s v="Commercial"/>
    <x v="18"/>
    <n v="7000"/>
    <n v="56"/>
    <x v="5"/>
    <n v="2"/>
    <x v="0"/>
    <n v="2"/>
    <s v="Manual Labour"/>
    <n v="1"/>
    <x v="2"/>
    <n v="5"/>
    <n v="3"/>
    <n v="4"/>
    <n v="1"/>
    <n v="2"/>
    <s v="N"/>
    <m/>
    <x v="3"/>
  </r>
  <r>
    <d v="2019-10-20T00:00:00"/>
    <d v="1899-12-30T16:22:00"/>
    <m/>
    <s v="P"/>
    <n v="2"/>
    <s v="Road Vehicle"/>
    <n v="6"/>
    <x v="1"/>
    <x v="1"/>
    <n v="1"/>
    <x v="0"/>
    <s v="KAMPALA"/>
    <s v="KAMPALA"/>
    <s v="UGA"/>
    <n v="2"/>
    <s v="Work"/>
    <s v="ISHAKA"/>
    <s v="BUSHENYI"/>
    <s v="UGA"/>
    <n v="4"/>
    <s v="Commercial"/>
    <x v="17"/>
    <n v="20000"/>
    <n v="300"/>
    <x v="3"/>
    <n v="4"/>
    <x v="2"/>
    <n v="6"/>
    <s v="Businessman"/>
    <n v="5"/>
    <x v="4"/>
    <n v="3"/>
    <n v="1"/>
    <n v="2"/>
    <n v="4"/>
    <n v="5"/>
    <s v="Y"/>
    <n v="2000"/>
    <x v="1"/>
  </r>
  <r>
    <d v="2019-10-20T00:00:00"/>
    <d v="1899-12-30T07:36:00"/>
    <m/>
    <s v="P"/>
    <n v="2"/>
    <s v="Road Vehicle"/>
    <n v="6"/>
    <x v="1"/>
    <x v="1"/>
    <n v="1"/>
    <x v="0"/>
    <s v="BUWERA"/>
    <s v="KASESE"/>
    <s v="UGA"/>
    <n v="1"/>
    <s v="Home"/>
    <s v="KASOKOSO"/>
    <s v="WAKISO"/>
    <s v="UGA"/>
    <n v="2"/>
    <s v="Work"/>
    <x v="1"/>
    <n v="28000"/>
    <m/>
    <x v="0"/>
    <n v="9"/>
    <x v="2"/>
    <n v="2"/>
    <s v="Manual Labour"/>
    <n v="1"/>
    <x v="2"/>
    <n v="1"/>
    <n v="2"/>
    <n v="3"/>
    <n v="4"/>
    <n v="5"/>
    <s v="Y"/>
    <m/>
    <x v="3"/>
  </r>
  <r>
    <d v="2019-10-20T00:00:00"/>
    <d v="1899-12-30T11:29:00"/>
    <m/>
    <s v="P"/>
    <n v="2"/>
    <s v="Road Vehicle"/>
    <n v="6"/>
    <x v="1"/>
    <x v="1"/>
    <n v="1"/>
    <x v="0"/>
    <s v="KIZINDA"/>
    <s v="BUSHENYI"/>
    <s v="UGA"/>
    <n v="1"/>
    <s v="Home"/>
    <s v="KIREKA"/>
    <s v="WAKISO"/>
    <s v="UGA"/>
    <n v="5"/>
    <s v="Tourism"/>
    <x v="20"/>
    <n v="20000"/>
    <m/>
    <x v="0"/>
    <n v="5"/>
    <x v="2"/>
    <n v="4"/>
    <s v="Office Worker"/>
    <n v="3"/>
    <x v="1"/>
    <n v="4"/>
    <n v="1"/>
    <n v="2"/>
    <n v="3"/>
    <n v="5"/>
    <s v="Y"/>
    <n v="1000"/>
    <x v="4"/>
  </r>
  <r>
    <d v="2019-10-20T00:00:00"/>
    <d v="1899-12-30T07:45:00"/>
    <m/>
    <m/>
    <n v="2"/>
    <s v="Road Vehicle"/>
    <n v="6"/>
    <x v="1"/>
    <x v="1"/>
    <n v="1"/>
    <x v="0"/>
    <s v="BWERA"/>
    <s v="KASESE"/>
    <s v="UGA"/>
    <n v="1"/>
    <s v="Home"/>
    <s v="BASAJABALABA"/>
    <s v="BUSHENYI"/>
    <s v="UGA"/>
    <n v="3"/>
    <s v="Study"/>
    <x v="25"/>
    <n v="10000"/>
    <m/>
    <x v="0"/>
    <n v="2"/>
    <x v="0"/>
    <n v="8"/>
    <s v="Student"/>
    <n v="1"/>
    <x v="2"/>
    <n v="5"/>
    <n v="2"/>
    <n v="3"/>
    <n v="1"/>
    <n v="4"/>
    <s v="Y"/>
    <n v="2000"/>
    <x v="1"/>
  </r>
  <r>
    <d v="2019-10-20T00:00:00"/>
    <d v="1899-12-30T11:15:00"/>
    <m/>
    <s v="P"/>
    <n v="2"/>
    <s v="Road Vehicle"/>
    <n v="6"/>
    <x v="1"/>
    <x v="0"/>
    <n v="1"/>
    <x v="0"/>
    <s v="ISHAKA"/>
    <s v="BUSHENYI"/>
    <s v="UGA"/>
    <n v="1"/>
    <s v="Home"/>
    <s v="WANDEGEYA"/>
    <s v="KAMPALA"/>
    <s v="UGA"/>
    <n v="3"/>
    <s v="Study"/>
    <x v="25"/>
    <n v="20000"/>
    <n v="210"/>
    <x v="3"/>
    <n v="4"/>
    <x v="2"/>
    <n v="8"/>
    <s v="Student"/>
    <n v="1"/>
    <x v="2"/>
    <n v="5"/>
    <n v="1"/>
    <n v="4"/>
    <n v="2"/>
    <n v="3"/>
    <s v="Y"/>
    <m/>
    <x v="3"/>
  </r>
  <r>
    <d v="2019-10-20T00:00:00"/>
    <d v="1899-12-30T07:39:00"/>
    <m/>
    <s v="P"/>
    <n v="2"/>
    <s v="Road Vehicle"/>
    <n v="6"/>
    <x v="1"/>
    <x v="0"/>
    <n v="1"/>
    <x v="0"/>
    <s v="KIMITO"/>
    <s v="KASESE"/>
    <s v="UGA"/>
    <n v="1"/>
    <s v="Home"/>
    <s v="KAMPALA"/>
    <s v="KAMPALA"/>
    <s v="UGA"/>
    <n v="2"/>
    <s v="Work"/>
    <x v="1"/>
    <n v="30000"/>
    <n v="10"/>
    <x v="6"/>
    <n v="8"/>
    <x v="2"/>
    <n v="1"/>
    <s v="Unemployed"/>
    <n v="1"/>
    <x v="2"/>
    <n v="4"/>
    <n v="5"/>
    <n v="2"/>
    <n v="1"/>
    <n v="3"/>
    <s v="Y"/>
    <n v="100"/>
    <x v="3"/>
  </r>
  <r>
    <d v="2019-10-20T00:00:00"/>
    <d v="1899-12-30T08:45:00"/>
    <m/>
    <s v="P"/>
    <n v="2"/>
    <s v="Road Vehicle"/>
    <n v="6"/>
    <x v="1"/>
    <x v="0"/>
    <n v="1"/>
    <x v="0"/>
    <s v="NYIBINGO"/>
    <s v="BUSHENYI"/>
    <s v="UGA"/>
    <n v="1"/>
    <s v="Home"/>
    <s v="MULAGO"/>
    <s v="KAMPALA"/>
    <s v="UGA"/>
    <n v="7"/>
    <s v="Hospital"/>
    <x v="32"/>
    <n v="35000"/>
    <m/>
    <x v="0"/>
    <n v="8"/>
    <x v="2"/>
    <n v="7"/>
    <s v="Farmer"/>
    <n v="2"/>
    <x v="3"/>
    <n v="2"/>
    <n v="4"/>
    <n v="5"/>
    <n v="1"/>
    <n v="3"/>
    <s v="Y"/>
    <n v="500"/>
    <x v="3"/>
  </r>
  <r>
    <d v="2019-10-20T00:00:00"/>
    <d v="1899-12-30T11:48:00"/>
    <m/>
    <s v="P"/>
    <n v="2"/>
    <s v="Road Vehicle"/>
    <n v="6"/>
    <x v="1"/>
    <x v="0"/>
    <n v="1"/>
    <x v="0"/>
    <s v="BWERA"/>
    <s v="KASESE"/>
    <s v="UGA"/>
    <n v="1"/>
    <s v="Home"/>
    <s v="BASAJABALABA"/>
    <s v="BUSHENYI"/>
    <s v="UGA"/>
    <n v="3"/>
    <s v="Study"/>
    <x v="25"/>
    <n v="10000"/>
    <m/>
    <x v="0"/>
    <n v="3"/>
    <x v="0"/>
    <n v="8"/>
    <s v="Student"/>
    <n v="1"/>
    <x v="2"/>
    <n v="2"/>
    <n v="5"/>
    <n v="1"/>
    <n v="3"/>
    <n v="4"/>
    <s v="Y"/>
    <n v="1000"/>
    <x v="4"/>
  </r>
  <r>
    <d v="2019-10-19T00:00:00"/>
    <d v="1899-12-30T07:32:00"/>
    <m/>
    <s v="P"/>
    <n v="2"/>
    <s v="Road Vehicle"/>
    <n v="4"/>
    <x v="3"/>
    <x v="1"/>
    <n v="1"/>
    <x v="0"/>
    <s v="ISHAKA"/>
    <s v="BUSHENYI"/>
    <s v="UGA"/>
    <n v="1"/>
    <s v="Home"/>
    <s v="SHEEMA"/>
    <s v="SHEEMA"/>
    <s v="UGA"/>
    <n v="2"/>
    <s v="Work"/>
    <x v="1"/>
    <n v="3000"/>
    <n v="36"/>
    <x v="4"/>
    <n v="0.5"/>
    <x v="4"/>
    <n v="4"/>
    <s v="Office Worker"/>
    <n v="2"/>
    <x v="3"/>
    <n v="3"/>
    <n v="1"/>
    <n v="2"/>
    <n v="5"/>
    <n v="4"/>
    <s v="Y"/>
    <n v="2000"/>
    <x v="1"/>
  </r>
  <r>
    <d v="2019-10-19T00:00:00"/>
    <d v="1899-12-30T11:05:00"/>
    <m/>
    <s v="P"/>
    <n v="2"/>
    <s v="Road Vehicle"/>
    <n v="4"/>
    <x v="3"/>
    <x v="1"/>
    <n v="1"/>
    <x v="0"/>
    <s v="ISHAKA"/>
    <s v="BUSHENYI"/>
    <s v="UGA"/>
    <n v="1"/>
    <s v="Home"/>
    <s v="ST.KAGWA"/>
    <s v="BUSHENYI"/>
    <s v="UGA"/>
    <n v="3"/>
    <s v="Study"/>
    <x v="25"/>
    <n v="3000"/>
    <n v="36"/>
    <x v="4"/>
    <n v="0.5"/>
    <x v="4"/>
    <n v="8"/>
    <s v="Student"/>
    <n v="1"/>
    <x v="2"/>
    <n v="3"/>
    <n v="1"/>
    <n v="2"/>
    <n v="4"/>
    <n v="5"/>
    <s v="Y"/>
    <n v="2000"/>
    <x v="1"/>
  </r>
  <r>
    <d v="2019-10-20T00:00:00"/>
    <d v="1899-12-30T09:17:00"/>
    <m/>
    <s v="P"/>
    <n v="2"/>
    <s v="Road Vehicle"/>
    <n v="4"/>
    <x v="3"/>
    <x v="1"/>
    <n v="1"/>
    <x v="0"/>
    <s v="KATUNGURU"/>
    <s v="BUSHENYI"/>
    <s v="UGA"/>
    <n v="1"/>
    <s v="Home"/>
    <s v="ISHAKA"/>
    <s v="BUSHENYI"/>
    <s v="UGA"/>
    <n v="6"/>
    <s v="Leisure/Social"/>
    <x v="8"/>
    <n v="7000"/>
    <m/>
    <x v="0"/>
    <n v="0.8"/>
    <x v="4"/>
    <n v="1"/>
    <s v="Unemployed"/>
    <n v="1"/>
    <x v="2"/>
    <n v="1"/>
    <n v="2"/>
    <n v="5"/>
    <n v="4"/>
    <n v="3"/>
    <s v="Y"/>
    <m/>
    <x v="3"/>
  </r>
  <r>
    <d v="2019-10-20T00:00:00"/>
    <d v="1899-12-30T17:33:00"/>
    <m/>
    <s v="P"/>
    <n v="2"/>
    <s v="Road Vehicle"/>
    <n v="4"/>
    <x v="3"/>
    <x v="1"/>
    <n v="1"/>
    <x v="0"/>
    <s v="KIZINDA"/>
    <s v="BUSHENYI"/>
    <s v="UGA"/>
    <n v="1"/>
    <s v="Home"/>
    <s v="MBARARA"/>
    <s v="MBARARA"/>
    <s v="UGA"/>
    <n v="6"/>
    <s v="Leisure/Social"/>
    <x v="8"/>
    <n v="12000"/>
    <m/>
    <x v="0"/>
    <n v="2"/>
    <x v="0"/>
    <n v="6"/>
    <s v="Businessman"/>
    <n v="1"/>
    <x v="2"/>
    <n v="3"/>
    <n v="1"/>
    <n v="2"/>
    <n v="4"/>
    <n v="5"/>
    <s v="Y"/>
    <n v="200"/>
    <x v="3"/>
  </r>
  <r>
    <d v="2019-10-18T00:00:00"/>
    <m/>
    <m/>
    <s v="D"/>
    <n v="2"/>
    <s v="Road Vehicle"/>
    <n v="4"/>
    <x v="3"/>
    <x v="0"/>
    <n v="1"/>
    <x v="0"/>
    <s v="ISHAKA"/>
    <s v="BUSHENYI"/>
    <s v="UGA"/>
    <n v="2"/>
    <s v="Work"/>
    <s v="TOWN"/>
    <s v="FORTPOTAL"/>
    <s v="UGA"/>
    <n v="2"/>
    <s v="Work"/>
    <x v="2"/>
    <n v="80000"/>
    <n v="130"/>
    <x v="2"/>
    <n v="4"/>
    <x v="2"/>
    <n v="10"/>
    <s v="Other"/>
    <n v="1"/>
    <x v="2"/>
    <n v="2"/>
    <n v="3"/>
    <n v="4"/>
    <n v="1"/>
    <n v="5"/>
    <s v="Y"/>
    <m/>
    <x v="3"/>
  </r>
  <r>
    <d v="2019-10-19T00:00:00"/>
    <d v="1899-12-30T09:00:00"/>
    <m/>
    <s v="D"/>
    <n v="2"/>
    <s v="Road Vehicle"/>
    <n v="4"/>
    <x v="3"/>
    <x v="0"/>
    <n v="1"/>
    <x v="0"/>
    <s v="ISHAKA"/>
    <s v="BUSHENYI"/>
    <s v="UGA"/>
    <n v="1"/>
    <s v="Home"/>
    <s v="MBARARA"/>
    <s v="MBARARA"/>
    <s v="UGA"/>
    <m/>
    <e v="#N/A"/>
    <x v="38"/>
    <n v="50000"/>
    <n v="45"/>
    <x v="5"/>
    <n v="0.5"/>
    <x v="4"/>
    <n v="1"/>
    <s v="Unemployed"/>
    <n v="1"/>
    <x v="2"/>
    <n v="2"/>
    <n v="1"/>
    <n v="3"/>
    <n v="5"/>
    <n v="4"/>
    <s v="Y"/>
    <n v="1000"/>
    <x v="4"/>
  </r>
  <r>
    <d v="2019-10-20T00:00:00"/>
    <d v="1899-12-30T08:12:00"/>
    <m/>
    <s v="P"/>
    <n v="2"/>
    <s v="Road Vehicle"/>
    <n v="4"/>
    <x v="3"/>
    <x v="0"/>
    <n v="1"/>
    <x v="0"/>
    <s v="KYABUJIMBI"/>
    <s v="BUSHENYI"/>
    <s v="UGA"/>
    <n v="1"/>
    <s v="Home"/>
    <s v="KAKEBA"/>
    <s v="MBARARA"/>
    <s v="UGA"/>
    <n v="6"/>
    <s v="Leisure/Social"/>
    <x v="8"/>
    <n v="10000"/>
    <m/>
    <x v="0"/>
    <n v="1.5"/>
    <x v="1"/>
    <n v="6"/>
    <s v="Businessman"/>
    <n v="4"/>
    <x v="0"/>
    <n v="3"/>
    <n v="2"/>
    <n v="5"/>
    <n v="4"/>
    <n v="1"/>
    <s v="Y"/>
    <n v="2000"/>
    <x v="1"/>
  </r>
  <r>
    <d v="2019-10-20T00:00:00"/>
    <d v="1899-12-30T10:41:00"/>
    <m/>
    <s v="P"/>
    <n v="2"/>
    <s v="Road Vehicle"/>
    <n v="4"/>
    <x v="3"/>
    <x v="0"/>
    <n v="1"/>
    <x v="0"/>
    <s v="KABAALE"/>
    <s v="BUSHENYI"/>
    <s v="UGA"/>
    <n v="1"/>
    <s v="Home"/>
    <s v="LUBONA"/>
    <s v="FORTPOTAL"/>
    <s v="UGA"/>
    <n v="6"/>
    <s v="Leisure/Social"/>
    <x v="8"/>
    <n v="24000"/>
    <m/>
    <x v="0"/>
    <n v="3"/>
    <x v="0"/>
    <n v="5"/>
    <s v="Professional"/>
    <n v="2"/>
    <x v="3"/>
    <n v="4"/>
    <n v="1"/>
    <n v="2"/>
    <n v="3"/>
    <n v="5"/>
    <s v="Y"/>
    <n v="100"/>
    <x v="3"/>
  </r>
  <r>
    <d v="2019-10-20T00:00:00"/>
    <d v="1899-12-30T11:01:00"/>
    <m/>
    <s v="P"/>
    <n v="2"/>
    <s v="Road Vehicle"/>
    <n v="4"/>
    <x v="3"/>
    <x v="0"/>
    <n v="1"/>
    <x v="0"/>
    <s v="ISHAKA"/>
    <s v="BUSHENYI"/>
    <s v="UGA"/>
    <n v="6"/>
    <s v="Leisure/Social"/>
    <s v="KYANGA"/>
    <s v="RWIMI"/>
    <s v="UGA"/>
    <n v="1"/>
    <s v="Home"/>
    <x v="10"/>
    <n v="16000"/>
    <m/>
    <x v="0"/>
    <n v="1.5"/>
    <x v="1"/>
    <n v="6"/>
    <s v="Businessman"/>
    <n v="5"/>
    <x v="4"/>
    <n v="3"/>
    <n v="2"/>
    <n v="4"/>
    <n v="1"/>
    <n v="5"/>
    <s v="Y"/>
    <n v="1500"/>
    <x v="4"/>
  </r>
  <r>
    <d v="2019-10-20T00:00:00"/>
    <d v="1899-12-30T11:15:00"/>
    <m/>
    <s v="P"/>
    <n v="2"/>
    <s v="Road Vehicle"/>
    <n v="4"/>
    <x v="3"/>
    <x v="0"/>
    <n v="1"/>
    <x v="0"/>
    <s v="LIGHT S.S"/>
    <s v="MITOMA"/>
    <s v="UGA"/>
    <n v="3"/>
    <s v="Study"/>
    <s v="NYAMIKO"/>
    <s v="BUSHENYI"/>
    <s v="UGA"/>
    <n v="1"/>
    <s v="Home"/>
    <x v="9"/>
    <n v="6000"/>
    <n v="80"/>
    <x v="1"/>
    <n v="1.5"/>
    <x v="1"/>
    <n v="8"/>
    <s v="Student"/>
    <n v="1"/>
    <x v="2"/>
    <n v="3"/>
    <n v="2"/>
    <n v="4"/>
    <n v="1"/>
    <n v="5"/>
    <s v="Y"/>
    <m/>
    <x v="3"/>
  </r>
  <r>
    <d v="2019-10-20T00:00:00"/>
    <d v="1899-12-30T08:20:00"/>
    <m/>
    <s v="P"/>
    <n v="2"/>
    <s v="Road Vehicle"/>
    <n v="4"/>
    <x v="3"/>
    <x v="0"/>
    <n v="1"/>
    <x v="0"/>
    <s v="KASESE"/>
    <s v="KASESE"/>
    <s v="UGA"/>
    <n v="1"/>
    <s v="Home"/>
    <s v="ISHAKA"/>
    <s v="BUSHENYI"/>
    <s v="UGA"/>
    <n v="4"/>
    <s v="Commercial"/>
    <x v="0"/>
    <n v="10000"/>
    <n v="92"/>
    <x v="1"/>
    <n v="1.5"/>
    <x v="1"/>
    <n v="6"/>
    <s v="Businessman"/>
    <n v="3"/>
    <x v="1"/>
    <n v="3"/>
    <n v="2"/>
    <n v="1"/>
    <n v="5"/>
    <n v="4"/>
    <s v="Y"/>
    <n v="2000"/>
    <x v="1"/>
  </r>
  <r>
    <d v="2019-10-20T00:00:00"/>
    <d v="1899-12-30T15:55:00"/>
    <m/>
    <s v="P"/>
    <n v="2"/>
    <s v="Road Vehicle"/>
    <n v="4"/>
    <x v="3"/>
    <x v="0"/>
    <n v="1"/>
    <x v="0"/>
    <s v="KASOZI"/>
    <s v="BUSHENYI"/>
    <s v="UGA"/>
    <n v="1"/>
    <s v="Home"/>
    <s v="LIGHT S.S"/>
    <s v="BUSHENYI"/>
    <s v="UGA"/>
    <n v="3"/>
    <s v="Study"/>
    <x v="25"/>
    <n v="1500"/>
    <n v="15"/>
    <x v="6"/>
    <n v="0.2"/>
    <x v="3"/>
    <n v="8"/>
    <s v="Student"/>
    <n v="1"/>
    <x v="2"/>
    <n v="2"/>
    <n v="5"/>
    <n v="4"/>
    <n v="1"/>
    <n v="3"/>
    <s v="Y"/>
    <n v="500"/>
    <x v="3"/>
  </r>
  <r>
    <d v="2019-10-20T00:00:00"/>
    <d v="1899-12-30T17:58:00"/>
    <m/>
    <s v="P"/>
    <n v="2"/>
    <s v="Road Vehicle"/>
    <n v="4"/>
    <x v="3"/>
    <x v="0"/>
    <n v="1"/>
    <x v="0"/>
    <s v="LIGHT S.S"/>
    <s v="BUSHENYI"/>
    <s v="UGA"/>
    <n v="3"/>
    <s v="Study"/>
    <s v="KASOZI"/>
    <s v="BUSHENYI"/>
    <s v="UGA"/>
    <n v="1"/>
    <s v="Home"/>
    <x v="9"/>
    <n v="2000"/>
    <n v="15"/>
    <x v="6"/>
    <n v="0.2"/>
    <x v="3"/>
    <n v="8"/>
    <s v="Student"/>
    <n v="1"/>
    <x v="2"/>
    <n v="1"/>
    <n v="2"/>
    <n v="3"/>
    <n v="4"/>
    <n v="5"/>
    <s v="Y"/>
    <m/>
    <x v="3"/>
  </r>
  <r>
    <d v="2019-10-20T00:00:00"/>
    <d v="1899-12-30T11:30:00"/>
    <m/>
    <s v="P"/>
    <n v="2"/>
    <s v="Road Vehicle"/>
    <n v="2"/>
    <x v="6"/>
    <x v="1"/>
    <n v="1"/>
    <x v="0"/>
    <s v="ISHAKA"/>
    <s v="BUSHENYI"/>
    <s v="UGA"/>
    <n v="4"/>
    <s v="Commercial"/>
    <s v="KITAGATA"/>
    <s v="KASESE"/>
    <s v="UGA"/>
    <n v="6"/>
    <s v="Leisure/Social"/>
    <x v="36"/>
    <n v="4000"/>
    <n v="20"/>
    <x v="4"/>
    <n v="0.5"/>
    <x v="4"/>
    <n v="4"/>
    <s v="Office Worker"/>
    <n v="1"/>
    <x v="2"/>
    <n v="3"/>
    <n v="1"/>
    <n v="4"/>
    <n v="2"/>
    <n v="5"/>
    <s v="Y"/>
    <n v="1000"/>
    <x v="4"/>
  </r>
  <r>
    <d v="2019-10-19T00:00:00"/>
    <d v="1899-12-30T09:20:00"/>
    <m/>
    <s v="P"/>
    <n v="2"/>
    <s v="Road Vehicle"/>
    <n v="2"/>
    <x v="6"/>
    <x v="0"/>
    <n v="1"/>
    <x v="0"/>
    <s v="KYABUJIMBI"/>
    <s v="BUSHENYI"/>
    <s v="UGA"/>
    <n v="1"/>
    <s v="Home"/>
    <s v="BUNYARUGURU"/>
    <s v="BUBIRIZI"/>
    <s v="UGA"/>
    <n v="8"/>
    <s v="Others"/>
    <x v="13"/>
    <n v="4000"/>
    <n v="120"/>
    <x v="2"/>
    <n v="2"/>
    <x v="0"/>
    <n v="2"/>
    <s v="Manual Labour"/>
    <n v="1"/>
    <x v="2"/>
    <m/>
    <m/>
    <m/>
    <m/>
    <m/>
    <s v="Y"/>
    <m/>
    <x v="3"/>
  </r>
  <r>
    <d v="2019-10-19T00:00:00"/>
    <d v="1899-12-30T11:41:00"/>
    <m/>
    <s v="D"/>
    <n v="2"/>
    <s v="Road Vehicle"/>
    <n v="2"/>
    <x v="6"/>
    <x v="0"/>
    <n v="1"/>
    <x v="0"/>
    <s v="SHUKU"/>
    <s v="SHEEMA"/>
    <s v="UGA"/>
    <n v="4"/>
    <s v="Commercial"/>
    <s v="MITOMA"/>
    <s v="MITOMA"/>
    <s v="UGA"/>
    <n v="4"/>
    <s v="Commercial"/>
    <x v="18"/>
    <n v="8000"/>
    <n v="50"/>
    <x v="5"/>
    <n v="0.7"/>
    <x v="4"/>
    <n v="10"/>
    <s v="Other"/>
    <n v="1"/>
    <x v="2"/>
    <m/>
    <m/>
    <m/>
    <m/>
    <m/>
    <s v="Y"/>
    <n v="2000"/>
    <x v="1"/>
  </r>
  <r>
    <d v="2019-10-20T00:00:00"/>
    <d v="1899-12-30T08:45:00"/>
    <m/>
    <s v="P"/>
    <n v="2"/>
    <s v="Road Vehicle"/>
    <n v="2"/>
    <x v="6"/>
    <x v="0"/>
    <n v="1"/>
    <x v="0"/>
    <s v="ISHAKA"/>
    <s v="BUSHENYI"/>
    <s v="UGA"/>
    <n v="1"/>
    <s v="Home"/>
    <s v="KITAGATA"/>
    <s v="SHEEMA"/>
    <s v="UGA"/>
    <n v="6"/>
    <s v="Leisure/Social"/>
    <x v="8"/>
    <n v="5000"/>
    <m/>
    <x v="0"/>
    <n v="0.7"/>
    <x v="4"/>
    <n v="4"/>
    <s v="Office Worker"/>
    <n v="2"/>
    <x v="3"/>
    <n v="1"/>
    <n v="2"/>
    <n v="5"/>
    <n v="3"/>
    <n v="4"/>
    <s v="Y"/>
    <n v="1000"/>
    <x v="4"/>
  </r>
  <r>
    <d v="2019-10-20T00:00:00"/>
    <d v="1899-12-30T09:17:00"/>
    <m/>
    <s v="P"/>
    <n v="2"/>
    <s v="Road Vehicle"/>
    <n v="2"/>
    <x v="6"/>
    <x v="0"/>
    <n v="1"/>
    <x v="0"/>
    <s v="BWERA"/>
    <s v="KASESE"/>
    <s v="UGA"/>
    <n v="1"/>
    <s v="Home"/>
    <s v="KAMPALA"/>
    <s v="KAMPALA"/>
    <s v="UGA"/>
    <n v="4"/>
    <s v="Commercial"/>
    <x v="0"/>
    <n v="30000"/>
    <n v="432"/>
    <x v="3"/>
    <n v="8"/>
    <x v="2"/>
    <n v="6"/>
    <s v="Businessman"/>
    <n v="3"/>
    <x v="1"/>
    <n v="3"/>
    <n v="2"/>
    <n v="4"/>
    <n v="1"/>
    <n v="5"/>
    <s v="Y"/>
    <n v="2000"/>
    <x v="1"/>
  </r>
  <r>
    <d v="2019-10-19T00:00:00"/>
    <d v="1899-12-30T09:28:00"/>
    <m/>
    <m/>
    <n v="1"/>
    <s v="Walking/Cycling"/>
    <n v="13"/>
    <x v="5"/>
    <x v="1"/>
    <n v="2"/>
    <x v="1"/>
    <s v="KAHIZA"/>
    <s v="BUSHENYI"/>
    <s v="UGA"/>
    <n v="6"/>
    <s v="Leisure/Social"/>
    <s v="ISHAKA"/>
    <s v="BUSHENYI"/>
    <s v="UGA"/>
    <n v="6"/>
    <s v="Leisure/Social"/>
    <x v="7"/>
    <n v="2000"/>
    <n v="5"/>
    <x v="0"/>
    <n v="0.3"/>
    <x v="3"/>
    <n v="10"/>
    <s v="Other"/>
    <n v="3"/>
    <x v="1"/>
    <n v="4"/>
    <n v="5"/>
    <n v="3"/>
    <n v="1"/>
    <n v="2"/>
    <s v="Y"/>
    <n v="500"/>
    <x v="3"/>
  </r>
  <r>
    <d v="2019-10-19T00:00:00"/>
    <m/>
    <m/>
    <s v="P"/>
    <n v="1"/>
    <s v="Walking/Cycling"/>
    <n v="13"/>
    <x v="5"/>
    <x v="1"/>
    <n v="2"/>
    <x v="1"/>
    <s v="KITAGATA"/>
    <s v="SHEEMA"/>
    <s v="UGA"/>
    <n v="6"/>
    <s v="Leisure/Social"/>
    <s v="ISHAKA"/>
    <s v="BUSHENYI"/>
    <s v="UGA"/>
    <n v="1"/>
    <s v="Home"/>
    <x v="10"/>
    <n v="2000"/>
    <m/>
    <x v="0"/>
    <n v="0.3"/>
    <x v="3"/>
    <n v="10"/>
    <s v="Other"/>
    <n v="2"/>
    <x v="3"/>
    <n v="2"/>
    <n v="3"/>
    <n v="5"/>
    <n v="4"/>
    <n v="1"/>
    <s v="Y"/>
    <m/>
    <x v="3"/>
  </r>
  <r>
    <d v="2019-10-20T00:00:00"/>
    <d v="1899-12-30T17:30:00"/>
    <m/>
    <m/>
    <n v="1"/>
    <s v="Walking/Cycling"/>
    <n v="13"/>
    <x v="5"/>
    <x v="1"/>
    <n v="2"/>
    <x v="1"/>
    <s v="KIZINDA"/>
    <s v="BUSHENYI"/>
    <s v="UGA"/>
    <n v="1"/>
    <s v="Home"/>
    <s v="ISHAKA"/>
    <s v="BUSHENYI"/>
    <s v="UGA"/>
    <n v="2"/>
    <s v="Work"/>
    <x v="1"/>
    <n v="1000"/>
    <n v="0.5"/>
    <x v="0"/>
    <n v="0.1"/>
    <x v="3"/>
    <n v="10"/>
    <s v="Other"/>
    <n v="1"/>
    <x v="2"/>
    <n v="1"/>
    <n v="4"/>
    <n v="2"/>
    <n v="3"/>
    <n v="5"/>
    <s v="Y"/>
    <m/>
    <x v="3"/>
  </r>
  <r>
    <d v="2019-10-20T00:00:00"/>
    <d v="1899-12-30T17:32:00"/>
    <m/>
    <m/>
    <n v="1"/>
    <s v="Walking/Cycling"/>
    <n v="13"/>
    <x v="5"/>
    <x v="1"/>
    <n v="2"/>
    <x v="1"/>
    <s v="KIGOMA"/>
    <s v="BUSHENYI"/>
    <s v="UGA"/>
    <n v="1"/>
    <s v="Home"/>
    <s v="ISHAKA"/>
    <s v="BUSHENYI"/>
    <s v="UGA"/>
    <n v="2"/>
    <s v="Work"/>
    <x v="1"/>
    <n v="1000"/>
    <n v="4"/>
    <x v="0"/>
    <n v="0.2"/>
    <x v="3"/>
    <n v="10"/>
    <s v="Other"/>
    <n v="1"/>
    <x v="2"/>
    <n v="2"/>
    <n v="3"/>
    <n v="5"/>
    <n v="1"/>
    <n v="4"/>
    <s v="Y"/>
    <n v="500"/>
    <x v="3"/>
  </r>
  <r>
    <d v="2019-10-20T00:00:00"/>
    <d v="1899-12-30T17:22:00"/>
    <m/>
    <m/>
    <n v="1"/>
    <s v="Walking/Cycling"/>
    <n v="13"/>
    <x v="5"/>
    <x v="0"/>
    <n v="2"/>
    <x v="1"/>
    <s v="KIZINDA"/>
    <s v="BUSHENYI"/>
    <s v="UGA"/>
    <n v="1"/>
    <s v="Home"/>
    <s v="ISHAKA"/>
    <s v="BUSHENYI"/>
    <s v="UGA"/>
    <n v="2"/>
    <s v="Work"/>
    <x v="1"/>
    <n v="1000"/>
    <m/>
    <x v="0"/>
    <n v="0.2"/>
    <x v="3"/>
    <n v="10"/>
    <s v="Other"/>
    <n v="5"/>
    <x v="4"/>
    <n v="2"/>
    <n v="3"/>
    <n v="1"/>
    <n v="4"/>
    <n v="5"/>
    <s v="Y"/>
    <m/>
    <x v="3"/>
  </r>
  <r>
    <d v="2019-10-18T00:00:00"/>
    <m/>
    <m/>
    <s v="P"/>
    <n v="2"/>
    <s v="Road Vehicle"/>
    <n v="1"/>
    <x v="0"/>
    <x v="1"/>
    <n v="2"/>
    <x v="1"/>
    <s v="ISHAKA"/>
    <s v="BUSHENYI"/>
    <s v="UGA"/>
    <n v="6"/>
    <s v="Leisure/Social"/>
    <s v="KAGAMBA"/>
    <s v="BUSHENYI"/>
    <s v="UGA"/>
    <n v="6"/>
    <s v="Leisure/Social"/>
    <x v="7"/>
    <n v="3000"/>
    <m/>
    <x v="0"/>
    <n v="0.5"/>
    <x v="4"/>
    <n v="1"/>
    <s v="Unemployed"/>
    <n v="1"/>
    <x v="2"/>
    <n v="4"/>
    <n v="2"/>
    <n v="1"/>
    <n v="5"/>
    <n v="3"/>
    <s v="Y"/>
    <m/>
    <x v="3"/>
  </r>
  <r>
    <d v="2019-10-18T00:00:00"/>
    <m/>
    <m/>
    <s v="P"/>
    <n v="2"/>
    <s v="Road Vehicle"/>
    <n v="1"/>
    <x v="0"/>
    <x v="1"/>
    <n v="2"/>
    <x v="1"/>
    <s v="MAKENGE"/>
    <s v="MBARARA"/>
    <s v="UGA"/>
    <n v="1"/>
    <s v="Home"/>
    <s v="KAGAMBA"/>
    <s v="BUSHENYI"/>
    <s v="UGA"/>
    <n v="6"/>
    <s v="Leisure/Social"/>
    <x v="8"/>
    <n v="10000"/>
    <m/>
    <x v="0"/>
    <n v="1.5"/>
    <x v="1"/>
    <n v="4"/>
    <s v="Office Worker"/>
    <n v="2"/>
    <x v="3"/>
    <n v="1"/>
    <n v="1"/>
    <n v="1"/>
    <n v="1"/>
    <n v="1"/>
    <s v="Y"/>
    <m/>
    <x v="3"/>
  </r>
  <r>
    <d v="2019-10-19T00:00:00"/>
    <d v="1899-12-30T08:18:00"/>
    <m/>
    <s v="P"/>
    <n v="2"/>
    <s v="Road Vehicle"/>
    <n v="1"/>
    <x v="0"/>
    <x v="1"/>
    <n v="2"/>
    <x v="1"/>
    <s v="NAKIBAARE"/>
    <s v="RUKUNGIRI"/>
    <s v="UGA"/>
    <n v="4"/>
    <s v="Commercial"/>
    <s v="SHEEMA"/>
    <s v="SHEEMA"/>
    <s v="UGA"/>
    <n v="4"/>
    <s v="Commercial"/>
    <x v="18"/>
    <n v="8000"/>
    <n v="50"/>
    <x v="5"/>
    <n v="2"/>
    <x v="0"/>
    <n v="6"/>
    <s v="Businessman"/>
    <n v="2"/>
    <x v="3"/>
    <n v="4"/>
    <n v="1"/>
    <n v="3"/>
    <n v="2"/>
    <n v="5"/>
    <s v="Y"/>
    <n v="1000"/>
    <x v="4"/>
  </r>
  <r>
    <d v="2019-10-19T00:00:00"/>
    <d v="1899-12-30T08:20:00"/>
    <m/>
    <m/>
    <n v="2"/>
    <s v="Road Vehicle"/>
    <n v="1"/>
    <x v="0"/>
    <x v="1"/>
    <n v="2"/>
    <x v="1"/>
    <s v="KYAMUWUNGA"/>
    <s v="BUSHENYI"/>
    <s v="UGA"/>
    <n v="1"/>
    <s v="Home"/>
    <s v="MASAKA"/>
    <s v="MASAKA"/>
    <s v="UGA"/>
    <n v="6"/>
    <s v="Leisure/Social"/>
    <x v="8"/>
    <n v="10000"/>
    <n v="105"/>
    <x v="2"/>
    <n v="4"/>
    <x v="2"/>
    <n v="2"/>
    <s v="Manual Labour"/>
    <n v="1"/>
    <x v="2"/>
    <n v="2"/>
    <n v="1"/>
    <n v="3"/>
    <n v="4"/>
    <n v="5"/>
    <s v="Y"/>
    <m/>
    <x v="3"/>
  </r>
  <r>
    <d v="2019-10-19T00:00:00"/>
    <d v="1899-12-30T08:52:00"/>
    <m/>
    <s v="P"/>
    <n v="2"/>
    <s v="Road Vehicle"/>
    <n v="1"/>
    <x v="0"/>
    <x v="1"/>
    <n v="2"/>
    <x v="1"/>
    <s v="KARAMBI"/>
    <s v="BUSHENYI"/>
    <s v="UGA"/>
    <n v="1"/>
    <s v="Home"/>
    <s v="ISHAKA"/>
    <s v="BUSHENYI"/>
    <s v="UGA"/>
    <n v="2"/>
    <s v="Work"/>
    <x v="1"/>
    <n v="4000"/>
    <n v="50"/>
    <x v="5"/>
    <n v="1"/>
    <x v="1"/>
    <n v="2"/>
    <s v="Manual Labour"/>
    <n v="1"/>
    <x v="2"/>
    <n v="4"/>
    <n v="5"/>
    <n v="3"/>
    <n v="1"/>
    <n v="2"/>
    <s v="Y"/>
    <n v="5000"/>
    <x v="2"/>
  </r>
  <r>
    <d v="2019-10-20T00:00:00"/>
    <d v="1899-12-30T14:10:00"/>
    <m/>
    <s v="P"/>
    <n v="2"/>
    <s v="Road Vehicle"/>
    <n v="1"/>
    <x v="0"/>
    <x v="1"/>
    <n v="2"/>
    <x v="1"/>
    <s v="KYABUJIMBI"/>
    <s v="BUSHENYI"/>
    <s v="UGA"/>
    <n v="6"/>
    <s v="Leisure/Social"/>
    <s v="KIREMBE"/>
    <s v="KASESE"/>
    <s v="UGA"/>
    <n v="1"/>
    <s v="Home"/>
    <x v="10"/>
    <n v="10000"/>
    <m/>
    <x v="0"/>
    <m/>
    <x v="3"/>
    <n v="6"/>
    <s v="Businessman"/>
    <n v="3"/>
    <x v="1"/>
    <n v="4"/>
    <n v="3"/>
    <n v="1"/>
    <n v="5"/>
    <n v="2"/>
    <s v="Y"/>
    <n v="1000"/>
    <x v="4"/>
  </r>
  <r>
    <d v="2019-10-20T00:00:00"/>
    <d v="1899-12-30T17:25:00"/>
    <m/>
    <s v="P"/>
    <n v="2"/>
    <s v="Road Vehicle"/>
    <n v="1"/>
    <x v="0"/>
    <x v="1"/>
    <n v="2"/>
    <x v="1"/>
    <s v="ISHAKA"/>
    <s v="BUSHENYI"/>
    <s v="UGA"/>
    <n v="6"/>
    <s v="Leisure/Social"/>
    <s v="MAKENGE"/>
    <s v="MBARARA"/>
    <s v="UGA"/>
    <n v="1"/>
    <s v="Home"/>
    <x v="10"/>
    <n v="9000"/>
    <m/>
    <x v="0"/>
    <n v="1"/>
    <x v="1"/>
    <n v="6"/>
    <s v="Businessman"/>
    <n v="1"/>
    <x v="2"/>
    <n v="5"/>
    <n v="2"/>
    <n v="1"/>
    <n v="3"/>
    <n v="4"/>
    <s v="Y"/>
    <n v="100"/>
    <x v="3"/>
  </r>
  <r>
    <d v="2019-10-20T00:00:00"/>
    <d v="1899-12-30T10:18:00"/>
    <m/>
    <s v="P"/>
    <n v="2"/>
    <s v="Road Vehicle"/>
    <n v="1"/>
    <x v="0"/>
    <x v="1"/>
    <n v="2"/>
    <x v="1"/>
    <s v="KIZINDA"/>
    <s v="BUSHENYI"/>
    <s v="UGA"/>
    <n v="1"/>
    <s v="Home"/>
    <s v="ST.PETERS"/>
    <s v="BUSHENYI"/>
    <s v="UGA"/>
    <n v="8"/>
    <s v="Others"/>
    <x v="13"/>
    <n v="2000"/>
    <n v="9"/>
    <x v="0"/>
    <n v="0.8"/>
    <x v="4"/>
    <n v="6"/>
    <s v="Businessman"/>
    <n v="2"/>
    <x v="3"/>
    <n v="3"/>
    <n v="2"/>
    <n v="4"/>
    <n v="1"/>
    <n v="5"/>
    <s v="Y"/>
    <n v="1000"/>
    <x v="4"/>
  </r>
  <r>
    <d v="2019-10-20T00:00:00"/>
    <d v="1899-12-30T09:05:00"/>
    <m/>
    <s v="P"/>
    <n v="2"/>
    <s v="Road Vehicle"/>
    <n v="1"/>
    <x v="0"/>
    <x v="1"/>
    <n v="2"/>
    <x v="1"/>
    <s v="KIGOMA"/>
    <s v="BUSHENYI"/>
    <s v="UGA"/>
    <n v="1"/>
    <s v="Home"/>
    <s v="CHRIST THE KING"/>
    <s v="SHEEMA"/>
    <s v="UGA"/>
    <n v="8"/>
    <s v="Others"/>
    <x v="13"/>
    <n v="4000"/>
    <m/>
    <x v="0"/>
    <n v="1"/>
    <x v="1"/>
    <n v="7"/>
    <s v="Farmer"/>
    <n v="2"/>
    <x v="3"/>
    <n v="1"/>
    <n v="2"/>
    <n v="4"/>
    <n v="3"/>
    <n v="5"/>
    <s v="Y"/>
    <n v="1000"/>
    <x v="4"/>
  </r>
  <r>
    <d v="2019-10-20T00:00:00"/>
    <d v="1899-12-30T09:28:00"/>
    <m/>
    <s v="P"/>
    <n v="2"/>
    <s v="Road Vehicle"/>
    <n v="1"/>
    <x v="0"/>
    <x v="1"/>
    <n v="2"/>
    <x v="1"/>
    <s v="KIZINDA"/>
    <s v="BUSHENYI"/>
    <s v="UGA"/>
    <n v="8"/>
    <s v="Others"/>
    <s v="KASOZI"/>
    <s v="BUSHENYI"/>
    <s v="UGA"/>
    <n v="1"/>
    <s v="Home"/>
    <x v="12"/>
    <n v="1500"/>
    <n v="8"/>
    <x v="0"/>
    <n v="0.2"/>
    <x v="3"/>
    <n v="7"/>
    <s v="Farmer"/>
    <n v="1"/>
    <x v="2"/>
    <n v="3"/>
    <n v="4"/>
    <n v="2"/>
    <n v="1"/>
    <n v="5"/>
    <s v="Y"/>
    <n v="2000"/>
    <x v="1"/>
  </r>
  <r>
    <d v="2019-10-20T00:00:00"/>
    <d v="1899-12-30T10:08:00"/>
    <m/>
    <s v="P"/>
    <n v="2"/>
    <s v="Road Vehicle"/>
    <n v="1"/>
    <x v="0"/>
    <x v="1"/>
    <n v="2"/>
    <x v="1"/>
    <s v="KATUNGURU"/>
    <s v="RUBIRIZI"/>
    <s v="UGA"/>
    <n v="4"/>
    <s v="Commercial"/>
    <s v="SHEEMA"/>
    <s v="SHEEMA"/>
    <s v="UGA"/>
    <n v="4"/>
    <s v="Commercial"/>
    <x v="18"/>
    <n v="8000"/>
    <n v="45"/>
    <x v="5"/>
    <n v="1.5"/>
    <x v="1"/>
    <n v="6"/>
    <s v="Businessman"/>
    <n v="1"/>
    <x v="2"/>
    <n v="1"/>
    <n v="2"/>
    <n v="5"/>
    <n v="3"/>
    <n v="4"/>
    <s v="Y"/>
    <n v="500"/>
    <x v="3"/>
  </r>
  <r>
    <d v="2019-10-20T00:00:00"/>
    <d v="1899-12-30T17:18:00"/>
    <m/>
    <s v="P"/>
    <n v="2"/>
    <s v="Road Vehicle"/>
    <n v="1"/>
    <x v="0"/>
    <x v="1"/>
    <n v="2"/>
    <x v="1"/>
    <s v="KYAMBURA"/>
    <s v="RUBIRIZI"/>
    <s v="UGA"/>
    <n v="4"/>
    <s v="Commercial"/>
    <s v="NTUNGAMO"/>
    <s v="NTUNGAMO"/>
    <s v="UGA"/>
    <n v="4"/>
    <s v="Commercial"/>
    <x v="18"/>
    <n v="10000"/>
    <m/>
    <x v="0"/>
    <n v="2.5"/>
    <x v="0"/>
    <n v="6"/>
    <s v="Businessman"/>
    <n v="1"/>
    <x v="2"/>
    <n v="3"/>
    <n v="2"/>
    <n v="4"/>
    <n v="1"/>
    <n v="5"/>
    <s v="Y"/>
    <m/>
    <x v="3"/>
  </r>
  <r>
    <d v="2019-10-18T00:00:00"/>
    <d v="1899-12-30T17:10:00"/>
    <m/>
    <s v="P"/>
    <n v="2"/>
    <s v="Road Vehicle"/>
    <n v="1"/>
    <x v="0"/>
    <x v="0"/>
    <n v="2"/>
    <x v="1"/>
    <s v="KARAMBI"/>
    <s v="BUSHENYI"/>
    <s v="UGA"/>
    <n v="6"/>
    <s v="Leisure/Social"/>
    <s v="TOWN KIREMBE"/>
    <s v="KASESE"/>
    <s v="UGA"/>
    <n v="1"/>
    <s v="Home"/>
    <x v="10"/>
    <n v="1000"/>
    <m/>
    <x v="0"/>
    <n v="2"/>
    <x v="0"/>
    <n v="5"/>
    <s v="Professional"/>
    <n v="2"/>
    <x v="3"/>
    <n v="3"/>
    <n v="4"/>
    <n v="2"/>
    <n v="1"/>
    <n v="5"/>
    <s v="Y"/>
    <n v="1000"/>
    <x v="4"/>
  </r>
  <r>
    <d v="2019-10-18T00:00:00"/>
    <d v="1899-12-30T16:32:00"/>
    <m/>
    <s v="P"/>
    <n v="2"/>
    <s v="Road Vehicle"/>
    <n v="1"/>
    <x v="0"/>
    <x v="0"/>
    <n v="2"/>
    <x v="1"/>
    <s v="KATERERA"/>
    <s v="RUBIRIZI"/>
    <s v="UGA"/>
    <n v="1"/>
    <s v="Home"/>
    <s v="KAKOBA"/>
    <s v="MBARARA"/>
    <s v="UGA"/>
    <n v="2"/>
    <s v="Work"/>
    <x v="1"/>
    <n v="20000"/>
    <m/>
    <x v="0"/>
    <n v="3"/>
    <x v="0"/>
    <n v="6"/>
    <s v="Businessman"/>
    <n v="1"/>
    <x v="2"/>
    <n v="1"/>
    <n v="4"/>
    <n v="3"/>
    <n v="2"/>
    <n v="5"/>
    <s v="Y"/>
    <n v="100"/>
    <x v="3"/>
  </r>
  <r>
    <d v="2019-10-18T00:00:00"/>
    <d v="1899-12-30T16:12:00"/>
    <m/>
    <s v="D"/>
    <n v="2"/>
    <s v="Road Vehicle"/>
    <n v="1"/>
    <x v="0"/>
    <x v="0"/>
    <n v="2"/>
    <x v="1"/>
    <s v="ISHAKA"/>
    <s v="BUSHENYI"/>
    <s v="UGA"/>
    <n v="2"/>
    <s v="Work"/>
    <s v="TOWN MBARARA"/>
    <s v="MBARARA"/>
    <s v="UGA"/>
    <n v="2"/>
    <s v="Work"/>
    <x v="2"/>
    <n v="46000"/>
    <n v="62"/>
    <x v="5"/>
    <n v="1"/>
    <x v="1"/>
    <n v="10"/>
    <s v="Other"/>
    <n v="2"/>
    <x v="3"/>
    <n v="3"/>
    <n v="1"/>
    <n v="2"/>
    <n v="4"/>
    <n v="5"/>
    <s v="Y"/>
    <n v="1000"/>
    <x v="4"/>
  </r>
  <r>
    <d v="2019-10-19T00:00:00"/>
    <d v="1899-12-30T07:18:00"/>
    <m/>
    <s v="D"/>
    <n v="2"/>
    <s v="Road Vehicle"/>
    <n v="1"/>
    <x v="0"/>
    <x v="0"/>
    <n v="2"/>
    <x v="1"/>
    <s v="KIZINDA"/>
    <s v="BUSHENYI"/>
    <s v="UGA"/>
    <n v="1"/>
    <s v="Home"/>
    <s v="NTUNGAMO"/>
    <s v="NTUNGAMO"/>
    <s v="UGA"/>
    <n v="2"/>
    <s v="Work"/>
    <x v="1"/>
    <n v="7000"/>
    <n v="50"/>
    <x v="5"/>
    <n v="1"/>
    <x v="1"/>
    <n v="10"/>
    <s v="Other"/>
    <n v="1"/>
    <x v="2"/>
    <n v="2"/>
    <n v="3"/>
    <n v="1"/>
    <n v="5"/>
    <n v="4"/>
    <s v="N"/>
    <m/>
    <x v="3"/>
  </r>
  <r>
    <d v="2019-10-19T00:00:00"/>
    <d v="1899-12-30T07:42:00"/>
    <m/>
    <s v="D"/>
    <n v="2"/>
    <s v="Road Vehicle"/>
    <n v="1"/>
    <x v="0"/>
    <x v="0"/>
    <n v="2"/>
    <x v="1"/>
    <s v="MBARARA"/>
    <s v="MBARARA"/>
    <s v="UGA"/>
    <n v="2"/>
    <s v="Work"/>
    <s v="ISHAKA"/>
    <s v="BUSHENYI"/>
    <s v="UGA"/>
    <n v="2"/>
    <s v="Work"/>
    <x v="2"/>
    <n v="7000"/>
    <n v="54"/>
    <x v="5"/>
    <n v="0.7"/>
    <x v="4"/>
    <n v="1"/>
    <s v="Unemployed"/>
    <n v="2"/>
    <x v="3"/>
    <n v="5"/>
    <n v="2"/>
    <n v="3"/>
    <n v="1"/>
    <n v="4"/>
    <s v="Y"/>
    <n v="1000"/>
    <x v="4"/>
  </r>
  <r>
    <d v="2019-10-19T00:00:00"/>
    <d v="1899-12-30T10:31:00"/>
    <m/>
    <s v="D"/>
    <n v="2"/>
    <s v="Road Vehicle"/>
    <n v="1"/>
    <x v="0"/>
    <x v="0"/>
    <n v="2"/>
    <x v="1"/>
    <s v="BUSHENYI"/>
    <s v="BUSHENYI"/>
    <s v="UGA"/>
    <n v="4"/>
    <s v="Commercial"/>
    <s v="NTUNGAMO"/>
    <s v="NTUNGAMO"/>
    <s v="UGA"/>
    <n v="4"/>
    <s v="Commercial"/>
    <x v="18"/>
    <n v="30000"/>
    <m/>
    <x v="0"/>
    <n v="2"/>
    <x v="0"/>
    <n v="4"/>
    <s v="Office Worker"/>
    <n v="2"/>
    <x v="3"/>
    <n v="5"/>
    <n v="2"/>
    <n v="3"/>
    <n v="1"/>
    <n v="4"/>
    <s v="Y"/>
    <n v="5000"/>
    <x v="2"/>
  </r>
  <r>
    <d v="2019-10-19T00:00:00"/>
    <d v="1899-12-30T15:13:00"/>
    <m/>
    <s v="D"/>
    <n v="2"/>
    <s v="Road Vehicle"/>
    <n v="1"/>
    <x v="0"/>
    <x v="0"/>
    <n v="2"/>
    <x v="1"/>
    <s v="KITAMBE"/>
    <s v="SHEEMA"/>
    <s v="UGA"/>
    <n v="6"/>
    <s v="Leisure/Social"/>
    <s v="ISHAKA"/>
    <s v="BUSHENYI"/>
    <s v="UGA"/>
    <n v="8"/>
    <s v="Others"/>
    <x v="39"/>
    <n v="20000"/>
    <n v="15"/>
    <x v="6"/>
    <n v="0.3"/>
    <x v="3"/>
    <n v="6"/>
    <s v="Businessman"/>
    <n v="3"/>
    <x v="1"/>
    <n v="2"/>
    <n v="1"/>
    <n v="3"/>
    <n v="4"/>
    <n v="5"/>
    <s v="Y"/>
    <n v="1000"/>
    <x v="4"/>
  </r>
  <r>
    <d v="2019-10-20T00:00:00"/>
    <d v="1899-12-30T10:19:00"/>
    <m/>
    <s v="P"/>
    <n v="2"/>
    <s v="Road Vehicle"/>
    <n v="1"/>
    <x v="0"/>
    <x v="0"/>
    <n v="2"/>
    <x v="1"/>
    <s v="KIU"/>
    <s v="MBARARA"/>
    <s v="UGA"/>
    <n v="3"/>
    <s v="Study"/>
    <s v="ISHAKA"/>
    <s v="BUSHENYI"/>
    <s v="UGA"/>
    <n v="1"/>
    <s v="Home"/>
    <x v="9"/>
    <n v="7000"/>
    <m/>
    <x v="0"/>
    <n v="1.5"/>
    <x v="1"/>
    <n v="8"/>
    <s v="Student"/>
    <n v="1"/>
    <x v="2"/>
    <n v="2"/>
    <n v="3"/>
    <n v="4"/>
    <n v="1"/>
    <n v="5"/>
    <s v="Y"/>
    <m/>
    <x v="3"/>
  </r>
  <r>
    <d v="2019-10-20T00:00:00"/>
    <d v="1899-12-30T07:35:00"/>
    <m/>
    <s v="P"/>
    <n v="2"/>
    <s v="Road Vehicle"/>
    <n v="1"/>
    <x v="0"/>
    <x v="0"/>
    <n v="2"/>
    <x v="1"/>
    <s v="KAKANZU"/>
    <s v="BUSHENYI"/>
    <s v="UGA"/>
    <n v="1"/>
    <s v="Home"/>
    <s v="TOWN CENTER"/>
    <s v="MBARARA"/>
    <s v="UGA"/>
    <n v="8"/>
    <s v="Others"/>
    <x v="13"/>
    <n v="8000"/>
    <m/>
    <x v="0"/>
    <n v="1"/>
    <x v="1"/>
    <n v="6"/>
    <s v="Businessman"/>
    <n v="2"/>
    <x v="3"/>
    <n v="5"/>
    <n v="2"/>
    <n v="1"/>
    <n v="3"/>
    <n v="4"/>
    <s v="Y"/>
    <n v="100"/>
    <x v="3"/>
  </r>
  <r>
    <d v="2019-10-20T00:00:00"/>
    <d v="1899-12-30T09:49:00"/>
    <m/>
    <s v="D"/>
    <n v="2"/>
    <s v="Road Vehicle"/>
    <n v="1"/>
    <x v="0"/>
    <x v="0"/>
    <n v="2"/>
    <x v="1"/>
    <s v="TOWN"/>
    <s v="MBARARA"/>
    <s v="UGA"/>
    <n v="2"/>
    <s v="Work"/>
    <s v="ISHAKA"/>
    <s v="BUSHENYI"/>
    <s v="UGA"/>
    <n v="8"/>
    <s v="Others"/>
    <x v="19"/>
    <n v="60000"/>
    <n v="85"/>
    <x v="1"/>
    <n v="0.8"/>
    <x v="4"/>
    <n v="10"/>
    <s v="Other"/>
    <n v="2"/>
    <x v="3"/>
    <n v="4"/>
    <n v="2"/>
    <n v="3"/>
    <n v="1"/>
    <n v="5"/>
    <s v="Y"/>
    <n v="100"/>
    <x v="3"/>
  </r>
  <r>
    <d v="2019-10-20T00:00:00"/>
    <d v="1899-12-30T14:48:00"/>
    <m/>
    <s v="D"/>
    <n v="2"/>
    <s v="Road Vehicle"/>
    <n v="1"/>
    <x v="0"/>
    <x v="0"/>
    <n v="2"/>
    <x v="1"/>
    <s v="ISHAKA"/>
    <s v="BUSHENYI"/>
    <s v="UGA"/>
    <n v="2"/>
    <s v="Work"/>
    <s v="KABAROLE"/>
    <s v="KABAROLE"/>
    <s v="UGA"/>
    <n v="2"/>
    <s v="Work"/>
    <x v="2"/>
    <m/>
    <n v="140"/>
    <x v="2"/>
    <n v="2"/>
    <x v="0"/>
    <n v="10"/>
    <s v="Other"/>
    <n v="1"/>
    <x v="2"/>
    <n v="2"/>
    <n v="5"/>
    <n v="4"/>
    <n v="1"/>
    <n v="3"/>
    <s v="Y"/>
    <n v="500"/>
    <x v="3"/>
  </r>
  <r>
    <d v="2019-10-20T00:00:00"/>
    <d v="1899-12-30T13:50:00"/>
    <m/>
    <s v="P"/>
    <n v="2"/>
    <s v="Road Vehicle"/>
    <n v="1"/>
    <x v="0"/>
    <x v="0"/>
    <n v="2"/>
    <x v="1"/>
    <s v="NATIONAL PARK"/>
    <s v="KASESE"/>
    <s v="UGA"/>
    <n v="8"/>
    <s v="Others"/>
    <s v="TOWN CENTER"/>
    <s v="MBARARA"/>
    <s v="UGA"/>
    <n v="8"/>
    <s v="Others"/>
    <x v="15"/>
    <n v="20000"/>
    <m/>
    <x v="0"/>
    <n v="3"/>
    <x v="0"/>
    <n v="4"/>
    <s v="Office Worker"/>
    <n v="2"/>
    <x v="3"/>
    <n v="5"/>
    <n v="1"/>
    <n v="3"/>
    <n v="4"/>
    <n v="2"/>
    <s v="Y"/>
    <n v="100"/>
    <x v="3"/>
  </r>
  <r>
    <d v="2019-10-20T00:00:00"/>
    <d v="1899-12-30T16:39:00"/>
    <m/>
    <s v="P"/>
    <n v="2"/>
    <s v="Road Vehicle"/>
    <n v="1"/>
    <x v="0"/>
    <x v="0"/>
    <n v="2"/>
    <x v="1"/>
    <s v="NYIBINGO"/>
    <s v="BUSHENYI"/>
    <s v="UGA"/>
    <n v="6"/>
    <s v="Leisure/Social"/>
    <s v="KALAMBI"/>
    <s v="FORTPOTAL"/>
    <s v="UGA"/>
    <n v="1"/>
    <s v="Home"/>
    <x v="10"/>
    <n v="20000"/>
    <n v="110"/>
    <x v="2"/>
    <n v="2"/>
    <x v="0"/>
    <n v="6"/>
    <s v="Businessman"/>
    <n v="1"/>
    <x v="2"/>
    <n v="3"/>
    <n v="1"/>
    <n v="4"/>
    <n v="2"/>
    <n v="5"/>
    <s v="Y"/>
    <n v="500"/>
    <x v="3"/>
  </r>
  <r>
    <d v="2019-10-20T00:00:00"/>
    <d v="1899-12-30T18:32:00"/>
    <m/>
    <s v="D"/>
    <n v="2"/>
    <s v="Road Vehicle"/>
    <n v="1"/>
    <x v="0"/>
    <x v="0"/>
    <n v="2"/>
    <x v="1"/>
    <s v="ISHAKA"/>
    <s v="BUSHENYI"/>
    <s v="UGA"/>
    <n v="2"/>
    <s v="Work"/>
    <s v="TOWN CENTER"/>
    <s v="KASESE"/>
    <s v="UGA"/>
    <n v="2"/>
    <s v="Work"/>
    <x v="2"/>
    <n v="49400"/>
    <n v="90"/>
    <x v="1"/>
    <n v="1"/>
    <x v="1"/>
    <n v="10"/>
    <s v="Other"/>
    <n v="1"/>
    <x v="2"/>
    <n v="4"/>
    <n v="2"/>
    <n v="3"/>
    <n v="1"/>
    <n v="5"/>
    <s v="Y"/>
    <n v="3000"/>
    <x v="0"/>
  </r>
  <r>
    <d v="2019-10-20T00:00:00"/>
    <d v="1899-12-30T08:57:00"/>
    <m/>
    <s v="D"/>
    <n v="2"/>
    <s v="Road Vehicle"/>
    <n v="1"/>
    <x v="0"/>
    <x v="0"/>
    <n v="2"/>
    <x v="1"/>
    <s v="NYABUBARE"/>
    <s v="BUSHENYI"/>
    <s v="UGA"/>
    <n v="1"/>
    <s v="Home"/>
    <s v="MBARARA"/>
    <s v="MBARARA"/>
    <s v="UGA"/>
    <n v="4"/>
    <s v="Commercial"/>
    <x v="0"/>
    <n v="38000"/>
    <n v="115"/>
    <x v="2"/>
    <n v="2.5"/>
    <x v="0"/>
    <n v="6"/>
    <s v="Businessman"/>
    <n v="2"/>
    <x v="3"/>
    <n v="5"/>
    <n v="1"/>
    <n v="2"/>
    <n v="4"/>
    <n v="3"/>
    <s v="Y"/>
    <n v="2000"/>
    <x v="1"/>
  </r>
  <r>
    <d v="2019-10-19T00:00:00"/>
    <d v="1899-12-30T07:55:00"/>
    <m/>
    <s v="P"/>
    <n v="2"/>
    <s v="Road Vehicle"/>
    <n v="6"/>
    <x v="1"/>
    <x v="1"/>
    <n v="2"/>
    <x v="1"/>
    <s v="ISHAKA"/>
    <s v="BUSHENYI"/>
    <s v="UGA"/>
    <n v="1"/>
    <s v="Home"/>
    <s v="MITOMA"/>
    <s v="MITOMA"/>
    <s v="UGA"/>
    <n v="3"/>
    <s v="Study"/>
    <x v="25"/>
    <n v="3000"/>
    <n v="30"/>
    <x v="4"/>
    <n v="1"/>
    <x v="1"/>
    <n v="8"/>
    <s v="Student"/>
    <n v="1"/>
    <x v="2"/>
    <n v="4"/>
    <n v="1"/>
    <n v="2"/>
    <n v="3"/>
    <n v="5"/>
    <s v="Y"/>
    <n v="1000"/>
    <x v="4"/>
  </r>
  <r>
    <d v="2019-10-20T00:00:00"/>
    <d v="1899-12-30T10:34:00"/>
    <m/>
    <s v="P"/>
    <n v="2"/>
    <s v="Road Vehicle"/>
    <n v="6"/>
    <x v="1"/>
    <x v="1"/>
    <n v="2"/>
    <x v="1"/>
    <s v="ISHAKA"/>
    <s v="BUSHENYI"/>
    <s v="UGA"/>
    <n v="1"/>
    <s v="Home"/>
    <s v="KAMPALA"/>
    <s v="KAMPALA"/>
    <s v="UGA"/>
    <n v="2"/>
    <s v="Work"/>
    <x v="1"/>
    <n v="17000"/>
    <m/>
    <x v="0"/>
    <n v="5"/>
    <x v="2"/>
    <n v="2"/>
    <s v="Manual Labour"/>
    <n v="1"/>
    <x v="2"/>
    <n v="1"/>
    <n v="2"/>
    <n v="5"/>
    <n v="4"/>
    <n v="3"/>
    <s v="N"/>
    <m/>
    <x v="3"/>
  </r>
  <r>
    <d v="2019-10-20T00:00:00"/>
    <d v="1899-12-30T08:31:00"/>
    <m/>
    <s v="P"/>
    <n v="2"/>
    <s v="Road Vehicle"/>
    <n v="6"/>
    <x v="1"/>
    <x v="1"/>
    <n v="2"/>
    <x v="1"/>
    <s v="RUHUMURO"/>
    <s v="BUSHENYI"/>
    <s v="UGA"/>
    <n v="6"/>
    <s v="Leisure/Social"/>
    <s v="NATETE"/>
    <s v="KAMPALA"/>
    <s v="UGA"/>
    <n v="1"/>
    <s v="Home"/>
    <x v="10"/>
    <n v="30000"/>
    <m/>
    <x v="0"/>
    <n v="6"/>
    <x v="2"/>
    <n v="4"/>
    <s v="Office Worker"/>
    <n v="2"/>
    <x v="3"/>
    <n v="2"/>
    <n v="4"/>
    <n v="1"/>
    <n v="5"/>
    <n v="3"/>
    <s v="Y"/>
    <n v="2000"/>
    <x v="1"/>
  </r>
  <r>
    <d v="2019-10-20T00:00:00"/>
    <d v="1899-12-30T09:26:00"/>
    <m/>
    <s v="P"/>
    <n v="2"/>
    <s v="Road Vehicle"/>
    <n v="6"/>
    <x v="1"/>
    <x v="1"/>
    <n v="2"/>
    <x v="1"/>
    <s v="NYIBINYE"/>
    <s v="BUSHENYI"/>
    <s v="UGA"/>
    <n v="6"/>
    <s v="Leisure/Social"/>
    <s v="TAXI PARK"/>
    <s v="KAMPALA"/>
    <s v="UGA"/>
    <n v="1"/>
    <s v="Home"/>
    <x v="10"/>
    <n v="19000"/>
    <m/>
    <x v="0"/>
    <n v="5"/>
    <x v="2"/>
    <n v="4"/>
    <s v="Office Worker"/>
    <n v="3"/>
    <x v="1"/>
    <n v="3"/>
    <n v="4"/>
    <n v="2"/>
    <n v="1"/>
    <n v="5"/>
    <s v="Y"/>
    <n v="3000"/>
    <x v="0"/>
  </r>
  <r>
    <d v="2019-10-20T00:00:00"/>
    <d v="1899-12-30T08:38:00"/>
    <m/>
    <s v="P"/>
    <n v="2"/>
    <s v="Road Vehicle"/>
    <n v="6"/>
    <x v="1"/>
    <x v="1"/>
    <n v="2"/>
    <x v="1"/>
    <s v="BWERA"/>
    <s v="KASESE"/>
    <s v="UGA"/>
    <n v="1"/>
    <s v="Home"/>
    <m/>
    <m/>
    <s v="UGA"/>
    <n v="6"/>
    <s v="Leisure/Social"/>
    <x v="8"/>
    <n v="35000"/>
    <n v="460"/>
    <x v="3"/>
    <n v="9"/>
    <x v="2"/>
    <n v="7"/>
    <s v="Farmer"/>
    <n v="3"/>
    <x v="1"/>
    <n v="1"/>
    <n v="2"/>
    <n v="3"/>
    <n v="4"/>
    <n v="5"/>
    <s v="Y"/>
    <n v="2000"/>
    <x v="1"/>
  </r>
  <r>
    <d v="2019-10-20T00:00:00"/>
    <d v="1899-12-30T10:13:00"/>
    <m/>
    <s v="P"/>
    <n v="2"/>
    <s v="Road Vehicle"/>
    <n v="6"/>
    <x v="1"/>
    <x v="1"/>
    <n v="2"/>
    <x v="1"/>
    <s v="RUBIRIZI"/>
    <s v="RUBIRIZI"/>
    <s v="UGA"/>
    <n v="4"/>
    <s v="Commercial"/>
    <s v="WAKISO"/>
    <s v="WAKISO"/>
    <s v="UGA"/>
    <n v="4"/>
    <s v="Commercial"/>
    <x v="18"/>
    <n v="33000"/>
    <m/>
    <x v="0"/>
    <n v="24"/>
    <x v="2"/>
    <n v="6"/>
    <s v="Businessman"/>
    <n v="2"/>
    <x v="3"/>
    <n v="5"/>
    <n v="1"/>
    <n v="2"/>
    <n v="3"/>
    <n v="4"/>
    <s v="Y"/>
    <n v="2000"/>
    <x v="1"/>
  </r>
  <r>
    <d v="2019-10-20T00:00:00"/>
    <d v="1899-12-30T18:03:00"/>
    <m/>
    <s v="P"/>
    <n v="2"/>
    <s v="Road Vehicle"/>
    <n v="6"/>
    <x v="1"/>
    <x v="1"/>
    <n v="2"/>
    <x v="1"/>
    <s v="BWERA"/>
    <s v="KASESE"/>
    <s v="UGA"/>
    <n v="4"/>
    <s v="Commercial"/>
    <s v="KAMPALA"/>
    <s v="KAMPALA"/>
    <s v="UGA"/>
    <n v="3"/>
    <s v="Study"/>
    <x v="26"/>
    <n v="30000"/>
    <n v="341"/>
    <x v="3"/>
    <n v="8"/>
    <x v="2"/>
    <n v="6"/>
    <s v="Businessman"/>
    <n v="2"/>
    <x v="3"/>
    <n v="2"/>
    <n v="3"/>
    <n v="5"/>
    <n v="1"/>
    <n v="4"/>
    <s v="Y"/>
    <m/>
    <x v="3"/>
  </r>
  <r>
    <d v="2019-10-20T00:00:00"/>
    <d v="1899-12-30T07:41:00"/>
    <m/>
    <s v="P"/>
    <n v="2"/>
    <s v="Road Vehicle"/>
    <n v="6"/>
    <x v="1"/>
    <x v="0"/>
    <n v="2"/>
    <x v="1"/>
    <s v="RWINI"/>
    <s v="KAGADI"/>
    <s v="UGA"/>
    <n v="6"/>
    <s v="Leisure/Social"/>
    <s v="NATETE"/>
    <s v="KAMPALA"/>
    <s v="UGA"/>
    <n v="1"/>
    <s v="Home"/>
    <x v="10"/>
    <n v="35000"/>
    <m/>
    <x v="0"/>
    <n v="10"/>
    <x v="2"/>
    <n v="6"/>
    <s v="Businessman"/>
    <n v="4"/>
    <x v="0"/>
    <n v="3"/>
    <n v="1"/>
    <n v="2"/>
    <n v="4"/>
    <n v="5"/>
    <s v="Y"/>
    <n v="1000"/>
    <x v="4"/>
  </r>
  <r>
    <d v="2019-10-20T00:00:00"/>
    <d v="1899-12-30T10:22:00"/>
    <m/>
    <s v="P"/>
    <n v="2"/>
    <s v="Road Vehicle"/>
    <n v="6"/>
    <x v="1"/>
    <x v="0"/>
    <n v="2"/>
    <x v="1"/>
    <s v="BWERA"/>
    <s v="KASESE"/>
    <s v="UGA"/>
    <n v="1"/>
    <s v="Home"/>
    <s v="GAYAZA"/>
    <s v="WAKISO"/>
    <s v="UGA"/>
    <n v="4"/>
    <s v="Commercial"/>
    <x v="0"/>
    <n v="35000"/>
    <m/>
    <x v="0"/>
    <n v="10"/>
    <x v="2"/>
    <n v="6"/>
    <s v="Businessman"/>
    <n v="2"/>
    <x v="3"/>
    <n v="2"/>
    <n v="5"/>
    <n v="3"/>
    <n v="1"/>
    <n v="4"/>
    <s v="Y"/>
    <n v="1000"/>
    <x v="4"/>
  </r>
  <r>
    <d v="2019-10-20T00:00:00"/>
    <d v="1899-12-30T08:15:00"/>
    <m/>
    <s v="P"/>
    <n v="2"/>
    <s v="Road Vehicle"/>
    <n v="6"/>
    <x v="1"/>
    <x v="0"/>
    <n v="2"/>
    <x v="1"/>
    <s v="KATUNGURU"/>
    <s v="KASESE"/>
    <s v="UGA"/>
    <n v="4"/>
    <s v="Commercial"/>
    <s v="MBARARA"/>
    <s v="MBARARA"/>
    <s v="UGA"/>
    <n v="4"/>
    <s v="Commercial"/>
    <x v="18"/>
    <n v="15000"/>
    <n v="255"/>
    <x v="3"/>
    <n v="2"/>
    <x v="0"/>
    <n v="6"/>
    <s v="Businessman"/>
    <n v="2"/>
    <x v="3"/>
    <n v="2"/>
    <n v="1"/>
    <n v="4"/>
    <n v="3"/>
    <n v="5"/>
    <s v="Y"/>
    <n v="1000"/>
    <x v="4"/>
  </r>
  <r>
    <d v="2019-10-20T00:00:00"/>
    <d v="1899-12-30T08:33:00"/>
    <m/>
    <s v="P"/>
    <n v="2"/>
    <s v="Road Vehicle"/>
    <n v="6"/>
    <x v="1"/>
    <x v="0"/>
    <n v="2"/>
    <x v="1"/>
    <s v="BWERA"/>
    <s v="KASESE"/>
    <s v="UGA"/>
    <n v="1"/>
    <s v="Home"/>
    <s v="WANDEGEYA"/>
    <s v="KAMPALA"/>
    <s v="UGA"/>
    <n v="4"/>
    <s v="Commercial"/>
    <x v="0"/>
    <n v="30000"/>
    <n v="432"/>
    <x v="3"/>
    <n v="8"/>
    <x v="2"/>
    <n v="6"/>
    <s v="Businessman"/>
    <n v="5"/>
    <x v="4"/>
    <n v="2"/>
    <n v="1"/>
    <n v="4"/>
    <n v="3"/>
    <n v="5"/>
    <s v="Y"/>
    <m/>
    <x v="3"/>
  </r>
  <r>
    <d v="2019-10-20T00:00:00"/>
    <d v="1899-12-30T11:42:00"/>
    <m/>
    <s v="D"/>
    <n v="2"/>
    <s v="Road Vehicle"/>
    <n v="8"/>
    <x v="4"/>
    <x v="0"/>
    <n v="2"/>
    <x v="1"/>
    <s v="KAGAMBA"/>
    <s v="NTUNGAMO"/>
    <s v="UGA"/>
    <n v="1"/>
    <s v="Home"/>
    <s v="KAMPALA"/>
    <s v="KAMPALA"/>
    <s v="UGA"/>
    <n v="4"/>
    <s v="Commercial"/>
    <x v="0"/>
    <n v="300000"/>
    <n v="368"/>
    <x v="3"/>
    <n v="8"/>
    <x v="2"/>
    <n v="6"/>
    <s v="Businessman"/>
    <n v="3"/>
    <x v="1"/>
    <m/>
    <m/>
    <m/>
    <m/>
    <m/>
    <s v="Y"/>
    <n v="5000"/>
    <x v="2"/>
  </r>
  <r>
    <d v="2019-10-18T00:00:00"/>
    <d v="1899-12-30T15:09:00"/>
    <m/>
    <s v="P"/>
    <n v="2"/>
    <s v="Road Vehicle"/>
    <n v="4"/>
    <x v="3"/>
    <x v="1"/>
    <n v="2"/>
    <x v="1"/>
    <s v="NTARE"/>
    <s v="MBARARA"/>
    <s v="UGA"/>
    <n v="1"/>
    <s v="Home"/>
    <s v="TOWN CENTER"/>
    <s v="MBARARA"/>
    <s v="UGA"/>
    <n v="6"/>
    <s v="Leisure/Social"/>
    <x v="8"/>
    <n v="16000"/>
    <m/>
    <x v="0"/>
    <n v="3"/>
    <x v="0"/>
    <n v="4"/>
    <s v="Office Worker"/>
    <n v="2"/>
    <x v="3"/>
    <n v="3"/>
    <n v="4"/>
    <n v="2"/>
    <n v="1"/>
    <n v="5"/>
    <s v="Y"/>
    <m/>
    <x v="3"/>
  </r>
  <r>
    <d v="2019-10-19T00:00:00"/>
    <d v="1899-12-30T07:45:00"/>
    <m/>
    <s v="P"/>
    <n v="2"/>
    <s v="Road Vehicle"/>
    <n v="4"/>
    <x v="3"/>
    <x v="1"/>
    <n v="2"/>
    <x v="1"/>
    <s v="RUHARO"/>
    <s v="BUSHENYI"/>
    <s v="UGA"/>
    <n v="1"/>
    <s v="Home"/>
    <s v="ISHAKA"/>
    <s v="BUSHENYI"/>
    <s v="UGA"/>
    <n v="2"/>
    <s v="Work"/>
    <x v="1"/>
    <n v="2000"/>
    <n v="5"/>
    <x v="0"/>
    <n v="0.2"/>
    <x v="3"/>
    <n v="2"/>
    <s v="Manual Labour"/>
    <n v="1"/>
    <x v="2"/>
    <n v="5"/>
    <n v="1"/>
    <n v="2"/>
    <n v="4"/>
    <n v="3"/>
    <s v="Y"/>
    <n v="2000"/>
    <x v="1"/>
  </r>
  <r>
    <d v="2019-10-19T00:00:00"/>
    <d v="1899-12-30T07:52:00"/>
    <m/>
    <s v="P"/>
    <n v="2"/>
    <s v="Road Vehicle"/>
    <n v="4"/>
    <x v="3"/>
    <x v="1"/>
    <n v="2"/>
    <x v="1"/>
    <s v="KABUHURA"/>
    <s v="BUSHENYI"/>
    <s v="UGA"/>
    <n v="1"/>
    <s v="Home"/>
    <s v="MITOMA"/>
    <s v="MITOMA"/>
    <s v="UGA"/>
    <n v="8"/>
    <s v="Others"/>
    <x v="13"/>
    <n v="6000"/>
    <n v="50"/>
    <x v="5"/>
    <n v="1"/>
    <x v="1"/>
    <n v="7"/>
    <s v="Farmer"/>
    <n v="1"/>
    <x v="2"/>
    <n v="1"/>
    <n v="2"/>
    <n v="5"/>
    <n v="4"/>
    <n v="3"/>
    <s v="Y"/>
    <m/>
    <x v="3"/>
  </r>
  <r>
    <d v="2019-10-19T00:00:00"/>
    <d v="1899-12-30T08:10:00"/>
    <m/>
    <s v="P"/>
    <n v="2"/>
    <s v="Road Vehicle"/>
    <n v="4"/>
    <x v="3"/>
    <x v="1"/>
    <n v="2"/>
    <x v="1"/>
    <s v="MBARARA"/>
    <s v="MBARARA"/>
    <s v="UGA"/>
    <n v="1"/>
    <s v="Home"/>
    <s v="ISHAKA"/>
    <s v="BUSHENYI"/>
    <s v="UGA"/>
    <n v="2"/>
    <s v="Work"/>
    <x v="1"/>
    <n v="7000"/>
    <n v="56"/>
    <x v="5"/>
    <n v="1"/>
    <x v="1"/>
    <n v="1"/>
    <s v="Unemployed"/>
    <n v="2"/>
    <x v="3"/>
    <n v="2"/>
    <n v="1"/>
    <n v="3"/>
    <n v="5"/>
    <n v="4"/>
    <s v="Y"/>
    <n v="5000"/>
    <x v="2"/>
  </r>
  <r>
    <d v="2019-10-19T00:00:00"/>
    <d v="1899-12-30T08:25:00"/>
    <m/>
    <s v="P"/>
    <n v="2"/>
    <s v="Road Vehicle"/>
    <n v="4"/>
    <x v="3"/>
    <x v="1"/>
    <n v="2"/>
    <x v="1"/>
    <s v="KASENYI"/>
    <s v="BUSHENYI"/>
    <s v="UGA"/>
    <n v="1"/>
    <s v="Home"/>
    <s v="BUSHENYI"/>
    <s v="BUSHENYI"/>
    <s v="UGA"/>
    <n v="2"/>
    <s v="Work"/>
    <x v="1"/>
    <n v="1000"/>
    <n v="10"/>
    <x v="6"/>
    <n v="0.3"/>
    <x v="3"/>
    <n v="2"/>
    <s v="Manual Labour"/>
    <n v="1"/>
    <x v="2"/>
    <n v="2"/>
    <n v="1"/>
    <n v="4"/>
    <n v="5"/>
    <n v="3"/>
    <s v="Y"/>
    <n v="1000"/>
    <x v="4"/>
  </r>
  <r>
    <d v="2019-10-19T00:00:00"/>
    <m/>
    <m/>
    <s v="P"/>
    <n v="2"/>
    <s v="Road Vehicle"/>
    <n v="4"/>
    <x v="3"/>
    <x v="1"/>
    <n v="2"/>
    <x v="1"/>
    <s v="BUTOKYO"/>
    <s v="MITOMA"/>
    <s v="UGA"/>
    <n v="1"/>
    <s v="Home"/>
    <s v="SHUKU"/>
    <s v="SHEEMA"/>
    <s v="UGA"/>
    <n v="3"/>
    <s v="Study"/>
    <x v="25"/>
    <n v="2000"/>
    <n v="6.4370000000000003"/>
    <x v="0"/>
    <n v="0.3"/>
    <x v="3"/>
    <n v="7"/>
    <s v="Farmer"/>
    <n v="1"/>
    <x v="2"/>
    <n v="2"/>
    <n v="1"/>
    <n v="3"/>
    <n v="4"/>
    <n v="5"/>
    <s v="Y"/>
    <n v="100"/>
    <x v="3"/>
  </r>
  <r>
    <d v="2019-10-19T00:00:00"/>
    <d v="1899-12-30T15:10:00"/>
    <m/>
    <s v="P"/>
    <n v="2"/>
    <s v="Road Vehicle"/>
    <n v="4"/>
    <x v="3"/>
    <x v="1"/>
    <n v="2"/>
    <x v="1"/>
    <s v="FORTPORTAL"/>
    <s v="KABALOORE"/>
    <s v="UGA"/>
    <n v="1"/>
    <s v="Home"/>
    <s v="BUSHENYI"/>
    <s v="BUSHENYI"/>
    <s v="UGA"/>
    <n v="2"/>
    <s v="Work"/>
    <x v="1"/>
    <n v="20000"/>
    <n v="79"/>
    <x v="1"/>
    <n v="3"/>
    <x v="0"/>
    <n v="10"/>
    <s v="Other"/>
    <n v="1"/>
    <x v="2"/>
    <n v="1"/>
    <n v="2"/>
    <n v="3"/>
    <n v="4"/>
    <n v="5"/>
    <s v="N"/>
    <m/>
    <x v="3"/>
  </r>
  <r>
    <d v="2019-10-19T00:00:00"/>
    <d v="1899-12-30T12:15:00"/>
    <m/>
    <s v="D"/>
    <n v="2"/>
    <s v="Road Vehicle"/>
    <n v="4"/>
    <x v="3"/>
    <x v="1"/>
    <n v="2"/>
    <x v="1"/>
    <s v="NYABUBARE"/>
    <s v="BUSHENYI"/>
    <s v="UGA"/>
    <n v="2"/>
    <s v="Work"/>
    <s v="MITOMA"/>
    <s v="MITOMA"/>
    <s v="UGA"/>
    <n v="4"/>
    <s v="Commercial"/>
    <x v="17"/>
    <n v="5000"/>
    <n v="46"/>
    <x v="5"/>
    <n v="0.6"/>
    <x v="4"/>
    <n v="10"/>
    <s v="Other"/>
    <n v="3"/>
    <x v="1"/>
    <m/>
    <m/>
    <m/>
    <m/>
    <m/>
    <s v="Y"/>
    <n v="500"/>
    <x v="3"/>
  </r>
  <r>
    <d v="2019-10-19T00:00:00"/>
    <d v="1899-12-30T08:14:00"/>
    <m/>
    <s v="P"/>
    <n v="2"/>
    <s v="Road Vehicle"/>
    <n v="4"/>
    <x v="3"/>
    <x v="1"/>
    <n v="2"/>
    <x v="1"/>
    <s v="MBARARA"/>
    <s v="MBARARA"/>
    <s v="UGA"/>
    <n v="1"/>
    <s v="Home"/>
    <s v="ISHAKA"/>
    <s v="MBARARA"/>
    <s v="UGA"/>
    <n v="6"/>
    <s v="Leisure/Social"/>
    <x v="8"/>
    <n v="7000"/>
    <m/>
    <x v="0"/>
    <n v="2"/>
    <x v="0"/>
    <n v="6"/>
    <s v="Businessman"/>
    <n v="2"/>
    <x v="3"/>
    <n v="4"/>
    <n v="3"/>
    <n v="1"/>
    <n v="2"/>
    <n v="5"/>
    <s v="Y"/>
    <n v="1000"/>
    <x v="4"/>
  </r>
  <r>
    <d v="2019-10-19T00:00:00"/>
    <d v="1899-12-30T11:27:00"/>
    <m/>
    <s v="D"/>
    <n v="2"/>
    <s v="Road Vehicle"/>
    <n v="4"/>
    <x v="3"/>
    <x v="1"/>
    <n v="2"/>
    <x v="1"/>
    <s v="ISHAKA"/>
    <s v="BUSHENYI"/>
    <s v="UGA"/>
    <n v="2"/>
    <s v="Work"/>
    <s v="KABAALE"/>
    <s v="KABAALE"/>
    <s v="UGA"/>
    <n v="1"/>
    <s v="Home"/>
    <x v="4"/>
    <n v="18000"/>
    <n v="10"/>
    <x v="6"/>
    <n v="6"/>
    <x v="2"/>
    <n v="7"/>
    <s v="Farmer"/>
    <n v="2"/>
    <x v="3"/>
    <n v="3"/>
    <n v="1"/>
    <n v="2"/>
    <n v="4"/>
    <n v="5"/>
    <s v="Y"/>
    <n v="500"/>
    <x v="3"/>
  </r>
  <r>
    <d v="2019-10-20T00:00:00"/>
    <d v="1899-12-30T14:39:00"/>
    <m/>
    <s v="P"/>
    <n v="2"/>
    <s v="Road Vehicle"/>
    <n v="4"/>
    <x v="3"/>
    <x v="1"/>
    <n v="2"/>
    <x v="1"/>
    <s v="ISHAKA"/>
    <s v="BUSHENYI"/>
    <s v="UGA"/>
    <n v="1"/>
    <s v="Home"/>
    <s v="KASESE"/>
    <s v="KASESE"/>
    <s v="UGA"/>
    <n v="4"/>
    <s v="Commercial"/>
    <x v="0"/>
    <n v="8000"/>
    <m/>
    <x v="0"/>
    <n v="2"/>
    <x v="0"/>
    <n v="6"/>
    <s v="Businessman"/>
    <n v="2"/>
    <x v="3"/>
    <n v="1"/>
    <n v="2"/>
    <n v="3"/>
    <n v="5"/>
    <n v="4"/>
    <s v="Y"/>
    <n v="500"/>
    <x v="3"/>
  </r>
  <r>
    <d v="2019-10-20T00:00:00"/>
    <d v="1899-12-30T08:05:00"/>
    <m/>
    <s v="P"/>
    <n v="2"/>
    <s v="Road Vehicle"/>
    <n v="4"/>
    <x v="3"/>
    <x v="1"/>
    <n v="2"/>
    <x v="1"/>
    <s v="KIZINDA"/>
    <s v="BUSHENYI"/>
    <s v="UGA"/>
    <n v="1"/>
    <s v="Home"/>
    <s v="CHRIST THE KING"/>
    <s v="SHEEMA"/>
    <s v="UGA"/>
    <n v="8"/>
    <s v="Others"/>
    <x v="13"/>
    <n v="3000"/>
    <m/>
    <x v="0"/>
    <n v="1"/>
    <x v="1"/>
    <n v="10"/>
    <s v="Other"/>
    <n v="2"/>
    <x v="3"/>
    <n v="3"/>
    <n v="1"/>
    <n v="2"/>
    <n v="4"/>
    <n v="5"/>
    <s v="Y"/>
    <n v="1000"/>
    <x v="4"/>
  </r>
  <r>
    <d v="2019-10-20T00:00:00"/>
    <d v="1899-12-30T08:29:00"/>
    <m/>
    <s v="P"/>
    <n v="2"/>
    <s v="Road Vehicle"/>
    <n v="4"/>
    <x v="3"/>
    <x v="1"/>
    <n v="2"/>
    <x v="1"/>
    <s v="KASESE"/>
    <s v="KASESE"/>
    <s v="UGA"/>
    <n v="1"/>
    <s v="Home"/>
    <s v="CHRIST THE KING"/>
    <s v="SHEEMA"/>
    <s v="UGA"/>
    <n v="8"/>
    <s v="Others"/>
    <x v="13"/>
    <n v="12000"/>
    <n v="98"/>
    <x v="1"/>
    <n v="1.5"/>
    <x v="1"/>
    <n v="7"/>
    <s v="Farmer"/>
    <n v="1"/>
    <x v="2"/>
    <n v="3"/>
    <n v="1"/>
    <n v="2"/>
    <n v="4"/>
    <n v="5"/>
    <s v="Y"/>
    <n v="1000"/>
    <x v="4"/>
  </r>
  <r>
    <d v="2019-10-20T00:00:00"/>
    <d v="1899-12-30T09:20:00"/>
    <m/>
    <s v="P"/>
    <n v="2"/>
    <s v="Road Vehicle"/>
    <n v="4"/>
    <x v="3"/>
    <x v="1"/>
    <n v="2"/>
    <x v="1"/>
    <s v="ST.KAGWA"/>
    <s v="BUSHENYI"/>
    <s v="UGA"/>
    <n v="8"/>
    <s v="Others"/>
    <s v="ISHAKA"/>
    <s v="BUSHENYI"/>
    <s v="UGA"/>
    <n v="1"/>
    <s v="Home"/>
    <x v="12"/>
    <n v="2000"/>
    <n v="15"/>
    <x v="6"/>
    <n v="0.3"/>
    <x v="3"/>
    <n v="7"/>
    <s v="Farmer"/>
    <n v="1"/>
    <x v="2"/>
    <n v="3"/>
    <n v="2"/>
    <n v="1"/>
    <n v="4"/>
    <n v="5"/>
    <s v="Y"/>
    <n v="2000"/>
    <x v="1"/>
  </r>
  <r>
    <d v="2019-10-18T00:00:00"/>
    <m/>
    <m/>
    <s v="D"/>
    <n v="2"/>
    <s v="Road Vehicle"/>
    <n v="4"/>
    <x v="3"/>
    <x v="0"/>
    <n v="2"/>
    <x v="1"/>
    <s v="NABINGO"/>
    <s v="BUSHENYI"/>
    <s v="UGA"/>
    <n v="2"/>
    <s v="Work"/>
    <s v="TAXI PARK"/>
    <s v="KASESE"/>
    <s v="UGA"/>
    <n v="2"/>
    <s v="Work"/>
    <x v="2"/>
    <n v="40000"/>
    <n v="90"/>
    <x v="1"/>
    <n v="2.5"/>
    <x v="0"/>
    <n v="10"/>
    <s v="Other"/>
    <n v="1"/>
    <x v="2"/>
    <n v="2"/>
    <n v="1"/>
    <n v="4"/>
    <n v="3"/>
    <n v="5"/>
    <s v="Y"/>
    <n v="1000"/>
    <x v="4"/>
  </r>
  <r>
    <d v="2019-10-18T00:00:00"/>
    <m/>
    <m/>
    <s v="P"/>
    <n v="2"/>
    <s v="Road Vehicle"/>
    <n v="4"/>
    <x v="3"/>
    <x v="0"/>
    <n v="2"/>
    <x v="1"/>
    <s v="BASAJABALABA"/>
    <s v="BUSHENYI"/>
    <s v="UGA"/>
    <n v="8"/>
    <s v="Others"/>
    <s v="KITAGATA"/>
    <s v="SHEEMA"/>
    <s v="UGA"/>
    <n v="1"/>
    <s v="Home"/>
    <x v="12"/>
    <n v="4000"/>
    <n v="25"/>
    <x v="4"/>
    <n v="0.7"/>
    <x v="4"/>
    <n v="6"/>
    <s v="Businessman"/>
    <n v="1"/>
    <x v="2"/>
    <n v="2"/>
    <n v="1"/>
    <n v="4"/>
    <n v="3"/>
    <n v="5"/>
    <s v="Y"/>
    <n v="1500"/>
    <x v="4"/>
  </r>
  <r>
    <d v="2019-10-18T00:00:00"/>
    <m/>
    <m/>
    <s v="D"/>
    <n v="2"/>
    <s v="Road Vehicle"/>
    <n v="4"/>
    <x v="3"/>
    <x v="0"/>
    <n v="2"/>
    <x v="1"/>
    <s v="ISHAKA"/>
    <s v="BUSHENYI"/>
    <s v="UGA"/>
    <n v="2"/>
    <s v="Work"/>
    <s v="TOWN"/>
    <s v="MBARARA"/>
    <s v="UGA"/>
    <n v="2"/>
    <s v="Work"/>
    <x v="2"/>
    <n v="60000"/>
    <n v="45"/>
    <x v="5"/>
    <n v="1"/>
    <x v="1"/>
    <n v="10"/>
    <s v="Other"/>
    <n v="1"/>
    <x v="2"/>
    <n v="3"/>
    <n v="2"/>
    <n v="1"/>
    <n v="5"/>
    <n v="4"/>
    <s v="Y"/>
    <n v="500"/>
    <x v="3"/>
  </r>
  <r>
    <d v="2019-10-19T00:00:00"/>
    <d v="1899-12-30T08:15:00"/>
    <m/>
    <s v="D"/>
    <n v="2"/>
    <s v="Road Vehicle"/>
    <n v="4"/>
    <x v="3"/>
    <x v="0"/>
    <n v="2"/>
    <x v="1"/>
    <s v="KASESE"/>
    <s v="KASESE"/>
    <s v="UGA"/>
    <n v="2"/>
    <s v="Work"/>
    <s v="KITAGATA"/>
    <s v="SHEEMA"/>
    <s v="UGA"/>
    <n v="2"/>
    <s v="Work"/>
    <x v="2"/>
    <n v="10000"/>
    <n v="98"/>
    <x v="1"/>
    <n v="1.5"/>
    <x v="1"/>
    <n v="2"/>
    <s v="Manual Labour"/>
    <n v="1"/>
    <x v="2"/>
    <n v="3"/>
    <n v="1"/>
    <n v="4"/>
    <n v="2"/>
    <n v="5"/>
    <s v="Y"/>
    <m/>
    <x v="3"/>
  </r>
  <r>
    <d v="2019-10-19T00:00:00"/>
    <d v="1899-12-30T08:28:00"/>
    <m/>
    <s v="P"/>
    <n v="2"/>
    <s v="Road Vehicle"/>
    <n v="4"/>
    <x v="3"/>
    <x v="0"/>
    <n v="2"/>
    <x v="1"/>
    <s v="MASONGA"/>
    <s v="BUSHENYI"/>
    <s v="UGA"/>
    <n v="1"/>
    <s v="Home"/>
    <s v="SHEEMA"/>
    <s v="SHEEMA"/>
    <s v="UGA"/>
    <n v="2"/>
    <s v="Work"/>
    <x v="1"/>
    <n v="2000"/>
    <n v="12"/>
    <x v="6"/>
    <n v="0.4"/>
    <x v="3"/>
    <n v="4"/>
    <s v="Office Worker"/>
    <n v="4"/>
    <x v="0"/>
    <n v="2"/>
    <n v="3"/>
    <n v="4"/>
    <n v="1"/>
    <n v="5"/>
    <s v="N"/>
    <m/>
    <x v="3"/>
  </r>
  <r>
    <d v="2019-10-19T00:00:00"/>
    <d v="1899-12-30T12:05:00"/>
    <m/>
    <s v="P"/>
    <n v="2"/>
    <s v="Road Vehicle"/>
    <n v="4"/>
    <x v="3"/>
    <x v="0"/>
    <n v="2"/>
    <x v="1"/>
    <s v="NYABUBAARE"/>
    <s v="BUSHENYI"/>
    <s v="UGA"/>
    <n v="4"/>
    <s v="Commercial"/>
    <s v="MITOMA"/>
    <s v="MITOMA"/>
    <s v="UGA"/>
    <n v="4"/>
    <s v="Commercial"/>
    <x v="18"/>
    <n v="5000"/>
    <n v="46"/>
    <x v="5"/>
    <n v="0.5"/>
    <x v="4"/>
    <n v="6"/>
    <s v="Businessman"/>
    <n v="1"/>
    <x v="2"/>
    <n v="5"/>
    <n v="4"/>
    <n v="1"/>
    <n v="3"/>
    <n v="2"/>
    <s v="Y"/>
    <n v="2000"/>
    <x v="1"/>
  </r>
  <r>
    <d v="2019-10-19T00:00:00"/>
    <d v="1899-12-30T12:18:00"/>
    <m/>
    <s v="D"/>
    <n v="2"/>
    <s v="Road Vehicle"/>
    <n v="4"/>
    <x v="3"/>
    <x v="0"/>
    <n v="2"/>
    <x v="1"/>
    <s v="ISHAKA"/>
    <s v="BUSHENYI"/>
    <s v="UGA"/>
    <n v="2"/>
    <s v="Work"/>
    <s v="RUTOKYE"/>
    <s v="MITOMA"/>
    <s v="UGA"/>
    <n v="2"/>
    <s v="Work"/>
    <x v="2"/>
    <n v="30000"/>
    <n v="28"/>
    <x v="4"/>
    <n v="1"/>
    <x v="1"/>
    <n v="6"/>
    <s v="Businessman"/>
    <n v="4"/>
    <x v="0"/>
    <n v="5"/>
    <n v="2"/>
    <n v="1"/>
    <n v="3"/>
    <n v="4"/>
    <s v="Y"/>
    <n v="2000"/>
    <x v="1"/>
  </r>
  <r>
    <d v="2019-10-19T00:00:00"/>
    <d v="1899-12-30T15:16:00"/>
    <m/>
    <s v="D"/>
    <n v="2"/>
    <s v="Road Vehicle"/>
    <n v="4"/>
    <x v="3"/>
    <x v="0"/>
    <n v="2"/>
    <x v="1"/>
    <s v="KASESE"/>
    <s v="KASESE"/>
    <s v="UGA"/>
    <n v="2"/>
    <s v="Work"/>
    <s v="ISHAKA"/>
    <s v="BUSHENYI"/>
    <s v="UGA"/>
    <n v="4"/>
    <s v="Commercial"/>
    <x v="17"/>
    <n v="500000"/>
    <n v="96"/>
    <x v="1"/>
    <n v="2.5"/>
    <x v="0"/>
    <n v="10"/>
    <s v="Other"/>
    <n v="1"/>
    <x v="2"/>
    <n v="4"/>
    <n v="5"/>
    <n v="1"/>
    <n v="3"/>
    <n v="2"/>
    <s v="Y"/>
    <m/>
    <x v="3"/>
  </r>
  <r>
    <d v="2019-10-20T00:00:00"/>
    <d v="1899-12-30T15:14:00"/>
    <m/>
    <s v="D"/>
    <n v="2"/>
    <s v="Road Vehicle"/>
    <n v="4"/>
    <x v="3"/>
    <x v="0"/>
    <n v="2"/>
    <x v="1"/>
    <s v="MBARARA"/>
    <s v="MBARARA"/>
    <s v="UGA"/>
    <n v="2"/>
    <s v="Work"/>
    <s v="KASESE"/>
    <s v="KASESE"/>
    <s v="UGA"/>
    <n v="4"/>
    <s v="Commercial"/>
    <x v="17"/>
    <n v="150000"/>
    <n v="140"/>
    <x v="2"/>
    <n v="4"/>
    <x v="2"/>
    <n v="10"/>
    <s v="Other"/>
    <n v="2"/>
    <x v="3"/>
    <n v="2"/>
    <n v="1"/>
    <n v="3"/>
    <n v="3"/>
    <n v="4"/>
    <s v="Y"/>
    <n v="1000"/>
    <x v="4"/>
  </r>
  <r>
    <d v="2019-10-20T00:00:00"/>
    <d v="1899-12-30T09:20:00"/>
    <m/>
    <s v="P"/>
    <n v="2"/>
    <s v="Road Vehicle"/>
    <n v="4"/>
    <x v="3"/>
    <x v="0"/>
    <n v="2"/>
    <x v="1"/>
    <s v="KASESE"/>
    <s v="KASESE"/>
    <s v="UGA"/>
    <n v="2"/>
    <s v="Work"/>
    <s v="ISHAKA"/>
    <s v="ISHAKA"/>
    <s v="UGA"/>
    <n v="1"/>
    <s v="Home"/>
    <x v="4"/>
    <n v="10000"/>
    <n v="81"/>
    <x v="1"/>
    <n v="1"/>
    <x v="1"/>
    <n v="6"/>
    <s v="Businessman"/>
    <n v="5"/>
    <x v="4"/>
    <m/>
    <m/>
    <m/>
    <m/>
    <m/>
    <s v="Y"/>
    <n v="1000"/>
    <x v="4"/>
  </r>
  <r>
    <d v="2019-10-20T00:00:00"/>
    <d v="1899-12-30T09:03:00"/>
    <m/>
    <s v="D"/>
    <n v="2"/>
    <s v="Road Vehicle"/>
    <n v="4"/>
    <x v="3"/>
    <x v="0"/>
    <n v="2"/>
    <x v="1"/>
    <s v="ISHAKA"/>
    <s v="BUSHENYI"/>
    <s v="UGA"/>
    <n v="2"/>
    <s v="Work"/>
    <s v="MBARARA"/>
    <s v="MBARARA"/>
    <s v="UGA"/>
    <n v="4"/>
    <s v="Commercial"/>
    <x v="17"/>
    <n v="90000"/>
    <n v="54"/>
    <x v="5"/>
    <n v="2"/>
    <x v="0"/>
    <n v="10"/>
    <s v="Other"/>
    <n v="2"/>
    <x v="3"/>
    <n v="3"/>
    <n v="1"/>
    <n v="2"/>
    <n v="5"/>
    <n v="4"/>
    <s v="Y"/>
    <n v="1000"/>
    <x v="4"/>
  </r>
  <r>
    <d v="2019-10-20T00:00:00"/>
    <d v="1899-12-30T15:24:00"/>
    <m/>
    <s v="D"/>
    <n v="2"/>
    <s v="Road Vehicle"/>
    <n v="4"/>
    <x v="3"/>
    <x v="0"/>
    <n v="2"/>
    <x v="1"/>
    <s v="KYUMUHANGA"/>
    <s v="RUBIRIZI"/>
    <s v="UGA"/>
    <n v="1"/>
    <s v="Home"/>
    <s v="NTUNGAMO"/>
    <s v="NTUNGAMO"/>
    <s v="UGA"/>
    <n v="6"/>
    <s v="Leisure/Social"/>
    <x v="8"/>
    <n v="20000"/>
    <m/>
    <x v="0"/>
    <n v="1"/>
    <x v="1"/>
    <n v="4"/>
    <s v="Office Worker"/>
    <n v="2"/>
    <x v="3"/>
    <n v="3"/>
    <n v="1"/>
    <n v="2"/>
    <n v="4"/>
    <n v="5"/>
    <s v="Y"/>
    <n v="500"/>
    <x v="3"/>
  </r>
  <r>
    <d v="2019-10-20T00:00:00"/>
    <d v="1899-12-30T14:32:00"/>
    <m/>
    <s v="P"/>
    <n v="2"/>
    <s v="Road Vehicle"/>
    <n v="4"/>
    <x v="3"/>
    <x v="0"/>
    <n v="2"/>
    <x v="1"/>
    <s v="ISHAKA"/>
    <s v="BUSHENYI"/>
    <s v="UGA"/>
    <n v="2"/>
    <s v="Work"/>
    <s v="SHEEMA"/>
    <s v="SHEEMA"/>
    <s v="UGA"/>
    <n v="4"/>
    <s v="Commercial"/>
    <x v="17"/>
    <n v="20000"/>
    <n v="22.53"/>
    <x v="4"/>
    <n v="0.3"/>
    <x v="3"/>
    <n v="10"/>
    <s v="Other"/>
    <n v="2"/>
    <x v="3"/>
    <n v="2"/>
    <n v="1"/>
    <n v="4"/>
    <n v="3"/>
    <n v="5"/>
    <s v="Y"/>
    <n v="500"/>
    <x v="3"/>
  </r>
  <r>
    <d v="2019-10-20T00:00:00"/>
    <d v="1899-12-30T07:16:00"/>
    <m/>
    <s v="P"/>
    <n v="2"/>
    <s v="Road Vehicle"/>
    <n v="4"/>
    <x v="3"/>
    <x v="0"/>
    <n v="2"/>
    <x v="1"/>
    <s v="KATERERA"/>
    <s v="RUBIRIZI"/>
    <s v="UGA"/>
    <n v="6"/>
    <s v="Leisure/Social"/>
    <s v="CITY CENTER"/>
    <s v="KAMPALA"/>
    <s v="UGA"/>
    <n v="1"/>
    <s v="Home"/>
    <x v="10"/>
    <n v="30000"/>
    <m/>
    <x v="0"/>
    <n v="8"/>
    <x v="2"/>
    <n v="4"/>
    <s v="Office Worker"/>
    <n v="3"/>
    <x v="1"/>
    <n v="2"/>
    <n v="5"/>
    <n v="4"/>
    <n v="1"/>
    <n v="3"/>
    <s v="Y"/>
    <n v="1000"/>
    <x v="4"/>
  </r>
  <r>
    <d v="2019-10-20T00:00:00"/>
    <d v="1899-12-30T10:19:00"/>
    <m/>
    <s v="D"/>
    <n v="2"/>
    <s v="Road Vehicle"/>
    <n v="4"/>
    <x v="3"/>
    <x v="0"/>
    <n v="2"/>
    <x v="1"/>
    <s v="ISHAKA"/>
    <s v="BUSHENYI"/>
    <s v="UGA"/>
    <n v="2"/>
    <s v="Work"/>
    <s v="TOWN CENTER"/>
    <s v="FORTPOTAL"/>
    <s v="UGA"/>
    <n v="2"/>
    <s v="Work"/>
    <x v="2"/>
    <n v="83600"/>
    <n v="167"/>
    <x v="2"/>
    <n v="4"/>
    <x v="2"/>
    <n v="10"/>
    <s v="Other"/>
    <n v="2"/>
    <x v="3"/>
    <n v="3"/>
    <n v="1"/>
    <n v="4"/>
    <n v="2"/>
    <n v="5"/>
    <s v="Y"/>
    <n v="1000"/>
    <x v="4"/>
  </r>
  <r>
    <d v="2019-10-20T00:00:00"/>
    <d v="1899-12-30T10:52:00"/>
    <m/>
    <s v="P"/>
    <n v="2"/>
    <s v="Road Vehicle"/>
    <n v="4"/>
    <x v="3"/>
    <x v="0"/>
    <n v="2"/>
    <x v="1"/>
    <s v="ADVENT CHURCH"/>
    <s v="BUSHENYI"/>
    <s v="UGA"/>
    <n v="6"/>
    <s v="Leisure/Social"/>
    <s v="MUGUSU"/>
    <s v="FORTPOTAL"/>
    <s v="UGA"/>
    <n v="1"/>
    <s v="Home"/>
    <x v="10"/>
    <n v="20000"/>
    <n v="160"/>
    <x v="2"/>
    <n v="2.5"/>
    <x v="0"/>
    <n v="6"/>
    <s v="Businessman"/>
    <n v="3"/>
    <x v="1"/>
    <n v="2"/>
    <n v="4"/>
    <n v="3"/>
    <n v="1"/>
    <n v="5"/>
    <s v="Y"/>
    <n v="2000"/>
    <x v="1"/>
  </r>
  <r>
    <d v="2019-10-20T00:00:00"/>
    <d v="1899-12-30T14:53:00"/>
    <m/>
    <s v="D"/>
    <n v="2"/>
    <s v="Road Vehicle"/>
    <n v="4"/>
    <x v="3"/>
    <x v="0"/>
    <n v="2"/>
    <x v="1"/>
    <s v="KITAGATA"/>
    <s v="KASESE"/>
    <s v="UGA"/>
    <n v="2"/>
    <s v="Work"/>
    <s v="MITOMA"/>
    <s v="MITOMA"/>
    <s v="UGA"/>
    <n v="2"/>
    <s v="Work"/>
    <x v="2"/>
    <n v="40000"/>
    <n v="30"/>
    <x v="4"/>
    <n v="0.6"/>
    <x v="4"/>
    <n v="10"/>
    <s v="Other"/>
    <n v="2"/>
    <x v="3"/>
    <n v="5"/>
    <n v="2"/>
    <n v="1"/>
    <n v="3"/>
    <n v="4"/>
    <s v="Y"/>
    <n v="1000"/>
    <x v="4"/>
  </r>
  <r>
    <d v="2019-10-20T00:00:00"/>
    <d v="1899-12-30T11:42:00"/>
    <m/>
    <s v="D"/>
    <n v="2"/>
    <s v="Road Vehicle"/>
    <n v="4"/>
    <x v="3"/>
    <x v="0"/>
    <n v="2"/>
    <x v="1"/>
    <s v="ISHAKA"/>
    <s v="BUSHENYI"/>
    <s v="UGA"/>
    <n v="2"/>
    <s v="Work"/>
    <s v="KYAMBURA"/>
    <s v="RUBIRIZI"/>
    <s v="UGA"/>
    <n v="2"/>
    <s v="Work"/>
    <x v="2"/>
    <n v="40000"/>
    <m/>
    <x v="0"/>
    <n v="1"/>
    <x v="1"/>
    <n v="10"/>
    <s v="Other"/>
    <n v="2"/>
    <x v="3"/>
    <n v="4"/>
    <n v="1"/>
    <n v="3"/>
    <n v="2"/>
    <n v="5"/>
    <s v="Y"/>
    <n v="500"/>
    <x v="3"/>
  </r>
  <r>
    <d v="2019-10-20T00:00:00"/>
    <d v="1899-12-30T15:51:00"/>
    <m/>
    <s v="P"/>
    <n v="2"/>
    <s v="Road Vehicle"/>
    <n v="4"/>
    <x v="3"/>
    <x v="0"/>
    <n v="2"/>
    <x v="1"/>
    <s v="KAKANZU"/>
    <s v="BUSHENYI"/>
    <s v="UGA"/>
    <n v="1"/>
    <s v="Home"/>
    <s v="KITAGATA"/>
    <s v="KASESE"/>
    <s v="UGA"/>
    <n v="6"/>
    <s v="Leisure/Social"/>
    <x v="8"/>
    <n v="4000"/>
    <m/>
    <x v="0"/>
    <n v="0.7"/>
    <x v="4"/>
    <n v="4"/>
    <s v="Office Worker"/>
    <n v="2"/>
    <x v="3"/>
    <n v="5"/>
    <n v="2"/>
    <n v="1"/>
    <n v="3"/>
    <n v="4"/>
    <s v="Y"/>
    <n v="1000"/>
    <x v="4"/>
  </r>
  <r>
    <d v="2019-10-20T00:00:00"/>
    <d v="1899-12-30T14:25:00"/>
    <m/>
    <s v="D"/>
    <n v="2"/>
    <s v="Road Vehicle"/>
    <n v="4"/>
    <x v="3"/>
    <x v="0"/>
    <n v="2"/>
    <x v="1"/>
    <s v="TOWN CENTER"/>
    <s v="KAGAMBA"/>
    <s v="UGA"/>
    <n v="2"/>
    <s v="Work"/>
    <s v="TOWN CENTER"/>
    <s v="KAGAMBA"/>
    <s v="UGA"/>
    <n v="2"/>
    <s v="Work"/>
    <x v="2"/>
    <n v="45000"/>
    <n v="50"/>
    <x v="5"/>
    <n v="0.7"/>
    <x v="4"/>
    <n v="10"/>
    <s v="Other"/>
    <n v="2"/>
    <x v="3"/>
    <n v="5"/>
    <n v="1"/>
    <n v="3"/>
    <n v="2"/>
    <n v="4"/>
    <s v="Y"/>
    <n v="200"/>
    <x v="3"/>
  </r>
  <r>
    <d v="2019-10-20T00:00:00"/>
    <d v="1899-12-30T16:22:00"/>
    <m/>
    <s v="D"/>
    <n v="2"/>
    <s v="Road Vehicle"/>
    <n v="4"/>
    <x v="3"/>
    <x v="0"/>
    <n v="2"/>
    <x v="1"/>
    <s v="ISHAKA"/>
    <s v="BUSHENYI"/>
    <s v="UGA"/>
    <n v="2"/>
    <s v="Work"/>
    <s v="TOWN CENTER"/>
    <s v="FORTPOTAL"/>
    <s v="UGA"/>
    <n v="2"/>
    <s v="Work"/>
    <x v="2"/>
    <n v="95000"/>
    <n v="130"/>
    <x v="2"/>
    <n v="2"/>
    <x v="0"/>
    <n v="10"/>
    <s v="Other"/>
    <n v="2"/>
    <x v="3"/>
    <n v="5"/>
    <n v="1"/>
    <n v="3"/>
    <n v="4"/>
    <n v="2"/>
    <s v="Y"/>
    <n v="500"/>
    <x v="3"/>
  </r>
  <r>
    <d v="2019-10-20T00:00:00"/>
    <d v="1899-12-30T18:49:00"/>
    <m/>
    <s v="D"/>
    <n v="2"/>
    <s v="Road Vehicle"/>
    <n v="4"/>
    <x v="3"/>
    <x v="0"/>
    <n v="2"/>
    <x v="1"/>
    <s v="ISHAKA"/>
    <s v="BUSHENYI"/>
    <s v="UGA"/>
    <n v="2"/>
    <s v="Work"/>
    <s v="TOWN CENTER"/>
    <s v="MBARARA"/>
    <s v="UGA"/>
    <n v="2"/>
    <s v="Work"/>
    <x v="2"/>
    <n v="70000"/>
    <m/>
    <x v="0"/>
    <n v="0.8"/>
    <x v="4"/>
    <n v="10"/>
    <s v="Other"/>
    <n v="1"/>
    <x v="2"/>
    <n v="5"/>
    <n v="2"/>
    <n v="1"/>
    <n v="3"/>
    <n v="4"/>
    <s v="Y"/>
    <n v="1000"/>
    <x v="4"/>
  </r>
  <r>
    <d v="2019-10-20T00:00:00"/>
    <d v="1899-12-30T11:00:00"/>
    <m/>
    <s v="P"/>
    <n v="2"/>
    <s v="Road Vehicle"/>
    <n v="4"/>
    <x v="3"/>
    <x v="0"/>
    <n v="2"/>
    <x v="1"/>
    <s v="ISHAKA"/>
    <s v="BUSHENYI"/>
    <s v="UGA"/>
    <n v="4"/>
    <s v="Commercial"/>
    <s v="NKOMBE"/>
    <s v="MITOMA"/>
    <s v="UGA"/>
    <n v="4"/>
    <s v="Commercial"/>
    <x v="18"/>
    <n v="4000"/>
    <n v="25"/>
    <x v="4"/>
    <n v="0.5"/>
    <x v="4"/>
    <n v="6"/>
    <s v="Businessman"/>
    <n v="2"/>
    <x v="3"/>
    <n v="2"/>
    <n v="1"/>
    <n v="4"/>
    <n v="3"/>
    <n v="5"/>
    <s v="Y"/>
    <m/>
    <x v="3"/>
  </r>
  <r>
    <d v="2019-10-20T00:00:00"/>
    <d v="1899-12-30T09:50:00"/>
    <m/>
    <s v="D"/>
    <n v="2"/>
    <s v="Road Vehicle"/>
    <n v="4"/>
    <x v="3"/>
    <x v="0"/>
    <n v="2"/>
    <x v="1"/>
    <s v="KASESE"/>
    <s v="KASESE"/>
    <s v="UGA"/>
    <n v="2"/>
    <s v="Work"/>
    <s v="MBARARA"/>
    <s v="MBARARA"/>
    <s v="UGA"/>
    <n v="2"/>
    <s v="Work"/>
    <x v="2"/>
    <n v="45600"/>
    <n v="445"/>
    <x v="3"/>
    <n v="4"/>
    <x v="2"/>
    <n v="10"/>
    <s v="Other"/>
    <n v="1"/>
    <x v="2"/>
    <n v="2"/>
    <n v="1"/>
    <n v="3"/>
    <n v="4"/>
    <n v="5"/>
    <s v="Y"/>
    <m/>
    <x v="3"/>
  </r>
  <r>
    <d v="2019-10-20T00:00:00"/>
    <d v="1899-12-30T10:00:00"/>
    <m/>
    <s v="P"/>
    <n v="2"/>
    <s v="Road Vehicle"/>
    <n v="4"/>
    <x v="3"/>
    <x v="0"/>
    <n v="2"/>
    <x v="1"/>
    <s v="KIGOMA"/>
    <s v="BUSHENYI"/>
    <s v="UGA"/>
    <n v="1"/>
    <s v="Home"/>
    <s v="CHRIST THE KING"/>
    <s v="SHEEMA"/>
    <s v="UGA"/>
    <n v="8"/>
    <s v="Others"/>
    <x v="13"/>
    <n v="4000"/>
    <m/>
    <x v="0"/>
    <n v="0.7"/>
    <x v="4"/>
    <n v="7"/>
    <s v="Farmer"/>
    <n v="1"/>
    <x v="2"/>
    <m/>
    <m/>
    <m/>
    <m/>
    <m/>
    <s v="Y"/>
    <m/>
    <x v="3"/>
  </r>
  <r>
    <d v="2019-10-20T00:00:00"/>
    <d v="1899-12-30T14:00:00"/>
    <m/>
    <s v="P"/>
    <n v="2"/>
    <s v="Road Vehicle"/>
    <n v="4"/>
    <x v="3"/>
    <x v="0"/>
    <n v="2"/>
    <x v="1"/>
    <s v="ISHAKA"/>
    <s v="BUSHENYI"/>
    <s v="UGA"/>
    <n v="4"/>
    <s v="Commercial"/>
    <s v="KIKORONGO"/>
    <s v="MITOMA"/>
    <s v="UGA"/>
    <n v="4"/>
    <s v="Commercial"/>
    <x v="18"/>
    <n v="8000"/>
    <n v="45"/>
    <x v="5"/>
    <n v="0.8"/>
    <x v="4"/>
    <n v="7"/>
    <s v="Farmer"/>
    <n v="1"/>
    <x v="2"/>
    <n v="5"/>
    <n v="2"/>
    <n v="1"/>
    <n v="3"/>
    <n v="4"/>
    <s v="Y"/>
    <m/>
    <x v="3"/>
  </r>
  <r>
    <d v="2019-10-20T00:00:00"/>
    <d v="1899-12-30T14:30:00"/>
    <m/>
    <s v="P"/>
    <n v="2"/>
    <s v="Road Vehicle"/>
    <n v="4"/>
    <x v="3"/>
    <x v="0"/>
    <n v="2"/>
    <x v="1"/>
    <s v="CHRIST THE KING"/>
    <s v="SHEEMA"/>
    <s v="UGA"/>
    <n v="8"/>
    <s v="Others"/>
    <s v="RWIMI"/>
    <s v="KABAROLE"/>
    <s v="UGA"/>
    <n v="1"/>
    <s v="Home"/>
    <x v="12"/>
    <n v="20000"/>
    <n v="98"/>
    <x v="1"/>
    <n v="2.5"/>
    <x v="0"/>
    <n v="7"/>
    <s v="Farmer"/>
    <n v="1"/>
    <x v="2"/>
    <n v="4"/>
    <n v="1"/>
    <n v="3"/>
    <n v="2"/>
    <n v="5"/>
    <s v="Y"/>
    <m/>
    <x v="3"/>
  </r>
  <r>
    <d v="2019-10-20T00:00:00"/>
    <d v="1899-12-30T11:12:00"/>
    <m/>
    <s v="P"/>
    <n v="2"/>
    <s v="Road Vehicle"/>
    <n v="3"/>
    <x v="9"/>
    <x v="1"/>
    <n v="2"/>
    <x v="1"/>
    <s v="ISHAKA"/>
    <s v="BUSHENYI"/>
    <s v="UGA"/>
    <n v="1"/>
    <s v="Home"/>
    <s v="MBARARA"/>
    <s v="MBARARA"/>
    <s v="UGA"/>
    <n v="6"/>
    <s v="Leisure/Social"/>
    <x v="8"/>
    <n v="10000"/>
    <m/>
    <x v="0"/>
    <n v="0.8"/>
    <x v="4"/>
    <n v="7"/>
    <s v="Farmer"/>
    <n v="1"/>
    <x v="2"/>
    <n v="1"/>
    <n v="3"/>
    <n v="4"/>
    <n v="5"/>
    <n v="2"/>
    <s v="Y"/>
    <n v="500"/>
    <x v="3"/>
  </r>
  <r>
    <d v="2019-10-20T00:00:00"/>
    <d v="1899-12-30T10:36:00"/>
    <m/>
    <s v="P"/>
    <n v="2"/>
    <s v="Road Vehicle"/>
    <n v="3"/>
    <x v="9"/>
    <x v="1"/>
    <n v="2"/>
    <x v="1"/>
    <s v="KASOZI"/>
    <s v="BUSHENYI"/>
    <s v="UGA"/>
    <n v="1"/>
    <s v="Home"/>
    <s v="CPS"/>
    <s v="BUSHENYI"/>
    <s v="UGA"/>
    <n v="8"/>
    <s v="Others"/>
    <x v="13"/>
    <n v="1000"/>
    <m/>
    <x v="0"/>
    <n v="0.3"/>
    <x v="3"/>
    <n v="1"/>
    <s v="Unemployed"/>
    <n v="1"/>
    <x v="2"/>
    <n v="2"/>
    <n v="5"/>
    <n v="4"/>
    <n v="1"/>
    <n v="3"/>
    <s v="Y"/>
    <n v="1000"/>
    <x v="4"/>
  </r>
  <r>
    <d v="2019-10-20T00:00:00"/>
    <d v="1899-12-30T08:42:00"/>
    <m/>
    <s v="P"/>
    <n v="2"/>
    <s v="Road Vehicle"/>
    <n v="3"/>
    <x v="9"/>
    <x v="1"/>
    <n v="2"/>
    <x v="1"/>
    <s v="BUSHENYI"/>
    <s v="BUSHENYI"/>
    <s v="UGA"/>
    <n v="6"/>
    <s v="Leisure/Social"/>
    <s v="NTUNGAMO"/>
    <s v="NTUNGAMO"/>
    <s v="UGA"/>
    <n v="1"/>
    <s v="Home"/>
    <x v="10"/>
    <n v="5000"/>
    <m/>
    <x v="0"/>
    <n v="0.5"/>
    <x v="4"/>
    <n v="10"/>
    <s v="Other"/>
    <n v="1"/>
    <x v="2"/>
    <n v="2"/>
    <n v="1"/>
    <n v="3"/>
    <n v="4"/>
    <n v="5"/>
    <s v="Y"/>
    <m/>
    <x v="3"/>
  </r>
  <r>
    <d v="2019-10-20T00:00:00"/>
    <d v="1899-12-30T09:14:00"/>
    <m/>
    <s v="P"/>
    <n v="2"/>
    <s v="Road Vehicle"/>
    <n v="3"/>
    <x v="9"/>
    <x v="0"/>
    <n v="2"/>
    <x v="1"/>
    <s v="KIZINDA"/>
    <s v="BUSHENYI"/>
    <s v="UGA"/>
    <n v="1"/>
    <s v="Home"/>
    <s v="MBARARA"/>
    <s v="MBARARA"/>
    <s v="UGA"/>
    <n v="2"/>
    <s v="Work"/>
    <x v="1"/>
    <n v="5000"/>
    <m/>
    <x v="0"/>
    <n v="1"/>
    <x v="1"/>
    <n v="6"/>
    <s v="Businessman"/>
    <n v="1"/>
    <x v="2"/>
    <n v="2"/>
    <n v="1"/>
    <n v="3"/>
    <n v="4"/>
    <n v="5"/>
    <s v="Y"/>
    <n v="500"/>
    <x v="3"/>
  </r>
  <r>
    <d v="2019-10-20T00:00:00"/>
    <d v="1899-12-30T08:50:00"/>
    <m/>
    <s v="D"/>
    <n v="2"/>
    <s v="Road Vehicle"/>
    <n v="2"/>
    <x v="6"/>
    <x v="1"/>
    <n v="2"/>
    <x v="1"/>
    <s v="RUHINDO"/>
    <s v="BUSHENYI"/>
    <s v="UGA"/>
    <n v="1"/>
    <s v="Home"/>
    <s v="KITAGATA"/>
    <s v="SHEEMA"/>
    <s v="UGA"/>
    <n v="6"/>
    <s v="Leisure/Social"/>
    <x v="8"/>
    <n v="913800"/>
    <n v="28"/>
    <x v="4"/>
    <n v="0.7"/>
    <x v="4"/>
    <n v="4"/>
    <s v="Office Worker"/>
    <n v="2"/>
    <x v="3"/>
    <n v="5"/>
    <n v="1"/>
    <n v="2"/>
    <n v="3"/>
    <n v="4"/>
    <s v="Y"/>
    <n v="1000"/>
    <x v="4"/>
  </r>
  <r>
    <d v="2019-10-20T00:00:00"/>
    <d v="1899-12-30T15:50:00"/>
    <m/>
    <s v="D"/>
    <n v="2"/>
    <s v="Road Vehicle"/>
    <n v="2"/>
    <x v="6"/>
    <x v="1"/>
    <n v="2"/>
    <x v="1"/>
    <s v="KITAGATA"/>
    <s v="KASESE"/>
    <s v="UGA"/>
    <n v="1"/>
    <s v="Home"/>
    <s v="BUTOKYE"/>
    <s v="MITOMA"/>
    <s v="UGA"/>
    <n v="6"/>
    <s v="Leisure/Social"/>
    <x v="8"/>
    <n v="19000"/>
    <n v="35"/>
    <x v="4"/>
    <n v="0.8"/>
    <x v="4"/>
    <n v="4"/>
    <s v="Office Worker"/>
    <n v="1"/>
    <x v="2"/>
    <n v="2"/>
    <n v="4"/>
    <n v="3"/>
    <n v="1"/>
    <n v="5"/>
    <s v="Y"/>
    <n v="1000"/>
    <x v="4"/>
  </r>
  <r>
    <d v="2019-10-18T00:00:00"/>
    <m/>
    <m/>
    <s v="P"/>
    <n v="2"/>
    <s v="Road Vehicle"/>
    <n v="2"/>
    <x v="6"/>
    <x v="0"/>
    <n v="2"/>
    <x v="1"/>
    <s v="ISHAKA"/>
    <s v="BUSHENYI"/>
    <s v="UGA"/>
    <n v="1"/>
    <s v="Home"/>
    <s v="KATUGULU"/>
    <s v="KATUGULU"/>
    <s v="UGA"/>
    <n v="6"/>
    <s v="Leisure/Social"/>
    <x v="8"/>
    <n v="7000"/>
    <n v="60"/>
    <x v="5"/>
    <n v="0.8"/>
    <x v="4"/>
    <n v="6"/>
    <s v="Businessman"/>
    <n v="1"/>
    <x v="2"/>
    <n v="2"/>
    <n v="5"/>
    <n v="1"/>
    <n v="3"/>
    <n v="4"/>
    <s v="Y"/>
    <n v="500"/>
    <x v="3"/>
  </r>
  <r>
    <d v="2019-10-18T00:00:00"/>
    <d v="1899-12-30T14:00:00"/>
    <m/>
    <s v="P"/>
    <n v="2"/>
    <s v="Road Vehicle"/>
    <n v="2"/>
    <x v="6"/>
    <x v="0"/>
    <n v="2"/>
    <x v="1"/>
    <s v="RUTOKYE"/>
    <s v="MITOMA"/>
    <s v="UGA"/>
    <n v="4"/>
    <s v="Commercial"/>
    <s v="RWAKITURA"/>
    <s v="MBARARA"/>
    <s v="UGA"/>
    <n v="4"/>
    <s v="Commercial"/>
    <x v="18"/>
    <n v="15000"/>
    <n v="196"/>
    <x v="2"/>
    <n v="4"/>
    <x v="2"/>
    <n v="6"/>
    <s v="Businessman"/>
    <n v="3"/>
    <x v="1"/>
    <n v="4"/>
    <n v="1"/>
    <n v="3"/>
    <n v="2"/>
    <n v="5"/>
    <s v="Y"/>
    <n v="1000"/>
    <x v="4"/>
  </r>
  <r>
    <d v="2019-10-19T00:00:00"/>
    <d v="1899-12-30T07:18:00"/>
    <m/>
    <s v="D"/>
    <n v="2"/>
    <s v="Road Vehicle"/>
    <n v="2"/>
    <x v="6"/>
    <x v="0"/>
    <n v="2"/>
    <x v="1"/>
    <s v="KITAGATA"/>
    <s v="SHEEMA"/>
    <s v="UGA"/>
    <n v="4"/>
    <s v="Commercial"/>
    <s v="ISHAKA"/>
    <s v="BUSHENYI"/>
    <s v="UGA"/>
    <n v="4"/>
    <s v="Commercial"/>
    <x v="18"/>
    <n v="3000"/>
    <n v="20"/>
    <x v="4"/>
    <n v="0.3"/>
    <x v="3"/>
    <n v="5"/>
    <s v="Professional"/>
    <n v="3"/>
    <x v="1"/>
    <n v="3"/>
    <n v="4"/>
    <n v="1"/>
    <n v="2"/>
    <n v="5"/>
    <s v="Y"/>
    <n v="5000"/>
    <x v="2"/>
  </r>
  <r>
    <d v="2019-10-19T00:00:00"/>
    <d v="1899-12-30T10:27:00"/>
    <m/>
    <s v="D"/>
    <n v="2"/>
    <s v="Road Vehicle"/>
    <n v="2"/>
    <x v="6"/>
    <x v="0"/>
    <n v="2"/>
    <x v="1"/>
    <s v="KAGAMBA"/>
    <s v="NTUNGAMO"/>
    <s v="UGA"/>
    <n v="4"/>
    <s v="Commercial"/>
    <s v="ISHAKA"/>
    <s v="BUSHENYI"/>
    <s v="UGA"/>
    <n v="4"/>
    <s v="Commercial"/>
    <x v="18"/>
    <n v="8000"/>
    <n v="106"/>
    <x v="2"/>
    <n v="1.5"/>
    <x v="1"/>
    <n v="6"/>
    <s v="Businessman"/>
    <n v="2"/>
    <x v="3"/>
    <n v="5"/>
    <n v="2"/>
    <n v="3"/>
    <n v="1"/>
    <n v="4"/>
    <s v="Y"/>
    <n v="5000"/>
    <x v="2"/>
  </r>
  <r>
    <d v="2019-10-19T00:00:00"/>
    <d v="1899-12-30T11:29:00"/>
    <m/>
    <s v="P"/>
    <n v="2"/>
    <s v="Road Vehicle"/>
    <n v="2"/>
    <x v="6"/>
    <x v="0"/>
    <n v="2"/>
    <x v="1"/>
    <s v="SHUKU"/>
    <s v="SHEEMA"/>
    <s v="UGA"/>
    <n v="4"/>
    <s v="Commercial"/>
    <s v="MITOMA"/>
    <s v="MITOMA"/>
    <s v="UGA"/>
    <n v="4"/>
    <s v="Commercial"/>
    <x v="18"/>
    <n v="8000"/>
    <n v="50"/>
    <x v="5"/>
    <n v="0.8"/>
    <x v="4"/>
    <n v="6"/>
    <s v="Businessman"/>
    <n v="2"/>
    <x v="3"/>
    <n v="1"/>
    <n v="2"/>
    <n v="5"/>
    <n v="3"/>
    <n v="4"/>
    <s v="Y"/>
    <n v="1000"/>
    <x v="4"/>
  </r>
  <r>
    <d v="2019-10-19T00:00:00"/>
    <d v="1899-12-30T09:20:00"/>
    <m/>
    <s v="D"/>
    <n v="2"/>
    <s v="Road Vehicle"/>
    <n v="2"/>
    <x v="6"/>
    <x v="0"/>
    <n v="2"/>
    <x v="1"/>
    <m/>
    <m/>
    <s v="UGA"/>
    <n v="2"/>
    <s v="Work"/>
    <s v="KAGAMBA"/>
    <s v="NTUNGAMO"/>
    <s v="UGA"/>
    <n v="4"/>
    <s v="Commercial"/>
    <x v="17"/>
    <n v="20000"/>
    <m/>
    <x v="0"/>
    <n v="1"/>
    <x v="1"/>
    <n v="10"/>
    <s v="Other"/>
    <n v="1"/>
    <x v="2"/>
    <n v="3"/>
    <n v="1"/>
    <n v="2"/>
    <n v="5"/>
    <n v="4"/>
    <s v="Y"/>
    <n v="1000"/>
    <x v="4"/>
  </r>
  <r>
    <d v="2019-10-19T00:00:00"/>
    <d v="1899-12-30T08:04:00"/>
    <m/>
    <s v="D"/>
    <n v="2"/>
    <s v="Road Vehicle"/>
    <n v="2"/>
    <x v="6"/>
    <x v="0"/>
    <n v="2"/>
    <x v="1"/>
    <s v="ISHAKA"/>
    <s v="BUSHENYI"/>
    <s v="UGA"/>
    <n v="1"/>
    <s v="Home"/>
    <s v="MBARARA"/>
    <s v="MBARARA"/>
    <s v="UGA"/>
    <n v="2"/>
    <s v="Work"/>
    <x v="1"/>
    <n v="50000"/>
    <m/>
    <x v="0"/>
    <n v="2"/>
    <x v="0"/>
    <n v="10"/>
    <s v="Other"/>
    <n v="2"/>
    <x v="3"/>
    <n v="4"/>
    <n v="2"/>
    <n v="1"/>
    <n v="5"/>
    <n v="3"/>
    <s v="Y"/>
    <n v="1000"/>
    <x v="4"/>
  </r>
  <r>
    <d v="2019-10-20T00:00:00"/>
    <d v="1899-12-30T15:11:00"/>
    <m/>
    <s v="D"/>
    <n v="2"/>
    <s v="Road Vehicle"/>
    <n v="2"/>
    <x v="6"/>
    <x v="0"/>
    <n v="2"/>
    <x v="1"/>
    <s v="ZANA"/>
    <s v="WAKISO"/>
    <s v="UGA"/>
    <n v="1"/>
    <s v="Home"/>
    <s v="KIREMBE"/>
    <s v="KASESE"/>
    <s v="UGA"/>
    <n v="6"/>
    <s v="Leisure/Social"/>
    <x v="8"/>
    <n v="400000"/>
    <m/>
    <x v="0"/>
    <n v="8"/>
    <x v="2"/>
    <n v="4"/>
    <s v="Office Worker"/>
    <n v="2"/>
    <x v="3"/>
    <n v="3"/>
    <n v="5"/>
    <n v="4"/>
    <n v="1"/>
    <n v="2"/>
    <s v="Y"/>
    <n v="3000"/>
    <x v="0"/>
  </r>
  <r>
    <d v="2019-10-20T00:00:00"/>
    <d v="1899-12-30T16:40:00"/>
    <m/>
    <s v="D"/>
    <n v="2"/>
    <s v="Road Vehicle"/>
    <n v="2"/>
    <x v="6"/>
    <x v="0"/>
    <n v="2"/>
    <x v="1"/>
    <s v="RUBIRIZI"/>
    <s v="RUBIRIZI"/>
    <s v="UGA"/>
    <n v="4"/>
    <s v="Commercial"/>
    <s v="KISASI"/>
    <s v="KAMPALA"/>
    <s v="UGA"/>
    <n v="4"/>
    <s v="Commercial"/>
    <x v="18"/>
    <n v="200000"/>
    <n v="339"/>
    <x v="3"/>
    <n v="9"/>
    <x v="2"/>
    <n v="4"/>
    <s v="Office Worker"/>
    <n v="2"/>
    <x v="3"/>
    <m/>
    <m/>
    <m/>
    <m/>
    <m/>
    <s v="Y"/>
    <n v="2000"/>
    <x v="1"/>
  </r>
  <r>
    <d v="2019-10-20T00:00:00"/>
    <d v="1899-12-30T16:55:00"/>
    <m/>
    <s v="D"/>
    <n v="2"/>
    <s v="Road Vehicle"/>
    <n v="2"/>
    <x v="6"/>
    <x v="0"/>
    <n v="2"/>
    <x v="1"/>
    <s v="BWIMI"/>
    <s v="RUBIRIZI"/>
    <s v="UGA"/>
    <n v="4"/>
    <s v="Commercial"/>
    <s v="JINJA"/>
    <s v="JINJA"/>
    <s v="UGA"/>
    <n v="4"/>
    <s v="Commercial"/>
    <x v="18"/>
    <n v="57000"/>
    <m/>
    <x v="0"/>
    <n v="0.2"/>
    <x v="3"/>
    <n v="6"/>
    <s v="Businessman"/>
    <n v="3"/>
    <x v="1"/>
    <n v="5"/>
    <n v="1"/>
    <n v="3"/>
    <n v="2"/>
    <n v="4"/>
    <s v="Y"/>
    <m/>
    <x v="3"/>
  </r>
  <r>
    <d v="2019-10-19T00:00:00"/>
    <d v="1899-12-30T07:20:00"/>
    <m/>
    <m/>
    <n v="1"/>
    <s v="Walking/Cycling"/>
    <n v="13"/>
    <x v="5"/>
    <x v="0"/>
    <n v="3"/>
    <x v="2"/>
    <s v="NYABUBAARE"/>
    <s v="BUSHENYI"/>
    <s v="UGA"/>
    <n v="1"/>
    <s v="Home"/>
    <s v="ISHAKA"/>
    <s v="BUSHENYI"/>
    <s v="UGA"/>
    <n v="2"/>
    <s v="Work"/>
    <x v="1"/>
    <n v="3000"/>
    <n v="2.5"/>
    <x v="0"/>
    <n v="0.3"/>
    <x v="3"/>
    <n v="2"/>
    <s v="Manual Labour"/>
    <n v="1"/>
    <x v="2"/>
    <n v="2"/>
    <n v="1"/>
    <n v="4"/>
    <n v="3"/>
    <n v="5"/>
    <s v="Y"/>
    <n v="2000"/>
    <x v="1"/>
  </r>
  <r>
    <d v="2019-10-19T00:00:00"/>
    <d v="1899-12-30T11:20:00"/>
    <m/>
    <s v="D"/>
    <n v="2"/>
    <s v="Road Vehicle"/>
    <n v="1"/>
    <x v="0"/>
    <x v="1"/>
    <n v="3"/>
    <x v="2"/>
    <s v="ISHAKA"/>
    <s v="BUSHENYI"/>
    <s v="UGA"/>
    <n v="2"/>
    <s v="Work"/>
    <s v="LUTOKYE"/>
    <s v="MITOMA"/>
    <s v="UGA"/>
    <n v="6"/>
    <s v="Leisure/Social"/>
    <x v="5"/>
    <n v="20000"/>
    <n v="25"/>
    <x v="4"/>
    <n v="1.5"/>
    <x v="1"/>
    <n v="6"/>
    <s v="Businessman"/>
    <n v="3"/>
    <x v="1"/>
    <n v="2"/>
    <n v="3"/>
    <n v="1"/>
    <n v="5"/>
    <n v="4"/>
    <s v="Y"/>
    <n v="2000"/>
    <x v="1"/>
  </r>
  <r>
    <d v="2019-10-19T00:00:00"/>
    <d v="1899-12-30T08:45:00"/>
    <m/>
    <s v="P"/>
    <n v="2"/>
    <s v="Road Vehicle"/>
    <n v="1"/>
    <x v="0"/>
    <x v="1"/>
    <n v="3"/>
    <x v="2"/>
    <s v="BWERANYANJI"/>
    <s v="BUSHENYI"/>
    <s v="UGA"/>
    <n v="1"/>
    <s v="Home"/>
    <s v="ISHAKA"/>
    <s v="BUSHENYI"/>
    <s v="UGA"/>
    <n v="2"/>
    <s v="Work"/>
    <x v="1"/>
    <n v="5000"/>
    <n v="8"/>
    <x v="0"/>
    <n v="0.3"/>
    <x v="3"/>
    <n v="2"/>
    <s v="Manual Labour"/>
    <n v="1"/>
    <x v="2"/>
    <n v="2"/>
    <n v="1"/>
    <n v="5"/>
    <n v="3"/>
    <n v="4"/>
    <s v="Y"/>
    <n v="2000"/>
    <x v="1"/>
  </r>
  <r>
    <d v="2019-10-20T00:00:00"/>
    <d v="1899-12-30T07:29:00"/>
    <m/>
    <s v="P"/>
    <n v="2"/>
    <s v="Road Vehicle"/>
    <n v="1"/>
    <x v="0"/>
    <x v="1"/>
    <n v="3"/>
    <x v="2"/>
    <s v="BUYANZA"/>
    <s v="RUKUNGIRI"/>
    <s v="UGA"/>
    <n v="1"/>
    <s v="Home"/>
    <s v="BASAJABALABA"/>
    <s v="BUSHENYI"/>
    <s v="UGA"/>
    <n v="8"/>
    <s v="Others"/>
    <x v="13"/>
    <n v="12000"/>
    <m/>
    <x v="0"/>
    <n v="2"/>
    <x v="0"/>
    <n v="1"/>
    <s v="Unemployed"/>
    <n v="1"/>
    <x v="2"/>
    <n v="2"/>
    <n v="5"/>
    <n v="3"/>
    <n v="1"/>
    <n v="4"/>
    <s v="Y"/>
    <m/>
    <x v="3"/>
  </r>
  <r>
    <d v="2019-10-20T00:00:00"/>
    <d v="1899-12-30T09:56:00"/>
    <m/>
    <s v="P"/>
    <n v="2"/>
    <s v="Road Vehicle"/>
    <n v="1"/>
    <x v="0"/>
    <x v="1"/>
    <n v="3"/>
    <x v="2"/>
    <s v="KIREMBE"/>
    <s v="KASESE"/>
    <s v="UGA"/>
    <n v="1"/>
    <s v="Home"/>
    <s v="NTALE"/>
    <s v="MBARARA"/>
    <s v="UGA"/>
    <n v="6"/>
    <s v="Leisure/Social"/>
    <x v="8"/>
    <n v="20000"/>
    <m/>
    <x v="0"/>
    <n v="3"/>
    <x v="0"/>
    <n v="6"/>
    <s v="Businessman"/>
    <n v="2"/>
    <x v="3"/>
    <n v="2"/>
    <n v="5"/>
    <n v="4"/>
    <n v="1"/>
    <n v="3"/>
    <s v="Y"/>
    <m/>
    <x v="3"/>
  </r>
  <r>
    <d v="2019-10-20T00:00:00"/>
    <d v="1899-12-30T16:12:00"/>
    <m/>
    <s v="P"/>
    <n v="2"/>
    <s v="Road Vehicle"/>
    <n v="1"/>
    <x v="0"/>
    <x v="1"/>
    <n v="3"/>
    <x v="2"/>
    <s v="RUWIZI"/>
    <s v="MBARARA"/>
    <s v="UGA"/>
    <n v="6"/>
    <s v="Leisure/Social"/>
    <s v="TOWN CENTER"/>
    <s v="KASESE"/>
    <s v="UGA"/>
    <n v="1"/>
    <s v="Home"/>
    <x v="10"/>
    <n v="12000"/>
    <m/>
    <x v="0"/>
    <n v="3"/>
    <x v="0"/>
    <n v="6"/>
    <s v="Businessman"/>
    <n v="1"/>
    <x v="2"/>
    <n v="4"/>
    <n v="3"/>
    <n v="1"/>
    <n v="2"/>
    <n v="5"/>
    <s v="Y"/>
    <n v="1000"/>
    <x v="4"/>
  </r>
  <r>
    <d v="2019-10-18T00:00:00"/>
    <m/>
    <m/>
    <s v="D"/>
    <n v="2"/>
    <s v="Road Vehicle"/>
    <n v="1"/>
    <x v="0"/>
    <x v="0"/>
    <n v="3"/>
    <x v="2"/>
    <s v="ISHAKA"/>
    <s v="BUSHENYI"/>
    <s v="UGA"/>
    <n v="2"/>
    <s v="Work"/>
    <s v="KAGAMBA"/>
    <s v="BUSHENYI"/>
    <s v="UGA"/>
    <n v="6"/>
    <s v="Leisure/Social"/>
    <x v="5"/>
    <n v="30000"/>
    <n v="35"/>
    <x v="4"/>
    <n v="0.4"/>
    <x v="3"/>
    <n v="2"/>
    <s v="Manual Labour"/>
    <n v="2"/>
    <x v="3"/>
    <n v="2"/>
    <n v="5"/>
    <n v="4"/>
    <n v="1"/>
    <n v="5"/>
    <s v="Y"/>
    <n v="200"/>
    <x v="3"/>
  </r>
  <r>
    <d v="2019-10-18T00:00:00"/>
    <m/>
    <m/>
    <s v="P"/>
    <n v="2"/>
    <s v="Road Vehicle"/>
    <n v="1"/>
    <x v="0"/>
    <x v="0"/>
    <n v="3"/>
    <x v="2"/>
    <s v="NYIBINGO"/>
    <s v="BUSHENYI"/>
    <s v="UGA"/>
    <n v="1"/>
    <s v="Home"/>
    <s v="LDC"/>
    <s v="MBARARA"/>
    <s v="UGA"/>
    <n v="4"/>
    <s v="Commercial"/>
    <x v="0"/>
    <n v="9000"/>
    <n v="100"/>
    <x v="2"/>
    <n v="1"/>
    <x v="1"/>
    <n v="5"/>
    <s v="Professional"/>
    <n v="4"/>
    <x v="0"/>
    <n v="2"/>
    <n v="4"/>
    <n v="3"/>
    <n v="1"/>
    <n v="5"/>
    <s v="Y"/>
    <n v="500"/>
    <x v="3"/>
  </r>
  <r>
    <d v="2019-10-18T00:00:00"/>
    <m/>
    <m/>
    <s v="D"/>
    <n v="2"/>
    <s v="Road Vehicle"/>
    <n v="1"/>
    <x v="0"/>
    <x v="0"/>
    <n v="3"/>
    <x v="2"/>
    <s v="ISHAKA"/>
    <s v="BUSHENYI"/>
    <s v="UGA"/>
    <n v="2"/>
    <s v="Work"/>
    <s v="TOWN"/>
    <s v="MBARARA"/>
    <s v="UGA"/>
    <n v="2"/>
    <s v="Work"/>
    <x v="2"/>
    <n v="100000"/>
    <m/>
    <x v="0"/>
    <n v="1"/>
    <x v="1"/>
    <n v="10"/>
    <s v="Other"/>
    <n v="1"/>
    <x v="2"/>
    <n v="2"/>
    <n v="1"/>
    <n v="5"/>
    <n v="4"/>
    <n v="3"/>
    <s v="Y"/>
    <n v="1000"/>
    <x v="4"/>
  </r>
  <r>
    <d v="2019-10-19T00:00:00"/>
    <d v="1899-12-30T08:49:00"/>
    <m/>
    <s v="D"/>
    <n v="2"/>
    <s v="Road Vehicle"/>
    <n v="1"/>
    <x v="0"/>
    <x v="0"/>
    <n v="3"/>
    <x v="2"/>
    <s v="ISHAKA"/>
    <s v="BUSHENYI"/>
    <s v="UGA"/>
    <n v="4"/>
    <s v="Commercial"/>
    <s v="MBARARA"/>
    <s v="MBARARA"/>
    <s v="UGA"/>
    <n v="4"/>
    <s v="Commercial"/>
    <x v="18"/>
    <n v="45000"/>
    <n v="58"/>
    <x v="5"/>
    <n v="0.8"/>
    <x v="4"/>
    <n v="2"/>
    <s v="Manual Labour"/>
    <n v="1"/>
    <x v="2"/>
    <n v="1"/>
    <n v="3"/>
    <n v="4"/>
    <n v="2"/>
    <n v="5"/>
    <s v="Y"/>
    <n v="2000"/>
    <x v="1"/>
  </r>
  <r>
    <d v="2019-10-19T00:00:00"/>
    <m/>
    <m/>
    <s v="D"/>
    <n v="2"/>
    <s v="Road Vehicle"/>
    <n v="1"/>
    <x v="0"/>
    <x v="0"/>
    <n v="3"/>
    <x v="2"/>
    <s v="ISHAKA"/>
    <s v="BUSHENYI"/>
    <s v="UGA"/>
    <n v="2"/>
    <s v="Work"/>
    <s v="MBARARA"/>
    <s v="MBARARA"/>
    <s v="UGA"/>
    <n v="6"/>
    <s v="Leisure/Social"/>
    <x v="5"/>
    <n v="50000"/>
    <n v="40"/>
    <x v="5"/>
    <n v="1.5"/>
    <x v="1"/>
    <n v="3"/>
    <s v="Artisan/Domestic"/>
    <n v="1"/>
    <x v="2"/>
    <n v="3"/>
    <n v="1"/>
    <n v="2"/>
    <n v="4"/>
    <n v="5"/>
    <s v="Y"/>
    <n v="1000"/>
    <x v="4"/>
  </r>
  <r>
    <d v="2019-10-19T00:00:00"/>
    <d v="1899-12-30T11:30:00"/>
    <m/>
    <s v="P"/>
    <n v="2"/>
    <s v="Road Vehicle"/>
    <n v="1"/>
    <x v="0"/>
    <x v="0"/>
    <n v="3"/>
    <x v="2"/>
    <s v="KABANGA"/>
    <s v="NTUNGAMO"/>
    <s v="UGA"/>
    <n v="1"/>
    <s v="Home"/>
    <s v="MBARARA"/>
    <s v="MBARARA"/>
    <s v="UGA"/>
    <n v="2"/>
    <s v="Work"/>
    <x v="1"/>
    <n v="9000"/>
    <m/>
    <x v="0"/>
    <n v="1.5"/>
    <x v="1"/>
    <n v="7"/>
    <s v="Farmer"/>
    <n v="4"/>
    <x v="0"/>
    <n v="5"/>
    <n v="4"/>
    <n v="2"/>
    <n v="1"/>
    <n v="3"/>
    <s v="Y"/>
    <m/>
    <x v="3"/>
  </r>
  <r>
    <d v="2019-10-20T00:00:00"/>
    <d v="1899-12-30T10:46:00"/>
    <m/>
    <s v="D"/>
    <n v="2"/>
    <s v="Road Vehicle"/>
    <n v="1"/>
    <x v="0"/>
    <x v="0"/>
    <n v="3"/>
    <x v="2"/>
    <s v="KIGOMA"/>
    <s v="BUSHENYI"/>
    <s v="UGA"/>
    <n v="1"/>
    <s v="Home"/>
    <s v="ISHAKA"/>
    <s v="BUSHENYI"/>
    <s v="UGA"/>
    <n v="2"/>
    <s v="Work"/>
    <x v="1"/>
    <n v="20000"/>
    <m/>
    <x v="0"/>
    <n v="0.5"/>
    <x v="4"/>
    <n v="6"/>
    <s v="Businessman"/>
    <n v="1"/>
    <x v="2"/>
    <n v="1"/>
    <n v="2"/>
    <n v="5"/>
    <n v="4"/>
    <n v="3"/>
    <s v="Y"/>
    <n v="500"/>
    <x v="3"/>
  </r>
  <r>
    <d v="2019-10-20T00:00:00"/>
    <d v="1899-12-30T17:49:00"/>
    <m/>
    <s v="P"/>
    <n v="2"/>
    <s v="Road Vehicle"/>
    <n v="1"/>
    <x v="0"/>
    <x v="0"/>
    <n v="3"/>
    <x v="2"/>
    <s v="BUSHENYI"/>
    <s v="BUSHENYI"/>
    <s v="UGA"/>
    <n v="2"/>
    <s v="Work"/>
    <s v="NTUNGAMO"/>
    <s v="NTUNGAMO"/>
    <s v="UGA"/>
    <n v="1"/>
    <s v="Home"/>
    <x v="4"/>
    <n v="5000"/>
    <m/>
    <x v="0"/>
    <n v="0.5"/>
    <x v="4"/>
    <n v="4"/>
    <s v="Office Worker"/>
    <n v="3"/>
    <x v="1"/>
    <n v="3"/>
    <n v="1"/>
    <n v="2"/>
    <n v="5"/>
    <n v="4"/>
    <s v="Y"/>
    <n v="200"/>
    <x v="3"/>
  </r>
  <r>
    <d v="2019-10-20T00:00:00"/>
    <d v="1899-12-30T14:21:00"/>
    <m/>
    <s v="D"/>
    <n v="2"/>
    <s v="Road Vehicle"/>
    <n v="1"/>
    <x v="0"/>
    <x v="0"/>
    <n v="3"/>
    <x v="2"/>
    <s v="KIZINDA"/>
    <s v="BUSHENYI"/>
    <s v="UGA"/>
    <n v="2"/>
    <s v="Work"/>
    <s v="NTUNGAMO"/>
    <s v="NTUNGAMO"/>
    <s v="UGA"/>
    <n v="1"/>
    <s v="Home"/>
    <x v="4"/>
    <n v="20000"/>
    <n v="24"/>
    <x v="4"/>
    <n v="1.5"/>
    <x v="1"/>
    <n v="4"/>
    <s v="Office Worker"/>
    <n v="5"/>
    <x v="4"/>
    <n v="2"/>
    <n v="3"/>
    <n v="1"/>
    <n v="5"/>
    <n v="4"/>
    <s v="Y"/>
    <s v=" "/>
    <x v="5"/>
  </r>
  <r>
    <d v="2019-10-20T00:00:00"/>
    <d v="1899-12-30T09:40:00"/>
    <m/>
    <s v="P"/>
    <n v="2"/>
    <s v="Road Vehicle"/>
    <n v="1"/>
    <x v="0"/>
    <x v="0"/>
    <n v="3"/>
    <x v="2"/>
    <s v="ISHAKA"/>
    <s v="BUSHENYI"/>
    <s v="UGA"/>
    <n v="1"/>
    <s v="Home"/>
    <s v="RUBIRIZI"/>
    <s v="MBARARA"/>
    <s v="UGA"/>
    <n v="2"/>
    <s v="Work"/>
    <x v="1"/>
    <n v="7000"/>
    <n v="80"/>
    <x v="1"/>
    <n v="1.3"/>
    <x v="1"/>
    <n v="5"/>
    <s v="Professional"/>
    <n v="2"/>
    <x v="3"/>
    <n v="5"/>
    <n v="2"/>
    <n v="4"/>
    <n v="1"/>
    <n v="3"/>
    <s v="Y"/>
    <m/>
    <x v="3"/>
  </r>
  <r>
    <d v="2019-10-20T00:00:00"/>
    <d v="1899-12-30T15:32:00"/>
    <m/>
    <s v="P"/>
    <n v="2"/>
    <s v="Road Vehicle"/>
    <n v="1"/>
    <x v="0"/>
    <x v="0"/>
    <n v="3"/>
    <x v="2"/>
    <s v="ISHAKA"/>
    <s v="BUSHENYI"/>
    <s v="UGA"/>
    <n v="1"/>
    <s v="Home"/>
    <s v="TOWN CENTER"/>
    <s v="KASESE"/>
    <s v="UGA"/>
    <n v="8"/>
    <s v="Others"/>
    <x v="13"/>
    <n v="900"/>
    <m/>
    <x v="0"/>
    <n v="2"/>
    <x v="0"/>
    <n v="6"/>
    <s v="Businessman"/>
    <n v="3"/>
    <x v="1"/>
    <n v="5"/>
    <n v="4"/>
    <n v="2"/>
    <n v="1"/>
    <n v="3"/>
    <s v="Y"/>
    <n v="2000"/>
    <x v="1"/>
  </r>
  <r>
    <d v="2019-10-20T00:00:00"/>
    <d v="1899-12-30T14:16:00"/>
    <m/>
    <s v="D"/>
    <n v="2"/>
    <s v="Road Vehicle"/>
    <n v="1"/>
    <x v="0"/>
    <x v="0"/>
    <n v="3"/>
    <x v="2"/>
    <s v="ISHAKA"/>
    <s v="BUSHENYI"/>
    <s v="UGA"/>
    <n v="2"/>
    <s v="Work"/>
    <s v="TOWN CENTER"/>
    <s v="KASESE"/>
    <s v="UGA"/>
    <n v="2"/>
    <s v="Work"/>
    <x v="2"/>
    <n v="50000"/>
    <n v="90"/>
    <x v="1"/>
    <n v="2"/>
    <x v="0"/>
    <n v="10"/>
    <s v="Other"/>
    <n v="2"/>
    <x v="3"/>
    <n v="5"/>
    <n v="1"/>
    <n v="3"/>
    <n v="2"/>
    <n v="4"/>
    <s v="Y"/>
    <n v="500"/>
    <x v="3"/>
  </r>
  <r>
    <d v="2019-10-20T00:00:00"/>
    <d v="1899-12-30T11:19:00"/>
    <m/>
    <s v="D"/>
    <n v="2"/>
    <s v="Road Vehicle"/>
    <n v="1"/>
    <x v="0"/>
    <x v="0"/>
    <n v="3"/>
    <x v="2"/>
    <s v="ISHAKA"/>
    <s v="BUSHENYI"/>
    <s v="UGA"/>
    <n v="2"/>
    <s v="Work"/>
    <s v="TOWN CENTER"/>
    <s v="RWIMI"/>
    <s v="UGA"/>
    <n v="2"/>
    <s v="Work"/>
    <x v="2"/>
    <n v="64600"/>
    <n v="127"/>
    <x v="2"/>
    <n v="1.5"/>
    <x v="1"/>
    <n v="10"/>
    <s v="Other"/>
    <n v="2"/>
    <x v="3"/>
    <n v="4"/>
    <n v="2"/>
    <n v="1"/>
    <n v="3"/>
    <n v="5"/>
    <s v="Y"/>
    <n v="1000"/>
    <x v="4"/>
  </r>
  <r>
    <d v="2019-10-19T00:00:00"/>
    <d v="1899-12-30T08:30:00"/>
    <m/>
    <s v="D"/>
    <n v="2"/>
    <s v="Road Vehicle"/>
    <n v="9"/>
    <x v="8"/>
    <x v="0"/>
    <n v="3"/>
    <x v="2"/>
    <s v="KAMPALA"/>
    <s v="KAMPALA"/>
    <s v="UGA"/>
    <n v="4"/>
    <s v="Commercial"/>
    <s v="ISHAKA"/>
    <s v="BUSHENYI"/>
    <s v="UGA"/>
    <n v="4"/>
    <s v="Commercial"/>
    <x v="18"/>
    <n v="20000"/>
    <n v="336"/>
    <x v="3"/>
    <n v="5"/>
    <x v="2"/>
    <n v="1"/>
    <s v="Unemployed"/>
    <n v="2"/>
    <x v="3"/>
    <n v="1"/>
    <n v="3"/>
    <n v="5"/>
    <n v="4"/>
    <n v="2"/>
    <s v="Y"/>
    <m/>
    <x v="3"/>
  </r>
  <r>
    <d v="2019-10-19T00:00:00"/>
    <d v="1899-12-30T09:51:00"/>
    <m/>
    <s v="D"/>
    <n v="2"/>
    <s v="Road Vehicle"/>
    <n v="9"/>
    <x v="8"/>
    <x v="0"/>
    <n v="3"/>
    <x v="2"/>
    <s v="KAMPALA"/>
    <s v="KAMPALA"/>
    <s v="UGA"/>
    <n v="4"/>
    <s v="Commercial"/>
    <s v="NTUNGAMO"/>
    <s v="NTUNGAMO"/>
    <s v="UGA"/>
    <n v="4"/>
    <s v="Commercial"/>
    <x v="18"/>
    <n v="500000"/>
    <n v="436"/>
    <x v="3"/>
    <n v="12"/>
    <x v="2"/>
    <n v="1"/>
    <s v="Unemployed"/>
    <n v="2"/>
    <x v="3"/>
    <n v="3"/>
    <n v="2"/>
    <n v="4"/>
    <n v="1"/>
    <n v="5"/>
    <s v="Y"/>
    <n v="5000"/>
    <x v="2"/>
  </r>
  <r>
    <d v="2019-10-19T00:00:00"/>
    <d v="1899-12-30T10:20:00"/>
    <m/>
    <s v="D"/>
    <n v="2"/>
    <s v="Road Vehicle"/>
    <n v="9"/>
    <x v="8"/>
    <x v="0"/>
    <n v="3"/>
    <x v="2"/>
    <s v="MASAKA"/>
    <s v="MASAKA"/>
    <s v="UGA"/>
    <n v="1"/>
    <s v="Home"/>
    <s v="ISHAKA"/>
    <s v="BUSHENYI"/>
    <s v="UGA"/>
    <n v="7"/>
    <s v="Hospital"/>
    <x v="32"/>
    <n v="75000"/>
    <n v="160"/>
    <x v="2"/>
    <n v="2.5"/>
    <x v="0"/>
    <n v="2"/>
    <s v="Manual Labour"/>
    <n v="1"/>
    <x v="2"/>
    <n v="4"/>
    <n v="2"/>
    <n v="3"/>
    <n v="1"/>
    <n v="5"/>
    <s v="Y"/>
    <n v="2000"/>
    <x v="1"/>
  </r>
  <r>
    <d v="2019-10-19T00:00:00"/>
    <m/>
    <m/>
    <s v="P"/>
    <n v="2"/>
    <s v="Road Vehicle"/>
    <n v="6"/>
    <x v="1"/>
    <x v="1"/>
    <n v="3"/>
    <x v="2"/>
    <s v="KIGOMA"/>
    <s v="BUSHENYI"/>
    <s v="UGA"/>
    <n v="2"/>
    <s v="Work"/>
    <s v="WAKISO"/>
    <s v="WAKISO"/>
    <s v="UGA"/>
    <n v="7"/>
    <s v="Hospital"/>
    <x v="23"/>
    <n v="17000"/>
    <m/>
    <x v="0"/>
    <n v="6"/>
    <x v="2"/>
    <n v="4"/>
    <s v="Office Worker"/>
    <n v="3"/>
    <x v="1"/>
    <n v="1"/>
    <n v="2"/>
    <n v="4"/>
    <n v="3"/>
    <n v="5"/>
    <s v="Y"/>
    <n v="1000"/>
    <x v="4"/>
  </r>
  <r>
    <d v="2019-10-20T00:00:00"/>
    <d v="1899-12-30T07:22:00"/>
    <m/>
    <s v="P"/>
    <n v="2"/>
    <s v="Road Vehicle"/>
    <n v="6"/>
    <x v="1"/>
    <x v="1"/>
    <n v="3"/>
    <x v="2"/>
    <s v="BUWERA"/>
    <s v="KASESE"/>
    <s v="UGA"/>
    <n v="1"/>
    <s v="Home"/>
    <s v="KAMPALA"/>
    <s v="KAMPALA"/>
    <s v="UGA"/>
    <n v="2"/>
    <s v="Work"/>
    <x v="1"/>
    <n v="30000"/>
    <n v="432"/>
    <x v="3"/>
    <n v="7"/>
    <x v="2"/>
    <n v="6"/>
    <s v="Businessman"/>
    <n v="1"/>
    <x v="2"/>
    <n v="3"/>
    <n v="1"/>
    <n v="2"/>
    <n v="4"/>
    <n v="5"/>
    <s v="Y"/>
    <m/>
    <x v="3"/>
  </r>
  <r>
    <d v="2019-10-20T00:00:00"/>
    <d v="1899-12-30T08:13:00"/>
    <m/>
    <s v="P"/>
    <n v="3"/>
    <s v="Rail"/>
    <n v="6"/>
    <x v="1"/>
    <x v="1"/>
    <n v="3"/>
    <x v="2"/>
    <s v="NTUGAMO"/>
    <s v="NTUNGAMO"/>
    <s v="UGA"/>
    <n v="2"/>
    <s v="Work"/>
    <s v="KAMPALA"/>
    <s v="KAMPALA"/>
    <s v="UGA"/>
    <n v="6"/>
    <s v="Leisure/Social"/>
    <x v="5"/>
    <n v="23000"/>
    <m/>
    <x v="0"/>
    <n v="6"/>
    <x v="2"/>
    <n v="10"/>
    <s v="Other"/>
    <n v="2"/>
    <x v="3"/>
    <n v="5"/>
    <n v="1"/>
    <n v="4"/>
    <n v="3"/>
    <n v="2"/>
    <s v="N"/>
    <m/>
    <x v="3"/>
  </r>
  <r>
    <d v="2019-10-20T00:00:00"/>
    <d v="1899-12-30T07:55:00"/>
    <m/>
    <s v="P"/>
    <n v="2"/>
    <s v="Road Vehicle"/>
    <n v="6"/>
    <x v="1"/>
    <x v="1"/>
    <n v="3"/>
    <x v="2"/>
    <s v="BWERA"/>
    <s v="KASESE"/>
    <s v="UGA"/>
    <n v="1"/>
    <s v="Home"/>
    <s v="CHRIST THE KING"/>
    <s v="SHEEMA"/>
    <s v="UGA"/>
    <n v="8"/>
    <s v="Others"/>
    <x v="13"/>
    <n v="15000"/>
    <m/>
    <x v="0"/>
    <n v="2"/>
    <x v="0"/>
    <n v="7"/>
    <s v="Farmer"/>
    <n v="1"/>
    <x v="2"/>
    <n v="5"/>
    <n v="3"/>
    <n v="4"/>
    <n v="1"/>
    <n v="2"/>
    <s v="Y"/>
    <m/>
    <x v="3"/>
  </r>
  <r>
    <d v="2019-10-20T00:00:00"/>
    <d v="1899-12-30T07:10:00"/>
    <m/>
    <s v="P"/>
    <n v="2"/>
    <s v="Road Vehicle"/>
    <n v="6"/>
    <x v="1"/>
    <x v="1"/>
    <n v="3"/>
    <x v="2"/>
    <s v="BWERA"/>
    <s v="KASESE"/>
    <s v="UGA"/>
    <n v="1"/>
    <s v="Home"/>
    <s v="KAMPALA"/>
    <s v="KAMPALA"/>
    <s v="UGA"/>
    <n v="4"/>
    <s v="Commercial"/>
    <x v="0"/>
    <n v="30000"/>
    <n v="434"/>
    <x v="3"/>
    <n v="8"/>
    <x v="2"/>
    <n v="7"/>
    <s v="Farmer"/>
    <n v="1"/>
    <x v="2"/>
    <n v="3"/>
    <n v="2"/>
    <n v="4"/>
    <n v="1"/>
    <n v="5"/>
    <s v="Y"/>
    <n v="5000"/>
    <x v="2"/>
  </r>
  <r>
    <d v="2019-10-20T00:00:00"/>
    <d v="1899-12-30T07:15:00"/>
    <m/>
    <s v="P"/>
    <n v="2"/>
    <s v="Road Vehicle"/>
    <n v="6"/>
    <x v="1"/>
    <x v="1"/>
    <n v="3"/>
    <x v="2"/>
    <s v="BWERA"/>
    <s v="KASESE"/>
    <s v="UGA"/>
    <n v="1"/>
    <s v="Home"/>
    <s v="CHRIST THE KING"/>
    <s v="SHEEMA"/>
    <s v="UGA"/>
    <n v="8"/>
    <s v="Others"/>
    <x v="13"/>
    <n v="15000"/>
    <n v="108"/>
    <x v="2"/>
    <n v="2"/>
    <x v="0"/>
    <n v="10"/>
    <s v="Other"/>
    <n v="1"/>
    <x v="2"/>
    <n v="5"/>
    <n v="4"/>
    <n v="3"/>
    <n v="1"/>
    <n v="2"/>
    <s v="Y"/>
    <n v="2000"/>
    <x v="1"/>
  </r>
  <r>
    <d v="2019-10-19T00:00:00"/>
    <d v="1899-12-30T07:48:00"/>
    <m/>
    <s v="P"/>
    <n v="2"/>
    <s v="Road Vehicle"/>
    <n v="6"/>
    <x v="1"/>
    <x v="0"/>
    <n v="3"/>
    <x v="2"/>
    <s v="RUKUNGIRI"/>
    <s v="RUKUNGIRI"/>
    <s v="UGA"/>
    <n v="1"/>
    <s v="Home"/>
    <s v="ISHAKA"/>
    <s v="BUSHENYI"/>
    <s v="UGA"/>
    <n v="4"/>
    <s v="Commercial"/>
    <x v="0"/>
    <n v="10000"/>
    <n v="36"/>
    <x v="4"/>
    <n v="2"/>
    <x v="0"/>
    <n v="3"/>
    <s v="Artisan/Domestic"/>
    <n v="3"/>
    <x v="1"/>
    <n v="2"/>
    <n v="3"/>
    <n v="1"/>
    <n v="4"/>
    <n v="5"/>
    <s v="Y"/>
    <n v="5000"/>
    <x v="2"/>
  </r>
  <r>
    <d v="2019-10-19T00:00:00"/>
    <d v="1899-12-30T12:43:00"/>
    <m/>
    <s v="D"/>
    <n v="2"/>
    <s v="Road Vehicle"/>
    <n v="6"/>
    <x v="1"/>
    <x v="0"/>
    <n v="3"/>
    <x v="2"/>
    <s v="ISHAKA"/>
    <s v="BUSHENYI"/>
    <s v="UGA"/>
    <n v="4"/>
    <s v="Commercial"/>
    <s v="KAMPALA"/>
    <s v="KAMPALA"/>
    <s v="UGA"/>
    <n v="2"/>
    <s v="Work"/>
    <x v="24"/>
    <n v="940000"/>
    <n v="336"/>
    <x v="3"/>
    <n v="5"/>
    <x v="2"/>
    <n v="10"/>
    <s v="Other"/>
    <n v="2"/>
    <x v="3"/>
    <n v="4"/>
    <n v="1"/>
    <n v="2"/>
    <n v="3"/>
    <n v="5"/>
    <s v="Y"/>
    <n v="2000"/>
    <x v="1"/>
  </r>
  <r>
    <d v="2019-10-19T00:00:00"/>
    <m/>
    <m/>
    <s v="D"/>
    <n v="2"/>
    <s v="Road Vehicle"/>
    <n v="6"/>
    <x v="1"/>
    <x v="0"/>
    <n v="3"/>
    <x v="2"/>
    <s v="MBARARA"/>
    <s v="MBARARA"/>
    <s v="UGA"/>
    <n v="4"/>
    <s v="Commercial"/>
    <s v="KAMPALA"/>
    <s v="KAMPALA"/>
    <s v="UGA"/>
    <n v="2"/>
    <s v="Work"/>
    <x v="24"/>
    <n v="700000"/>
    <n v="250"/>
    <x v="3"/>
    <n v="4"/>
    <x v="2"/>
    <n v="10"/>
    <s v="Other"/>
    <n v="2"/>
    <x v="3"/>
    <n v="5"/>
    <n v="1"/>
    <n v="2"/>
    <n v="3"/>
    <n v="4"/>
    <s v="Y"/>
    <n v="200"/>
    <x v="3"/>
  </r>
  <r>
    <d v="2019-10-20T00:00:00"/>
    <d v="1899-12-30T16:59:00"/>
    <m/>
    <s v="D"/>
    <n v="2"/>
    <s v="Road Vehicle"/>
    <n v="6"/>
    <x v="1"/>
    <x v="0"/>
    <n v="3"/>
    <x v="2"/>
    <s v="KAMPALA"/>
    <s v="KAMPALA"/>
    <s v="UGA"/>
    <n v="2"/>
    <s v="Work"/>
    <s v="ISHAKA"/>
    <s v="BUSHENYI"/>
    <s v="UGA"/>
    <n v="4"/>
    <s v="Commercial"/>
    <x v="17"/>
    <n v="500000"/>
    <n v="340"/>
    <x v="3"/>
    <n v="6"/>
    <x v="2"/>
    <n v="10"/>
    <s v="Other"/>
    <n v="2"/>
    <x v="3"/>
    <n v="2"/>
    <n v="1"/>
    <n v="3"/>
    <n v="5"/>
    <n v="4"/>
    <s v="Y"/>
    <n v="1000"/>
    <x v="4"/>
  </r>
  <r>
    <d v="2019-10-20T00:00:00"/>
    <d v="1899-12-30T11:19:00"/>
    <m/>
    <s v="P"/>
    <n v="2"/>
    <s v="Road Vehicle"/>
    <n v="6"/>
    <x v="1"/>
    <x v="0"/>
    <n v="3"/>
    <x v="2"/>
    <s v="NTUNGAMO"/>
    <s v="NTUNGAMO"/>
    <s v="UGA"/>
    <n v="1"/>
    <s v="Home"/>
    <s v="KAMPALA"/>
    <s v="KAMPALA"/>
    <s v="UGA"/>
    <n v="2"/>
    <s v="Work"/>
    <x v="1"/>
    <n v="20000"/>
    <m/>
    <x v="0"/>
    <n v="6"/>
    <x v="2"/>
    <n v="6"/>
    <s v="Businessman"/>
    <n v="5"/>
    <x v="4"/>
    <n v="2"/>
    <n v="1"/>
    <n v="4"/>
    <n v="3"/>
    <n v="5"/>
    <s v="Y"/>
    <n v="2000"/>
    <x v="1"/>
  </r>
  <r>
    <d v="2019-10-20T00:00:00"/>
    <d v="1899-12-30T07:29:00"/>
    <m/>
    <s v="D"/>
    <n v="2"/>
    <s v="Road Vehicle"/>
    <n v="6"/>
    <x v="1"/>
    <x v="0"/>
    <n v="3"/>
    <x v="2"/>
    <s v="BUWERA"/>
    <s v="KASESE"/>
    <s v="UGA"/>
    <n v="2"/>
    <s v="Work"/>
    <s v="KAMPALA"/>
    <s v="KAMPALA"/>
    <s v="UGA"/>
    <n v="4"/>
    <s v="Commercial"/>
    <x v="17"/>
    <n v="700000"/>
    <n v="450"/>
    <x v="3"/>
    <n v="6"/>
    <x v="2"/>
    <n v="10"/>
    <s v="Other"/>
    <n v="2"/>
    <x v="3"/>
    <n v="3"/>
    <n v="1"/>
    <n v="2"/>
    <n v="5"/>
    <n v="4"/>
    <s v="Y"/>
    <m/>
    <x v="3"/>
  </r>
  <r>
    <d v="2019-10-20T00:00:00"/>
    <d v="1899-12-30T18:10:00"/>
    <m/>
    <s v="P"/>
    <n v="2"/>
    <s v="Road Vehicle"/>
    <n v="6"/>
    <x v="1"/>
    <x v="0"/>
    <n v="3"/>
    <x v="2"/>
    <s v="BWERA"/>
    <s v="KASESE"/>
    <s v="UGA"/>
    <n v="4"/>
    <s v="Commercial"/>
    <s v="MASAKA"/>
    <s v="MASAKA"/>
    <s v="UGA"/>
    <n v="4"/>
    <s v="Commercial"/>
    <x v="18"/>
    <n v="25000"/>
    <n v="332"/>
    <x v="3"/>
    <m/>
    <x v="3"/>
    <n v="6"/>
    <s v="Businessman"/>
    <n v="2"/>
    <x v="3"/>
    <n v="1"/>
    <n v="3"/>
    <n v="4"/>
    <n v="2"/>
    <n v="5"/>
    <s v="Y"/>
    <n v="2000"/>
    <x v="1"/>
  </r>
  <r>
    <d v="2019-10-19T00:00:00"/>
    <m/>
    <m/>
    <s v="D"/>
    <n v="2"/>
    <s v="Road Vehicle"/>
    <n v="7"/>
    <x v="7"/>
    <x v="0"/>
    <n v="3"/>
    <x v="2"/>
    <s v="ISHAKA"/>
    <s v="BUSHENYI"/>
    <s v="UGA"/>
    <n v="2"/>
    <s v="Work"/>
    <s v="KAGAMBA"/>
    <s v="NTUNGAMO"/>
    <s v="UGA"/>
    <n v="4"/>
    <s v="Commercial"/>
    <x v="17"/>
    <n v="20000"/>
    <m/>
    <x v="0"/>
    <n v="0.3"/>
    <x v="3"/>
    <n v="10"/>
    <s v="Other"/>
    <n v="1"/>
    <x v="2"/>
    <n v="1"/>
    <n v="4"/>
    <n v="3"/>
    <n v="2"/>
    <n v="5"/>
    <s v="Y"/>
    <n v="1000"/>
    <x v="4"/>
  </r>
  <r>
    <d v="2019-10-19T00:00:00"/>
    <d v="1899-12-30T12:04:00"/>
    <m/>
    <s v="D"/>
    <n v="2"/>
    <s v="Road Vehicle"/>
    <n v="7"/>
    <x v="7"/>
    <x v="0"/>
    <n v="3"/>
    <x v="2"/>
    <s v="ISHAKA"/>
    <s v="BUSHENYI"/>
    <s v="UGA"/>
    <n v="2"/>
    <s v="Work"/>
    <s v="KABAALE"/>
    <s v="KABAALE"/>
    <s v="UGA"/>
    <n v="4"/>
    <s v="Commercial"/>
    <x v="17"/>
    <n v="150000"/>
    <m/>
    <x v="0"/>
    <n v="3"/>
    <x v="0"/>
    <n v="10"/>
    <s v="Other"/>
    <n v="3"/>
    <x v="1"/>
    <n v="3"/>
    <n v="2"/>
    <n v="1"/>
    <n v="5"/>
    <n v="4"/>
    <s v="Y"/>
    <n v="5000"/>
    <x v="2"/>
  </r>
  <r>
    <d v="2019-10-20T00:00:00"/>
    <d v="1899-12-30T11:09:00"/>
    <m/>
    <s v="P"/>
    <n v="2"/>
    <s v="Road Vehicle"/>
    <n v="4"/>
    <x v="3"/>
    <x v="1"/>
    <n v="3"/>
    <x v="2"/>
    <s v="MAKENGE"/>
    <s v="MBARARA"/>
    <s v="UGA"/>
    <n v="1"/>
    <s v="Home"/>
    <s v="NAKIBAALE"/>
    <s v="RUKUNGIRI"/>
    <s v="UGA"/>
    <n v="6"/>
    <s v="Leisure/Social"/>
    <x v="8"/>
    <n v="17000"/>
    <m/>
    <x v="0"/>
    <n v="3"/>
    <x v="0"/>
    <n v="6"/>
    <s v="Businessman"/>
    <n v="2"/>
    <x v="3"/>
    <n v="2"/>
    <n v="3"/>
    <n v="4"/>
    <n v="1"/>
    <n v="5"/>
    <s v="Y"/>
    <n v="1000"/>
    <x v="4"/>
  </r>
  <r>
    <d v="2019-10-20T00:00:00"/>
    <d v="1899-12-30T16:25:00"/>
    <m/>
    <s v="P"/>
    <n v="2"/>
    <s v="Road Vehicle"/>
    <n v="4"/>
    <x v="3"/>
    <x v="1"/>
    <n v="3"/>
    <x v="2"/>
    <s v="NYABUBARE"/>
    <s v="MITOMA"/>
    <s v="UGA"/>
    <n v="4"/>
    <s v="Commercial"/>
    <s v="ISHAKA"/>
    <s v="BUSHENYI"/>
    <s v="UGA"/>
    <n v="4"/>
    <s v="Commercial"/>
    <x v="18"/>
    <n v="1000"/>
    <n v="10"/>
    <x v="6"/>
    <n v="0.3"/>
    <x v="3"/>
    <n v="6"/>
    <s v="Businessman"/>
    <n v="1"/>
    <x v="2"/>
    <n v="2"/>
    <n v="3"/>
    <n v="1"/>
    <n v="4"/>
    <n v="5"/>
    <s v="Y"/>
    <n v="1000"/>
    <x v="4"/>
  </r>
  <r>
    <d v="2019-10-18T00:00:00"/>
    <d v="1899-12-30T17:00:00"/>
    <m/>
    <s v="D"/>
    <n v="2"/>
    <s v="Road Vehicle"/>
    <n v="4"/>
    <x v="3"/>
    <x v="0"/>
    <n v="3"/>
    <x v="2"/>
    <s v="ISHAKA"/>
    <s v="BUSHENYI"/>
    <s v="UGA"/>
    <n v="8"/>
    <s v="Others"/>
    <s v="TOWN"/>
    <s v="MBARARA"/>
    <s v="UGA"/>
    <n v="2"/>
    <s v="Work"/>
    <x v="14"/>
    <n v="5000"/>
    <n v="48"/>
    <x v="5"/>
    <n v="0.8"/>
    <x v="4"/>
    <n v="10"/>
    <s v="Other"/>
    <n v="2"/>
    <x v="3"/>
    <n v="4"/>
    <n v="2"/>
    <n v="3"/>
    <n v="1"/>
    <n v="5"/>
    <s v="Y"/>
    <n v="2000"/>
    <x v="1"/>
  </r>
  <r>
    <d v="2019-10-19T00:00:00"/>
    <d v="1899-12-30T07:35:00"/>
    <m/>
    <s v="D"/>
    <n v="2"/>
    <s v="Road Vehicle"/>
    <n v="4"/>
    <x v="3"/>
    <x v="0"/>
    <n v="3"/>
    <x v="2"/>
    <s v="ISHAKA"/>
    <s v="BUSHENYI"/>
    <s v="UGA"/>
    <n v="4"/>
    <s v="Commercial"/>
    <s v="KAMPALA"/>
    <s v="KAMPALA"/>
    <s v="UGA"/>
    <n v="4"/>
    <s v="Commercial"/>
    <x v="18"/>
    <n v="250000"/>
    <n v="156"/>
    <x v="2"/>
    <n v="4.5"/>
    <x v="2"/>
    <n v="10"/>
    <s v="Other"/>
    <n v="2"/>
    <x v="3"/>
    <n v="1"/>
    <n v="2"/>
    <n v="3"/>
    <n v="4"/>
    <n v="5"/>
    <s v="Y"/>
    <m/>
    <x v="3"/>
  </r>
  <r>
    <d v="2019-10-20T00:00:00"/>
    <d v="1899-12-30T10:24:00"/>
    <m/>
    <s v="P"/>
    <n v="2"/>
    <s v="Road Vehicle"/>
    <n v="4"/>
    <x v="3"/>
    <x v="0"/>
    <n v="3"/>
    <x v="2"/>
    <s v="SHUKU"/>
    <s v="SHEEMA"/>
    <s v="UGA"/>
    <n v="1"/>
    <s v="Home"/>
    <s v="MITOMA"/>
    <s v="MITOMA"/>
    <s v="UGA"/>
    <n v="2"/>
    <s v="Work"/>
    <x v="1"/>
    <n v="5000"/>
    <m/>
    <x v="0"/>
    <n v="1"/>
    <x v="1"/>
    <n v="10"/>
    <s v="Other"/>
    <n v="2"/>
    <x v="3"/>
    <n v="5"/>
    <n v="3"/>
    <n v="4"/>
    <n v="2"/>
    <n v="1"/>
    <s v="N"/>
    <m/>
    <x v="3"/>
  </r>
  <r>
    <d v="2019-10-20T00:00:00"/>
    <d v="1899-12-30T10:54:00"/>
    <m/>
    <s v="D"/>
    <n v="2"/>
    <s v="Road Vehicle"/>
    <n v="4"/>
    <x v="3"/>
    <x v="0"/>
    <n v="3"/>
    <x v="2"/>
    <s v="RWIMI"/>
    <s v="RUBIRIZI"/>
    <s v="UGA"/>
    <n v="2"/>
    <s v="Work"/>
    <s v="MBARARA"/>
    <s v="MBARARA"/>
    <s v="UGA"/>
    <n v="4"/>
    <s v="Commercial"/>
    <x v="17"/>
    <n v="200000"/>
    <n v="116"/>
    <x v="2"/>
    <n v="3"/>
    <x v="0"/>
    <n v="10"/>
    <s v="Other"/>
    <n v="1"/>
    <x v="2"/>
    <n v="4"/>
    <n v="1"/>
    <n v="3"/>
    <n v="2"/>
    <n v="5"/>
    <s v="Y"/>
    <n v="1000"/>
    <x v="4"/>
  </r>
  <r>
    <d v="2019-10-20T00:00:00"/>
    <d v="1899-12-30T09:51:00"/>
    <m/>
    <s v="D"/>
    <n v="2"/>
    <s v="Road Vehicle"/>
    <n v="4"/>
    <x v="3"/>
    <x v="0"/>
    <n v="3"/>
    <x v="2"/>
    <s v="ISHAKA"/>
    <s v="BUSHENYI"/>
    <s v="UGA"/>
    <n v="2"/>
    <s v="Work"/>
    <s v="RUBIRIZI"/>
    <s v="RUBIRIZI"/>
    <s v="UGA"/>
    <n v="2"/>
    <s v="Work"/>
    <x v="2"/>
    <n v="50000"/>
    <n v="35"/>
    <x v="4"/>
    <n v="1"/>
    <x v="1"/>
    <n v="10"/>
    <s v="Other"/>
    <n v="1"/>
    <x v="2"/>
    <n v="2"/>
    <n v="1"/>
    <n v="3"/>
    <n v="4"/>
    <n v="5"/>
    <s v="Y"/>
    <n v="100"/>
    <x v="3"/>
  </r>
  <r>
    <d v="2019-10-20T00:00:00"/>
    <d v="1899-12-30T07:51:00"/>
    <m/>
    <s v="D"/>
    <n v="2"/>
    <s v="Road Vehicle"/>
    <n v="4"/>
    <x v="3"/>
    <x v="0"/>
    <n v="3"/>
    <x v="2"/>
    <s v="ISHAKA"/>
    <s v="BUSHENYI"/>
    <s v="UGA"/>
    <n v="2"/>
    <s v="Work"/>
    <s v="TOWN CENTER"/>
    <s v="MBARARA"/>
    <s v="UGA"/>
    <n v="2"/>
    <s v="Work"/>
    <x v="2"/>
    <n v="60000"/>
    <n v="90"/>
    <x v="1"/>
    <n v="1"/>
    <x v="1"/>
    <n v="10"/>
    <s v="Other"/>
    <n v="1"/>
    <x v="2"/>
    <n v="4"/>
    <n v="1"/>
    <n v="3"/>
    <n v="5"/>
    <n v="2"/>
    <s v="Y"/>
    <n v="200"/>
    <x v="3"/>
  </r>
  <r>
    <d v="2019-10-19T00:00:00"/>
    <d v="1899-12-30T14:03:00"/>
    <m/>
    <s v="P"/>
    <n v="2"/>
    <s v="Road Vehicle"/>
    <n v="3"/>
    <x v="9"/>
    <x v="1"/>
    <n v="3"/>
    <x v="2"/>
    <s v="NYAKABIRIZI"/>
    <s v="MBARARA"/>
    <s v="UGA"/>
    <n v="2"/>
    <s v="Work"/>
    <s v="ISHAKA"/>
    <s v="BUSHENYI"/>
    <s v="UGA"/>
    <n v="6"/>
    <s v="Leisure/Social"/>
    <x v="5"/>
    <n v="7000"/>
    <m/>
    <x v="0"/>
    <n v="2"/>
    <x v="0"/>
    <n v="6"/>
    <s v="Businessman"/>
    <n v="2"/>
    <x v="3"/>
    <n v="1"/>
    <n v="2"/>
    <n v="4"/>
    <n v="3"/>
    <n v="5"/>
    <s v="N"/>
    <m/>
    <x v="3"/>
  </r>
  <r>
    <d v="2019-10-19T00:00:00"/>
    <d v="1899-12-30T10:00:00"/>
    <m/>
    <s v="D"/>
    <n v="2"/>
    <s v="Road Vehicle"/>
    <n v="2"/>
    <x v="6"/>
    <x v="1"/>
    <n v="3"/>
    <x v="2"/>
    <s v="KATOMA"/>
    <s v="BUSHENYI"/>
    <s v="UGA"/>
    <n v="4"/>
    <s v="Commercial"/>
    <s v="KASESE"/>
    <s v="KASESE"/>
    <s v="UGA"/>
    <n v="4"/>
    <s v="Commercial"/>
    <x v="18"/>
    <n v="60000"/>
    <n v="95"/>
    <x v="1"/>
    <n v="1.5"/>
    <x v="1"/>
    <n v="4"/>
    <s v="Office Worker"/>
    <n v="2"/>
    <x v="3"/>
    <m/>
    <m/>
    <m/>
    <m/>
    <m/>
    <s v="Y"/>
    <m/>
    <x v="3"/>
  </r>
  <r>
    <d v="2019-10-20T00:00:00"/>
    <d v="1899-12-30T15:10:00"/>
    <m/>
    <s v="P"/>
    <n v="2"/>
    <s v="Road Vehicle"/>
    <n v="2"/>
    <x v="6"/>
    <x v="1"/>
    <n v="3"/>
    <x v="2"/>
    <s v="KASESE"/>
    <s v="KASESE"/>
    <s v="UGA"/>
    <n v="1"/>
    <s v="Home"/>
    <s v="SHEEMA"/>
    <s v="SHEEMA"/>
    <s v="UGA"/>
    <n v="6"/>
    <s v="Leisure/Social"/>
    <x v="8"/>
    <n v="10000"/>
    <m/>
    <x v="0"/>
    <n v="1.5"/>
    <x v="1"/>
    <n v="6"/>
    <s v="Businessman"/>
    <n v="1"/>
    <x v="2"/>
    <n v="2"/>
    <n v="1"/>
    <n v="3"/>
    <n v="4"/>
    <n v="5"/>
    <s v="Y"/>
    <m/>
    <x v="3"/>
  </r>
  <r>
    <d v="2019-10-20T00:00:00"/>
    <d v="1899-12-30T09:42:00"/>
    <m/>
    <s v="D"/>
    <n v="2"/>
    <s v="Road Vehicle"/>
    <n v="2"/>
    <x v="6"/>
    <x v="1"/>
    <n v="3"/>
    <x v="2"/>
    <s v="KIZINDA"/>
    <s v="BUSHENYI"/>
    <s v="UGA"/>
    <n v="1"/>
    <s v="Home"/>
    <s v="CHRIST THE KING"/>
    <s v="SHEEMA"/>
    <s v="UGA"/>
    <n v="8"/>
    <s v="Others"/>
    <x v="13"/>
    <n v="30000"/>
    <n v="10"/>
    <x v="6"/>
    <n v="0.7"/>
    <x v="4"/>
    <n v="6"/>
    <s v="Businessman"/>
    <n v="2"/>
    <x v="3"/>
    <n v="2"/>
    <n v="4"/>
    <n v="5"/>
    <n v="3"/>
    <n v="1"/>
    <s v="Y"/>
    <m/>
    <x v="3"/>
  </r>
  <r>
    <d v="2019-10-20T00:00:00"/>
    <d v="1899-12-30T09:48:00"/>
    <m/>
    <s v="D"/>
    <n v="2"/>
    <s v="Road Vehicle"/>
    <n v="2"/>
    <x v="6"/>
    <x v="1"/>
    <n v="3"/>
    <x v="2"/>
    <s v="RUHINDO"/>
    <s v="BUSHENYI"/>
    <s v="UGA"/>
    <n v="1"/>
    <s v="Home"/>
    <s v="CHRIST THE KING"/>
    <s v="SHEEMA"/>
    <s v="UGA"/>
    <n v="8"/>
    <s v="Others"/>
    <x v="13"/>
    <n v="19000"/>
    <n v="10"/>
    <x v="6"/>
    <n v="0.8"/>
    <x v="4"/>
    <n v="6"/>
    <s v="Businessman"/>
    <n v="4"/>
    <x v="0"/>
    <n v="2"/>
    <n v="1"/>
    <n v="5"/>
    <n v="3"/>
    <n v="4"/>
    <s v="Y"/>
    <m/>
    <x v="3"/>
  </r>
  <r>
    <d v="2019-10-19T00:00:00"/>
    <d v="1899-12-30T07:12:00"/>
    <m/>
    <s v="P"/>
    <n v="2"/>
    <s v="Road Vehicle"/>
    <n v="2"/>
    <x v="6"/>
    <x v="0"/>
    <n v="3"/>
    <x v="2"/>
    <s v="KASESE"/>
    <s v="KASESE"/>
    <s v="UGA"/>
    <n v="4"/>
    <s v="Commercial"/>
    <s v="ISHAKA"/>
    <s v="BUSHENYI"/>
    <s v="UGA"/>
    <n v="4"/>
    <s v="Commercial"/>
    <x v="18"/>
    <n v="8000"/>
    <n v="60"/>
    <x v="5"/>
    <n v="1"/>
    <x v="1"/>
    <n v="2"/>
    <s v="Manual Labour"/>
    <n v="1"/>
    <x v="2"/>
    <n v="4"/>
    <n v="1"/>
    <n v="3"/>
    <n v="2"/>
    <n v="5"/>
    <s v="Y"/>
    <n v="5000"/>
    <x v="2"/>
  </r>
  <r>
    <d v="2019-10-19T00:00:00"/>
    <d v="1899-12-30T12:10:00"/>
    <m/>
    <s v="D"/>
    <n v="2"/>
    <s v="Road Vehicle"/>
    <n v="2"/>
    <x v="6"/>
    <x v="0"/>
    <n v="3"/>
    <x v="2"/>
    <s v="ISHAKA"/>
    <s v="BUSHENYI"/>
    <s v="UGA"/>
    <n v="4"/>
    <s v="Commercial"/>
    <s v="KABALE"/>
    <s v="KABALE"/>
    <s v="UGA"/>
    <n v="4"/>
    <s v="Commercial"/>
    <x v="18"/>
    <n v="1200000"/>
    <n v="170"/>
    <x v="2"/>
    <n v="3"/>
    <x v="0"/>
    <n v="6"/>
    <s v="Businessman"/>
    <n v="4"/>
    <x v="0"/>
    <n v="5"/>
    <n v="2"/>
    <n v="3"/>
    <n v="1"/>
    <n v="4"/>
    <s v="Y"/>
    <n v="1000"/>
    <x v="4"/>
  </r>
  <r>
    <d v="2019-10-19T00:00:00"/>
    <m/>
    <m/>
    <s v="D"/>
    <n v="2"/>
    <s v="Road Vehicle"/>
    <n v="2"/>
    <x v="6"/>
    <x v="0"/>
    <n v="3"/>
    <x v="2"/>
    <s v="KIZINDA"/>
    <s v="BUSHENYI"/>
    <s v="UGA"/>
    <n v="2"/>
    <s v="Work"/>
    <s v="KAGAMBA"/>
    <s v="NTUNGAMO"/>
    <s v="UGA"/>
    <n v="1"/>
    <s v="Home"/>
    <x v="4"/>
    <n v="10000"/>
    <n v="15"/>
    <x v="6"/>
    <n v="1.5"/>
    <x v="1"/>
    <n v="10"/>
    <s v="Other"/>
    <n v="2"/>
    <x v="3"/>
    <n v="5"/>
    <n v="1"/>
    <n v="3"/>
    <n v="5"/>
    <n v="4"/>
    <s v="Y"/>
    <n v="500"/>
    <x v="3"/>
  </r>
  <r>
    <d v="2019-10-19T00:00:00"/>
    <m/>
    <m/>
    <s v="D"/>
    <n v="2"/>
    <s v="Road Vehicle"/>
    <n v="2"/>
    <x v="6"/>
    <x v="0"/>
    <n v="3"/>
    <x v="2"/>
    <s v="ISHAKA"/>
    <s v="BUSHENYI"/>
    <s v="UGA"/>
    <n v="4"/>
    <s v="Commercial"/>
    <s v="KATUGULU"/>
    <s v="KASESE"/>
    <s v="UGA"/>
    <n v="2"/>
    <s v="Work"/>
    <x v="24"/>
    <n v="60000"/>
    <m/>
    <x v="0"/>
    <n v="1.5"/>
    <x v="1"/>
    <n v="10"/>
    <s v="Other"/>
    <n v="3"/>
    <x v="1"/>
    <n v="2"/>
    <n v="1"/>
    <n v="3"/>
    <n v="4"/>
    <n v="5"/>
    <s v="Y"/>
    <n v="500"/>
    <x v="3"/>
  </r>
  <r>
    <d v="2019-10-19T00:00:00"/>
    <d v="1899-12-30T10:34:00"/>
    <m/>
    <s v="D"/>
    <n v="2"/>
    <s v="Road Vehicle"/>
    <n v="2"/>
    <x v="6"/>
    <x v="0"/>
    <n v="3"/>
    <x v="2"/>
    <s v="NTUNGAMO"/>
    <s v="NTUNGAMO"/>
    <s v="UGA"/>
    <n v="2"/>
    <s v="Work"/>
    <s v="ISHAKA"/>
    <s v="BUSHENYI"/>
    <s v="UGA"/>
    <n v="4"/>
    <s v="Commercial"/>
    <x v="17"/>
    <n v="5000"/>
    <n v="60"/>
    <x v="5"/>
    <n v="1"/>
    <x v="1"/>
    <n v="4"/>
    <s v="Office Worker"/>
    <n v="4"/>
    <x v="0"/>
    <n v="5"/>
    <n v="1"/>
    <n v="2"/>
    <n v="3"/>
    <n v="4"/>
    <s v="Y"/>
    <n v="1000"/>
    <x v="4"/>
  </r>
  <r>
    <d v="2019-10-20T00:00:00"/>
    <d v="1899-12-30T09:42:00"/>
    <m/>
    <s v="P"/>
    <n v="2"/>
    <s v="Road Vehicle"/>
    <n v="2"/>
    <x v="6"/>
    <x v="0"/>
    <n v="3"/>
    <x v="2"/>
    <m/>
    <m/>
    <s v="UGA"/>
    <n v="1"/>
    <s v="Home"/>
    <s v="RUBIRIZI"/>
    <s v="RUBIRIZI"/>
    <s v="UGA"/>
    <n v="2"/>
    <s v="Work"/>
    <x v="1"/>
    <n v="50000"/>
    <n v="35"/>
    <x v="4"/>
    <n v="0.8"/>
    <x v="4"/>
    <n v="6"/>
    <s v="Businessman"/>
    <n v="1"/>
    <x v="2"/>
    <n v="5"/>
    <n v="1"/>
    <n v="2"/>
    <n v="3"/>
    <n v="4"/>
    <s v="Y"/>
    <n v="500"/>
    <x v="3"/>
  </r>
  <r>
    <d v="2019-10-20T00:00:00"/>
    <d v="1899-12-30T10:30:00"/>
    <m/>
    <s v="P"/>
    <n v="2"/>
    <s v="Road Vehicle"/>
    <n v="1"/>
    <x v="0"/>
    <x v="1"/>
    <n v="4"/>
    <x v="3"/>
    <s v="KIGOMA"/>
    <s v="BUSHENYI"/>
    <s v="UGA"/>
    <n v="1"/>
    <s v="Home"/>
    <s v="KASOZI"/>
    <s v="BUSHENYI"/>
    <s v="UGA"/>
    <n v="4"/>
    <s v="Commercial"/>
    <x v="0"/>
    <n v="3000"/>
    <m/>
    <x v="0"/>
    <n v="0.7"/>
    <x v="4"/>
    <n v="7"/>
    <s v="Farmer"/>
    <n v="1"/>
    <x v="2"/>
    <n v="1"/>
    <n v="2"/>
    <n v="5"/>
    <n v="3"/>
    <n v="4"/>
    <s v="Y"/>
    <m/>
    <x v="3"/>
  </r>
  <r>
    <d v="2019-10-20T00:00:00"/>
    <m/>
    <m/>
    <s v="P"/>
    <n v="2"/>
    <s v="Road Vehicle"/>
    <n v="1"/>
    <x v="0"/>
    <x v="0"/>
    <n v="4"/>
    <x v="3"/>
    <s v="HIMA"/>
    <s v="KASESE"/>
    <s v="UGA"/>
    <n v="1"/>
    <s v="Home"/>
    <s v="ISHAKA"/>
    <s v="BUSHENYI"/>
    <s v="UGA"/>
    <n v="2"/>
    <s v="Work"/>
    <x v="1"/>
    <n v="13000"/>
    <m/>
    <x v="0"/>
    <n v="1.5"/>
    <x v="1"/>
    <n v="6"/>
    <s v="Businessman"/>
    <n v="2"/>
    <x v="3"/>
    <m/>
    <m/>
    <m/>
    <m/>
    <m/>
    <s v="Y"/>
    <n v="500"/>
    <x v="3"/>
  </r>
  <r>
    <d v="2019-10-20T00:00:00"/>
    <d v="1899-12-30T16:01:00"/>
    <m/>
    <s v="D"/>
    <n v="2"/>
    <s v="Road Vehicle"/>
    <n v="1"/>
    <x v="0"/>
    <x v="0"/>
    <n v="4"/>
    <x v="3"/>
    <s v="ISHAKA"/>
    <s v="BUSHENYI"/>
    <s v="UGA"/>
    <n v="2"/>
    <s v="Work"/>
    <s v="TOWN"/>
    <s v="MBARARA"/>
    <s v="UGA"/>
    <n v="2"/>
    <s v="Work"/>
    <x v="2"/>
    <n v="50000"/>
    <m/>
    <x v="0"/>
    <n v="1.5"/>
    <x v="1"/>
    <n v="10"/>
    <s v="Other"/>
    <n v="2"/>
    <x v="3"/>
    <n v="5"/>
    <n v="3"/>
    <n v="4"/>
    <n v="1"/>
    <n v="2"/>
    <s v="Y"/>
    <n v="1000"/>
    <x v="4"/>
  </r>
  <r>
    <d v="2019-10-19T00:00:00"/>
    <m/>
    <m/>
    <s v="P"/>
    <n v="2"/>
    <s v="Road Vehicle"/>
    <n v="6"/>
    <x v="1"/>
    <x v="0"/>
    <n v="4"/>
    <x v="3"/>
    <s v="ISHAKA"/>
    <s v="BUSHENYI"/>
    <s v="UGA"/>
    <n v="6"/>
    <s v="Leisure/Social"/>
    <s v="NTINDA"/>
    <s v="KAMPALA"/>
    <s v="UGA"/>
    <n v="1"/>
    <s v="Home"/>
    <x v="10"/>
    <n v="20000"/>
    <m/>
    <x v="0"/>
    <n v="5"/>
    <x v="2"/>
    <n v="6"/>
    <s v="Businessman"/>
    <n v="5"/>
    <x v="4"/>
    <n v="4"/>
    <n v="1"/>
    <n v="2"/>
    <n v="3"/>
    <n v="5"/>
    <s v="Y"/>
    <m/>
    <x v="3"/>
  </r>
  <r>
    <d v="2019-10-20T00:00:00"/>
    <d v="1899-12-30T09:00:00"/>
    <m/>
    <s v="D"/>
    <n v="2"/>
    <s v="Road Vehicle"/>
    <n v="6"/>
    <x v="1"/>
    <x v="0"/>
    <n v="4"/>
    <x v="3"/>
    <s v="ISHAKA"/>
    <s v="BUSHENYI"/>
    <s v="UGA"/>
    <n v="2"/>
    <s v="Work"/>
    <s v="TOWN CENTER"/>
    <s v="KAMPALA"/>
    <s v="UGA"/>
    <n v="2"/>
    <s v="Work"/>
    <x v="2"/>
    <n v="250000"/>
    <n v="300"/>
    <x v="3"/>
    <n v="5"/>
    <x v="2"/>
    <n v="10"/>
    <s v="Other"/>
    <n v="2"/>
    <x v="3"/>
    <n v="2"/>
    <n v="1"/>
    <n v="4"/>
    <n v="3"/>
    <n v="5"/>
    <s v="Y"/>
    <n v="1000"/>
    <x v="4"/>
  </r>
  <r>
    <d v="2019-10-20T00:00:00"/>
    <d v="1899-12-30T16:03:00"/>
    <m/>
    <s v="P"/>
    <n v="2"/>
    <s v="Road Vehicle"/>
    <n v="4"/>
    <x v="3"/>
    <x v="1"/>
    <n v="4"/>
    <x v="3"/>
    <s v="MBARARA"/>
    <s v="MBARARA"/>
    <s v="UGA"/>
    <n v="2"/>
    <s v="Work"/>
    <s v="ISHAKA"/>
    <s v="BUSHENYI"/>
    <s v="UGA"/>
    <n v="1"/>
    <s v="Home"/>
    <x v="4"/>
    <n v="9000"/>
    <m/>
    <x v="0"/>
    <n v="1.5"/>
    <x v="1"/>
    <n v="9"/>
    <s v="Retired"/>
    <n v="3"/>
    <x v="1"/>
    <n v="3"/>
    <n v="1"/>
    <n v="2"/>
    <n v="4"/>
    <n v="5"/>
    <s v="Y"/>
    <n v="5000"/>
    <x v="2"/>
  </r>
  <r>
    <d v="2019-10-20T00:00:00"/>
    <d v="1899-12-30T16:15:00"/>
    <m/>
    <s v="P"/>
    <n v="2"/>
    <s v="Road Vehicle"/>
    <n v="4"/>
    <x v="3"/>
    <x v="1"/>
    <n v="4"/>
    <x v="3"/>
    <s v="NYARUGOTI"/>
    <s v="BUSHENYI"/>
    <s v="UGA"/>
    <n v="4"/>
    <s v="Commercial"/>
    <s v="KABAROLE"/>
    <s v="KABAROLE"/>
    <s v="UGA"/>
    <n v="4"/>
    <s v="Commercial"/>
    <x v="18"/>
    <n v="25000"/>
    <n v="136"/>
    <x v="2"/>
    <n v="1.5"/>
    <x v="1"/>
    <n v="7"/>
    <s v="Farmer"/>
    <n v="1"/>
    <x v="2"/>
    <n v="1"/>
    <n v="5"/>
    <n v="3"/>
    <n v="2"/>
    <n v="4"/>
    <s v="Y"/>
    <n v="1000"/>
    <x v="4"/>
  </r>
  <r>
    <d v="2019-10-18T00:00:00"/>
    <m/>
    <m/>
    <s v="D"/>
    <n v="2"/>
    <s v="Road Vehicle"/>
    <n v="4"/>
    <x v="3"/>
    <x v="0"/>
    <n v="4"/>
    <x v="3"/>
    <s v="ISHAKA"/>
    <s v="BUSHENYI"/>
    <s v="UGA"/>
    <n v="2"/>
    <s v="Work"/>
    <s v="TOWN"/>
    <s v="FORTPOTAL"/>
    <s v="UGA"/>
    <n v="2"/>
    <s v="Work"/>
    <x v="2"/>
    <n v="400000"/>
    <m/>
    <x v="0"/>
    <m/>
    <x v="3"/>
    <n v="10"/>
    <s v="Other"/>
    <n v="1"/>
    <x v="2"/>
    <n v="4"/>
    <n v="2"/>
    <n v="1"/>
    <n v="3"/>
    <n v="5"/>
    <s v="Y"/>
    <n v="1000"/>
    <x v="4"/>
  </r>
  <r>
    <d v="2019-10-18T00:00:00"/>
    <m/>
    <m/>
    <s v="P"/>
    <n v="2"/>
    <s v="Road Vehicle"/>
    <n v="4"/>
    <x v="3"/>
    <x v="0"/>
    <n v="4"/>
    <x v="3"/>
    <s v="KAGAMBA"/>
    <s v="BUSHENYI"/>
    <s v="UGA"/>
    <n v="2"/>
    <s v="Work"/>
    <s v="BASAJABALABA"/>
    <s v="BUSHENYI"/>
    <s v="UGA"/>
    <n v="1"/>
    <s v="Home"/>
    <x v="4"/>
    <n v="5000"/>
    <m/>
    <x v="0"/>
    <n v="0.7"/>
    <x v="4"/>
    <n v="4"/>
    <s v="Office Worker"/>
    <n v="2"/>
    <x v="3"/>
    <n v="2"/>
    <n v="4"/>
    <n v="1"/>
    <n v="3"/>
    <n v="5"/>
    <s v="Y"/>
    <n v="200"/>
    <x v="3"/>
  </r>
  <r>
    <d v="2019-10-18T00:00:00"/>
    <m/>
    <m/>
    <s v="P"/>
    <n v="2"/>
    <s v="Road Vehicle"/>
    <n v="4"/>
    <x v="3"/>
    <x v="0"/>
    <n v="4"/>
    <x v="3"/>
    <s v="NYIBINGO"/>
    <s v="BUSHENYI"/>
    <s v="UGA"/>
    <n v="6"/>
    <s v="Leisure/Social"/>
    <s v="QUEEN ELIZABETH"/>
    <s v="KASESE"/>
    <s v="UGA"/>
    <n v="1"/>
    <s v="Home"/>
    <x v="10"/>
    <n v="10000"/>
    <m/>
    <x v="0"/>
    <n v="2"/>
    <x v="0"/>
    <n v="6"/>
    <s v="Businessman"/>
    <n v="2"/>
    <x v="3"/>
    <n v="2"/>
    <n v="3"/>
    <n v="1"/>
    <n v="4"/>
    <n v="5"/>
    <s v="Y"/>
    <n v="1000"/>
    <x v="4"/>
  </r>
  <r>
    <d v="2019-10-19T00:00:00"/>
    <m/>
    <m/>
    <s v="D"/>
    <n v="2"/>
    <s v="Road Vehicle"/>
    <n v="4"/>
    <x v="3"/>
    <x v="0"/>
    <n v="4"/>
    <x v="3"/>
    <s v="ISHAKA"/>
    <s v="BUSHENYI"/>
    <s v="UGA"/>
    <n v="2"/>
    <s v="Work"/>
    <s v="ISHAKA"/>
    <s v="BUSHENYI"/>
    <s v="UGA"/>
    <n v="4"/>
    <s v="Commercial"/>
    <x v="17"/>
    <n v="100000"/>
    <n v="85"/>
    <x v="1"/>
    <n v="4"/>
    <x v="2"/>
    <n v="10"/>
    <s v="Other"/>
    <n v="3"/>
    <x v="1"/>
    <n v="1"/>
    <n v="2"/>
    <n v="5"/>
    <n v="3"/>
    <n v="4"/>
    <s v="Y"/>
    <n v="1000"/>
    <x v="4"/>
  </r>
  <r>
    <d v="2019-10-19T00:00:00"/>
    <d v="1899-12-30T12:53:00"/>
    <m/>
    <s v="D"/>
    <n v="2"/>
    <s v="Road Vehicle"/>
    <n v="4"/>
    <x v="3"/>
    <x v="0"/>
    <n v="4"/>
    <x v="3"/>
    <s v="ISHAKA"/>
    <s v="BUSHENYI"/>
    <s v="UGA"/>
    <n v="2"/>
    <s v="Work"/>
    <s v="FORTPORTAL"/>
    <s v="FORTPOTAL"/>
    <s v="UGA"/>
    <n v="4"/>
    <s v="Commercial"/>
    <x v="17"/>
    <n v="150000"/>
    <n v="116"/>
    <x v="2"/>
    <n v="6"/>
    <x v="2"/>
    <n v="10"/>
    <s v="Other"/>
    <n v="3"/>
    <x v="1"/>
    <n v="3"/>
    <n v="1"/>
    <n v="2"/>
    <n v="4"/>
    <n v="5"/>
    <s v="Y"/>
    <n v="1000"/>
    <x v="4"/>
  </r>
  <r>
    <d v="2019-10-19T00:00:00"/>
    <d v="1899-12-30T10:10:00"/>
    <m/>
    <s v="D"/>
    <n v="2"/>
    <s v="Road Vehicle"/>
    <n v="4"/>
    <x v="3"/>
    <x v="0"/>
    <n v="4"/>
    <x v="3"/>
    <s v="BUSHENYI"/>
    <s v="BUSHENYI"/>
    <s v="UGA"/>
    <n v="2"/>
    <s v="Work"/>
    <s v="BUHWEJU"/>
    <s v="BUSHENYI"/>
    <s v="UGA"/>
    <n v="4"/>
    <s v="Commercial"/>
    <x v="17"/>
    <n v="70000"/>
    <n v="85"/>
    <x v="1"/>
    <n v="2"/>
    <x v="0"/>
    <n v="10"/>
    <s v="Other"/>
    <n v="2"/>
    <x v="3"/>
    <n v="2"/>
    <n v="1"/>
    <n v="3"/>
    <n v="4"/>
    <n v="5"/>
    <s v="Y"/>
    <n v="200"/>
    <x v="3"/>
  </r>
  <r>
    <d v="2019-10-19T00:00:00"/>
    <d v="1899-12-30T12:09:00"/>
    <m/>
    <s v="D"/>
    <n v="2"/>
    <s v="Road Vehicle"/>
    <n v="4"/>
    <x v="3"/>
    <x v="0"/>
    <n v="4"/>
    <x v="3"/>
    <s v="ISHAKA"/>
    <s v="BUSHENYI"/>
    <s v="UGA"/>
    <n v="2"/>
    <s v="Work"/>
    <s v="KAMPALA"/>
    <s v="KAMPALA"/>
    <s v="UGA"/>
    <n v="4"/>
    <s v="Commercial"/>
    <x v="17"/>
    <n v="500000"/>
    <n v="340"/>
    <x v="3"/>
    <n v="8"/>
    <x v="2"/>
    <n v="10"/>
    <s v="Other"/>
    <n v="2"/>
    <x v="3"/>
    <n v="2"/>
    <n v="1"/>
    <n v="3"/>
    <n v="4"/>
    <n v="5"/>
    <s v="Y"/>
    <n v="1000"/>
    <x v="4"/>
  </r>
  <r>
    <d v="2019-10-20T00:00:00"/>
    <d v="1899-12-30T14:29:00"/>
    <m/>
    <s v="P"/>
    <n v="2"/>
    <s v="Road Vehicle"/>
    <n v="4"/>
    <x v="3"/>
    <x v="0"/>
    <n v="4"/>
    <x v="3"/>
    <s v="NYIBINGO"/>
    <s v="BUSHENYI"/>
    <s v="UGA"/>
    <n v="1"/>
    <s v="Home"/>
    <s v="BUYANJA"/>
    <s v="RUKUNGIRI"/>
    <s v="UGA"/>
    <n v="6"/>
    <s v="Leisure/Social"/>
    <x v="8"/>
    <n v="12000"/>
    <m/>
    <x v="0"/>
    <n v="1"/>
    <x v="1"/>
    <n v="6"/>
    <s v="Businessman"/>
    <n v="3"/>
    <x v="1"/>
    <n v="3"/>
    <n v="2"/>
    <n v="4"/>
    <n v="1"/>
    <n v="5"/>
    <s v="Y"/>
    <m/>
    <x v="3"/>
  </r>
  <r>
    <d v="2019-10-20T00:00:00"/>
    <d v="1899-12-30T11:38:00"/>
    <m/>
    <s v="D"/>
    <n v="2"/>
    <s v="Road Vehicle"/>
    <n v="2"/>
    <x v="6"/>
    <x v="1"/>
    <n v="4"/>
    <x v="3"/>
    <s v="BUTOKYE"/>
    <s v="MITOMA"/>
    <s v="UGA"/>
    <n v="1"/>
    <s v="Home"/>
    <s v="KITAGATA"/>
    <s v="KASESE"/>
    <s v="UGA"/>
    <n v="6"/>
    <s v="Leisure/Social"/>
    <x v="8"/>
    <n v="15200"/>
    <n v="30"/>
    <x v="4"/>
    <n v="0.8"/>
    <x v="4"/>
    <n v="9"/>
    <s v="Retired"/>
    <n v="3"/>
    <x v="1"/>
    <n v="5"/>
    <n v="1"/>
    <n v="2"/>
    <n v="3"/>
    <n v="4"/>
    <s v="Y"/>
    <n v="2000"/>
    <x v="1"/>
  </r>
  <r>
    <d v="2019-10-19T00:00:00"/>
    <d v="1899-12-30T13:30:00"/>
    <m/>
    <s v="D"/>
    <n v="2"/>
    <s v="Road Vehicle"/>
    <n v="2"/>
    <x v="6"/>
    <x v="0"/>
    <n v="4"/>
    <x v="3"/>
    <s v="RUTOKYE"/>
    <s v="MITOMA"/>
    <s v="UGA"/>
    <n v="1"/>
    <s v="Home"/>
    <s v="ISHAKA"/>
    <s v="BUSHENYI"/>
    <s v="UGA"/>
    <n v="2"/>
    <s v="Work"/>
    <x v="1"/>
    <n v="30000"/>
    <n v="24"/>
    <x v="4"/>
    <n v="1.5"/>
    <x v="1"/>
    <n v="10"/>
    <s v="Other"/>
    <n v="1"/>
    <x v="2"/>
    <n v="4"/>
    <n v="5"/>
    <n v="1"/>
    <n v="2"/>
    <n v="3"/>
    <s v="N"/>
    <m/>
    <x v="3"/>
  </r>
  <r>
    <d v="2019-10-18T00:00:00"/>
    <m/>
    <m/>
    <s v="P"/>
    <n v="2"/>
    <s v="Road Vehicle"/>
    <n v="1"/>
    <x v="0"/>
    <x v="1"/>
    <n v="5"/>
    <x v="4"/>
    <s v="SDA CENTER"/>
    <s v="BUSHENYI"/>
    <s v="UGA"/>
    <n v="1"/>
    <s v="Home"/>
    <s v="TOWN"/>
    <s v="MBARARA"/>
    <s v="UGA"/>
    <n v="7"/>
    <s v="Hospital"/>
    <x v="32"/>
    <n v="7000"/>
    <m/>
    <x v="0"/>
    <m/>
    <x v="3"/>
    <n v="1"/>
    <s v="Unemployed"/>
    <n v="1"/>
    <x v="2"/>
    <n v="2"/>
    <n v="5"/>
    <n v="4"/>
    <n v="1"/>
    <n v="3"/>
    <s v="Y"/>
    <m/>
    <x v="3"/>
  </r>
  <r>
    <d v="2019-10-19T00:00:00"/>
    <d v="1899-12-30T11:44:00"/>
    <m/>
    <s v="D"/>
    <n v="2"/>
    <s v="Road Vehicle"/>
    <n v="1"/>
    <x v="0"/>
    <x v="0"/>
    <n v="5"/>
    <x v="4"/>
    <s v="ISHAKA"/>
    <s v="BUSHENYI"/>
    <s v="UGA"/>
    <n v="2"/>
    <s v="Work"/>
    <s v="KABAALE"/>
    <s v="KABALE"/>
    <s v="UGA"/>
    <n v="4"/>
    <s v="Commercial"/>
    <x v="17"/>
    <n v="120000"/>
    <n v="160"/>
    <x v="2"/>
    <n v="4"/>
    <x v="2"/>
    <n v="4"/>
    <s v="Office Worker"/>
    <n v="5"/>
    <x v="4"/>
    <n v="4"/>
    <n v="1"/>
    <n v="2"/>
    <n v="5"/>
    <n v="3"/>
    <s v="Y"/>
    <n v="5000"/>
    <x v="2"/>
  </r>
  <r>
    <d v="2019-10-20T00:00:00"/>
    <d v="1899-12-30T15:45:00"/>
    <m/>
    <s v="P"/>
    <n v="2"/>
    <s v="Road Vehicle"/>
    <n v="4"/>
    <x v="3"/>
    <x v="1"/>
    <n v="5"/>
    <x v="4"/>
    <s v="SHUKU"/>
    <s v="SHEEMA"/>
    <s v="UGA"/>
    <n v="4"/>
    <s v="Commercial"/>
    <s v="RUGENDABARA"/>
    <s v="KABAROLE"/>
    <s v="UGA"/>
    <n v="4"/>
    <s v="Commercial"/>
    <x v="18"/>
    <n v="18000"/>
    <m/>
    <x v="0"/>
    <n v="1.5"/>
    <x v="1"/>
    <n v="9"/>
    <s v="Retired"/>
    <n v="3"/>
    <x v="1"/>
    <n v="1"/>
    <n v="2"/>
    <n v="3"/>
    <n v="4"/>
    <n v="5"/>
    <s v="Y"/>
    <n v="1000"/>
    <x v="4"/>
  </r>
  <r>
    <d v="2019-10-19T00:00:00"/>
    <d v="1899-12-30T11:16:00"/>
    <m/>
    <s v="P"/>
    <n v="2"/>
    <s v="Road Vehicle"/>
    <n v="4"/>
    <x v="3"/>
    <x v="0"/>
    <n v="5"/>
    <x v="4"/>
    <s v="WENHUHA"/>
    <s v="MBARARA"/>
    <s v="UGA"/>
    <n v="4"/>
    <s v="Commercial"/>
    <s v="KASENYI"/>
    <s v="BUSHENYI"/>
    <s v="UGA"/>
    <n v="1"/>
    <s v="Home"/>
    <x v="3"/>
    <n v="10000"/>
    <n v="12.87"/>
    <x v="6"/>
    <n v="1"/>
    <x v="1"/>
    <n v="6"/>
    <s v="Businessman"/>
    <n v="5"/>
    <x v="4"/>
    <n v="3"/>
    <n v="2"/>
    <n v="1"/>
    <n v="4"/>
    <n v="5"/>
    <s v="Y"/>
    <n v="1000"/>
    <x v="4"/>
  </r>
  <r>
    <d v="2019-10-20T00:00:00"/>
    <d v="1899-12-30T11:25:00"/>
    <m/>
    <s v="P"/>
    <n v="2"/>
    <s v="Road Vehicle"/>
    <n v="4"/>
    <x v="3"/>
    <x v="0"/>
    <n v="5"/>
    <x v="4"/>
    <s v="NYIBINGO"/>
    <s v="BUSHENYI"/>
    <s v="UGA"/>
    <n v="6"/>
    <s v="Leisure/Social"/>
    <s v="EXCEL"/>
    <s v="RWIMI"/>
    <s v="UGA"/>
    <n v="1"/>
    <s v="Home"/>
    <x v="10"/>
    <n v="15000"/>
    <m/>
    <x v="0"/>
    <m/>
    <x v="3"/>
    <n v="1"/>
    <s v="Unemployed"/>
    <n v="1"/>
    <x v="2"/>
    <n v="2"/>
    <n v="5"/>
    <n v="3"/>
    <n v="1"/>
    <n v="4"/>
    <s v="Y"/>
    <n v="100"/>
    <x v="3"/>
  </r>
  <r>
    <d v="2019-10-20T00:00:00"/>
    <d v="1899-12-30T08:34:00"/>
    <m/>
    <s v="P"/>
    <n v="2"/>
    <s v="Road Vehicle"/>
    <n v="6"/>
    <x v="1"/>
    <x v="0"/>
    <n v="6"/>
    <x v="5"/>
    <s v="KITENDE"/>
    <s v="KAMPALA"/>
    <s v="UGA"/>
    <n v="2"/>
    <s v="Work"/>
    <s v="KAGAMBA"/>
    <s v="NTUNGAMO"/>
    <s v="UGA"/>
    <n v="1"/>
    <s v="Home"/>
    <x v="4"/>
    <n v="20000"/>
    <n v="310"/>
    <x v="3"/>
    <n v="4"/>
    <x v="2"/>
    <n v="9"/>
    <s v="Retired"/>
    <n v="4"/>
    <x v="0"/>
    <n v="4"/>
    <n v="3"/>
    <n v="1"/>
    <n v="2"/>
    <n v="5"/>
    <s v="Y"/>
    <m/>
    <x v="3"/>
  </r>
  <r>
    <d v="2019-10-21T00:00:00"/>
    <d v="1899-12-30T16:40:00"/>
    <m/>
    <s v="P"/>
    <n v="1"/>
    <s v="Walking/Cycling"/>
    <n v="13"/>
    <x v="11"/>
    <x v="0"/>
    <n v="1"/>
    <x v="0"/>
    <s v="Lwakabego"/>
    <s v="Rukungiri"/>
    <s v="UGA"/>
    <n v="2"/>
    <s v="Work"/>
    <s v="Kitimba"/>
    <s v="Rukungiri"/>
    <s v="UGA"/>
    <n v="1"/>
    <s v="Home"/>
    <x v="4"/>
    <n v="2000"/>
    <m/>
    <x v="0"/>
    <n v="0.3"/>
    <x v="3"/>
    <n v="2"/>
    <s v="Manual Labour"/>
    <n v="1"/>
    <x v="2"/>
    <n v="1"/>
    <n v="2"/>
    <n v="4"/>
    <n v="5"/>
    <n v="3"/>
    <s v="Y"/>
    <n v="10000"/>
    <x v="5"/>
  </r>
  <r>
    <d v="2019-10-23T00:00:00"/>
    <d v="1899-12-30T11:00:00"/>
    <m/>
    <s v="P"/>
    <n v="2"/>
    <s v="Road Vehicle"/>
    <n v="1"/>
    <x v="0"/>
    <x v="1"/>
    <n v="1"/>
    <x v="0"/>
    <s v="Kabale"/>
    <s v="Kabale"/>
    <s v="UGA"/>
    <n v="1"/>
    <s v="Home"/>
    <s v="Rukungiri"/>
    <s v="Rukungiri"/>
    <m/>
    <n v="8"/>
    <s v="Others"/>
    <x v="13"/>
    <n v="15000"/>
    <m/>
    <x v="0"/>
    <n v="2"/>
    <x v="0"/>
    <n v="3"/>
    <s v="Artisan/Domestic"/>
    <n v="1"/>
    <x v="2"/>
    <n v="5"/>
    <n v="4"/>
    <n v="2"/>
    <n v="1"/>
    <n v="3"/>
    <s v="Y"/>
    <n v="1000"/>
    <x v="4"/>
  </r>
  <r>
    <d v="2019-10-21T00:00:00"/>
    <d v="1899-12-30T14:20:00"/>
    <m/>
    <s v="P"/>
    <n v="2"/>
    <s v="Road Vehicle"/>
    <n v="1"/>
    <x v="0"/>
    <x v="0"/>
    <n v="1"/>
    <x v="0"/>
    <s v="Christ the King"/>
    <s v="Rukungiri"/>
    <s v="UGA"/>
    <n v="2"/>
    <s v="Work"/>
    <s v="Town"/>
    <s v="Rukungiri"/>
    <s v="UGA"/>
    <n v="1"/>
    <s v="Home"/>
    <x v="4"/>
    <n v="1000"/>
    <n v="0.5"/>
    <x v="0"/>
    <n v="0.2"/>
    <x v="3"/>
    <n v="6"/>
    <s v="Businessman"/>
    <n v="1"/>
    <x v="2"/>
    <n v="5"/>
    <n v="1"/>
    <n v="2"/>
    <n v="4"/>
    <n v="3"/>
    <s v="Y"/>
    <n v="2000"/>
    <x v="1"/>
  </r>
  <r>
    <d v="2019-10-21T00:00:00"/>
    <d v="1899-12-30T15:38:00"/>
    <m/>
    <s v="P"/>
    <n v="2"/>
    <s v="Road Vehicle"/>
    <n v="1"/>
    <x v="0"/>
    <x v="0"/>
    <n v="1"/>
    <x v="0"/>
    <s v="Rukungiri"/>
    <s v="Rukungiri"/>
    <s v="UGA"/>
    <n v="1"/>
    <s v="Home"/>
    <s v="Mbarara"/>
    <s v="Mbarara"/>
    <s v="UGA"/>
    <n v="2"/>
    <s v="Work"/>
    <x v="1"/>
    <n v="15000"/>
    <m/>
    <x v="0"/>
    <n v="4.5"/>
    <x v="2"/>
    <n v="2"/>
    <s v="Manual Labour"/>
    <n v="1"/>
    <x v="2"/>
    <m/>
    <m/>
    <m/>
    <m/>
    <m/>
    <s v="Y"/>
    <m/>
    <x v="3"/>
  </r>
  <r>
    <d v="2019-10-22T00:00:00"/>
    <d v="1899-12-30T10:01:00"/>
    <m/>
    <s v="P"/>
    <n v="2"/>
    <s v="Road Vehicle"/>
    <n v="1"/>
    <x v="0"/>
    <x v="0"/>
    <n v="1"/>
    <x v="0"/>
    <s v="Kyifunza"/>
    <s v="Rukungiri"/>
    <s v="UGA"/>
    <n v="2"/>
    <s v="Work"/>
    <s v="Nabugamba"/>
    <s v="Rukungiri"/>
    <s v="UGA"/>
    <n v="1"/>
    <s v="Home"/>
    <x v="4"/>
    <n v="1000"/>
    <n v="1"/>
    <x v="0"/>
    <n v="0.2"/>
    <x v="3"/>
    <n v="2"/>
    <s v="Manual Labour"/>
    <n v="1"/>
    <x v="2"/>
    <n v="1"/>
    <n v="2"/>
    <n v="5"/>
    <n v="4"/>
    <n v="3"/>
    <s v="N"/>
    <m/>
    <x v="3"/>
  </r>
  <r>
    <d v="2019-10-23T00:00:00"/>
    <d v="1899-12-30T10:54:00"/>
    <m/>
    <s v="P"/>
    <n v="2"/>
    <s v="Road Vehicle"/>
    <n v="1"/>
    <x v="0"/>
    <x v="0"/>
    <n v="1"/>
    <x v="0"/>
    <s v="Kampala"/>
    <s v="Kampala"/>
    <s v="UGA"/>
    <n v="1"/>
    <s v="Home"/>
    <s v="Rwenshama"/>
    <s v="Rukungiri"/>
    <m/>
    <n v="2"/>
    <s v="Work"/>
    <x v="1"/>
    <n v="50000"/>
    <m/>
    <x v="0"/>
    <n v="10.5"/>
    <x v="2"/>
    <n v="6"/>
    <s v="Businessman"/>
    <n v="4"/>
    <x v="0"/>
    <n v="1"/>
    <n v="2"/>
    <n v="4"/>
    <n v="3"/>
    <n v="5"/>
    <s v="Y"/>
    <n v="10000"/>
    <x v="5"/>
  </r>
  <r>
    <d v="2019-10-21T00:00:00"/>
    <m/>
    <m/>
    <s v="P"/>
    <n v="2"/>
    <s v="Road Vehicle"/>
    <n v="6"/>
    <x v="1"/>
    <x v="1"/>
    <n v="1"/>
    <x v="0"/>
    <s v="Rukungiri"/>
    <s v="Rukungiri"/>
    <s v="UGA"/>
    <n v="1"/>
    <s v="Home"/>
    <s v="Mbarara"/>
    <s v="Mbarara"/>
    <s v="UGA"/>
    <n v="2"/>
    <s v="Work"/>
    <x v="1"/>
    <n v="8000"/>
    <m/>
    <x v="0"/>
    <n v="2"/>
    <x v="0"/>
    <n v="2"/>
    <s v="Manual Labour"/>
    <n v="1"/>
    <x v="2"/>
    <n v="1"/>
    <n v="2"/>
    <n v="4"/>
    <n v="3"/>
    <n v="5"/>
    <s v="Y"/>
    <m/>
    <x v="3"/>
  </r>
  <r>
    <d v="2019-10-21T00:00:00"/>
    <m/>
    <m/>
    <s v="P"/>
    <n v="2"/>
    <s v="Road Vehicle"/>
    <n v="6"/>
    <x v="1"/>
    <x v="1"/>
    <n v="1"/>
    <x v="0"/>
    <s v="Rukungiri"/>
    <s v="Rukungiri"/>
    <s v="UGA"/>
    <n v="1"/>
    <s v="Home"/>
    <s v="Kampala"/>
    <s v="Kampala"/>
    <s v="UGA"/>
    <n v="2"/>
    <s v="Work"/>
    <x v="1"/>
    <n v="25000"/>
    <m/>
    <x v="0"/>
    <n v="8"/>
    <x v="2"/>
    <n v="6"/>
    <s v="Businessman"/>
    <n v="1"/>
    <x v="2"/>
    <m/>
    <m/>
    <m/>
    <m/>
    <m/>
    <s v="Y"/>
    <n v="5000"/>
    <x v="2"/>
  </r>
  <r>
    <d v="2019-10-22T00:00:00"/>
    <d v="1899-12-30T14:53:00"/>
    <m/>
    <s v="P"/>
    <n v="2"/>
    <s v="Road Vehicle"/>
    <n v="6"/>
    <x v="1"/>
    <x v="1"/>
    <n v="1"/>
    <x v="0"/>
    <s v="Rweshama"/>
    <s v="Rukungiri"/>
    <s v="UGA"/>
    <n v="2"/>
    <s v="Work"/>
    <s v="Kabalagala"/>
    <s v="Kabagala"/>
    <s v="UGA"/>
    <n v="1"/>
    <s v="Home"/>
    <x v="4"/>
    <m/>
    <n v="410"/>
    <x v="3"/>
    <n v="7.5"/>
    <x v="2"/>
    <n v="5"/>
    <s v="Professional"/>
    <n v="3"/>
    <x v="1"/>
    <n v="1"/>
    <n v="2"/>
    <n v="3"/>
    <n v="4"/>
    <n v="5"/>
    <s v="Y"/>
    <m/>
    <x v="3"/>
  </r>
  <r>
    <d v="2019-10-22T00:00:00"/>
    <d v="1899-12-30T14:42:00"/>
    <m/>
    <s v="P"/>
    <n v="2"/>
    <s v="Road Vehicle"/>
    <n v="6"/>
    <x v="1"/>
    <x v="1"/>
    <n v="1"/>
    <x v="0"/>
    <s v="Rukungiri"/>
    <s v="Rukungiri"/>
    <s v="UGA"/>
    <n v="2"/>
    <s v="Work"/>
    <s v="Kampala"/>
    <s v="Kampala"/>
    <s v="UGA"/>
    <n v="6"/>
    <s v="Leisure/Social"/>
    <x v="5"/>
    <n v="30000"/>
    <n v="400"/>
    <x v="3"/>
    <n v="8"/>
    <x v="2"/>
    <n v="6"/>
    <s v="Businessman"/>
    <n v="2"/>
    <x v="3"/>
    <n v="3"/>
    <n v="2"/>
    <n v="1"/>
    <n v="5"/>
    <n v="4"/>
    <s v="Y"/>
    <n v="1000"/>
    <x v="4"/>
  </r>
  <r>
    <d v="2019-10-22T00:00:00"/>
    <d v="1899-12-30T14:31:00"/>
    <m/>
    <s v="D"/>
    <n v="2"/>
    <s v="Road Vehicle"/>
    <n v="6"/>
    <x v="1"/>
    <x v="1"/>
    <n v="1"/>
    <x v="0"/>
    <s v="Rukungiri"/>
    <s v="Rukungiri"/>
    <s v="UGA"/>
    <n v="2"/>
    <s v="Work"/>
    <s v="Kampala"/>
    <s v="Kampala"/>
    <s v="UGA"/>
    <n v="1"/>
    <s v="Home"/>
    <x v="4"/>
    <n v="30000"/>
    <n v="400"/>
    <x v="3"/>
    <n v="8"/>
    <x v="2"/>
    <n v="7"/>
    <s v="Farmer"/>
    <n v="2"/>
    <x v="3"/>
    <n v="1"/>
    <n v="2"/>
    <n v="3"/>
    <n v="4"/>
    <n v="5"/>
    <s v="Y"/>
    <n v="500"/>
    <x v="3"/>
  </r>
  <r>
    <d v="2019-10-23T00:00:00"/>
    <d v="1899-12-30T15:33:00"/>
    <m/>
    <s v="P"/>
    <n v="2"/>
    <s v="Road Vehicle"/>
    <n v="6"/>
    <x v="1"/>
    <x v="1"/>
    <n v="1"/>
    <x v="0"/>
    <s v="Rukungiri"/>
    <s v="Rukungiri"/>
    <s v="UGA"/>
    <n v="2"/>
    <s v="Work"/>
    <s v="Kampala"/>
    <s v="Kampala"/>
    <s v="UGA"/>
    <n v="2"/>
    <s v="Work"/>
    <x v="2"/>
    <n v="30000"/>
    <n v="400"/>
    <x v="3"/>
    <n v="7.5"/>
    <x v="2"/>
    <n v="4"/>
    <s v="Office Worker"/>
    <n v="3"/>
    <x v="1"/>
    <n v="2"/>
    <n v="4"/>
    <n v="3"/>
    <n v="5"/>
    <n v="1"/>
    <s v="Y"/>
    <n v="1000"/>
    <x v="4"/>
  </r>
  <r>
    <d v="2019-10-22T00:00:00"/>
    <d v="1899-12-30T13:28:00"/>
    <m/>
    <s v="P"/>
    <n v="2"/>
    <s v="Road Vehicle"/>
    <n v="6"/>
    <x v="1"/>
    <x v="0"/>
    <n v="1"/>
    <x v="0"/>
    <s v="Kihihi"/>
    <s v="Rukungiri"/>
    <s v="UGA"/>
    <n v="2"/>
    <s v="Work"/>
    <s v="Town"/>
    <s v="Kampala"/>
    <s v="UGA"/>
    <n v="1"/>
    <s v="Home"/>
    <x v="4"/>
    <n v="30000"/>
    <n v="390"/>
    <x v="3"/>
    <n v="8.5"/>
    <x v="2"/>
    <n v="5"/>
    <s v="Professional"/>
    <n v="2"/>
    <x v="3"/>
    <n v="3"/>
    <n v="5"/>
    <n v="2"/>
    <n v="1"/>
    <n v="4"/>
    <s v="Y"/>
    <m/>
    <x v="3"/>
  </r>
  <r>
    <d v="2019-10-22T00:00:00"/>
    <m/>
    <m/>
    <s v="P"/>
    <n v="2"/>
    <s v="Road Vehicle"/>
    <n v="6"/>
    <x v="1"/>
    <x v="0"/>
    <n v="1"/>
    <x v="0"/>
    <s v="Rukungiri"/>
    <s v="Rukungiri"/>
    <s v="UGA"/>
    <n v="1"/>
    <s v="Home"/>
    <s v="Kampala"/>
    <s v="Kampala"/>
    <s v="UGA"/>
    <n v="4"/>
    <s v="Commercial"/>
    <x v="0"/>
    <n v="30000"/>
    <n v="400"/>
    <x v="3"/>
    <n v="8"/>
    <x v="2"/>
    <n v="2"/>
    <s v="Manual Labour"/>
    <n v="1"/>
    <x v="2"/>
    <n v="2"/>
    <n v="3"/>
    <n v="5"/>
    <n v="4"/>
    <n v="1"/>
    <s v="Y"/>
    <n v="3000"/>
    <x v="0"/>
  </r>
  <r>
    <d v="2019-10-23T00:00:00"/>
    <d v="1899-12-30T16:07:00"/>
    <m/>
    <s v="P"/>
    <n v="2"/>
    <s v="Road Vehicle"/>
    <n v="6"/>
    <x v="1"/>
    <x v="0"/>
    <n v="1"/>
    <x v="0"/>
    <s v="Kampala"/>
    <s v="Kampala"/>
    <s v="UGA"/>
    <n v="2"/>
    <s v="Work"/>
    <s v="Rukungiri"/>
    <s v="Rukungiri"/>
    <m/>
    <n v="1"/>
    <s v="Home"/>
    <x v="4"/>
    <n v="30000"/>
    <m/>
    <x v="0"/>
    <n v="8.5"/>
    <x v="2"/>
    <n v="2"/>
    <s v="Manual Labour"/>
    <n v="1"/>
    <x v="2"/>
    <n v="2"/>
    <n v="4"/>
    <n v="3"/>
    <n v="5"/>
    <n v="1"/>
    <s v="Y"/>
    <m/>
    <x v="3"/>
  </r>
  <r>
    <d v="2019-10-21T00:00:00"/>
    <d v="1899-12-30T16:55:00"/>
    <m/>
    <s v="D"/>
    <n v="2"/>
    <s v="Road Vehicle"/>
    <n v="7"/>
    <x v="7"/>
    <x v="0"/>
    <n v="1"/>
    <x v="0"/>
    <s v="Buhunga"/>
    <s v="Rukungiri"/>
    <s v="UGA"/>
    <n v="4"/>
    <s v="Commercial"/>
    <s v="Rukungiri"/>
    <s v="Rukungiri"/>
    <s v="UGA"/>
    <n v="4"/>
    <s v="Commercial"/>
    <x v="18"/>
    <n v="15000"/>
    <n v="8"/>
    <x v="0"/>
    <n v="0.6"/>
    <x v="4"/>
    <n v="10"/>
    <s v="Other"/>
    <n v="1"/>
    <x v="2"/>
    <n v="5"/>
    <n v="2"/>
    <n v="1"/>
    <n v="4"/>
    <n v="3"/>
    <s v="Y"/>
    <n v="1000"/>
    <x v="4"/>
  </r>
  <r>
    <d v="2019-10-21T00:00:00"/>
    <d v="1899-12-30T16:19:00"/>
    <m/>
    <s v="P"/>
    <n v="2"/>
    <s v="Road Vehicle"/>
    <n v="4"/>
    <x v="3"/>
    <x v="1"/>
    <n v="1"/>
    <x v="0"/>
    <s v="Kampala"/>
    <s v="Kampala"/>
    <s v="UGA"/>
    <n v="2"/>
    <s v="Work"/>
    <s v="Rukungiri"/>
    <s v="Rukungiri"/>
    <s v="UGA"/>
    <n v="1"/>
    <s v="Home"/>
    <x v="4"/>
    <n v="30000"/>
    <m/>
    <x v="0"/>
    <n v="9"/>
    <x v="2"/>
    <n v="6"/>
    <s v="Businessman"/>
    <n v="5"/>
    <x v="4"/>
    <n v="2"/>
    <n v="1"/>
    <n v="5"/>
    <n v="3"/>
    <n v="4"/>
    <s v="Y"/>
    <m/>
    <x v="3"/>
  </r>
  <r>
    <d v="2019-10-21T00:00:00"/>
    <d v="1899-12-30T15:15:00"/>
    <m/>
    <s v="P"/>
    <n v="2"/>
    <s v="Road Vehicle"/>
    <n v="4"/>
    <x v="3"/>
    <x v="1"/>
    <n v="1"/>
    <x v="0"/>
    <s v="Kabale"/>
    <s v="Kabale"/>
    <s v="UGA"/>
    <n v="8"/>
    <s v="Others"/>
    <s v="Rukungiri"/>
    <s v="Rukungiri"/>
    <s v="UGA"/>
    <n v="1"/>
    <s v="Home"/>
    <x v="12"/>
    <n v="15000"/>
    <m/>
    <x v="0"/>
    <n v="2"/>
    <x v="0"/>
    <n v="1"/>
    <s v="Unemployed"/>
    <n v="1"/>
    <x v="2"/>
    <n v="5"/>
    <n v="2"/>
    <n v="4"/>
    <n v="1"/>
    <n v="3"/>
    <s v="Y"/>
    <m/>
    <x v="3"/>
  </r>
  <r>
    <d v="2019-10-21T00:00:00"/>
    <m/>
    <m/>
    <s v="P"/>
    <n v="2"/>
    <s v="Road Vehicle"/>
    <n v="4"/>
    <x v="3"/>
    <x v="1"/>
    <n v="1"/>
    <x v="0"/>
    <s v="Rukungiri"/>
    <s v="Rukungiri"/>
    <s v="UGA"/>
    <n v="1"/>
    <s v="Home"/>
    <s v="Kihihi"/>
    <s v="Kanungu"/>
    <s v="UGA"/>
    <n v="6"/>
    <s v="Leisure/Social"/>
    <x v="8"/>
    <n v="10000"/>
    <m/>
    <x v="0"/>
    <n v="1.5"/>
    <x v="1"/>
    <n v="2"/>
    <s v="Manual Labour"/>
    <n v="1"/>
    <x v="2"/>
    <n v="2"/>
    <n v="3"/>
    <n v="1"/>
    <n v="5"/>
    <n v="4"/>
    <s v="Y"/>
    <n v="3000"/>
    <x v="0"/>
  </r>
  <r>
    <d v="2019-10-21T00:00:00"/>
    <m/>
    <m/>
    <s v="P"/>
    <n v="2"/>
    <s v="Road Vehicle"/>
    <n v="4"/>
    <x v="3"/>
    <x v="1"/>
    <n v="1"/>
    <x v="0"/>
    <s v="Rukungiri"/>
    <s v="Rukungiri"/>
    <s v="UGA"/>
    <n v="1"/>
    <s v="Home"/>
    <s v="Ntungamo"/>
    <s v="Ntungamo"/>
    <s v="UGA"/>
    <n v="6"/>
    <s v="Leisure/Social"/>
    <x v="8"/>
    <n v="5000"/>
    <m/>
    <x v="0"/>
    <n v="1"/>
    <x v="1"/>
    <n v="2"/>
    <s v="Manual Labour"/>
    <n v="1"/>
    <x v="2"/>
    <n v="2"/>
    <n v="3"/>
    <n v="1"/>
    <n v="5"/>
    <n v="4"/>
    <s v="Y"/>
    <n v="5000"/>
    <x v="2"/>
  </r>
  <r>
    <d v="2019-10-21T00:00:00"/>
    <m/>
    <m/>
    <s v="P"/>
    <n v="2"/>
    <s v="Road Vehicle"/>
    <n v="4"/>
    <x v="3"/>
    <x v="1"/>
    <n v="1"/>
    <x v="0"/>
    <s v="Rukungiri"/>
    <s v="Rukungiri"/>
    <s v="UGA"/>
    <n v="1"/>
    <s v="Home"/>
    <s v="Ntungamo"/>
    <s v="Ntungamo"/>
    <s v="UGA"/>
    <n v="2"/>
    <s v="Work"/>
    <x v="1"/>
    <n v="5000"/>
    <m/>
    <x v="0"/>
    <n v="2"/>
    <x v="0"/>
    <n v="7"/>
    <s v="Farmer"/>
    <n v="1"/>
    <x v="2"/>
    <n v="1"/>
    <n v="3"/>
    <n v="2"/>
    <n v="5"/>
    <n v="4"/>
    <s v="Y"/>
    <n v="10000"/>
    <x v="5"/>
  </r>
  <r>
    <d v="2019-10-21T00:00:00"/>
    <m/>
    <m/>
    <s v="P"/>
    <n v="2"/>
    <s v="Road Vehicle"/>
    <n v="4"/>
    <x v="3"/>
    <x v="1"/>
    <n v="1"/>
    <x v="0"/>
    <s v="Rukungiri"/>
    <s v="Rukungiri"/>
    <s v="UGA"/>
    <n v="2"/>
    <s v="Work"/>
    <s v="Mbarara"/>
    <s v="Mbarara"/>
    <s v="UGA"/>
    <n v="1"/>
    <s v="Home"/>
    <x v="4"/>
    <n v="10000"/>
    <m/>
    <x v="0"/>
    <n v="1.5"/>
    <x v="1"/>
    <n v="2"/>
    <s v="Manual Labour"/>
    <n v="1"/>
    <x v="2"/>
    <m/>
    <m/>
    <m/>
    <m/>
    <m/>
    <s v="Y"/>
    <n v="7000"/>
    <x v="2"/>
  </r>
  <r>
    <d v="2019-10-22T00:00:00"/>
    <d v="1899-12-30T09:51:00"/>
    <m/>
    <s v="P"/>
    <n v="2"/>
    <s v="Road Vehicle"/>
    <n v="4"/>
    <x v="3"/>
    <x v="1"/>
    <n v="1"/>
    <x v="0"/>
    <s v="Bunurwasero"/>
    <s v="Rukungiri"/>
    <s v="UGA"/>
    <n v="1"/>
    <s v="Home"/>
    <s v="Guild stage"/>
    <s v="Rukungiri"/>
    <s v="UGA"/>
    <n v="2"/>
    <s v="Work"/>
    <x v="1"/>
    <n v="2000"/>
    <n v="1"/>
    <x v="0"/>
    <n v="0.3"/>
    <x v="3"/>
    <n v="3"/>
    <s v="Artisan/Domestic"/>
    <n v="1"/>
    <x v="2"/>
    <n v="2"/>
    <n v="1"/>
    <n v="3"/>
    <n v="4"/>
    <n v="5"/>
    <s v="Y"/>
    <m/>
    <x v="3"/>
  </r>
  <r>
    <d v="2019-10-22T00:00:00"/>
    <m/>
    <m/>
    <s v="P"/>
    <n v="2"/>
    <s v="Road Vehicle"/>
    <n v="4"/>
    <x v="3"/>
    <x v="1"/>
    <n v="1"/>
    <x v="0"/>
    <s v="Rukungiri"/>
    <s v="Rukungiri"/>
    <s v="UGA"/>
    <n v="1"/>
    <s v="Home"/>
    <s v="Kihihi"/>
    <s v="Kanungu"/>
    <s v="UGA"/>
    <n v="5"/>
    <s v="Tourism"/>
    <x v="20"/>
    <n v="10000"/>
    <n v="120"/>
    <x v="2"/>
    <n v="2"/>
    <x v="0"/>
    <n v="6"/>
    <s v="Businessman"/>
    <n v="2"/>
    <x v="3"/>
    <n v="3"/>
    <n v="4"/>
    <n v="5"/>
    <n v="2"/>
    <n v="1"/>
    <s v="Y"/>
    <n v="3000"/>
    <x v="0"/>
  </r>
  <r>
    <d v="2019-10-22T00:00:00"/>
    <m/>
    <m/>
    <s v="P"/>
    <n v="2"/>
    <s v="Road Vehicle"/>
    <n v="4"/>
    <x v="3"/>
    <x v="1"/>
    <n v="1"/>
    <x v="0"/>
    <s v="Rukungiri"/>
    <s v="Rukungiri"/>
    <s v="UGA"/>
    <n v="1"/>
    <s v="Home"/>
    <s v="Bugangari"/>
    <s v="Rukungiri"/>
    <s v="UGA"/>
    <n v="2"/>
    <s v="Work"/>
    <x v="1"/>
    <n v="5000"/>
    <n v="57"/>
    <x v="5"/>
    <n v="1"/>
    <x v="1"/>
    <n v="2"/>
    <s v="Manual Labour"/>
    <n v="2"/>
    <x v="3"/>
    <n v="3"/>
    <n v="2"/>
    <n v="5"/>
    <n v="4"/>
    <n v="1"/>
    <s v="Y"/>
    <n v="3000"/>
    <x v="0"/>
  </r>
  <r>
    <d v="2019-10-22T00:00:00"/>
    <m/>
    <m/>
    <s v="P"/>
    <n v="2"/>
    <s v="Road Vehicle"/>
    <n v="4"/>
    <x v="3"/>
    <x v="1"/>
    <n v="1"/>
    <x v="0"/>
    <s v="Rukungiri"/>
    <s v="Rukungiri"/>
    <s v="UGA"/>
    <n v="1"/>
    <s v="Home"/>
    <s v="Bwashameii"/>
    <s v="Rukungiri"/>
    <s v="UGA"/>
    <n v="2"/>
    <s v="Work"/>
    <x v="1"/>
    <n v="5000"/>
    <n v="70"/>
    <x v="1"/>
    <n v="1"/>
    <x v="1"/>
    <n v="2"/>
    <s v="Manual Labour"/>
    <n v="1"/>
    <x v="2"/>
    <n v="2"/>
    <n v="4"/>
    <n v="5"/>
    <n v="1"/>
    <n v="3"/>
    <s v="Y"/>
    <n v="1000"/>
    <x v="4"/>
  </r>
  <r>
    <d v="2019-10-22T00:00:00"/>
    <m/>
    <m/>
    <s v="P"/>
    <n v="2"/>
    <s v="Road Vehicle"/>
    <n v="4"/>
    <x v="3"/>
    <x v="1"/>
    <n v="1"/>
    <x v="0"/>
    <s v="Rukungiri"/>
    <s v="Rukungiri"/>
    <s v="UGA"/>
    <n v="1"/>
    <s v="Home"/>
    <s v="Nyamunuka"/>
    <s v="Rukungiri"/>
    <s v="UGA"/>
    <n v="2"/>
    <s v="Work"/>
    <x v="1"/>
    <n v="3000"/>
    <n v="50"/>
    <x v="5"/>
    <n v="0.5"/>
    <x v="4"/>
    <n v="2"/>
    <s v="Manual Labour"/>
    <n v="1"/>
    <x v="2"/>
    <n v="2"/>
    <n v="3"/>
    <n v="5"/>
    <n v="1"/>
    <n v="4"/>
    <s v="Y"/>
    <n v="1000"/>
    <x v="4"/>
  </r>
  <r>
    <d v="2019-10-22T00:00:00"/>
    <m/>
    <m/>
    <s v="P"/>
    <n v="2"/>
    <s v="Road Vehicle"/>
    <n v="4"/>
    <x v="3"/>
    <x v="1"/>
    <n v="1"/>
    <x v="0"/>
    <s v="Rukungiri"/>
    <s v="Rukungiri"/>
    <s v="UGA"/>
    <n v="1"/>
    <s v="Home"/>
    <s v="Butogote"/>
    <s v="Kanungu"/>
    <s v="UGA"/>
    <n v="6"/>
    <s v="Leisure/Social"/>
    <x v="8"/>
    <n v="7000"/>
    <m/>
    <x v="0"/>
    <n v="1"/>
    <x v="1"/>
    <n v="3"/>
    <s v="Artisan/Domestic"/>
    <n v="1"/>
    <x v="2"/>
    <n v="3"/>
    <n v="2"/>
    <n v="1"/>
    <n v="4"/>
    <n v="5"/>
    <s v="Y"/>
    <n v="3000"/>
    <x v="0"/>
  </r>
  <r>
    <d v="2019-10-22T00:00:00"/>
    <m/>
    <m/>
    <s v="P"/>
    <n v="2"/>
    <s v="Road Vehicle"/>
    <n v="4"/>
    <x v="3"/>
    <x v="1"/>
    <n v="1"/>
    <x v="0"/>
    <s v="Masaka"/>
    <s v="Masaka"/>
    <s v="UGA"/>
    <n v="1"/>
    <s v="Home"/>
    <s v="Rukungiri"/>
    <s v="Rukungiri"/>
    <s v="UGA"/>
    <n v="6"/>
    <s v="Leisure/Social"/>
    <x v="8"/>
    <n v="30000"/>
    <m/>
    <x v="0"/>
    <n v="5"/>
    <x v="2"/>
    <n v="7"/>
    <s v="Farmer"/>
    <n v="1"/>
    <x v="2"/>
    <n v="3"/>
    <n v="4"/>
    <n v="2"/>
    <n v="1"/>
    <n v="5"/>
    <s v="Y"/>
    <m/>
    <x v="3"/>
  </r>
  <r>
    <d v="2019-10-22T00:00:00"/>
    <m/>
    <m/>
    <s v="P"/>
    <n v="2"/>
    <s v="Road Vehicle"/>
    <n v="4"/>
    <x v="3"/>
    <x v="1"/>
    <n v="1"/>
    <x v="0"/>
    <s v="Rukungiri"/>
    <s v="Rukungiri"/>
    <s v="UGA"/>
    <n v="1"/>
    <s v="Home"/>
    <s v="Ruhinda"/>
    <s v="Rukungiri"/>
    <s v="UGA"/>
    <n v="2"/>
    <s v="Work"/>
    <x v="1"/>
    <n v="2000"/>
    <n v="10"/>
    <x v="6"/>
    <n v="0.7"/>
    <x v="4"/>
    <n v="2"/>
    <s v="Manual Labour"/>
    <n v="2"/>
    <x v="3"/>
    <n v="3"/>
    <n v="2"/>
    <n v="1"/>
    <n v="5"/>
    <n v="4"/>
    <s v="Y"/>
    <n v="1000"/>
    <x v="4"/>
  </r>
  <r>
    <d v="2019-10-23T00:00:00"/>
    <d v="1899-12-30T12:57:00"/>
    <m/>
    <s v="P"/>
    <n v="2"/>
    <s v="Road Vehicle"/>
    <n v="4"/>
    <x v="3"/>
    <x v="1"/>
    <n v="1"/>
    <x v="0"/>
    <s v="Town"/>
    <s v="Kabale"/>
    <s v="UGA"/>
    <n v="2"/>
    <s v="Work"/>
    <s v="Bwabala"/>
    <s v="Rukungiri"/>
    <s v="UGA"/>
    <n v="1"/>
    <s v="Home"/>
    <x v="4"/>
    <n v="5000"/>
    <n v="15"/>
    <x v="6"/>
    <n v="2"/>
    <x v="0"/>
    <n v="7"/>
    <s v="Farmer"/>
    <n v="1"/>
    <x v="2"/>
    <n v="2"/>
    <n v="1"/>
    <n v="3"/>
    <n v="4"/>
    <n v="5"/>
    <s v="Y"/>
    <m/>
    <x v="3"/>
  </r>
  <r>
    <d v="2019-10-23T00:00:00"/>
    <m/>
    <m/>
    <s v="P"/>
    <n v="2"/>
    <s v="Road Vehicle"/>
    <n v="4"/>
    <x v="3"/>
    <x v="1"/>
    <n v="1"/>
    <x v="0"/>
    <s v="Rukungiri"/>
    <s v="Rukungiri"/>
    <s v="UGA"/>
    <n v="1"/>
    <s v="Home"/>
    <s v="Rwerere"/>
    <s v="Rukungiri"/>
    <s v="UGA"/>
    <n v="2"/>
    <s v="Work"/>
    <x v="1"/>
    <n v="3000"/>
    <n v="10"/>
    <x v="6"/>
    <n v="1"/>
    <x v="1"/>
    <n v="2"/>
    <s v="Manual Labour"/>
    <n v="1"/>
    <x v="2"/>
    <n v="2"/>
    <n v="5"/>
    <n v="4"/>
    <n v="3"/>
    <n v="1"/>
    <s v="Y"/>
    <n v="3000"/>
    <x v="0"/>
  </r>
  <r>
    <d v="2019-10-23T00:00:00"/>
    <d v="1899-12-30T08:21:00"/>
    <m/>
    <s v="P"/>
    <n v="2"/>
    <s v="Road Vehicle"/>
    <n v="4"/>
    <x v="3"/>
    <x v="1"/>
    <n v="1"/>
    <x v="0"/>
    <s v="Rukungiri"/>
    <s v="Rukungiri"/>
    <s v="UGA"/>
    <n v="1"/>
    <s v="Home"/>
    <s v="Kinoni"/>
    <s v="Masaka"/>
    <m/>
    <n v="1"/>
    <s v="Home"/>
    <x v="16"/>
    <n v="25000"/>
    <m/>
    <x v="0"/>
    <n v="7"/>
    <x v="2"/>
    <n v="1"/>
    <s v="Unemployed"/>
    <n v="1"/>
    <x v="2"/>
    <m/>
    <m/>
    <m/>
    <m/>
    <m/>
    <s v="Y"/>
    <m/>
    <x v="3"/>
  </r>
  <r>
    <d v="2019-10-23T00:00:00"/>
    <d v="1899-12-30T08:41:00"/>
    <m/>
    <s v="P"/>
    <n v="2"/>
    <s v="Road Vehicle"/>
    <n v="4"/>
    <x v="3"/>
    <x v="1"/>
    <n v="1"/>
    <x v="0"/>
    <s v="Rukungiri"/>
    <s v="Rukungiri"/>
    <s v="UGA"/>
    <n v="1"/>
    <s v="Home"/>
    <s v="Kampala"/>
    <s v="Kampala"/>
    <m/>
    <n v="2"/>
    <s v="Work"/>
    <x v="1"/>
    <n v="30000"/>
    <m/>
    <x v="0"/>
    <n v="9"/>
    <x v="2"/>
    <n v="3"/>
    <s v="Artisan/Domestic"/>
    <n v="1"/>
    <x v="2"/>
    <n v="1"/>
    <n v="2"/>
    <n v="5"/>
    <n v="3"/>
    <n v="4"/>
    <s v="Y"/>
    <m/>
    <x v="3"/>
  </r>
  <r>
    <d v="2019-10-23T00:00:00"/>
    <d v="1899-12-30T16:15:00"/>
    <m/>
    <s v="P"/>
    <n v="2"/>
    <s v="Road Vehicle"/>
    <n v="4"/>
    <x v="3"/>
    <x v="1"/>
    <n v="1"/>
    <x v="0"/>
    <s v="Ntungamo"/>
    <s v="Ntungamo"/>
    <s v="UGA"/>
    <n v="1"/>
    <s v="Home"/>
    <s v="Rukungiri"/>
    <s v="Rukungiri"/>
    <m/>
    <n v="2"/>
    <s v="Work"/>
    <x v="1"/>
    <n v="6000"/>
    <m/>
    <x v="0"/>
    <n v="0.7"/>
    <x v="4"/>
    <n v="4"/>
    <s v="Office Worker"/>
    <n v="2"/>
    <x v="3"/>
    <n v="4"/>
    <n v="5"/>
    <n v="1"/>
    <n v="3"/>
    <n v="2"/>
    <s v="Y"/>
    <n v="2000"/>
    <x v="1"/>
  </r>
  <r>
    <d v="2019-10-21T00:00:00"/>
    <d v="1899-12-30T14:35:00"/>
    <m/>
    <s v="P"/>
    <n v="2"/>
    <s v="Road Vehicle"/>
    <n v="4"/>
    <x v="3"/>
    <x v="0"/>
    <n v="1"/>
    <x v="0"/>
    <s v="Wamahwa"/>
    <s v="Rukungiri"/>
    <s v="UGA"/>
    <n v="2"/>
    <s v="Work"/>
    <s v="Town"/>
    <s v="Rukungiri"/>
    <s v="UGA"/>
    <n v="1"/>
    <s v="Home"/>
    <x v="4"/>
    <n v="1000"/>
    <n v="0.5"/>
    <x v="0"/>
    <n v="0.2"/>
    <x v="3"/>
    <n v="2"/>
    <s v="Manual Labour"/>
    <n v="1"/>
    <x v="2"/>
    <n v="1"/>
    <n v="5"/>
    <n v="2"/>
    <n v="4"/>
    <n v="3"/>
    <s v="Y"/>
    <n v="500"/>
    <x v="3"/>
  </r>
  <r>
    <d v="2019-10-21T00:00:00"/>
    <d v="1899-12-30T16:00:00"/>
    <m/>
    <s v="P"/>
    <n v="2"/>
    <s v="Road Vehicle"/>
    <n v="4"/>
    <x v="3"/>
    <x v="0"/>
    <n v="1"/>
    <x v="0"/>
    <s v="Kiltilti"/>
    <s v="Kanungu"/>
    <s v="UGA"/>
    <n v="1"/>
    <s v="Home"/>
    <s v="Rukungiri"/>
    <s v="Rukungiri"/>
    <s v="UGA"/>
    <n v="2"/>
    <s v="Work"/>
    <x v="1"/>
    <n v="15000"/>
    <m/>
    <x v="0"/>
    <n v="3"/>
    <x v="0"/>
    <n v="2"/>
    <s v="Manual Labour"/>
    <n v="1"/>
    <x v="2"/>
    <n v="4"/>
    <n v="2"/>
    <n v="1"/>
    <n v="3"/>
    <n v="5"/>
    <s v="Y"/>
    <m/>
    <x v="3"/>
  </r>
  <r>
    <d v="2019-10-21T00:00:00"/>
    <d v="1899-12-30T17:07:00"/>
    <m/>
    <s v="P"/>
    <n v="2"/>
    <s v="Road Vehicle"/>
    <n v="4"/>
    <x v="3"/>
    <x v="0"/>
    <n v="1"/>
    <x v="0"/>
    <s v="Kihindi"/>
    <s v="Rukungiri"/>
    <s v="UGA"/>
    <n v="1"/>
    <s v="Home"/>
    <s v="Rukungiri"/>
    <s v="Rukungiri"/>
    <s v="UGA"/>
    <n v="2"/>
    <s v="Work"/>
    <x v="1"/>
    <n v="1000"/>
    <m/>
    <x v="0"/>
    <n v="0.1"/>
    <x v="3"/>
    <n v="2"/>
    <s v="Manual Labour"/>
    <n v="2"/>
    <x v="3"/>
    <n v="2"/>
    <n v="1"/>
    <n v="5"/>
    <n v="3"/>
    <n v="4"/>
    <s v="Y"/>
    <m/>
    <x v="3"/>
  </r>
  <r>
    <d v="2019-10-21T00:00:00"/>
    <d v="1899-12-30T16:43:00"/>
    <m/>
    <s v="P"/>
    <n v="2"/>
    <s v="Road Vehicle"/>
    <n v="4"/>
    <x v="3"/>
    <x v="0"/>
    <n v="1"/>
    <x v="0"/>
    <s v="Sheema"/>
    <s v="Sheema"/>
    <s v="UGA"/>
    <n v="1"/>
    <s v="Home"/>
    <s v="Rukungiri"/>
    <s v="Rukungiri"/>
    <s v="UGA"/>
    <n v="2"/>
    <s v="Work"/>
    <x v="1"/>
    <n v="10000"/>
    <m/>
    <x v="0"/>
    <n v="2"/>
    <x v="0"/>
    <n v="2"/>
    <s v="Manual Labour"/>
    <n v="1"/>
    <x v="2"/>
    <n v="5"/>
    <n v="1"/>
    <n v="4"/>
    <n v="2"/>
    <n v="3"/>
    <s v="Y"/>
    <n v="1000"/>
    <x v="4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Ntungamo"/>
    <s v="Ntungamo"/>
    <s v="UGA"/>
    <n v="4"/>
    <s v="Commercial"/>
    <x v="0"/>
    <n v="5000"/>
    <m/>
    <x v="0"/>
    <n v="1"/>
    <x v="1"/>
    <n v="3"/>
    <s v="Artisan/Domestic"/>
    <n v="2"/>
    <x v="3"/>
    <n v="2"/>
    <n v="5"/>
    <n v="4"/>
    <n v="3"/>
    <n v="1"/>
    <s v="Y"/>
    <n v="10000"/>
    <x v="5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Ntungamo"/>
    <s v="Ntungamo"/>
    <s v="UGA"/>
    <n v="2"/>
    <s v="Work"/>
    <x v="1"/>
    <n v="5000"/>
    <m/>
    <x v="0"/>
    <n v="1"/>
    <x v="1"/>
    <n v="6"/>
    <s v="Businessman"/>
    <n v="1"/>
    <x v="2"/>
    <n v="1"/>
    <n v="3"/>
    <n v="4"/>
    <n v="5"/>
    <n v="2"/>
    <s v="Y"/>
    <m/>
    <x v="3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Mbarara"/>
    <s v="Mbarara"/>
    <s v="UGA"/>
    <n v="1"/>
    <s v="Home"/>
    <x v="16"/>
    <n v="15000"/>
    <n v="80"/>
    <x v="1"/>
    <n v="2.5"/>
    <x v="0"/>
    <n v="6"/>
    <s v="Businessman"/>
    <n v="1"/>
    <x v="2"/>
    <m/>
    <m/>
    <m/>
    <m/>
    <m/>
    <s v="Y"/>
    <n v="1000"/>
    <x v="4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Mbarara"/>
    <s v="Mbarara"/>
    <s v="UGA"/>
    <n v="2"/>
    <s v="Work"/>
    <x v="1"/>
    <n v="10000"/>
    <n v="80"/>
    <x v="1"/>
    <n v="3"/>
    <x v="0"/>
    <n v="3"/>
    <s v="Artisan/Domestic"/>
    <n v="1"/>
    <x v="2"/>
    <m/>
    <m/>
    <m/>
    <m/>
    <m/>
    <s v="Y"/>
    <n v="1000"/>
    <x v="4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Mbarara"/>
    <s v="Mbarara"/>
    <s v="UGA"/>
    <n v="5"/>
    <s v="Tourism"/>
    <x v="20"/>
    <n v="12000"/>
    <n v="80"/>
    <x v="1"/>
    <n v="2.5"/>
    <x v="0"/>
    <n v="7"/>
    <s v="Farmer"/>
    <n v="2"/>
    <x v="3"/>
    <n v="1"/>
    <n v="3"/>
    <n v="2"/>
    <n v="5"/>
    <n v="4"/>
    <s v="Y"/>
    <n v="5000"/>
    <x v="2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Mbarara"/>
    <s v="Mbarara"/>
    <s v="UGA"/>
    <n v="5"/>
    <s v="Tourism"/>
    <x v="20"/>
    <n v="10000"/>
    <m/>
    <x v="0"/>
    <n v="1.5"/>
    <x v="1"/>
    <n v="2"/>
    <s v="Manual Labour"/>
    <n v="1"/>
    <x v="2"/>
    <n v="3"/>
    <n v="4"/>
    <n v="1"/>
    <n v="2"/>
    <n v="5"/>
    <s v="Y"/>
    <n v="1000"/>
    <x v="4"/>
  </r>
  <r>
    <d v="2019-10-21T00:00:00"/>
    <m/>
    <m/>
    <s v="P"/>
    <n v="2"/>
    <s v="Road Vehicle"/>
    <n v="4"/>
    <x v="3"/>
    <x v="0"/>
    <n v="1"/>
    <x v="0"/>
    <s v="Rukungiri"/>
    <s v="Rukungiri"/>
    <s v="UGA"/>
    <n v="1"/>
    <s v="Home"/>
    <s v="Ruhinda"/>
    <s v="Rukungiri"/>
    <s v="UGA"/>
    <n v="1"/>
    <s v="Home"/>
    <x v="16"/>
    <n v="2000"/>
    <n v="8"/>
    <x v="0"/>
    <n v="1"/>
    <x v="1"/>
    <n v="5"/>
    <s v="Professional"/>
    <n v="2"/>
    <x v="3"/>
    <n v="2"/>
    <n v="3"/>
    <n v="5"/>
    <n v="1"/>
    <n v="4"/>
    <s v="Y"/>
    <n v="1000"/>
    <x v="4"/>
  </r>
  <r>
    <d v="2019-10-22T00:00:00"/>
    <d v="1899-12-30T16:03:00"/>
    <m/>
    <s v="P"/>
    <n v="2"/>
    <s v="Road Vehicle"/>
    <n v="4"/>
    <x v="3"/>
    <x v="0"/>
    <n v="1"/>
    <x v="0"/>
    <s v="Wakabengo"/>
    <s v="Rukungiri"/>
    <s v="UGA"/>
    <n v="3"/>
    <s v="Study"/>
    <s v="Kakiiku"/>
    <s v="Mbarara"/>
    <s v="UGA"/>
    <n v="1"/>
    <s v="Home"/>
    <x v="9"/>
    <n v="15000"/>
    <n v="120"/>
    <x v="2"/>
    <n v="4"/>
    <x v="2"/>
    <n v="8"/>
    <s v="Student"/>
    <n v="1"/>
    <x v="2"/>
    <n v="2"/>
    <n v="1"/>
    <n v="5"/>
    <n v="4"/>
    <n v="3"/>
    <s v="Y"/>
    <m/>
    <x v="3"/>
  </r>
  <r>
    <d v="2019-10-22T00:00:00"/>
    <d v="1899-12-30T13:40:00"/>
    <m/>
    <s v="P"/>
    <n v="2"/>
    <s v="Road Vehicle"/>
    <n v="4"/>
    <x v="3"/>
    <x v="0"/>
    <n v="1"/>
    <x v="0"/>
    <s v="Nabugabo"/>
    <s v="Rukungiri"/>
    <s v="UGA"/>
    <n v="3"/>
    <s v="Study"/>
    <s v="Rwerere"/>
    <s v="Rukungiri"/>
    <s v="UGA"/>
    <n v="1"/>
    <s v="Home"/>
    <x v="9"/>
    <n v="3000"/>
    <n v="1.5"/>
    <x v="0"/>
    <n v="0.7"/>
    <x v="4"/>
    <n v="1"/>
    <s v="Unemployed"/>
    <n v="1"/>
    <x v="2"/>
    <n v="2"/>
    <n v="1"/>
    <n v="5"/>
    <n v="4"/>
    <n v="3"/>
    <s v="Y"/>
    <n v="500"/>
    <x v="3"/>
  </r>
  <r>
    <d v="2019-10-22T00:00:00"/>
    <m/>
    <m/>
    <s v="P"/>
    <n v="2"/>
    <s v="Road Vehicle"/>
    <n v="4"/>
    <x v="3"/>
    <x v="0"/>
    <n v="1"/>
    <x v="0"/>
    <s v="Rukungiri"/>
    <s v="Rukungiri"/>
    <s v="UGA"/>
    <n v="1"/>
    <s v="Home"/>
    <s v="Bwambara"/>
    <s v="Rukungiri"/>
    <s v="UGA"/>
    <n v="4"/>
    <s v="Commercial"/>
    <x v="0"/>
    <n v="7000"/>
    <n v="80"/>
    <x v="1"/>
    <n v="1.5"/>
    <x v="1"/>
    <n v="2"/>
    <s v="Manual Labour"/>
    <n v="1"/>
    <x v="2"/>
    <n v="3"/>
    <n v="4"/>
    <n v="1"/>
    <n v="2"/>
    <n v="5"/>
    <s v="Y"/>
    <n v="2000"/>
    <x v="1"/>
  </r>
  <r>
    <d v="2019-10-22T00:00:00"/>
    <m/>
    <m/>
    <s v="P"/>
    <n v="2"/>
    <s v="Road Vehicle"/>
    <n v="4"/>
    <x v="3"/>
    <x v="0"/>
    <n v="1"/>
    <x v="0"/>
    <s v="Rukungiri"/>
    <s v="Rukungiri"/>
    <s v="UGA"/>
    <n v="2"/>
    <s v="Work"/>
    <s v="Kampala"/>
    <s v="Kampala"/>
    <s v="UGA"/>
    <n v="1"/>
    <s v="Home"/>
    <x v="4"/>
    <n v="30000"/>
    <n v="380"/>
    <x v="3"/>
    <n v="7.5"/>
    <x v="2"/>
    <n v="4"/>
    <s v="Office Worker"/>
    <n v="2"/>
    <x v="3"/>
    <n v="1"/>
    <n v="5"/>
    <n v="3"/>
    <n v="2"/>
    <n v="4"/>
    <s v="Y"/>
    <n v="4000"/>
    <x v="0"/>
  </r>
  <r>
    <d v="2019-10-22T00:00:00"/>
    <m/>
    <m/>
    <s v="P"/>
    <n v="2"/>
    <s v="Road Vehicle"/>
    <n v="4"/>
    <x v="3"/>
    <x v="0"/>
    <n v="1"/>
    <x v="0"/>
    <s v="Rukungiri"/>
    <s v="Rukungiri"/>
    <s v="UGA"/>
    <n v="1"/>
    <s v="Home"/>
    <s v="Kampala"/>
    <s v="Kampala"/>
    <s v="UGA"/>
    <n v="4"/>
    <s v="Commercial"/>
    <x v="0"/>
    <n v="30000"/>
    <n v="400"/>
    <x v="3"/>
    <n v="7"/>
    <x v="2"/>
    <n v="3"/>
    <s v="Artisan/Domestic"/>
    <n v="2"/>
    <x v="3"/>
    <n v="2"/>
    <n v="3"/>
    <n v="5"/>
    <n v="1"/>
    <n v="4"/>
    <s v="Y"/>
    <n v="4000"/>
    <x v="0"/>
  </r>
  <r>
    <d v="2019-10-22T00:00:00"/>
    <m/>
    <m/>
    <s v="P"/>
    <n v="2"/>
    <s v="Road Vehicle"/>
    <n v="4"/>
    <x v="3"/>
    <x v="0"/>
    <n v="1"/>
    <x v="0"/>
    <s v="Rukungiri"/>
    <s v="Rukungiri"/>
    <s v="UGA"/>
    <n v="1"/>
    <s v="Home"/>
    <s v="Kampala"/>
    <s v="Kampala"/>
    <s v="UGA"/>
    <n v="6"/>
    <s v="Leisure/Social"/>
    <x v="8"/>
    <n v="25000"/>
    <n v="400"/>
    <x v="3"/>
    <n v="6"/>
    <x v="2"/>
    <n v="5"/>
    <s v="Professional"/>
    <n v="1"/>
    <x v="2"/>
    <m/>
    <m/>
    <m/>
    <m/>
    <m/>
    <s v="Y"/>
    <n v="1000"/>
    <x v="4"/>
  </r>
  <r>
    <d v="2019-10-23T00:00:00"/>
    <d v="1899-12-30T13:01:00"/>
    <m/>
    <s v="P"/>
    <n v="2"/>
    <s v="Road Vehicle"/>
    <n v="4"/>
    <x v="3"/>
    <x v="0"/>
    <n v="1"/>
    <x v="0"/>
    <s v="Buyanja"/>
    <s v="Rukungiri"/>
    <s v="UGA"/>
    <n v="2"/>
    <s v="Work"/>
    <s v="Omulutale"/>
    <s v="Rukungiri"/>
    <s v="UGA"/>
    <n v="2"/>
    <s v="Work"/>
    <x v="2"/>
    <n v="1000"/>
    <n v="10"/>
    <x v="6"/>
    <n v="0.3"/>
    <x v="3"/>
    <n v="2"/>
    <s v="Manual Labour"/>
    <n v="1"/>
    <x v="2"/>
    <n v="1"/>
    <n v="2"/>
    <n v="3"/>
    <n v="5"/>
    <n v="4"/>
    <s v="Y"/>
    <m/>
    <x v="3"/>
  </r>
  <r>
    <d v="2019-10-23T00:00:00"/>
    <m/>
    <m/>
    <s v="P"/>
    <n v="2"/>
    <s v="Road Vehicle"/>
    <n v="4"/>
    <x v="3"/>
    <x v="0"/>
    <n v="1"/>
    <x v="0"/>
    <s v="Rukungiri"/>
    <s v="Rukungiri"/>
    <s v="UGA"/>
    <n v="2"/>
    <s v="Work"/>
    <s v="Mutungo"/>
    <s v="Kampala"/>
    <s v="UGA"/>
    <n v="1"/>
    <s v="Home"/>
    <x v="4"/>
    <n v="35000"/>
    <n v="400"/>
    <x v="3"/>
    <n v="9"/>
    <x v="2"/>
    <n v="2"/>
    <s v="Manual Labour"/>
    <n v="2"/>
    <x v="3"/>
    <n v="3"/>
    <n v="4"/>
    <n v="1"/>
    <n v="2"/>
    <n v="5"/>
    <s v="Y"/>
    <m/>
    <x v="3"/>
  </r>
  <r>
    <d v="2019-10-23T00:00:00"/>
    <m/>
    <m/>
    <s v="P"/>
    <n v="2"/>
    <s v="Road Vehicle"/>
    <n v="4"/>
    <x v="3"/>
    <x v="0"/>
    <n v="1"/>
    <x v="0"/>
    <s v="Rukungiri"/>
    <s v="Rukungiri"/>
    <s v="UGA"/>
    <n v="1"/>
    <s v="Home"/>
    <s v="Kampala"/>
    <s v="Kampala"/>
    <s v="UGA"/>
    <n v="2"/>
    <s v="Work"/>
    <x v="1"/>
    <n v="30000"/>
    <n v="400"/>
    <x v="3"/>
    <n v="8"/>
    <x v="2"/>
    <n v="2"/>
    <s v="Manual Labour"/>
    <n v="1"/>
    <x v="2"/>
    <m/>
    <m/>
    <m/>
    <m/>
    <m/>
    <s v="Y"/>
    <m/>
    <x v="3"/>
  </r>
  <r>
    <d v="2019-10-23T00:00:00"/>
    <m/>
    <m/>
    <s v="P"/>
    <n v="2"/>
    <s v="Road Vehicle"/>
    <n v="4"/>
    <x v="3"/>
    <x v="0"/>
    <n v="1"/>
    <x v="0"/>
    <s v="Rukungiri"/>
    <s v="Rukungiri"/>
    <s v="UGA"/>
    <n v="1"/>
    <s v="Home"/>
    <s v="Buyanja"/>
    <s v="Rukungiri"/>
    <s v="UGA"/>
    <n v="2"/>
    <s v="Work"/>
    <x v="1"/>
    <n v="1500"/>
    <n v="4"/>
    <x v="0"/>
    <n v="0.7"/>
    <x v="4"/>
    <n v="2"/>
    <s v="Manual Labour"/>
    <n v="1"/>
    <x v="2"/>
    <n v="2"/>
    <n v="3"/>
    <n v="5"/>
    <n v="1"/>
    <n v="4"/>
    <s v="Y"/>
    <n v="7000"/>
    <x v="2"/>
  </r>
  <r>
    <d v="2019-10-23T00:00:00"/>
    <m/>
    <m/>
    <s v="P"/>
    <n v="2"/>
    <s v="Road Vehicle"/>
    <n v="4"/>
    <x v="3"/>
    <x v="0"/>
    <n v="1"/>
    <x v="0"/>
    <s v="Rukungiri"/>
    <s v="Rukungiri"/>
    <s v="UGA"/>
    <n v="1"/>
    <s v="Home"/>
    <s v="Buyanja"/>
    <s v="Rukungiri"/>
    <s v="UGA"/>
    <n v="2"/>
    <s v="Work"/>
    <x v="1"/>
    <n v="1500"/>
    <n v="3"/>
    <x v="0"/>
    <n v="0.5"/>
    <x v="4"/>
    <n v="2"/>
    <s v="Manual Labour"/>
    <n v="1"/>
    <x v="2"/>
    <n v="1"/>
    <n v="3"/>
    <n v="5"/>
    <n v="4"/>
    <n v="2"/>
    <s v="Y"/>
    <n v="1000"/>
    <x v="4"/>
  </r>
  <r>
    <d v="2019-10-23T00:00:00"/>
    <m/>
    <m/>
    <s v="P"/>
    <n v="2"/>
    <s v="Road Vehicle"/>
    <n v="4"/>
    <x v="3"/>
    <x v="0"/>
    <n v="1"/>
    <x v="0"/>
    <s v="Kisiizi"/>
    <s v="Rukungiri"/>
    <s v="UGA"/>
    <n v="1"/>
    <s v="Home"/>
    <s v="Kibaale"/>
    <s v="Mbarara"/>
    <s v="UGA"/>
    <n v="6"/>
    <s v="Leisure/Social"/>
    <x v="8"/>
    <n v="15000"/>
    <n v="150"/>
    <x v="2"/>
    <n v="4.5"/>
    <x v="2"/>
    <n v="2"/>
    <s v="Manual Labour"/>
    <n v="2"/>
    <x v="3"/>
    <m/>
    <m/>
    <m/>
    <m/>
    <m/>
    <s v="Y"/>
    <m/>
    <x v="3"/>
  </r>
  <r>
    <d v="2019-10-23T00:00:00"/>
    <m/>
    <m/>
    <s v="P"/>
    <n v="2"/>
    <s v="Road Vehicle"/>
    <n v="4"/>
    <x v="3"/>
    <x v="0"/>
    <n v="1"/>
    <x v="0"/>
    <s v="Rukungiri"/>
    <s v="Rukungiri"/>
    <s v="UGA"/>
    <n v="1"/>
    <s v="Home"/>
    <s v="Bwabala"/>
    <s v="Rukungiri"/>
    <s v="UGA"/>
    <n v="6"/>
    <s v="Leisure/Social"/>
    <x v="8"/>
    <n v="5000"/>
    <n v="20"/>
    <x v="4"/>
    <n v="1.5"/>
    <x v="1"/>
    <n v="7"/>
    <s v="Farmer"/>
    <n v="2"/>
    <x v="3"/>
    <n v="2"/>
    <n v="5"/>
    <n v="1"/>
    <n v="4"/>
    <n v="3"/>
    <s v="Y"/>
    <n v="5000"/>
    <x v="2"/>
  </r>
  <r>
    <d v="2019-10-23T00:00:00"/>
    <d v="1899-12-30T08:15:00"/>
    <m/>
    <s v="P"/>
    <n v="2"/>
    <s v="Road Vehicle"/>
    <n v="4"/>
    <x v="3"/>
    <x v="0"/>
    <n v="1"/>
    <x v="0"/>
    <s v="Rukungiri"/>
    <s v="Rukungiri"/>
    <s v="UGA"/>
    <n v="1"/>
    <s v="Home"/>
    <s v="Kampala"/>
    <s v="Kampala"/>
    <m/>
    <n v="2"/>
    <s v="Work"/>
    <x v="1"/>
    <n v="30000"/>
    <m/>
    <x v="0"/>
    <n v="9"/>
    <x v="2"/>
    <n v="2"/>
    <s v="Manual Labour"/>
    <n v="1"/>
    <x v="2"/>
    <n v="3"/>
    <n v="2"/>
    <n v="1"/>
    <n v="4"/>
    <n v="3"/>
    <s v="Y"/>
    <m/>
    <x v="3"/>
  </r>
  <r>
    <d v="2019-10-23T00:00:00"/>
    <d v="1899-12-30T08:47:00"/>
    <m/>
    <s v="P"/>
    <n v="2"/>
    <s v="Road Vehicle"/>
    <n v="4"/>
    <x v="3"/>
    <x v="0"/>
    <n v="1"/>
    <x v="0"/>
    <s v="Rukungiri"/>
    <s v="Rukungiri"/>
    <s v="UGA"/>
    <n v="1"/>
    <s v="Home"/>
    <s v="Mbarara"/>
    <s v="Mbarara"/>
    <m/>
    <n v="4"/>
    <s v="Commercial"/>
    <x v="0"/>
    <n v="20000"/>
    <m/>
    <x v="0"/>
    <n v="4"/>
    <x v="2"/>
    <n v="6"/>
    <s v="Businessman"/>
    <n v="4"/>
    <x v="0"/>
    <n v="5"/>
    <n v="3"/>
    <n v="4"/>
    <n v="1"/>
    <n v="2"/>
    <s v="Y"/>
    <n v="5000"/>
    <x v="2"/>
  </r>
  <r>
    <d v="2019-10-23T00:00:00"/>
    <d v="1899-12-30T16:35:00"/>
    <m/>
    <s v="P"/>
    <n v="2"/>
    <s v="Road Vehicle"/>
    <n v="4"/>
    <x v="3"/>
    <x v="0"/>
    <n v="1"/>
    <x v="0"/>
    <s v="Bwindi"/>
    <s v="Kanungu"/>
    <s v="UGA"/>
    <n v="5"/>
    <s v="Tourism"/>
    <s v="Rukungiri"/>
    <s v="Rukungiri"/>
    <m/>
    <n v="2"/>
    <s v="Work"/>
    <x v="35"/>
    <n v="20000"/>
    <m/>
    <x v="0"/>
    <n v="4"/>
    <x v="2"/>
    <n v="5"/>
    <s v="Professional"/>
    <n v="4"/>
    <x v="0"/>
    <n v="3"/>
    <n v="2"/>
    <n v="1"/>
    <n v="4"/>
    <n v="5"/>
    <s v="Y"/>
    <n v="5000"/>
    <x v="2"/>
  </r>
  <r>
    <d v="2019-10-23T00:00:00"/>
    <d v="1899-12-30T16:20:00"/>
    <m/>
    <s v="P"/>
    <n v="2"/>
    <s v="Road Vehicle"/>
    <n v="3"/>
    <x v="9"/>
    <x v="0"/>
    <n v="1"/>
    <x v="0"/>
    <s v="Kabale"/>
    <s v="Kabale"/>
    <s v="UGA"/>
    <n v="1"/>
    <s v="Home"/>
    <s v="Rukungiri"/>
    <s v="Rukungiri"/>
    <m/>
    <n v="8"/>
    <s v="Others"/>
    <x v="13"/>
    <n v="15000"/>
    <m/>
    <x v="0"/>
    <n v="2"/>
    <x v="0"/>
    <n v="7"/>
    <s v="Farmer"/>
    <n v="3"/>
    <x v="1"/>
    <n v="5"/>
    <n v="2"/>
    <n v="4"/>
    <n v="1"/>
    <n v="3"/>
    <s v="Y"/>
    <n v="5000"/>
    <x v="2"/>
  </r>
  <r>
    <d v="2019-10-23T00:00:00"/>
    <d v="1899-12-30T07:35:00"/>
    <m/>
    <s v="P"/>
    <n v="2"/>
    <s v="Road Vehicle"/>
    <n v="2"/>
    <x v="6"/>
    <x v="1"/>
    <n v="1"/>
    <x v="0"/>
    <s v="Ntungamo"/>
    <s v="Ntungamo"/>
    <s v="UGA"/>
    <n v="8"/>
    <s v="Others"/>
    <s v="Rukungiri"/>
    <s v="Rukungiri"/>
    <m/>
    <n v="1"/>
    <s v="Home"/>
    <x v="12"/>
    <n v="6000"/>
    <m/>
    <x v="0"/>
    <n v="0.7"/>
    <x v="4"/>
    <n v="1"/>
    <s v="Unemployed"/>
    <n v="1"/>
    <x v="2"/>
    <n v="2"/>
    <n v="1"/>
    <n v="4"/>
    <n v="5"/>
    <n v="3"/>
    <s v="Y"/>
    <m/>
    <x v="3"/>
  </r>
  <r>
    <d v="2019-10-23T00:00:00"/>
    <d v="1899-12-30T09:46:00"/>
    <m/>
    <s v="P"/>
    <n v="2"/>
    <s v="Road Vehicle"/>
    <n v="2"/>
    <x v="6"/>
    <x v="1"/>
    <n v="1"/>
    <x v="0"/>
    <s v="Rukungiri"/>
    <s v="Rukungiri"/>
    <s v="UGA"/>
    <n v="1"/>
    <s v="Home"/>
    <s v="Ishaka"/>
    <s v="Bushenyi"/>
    <m/>
    <n v="2"/>
    <s v="Work"/>
    <x v="1"/>
    <n v="10000"/>
    <m/>
    <x v="0"/>
    <n v="2"/>
    <x v="0"/>
    <n v="4"/>
    <s v="Office Worker"/>
    <n v="2"/>
    <x v="3"/>
    <n v="5"/>
    <n v="3"/>
    <n v="4"/>
    <n v="1"/>
    <n v="2"/>
    <s v="Y"/>
    <n v="1000"/>
    <x v="4"/>
  </r>
  <r>
    <d v="2019-10-23T00:00:00"/>
    <d v="1899-12-30T10:15:00"/>
    <m/>
    <s v="P"/>
    <n v="2"/>
    <s v="Road Vehicle"/>
    <n v="2"/>
    <x v="6"/>
    <x v="1"/>
    <n v="1"/>
    <x v="0"/>
    <s v="Mbarara"/>
    <s v="Mbarara"/>
    <s v="UGA"/>
    <n v="1"/>
    <s v="Home"/>
    <s v="Ntungamo"/>
    <s v="Ntungamo"/>
    <m/>
    <n v="1"/>
    <s v="Home"/>
    <x v="16"/>
    <n v="20000"/>
    <m/>
    <x v="0"/>
    <n v="2"/>
    <x v="0"/>
    <n v="6"/>
    <s v="Businessman"/>
    <n v="4"/>
    <x v="0"/>
    <n v="4"/>
    <n v="5"/>
    <n v="4"/>
    <n v="1"/>
    <n v="2"/>
    <s v="Y"/>
    <m/>
    <x v="3"/>
  </r>
  <r>
    <d v="2019-10-23T00:00:00"/>
    <d v="1899-12-30T16:27:00"/>
    <m/>
    <s v="P"/>
    <n v="2"/>
    <s v="Road Vehicle"/>
    <n v="2"/>
    <x v="6"/>
    <x v="1"/>
    <n v="1"/>
    <x v="0"/>
    <s v="Kabale"/>
    <s v="Kabale"/>
    <s v="UGA"/>
    <n v="1"/>
    <s v="Home"/>
    <s v="Rukungiri"/>
    <s v="Rukungiri"/>
    <m/>
    <n v="4"/>
    <s v="Commercial"/>
    <x v="0"/>
    <n v="15000"/>
    <m/>
    <x v="0"/>
    <n v="2"/>
    <x v="0"/>
    <n v="6"/>
    <s v="Businessman"/>
    <n v="5"/>
    <x v="4"/>
    <n v="5"/>
    <n v="4"/>
    <n v="1"/>
    <n v="2"/>
    <n v="3"/>
    <s v="Y"/>
    <n v="10000"/>
    <x v="5"/>
  </r>
  <r>
    <d v="2019-10-21T00:00:00"/>
    <d v="1899-12-30T15:26:00"/>
    <m/>
    <s v="P"/>
    <n v="2"/>
    <s v="Road Vehicle"/>
    <n v="1"/>
    <x v="0"/>
    <x v="1"/>
    <n v="2"/>
    <x v="1"/>
    <s v="Rukungiri"/>
    <s v="Rukungiri"/>
    <s v="UGA"/>
    <n v="8"/>
    <s v="Others"/>
    <s v="Bushenyi"/>
    <s v="Bushenyi"/>
    <s v="UGA"/>
    <n v="1"/>
    <s v="Home"/>
    <x v="12"/>
    <n v="15000"/>
    <m/>
    <x v="0"/>
    <n v="3.5"/>
    <x v="2"/>
    <n v="1"/>
    <s v="Unemployed"/>
    <n v="1"/>
    <x v="2"/>
    <m/>
    <m/>
    <m/>
    <m/>
    <m/>
    <s v="Y"/>
    <m/>
    <x v="3"/>
  </r>
  <r>
    <d v="2019-10-23T00:00:00"/>
    <d v="1899-12-30T14:50:00"/>
    <m/>
    <s v="P"/>
    <n v="2"/>
    <s v="Road Vehicle"/>
    <n v="1"/>
    <x v="0"/>
    <x v="1"/>
    <n v="2"/>
    <x v="1"/>
    <s v="Kampala"/>
    <s v="Kampala"/>
    <s v="UGA"/>
    <n v="2"/>
    <s v="Work"/>
    <s v="Kiltilti"/>
    <s v="Kanungu"/>
    <m/>
    <n v="2"/>
    <s v="Work"/>
    <x v="2"/>
    <n v="30000"/>
    <m/>
    <x v="0"/>
    <n v="7.5"/>
    <x v="2"/>
    <n v="2"/>
    <s v="Manual Labour"/>
    <n v="2"/>
    <x v="3"/>
    <n v="2"/>
    <n v="1"/>
    <n v="4"/>
    <n v="3"/>
    <n v="5"/>
    <s v="Y"/>
    <m/>
    <x v="3"/>
  </r>
  <r>
    <d v="2019-10-21T00:00:00"/>
    <d v="1899-12-30T17:10:00"/>
    <m/>
    <s v="D"/>
    <n v="2"/>
    <s v="Road Vehicle"/>
    <n v="1"/>
    <x v="0"/>
    <x v="0"/>
    <n v="2"/>
    <x v="1"/>
    <s v="Rukondo"/>
    <s v="Rukungiri"/>
    <s v="UGA"/>
    <n v="2"/>
    <s v="Work"/>
    <s v="Town"/>
    <s v="Rukungiri"/>
    <s v="UGA"/>
    <n v="1"/>
    <s v="Home"/>
    <x v="4"/>
    <n v="150000"/>
    <n v="3"/>
    <x v="0"/>
    <n v="1.5"/>
    <x v="1"/>
    <n v="10"/>
    <s v="Other"/>
    <n v="2"/>
    <x v="3"/>
    <n v="1"/>
    <n v="3"/>
    <n v="4"/>
    <n v="5"/>
    <n v="2"/>
    <s v="Y"/>
    <n v="1000"/>
    <x v="4"/>
  </r>
  <r>
    <d v="2019-10-21T00:00:00"/>
    <d v="1899-12-30T14:01:00"/>
    <m/>
    <s v="D"/>
    <n v="2"/>
    <s v="Road Vehicle"/>
    <n v="1"/>
    <x v="0"/>
    <x v="0"/>
    <n v="2"/>
    <x v="1"/>
    <s v="Kayinya"/>
    <s v="Rukungiri"/>
    <s v="UGA"/>
    <n v="1"/>
    <s v="Home"/>
    <s v="Town"/>
    <s v="Rukungiri"/>
    <s v="UGA"/>
    <n v="2"/>
    <s v="Work"/>
    <x v="1"/>
    <n v="2000"/>
    <n v="5"/>
    <x v="0"/>
    <n v="0.2"/>
    <x v="3"/>
    <n v="6"/>
    <s v="Businessman"/>
    <n v="1"/>
    <x v="2"/>
    <n v="1"/>
    <n v="5"/>
    <n v="2"/>
    <n v="3"/>
    <n v="4"/>
    <s v="Y"/>
    <m/>
    <x v="3"/>
  </r>
  <r>
    <d v="2019-10-21T00:00:00"/>
    <d v="1899-12-30T14:44:00"/>
    <m/>
    <s v="P"/>
    <n v="2"/>
    <s v="Road Vehicle"/>
    <n v="1"/>
    <x v="0"/>
    <x v="0"/>
    <n v="2"/>
    <x v="1"/>
    <s v="Christ the King"/>
    <s v="Rukungiri"/>
    <s v="UGA"/>
    <n v="2"/>
    <s v="Work"/>
    <s v="Kambuga"/>
    <s v="Kanungu"/>
    <s v="UGA"/>
    <n v="1"/>
    <s v="Home"/>
    <x v="4"/>
    <n v="10000"/>
    <m/>
    <x v="0"/>
    <n v="2"/>
    <x v="0"/>
    <n v="6"/>
    <s v="Businessman"/>
    <n v="1"/>
    <x v="2"/>
    <m/>
    <m/>
    <m/>
    <m/>
    <m/>
    <s v="Y"/>
    <m/>
    <x v="3"/>
  </r>
  <r>
    <d v="2019-10-21T00:00:00"/>
    <d v="1899-12-30T15:08:00"/>
    <m/>
    <s v="D"/>
    <n v="2"/>
    <s v="Road Vehicle"/>
    <n v="1"/>
    <x v="0"/>
    <x v="0"/>
    <n v="2"/>
    <x v="1"/>
    <s v="Rukungiri"/>
    <s v="Rukungiri"/>
    <s v="UGA"/>
    <n v="1"/>
    <s v="Home"/>
    <s v="Ntungamo"/>
    <s v="Ntungamo"/>
    <s v="UGA"/>
    <n v="8"/>
    <s v="Others"/>
    <x v="13"/>
    <n v="25000"/>
    <m/>
    <x v="0"/>
    <n v="0.8"/>
    <x v="4"/>
    <n v="5"/>
    <s v="Professional"/>
    <n v="4"/>
    <x v="0"/>
    <n v="5"/>
    <n v="2"/>
    <n v="3"/>
    <n v="1"/>
    <n v="4"/>
    <s v="Y"/>
    <n v="5000"/>
    <x v="2"/>
  </r>
  <r>
    <d v="2019-10-23T00:00:00"/>
    <d v="1899-12-30T09:38:00"/>
    <m/>
    <s v="D"/>
    <n v="2"/>
    <s v="Road Vehicle"/>
    <n v="1"/>
    <x v="0"/>
    <x v="0"/>
    <n v="2"/>
    <x v="1"/>
    <s v="Rukungiri"/>
    <s v="Rukungiri"/>
    <s v="UGA"/>
    <n v="2"/>
    <s v="Work"/>
    <s v="Kabale"/>
    <s v="Kabale"/>
    <m/>
    <n v="8"/>
    <s v="Others"/>
    <x v="19"/>
    <n v="180000"/>
    <m/>
    <x v="0"/>
    <n v="6"/>
    <x v="2"/>
    <n v="5"/>
    <s v="Professional"/>
    <n v="4"/>
    <x v="0"/>
    <n v="5"/>
    <n v="1"/>
    <n v="4"/>
    <n v="2"/>
    <n v="3"/>
    <s v="Y"/>
    <n v="10000"/>
    <x v="5"/>
  </r>
  <r>
    <d v="2019-10-23T00:00:00"/>
    <d v="1899-12-30T16:31:00"/>
    <m/>
    <s v="P"/>
    <n v="2"/>
    <s v="Road Vehicle"/>
    <n v="1"/>
    <x v="0"/>
    <x v="0"/>
    <n v="2"/>
    <x v="1"/>
    <s v="Bwindi"/>
    <s v="Kanungu"/>
    <s v="UGA"/>
    <n v="2"/>
    <s v="Work"/>
    <s v="Rukungiri"/>
    <s v="Rukungiri"/>
    <m/>
    <n v="2"/>
    <s v="Work"/>
    <x v="2"/>
    <n v="20000"/>
    <m/>
    <x v="0"/>
    <n v="4"/>
    <x v="2"/>
    <n v="6"/>
    <s v="Businessman"/>
    <n v="4"/>
    <x v="0"/>
    <n v="5"/>
    <n v="4"/>
    <n v="2"/>
    <n v="1"/>
    <n v="3"/>
    <s v="Y"/>
    <n v="2000"/>
    <x v="1"/>
  </r>
  <r>
    <d v="2019-10-21T00:00:00"/>
    <d v="1899-12-30T17:33:00"/>
    <m/>
    <s v="D"/>
    <n v="2"/>
    <s v="Road Vehicle"/>
    <n v="9"/>
    <x v="8"/>
    <x v="0"/>
    <n v="2"/>
    <x v="1"/>
    <s v="Kampala"/>
    <s v="Kampala"/>
    <s v="UGA"/>
    <n v="4"/>
    <s v="Commercial"/>
    <s v="Mbarara"/>
    <s v="Mbarara"/>
    <s v="UGA"/>
    <n v="1"/>
    <s v="Home"/>
    <x v="3"/>
    <n v="400000"/>
    <m/>
    <x v="0"/>
    <n v="12"/>
    <x v="2"/>
    <n v="10"/>
    <s v="Other"/>
    <n v="3"/>
    <x v="1"/>
    <n v="2"/>
    <n v="1"/>
    <n v="5"/>
    <n v="3"/>
    <n v="4"/>
    <s v="Y"/>
    <n v="10000"/>
    <x v="5"/>
  </r>
  <r>
    <d v="2019-10-22T00:00:00"/>
    <d v="1899-12-30T14:20:00"/>
    <m/>
    <s v="P"/>
    <n v="2"/>
    <s v="Road Vehicle"/>
    <n v="6"/>
    <x v="1"/>
    <x v="1"/>
    <n v="2"/>
    <x v="1"/>
    <s v="Rukungiri"/>
    <s v="Rukungiri"/>
    <s v="UGA"/>
    <n v="3"/>
    <s v="Study"/>
    <s v="Mbarara"/>
    <s v="Mbarara"/>
    <s v="UGA"/>
    <n v="1"/>
    <s v="Home"/>
    <x v="9"/>
    <n v="150000"/>
    <n v="120"/>
    <x v="2"/>
    <n v="5"/>
    <x v="2"/>
    <n v="4"/>
    <s v="Office Worker"/>
    <n v="1"/>
    <x v="2"/>
    <n v="2"/>
    <n v="1"/>
    <n v="5"/>
    <n v="4"/>
    <n v="3"/>
    <s v="Y"/>
    <n v="2000"/>
    <x v="1"/>
  </r>
  <r>
    <d v="2019-10-22T00:00:00"/>
    <d v="1899-12-30T15:01:00"/>
    <m/>
    <s v="P"/>
    <n v="2"/>
    <s v="Road Vehicle"/>
    <n v="6"/>
    <x v="1"/>
    <x v="1"/>
    <n v="2"/>
    <x v="1"/>
    <s v="Rukungiri"/>
    <s v="Rukungiri"/>
    <s v="UGA"/>
    <n v="4"/>
    <s v="Commercial"/>
    <s v="Kampala"/>
    <s v="Kampala"/>
    <s v="UGA"/>
    <n v="1"/>
    <s v="Home"/>
    <x v="3"/>
    <n v="30000"/>
    <n v="401"/>
    <x v="3"/>
    <n v="8"/>
    <x v="2"/>
    <n v="6"/>
    <s v="Businessman"/>
    <n v="3"/>
    <x v="1"/>
    <n v="2"/>
    <n v="1"/>
    <n v="3"/>
    <n v="5"/>
    <n v="4"/>
    <s v="Y"/>
    <n v="1000"/>
    <x v="4"/>
  </r>
  <r>
    <d v="2019-10-21T00:00:00"/>
    <d v="1899-12-30T17:19:00"/>
    <m/>
    <s v="D"/>
    <n v="2"/>
    <s v="Road Vehicle"/>
    <n v="6"/>
    <x v="1"/>
    <x v="0"/>
    <n v="2"/>
    <x v="1"/>
    <s v="Rukungiri"/>
    <s v="Rukungiri"/>
    <s v="UGA"/>
    <n v="4"/>
    <s v="Commercial"/>
    <s v="Kampala"/>
    <s v="Kampala"/>
    <s v="UGA"/>
    <n v="4"/>
    <s v="Commercial"/>
    <x v="18"/>
    <n v="1100000"/>
    <m/>
    <x v="0"/>
    <n v="7"/>
    <x v="2"/>
    <n v="10"/>
    <s v="Other"/>
    <n v="2"/>
    <x v="3"/>
    <n v="1"/>
    <n v="2"/>
    <n v="4"/>
    <n v="5"/>
    <n v="3"/>
    <s v="Y"/>
    <m/>
    <x v="3"/>
  </r>
  <r>
    <d v="2019-10-22T00:00:00"/>
    <d v="1899-12-30T12:17:00"/>
    <m/>
    <s v="D"/>
    <n v="2"/>
    <s v="Road Vehicle"/>
    <n v="6"/>
    <x v="1"/>
    <x v="0"/>
    <n v="2"/>
    <x v="1"/>
    <s v="Town"/>
    <s v="Rukungiri"/>
    <s v="UGA"/>
    <n v="2"/>
    <s v="Work"/>
    <s v="Town"/>
    <s v="Kampala"/>
    <s v="UGA"/>
    <n v="1"/>
    <s v="Home"/>
    <x v="4"/>
    <n v="650000"/>
    <n v="390"/>
    <x v="3"/>
    <n v="7"/>
    <x v="2"/>
    <n v="10"/>
    <s v="Other"/>
    <n v="1"/>
    <x v="2"/>
    <n v="2"/>
    <n v="1"/>
    <n v="3"/>
    <n v="4"/>
    <n v="5"/>
    <s v="Y"/>
    <n v="3000"/>
    <x v="0"/>
  </r>
  <r>
    <d v="2019-10-22T00:00:00"/>
    <m/>
    <m/>
    <s v="P"/>
    <n v="2"/>
    <s v="Road Vehicle"/>
    <n v="6"/>
    <x v="1"/>
    <x v="0"/>
    <n v="2"/>
    <x v="1"/>
    <s v="Rukungiri"/>
    <s v="Rukungiri"/>
    <s v="UGA"/>
    <n v="1"/>
    <s v="Home"/>
    <s v="Bukoto"/>
    <s v="Kampala"/>
    <s v="UGA"/>
    <n v="4"/>
    <s v="Commercial"/>
    <x v="0"/>
    <n v="35000"/>
    <n v="4000"/>
    <x v="3"/>
    <n v="8"/>
    <x v="2"/>
    <n v="3"/>
    <s v="Artisan/Domestic"/>
    <n v="2"/>
    <x v="3"/>
    <n v="1"/>
    <n v="4"/>
    <n v="5"/>
    <n v="2"/>
    <n v="3"/>
    <s v="Y"/>
    <n v="3000"/>
    <x v="0"/>
  </r>
  <r>
    <d v="2019-10-23T00:00:00"/>
    <d v="1899-12-30T17:13:00"/>
    <m/>
    <s v="D"/>
    <n v="2"/>
    <s v="Road Vehicle"/>
    <n v="6"/>
    <x v="1"/>
    <x v="0"/>
    <n v="2"/>
    <x v="1"/>
    <s v="Rukungiri"/>
    <s v="Rukungiri"/>
    <s v="UGA"/>
    <n v="2"/>
    <s v="Work"/>
    <s v="Kampala"/>
    <s v="Kampala"/>
    <s v="UGA"/>
    <n v="1"/>
    <s v="Home"/>
    <x v="4"/>
    <n v="650000"/>
    <n v="390"/>
    <x v="3"/>
    <n v="7"/>
    <x v="2"/>
    <n v="10"/>
    <s v="Other"/>
    <n v="3"/>
    <x v="1"/>
    <n v="2"/>
    <n v="3"/>
    <n v="5"/>
    <n v="4"/>
    <n v="1"/>
    <s v="Y"/>
    <n v="2000"/>
    <x v="1"/>
  </r>
  <r>
    <d v="2019-10-23T00:00:00"/>
    <d v="1899-12-30T16:51:00"/>
    <m/>
    <s v="D"/>
    <n v="2"/>
    <s v="Road Vehicle"/>
    <n v="6"/>
    <x v="1"/>
    <x v="0"/>
    <n v="2"/>
    <x v="1"/>
    <s v="Kebusoni"/>
    <s v="Rukungiri"/>
    <s v="UGA"/>
    <n v="2"/>
    <s v="Work"/>
    <s v="Kampala"/>
    <s v="Kampala"/>
    <s v="UGA"/>
    <n v="1"/>
    <s v="Home"/>
    <x v="4"/>
    <n v="500000"/>
    <n v="382"/>
    <x v="3"/>
    <n v="7"/>
    <x v="2"/>
    <n v="10"/>
    <s v="Other"/>
    <n v="3"/>
    <x v="1"/>
    <n v="2"/>
    <n v="1"/>
    <n v="5"/>
    <n v="3"/>
    <n v="4"/>
    <s v="Y"/>
    <n v="1500"/>
    <x v="4"/>
  </r>
  <r>
    <d v="2019-10-23T00:00:00"/>
    <d v="1899-12-30T15:47:00"/>
    <m/>
    <s v="D"/>
    <n v="2"/>
    <s v="Road Vehicle"/>
    <n v="6"/>
    <x v="1"/>
    <x v="0"/>
    <n v="2"/>
    <x v="1"/>
    <s v="Rukungiri"/>
    <s v="Rukungiri"/>
    <s v="UGA"/>
    <n v="2"/>
    <s v="Work"/>
    <s v="Kampala"/>
    <s v="Kampala"/>
    <s v="UGA"/>
    <n v="1"/>
    <s v="Home"/>
    <x v="4"/>
    <n v="600000"/>
    <n v="385"/>
    <x v="3"/>
    <n v="7.5"/>
    <x v="2"/>
    <n v="10"/>
    <s v="Other"/>
    <n v="3"/>
    <x v="1"/>
    <n v="2"/>
    <n v="1"/>
    <n v="3"/>
    <n v="5"/>
    <n v="4"/>
    <s v="Y"/>
    <n v="2000"/>
    <x v="1"/>
  </r>
  <r>
    <d v="2019-10-23T00:00:00"/>
    <d v="1899-12-30T14:44:00"/>
    <m/>
    <s v="D"/>
    <n v="2"/>
    <s v="Road Vehicle"/>
    <n v="6"/>
    <x v="1"/>
    <x v="0"/>
    <n v="2"/>
    <x v="1"/>
    <s v="Rukungiri"/>
    <s v="Rukungiri"/>
    <s v="UGA"/>
    <n v="2"/>
    <s v="Work"/>
    <s v="Kampala"/>
    <s v="Kampala"/>
    <s v="UGA"/>
    <n v="1"/>
    <s v="Home"/>
    <x v="4"/>
    <n v="650000"/>
    <n v="400"/>
    <x v="3"/>
    <n v="7.5"/>
    <x v="2"/>
    <n v="10"/>
    <s v="Other"/>
    <n v="4"/>
    <x v="0"/>
    <n v="1"/>
    <n v="3"/>
    <n v="2"/>
    <n v="5"/>
    <n v="4"/>
    <s v="Y"/>
    <n v="1000"/>
    <x v="4"/>
  </r>
  <r>
    <d v="2019-10-23T00:00:00"/>
    <d v="1899-12-30T13:16:00"/>
    <m/>
    <s v="D"/>
    <n v="2"/>
    <s v="Road Vehicle"/>
    <n v="6"/>
    <x v="1"/>
    <x v="0"/>
    <n v="2"/>
    <x v="1"/>
    <s v="Rwerere"/>
    <s v="Rukungiri"/>
    <s v="UGA"/>
    <n v="2"/>
    <s v="Work"/>
    <s v="Kampala"/>
    <s v="Kampala"/>
    <s v="UGA"/>
    <n v="2"/>
    <s v="Work"/>
    <x v="2"/>
    <n v="650000"/>
    <n v="390"/>
    <x v="3"/>
    <n v="7.5"/>
    <x v="2"/>
    <n v="10"/>
    <s v="Other"/>
    <n v="3"/>
    <x v="1"/>
    <n v="2"/>
    <n v="3"/>
    <n v="4"/>
    <n v="5"/>
    <n v="1"/>
    <s v="Y"/>
    <n v="3000"/>
    <x v="0"/>
  </r>
  <r>
    <d v="2019-10-23T00:00:00"/>
    <d v="1899-12-30T15:12:00"/>
    <m/>
    <s v="D"/>
    <n v="2"/>
    <s v="Road Vehicle"/>
    <n v="6"/>
    <x v="1"/>
    <x v="0"/>
    <n v="2"/>
    <x v="1"/>
    <s v="Kabisoni"/>
    <s v="Rukungiri"/>
    <s v="UGA"/>
    <n v="1"/>
    <s v="Home"/>
    <s v="Kampala"/>
    <s v="Kampala"/>
    <s v="UGA"/>
    <n v="2"/>
    <s v="Work"/>
    <x v="1"/>
    <n v="600000"/>
    <n v="400"/>
    <x v="3"/>
    <n v="8"/>
    <x v="2"/>
    <n v="5"/>
    <s v="Professional"/>
    <n v="4"/>
    <x v="0"/>
    <n v="2"/>
    <n v="4"/>
    <n v="5"/>
    <n v="3"/>
    <n v="1"/>
    <s v="Y"/>
    <n v="5000"/>
    <x v="2"/>
  </r>
  <r>
    <d v="2019-10-23T00:00:00"/>
    <d v="1899-12-30T16:04:00"/>
    <m/>
    <s v="P"/>
    <n v="2"/>
    <s v="Road Vehicle"/>
    <n v="6"/>
    <x v="1"/>
    <x v="0"/>
    <n v="2"/>
    <x v="1"/>
    <s v="Kampala"/>
    <s v="Kampala"/>
    <s v="UGA"/>
    <n v="8"/>
    <s v="Others"/>
    <s v="Rukungiri"/>
    <s v="Rukungiri"/>
    <m/>
    <n v="2"/>
    <s v="Work"/>
    <x v="14"/>
    <n v="30000"/>
    <m/>
    <x v="0"/>
    <n v="9"/>
    <x v="2"/>
    <n v="4"/>
    <s v="Office Worker"/>
    <n v="2"/>
    <x v="3"/>
    <n v="4"/>
    <n v="5"/>
    <n v="2"/>
    <n v="1"/>
    <n v="3"/>
    <s v="Y"/>
    <n v="2000"/>
    <x v="1"/>
  </r>
  <r>
    <d v="2019-10-23T00:00:00"/>
    <d v="1899-12-30T16:13:00"/>
    <m/>
    <s v="P"/>
    <n v="2"/>
    <s v="Road Vehicle"/>
    <n v="6"/>
    <x v="1"/>
    <x v="0"/>
    <n v="2"/>
    <x v="1"/>
    <s v="Rukungiri"/>
    <s v="Rukungiri"/>
    <s v="UGA"/>
    <n v="4"/>
    <s v="Commercial"/>
    <s v="Kiltilti"/>
    <s v="Ntungamo"/>
    <m/>
    <n v="4"/>
    <s v="Commercial"/>
    <x v="18"/>
    <n v="10000"/>
    <m/>
    <x v="0"/>
    <n v="2"/>
    <x v="0"/>
    <n v="6"/>
    <s v="Businessman"/>
    <n v="5"/>
    <x v="4"/>
    <n v="5"/>
    <n v="4"/>
    <n v="1"/>
    <n v="2"/>
    <n v="5"/>
    <s v="Y"/>
    <n v="1000"/>
    <x v="4"/>
  </r>
  <r>
    <d v="2019-10-23T00:00:00"/>
    <d v="1899-12-30T15:21:00"/>
    <m/>
    <s v="P"/>
    <n v="2"/>
    <s v="Road Vehicle"/>
    <n v="5"/>
    <x v="2"/>
    <x v="1"/>
    <n v="2"/>
    <x v="1"/>
    <s v="Kisiizi"/>
    <s v="Rukungiri"/>
    <s v="UGA"/>
    <n v="2"/>
    <s v="Work"/>
    <s v="Kibaale"/>
    <s v="Mbarara"/>
    <s v="UGA"/>
    <n v="1"/>
    <s v="Home"/>
    <x v="4"/>
    <n v="15000"/>
    <n v="150"/>
    <x v="2"/>
    <n v="4"/>
    <x v="2"/>
    <n v="5"/>
    <s v="Professional"/>
    <n v="2"/>
    <x v="3"/>
    <n v="1"/>
    <n v="4"/>
    <n v="5"/>
    <n v="3"/>
    <n v="2"/>
    <s v="Y"/>
    <m/>
    <x v="3"/>
  </r>
  <r>
    <d v="2019-10-21T00:00:00"/>
    <d v="1899-12-30T14:43:00"/>
    <m/>
    <s v="P"/>
    <n v="2"/>
    <s v="Road Vehicle"/>
    <n v="5"/>
    <x v="2"/>
    <x v="0"/>
    <n v="2"/>
    <x v="1"/>
    <s v="Mabugambo"/>
    <s v="Rukungiri"/>
    <s v="UGA"/>
    <n v="1"/>
    <s v="Home"/>
    <s v="Kihini"/>
    <s v="Rukungiri"/>
    <s v="UGA"/>
    <n v="2"/>
    <s v="Work"/>
    <x v="1"/>
    <n v="120000"/>
    <n v="130"/>
    <x v="2"/>
    <n v="2"/>
    <x v="0"/>
    <n v="4"/>
    <s v="Office Worker"/>
    <n v="2"/>
    <x v="3"/>
    <n v="3"/>
    <n v="1"/>
    <n v="2"/>
    <n v="4"/>
    <n v="5"/>
    <s v="Y"/>
    <m/>
    <x v="3"/>
  </r>
  <r>
    <d v="2019-10-22T00:00:00"/>
    <d v="1899-12-30T15:26:00"/>
    <m/>
    <s v="D"/>
    <n v="2"/>
    <s v="Road Vehicle"/>
    <n v="5"/>
    <x v="2"/>
    <x v="0"/>
    <n v="2"/>
    <x v="1"/>
    <m/>
    <m/>
    <s v="UGA"/>
    <n v="2"/>
    <s v="Work"/>
    <m/>
    <m/>
    <s v="UGA"/>
    <n v="1"/>
    <s v="Home"/>
    <x v="4"/>
    <n v="200000"/>
    <n v="115"/>
    <x v="2"/>
    <n v="4"/>
    <x v="2"/>
    <n v="10"/>
    <s v="Other"/>
    <n v="3"/>
    <x v="1"/>
    <n v="1"/>
    <n v="2"/>
    <n v="3"/>
    <n v="4"/>
    <n v="5"/>
    <s v="Y"/>
    <n v="2000"/>
    <x v="1"/>
  </r>
  <r>
    <d v="2019-10-23T00:00:00"/>
    <d v="1899-12-30T14:31:00"/>
    <m/>
    <s v="D"/>
    <n v="2"/>
    <s v="Road Vehicle"/>
    <n v="5"/>
    <x v="2"/>
    <x v="0"/>
    <n v="2"/>
    <x v="1"/>
    <s v="Rukungiri"/>
    <s v="Rukungiri"/>
    <s v="UGA"/>
    <n v="1"/>
    <s v="Home"/>
    <s v="Mbarara"/>
    <s v="Mbarara"/>
    <s v="UGA"/>
    <n v="2"/>
    <s v="Work"/>
    <x v="1"/>
    <n v="250000"/>
    <n v="114"/>
    <x v="2"/>
    <n v="4.5"/>
    <x v="2"/>
    <n v="10"/>
    <s v="Other"/>
    <n v="2"/>
    <x v="3"/>
    <n v="1"/>
    <n v="3"/>
    <n v="2"/>
    <n v="4"/>
    <n v="5"/>
    <s v="Y"/>
    <n v="3000"/>
    <x v="0"/>
  </r>
  <r>
    <d v="2019-10-23T00:00:00"/>
    <d v="1899-12-30T14:15:00"/>
    <m/>
    <s v="D"/>
    <n v="2"/>
    <s v="Road Vehicle"/>
    <n v="5"/>
    <x v="2"/>
    <x v="0"/>
    <n v="2"/>
    <x v="1"/>
    <s v="Bwabara"/>
    <s v="Rukungiri"/>
    <s v="UGA"/>
    <n v="2"/>
    <s v="Work"/>
    <s v="Rwenshama"/>
    <s v="Rukungiri"/>
    <s v="UGA"/>
    <n v="1"/>
    <s v="Home"/>
    <x v="4"/>
    <n v="200000"/>
    <n v="80"/>
    <x v="1"/>
    <n v="2.5"/>
    <x v="0"/>
    <n v="5"/>
    <s v="Professional"/>
    <n v="3"/>
    <x v="1"/>
    <n v="2"/>
    <n v="4"/>
    <n v="5"/>
    <n v="3"/>
    <n v="1"/>
    <s v="Y"/>
    <m/>
    <x v="3"/>
  </r>
  <r>
    <d v="2019-10-23T00:00:00"/>
    <d v="1899-12-30T14:22:00"/>
    <m/>
    <s v="D"/>
    <n v="2"/>
    <s v="Road Vehicle"/>
    <n v="5"/>
    <x v="2"/>
    <x v="0"/>
    <n v="2"/>
    <x v="1"/>
    <s v="Kambuga"/>
    <s v="Rukungiri"/>
    <s v="UGA"/>
    <n v="2"/>
    <s v="Work"/>
    <s v="Mbarara"/>
    <s v="Mbarara"/>
    <s v="UGA"/>
    <n v="1"/>
    <s v="Home"/>
    <x v="4"/>
    <n v="180000"/>
    <n v="120"/>
    <x v="2"/>
    <n v="4.5"/>
    <x v="2"/>
    <n v="6"/>
    <s v="Businessman"/>
    <n v="3"/>
    <x v="1"/>
    <n v="2"/>
    <n v="3"/>
    <n v="5"/>
    <n v="1"/>
    <n v="4"/>
    <s v="Y"/>
    <n v="1000"/>
    <x v="4"/>
  </r>
  <r>
    <d v="2019-10-21T00:00:00"/>
    <m/>
    <m/>
    <s v="P"/>
    <n v="2"/>
    <s v="Road Vehicle"/>
    <n v="4"/>
    <x v="3"/>
    <x v="1"/>
    <n v="2"/>
    <x v="1"/>
    <s v="Rukungiri"/>
    <s v="Rukungiri"/>
    <s v="UGA"/>
    <n v="1"/>
    <s v="Home"/>
    <s v="Butogote"/>
    <s v="Kanungu"/>
    <s v="UGA"/>
    <n v="3"/>
    <s v="Study"/>
    <x v="25"/>
    <n v="7000"/>
    <m/>
    <x v="0"/>
    <n v="1.5"/>
    <x v="1"/>
    <n v="4"/>
    <s v="Office Worker"/>
    <n v="3"/>
    <x v="1"/>
    <n v="3"/>
    <n v="1"/>
    <n v="4"/>
    <n v="2"/>
    <n v="5"/>
    <s v="Y"/>
    <n v="3000"/>
    <x v="0"/>
  </r>
  <r>
    <d v="2019-10-21T00:00:00"/>
    <m/>
    <m/>
    <s v="P"/>
    <n v="2"/>
    <s v="Road Vehicle"/>
    <n v="4"/>
    <x v="3"/>
    <x v="1"/>
    <n v="2"/>
    <x v="1"/>
    <s v="Rukungiri"/>
    <s v="Rukungiri"/>
    <s v="UGA"/>
    <n v="1"/>
    <s v="Home"/>
    <s v="Mbarara"/>
    <s v="Mbarara"/>
    <s v="UGA"/>
    <n v="4"/>
    <s v="Commercial"/>
    <x v="0"/>
    <n v="15000"/>
    <n v="85"/>
    <x v="1"/>
    <n v="1.5"/>
    <x v="1"/>
    <n v="6"/>
    <s v="Businessman"/>
    <n v="3"/>
    <x v="1"/>
    <n v="1"/>
    <n v="4"/>
    <n v="5"/>
    <n v="2"/>
    <n v="3"/>
    <s v="Y"/>
    <m/>
    <x v="3"/>
  </r>
  <r>
    <d v="2019-10-22T00:00:00"/>
    <d v="1899-12-30T13:26:00"/>
    <m/>
    <s v="P"/>
    <n v="2"/>
    <s v="Road Vehicle"/>
    <n v="4"/>
    <x v="3"/>
    <x v="1"/>
    <n v="2"/>
    <x v="1"/>
    <s v="Rukungiri"/>
    <s v="Rukungiri"/>
    <s v="UGA"/>
    <n v="1"/>
    <s v="Home"/>
    <s v="Kawanda"/>
    <s v="Kampala"/>
    <s v="UGA"/>
    <n v="2"/>
    <s v="Work"/>
    <x v="1"/>
    <n v="30000"/>
    <n v="388"/>
    <x v="3"/>
    <n v="9"/>
    <x v="2"/>
    <n v="5"/>
    <s v="Professional"/>
    <n v="2"/>
    <x v="3"/>
    <n v="1"/>
    <n v="5"/>
    <n v="4"/>
    <n v="3"/>
    <n v="2"/>
    <s v="Y"/>
    <n v="2000"/>
    <x v="1"/>
  </r>
  <r>
    <d v="2019-10-22T00:00:00"/>
    <m/>
    <m/>
    <s v="P"/>
    <n v="2"/>
    <s v="Road Vehicle"/>
    <n v="4"/>
    <x v="3"/>
    <x v="1"/>
    <n v="2"/>
    <x v="1"/>
    <s v="Rukungiri"/>
    <s v="Rukungiri"/>
    <s v="UGA"/>
    <n v="1"/>
    <s v="Home"/>
    <s v="Kebisoni"/>
    <s v="Rukungiri"/>
    <s v="UGA"/>
    <n v="2"/>
    <s v="Work"/>
    <x v="1"/>
    <n v="3000"/>
    <n v="30"/>
    <x v="4"/>
    <n v="0.5"/>
    <x v="4"/>
    <n v="2"/>
    <s v="Manual Labour"/>
    <n v="3"/>
    <x v="1"/>
    <n v="1"/>
    <n v="3"/>
    <n v="4"/>
    <n v="2"/>
    <n v="5"/>
    <s v="Y"/>
    <n v="7000"/>
    <x v="2"/>
  </r>
  <r>
    <d v="2019-10-22T00:00:00"/>
    <m/>
    <m/>
    <s v="P"/>
    <n v="2"/>
    <s v="Road Vehicle"/>
    <n v="4"/>
    <x v="3"/>
    <x v="1"/>
    <n v="2"/>
    <x v="1"/>
    <s v="Rukungiri"/>
    <s v="Rukungiri"/>
    <s v="UGA"/>
    <n v="1"/>
    <s v="Home"/>
    <s v="Ntungamo"/>
    <s v="Ntungamo"/>
    <s v="UGA"/>
    <n v="4"/>
    <s v="Commercial"/>
    <x v="0"/>
    <n v="7000"/>
    <n v="75"/>
    <x v="1"/>
    <n v="1"/>
    <x v="1"/>
    <n v="7"/>
    <s v="Farmer"/>
    <n v="1"/>
    <x v="2"/>
    <n v="2"/>
    <n v="1"/>
    <n v="3"/>
    <n v="5"/>
    <n v="4"/>
    <s v="Y"/>
    <n v="1000"/>
    <x v="4"/>
  </r>
  <r>
    <d v="2019-10-22T00:00:00"/>
    <m/>
    <m/>
    <s v="P"/>
    <n v="2"/>
    <s v="Road Vehicle"/>
    <n v="4"/>
    <x v="3"/>
    <x v="1"/>
    <n v="2"/>
    <x v="1"/>
    <s v="Rukungiri"/>
    <s v="Rukungiri"/>
    <s v="UGA"/>
    <n v="2"/>
    <s v="Work"/>
    <s v="Ntungamo"/>
    <s v="Ntungamo"/>
    <s v="UGA"/>
    <n v="4"/>
    <s v="Commercial"/>
    <x v="17"/>
    <n v="7000"/>
    <n v="75"/>
    <x v="1"/>
    <n v="1.5"/>
    <x v="1"/>
    <n v="6"/>
    <s v="Businessman"/>
    <n v="2"/>
    <x v="3"/>
    <n v="3"/>
    <n v="1"/>
    <n v="2"/>
    <n v="5"/>
    <n v="4"/>
    <s v="Y"/>
    <n v="1000"/>
    <x v="4"/>
  </r>
  <r>
    <d v="2019-10-22T00:00:00"/>
    <m/>
    <m/>
    <s v="P"/>
    <n v="2"/>
    <s v="Road Vehicle"/>
    <n v="4"/>
    <x v="3"/>
    <x v="1"/>
    <n v="2"/>
    <x v="1"/>
    <s v="Rukungiri"/>
    <s v="Rukungiri"/>
    <s v="UGA"/>
    <n v="1"/>
    <s v="Home"/>
    <s v="Kampala"/>
    <s v="Kampala"/>
    <s v="UGA"/>
    <n v="4"/>
    <s v="Commercial"/>
    <x v="0"/>
    <n v="30000"/>
    <m/>
    <x v="0"/>
    <n v="7"/>
    <x v="2"/>
    <n v="3"/>
    <s v="Artisan/Domestic"/>
    <n v="2"/>
    <x v="3"/>
    <n v="3"/>
    <n v="5"/>
    <n v="1"/>
    <n v="2"/>
    <n v="4"/>
    <s v="Y"/>
    <m/>
    <x v="3"/>
  </r>
  <r>
    <d v="2019-10-23T00:00:00"/>
    <m/>
    <m/>
    <s v="P"/>
    <n v="2"/>
    <s v="Road Vehicle"/>
    <n v="4"/>
    <x v="3"/>
    <x v="1"/>
    <n v="2"/>
    <x v="1"/>
    <s v="Rukungiri"/>
    <s v="Rukungiri"/>
    <s v="UGA"/>
    <n v="1"/>
    <s v="Home"/>
    <s v="Bikungu"/>
    <s v="Rukungiri"/>
    <s v="UGA"/>
    <n v="2"/>
    <s v="Work"/>
    <x v="1"/>
    <n v="6000"/>
    <n v="30"/>
    <x v="4"/>
    <n v="1"/>
    <x v="1"/>
    <n v="2"/>
    <s v="Manual Labour"/>
    <n v="1"/>
    <x v="2"/>
    <n v="1"/>
    <n v="2"/>
    <n v="3"/>
    <n v="4"/>
    <n v="5"/>
    <s v="Y"/>
    <m/>
    <x v="3"/>
  </r>
  <r>
    <d v="2019-10-23T00:00:00"/>
    <d v="1899-12-30T08:28:00"/>
    <m/>
    <s v="P"/>
    <n v="2"/>
    <s v="Road Vehicle"/>
    <n v="4"/>
    <x v="3"/>
    <x v="1"/>
    <n v="2"/>
    <x v="1"/>
    <s v="Rukungiri"/>
    <s v="Rukungiri"/>
    <s v="UGA"/>
    <n v="1"/>
    <s v="Home"/>
    <s v="Rakai"/>
    <s v="Masaka"/>
    <m/>
    <n v="2"/>
    <s v="Work"/>
    <x v="1"/>
    <n v="20000"/>
    <m/>
    <x v="0"/>
    <n v="5.5"/>
    <x v="2"/>
    <n v="4"/>
    <s v="Office Worker"/>
    <n v="2"/>
    <x v="3"/>
    <n v="5"/>
    <n v="3"/>
    <n v="2"/>
    <n v="1"/>
    <n v="4"/>
    <s v="Y"/>
    <m/>
    <x v="3"/>
  </r>
  <r>
    <d v="2019-10-23T00:00:00"/>
    <d v="1899-12-30T08:56:00"/>
    <m/>
    <s v="P"/>
    <n v="2"/>
    <s v="Road Vehicle"/>
    <n v="4"/>
    <x v="3"/>
    <x v="1"/>
    <n v="2"/>
    <x v="1"/>
    <s v="Rukungiri"/>
    <s v="Rukungiri"/>
    <s v="UGA"/>
    <n v="1"/>
    <s v="Home"/>
    <s v="Mbarara"/>
    <s v="Mbarara"/>
    <m/>
    <n v="7"/>
    <s v="Hospital"/>
    <x v="32"/>
    <n v="20000"/>
    <m/>
    <x v="0"/>
    <n v="3.5"/>
    <x v="2"/>
    <n v="5"/>
    <s v="Professional"/>
    <n v="4"/>
    <x v="0"/>
    <n v="5"/>
    <n v="4"/>
    <n v="3"/>
    <n v="1"/>
    <n v="2"/>
    <s v="Y"/>
    <n v="10000"/>
    <x v="5"/>
  </r>
  <r>
    <d v="2019-10-23T00:00:00"/>
    <d v="1899-12-30T15:15:00"/>
    <m/>
    <s v="P"/>
    <n v="2"/>
    <s v="Road Vehicle"/>
    <n v="4"/>
    <x v="3"/>
    <x v="1"/>
    <n v="2"/>
    <x v="1"/>
    <s v="Kampala"/>
    <s v="Kampala"/>
    <s v="UGA"/>
    <n v="4"/>
    <s v="Commercial"/>
    <s v="Rukungiri"/>
    <s v="Rukungiri"/>
    <m/>
    <n v="1"/>
    <s v="Home"/>
    <x v="3"/>
    <n v="30000"/>
    <m/>
    <x v="0"/>
    <n v="8"/>
    <x v="2"/>
    <n v="6"/>
    <s v="Businessman"/>
    <n v="4"/>
    <x v="0"/>
    <n v="2"/>
    <n v="3"/>
    <n v="1"/>
    <n v="5"/>
    <n v="4"/>
    <s v="Y"/>
    <n v="5000"/>
    <x v="2"/>
  </r>
  <r>
    <d v="2019-10-21T00:00:00"/>
    <d v="1899-12-30T16:25:00"/>
    <m/>
    <s v="P"/>
    <n v="2"/>
    <s v="Road Vehicle"/>
    <n v="4"/>
    <x v="3"/>
    <x v="0"/>
    <n v="2"/>
    <x v="1"/>
    <s v="Mbarara"/>
    <s v="Mbarara"/>
    <s v="UGA"/>
    <n v="4"/>
    <s v="Commercial"/>
    <s v="Rukungiri"/>
    <s v="Rukungiri"/>
    <s v="UGA"/>
    <n v="1"/>
    <s v="Home"/>
    <x v="3"/>
    <n v="20000"/>
    <m/>
    <x v="0"/>
    <n v="3.5"/>
    <x v="2"/>
    <n v="6"/>
    <s v="Businessman"/>
    <n v="4"/>
    <x v="0"/>
    <m/>
    <m/>
    <m/>
    <m/>
    <m/>
    <s v="Y"/>
    <m/>
    <x v="3"/>
  </r>
  <r>
    <d v="2019-10-21T00:00:00"/>
    <d v="1899-12-30T16:15:00"/>
    <m/>
    <s v="D"/>
    <n v="2"/>
    <s v="Road Vehicle"/>
    <n v="4"/>
    <x v="3"/>
    <x v="0"/>
    <n v="2"/>
    <x v="1"/>
    <s v="Kabale"/>
    <s v="Kabale"/>
    <s v="UGA"/>
    <n v="4"/>
    <s v="Commercial"/>
    <s v="Rukungiri"/>
    <s v="Rukungiri"/>
    <s v="UGA"/>
    <n v="4"/>
    <s v="Commercial"/>
    <x v="18"/>
    <n v="150000"/>
    <m/>
    <x v="0"/>
    <n v="3"/>
    <x v="0"/>
    <n v="10"/>
    <s v="Other"/>
    <n v="4"/>
    <x v="0"/>
    <n v="2"/>
    <n v="1"/>
    <n v="3"/>
    <n v="4"/>
    <n v="5"/>
    <s v="Y"/>
    <m/>
    <x v="3"/>
  </r>
  <r>
    <d v="2019-10-21T00:00:00"/>
    <d v="1899-12-30T15:46:00"/>
    <m/>
    <s v="P"/>
    <n v="2"/>
    <s v="Road Vehicle"/>
    <n v="4"/>
    <x v="3"/>
    <x v="0"/>
    <n v="2"/>
    <x v="1"/>
    <s v="Kanungu"/>
    <s v="Kanungu"/>
    <s v="UGA"/>
    <n v="2"/>
    <s v="Work"/>
    <s v="Rukungiri"/>
    <s v="Rukungiri"/>
    <s v="UGA"/>
    <n v="8"/>
    <s v="Others"/>
    <x v="19"/>
    <n v="20000"/>
    <m/>
    <x v="0"/>
    <n v="5"/>
    <x v="2"/>
    <n v="5"/>
    <s v="Professional"/>
    <n v="4"/>
    <x v="0"/>
    <n v="5"/>
    <n v="4"/>
    <n v="2"/>
    <n v="1"/>
    <n v="3"/>
    <s v="Y"/>
    <n v="3000"/>
    <x v="0"/>
  </r>
  <r>
    <d v="2019-10-21T00:00:00"/>
    <d v="1899-12-30T15:54:00"/>
    <m/>
    <s v="D"/>
    <n v="2"/>
    <s v="Road Vehicle"/>
    <n v="4"/>
    <x v="3"/>
    <x v="0"/>
    <n v="2"/>
    <x v="1"/>
    <s v="Kanungu"/>
    <s v="Kanungu"/>
    <s v="UGA"/>
    <n v="4"/>
    <s v="Commercial"/>
    <s v="Rukungiri"/>
    <s v="Rukungiri"/>
    <s v="UGA"/>
    <n v="4"/>
    <s v="Commercial"/>
    <x v="18"/>
    <n v="140000"/>
    <m/>
    <x v="0"/>
    <n v="5.5"/>
    <x v="2"/>
    <n v="10"/>
    <s v="Other"/>
    <n v="4"/>
    <x v="0"/>
    <n v="2"/>
    <n v="1"/>
    <n v="5"/>
    <n v="3"/>
    <n v="4"/>
    <s v="Y"/>
    <m/>
    <x v="3"/>
  </r>
  <r>
    <d v="2019-10-21T00:00:00"/>
    <d v="1899-12-30T15:34:00"/>
    <m/>
    <s v="P"/>
    <n v="2"/>
    <s v="Road Vehicle"/>
    <n v="4"/>
    <x v="3"/>
    <x v="0"/>
    <n v="2"/>
    <x v="1"/>
    <s v="Rukungiri"/>
    <s v="Rukungiri"/>
    <s v="UGA"/>
    <n v="1"/>
    <s v="Home"/>
    <s v="Mbarara"/>
    <s v="Mbarara"/>
    <s v="UGA"/>
    <n v="4"/>
    <s v="Commercial"/>
    <x v="0"/>
    <n v="15000"/>
    <m/>
    <x v="0"/>
    <n v="3"/>
    <x v="0"/>
    <n v="7"/>
    <s v="Farmer"/>
    <n v="3"/>
    <x v="1"/>
    <n v="2"/>
    <n v="1"/>
    <n v="4"/>
    <n v="3"/>
    <n v="5"/>
    <s v="Y"/>
    <m/>
    <x v="3"/>
  </r>
  <r>
    <d v="2019-10-21T00:00:00"/>
    <d v="1899-12-30T15:21:00"/>
    <m/>
    <s v="D"/>
    <n v="2"/>
    <s v="Road Vehicle"/>
    <n v="4"/>
    <x v="3"/>
    <x v="0"/>
    <n v="2"/>
    <x v="1"/>
    <s v="Rukungiri"/>
    <s v="Rukungiri"/>
    <s v="UGA"/>
    <n v="4"/>
    <s v="Commercial"/>
    <s v="Mbarara"/>
    <s v="Mbarara"/>
    <s v="UGA"/>
    <n v="4"/>
    <s v="Commercial"/>
    <x v="18"/>
    <n v="60000"/>
    <m/>
    <x v="0"/>
    <n v="5"/>
    <x v="2"/>
    <n v="10"/>
    <s v="Other"/>
    <n v="4"/>
    <x v="0"/>
    <m/>
    <m/>
    <m/>
    <m/>
    <m/>
    <s v="Y"/>
    <m/>
    <x v="3"/>
  </r>
  <r>
    <d v="2019-10-21T00:00:00"/>
    <d v="1899-12-30T16:41:00"/>
    <m/>
    <s v="D"/>
    <n v="2"/>
    <s v="Road Vehicle"/>
    <n v="4"/>
    <x v="3"/>
    <x v="0"/>
    <n v="2"/>
    <x v="1"/>
    <s v="Mbarara"/>
    <s v="Mbarara"/>
    <s v="UGA"/>
    <n v="4"/>
    <s v="Commercial"/>
    <s v="Rukungiri"/>
    <s v="Rukungiri"/>
    <s v="UGA"/>
    <n v="4"/>
    <s v="Commercial"/>
    <x v="18"/>
    <n v="50000"/>
    <m/>
    <x v="0"/>
    <n v="2.5"/>
    <x v="0"/>
    <n v="10"/>
    <s v="Other"/>
    <n v="3"/>
    <x v="1"/>
    <n v="4"/>
    <n v="3"/>
    <n v="1"/>
    <n v="2"/>
    <n v="5"/>
    <s v="Y"/>
    <n v="10000"/>
    <x v="5"/>
  </r>
  <r>
    <d v="2019-10-21T00:00:00"/>
    <m/>
    <m/>
    <s v="D"/>
    <n v="2"/>
    <s v="Road Vehicle"/>
    <n v="4"/>
    <x v="3"/>
    <x v="0"/>
    <n v="2"/>
    <x v="1"/>
    <s v="Rukungiri"/>
    <s v="Rukungiri"/>
    <s v="UGA"/>
    <n v="1"/>
    <s v="Home"/>
    <s v="Kihini"/>
    <s v="Kanungu"/>
    <s v="UGA"/>
    <n v="2"/>
    <s v="Work"/>
    <x v="1"/>
    <n v="90000"/>
    <n v="100"/>
    <x v="2"/>
    <n v="1.5"/>
    <x v="1"/>
    <n v="2"/>
    <s v="Manual Labour"/>
    <n v="1"/>
    <x v="2"/>
    <m/>
    <m/>
    <m/>
    <m/>
    <m/>
    <s v="Y"/>
    <n v="5000"/>
    <x v="2"/>
  </r>
  <r>
    <d v="2019-10-21T00:00:00"/>
    <m/>
    <m/>
    <s v="P"/>
    <n v="2"/>
    <s v="Road Vehicle"/>
    <n v="4"/>
    <x v="3"/>
    <x v="0"/>
    <n v="2"/>
    <x v="1"/>
    <s v="Rukungiri"/>
    <s v="Rukungiri"/>
    <s v="UGA"/>
    <n v="1"/>
    <s v="Home"/>
    <s v="Ntungamo"/>
    <s v="Ntungamo"/>
    <s v="UGA"/>
    <n v="4"/>
    <s v="Commercial"/>
    <x v="0"/>
    <n v="5000"/>
    <m/>
    <x v="0"/>
    <n v="1"/>
    <x v="1"/>
    <n v="6"/>
    <s v="Businessman"/>
    <n v="1"/>
    <x v="2"/>
    <n v="1"/>
    <n v="3"/>
    <n v="4"/>
    <n v="5"/>
    <n v="2"/>
    <s v="Y"/>
    <m/>
    <x v="3"/>
  </r>
  <r>
    <d v="2019-10-22T00:00:00"/>
    <d v="1899-12-30T13:00:00"/>
    <m/>
    <s v="D"/>
    <n v="2"/>
    <s v="Road Vehicle"/>
    <n v="4"/>
    <x v="3"/>
    <x v="0"/>
    <n v="2"/>
    <x v="1"/>
    <s v="Rukungiri"/>
    <s v="Rukungiri"/>
    <s v="UGA"/>
    <n v="2"/>
    <s v="Work"/>
    <s v="Kampala"/>
    <s v="Kampala"/>
    <s v="UGA"/>
    <n v="1"/>
    <s v="Home"/>
    <x v="4"/>
    <n v="200000"/>
    <n v="390"/>
    <x v="3"/>
    <n v="8"/>
    <x v="2"/>
    <n v="10"/>
    <s v="Other"/>
    <n v="1"/>
    <x v="2"/>
    <n v="2"/>
    <n v="1"/>
    <n v="3"/>
    <n v="5"/>
    <n v="4"/>
    <s v="Y"/>
    <n v="1000"/>
    <x v="4"/>
  </r>
  <r>
    <d v="2019-10-22T00:00:00"/>
    <d v="1899-12-30T10:20:00"/>
    <m/>
    <s v="P"/>
    <n v="2"/>
    <s v="Road Vehicle"/>
    <n v="4"/>
    <x v="3"/>
    <x v="0"/>
    <n v="2"/>
    <x v="1"/>
    <s v="Bwoma"/>
    <s v="Rukungiri"/>
    <s v="UGA"/>
    <n v="1"/>
    <s v="Home"/>
    <s v="Nabugamba"/>
    <s v="Rukungiri"/>
    <s v="UGA"/>
    <n v="2"/>
    <s v="Work"/>
    <x v="1"/>
    <n v="2000"/>
    <n v="3"/>
    <x v="0"/>
    <n v="1.5"/>
    <x v="1"/>
    <n v="2"/>
    <s v="Manual Labour"/>
    <n v="1"/>
    <x v="2"/>
    <n v="3"/>
    <n v="2"/>
    <n v="1"/>
    <n v="5"/>
    <n v="4"/>
    <s v="Y"/>
    <m/>
    <x v="3"/>
  </r>
  <r>
    <d v="2019-10-22T00:00:00"/>
    <d v="1899-12-30T10:45:00"/>
    <m/>
    <s v="P"/>
    <n v="2"/>
    <s v="Road Vehicle"/>
    <n v="4"/>
    <x v="3"/>
    <x v="0"/>
    <n v="2"/>
    <x v="1"/>
    <s v="Kajeerwa"/>
    <s v="Rukungiri"/>
    <s v="UGA"/>
    <n v="2"/>
    <s v="Work"/>
    <s v="Nabugamba"/>
    <s v="Rukungiri"/>
    <s v="UGA"/>
    <n v="1"/>
    <s v="Home"/>
    <x v="4"/>
    <n v="2000"/>
    <n v="2"/>
    <x v="0"/>
    <n v="0.5"/>
    <x v="4"/>
    <n v="2"/>
    <s v="Manual Labour"/>
    <n v="1"/>
    <x v="2"/>
    <n v="4"/>
    <n v="1"/>
    <n v="3"/>
    <n v="5"/>
    <n v="2"/>
    <s v="Y"/>
    <n v="200"/>
    <x v="3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Bwashameii"/>
    <s v="Rukungiri"/>
    <s v="UGA"/>
    <n v="2"/>
    <s v="Work"/>
    <x v="1"/>
    <n v="5000"/>
    <n v="75"/>
    <x v="1"/>
    <n v="1"/>
    <x v="1"/>
    <n v="2"/>
    <s v="Manual Labour"/>
    <n v="1"/>
    <x v="2"/>
    <n v="3"/>
    <n v="1"/>
    <n v="2"/>
    <n v="5"/>
    <n v="4"/>
    <s v="Y"/>
    <n v="5000"/>
    <x v="2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Kanunga"/>
    <s v="Kanungu"/>
    <s v="UGA"/>
    <n v="2"/>
    <s v="Work"/>
    <x v="1"/>
    <n v="12000"/>
    <m/>
    <x v="0"/>
    <n v="1.5"/>
    <x v="1"/>
    <n v="6"/>
    <s v="Businessman"/>
    <n v="3"/>
    <x v="1"/>
    <n v="3"/>
    <n v="1"/>
    <n v="2"/>
    <n v="5"/>
    <n v="4"/>
    <s v="Y"/>
    <n v="1000"/>
    <x v="4"/>
  </r>
  <r>
    <d v="2019-10-22T00:00:00"/>
    <m/>
    <m/>
    <s v="D"/>
    <n v="2"/>
    <s v="Road Vehicle"/>
    <n v="4"/>
    <x v="3"/>
    <x v="0"/>
    <n v="2"/>
    <x v="1"/>
    <s v="Rukungiri"/>
    <s v="Rukungiri"/>
    <s v="UGA"/>
    <n v="1"/>
    <s v="Home"/>
    <s v="Ruhinda"/>
    <s v="Rukungiri"/>
    <s v="UGA"/>
    <n v="2"/>
    <s v="Work"/>
    <x v="1"/>
    <n v="30000"/>
    <n v="10"/>
    <x v="6"/>
    <n v="0.5"/>
    <x v="4"/>
    <n v="5"/>
    <s v="Professional"/>
    <n v="3"/>
    <x v="1"/>
    <n v="1"/>
    <n v="3"/>
    <n v="2"/>
    <n v="5"/>
    <n v="4"/>
    <s v="Y"/>
    <m/>
    <x v="3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Nyamunuka"/>
    <s v="Rukungiri"/>
    <s v="UGA"/>
    <n v="5"/>
    <s v="Tourism"/>
    <x v="20"/>
    <n v="5000"/>
    <n v="30"/>
    <x v="4"/>
    <n v="1"/>
    <x v="1"/>
    <n v="2"/>
    <s v="Manual Labour"/>
    <n v="1"/>
    <x v="2"/>
    <n v="2"/>
    <n v="1"/>
    <n v="5"/>
    <n v="3"/>
    <n v="4"/>
    <s v="Y"/>
    <n v="7000"/>
    <x v="2"/>
  </r>
  <r>
    <d v="2019-10-22T00:00:00"/>
    <m/>
    <m/>
    <s v="D"/>
    <n v="2"/>
    <s v="Road Vehicle"/>
    <n v="4"/>
    <x v="3"/>
    <x v="0"/>
    <n v="2"/>
    <x v="1"/>
    <s v="Rukungiri"/>
    <s v="Rukungiri"/>
    <s v="UGA"/>
    <n v="1"/>
    <s v="Home"/>
    <s v="Ishaka"/>
    <s v="Bushenyi"/>
    <s v="UGA"/>
    <n v="2"/>
    <s v="Work"/>
    <x v="1"/>
    <n v="80000"/>
    <n v="80"/>
    <x v="1"/>
    <n v="1.5"/>
    <x v="1"/>
    <n v="2"/>
    <s v="Manual Labour"/>
    <n v="3"/>
    <x v="1"/>
    <n v="2"/>
    <n v="3"/>
    <n v="1"/>
    <n v="4"/>
    <n v="5"/>
    <s v="Y"/>
    <n v="5000"/>
    <x v="2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Kabale"/>
    <s v="Kabale"/>
    <s v="UGA"/>
    <n v="4"/>
    <s v="Commercial"/>
    <x v="0"/>
    <n v="15000"/>
    <m/>
    <x v="0"/>
    <n v="2"/>
    <x v="0"/>
    <n v="4"/>
    <s v="Office Worker"/>
    <n v="2"/>
    <x v="3"/>
    <n v="2"/>
    <n v="3"/>
    <n v="5"/>
    <n v="4"/>
    <n v="1"/>
    <s v="Y"/>
    <m/>
    <x v="3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Mbarara"/>
    <s v="Mbarara"/>
    <s v="UGA"/>
    <n v="6"/>
    <s v="Leisure/Social"/>
    <x v="8"/>
    <n v="15000"/>
    <m/>
    <x v="0"/>
    <n v="3"/>
    <x v="0"/>
    <n v="4"/>
    <s v="Office Worker"/>
    <n v="4"/>
    <x v="0"/>
    <n v="3"/>
    <n v="5"/>
    <n v="4"/>
    <n v="2"/>
    <n v="1"/>
    <s v="Y"/>
    <n v="3000"/>
    <x v="0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Butogote"/>
    <s v="Kanungu"/>
    <s v="UGA"/>
    <n v="2"/>
    <s v="Work"/>
    <x v="1"/>
    <n v="15000"/>
    <n v="90"/>
    <x v="1"/>
    <n v="3"/>
    <x v="0"/>
    <n v="10"/>
    <s v="Other"/>
    <n v="1"/>
    <x v="2"/>
    <n v="3"/>
    <n v="2"/>
    <n v="1"/>
    <n v="5"/>
    <n v="4"/>
    <s v="Y"/>
    <n v="5000"/>
    <x v="2"/>
  </r>
  <r>
    <d v="2019-10-22T00:00:00"/>
    <m/>
    <m/>
    <s v="P"/>
    <n v="2"/>
    <s v="Road Vehicle"/>
    <n v="4"/>
    <x v="3"/>
    <x v="0"/>
    <n v="2"/>
    <x v="1"/>
    <s v="Kampala"/>
    <s v="Kampala"/>
    <s v="UGA"/>
    <n v="1"/>
    <s v="Home"/>
    <s v="Rukungiri"/>
    <s v="Rukungiri"/>
    <s v="UGA"/>
    <n v="2"/>
    <s v="Work"/>
    <x v="1"/>
    <n v="25000"/>
    <n v="400"/>
    <x v="3"/>
    <n v="7"/>
    <x v="2"/>
    <n v="4"/>
    <s v="Office Worker"/>
    <n v="5"/>
    <x v="4"/>
    <n v="1"/>
    <n v="3"/>
    <n v="2"/>
    <n v="4"/>
    <n v="5"/>
    <s v="Y"/>
    <m/>
    <x v="3"/>
  </r>
  <r>
    <d v="2019-10-22T00:00:00"/>
    <m/>
    <m/>
    <s v="D"/>
    <n v="2"/>
    <s v="Road Vehicle"/>
    <n v="4"/>
    <x v="3"/>
    <x v="0"/>
    <n v="2"/>
    <x v="1"/>
    <s v="Rukungiri"/>
    <s v="Rukungiri"/>
    <s v="UGA"/>
    <n v="1"/>
    <s v="Home"/>
    <s v="Mbarara"/>
    <s v="Mbarara"/>
    <s v="UGA"/>
    <n v="2"/>
    <s v="Work"/>
    <x v="1"/>
    <n v="130000"/>
    <n v="114"/>
    <x v="2"/>
    <n v="4"/>
    <x v="2"/>
    <n v="2"/>
    <s v="Manual Labour"/>
    <n v="1"/>
    <x v="2"/>
    <m/>
    <m/>
    <m/>
    <m/>
    <m/>
    <s v="Y"/>
    <n v="1000"/>
    <x v="4"/>
  </r>
  <r>
    <d v="2019-10-22T00:00:00"/>
    <m/>
    <m/>
    <s v="P"/>
    <n v="2"/>
    <s v="Road Vehicle"/>
    <n v="4"/>
    <x v="3"/>
    <x v="0"/>
    <n v="2"/>
    <x v="1"/>
    <s v="Rukungiri"/>
    <s v="Rukungiri"/>
    <s v="UGA"/>
    <n v="1"/>
    <s v="Home"/>
    <s v="Mbarara"/>
    <s v="Mbarara"/>
    <s v="UGA"/>
    <n v="4"/>
    <s v="Commercial"/>
    <x v="0"/>
    <n v="10000"/>
    <n v="120"/>
    <x v="2"/>
    <n v="3"/>
    <x v="0"/>
    <n v="6"/>
    <s v="Businessman"/>
    <n v="2"/>
    <x v="3"/>
    <n v="3"/>
    <n v="2"/>
    <n v="4"/>
    <n v="5"/>
    <n v="1"/>
    <s v="Y"/>
    <n v="4000"/>
    <x v="0"/>
  </r>
  <r>
    <d v="2019-10-22T00:00:00"/>
    <m/>
    <m/>
    <s v="D"/>
    <n v="2"/>
    <s v="Road Vehicle"/>
    <n v="4"/>
    <x v="3"/>
    <x v="0"/>
    <n v="2"/>
    <x v="1"/>
    <s v="Rukungiri"/>
    <s v="Rukungiri"/>
    <s v="UGA"/>
    <n v="1"/>
    <s v="Home"/>
    <s v="Butogote"/>
    <s v="Kanungu"/>
    <s v="UGA"/>
    <n v="2"/>
    <s v="Work"/>
    <x v="1"/>
    <n v="120000"/>
    <n v="85"/>
    <x v="1"/>
    <n v="1.5"/>
    <x v="1"/>
    <n v="5"/>
    <s v="Professional"/>
    <n v="3"/>
    <x v="1"/>
    <n v="1"/>
    <n v="3"/>
    <n v="4"/>
    <n v="5"/>
    <n v="2"/>
    <s v="Y"/>
    <m/>
    <x v="3"/>
  </r>
  <r>
    <d v="2019-10-23T00:00:00"/>
    <m/>
    <m/>
    <s v="D"/>
    <n v="2"/>
    <s v="Road Vehicle"/>
    <n v="4"/>
    <x v="3"/>
    <x v="0"/>
    <n v="2"/>
    <x v="1"/>
    <s v="Rukungiri"/>
    <s v="Rukungiri"/>
    <s v="UGA"/>
    <n v="1"/>
    <s v="Home"/>
    <s v="Kebisoni"/>
    <s v="Rukungiri"/>
    <s v="UGA"/>
    <n v="4"/>
    <s v="Commercial"/>
    <x v="0"/>
    <n v="3000"/>
    <n v="20"/>
    <x v="4"/>
    <n v="1"/>
    <x v="1"/>
    <n v="2"/>
    <s v="Manual Labour"/>
    <n v="1"/>
    <x v="2"/>
    <n v="1"/>
    <n v="3"/>
    <n v="5"/>
    <n v="4"/>
    <n v="2"/>
    <s v="Y"/>
    <m/>
    <x v="3"/>
  </r>
  <r>
    <d v="2019-10-23T00:00:00"/>
    <d v="1899-12-30T07:57:00"/>
    <m/>
    <s v="P"/>
    <n v="2"/>
    <s v="Road Vehicle"/>
    <n v="4"/>
    <x v="3"/>
    <x v="0"/>
    <n v="2"/>
    <x v="1"/>
    <s v="Rukungiri"/>
    <s v="Rukungiri"/>
    <s v="UGA"/>
    <n v="1"/>
    <s v="Home"/>
    <s v="Mbarara"/>
    <s v="Mbarara"/>
    <m/>
    <n v="4"/>
    <s v="Commercial"/>
    <x v="0"/>
    <n v="20000"/>
    <m/>
    <x v="0"/>
    <n v="3"/>
    <x v="0"/>
    <n v="6"/>
    <s v="Businessman"/>
    <n v="4"/>
    <x v="0"/>
    <n v="3"/>
    <n v="5"/>
    <n v="1"/>
    <n v="2"/>
    <n v="4"/>
    <s v="Y"/>
    <n v="10000"/>
    <x v="5"/>
  </r>
  <r>
    <d v="2019-10-23T00:00:00"/>
    <d v="1899-12-30T08:05:00"/>
    <m/>
    <s v="P"/>
    <n v="2"/>
    <s v="Road Vehicle"/>
    <n v="4"/>
    <x v="3"/>
    <x v="0"/>
    <n v="2"/>
    <x v="1"/>
    <s v="Rukungiri"/>
    <s v="Rukungiri"/>
    <s v="UGA"/>
    <n v="1"/>
    <s v="Home"/>
    <s v="Lyantonde"/>
    <s v="Lyantonde"/>
    <m/>
    <n v="2"/>
    <s v="Work"/>
    <x v="1"/>
    <n v="25000"/>
    <m/>
    <x v="0"/>
    <n v="6"/>
    <x v="2"/>
    <n v="5"/>
    <s v="Professional"/>
    <n v="3"/>
    <x v="1"/>
    <n v="1"/>
    <n v="2"/>
    <n v="5"/>
    <n v="4"/>
    <n v="3"/>
    <s v="Y"/>
    <n v="10000"/>
    <x v="5"/>
  </r>
  <r>
    <d v="2019-10-23T00:00:00"/>
    <d v="1899-12-30T08:35:00"/>
    <m/>
    <s v="P"/>
    <n v="2"/>
    <s v="Road Vehicle"/>
    <n v="4"/>
    <x v="3"/>
    <x v="0"/>
    <n v="2"/>
    <x v="1"/>
    <s v="Rukungiri"/>
    <s v="Rukungiri"/>
    <s v="UGA"/>
    <n v="1"/>
    <s v="Home"/>
    <s v="Kampala"/>
    <s v="Kampala"/>
    <m/>
    <n v="4"/>
    <s v="Commercial"/>
    <x v="0"/>
    <n v="30000"/>
    <m/>
    <x v="0"/>
    <n v="8.5"/>
    <x v="2"/>
    <n v="6"/>
    <s v="Businessman"/>
    <n v="5"/>
    <x v="4"/>
    <n v="2"/>
    <n v="1"/>
    <n v="5"/>
    <n v="4"/>
    <n v="3"/>
    <s v="Y"/>
    <m/>
    <x v="3"/>
  </r>
  <r>
    <d v="2019-10-23T00:00:00"/>
    <d v="1899-12-30T09:15:00"/>
    <m/>
    <s v="P"/>
    <n v="2"/>
    <s v="Road Vehicle"/>
    <n v="4"/>
    <x v="3"/>
    <x v="0"/>
    <n v="2"/>
    <x v="1"/>
    <s v="Rukungiri"/>
    <s v="Rukungiri"/>
    <s v="UGA"/>
    <n v="1"/>
    <s v="Home"/>
    <s v="Kampala"/>
    <s v="Kampala"/>
    <m/>
    <n v="2"/>
    <s v="Work"/>
    <x v="1"/>
    <n v="30000"/>
    <m/>
    <x v="0"/>
    <n v="9"/>
    <x v="2"/>
    <n v="7"/>
    <s v="Farmer"/>
    <n v="4"/>
    <x v="0"/>
    <n v="4"/>
    <n v="5"/>
    <n v="3"/>
    <n v="1"/>
    <n v="2"/>
    <s v="Y"/>
    <m/>
    <x v="3"/>
  </r>
  <r>
    <d v="2019-10-23T00:00:00"/>
    <d v="1899-12-30T09:30:00"/>
    <m/>
    <s v="P"/>
    <n v="2"/>
    <s v="Road Vehicle"/>
    <n v="4"/>
    <x v="3"/>
    <x v="0"/>
    <n v="2"/>
    <x v="1"/>
    <s v="Rukungiri"/>
    <s v="Rukungiri"/>
    <s v="UGA"/>
    <n v="2"/>
    <s v="Work"/>
    <s v="Kampala"/>
    <s v="Kampala"/>
    <m/>
    <n v="2"/>
    <s v="Work"/>
    <x v="2"/>
    <n v="200000"/>
    <m/>
    <x v="0"/>
    <n v="8"/>
    <x v="2"/>
    <n v="10"/>
    <s v="Other"/>
    <n v="4"/>
    <x v="0"/>
    <n v="5"/>
    <n v="1"/>
    <n v="4"/>
    <n v="2"/>
    <n v="3"/>
    <s v="Y"/>
    <n v="10000"/>
    <x v="5"/>
  </r>
  <r>
    <d v="2019-10-23T00:00:00"/>
    <d v="1899-12-30T09:54:00"/>
    <m/>
    <s v="D"/>
    <n v="2"/>
    <s v="Road Vehicle"/>
    <n v="4"/>
    <x v="3"/>
    <x v="0"/>
    <n v="2"/>
    <x v="1"/>
    <s v="Kabale"/>
    <s v="Kabale"/>
    <s v="UGA"/>
    <n v="4"/>
    <s v="Commercial"/>
    <s v="Rukungiri"/>
    <s v="Rukungiri"/>
    <m/>
    <n v="4"/>
    <s v="Commercial"/>
    <x v="18"/>
    <n v="40000"/>
    <m/>
    <x v="0"/>
    <n v="0.3"/>
    <x v="3"/>
    <n v="10"/>
    <s v="Other"/>
    <n v="4"/>
    <x v="0"/>
    <n v="5"/>
    <n v="1"/>
    <n v="4"/>
    <n v="2"/>
    <n v="3"/>
    <s v="Y"/>
    <m/>
    <x v="3"/>
  </r>
  <r>
    <d v="2019-10-22T00:00:00"/>
    <d v="1899-12-30T14:00:00"/>
    <m/>
    <s v="D"/>
    <n v="2"/>
    <s v="Road Vehicle"/>
    <n v="3"/>
    <x v="9"/>
    <x v="0"/>
    <n v="2"/>
    <x v="1"/>
    <s v="Kebusoni"/>
    <s v="Rukungiri"/>
    <s v="UGA"/>
    <n v="1"/>
    <s v="Home"/>
    <s v="Rukungiri"/>
    <s v="Rukungiri"/>
    <s v="UGA"/>
    <n v="2"/>
    <s v="Work"/>
    <x v="1"/>
    <n v="50000"/>
    <n v="45"/>
    <x v="5"/>
    <n v="2"/>
    <x v="0"/>
    <n v="7"/>
    <s v="Farmer"/>
    <n v="2"/>
    <x v="3"/>
    <n v="1"/>
    <n v="4"/>
    <n v="2"/>
    <n v="5"/>
    <n v="3"/>
    <s v="Y"/>
    <n v="1500"/>
    <x v="4"/>
  </r>
  <r>
    <d v="2019-10-23T00:00:00"/>
    <d v="1899-12-30T16:18:00"/>
    <m/>
    <s v="P"/>
    <n v="2"/>
    <s v="Road Vehicle"/>
    <n v="3"/>
    <x v="9"/>
    <x v="0"/>
    <n v="2"/>
    <x v="1"/>
    <s v="Rukungiri"/>
    <s v="Rukungiri"/>
    <s v="UGA"/>
    <n v="1"/>
    <s v="Home"/>
    <s v="Ishaka"/>
    <s v="Bushenyi"/>
    <m/>
    <n v="2"/>
    <s v="Work"/>
    <x v="1"/>
    <n v="12000"/>
    <m/>
    <x v="0"/>
    <n v="0.7"/>
    <x v="4"/>
    <n v="4"/>
    <s v="Office Worker"/>
    <n v="2"/>
    <x v="3"/>
    <n v="2"/>
    <n v="3"/>
    <n v="5"/>
    <n v="1"/>
    <n v="4"/>
    <s v="Y"/>
    <n v="2000"/>
    <x v="1"/>
  </r>
  <r>
    <d v="2019-10-22T00:00:00"/>
    <m/>
    <m/>
    <s v="D"/>
    <n v="2"/>
    <s v="Road Vehicle"/>
    <n v="2"/>
    <x v="6"/>
    <x v="1"/>
    <n v="2"/>
    <x v="1"/>
    <s v="Kihimba"/>
    <s v="Rukungiri"/>
    <s v="UGA"/>
    <n v="2"/>
    <s v="Work"/>
    <s v="Kisenyi"/>
    <s v="Mbarara"/>
    <s v="UGA"/>
    <n v="4"/>
    <s v="Commercial"/>
    <x v="17"/>
    <n v="150000"/>
    <n v="120"/>
    <x v="2"/>
    <n v="3"/>
    <x v="0"/>
    <n v="4"/>
    <s v="Office Worker"/>
    <n v="5"/>
    <x v="4"/>
    <n v="2"/>
    <n v="5"/>
    <n v="4"/>
    <n v="3"/>
    <n v="1"/>
    <s v="Y"/>
    <n v="10000"/>
    <x v="5"/>
  </r>
  <r>
    <d v="2019-10-23T00:00:00"/>
    <d v="1899-12-30T10:08:00"/>
    <m/>
    <s v="P"/>
    <n v="2"/>
    <s v="Road Vehicle"/>
    <n v="2"/>
    <x v="6"/>
    <x v="1"/>
    <n v="2"/>
    <x v="1"/>
    <s v="Ntungamo"/>
    <s v="Ntungamo"/>
    <s v="UGA"/>
    <n v="8"/>
    <s v="Others"/>
    <s v="Rukungiri"/>
    <s v="Rukungiri"/>
    <m/>
    <n v="2"/>
    <s v="Work"/>
    <x v="14"/>
    <n v="5000"/>
    <m/>
    <x v="0"/>
    <n v="0.7"/>
    <x v="4"/>
    <n v="4"/>
    <s v="Office Worker"/>
    <n v="2"/>
    <x v="3"/>
    <n v="5"/>
    <n v="3"/>
    <n v="4"/>
    <n v="1"/>
    <n v="2"/>
    <s v="Y"/>
    <n v="1000"/>
    <x v="4"/>
  </r>
  <r>
    <d v="2019-10-23T00:00:00"/>
    <d v="1899-12-30T15:01:00"/>
    <m/>
    <s v="P"/>
    <n v="2"/>
    <s v="Road Vehicle"/>
    <n v="2"/>
    <x v="6"/>
    <x v="1"/>
    <n v="2"/>
    <x v="1"/>
    <s v="Kampala"/>
    <s v="Kampala"/>
    <s v="UGA"/>
    <n v="4"/>
    <s v="Commercial"/>
    <s v="Ntungamo"/>
    <s v="Ntungamo"/>
    <m/>
    <n v="4"/>
    <s v="Commercial"/>
    <x v="18"/>
    <n v="30000"/>
    <m/>
    <x v="0"/>
    <n v="8"/>
    <x v="2"/>
    <n v="5"/>
    <s v="Professional"/>
    <n v="4"/>
    <x v="0"/>
    <n v="5"/>
    <n v="1"/>
    <n v="3"/>
    <n v="4"/>
    <n v="2"/>
    <s v="Y"/>
    <m/>
    <x v="3"/>
  </r>
  <r>
    <d v="2019-10-21T00:00:00"/>
    <d v="1899-12-30T15:00:00"/>
    <m/>
    <s v="D"/>
    <n v="2"/>
    <s v="Road Vehicle"/>
    <n v="2"/>
    <x v="6"/>
    <x v="1"/>
    <n v="2"/>
    <x v="1"/>
    <s v="Wakabengo"/>
    <s v="Rukungiri"/>
    <s v="UGA"/>
    <n v="2"/>
    <s v="Work"/>
    <s v="Town"/>
    <s v="Rukungiri"/>
    <s v="UGA"/>
    <n v="1"/>
    <s v="Home"/>
    <x v="4"/>
    <n v="5000"/>
    <n v="1"/>
    <x v="0"/>
    <n v="0.5"/>
    <x v="4"/>
    <n v="4"/>
    <s v="Office Worker"/>
    <n v="2"/>
    <x v="3"/>
    <n v="4"/>
    <n v="3"/>
    <n v="2"/>
    <n v="5"/>
    <n v="1"/>
    <s v="Y"/>
    <n v="5000"/>
    <x v="2"/>
  </r>
  <r>
    <d v="2019-10-23T00:00:00"/>
    <d v="1899-12-30T07:43:00"/>
    <m/>
    <s v="P"/>
    <n v="2"/>
    <s v="Road Vehicle"/>
    <n v="2"/>
    <x v="6"/>
    <x v="1"/>
    <n v="2"/>
    <x v="1"/>
    <s v="Kagamba"/>
    <s v="Kagamba"/>
    <s v="UGA"/>
    <n v="8"/>
    <s v="Others"/>
    <s v="Rukungiri"/>
    <s v="Rukungiri"/>
    <m/>
    <n v="2"/>
    <s v="Work"/>
    <x v="14"/>
    <n v="15000"/>
    <m/>
    <x v="0"/>
    <n v="2.5"/>
    <x v="0"/>
    <n v="5"/>
    <s v="Professional"/>
    <n v="4"/>
    <x v="0"/>
    <n v="2"/>
    <n v="1"/>
    <n v="5"/>
    <n v="3"/>
    <n v="4"/>
    <s v="Y"/>
    <n v="1000"/>
    <x v="4"/>
  </r>
  <r>
    <d v="2019-10-23T00:00:00"/>
    <d v="1899-12-30T10:32:00"/>
    <m/>
    <s v="P"/>
    <n v="2"/>
    <s v="Road Vehicle"/>
    <n v="2"/>
    <x v="6"/>
    <x v="1"/>
    <n v="2"/>
    <x v="1"/>
    <s v="Burundi"/>
    <s v="Kanungu"/>
    <s v="UGA"/>
    <n v="8"/>
    <s v="Others"/>
    <s v="Rukungiri"/>
    <s v="Rukungiri"/>
    <m/>
    <n v="8"/>
    <s v="Others"/>
    <x v="15"/>
    <n v="20000"/>
    <m/>
    <x v="0"/>
    <n v="5"/>
    <x v="2"/>
    <n v="5"/>
    <s v="Professional"/>
    <n v="4"/>
    <x v="0"/>
    <n v="5"/>
    <n v="4"/>
    <n v="2"/>
    <n v="1"/>
    <n v="3"/>
    <s v="Y"/>
    <n v="2000"/>
    <x v="1"/>
  </r>
  <r>
    <d v="2019-10-23T00:00:00"/>
    <d v="1899-12-30T14:43:00"/>
    <m/>
    <s v="P"/>
    <n v="2"/>
    <s v="Road Vehicle"/>
    <n v="2"/>
    <x v="6"/>
    <x v="1"/>
    <n v="2"/>
    <x v="1"/>
    <s v="Kampala"/>
    <s v="Kampala"/>
    <s v="UGA"/>
    <n v="2"/>
    <s v="Work"/>
    <s v="Bwindi"/>
    <s v="Kanungu"/>
    <m/>
    <n v="6"/>
    <s v="Leisure/Social"/>
    <x v="5"/>
    <n v="30000"/>
    <m/>
    <x v="0"/>
    <n v="8.5"/>
    <x v="2"/>
    <n v="5"/>
    <s v="Professional"/>
    <n v="5"/>
    <x v="4"/>
    <n v="3"/>
    <n v="1"/>
    <n v="4"/>
    <n v="2"/>
    <n v="5"/>
    <s v="Y"/>
    <n v="10000"/>
    <x v="5"/>
  </r>
  <r>
    <d v="2019-10-21T00:00:00"/>
    <d v="1899-12-30T15:10:00"/>
    <m/>
    <s v="P"/>
    <n v="2"/>
    <s v="Road Vehicle"/>
    <n v="1"/>
    <x v="0"/>
    <x v="0"/>
    <n v="3"/>
    <x v="2"/>
    <s v="Rwabigagula"/>
    <s v="Rukungiri"/>
    <s v="UGA"/>
    <n v="1"/>
    <s v="Home"/>
    <s v="Town"/>
    <s v="Rukungiri"/>
    <s v="UGA"/>
    <n v="2"/>
    <s v="Work"/>
    <x v="1"/>
    <n v="7000"/>
    <m/>
    <x v="0"/>
    <n v="1.5"/>
    <x v="1"/>
    <n v="6"/>
    <s v="Businessman"/>
    <n v="1"/>
    <x v="2"/>
    <n v="2"/>
    <n v="3"/>
    <n v="4"/>
    <n v="5"/>
    <n v="1"/>
    <s v="Y"/>
    <n v="1000"/>
    <x v="4"/>
  </r>
  <r>
    <d v="2019-10-22T00:00:00"/>
    <d v="1899-12-30T09:54:00"/>
    <m/>
    <s v="P"/>
    <n v="2"/>
    <s v="Road Vehicle"/>
    <n v="1"/>
    <x v="0"/>
    <x v="0"/>
    <n v="3"/>
    <x v="2"/>
    <s v="Kanya"/>
    <s v="Rukungiri"/>
    <s v="UGA"/>
    <n v="2"/>
    <s v="Work"/>
    <s v="Republic"/>
    <s v="Rukungiri"/>
    <s v="UGA"/>
    <n v="1"/>
    <s v="Home"/>
    <x v="4"/>
    <n v="3000"/>
    <n v="5"/>
    <x v="0"/>
    <n v="0.5"/>
    <x v="4"/>
    <n v="6"/>
    <s v="Businessman"/>
    <n v="1"/>
    <x v="2"/>
    <n v="1"/>
    <n v="5"/>
    <n v="4"/>
    <n v="2"/>
    <n v="3"/>
    <s v="Y"/>
    <n v="1000"/>
    <x v="4"/>
  </r>
  <r>
    <d v="2019-10-22T00:00:00"/>
    <m/>
    <m/>
    <s v="D"/>
    <n v="2"/>
    <s v="Road Vehicle"/>
    <n v="1"/>
    <x v="0"/>
    <x v="0"/>
    <n v="3"/>
    <x v="2"/>
    <s v="Rukungiri"/>
    <s v="Rukungiri"/>
    <s v="UGA"/>
    <n v="1"/>
    <s v="Home"/>
    <s v="Ishaka"/>
    <s v="Bushenyi"/>
    <s v="UGA"/>
    <n v="2"/>
    <s v="Work"/>
    <x v="1"/>
    <n v="50000"/>
    <n v="70"/>
    <x v="1"/>
    <n v="2"/>
    <x v="0"/>
    <n v="6"/>
    <s v="Businessman"/>
    <n v="3"/>
    <x v="1"/>
    <n v="2"/>
    <n v="3"/>
    <n v="1"/>
    <n v="4"/>
    <n v="5"/>
    <s v="Y"/>
    <m/>
    <x v="3"/>
  </r>
  <r>
    <d v="2019-10-21T00:00:00"/>
    <d v="1899-12-30T17:47:00"/>
    <m/>
    <s v="D"/>
    <n v="2"/>
    <s v="Road Vehicle"/>
    <n v="6"/>
    <x v="1"/>
    <x v="1"/>
    <n v="3"/>
    <x v="2"/>
    <s v="Rukungiri"/>
    <s v="Rukungiri"/>
    <s v="UGA"/>
    <n v="4"/>
    <s v="Commercial"/>
    <s v="Kampala"/>
    <s v="Kampala"/>
    <s v="UGA"/>
    <n v="4"/>
    <s v="Commercial"/>
    <x v="18"/>
    <n v="1000000"/>
    <m/>
    <x v="0"/>
    <n v="8"/>
    <x v="2"/>
    <n v="10"/>
    <s v="Other"/>
    <n v="1"/>
    <x v="2"/>
    <n v="5"/>
    <n v="1"/>
    <n v="4"/>
    <n v="2"/>
    <n v="3"/>
    <s v="Y"/>
    <n v="5000"/>
    <x v="2"/>
  </r>
  <r>
    <d v="2019-10-22T00:00:00"/>
    <d v="1899-12-30T14:38:00"/>
    <m/>
    <m/>
    <n v="2"/>
    <s v="Road Vehicle"/>
    <n v="6"/>
    <x v="1"/>
    <x v="1"/>
    <n v="3"/>
    <x v="2"/>
    <s v="Rukungiri"/>
    <s v="Rukungiri"/>
    <s v="UGA"/>
    <n v="2"/>
    <s v="Work"/>
    <s v="Kampala"/>
    <s v="Kampala"/>
    <s v="UGA"/>
    <n v="4"/>
    <s v="Commercial"/>
    <x v="17"/>
    <n v="30000"/>
    <n v="400"/>
    <x v="3"/>
    <n v="7"/>
    <x v="2"/>
    <n v="5"/>
    <s v="Professional"/>
    <n v="2"/>
    <x v="3"/>
    <n v="1"/>
    <n v="2"/>
    <n v="3"/>
    <n v="5"/>
    <n v="4"/>
    <s v="Y"/>
    <n v="5000"/>
    <x v="2"/>
  </r>
  <r>
    <d v="2019-10-21T00:00:00"/>
    <d v="1899-12-30T16:59:00"/>
    <m/>
    <s v="D"/>
    <n v="2"/>
    <s v="Road Vehicle"/>
    <n v="6"/>
    <x v="1"/>
    <x v="0"/>
    <n v="3"/>
    <x v="2"/>
    <s v="Wakabengo"/>
    <s v="Rukungiri"/>
    <s v="UGA"/>
    <n v="2"/>
    <s v="Work"/>
    <s v="Rubaga"/>
    <s v="Kampala"/>
    <s v="UGA"/>
    <n v="1"/>
    <s v="Home"/>
    <x v="4"/>
    <n v="450000"/>
    <n v="412"/>
    <x v="3"/>
    <n v="6"/>
    <x v="2"/>
    <n v="10"/>
    <s v="Other"/>
    <n v="2"/>
    <x v="3"/>
    <n v="1"/>
    <n v="2"/>
    <n v="4"/>
    <n v="5"/>
    <n v="3"/>
    <s v="Y"/>
    <m/>
    <x v="3"/>
  </r>
  <r>
    <d v="2019-10-21T00:00:00"/>
    <d v="1899-12-30T15:58:00"/>
    <m/>
    <s v="D"/>
    <n v="2"/>
    <s v="Road Vehicle"/>
    <n v="6"/>
    <x v="1"/>
    <x v="0"/>
    <n v="3"/>
    <x v="2"/>
    <s v="Kyinyasano"/>
    <s v="Rukungiri"/>
    <s v="UGA"/>
    <n v="2"/>
    <s v="Work"/>
    <s v="Kisenyi"/>
    <s v="Kampala"/>
    <s v="UGA"/>
    <n v="1"/>
    <s v="Home"/>
    <x v="4"/>
    <n v="700000"/>
    <n v="390"/>
    <x v="3"/>
    <n v="7"/>
    <x v="2"/>
    <n v="10"/>
    <s v="Other"/>
    <n v="1"/>
    <x v="2"/>
    <n v="5"/>
    <n v="4"/>
    <n v="1"/>
    <n v="3"/>
    <n v="2"/>
    <s v="Y"/>
    <n v="3000"/>
    <x v="0"/>
  </r>
  <r>
    <d v="2019-10-21T00:00:00"/>
    <d v="1899-12-30T18:09:00"/>
    <m/>
    <s v="D"/>
    <n v="2"/>
    <s v="Road Vehicle"/>
    <n v="6"/>
    <x v="1"/>
    <x v="0"/>
    <n v="3"/>
    <x v="2"/>
    <s v="Kampala"/>
    <s v="Kampala"/>
    <s v="UGA"/>
    <n v="4"/>
    <s v="Commercial"/>
    <s v="Rukungiri"/>
    <s v="Rukungiri"/>
    <s v="UGA"/>
    <n v="4"/>
    <s v="Commercial"/>
    <x v="18"/>
    <n v="1200000"/>
    <m/>
    <x v="0"/>
    <n v="7"/>
    <x v="2"/>
    <n v="10"/>
    <s v="Other"/>
    <n v="3"/>
    <x v="1"/>
    <n v="5"/>
    <n v="2"/>
    <n v="4"/>
    <n v="1"/>
    <n v="3"/>
    <s v="Y"/>
    <n v="10000"/>
    <x v="5"/>
  </r>
  <r>
    <d v="2019-10-22T00:00:00"/>
    <d v="1899-12-30T15:42:00"/>
    <m/>
    <s v="D"/>
    <n v="2"/>
    <s v="Road Vehicle"/>
    <n v="6"/>
    <x v="1"/>
    <x v="0"/>
    <n v="3"/>
    <x v="2"/>
    <m/>
    <m/>
    <s v="UGA"/>
    <n v="2"/>
    <s v="Work"/>
    <m/>
    <m/>
    <s v="UGA"/>
    <n v="1"/>
    <s v="Home"/>
    <x v="4"/>
    <n v="650000"/>
    <n v="390"/>
    <x v="3"/>
    <n v="7"/>
    <x v="2"/>
    <n v="10"/>
    <s v="Other"/>
    <n v="4"/>
    <x v="0"/>
    <n v="2"/>
    <n v="1"/>
    <n v="5"/>
    <n v="3"/>
    <n v="4"/>
    <s v="Y"/>
    <n v="5000"/>
    <x v="2"/>
  </r>
  <r>
    <d v="2019-10-22T00:00:00"/>
    <d v="1899-12-30T12:00:00"/>
    <m/>
    <s v="D"/>
    <n v="2"/>
    <s v="Road Vehicle"/>
    <n v="6"/>
    <x v="1"/>
    <x v="0"/>
    <n v="3"/>
    <x v="2"/>
    <s v="Town"/>
    <s v="Rukungiri"/>
    <s v="UGA"/>
    <n v="2"/>
    <s v="Work"/>
    <s v="Mbarara"/>
    <s v="Mbarara"/>
    <s v="UGA"/>
    <n v="1"/>
    <s v="Home"/>
    <x v="4"/>
    <n v="650000"/>
    <n v="100"/>
    <x v="2"/>
    <n v="3.5"/>
    <x v="2"/>
    <n v="10"/>
    <s v="Other"/>
    <n v="1"/>
    <x v="2"/>
    <n v="2"/>
    <n v="1"/>
    <n v="3"/>
    <n v="5"/>
    <n v="4"/>
    <s v="Y"/>
    <n v="5000"/>
    <x v="2"/>
  </r>
  <r>
    <d v="2019-10-22T00:00:00"/>
    <d v="1899-12-30T14:11:00"/>
    <m/>
    <s v="D"/>
    <n v="2"/>
    <s v="Road Vehicle"/>
    <n v="6"/>
    <x v="1"/>
    <x v="0"/>
    <n v="3"/>
    <x v="2"/>
    <s v="Nabugabo"/>
    <s v="Rukungiri"/>
    <s v="UGA"/>
    <n v="2"/>
    <s v="Work"/>
    <s v="Kibaale"/>
    <s v="Mbarara"/>
    <s v="UGA"/>
    <n v="1"/>
    <s v="Home"/>
    <x v="4"/>
    <n v="400000"/>
    <n v="115"/>
    <x v="2"/>
    <n v="3.5"/>
    <x v="2"/>
    <n v="10"/>
    <s v="Other"/>
    <n v="2"/>
    <x v="3"/>
    <n v="1"/>
    <n v="2"/>
    <n v="3"/>
    <n v="4"/>
    <n v="5"/>
    <s v="Y"/>
    <n v="5000"/>
    <x v="2"/>
  </r>
  <r>
    <d v="2019-10-23T00:00:00"/>
    <d v="1899-12-30T14:01:00"/>
    <m/>
    <s v="D"/>
    <n v="2"/>
    <s v="Road Vehicle"/>
    <n v="6"/>
    <x v="1"/>
    <x v="0"/>
    <n v="3"/>
    <x v="2"/>
    <s v="Rukungiri"/>
    <s v="Rukungiri"/>
    <s v="UGA"/>
    <n v="2"/>
    <s v="Work"/>
    <s v="Kampala"/>
    <s v="Kampala"/>
    <s v="UGA"/>
    <n v="1"/>
    <s v="Home"/>
    <x v="4"/>
    <n v="700000"/>
    <n v="396"/>
    <x v="3"/>
    <n v="7.5"/>
    <x v="2"/>
    <n v="10"/>
    <s v="Other"/>
    <n v="3"/>
    <x v="1"/>
    <n v="1"/>
    <n v="3"/>
    <n v="2"/>
    <n v="5"/>
    <n v="4"/>
    <s v="Y"/>
    <m/>
    <x v="3"/>
  </r>
  <r>
    <d v="2019-10-23T00:00:00"/>
    <d v="1899-12-30T13:52:00"/>
    <m/>
    <s v="D"/>
    <n v="2"/>
    <s v="Road Vehicle"/>
    <n v="6"/>
    <x v="1"/>
    <x v="0"/>
    <n v="3"/>
    <x v="2"/>
    <s v="Wakabengo"/>
    <s v="Rukungiri"/>
    <s v="UGA"/>
    <n v="1"/>
    <s v="Home"/>
    <s v="Kampala"/>
    <s v="Kampala"/>
    <s v="UGA"/>
    <n v="2"/>
    <s v="Work"/>
    <x v="1"/>
    <n v="650000"/>
    <n v="370"/>
    <x v="3"/>
    <n v="7"/>
    <x v="2"/>
    <n v="10"/>
    <s v="Other"/>
    <n v="3"/>
    <x v="1"/>
    <n v="2"/>
    <n v="3"/>
    <n v="4"/>
    <n v="5"/>
    <n v="1"/>
    <s v="Y"/>
    <n v="1000"/>
    <x v="4"/>
  </r>
  <r>
    <d v="2019-10-23T00:00:00"/>
    <d v="1899-12-30T17:05:00"/>
    <m/>
    <s v="D"/>
    <n v="2"/>
    <s v="Road Vehicle"/>
    <n v="6"/>
    <x v="1"/>
    <x v="0"/>
    <n v="3"/>
    <x v="2"/>
    <s v="Rukungiri"/>
    <s v="Rukungiri"/>
    <s v="UGA"/>
    <n v="2"/>
    <s v="Work"/>
    <s v="Mbarara"/>
    <s v="Mbarara"/>
    <s v="UGA"/>
    <n v="1"/>
    <s v="Home"/>
    <x v="4"/>
    <n v="600000"/>
    <n v="390"/>
    <x v="3"/>
    <n v="7"/>
    <x v="2"/>
    <n v="10"/>
    <s v="Other"/>
    <n v="4"/>
    <x v="0"/>
    <n v="2"/>
    <n v="1"/>
    <n v="5"/>
    <n v="4"/>
    <n v="3"/>
    <s v="Y"/>
    <n v="4000"/>
    <x v="0"/>
  </r>
  <r>
    <d v="2019-10-23T00:00:00"/>
    <d v="1899-12-30T17:21:00"/>
    <m/>
    <s v="D"/>
    <n v="2"/>
    <s v="Road Vehicle"/>
    <n v="6"/>
    <x v="1"/>
    <x v="0"/>
    <n v="3"/>
    <x v="2"/>
    <s v="Rukungiri"/>
    <s v="Rukungiri"/>
    <s v="UGA"/>
    <n v="2"/>
    <s v="Work"/>
    <s v="Kampala"/>
    <s v="Kampala"/>
    <s v="UGA"/>
    <n v="1"/>
    <s v="Home"/>
    <x v="4"/>
    <n v="600000"/>
    <n v="390"/>
    <x v="3"/>
    <n v="7.5"/>
    <x v="2"/>
    <n v="10"/>
    <s v="Other"/>
    <n v="4"/>
    <x v="0"/>
    <n v="2"/>
    <n v="1"/>
    <n v="3"/>
    <n v="5"/>
    <n v="4"/>
    <s v="Y"/>
    <n v="10000"/>
    <x v="5"/>
  </r>
  <r>
    <d v="2019-10-23T00:00:00"/>
    <d v="1899-12-30T16:33:00"/>
    <m/>
    <s v="D"/>
    <n v="2"/>
    <s v="Road Vehicle"/>
    <n v="6"/>
    <x v="1"/>
    <x v="0"/>
    <n v="3"/>
    <x v="2"/>
    <s v="Rwerere"/>
    <s v="Rukungiri"/>
    <s v="UGA"/>
    <n v="2"/>
    <s v="Work"/>
    <s v="Kampala"/>
    <s v="Kampala"/>
    <s v="UGA"/>
    <n v="1"/>
    <s v="Home"/>
    <x v="4"/>
    <n v="600000"/>
    <n v="390"/>
    <x v="3"/>
    <n v="7.5"/>
    <x v="2"/>
    <n v="10"/>
    <s v="Other"/>
    <n v="2"/>
    <x v="3"/>
    <n v="2"/>
    <n v="1"/>
    <n v="3"/>
    <n v="5"/>
    <n v="4"/>
    <s v="Y"/>
    <m/>
    <x v="3"/>
  </r>
  <r>
    <d v="2019-10-23T00:00:00"/>
    <d v="1899-12-30T16:42:00"/>
    <m/>
    <s v="D"/>
    <n v="2"/>
    <s v="Road Vehicle"/>
    <n v="6"/>
    <x v="1"/>
    <x v="0"/>
    <n v="3"/>
    <x v="2"/>
    <s v="Rwashamere"/>
    <s v="Rukungiri"/>
    <s v="UGA"/>
    <n v="2"/>
    <s v="Work"/>
    <s v="Mengo"/>
    <s v="Kampala"/>
    <s v="UGA"/>
    <n v="1"/>
    <s v="Home"/>
    <x v="4"/>
    <n v="550000"/>
    <n v="318"/>
    <x v="3"/>
    <n v="6.5"/>
    <x v="2"/>
    <n v="10"/>
    <s v="Other"/>
    <n v="4"/>
    <x v="0"/>
    <n v="5"/>
    <n v="1"/>
    <n v="2"/>
    <n v="3"/>
    <n v="4"/>
    <s v="Y"/>
    <n v="3000"/>
    <x v="0"/>
  </r>
  <r>
    <d v="2019-10-23T00:00:00"/>
    <d v="1899-12-30T16:21:00"/>
    <m/>
    <s v="D"/>
    <n v="2"/>
    <s v="Road Vehicle"/>
    <n v="6"/>
    <x v="1"/>
    <x v="0"/>
    <n v="3"/>
    <x v="2"/>
    <s v="Rukungiri"/>
    <s v="Rukungiri"/>
    <s v="UGA"/>
    <n v="2"/>
    <s v="Work"/>
    <s v="Kampala"/>
    <s v="Kampala"/>
    <s v="UGA"/>
    <n v="1"/>
    <s v="Home"/>
    <x v="4"/>
    <n v="650000"/>
    <n v="391"/>
    <x v="3"/>
    <n v="7"/>
    <x v="2"/>
    <n v="10"/>
    <s v="Other"/>
    <n v="3"/>
    <x v="1"/>
    <n v="2"/>
    <n v="1"/>
    <n v="3"/>
    <n v="4"/>
    <n v="5"/>
    <s v="Y"/>
    <n v="8000"/>
    <x v="2"/>
  </r>
  <r>
    <d v="2019-10-23T00:00:00"/>
    <d v="1899-12-30T16:00:00"/>
    <m/>
    <s v="D"/>
    <n v="2"/>
    <s v="Road Vehicle"/>
    <n v="6"/>
    <x v="1"/>
    <x v="0"/>
    <n v="3"/>
    <x v="2"/>
    <s v="Rukungiri"/>
    <s v="Rukungiri"/>
    <s v="UGA"/>
    <n v="2"/>
    <s v="Work"/>
    <s v="Kampala"/>
    <s v="Kampala"/>
    <s v="UGA"/>
    <n v="1"/>
    <s v="Home"/>
    <x v="4"/>
    <n v="710000"/>
    <n v="391"/>
    <x v="3"/>
    <n v="7.5"/>
    <x v="2"/>
    <n v="10"/>
    <s v="Other"/>
    <n v="4"/>
    <x v="0"/>
    <n v="2"/>
    <n v="1"/>
    <n v="3"/>
    <n v="4"/>
    <n v="5"/>
    <s v="Y"/>
    <m/>
    <x v="3"/>
  </r>
  <r>
    <d v="2019-10-23T00:00:00"/>
    <d v="1899-12-30T15:41:00"/>
    <m/>
    <s v="D"/>
    <n v="2"/>
    <s v="Road Vehicle"/>
    <n v="6"/>
    <x v="1"/>
    <x v="0"/>
    <n v="3"/>
    <x v="2"/>
    <s v="Rukungiri"/>
    <s v="Rukungiri"/>
    <s v="UGA"/>
    <n v="2"/>
    <s v="Work"/>
    <s v="Kampala"/>
    <s v="Kampala"/>
    <s v="UGA"/>
    <n v="1"/>
    <s v="Home"/>
    <x v="4"/>
    <n v="650000"/>
    <n v="380"/>
    <x v="3"/>
    <n v="7.5"/>
    <x v="2"/>
    <n v="10"/>
    <s v="Other"/>
    <n v="3"/>
    <x v="1"/>
    <n v="5"/>
    <n v="2"/>
    <n v="3"/>
    <n v="1"/>
    <n v="4"/>
    <s v="Y"/>
    <m/>
    <x v="3"/>
  </r>
  <r>
    <d v="2019-10-23T00:00:00"/>
    <d v="1899-12-30T14:52:00"/>
    <m/>
    <s v="D"/>
    <n v="2"/>
    <s v="Road Vehicle"/>
    <n v="6"/>
    <x v="1"/>
    <x v="0"/>
    <n v="3"/>
    <x v="2"/>
    <s v="Kebusoni"/>
    <s v="Rukungiri"/>
    <s v="UGA"/>
    <n v="2"/>
    <s v="Work"/>
    <s v="Town"/>
    <s v="Kampala"/>
    <s v="UGA"/>
    <n v="1"/>
    <s v="Home"/>
    <x v="4"/>
    <n v="650000"/>
    <n v="414"/>
    <x v="3"/>
    <n v="8"/>
    <x v="2"/>
    <n v="10"/>
    <s v="Other"/>
    <n v="3"/>
    <x v="1"/>
    <n v="1"/>
    <n v="2"/>
    <n v="5"/>
    <n v="4"/>
    <n v="3"/>
    <s v="Y"/>
    <m/>
    <x v="3"/>
  </r>
  <r>
    <d v="2019-10-23T00:00:00"/>
    <d v="1899-12-30T13:36:00"/>
    <m/>
    <s v="D"/>
    <n v="2"/>
    <s v="Road Vehicle"/>
    <n v="6"/>
    <x v="1"/>
    <x v="0"/>
    <n v="3"/>
    <x v="2"/>
    <s v="Buyanja"/>
    <s v="Rukungiri"/>
    <s v="UGA"/>
    <n v="2"/>
    <s v="Work"/>
    <s v="Kampala"/>
    <s v="Kampala"/>
    <s v="UGA"/>
    <n v="1"/>
    <s v="Home"/>
    <x v="4"/>
    <n v="600000"/>
    <n v="396"/>
    <x v="3"/>
    <n v="8"/>
    <x v="2"/>
    <n v="10"/>
    <s v="Other"/>
    <n v="4"/>
    <x v="0"/>
    <n v="4"/>
    <n v="3"/>
    <n v="1"/>
    <n v="2"/>
    <n v="5"/>
    <s v="Y"/>
    <n v="5000"/>
    <x v="2"/>
  </r>
  <r>
    <d v="2019-10-23T00:00:00"/>
    <d v="1899-12-30T13:48:00"/>
    <m/>
    <s v="D"/>
    <n v="2"/>
    <s v="Road Vehicle"/>
    <n v="6"/>
    <x v="1"/>
    <x v="0"/>
    <n v="3"/>
    <x v="2"/>
    <s v="Rukungiri"/>
    <s v="Rukungiri"/>
    <s v="UGA"/>
    <n v="1"/>
    <s v="Home"/>
    <s v="Kampala"/>
    <s v="Kampala"/>
    <s v="UGA"/>
    <n v="2"/>
    <s v="Work"/>
    <x v="1"/>
    <n v="650000"/>
    <n v="391"/>
    <x v="3"/>
    <n v="7.5"/>
    <x v="2"/>
    <n v="10"/>
    <s v="Other"/>
    <n v="3"/>
    <x v="1"/>
    <n v="2"/>
    <n v="3"/>
    <n v="5"/>
    <n v="1"/>
    <n v="4"/>
    <s v="Y"/>
    <m/>
    <x v="3"/>
  </r>
  <r>
    <d v="2019-10-23T00:00:00"/>
    <d v="1899-12-30T13:23:00"/>
    <m/>
    <s v="D"/>
    <n v="2"/>
    <s v="Road Vehicle"/>
    <n v="6"/>
    <x v="1"/>
    <x v="0"/>
    <n v="3"/>
    <x v="2"/>
    <s v="Rukungiri"/>
    <s v="Rukungiri"/>
    <s v="UGA"/>
    <n v="2"/>
    <s v="Work"/>
    <s v="Kampala"/>
    <s v="Kampala"/>
    <s v="UGA"/>
    <n v="1"/>
    <s v="Home"/>
    <x v="4"/>
    <n v="650000"/>
    <n v="380"/>
    <x v="3"/>
    <n v="7"/>
    <x v="2"/>
    <n v="10"/>
    <s v="Other"/>
    <n v="3"/>
    <x v="1"/>
    <n v="1"/>
    <n v="2"/>
    <n v="4"/>
    <n v="5"/>
    <n v="3"/>
    <s v="Y"/>
    <m/>
    <x v="3"/>
  </r>
  <r>
    <d v="2019-10-23T00:00:00"/>
    <d v="1899-12-30T15:18:00"/>
    <m/>
    <s v="D"/>
    <n v="2"/>
    <s v="Road Vehicle"/>
    <n v="6"/>
    <x v="1"/>
    <x v="0"/>
    <n v="3"/>
    <x v="2"/>
    <s v="Kampala"/>
    <s v="Kampala"/>
    <s v="UGA"/>
    <n v="4"/>
    <s v="Commercial"/>
    <s v="Ntungamo"/>
    <s v="Ntungamo"/>
    <m/>
    <n v="4"/>
    <s v="Commercial"/>
    <x v="18"/>
    <n v="800000"/>
    <m/>
    <x v="0"/>
    <n v="9"/>
    <x v="2"/>
    <n v="10"/>
    <s v="Other"/>
    <n v="5"/>
    <x v="4"/>
    <n v="5"/>
    <n v="1"/>
    <n v="4"/>
    <n v="2"/>
    <n v="3"/>
    <s v="Y"/>
    <n v="10000"/>
    <x v="5"/>
  </r>
  <r>
    <d v="2019-10-23T00:00:00"/>
    <d v="1899-12-30T17:26:00"/>
    <m/>
    <s v="D"/>
    <n v="2"/>
    <s v="Road Vehicle"/>
    <n v="5"/>
    <x v="2"/>
    <x v="0"/>
    <n v="3"/>
    <x v="2"/>
    <s v="Rukungiri"/>
    <s v="Rukungiri"/>
    <s v="UGA"/>
    <n v="2"/>
    <s v="Work"/>
    <s v="Mbarara"/>
    <s v="Mbarara"/>
    <s v="UGA"/>
    <n v="1"/>
    <s v="Home"/>
    <x v="4"/>
    <n v="200000"/>
    <n v="117"/>
    <x v="2"/>
    <n v="4"/>
    <x v="2"/>
    <n v="10"/>
    <s v="Other"/>
    <n v="4"/>
    <x v="0"/>
    <n v="3"/>
    <n v="1"/>
    <n v="2"/>
    <n v="5"/>
    <n v="4"/>
    <s v="Y"/>
    <m/>
    <x v="3"/>
  </r>
  <r>
    <d v="2019-10-23T00:00:00"/>
    <d v="1899-12-30T16:59:00"/>
    <m/>
    <s v="D"/>
    <n v="2"/>
    <s v="Road Vehicle"/>
    <n v="5"/>
    <x v="2"/>
    <x v="0"/>
    <n v="3"/>
    <x v="2"/>
    <s v="Kambuga"/>
    <s v="Rukungiri"/>
    <s v="UGA"/>
    <n v="2"/>
    <s v="Work"/>
    <s v="Kibaale"/>
    <s v="Mbarara"/>
    <s v="UGA"/>
    <n v="1"/>
    <s v="Home"/>
    <x v="4"/>
    <n v="180000"/>
    <n v="118"/>
    <x v="2"/>
    <n v="4.5"/>
    <x v="2"/>
    <n v="10"/>
    <s v="Other"/>
    <n v="3"/>
    <x v="1"/>
    <n v="2"/>
    <n v="1"/>
    <n v="5"/>
    <n v="3"/>
    <n v="4"/>
    <s v="Y"/>
    <m/>
    <x v="3"/>
  </r>
  <r>
    <d v="2019-10-23T00:00:00"/>
    <d v="1899-12-30T16:16:00"/>
    <m/>
    <s v="D"/>
    <n v="2"/>
    <s v="Road Vehicle"/>
    <n v="5"/>
    <x v="2"/>
    <x v="0"/>
    <n v="3"/>
    <x v="2"/>
    <s v="Rukungiri"/>
    <s v="Rukungiri"/>
    <s v="UGA"/>
    <n v="2"/>
    <s v="Work"/>
    <s v="Mbarara"/>
    <s v="Mbarara"/>
    <s v="UGA"/>
    <n v="1"/>
    <s v="Home"/>
    <x v="4"/>
    <n v="200000"/>
    <n v="117"/>
    <x v="2"/>
    <n v="4.5"/>
    <x v="2"/>
    <n v="10"/>
    <s v="Other"/>
    <n v="3"/>
    <x v="1"/>
    <n v="1"/>
    <n v="2"/>
    <n v="5"/>
    <n v="4"/>
    <n v="3"/>
    <s v="Y"/>
    <n v="3000"/>
    <x v="0"/>
  </r>
  <r>
    <d v="2019-10-23T00:00:00"/>
    <d v="1899-12-30T15:55:00"/>
    <m/>
    <s v="D"/>
    <n v="2"/>
    <s v="Road Vehicle"/>
    <n v="5"/>
    <x v="2"/>
    <x v="0"/>
    <n v="3"/>
    <x v="2"/>
    <s v="Rukungiri"/>
    <s v="Rukungiri"/>
    <s v="UGA"/>
    <n v="2"/>
    <s v="Work"/>
    <s v="Mbarara"/>
    <s v="Mbarara"/>
    <s v="UGA"/>
    <n v="1"/>
    <s v="Home"/>
    <x v="4"/>
    <n v="250000"/>
    <n v="116"/>
    <x v="2"/>
    <n v="4"/>
    <x v="2"/>
    <n v="10"/>
    <s v="Other"/>
    <n v="3"/>
    <x v="1"/>
    <n v="1"/>
    <n v="2"/>
    <n v="5"/>
    <n v="4"/>
    <n v="3"/>
    <s v="Y"/>
    <n v="500"/>
    <x v="3"/>
  </r>
  <r>
    <d v="2019-10-23T00:00:00"/>
    <d v="1899-12-30T15:06:00"/>
    <m/>
    <s v="D"/>
    <n v="2"/>
    <s v="Road Vehicle"/>
    <n v="5"/>
    <x v="2"/>
    <x v="0"/>
    <n v="3"/>
    <x v="2"/>
    <s v="Rukungiri"/>
    <s v="Rukungiri"/>
    <s v="UGA"/>
    <n v="2"/>
    <s v="Work"/>
    <s v="Mbarara"/>
    <s v="Mbarara"/>
    <s v="UGA"/>
    <n v="1"/>
    <s v="Home"/>
    <x v="4"/>
    <n v="260000"/>
    <n v="120"/>
    <x v="2"/>
    <n v="4.5"/>
    <x v="2"/>
    <n v="10"/>
    <s v="Other"/>
    <n v="2"/>
    <x v="3"/>
    <n v="1"/>
    <n v="3"/>
    <n v="2"/>
    <n v="5"/>
    <n v="4"/>
    <s v="Y"/>
    <n v="2000"/>
    <x v="1"/>
  </r>
  <r>
    <d v="2019-10-23T00:00:00"/>
    <d v="1899-12-30T15:34:00"/>
    <m/>
    <s v="D"/>
    <n v="2"/>
    <s v="Road Vehicle"/>
    <n v="5"/>
    <x v="2"/>
    <x v="0"/>
    <n v="3"/>
    <x v="2"/>
    <s v="Rukungiri"/>
    <s v="Rukungiri"/>
    <s v="UGA"/>
    <n v="1"/>
    <s v="Home"/>
    <s v="Mbarara"/>
    <s v="Mbarara"/>
    <s v="UGA"/>
    <n v="2"/>
    <s v="Work"/>
    <x v="1"/>
    <n v="300000"/>
    <n v="120"/>
    <x v="2"/>
    <n v="4"/>
    <x v="2"/>
    <n v="5"/>
    <s v="Professional"/>
    <n v="3"/>
    <x v="1"/>
    <n v="3"/>
    <n v="5"/>
    <n v="4"/>
    <n v="1"/>
    <n v="2"/>
    <s v="Y"/>
    <m/>
    <x v="3"/>
  </r>
  <r>
    <d v="2019-10-21T00:00:00"/>
    <m/>
    <m/>
    <s v="P"/>
    <n v="2"/>
    <s v="Road Vehicle"/>
    <n v="4"/>
    <x v="3"/>
    <x v="1"/>
    <n v="3"/>
    <x v="2"/>
    <s v="Rukungiri"/>
    <s v="Rukungiri"/>
    <s v="UGA"/>
    <n v="1"/>
    <s v="Home"/>
    <s v="Mbarara"/>
    <s v="Mbarara"/>
    <s v="UGA"/>
    <n v="4"/>
    <s v="Commercial"/>
    <x v="0"/>
    <n v="10000"/>
    <m/>
    <x v="0"/>
    <n v="3"/>
    <x v="0"/>
    <n v="2"/>
    <s v="Manual Labour"/>
    <n v="1"/>
    <x v="2"/>
    <n v="1"/>
    <n v="3"/>
    <n v="4"/>
    <n v="2"/>
    <n v="5"/>
    <s v="Y"/>
    <n v="10000"/>
    <x v="5"/>
  </r>
  <r>
    <d v="2019-10-23T00:00:00"/>
    <m/>
    <m/>
    <s v="P"/>
    <n v="2"/>
    <s v="Road Vehicle"/>
    <n v="4"/>
    <x v="3"/>
    <x v="1"/>
    <n v="3"/>
    <x v="2"/>
    <s v="Rukungiri"/>
    <s v="Rukungiri"/>
    <s v="UGA"/>
    <n v="1"/>
    <s v="Home"/>
    <s v="Mutungo"/>
    <s v="Kampala"/>
    <s v="UGA"/>
    <n v="5"/>
    <s v="Tourism"/>
    <x v="20"/>
    <n v="30000"/>
    <n v="400"/>
    <x v="3"/>
    <n v="8"/>
    <x v="2"/>
    <n v="2"/>
    <s v="Manual Labour"/>
    <n v="2"/>
    <x v="3"/>
    <n v="3"/>
    <n v="2"/>
    <n v="5"/>
    <n v="4"/>
    <n v="1"/>
    <s v="Y"/>
    <n v="2000"/>
    <x v="1"/>
  </r>
  <r>
    <d v="2019-10-23T00:00:00"/>
    <d v="1899-12-30T10:25:00"/>
    <m/>
    <s v="D"/>
    <n v="2"/>
    <s v="Road Vehicle"/>
    <n v="4"/>
    <x v="3"/>
    <x v="1"/>
    <n v="3"/>
    <x v="2"/>
    <s v="Rukungiri"/>
    <s v="Rukungiri"/>
    <s v="UGA"/>
    <n v="4"/>
    <s v="Commercial"/>
    <s v="Kampala"/>
    <s v="Kampala"/>
    <m/>
    <n v="4"/>
    <s v="Commercial"/>
    <x v="18"/>
    <n v="190000"/>
    <m/>
    <x v="0"/>
    <n v="9"/>
    <x v="2"/>
    <n v="10"/>
    <s v="Other"/>
    <n v="4"/>
    <x v="0"/>
    <n v="3"/>
    <n v="1"/>
    <n v="4"/>
    <n v="2"/>
    <n v="5"/>
    <s v="Y"/>
    <m/>
    <x v="3"/>
  </r>
  <r>
    <d v="2019-10-21T00:00:00"/>
    <d v="1899-12-30T14:11:00"/>
    <m/>
    <s v="D"/>
    <n v="2"/>
    <s v="Road Vehicle"/>
    <n v="4"/>
    <x v="3"/>
    <x v="0"/>
    <n v="3"/>
    <x v="2"/>
    <s v="Ebutangasi"/>
    <s v="Rukungiri"/>
    <s v="UGA"/>
    <n v="2"/>
    <s v="Work"/>
    <s v="Kisenyi"/>
    <s v="Kampala"/>
    <s v="UGA"/>
    <n v="1"/>
    <s v="Home"/>
    <x v="4"/>
    <n v="100000"/>
    <n v="120"/>
    <x v="2"/>
    <n v="3"/>
    <x v="0"/>
    <n v="10"/>
    <s v="Other"/>
    <n v="1"/>
    <x v="2"/>
    <n v="4"/>
    <n v="5"/>
    <n v="1"/>
    <n v="2"/>
    <n v="3"/>
    <s v="Y"/>
    <m/>
    <x v="3"/>
  </r>
  <r>
    <d v="2019-10-21T00:00:00"/>
    <d v="1899-12-30T15:30:00"/>
    <m/>
    <s v="D"/>
    <n v="2"/>
    <s v="Road Vehicle"/>
    <n v="4"/>
    <x v="3"/>
    <x v="0"/>
    <n v="3"/>
    <x v="2"/>
    <s v="Eastern ward"/>
    <s v="Rukungiri"/>
    <s v="UGA"/>
    <n v="2"/>
    <s v="Work"/>
    <s v="Kitimba"/>
    <s v="Rukungiri"/>
    <s v="UGA"/>
    <n v="1"/>
    <s v="Home"/>
    <x v="4"/>
    <n v="12000"/>
    <n v="2"/>
    <x v="0"/>
    <n v="0.3"/>
    <x v="3"/>
    <n v="10"/>
    <s v="Other"/>
    <n v="1"/>
    <x v="2"/>
    <n v="1"/>
    <n v="5"/>
    <n v="3"/>
    <n v="4"/>
    <n v="2"/>
    <s v="Y"/>
    <n v="1000"/>
    <x v="4"/>
  </r>
  <r>
    <d v="2019-10-21T00:00:00"/>
    <d v="1899-12-30T18:44:00"/>
    <m/>
    <s v="P"/>
    <n v="2"/>
    <s v="Road Vehicle"/>
    <n v="4"/>
    <x v="3"/>
    <x v="0"/>
    <n v="3"/>
    <x v="2"/>
    <s v="Nyabagando"/>
    <s v="Rukungiri"/>
    <s v="UGA"/>
    <n v="1"/>
    <s v="Home"/>
    <s v="Rukungiri"/>
    <s v="Rukungiri"/>
    <s v="UGA"/>
    <n v="2"/>
    <s v="Work"/>
    <x v="1"/>
    <n v="3000"/>
    <n v="5"/>
    <x v="0"/>
    <n v="1"/>
    <x v="1"/>
    <n v="2"/>
    <s v="Manual Labour"/>
    <n v="2"/>
    <x v="3"/>
    <n v="4"/>
    <n v="2"/>
    <n v="3"/>
    <n v="1"/>
    <n v="5"/>
    <s v="Y"/>
    <n v="1000"/>
    <x v="4"/>
  </r>
  <r>
    <d v="2019-10-21T00:00:00"/>
    <m/>
    <m/>
    <s v="D"/>
    <n v="2"/>
    <s v="Road Vehicle"/>
    <n v="4"/>
    <x v="3"/>
    <x v="0"/>
    <n v="3"/>
    <x v="2"/>
    <s v="Rukungiri"/>
    <s v="Rukungiri"/>
    <s v="UGA"/>
    <n v="1"/>
    <s v="Home"/>
    <s v="Kihini"/>
    <s v="Kanungu"/>
    <s v="UGA"/>
    <n v="2"/>
    <s v="Work"/>
    <x v="1"/>
    <n v="90000"/>
    <n v="120"/>
    <x v="2"/>
    <n v="2"/>
    <x v="0"/>
    <n v="5"/>
    <s v="Professional"/>
    <n v="3"/>
    <x v="1"/>
    <n v="1"/>
    <n v="3"/>
    <n v="4"/>
    <n v="2"/>
    <n v="5"/>
    <s v="Y"/>
    <n v="4000"/>
    <x v="0"/>
  </r>
  <r>
    <d v="2019-10-22T00:00:00"/>
    <d v="1899-12-30T13:36:00"/>
    <m/>
    <s v="D"/>
    <n v="2"/>
    <s v="Road Vehicle"/>
    <n v="4"/>
    <x v="3"/>
    <x v="0"/>
    <n v="3"/>
    <x v="2"/>
    <s v="Rukungiri"/>
    <s v="Rukungiri"/>
    <s v="UGA"/>
    <n v="1"/>
    <s v="Home"/>
    <s v="Kabowa"/>
    <s v="Kampala"/>
    <s v="UGA"/>
    <n v="2"/>
    <s v="Work"/>
    <x v="1"/>
    <n v="350000"/>
    <n v="360"/>
    <x v="3"/>
    <n v="9"/>
    <x v="2"/>
    <n v="10"/>
    <s v="Other"/>
    <n v="4"/>
    <x v="0"/>
    <m/>
    <m/>
    <m/>
    <m/>
    <m/>
    <s v="Y"/>
    <n v="100"/>
    <x v="3"/>
  </r>
  <r>
    <d v="2019-10-22T00:00:00"/>
    <d v="1899-12-30T13:20:00"/>
    <m/>
    <s v="D"/>
    <n v="2"/>
    <s v="Road Vehicle"/>
    <n v="4"/>
    <x v="3"/>
    <x v="0"/>
    <n v="3"/>
    <x v="2"/>
    <s v="Ntungamo"/>
    <s v="Ntungamo"/>
    <s v="UGA"/>
    <n v="2"/>
    <s v="Work"/>
    <s v="Rukungiri"/>
    <s v="Rukungiri"/>
    <s v="UGA"/>
    <n v="1"/>
    <s v="Home"/>
    <x v="4"/>
    <n v="20000"/>
    <n v="44"/>
    <x v="5"/>
    <n v="1"/>
    <x v="1"/>
    <n v="10"/>
    <s v="Other"/>
    <n v="1"/>
    <x v="2"/>
    <n v="5"/>
    <n v="3"/>
    <n v="1"/>
    <n v="2"/>
    <n v="4"/>
    <s v="Y"/>
    <m/>
    <x v="3"/>
  </r>
  <r>
    <d v="2019-10-22T00:00:00"/>
    <d v="1899-12-30T10:10:00"/>
    <m/>
    <s v="P"/>
    <n v="2"/>
    <s v="Road Vehicle"/>
    <n v="4"/>
    <x v="3"/>
    <x v="0"/>
    <n v="3"/>
    <x v="2"/>
    <s v="Kitimba"/>
    <s v="Rukungiri"/>
    <s v="UGA"/>
    <n v="1"/>
    <s v="Home"/>
    <s v="Nabugamba"/>
    <s v="Rukungiri"/>
    <s v="UGA"/>
    <n v="2"/>
    <s v="Work"/>
    <x v="1"/>
    <n v="6000"/>
    <n v="3"/>
    <x v="0"/>
    <n v="6"/>
    <x v="2"/>
    <n v="2"/>
    <s v="Manual Labour"/>
    <n v="1"/>
    <x v="2"/>
    <n v="3"/>
    <n v="4"/>
    <n v="5"/>
    <n v="1"/>
    <n v="2"/>
    <s v="Y"/>
    <m/>
    <x v="3"/>
  </r>
  <r>
    <d v="2019-10-22T00:00:00"/>
    <d v="1899-12-30T10:36:00"/>
    <m/>
    <s v="P"/>
    <n v="2"/>
    <s v="Road Vehicle"/>
    <n v="4"/>
    <x v="3"/>
    <x v="0"/>
    <n v="3"/>
    <x v="2"/>
    <s v="Buguma"/>
    <s v="Rukungiri"/>
    <s v="UGA"/>
    <n v="1"/>
    <s v="Home"/>
    <s v="Nabugamba"/>
    <s v="Rukungiri"/>
    <s v="UGA"/>
    <n v="2"/>
    <s v="Work"/>
    <x v="1"/>
    <n v="4000"/>
    <n v="5"/>
    <x v="0"/>
    <n v="0.1"/>
    <x v="3"/>
    <n v="2"/>
    <s v="Manual Labour"/>
    <n v="1"/>
    <x v="2"/>
    <n v="1"/>
    <n v="3"/>
    <n v="4"/>
    <n v="5"/>
    <n v="2"/>
    <s v="Y"/>
    <m/>
    <x v="3"/>
  </r>
  <r>
    <d v="2019-10-22T00:00:00"/>
    <m/>
    <m/>
    <s v="P"/>
    <n v="2"/>
    <s v="Road Vehicle"/>
    <n v="4"/>
    <x v="3"/>
    <x v="0"/>
    <n v="3"/>
    <x v="2"/>
    <s v="Rukungiri"/>
    <s v="Rukungiri"/>
    <s v="UGA"/>
    <n v="1"/>
    <s v="Home"/>
    <s v="Kampala"/>
    <s v="Kampala"/>
    <s v="UGA"/>
    <n v="4"/>
    <s v="Commercial"/>
    <x v="0"/>
    <n v="35000"/>
    <m/>
    <x v="0"/>
    <n v="8"/>
    <x v="2"/>
    <n v="6"/>
    <s v="Businessman"/>
    <n v="2"/>
    <x v="3"/>
    <n v="2"/>
    <n v="1"/>
    <n v="3"/>
    <n v="5"/>
    <n v="4"/>
    <s v="Y"/>
    <n v="5000"/>
    <x v="2"/>
  </r>
  <r>
    <d v="2019-10-23T00:00:00"/>
    <d v="1899-12-30T13:54:00"/>
    <m/>
    <s v="D"/>
    <n v="2"/>
    <s v="Road Vehicle"/>
    <n v="4"/>
    <x v="3"/>
    <x v="0"/>
    <n v="3"/>
    <x v="2"/>
    <s v="Rukungiri"/>
    <s v="Rukungiri"/>
    <s v="UGA"/>
    <n v="1"/>
    <s v="Home"/>
    <s v="Mbarara"/>
    <s v="Mbarara"/>
    <s v="UGA"/>
    <n v="2"/>
    <s v="Work"/>
    <x v="1"/>
    <n v="600000"/>
    <n v="117"/>
    <x v="2"/>
    <n v="4"/>
    <x v="2"/>
    <n v="10"/>
    <s v="Other"/>
    <n v="3"/>
    <x v="1"/>
    <n v="3"/>
    <n v="5"/>
    <n v="4"/>
    <n v="1"/>
    <n v="2"/>
    <s v="Y"/>
    <m/>
    <x v="3"/>
  </r>
  <r>
    <d v="2019-10-23T00:00:00"/>
    <d v="1899-12-30T13:36:00"/>
    <m/>
    <s v="D"/>
    <n v="2"/>
    <s v="Road Vehicle"/>
    <n v="4"/>
    <x v="3"/>
    <x v="0"/>
    <n v="3"/>
    <x v="2"/>
    <s v="Rukungiri"/>
    <s v="Rukungiri"/>
    <s v="UGA"/>
    <n v="2"/>
    <s v="Work"/>
    <s v="Kampala"/>
    <s v="Kampala"/>
    <s v="UGA"/>
    <n v="1"/>
    <s v="Home"/>
    <x v="4"/>
    <n v="600000"/>
    <n v="390"/>
    <x v="3"/>
    <n v="8"/>
    <x v="2"/>
    <n v="5"/>
    <s v="Professional"/>
    <n v="4"/>
    <x v="0"/>
    <n v="2"/>
    <n v="3"/>
    <n v="1"/>
    <n v="4"/>
    <n v="5"/>
    <s v="Y"/>
    <n v="1000"/>
    <x v="4"/>
  </r>
  <r>
    <d v="2019-10-23T00:00:00"/>
    <d v="1899-12-30T13:24:00"/>
    <m/>
    <s v="D"/>
    <n v="2"/>
    <s v="Road Vehicle"/>
    <n v="4"/>
    <x v="3"/>
    <x v="0"/>
    <n v="3"/>
    <x v="2"/>
    <s v="Rukungiri"/>
    <s v="Rukungiri"/>
    <s v="UGA"/>
    <n v="2"/>
    <s v="Work"/>
    <s v="Mbarara"/>
    <s v="Mbarara"/>
    <s v="UGA"/>
    <n v="1"/>
    <s v="Home"/>
    <x v="4"/>
    <n v="200000"/>
    <n v="117"/>
    <x v="2"/>
    <n v="4"/>
    <x v="2"/>
    <n v="5"/>
    <s v="Professional"/>
    <n v="3"/>
    <x v="1"/>
    <n v="2"/>
    <n v="5"/>
    <n v="3"/>
    <n v="1"/>
    <n v="4"/>
    <s v="Y"/>
    <n v="4000"/>
    <x v="0"/>
  </r>
  <r>
    <d v="2019-10-23T00:00:00"/>
    <d v="1899-12-30T10:45:00"/>
    <m/>
    <s v="D"/>
    <n v="2"/>
    <s v="Road Vehicle"/>
    <n v="4"/>
    <x v="3"/>
    <x v="0"/>
    <n v="3"/>
    <x v="2"/>
    <s v="Bwindi"/>
    <s v="Kanungu"/>
    <s v="UGA"/>
    <n v="4"/>
    <s v="Commercial"/>
    <s v="Rukungiri"/>
    <s v="Rukungiri"/>
    <m/>
    <n v="4"/>
    <s v="Commercial"/>
    <x v="18"/>
    <n v="160000"/>
    <m/>
    <x v="0"/>
    <n v="5.5"/>
    <x v="2"/>
    <n v="10"/>
    <s v="Other"/>
    <n v="4"/>
    <x v="0"/>
    <n v="5"/>
    <n v="1"/>
    <n v="2"/>
    <n v="3"/>
    <n v="4"/>
    <s v="Y"/>
    <m/>
    <x v="3"/>
  </r>
  <r>
    <d v="2019-10-22T00:00:00"/>
    <m/>
    <m/>
    <s v="P"/>
    <n v="2"/>
    <s v="Road Vehicle"/>
    <n v="3"/>
    <x v="9"/>
    <x v="0"/>
    <n v="3"/>
    <x v="2"/>
    <s v="Rukungiri"/>
    <s v="Rukungiri"/>
    <s v="UGA"/>
    <n v="1"/>
    <s v="Home"/>
    <s v="Kihihi"/>
    <s v="Kanungu"/>
    <s v="UGA"/>
    <n v="2"/>
    <s v="Work"/>
    <x v="1"/>
    <n v="10000"/>
    <n v="100"/>
    <x v="2"/>
    <n v="3"/>
    <x v="0"/>
    <n v="2"/>
    <s v="Manual Labour"/>
    <n v="2"/>
    <x v="3"/>
    <n v="3"/>
    <n v="1"/>
    <n v="2"/>
    <n v="5"/>
    <n v="4"/>
    <s v="Y"/>
    <n v="1000"/>
    <x v="4"/>
  </r>
  <r>
    <d v="2019-10-23T00:00:00"/>
    <d v="1899-12-30T07:19:00"/>
    <m/>
    <s v="P"/>
    <n v="2"/>
    <s v="Road Vehicle"/>
    <n v="2"/>
    <x v="6"/>
    <x v="1"/>
    <n v="3"/>
    <x v="2"/>
    <s v="Rukungiri"/>
    <s v="Rukungiri"/>
    <s v="UGA"/>
    <n v="1"/>
    <s v="Home"/>
    <s v="Mbarara"/>
    <s v="Mbarara"/>
    <s v="UGA"/>
    <n v="4"/>
    <s v="Commercial"/>
    <x v="0"/>
    <n v="15000"/>
    <m/>
    <x v="0"/>
    <n v="1.5"/>
    <x v="1"/>
    <n v="6"/>
    <s v="Businessman"/>
    <n v="5"/>
    <x v="4"/>
    <n v="5"/>
    <n v="4"/>
    <n v="1"/>
    <n v="2"/>
    <n v="3"/>
    <s v="Y"/>
    <n v="5000"/>
    <x v="2"/>
  </r>
  <r>
    <d v="2019-10-23T00:00:00"/>
    <d v="1899-12-30T07:50:00"/>
    <m/>
    <s v="P"/>
    <n v="2"/>
    <s v="Road Vehicle"/>
    <n v="2"/>
    <x v="6"/>
    <x v="1"/>
    <n v="3"/>
    <x v="2"/>
    <s v="Rukungiri"/>
    <s v="Rukungiri"/>
    <s v="UGA"/>
    <n v="1"/>
    <s v="Home"/>
    <s v="Kampala"/>
    <s v="Kampala"/>
    <m/>
    <n v="2"/>
    <s v="Work"/>
    <x v="1"/>
    <n v="25000"/>
    <m/>
    <x v="0"/>
    <n v="9"/>
    <x v="2"/>
    <n v="5"/>
    <s v="Professional"/>
    <n v="4"/>
    <x v="0"/>
    <n v="1"/>
    <n v="5"/>
    <n v="2"/>
    <n v="3"/>
    <n v="4"/>
    <s v="Y"/>
    <n v="10000"/>
    <x v="5"/>
  </r>
  <r>
    <d v="2019-10-21T00:00:00"/>
    <m/>
    <m/>
    <s v="D"/>
    <n v="2"/>
    <s v="Road Vehicle"/>
    <n v="2"/>
    <x v="6"/>
    <x v="1"/>
    <n v="3"/>
    <x v="2"/>
    <s v="Rukungiri"/>
    <s v="Rukungiri"/>
    <s v="UGA"/>
    <n v="1"/>
    <s v="Home"/>
    <s v="Butogote"/>
    <s v="Kanungu"/>
    <s v="UGA"/>
    <n v="2"/>
    <s v="Work"/>
    <x v="1"/>
    <n v="130000"/>
    <n v="80"/>
    <x v="1"/>
    <n v="1.5"/>
    <x v="1"/>
    <n v="2"/>
    <s v="Manual Labour"/>
    <n v="2"/>
    <x v="3"/>
    <m/>
    <m/>
    <m/>
    <m/>
    <m/>
    <s v="Y"/>
    <m/>
    <x v="3"/>
  </r>
  <r>
    <d v="2019-10-23T00:00:00"/>
    <d v="1899-12-30T07:25:00"/>
    <m/>
    <s v="D"/>
    <n v="2"/>
    <s v="Road Vehicle"/>
    <n v="2"/>
    <x v="6"/>
    <x v="1"/>
    <n v="3"/>
    <x v="2"/>
    <s v="Rukungiri"/>
    <s v="Rukungiri"/>
    <s v="UGA"/>
    <n v="4"/>
    <s v="Commercial"/>
    <s v="Kampala"/>
    <s v="Kampala"/>
    <s v="UGA"/>
    <n v="4"/>
    <s v="Commercial"/>
    <x v="18"/>
    <n v="750000"/>
    <m/>
    <x v="0"/>
    <n v="9"/>
    <x v="2"/>
    <n v="10"/>
    <s v="Other"/>
    <n v="5"/>
    <x v="4"/>
    <n v="3"/>
    <n v="2"/>
    <n v="1"/>
    <n v="4"/>
    <n v="5"/>
    <s v="Y"/>
    <n v="10000"/>
    <x v="5"/>
  </r>
  <r>
    <d v="2019-10-21T00:00:00"/>
    <d v="1899-12-30T16:15:00"/>
    <m/>
    <s v="D"/>
    <n v="2"/>
    <s v="Road Vehicle"/>
    <n v="1"/>
    <x v="0"/>
    <x v="1"/>
    <n v="4"/>
    <x v="3"/>
    <s v="Kasolonza"/>
    <m/>
    <s v="UGA"/>
    <n v="2"/>
    <s v="Work"/>
    <s v="Luwerere"/>
    <m/>
    <s v="UGA"/>
    <n v="2"/>
    <s v="Work"/>
    <x v="2"/>
    <n v="10000"/>
    <n v="4"/>
    <x v="0"/>
    <n v="2"/>
    <x v="0"/>
    <n v="6"/>
    <s v="Businessman"/>
    <n v="1"/>
    <x v="2"/>
    <m/>
    <m/>
    <m/>
    <m/>
    <m/>
    <s v="Y"/>
    <m/>
    <x v="3"/>
  </r>
  <r>
    <d v="2019-10-22T00:00:00"/>
    <d v="1899-12-30T10:56:00"/>
    <m/>
    <s v="P"/>
    <n v="2"/>
    <s v="Road Vehicle"/>
    <n v="1"/>
    <x v="0"/>
    <x v="0"/>
    <n v="4"/>
    <x v="3"/>
    <s v="Kebusoni"/>
    <s v="Rukungiri"/>
    <s v="UGA"/>
    <n v="1"/>
    <s v="Home"/>
    <s v="Ruwakoma"/>
    <s v="Rukungiri"/>
    <s v="UGA"/>
    <n v="2"/>
    <s v="Work"/>
    <x v="1"/>
    <n v="2000"/>
    <n v="2"/>
    <x v="0"/>
    <n v="0.3"/>
    <x v="3"/>
    <n v="7"/>
    <s v="Farmer"/>
    <n v="1"/>
    <x v="2"/>
    <n v="1"/>
    <n v="2"/>
    <n v="3"/>
    <n v="4"/>
    <n v="5"/>
    <s v="Y"/>
    <n v="1000"/>
    <x v="4"/>
  </r>
  <r>
    <d v="2019-10-21T00:00:00"/>
    <m/>
    <m/>
    <s v="P"/>
    <n v="2"/>
    <s v="Road Vehicle"/>
    <n v="6"/>
    <x v="1"/>
    <x v="1"/>
    <n v="4"/>
    <x v="3"/>
    <s v="Rukungiri"/>
    <s v="Rukungiri"/>
    <s v="UGA"/>
    <n v="1"/>
    <s v="Home"/>
    <s v="Kampala"/>
    <s v="Kampala"/>
    <s v="UGA"/>
    <n v="6"/>
    <s v="Leisure/Social"/>
    <x v="8"/>
    <n v="20000"/>
    <m/>
    <x v="0"/>
    <n v="8"/>
    <x v="2"/>
    <n v="6"/>
    <s v="Businessman"/>
    <n v="1"/>
    <x v="2"/>
    <n v="1"/>
    <n v="3"/>
    <n v="5"/>
    <n v="4"/>
    <n v="2"/>
    <s v="Y"/>
    <n v="2500"/>
    <x v="1"/>
  </r>
  <r>
    <d v="2019-10-21T00:00:00"/>
    <m/>
    <m/>
    <s v="P"/>
    <n v="2"/>
    <s v="Road Vehicle"/>
    <n v="6"/>
    <x v="1"/>
    <x v="0"/>
    <n v="4"/>
    <x v="3"/>
    <s v="Rukungiri"/>
    <s v="Rukungiri"/>
    <s v="UGA"/>
    <n v="1"/>
    <s v="Home"/>
    <s v="Mbarara"/>
    <s v="Mbarara"/>
    <s v="UGA"/>
    <n v="2"/>
    <s v="Work"/>
    <x v="1"/>
    <n v="10000"/>
    <n v="80"/>
    <x v="1"/>
    <n v="2"/>
    <x v="0"/>
    <n v="2"/>
    <s v="Manual Labour"/>
    <n v="1"/>
    <x v="2"/>
    <m/>
    <m/>
    <m/>
    <m/>
    <m/>
    <s v="Y"/>
    <n v="1000"/>
    <x v="4"/>
  </r>
  <r>
    <d v="2019-10-22T00:00:00"/>
    <d v="1899-12-30T15:10:00"/>
    <m/>
    <s v="P"/>
    <n v="2"/>
    <s v="Road Vehicle"/>
    <n v="6"/>
    <x v="1"/>
    <x v="0"/>
    <n v="4"/>
    <x v="3"/>
    <s v="Bwabara"/>
    <s v="Rukungiri"/>
    <s v="UGA"/>
    <n v="7"/>
    <s v="Hospital"/>
    <s v="Kampala"/>
    <s v="Kampala"/>
    <s v="UGA"/>
    <n v="1"/>
    <s v="Home"/>
    <x v="27"/>
    <n v="30000"/>
    <n v="405"/>
    <x v="3"/>
    <n v="7.5"/>
    <x v="2"/>
    <n v="9"/>
    <s v="Retired"/>
    <n v="2"/>
    <x v="3"/>
    <n v="1"/>
    <n v="2"/>
    <n v="5"/>
    <n v="3"/>
    <n v="4"/>
    <s v="Y"/>
    <m/>
    <x v="3"/>
  </r>
  <r>
    <d v="2019-10-22T00:00:00"/>
    <m/>
    <m/>
    <s v="D"/>
    <n v="2"/>
    <s v="Road Vehicle"/>
    <n v="6"/>
    <x v="1"/>
    <x v="0"/>
    <n v="4"/>
    <x v="3"/>
    <s v="Rukungiri"/>
    <s v="Rukungiri"/>
    <s v="UGA"/>
    <n v="1"/>
    <s v="Home"/>
    <s v="Kampala"/>
    <s v="Kampala"/>
    <s v="UGA"/>
    <n v="2"/>
    <s v="Work"/>
    <x v="1"/>
    <n v="1200000"/>
    <m/>
    <x v="0"/>
    <n v="8"/>
    <x v="2"/>
    <n v="2"/>
    <s v="Manual Labour"/>
    <n v="3"/>
    <x v="1"/>
    <n v="3"/>
    <n v="4"/>
    <n v="1"/>
    <n v="5"/>
    <n v="4"/>
    <s v="Y"/>
    <n v="5000"/>
    <x v="2"/>
  </r>
  <r>
    <d v="2019-10-23T00:00:00"/>
    <d v="1899-12-30T14:42:00"/>
    <m/>
    <s v="D"/>
    <n v="2"/>
    <s v="Road Vehicle"/>
    <n v="6"/>
    <x v="1"/>
    <x v="0"/>
    <n v="4"/>
    <x v="3"/>
    <s v="Rwashamere"/>
    <s v="Rukungiri"/>
    <s v="UGA"/>
    <n v="1"/>
    <s v="Home"/>
    <s v="Kabowa"/>
    <s v="Kampala"/>
    <s v="UGA"/>
    <n v="2"/>
    <s v="Work"/>
    <x v="1"/>
    <n v="600000"/>
    <n v="318"/>
    <x v="3"/>
    <n v="7"/>
    <x v="2"/>
    <n v="2"/>
    <s v="Manual Labour"/>
    <n v="4"/>
    <x v="0"/>
    <n v="2"/>
    <n v="4"/>
    <n v="3"/>
    <n v="1"/>
    <n v="5"/>
    <s v="Y"/>
    <m/>
    <x v="3"/>
  </r>
  <r>
    <d v="2019-10-23T00:00:00"/>
    <d v="1899-12-30T14:54:00"/>
    <m/>
    <s v="D"/>
    <n v="2"/>
    <s v="Road Vehicle"/>
    <n v="5"/>
    <x v="2"/>
    <x v="0"/>
    <n v="4"/>
    <x v="3"/>
    <s v="Rukungiri"/>
    <s v="Rukungiri"/>
    <s v="UGA"/>
    <n v="1"/>
    <s v="Home"/>
    <s v="Kampala"/>
    <s v="Kampala"/>
    <s v="UGA"/>
    <n v="2"/>
    <s v="Work"/>
    <x v="1"/>
    <n v="600000"/>
    <n v="380"/>
    <x v="3"/>
    <n v="8"/>
    <x v="2"/>
    <n v="5"/>
    <s v="Professional"/>
    <n v="4"/>
    <x v="0"/>
    <n v="3"/>
    <n v="5"/>
    <n v="4"/>
    <n v="1"/>
    <n v="2"/>
    <s v="Y"/>
    <n v="1000"/>
    <x v="4"/>
  </r>
  <r>
    <d v="2019-10-23T00:00:00"/>
    <d v="1899-12-30T14:14:00"/>
    <m/>
    <s v="D"/>
    <n v="2"/>
    <s v="Road Vehicle"/>
    <n v="5"/>
    <x v="2"/>
    <x v="0"/>
    <n v="4"/>
    <x v="3"/>
    <s v="Kambuga"/>
    <s v="Rukungiri"/>
    <s v="UGA"/>
    <n v="1"/>
    <s v="Home"/>
    <s v="Kibaale"/>
    <s v="Mbarara"/>
    <s v="UGA"/>
    <n v="6"/>
    <s v="Leisure/Social"/>
    <x v="8"/>
    <n v="200000"/>
    <n v="120"/>
    <x v="2"/>
    <n v="3.5"/>
    <x v="2"/>
    <n v="5"/>
    <s v="Professional"/>
    <n v="3"/>
    <x v="1"/>
    <n v="2"/>
    <n v="1"/>
    <n v="3"/>
    <n v="5"/>
    <n v="4"/>
    <s v="Y"/>
    <n v="5000"/>
    <x v="2"/>
  </r>
  <r>
    <d v="2019-10-21T00:00:00"/>
    <d v="1899-12-30T14:53:00"/>
    <m/>
    <s v="P"/>
    <n v="2"/>
    <s v="Road Vehicle"/>
    <n v="4"/>
    <x v="3"/>
    <x v="0"/>
    <n v="4"/>
    <x v="3"/>
    <s v="Town"/>
    <s v="Rukungiri"/>
    <s v="UGA"/>
    <n v="2"/>
    <s v="Work"/>
    <s v="Buyanja"/>
    <s v="Rukungiri"/>
    <s v="UGA"/>
    <n v="2"/>
    <s v="Work"/>
    <x v="2"/>
    <n v="2000"/>
    <n v="7"/>
    <x v="0"/>
    <n v="0.5"/>
    <x v="4"/>
    <n v="6"/>
    <s v="Businessman"/>
    <n v="1"/>
    <x v="2"/>
    <n v="1"/>
    <n v="2"/>
    <n v="3"/>
    <n v="4"/>
    <n v="5"/>
    <s v="Y"/>
    <m/>
    <x v="3"/>
  </r>
  <r>
    <d v="2019-10-21T00:00:00"/>
    <d v="1899-12-30T18:19:00"/>
    <m/>
    <s v="P"/>
    <n v="2"/>
    <s v="Road Vehicle"/>
    <n v="4"/>
    <x v="3"/>
    <x v="0"/>
    <n v="4"/>
    <x v="3"/>
    <s v="Kigina"/>
    <s v="Rukungiri"/>
    <s v="UGA"/>
    <n v="1"/>
    <s v="Home"/>
    <s v="Rukungiri"/>
    <s v="Rukungiri"/>
    <s v="UGA"/>
    <n v="2"/>
    <s v="Work"/>
    <x v="1"/>
    <n v="2000"/>
    <n v="2"/>
    <x v="0"/>
    <n v="0.5"/>
    <x v="4"/>
    <n v="4"/>
    <s v="Office Worker"/>
    <n v="2"/>
    <x v="3"/>
    <n v="5"/>
    <n v="4"/>
    <n v="2"/>
    <n v="3"/>
    <n v="1"/>
    <s v="Y"/>
    <n v="5000"/>
    <x v="2"/>
  </r>
  <r>
    <d v="2019-10-21T00:00:00"/>
    <m/>
    <m/>
    <s v="P"/>
    <n v="2"/>
    <s v="Road Vehicle"/>
    <n v="4"/>
    <x v="3"/>
    <x v="0"/>
    <n v="4"/>
    <x v="3"/>
    <s v="Rukungiri"/>
    <s v="Rukungiri"/>
    <s v="UGA"/>
    <n v="1"/>
    <s v="Home"/>
    <s v="Ntungamo"/>
    <s v="Ntungamo"/>
    <s v="UGA"/>
    <n v="6"/>
    <s v="Leisure/Social"/>
    <x v="8"/>
    <n v="5000"/>
    <m/>
    <x v="0"/>
    <n v="2"/>
    <x v="0"/>
    <n v="5"/>
    <s v="Professional"/>
    <n v="2"/>
    <x v="3"/>
    <n v="1"/>
    <n v="3"/>
    <n v="5"/>
    <n v="4"/>
    <n v="2"/>
    <s v="Y"/>
    <n v="2000"/>
    <x v="1"/>
  </r>
  <r>
    <d v="2019-10-21T00:00:00"/>
    <m/>
    <m/>
    <s v="D"/>
    <n v="2"/>
    <s v="Road Vehicle"/>
    <n v="4"/>
    <x v="3"/>
    <x v="0"/>
    <n v="4"/>
    <x v="3"/>
    <s v="Rukungiri"/>
    <s v="Rukungiri"/>
    <s v="UGA"/>
    <n v="1"/>
    <s v="Home"/>
    <s v="Mbarara"/>
    <s v="Mbarara"/>
    <s v="UGA"/>
    <n v="2"/>
    <s v="Work"/>
    <x v="1"/>
    <n v="120000"/>
    <m/>
    <x v="0"/>
    <n v="2"/>
    <x v="0"/>
    <n v="5"/>
    <s v="Professional"/>
    <n v="3"/>
    <x v="1"/>
    <m/>
    <m/>
    <m/>
    <m/>
    <m/>
    <s v="Y"/>
    <m/>
    <x v="3"/>
  </r>
  <r>
    <d v="2019-10-22T00:00:00"/>
    <m/>
    <m/>
    <s v="D"/>
    <n v="2"/>
    <s v="Road Vehicle"/>
    <n v="4"/>
    <x v="3"/>
    <x v="0"/>
    <n v="4"/>
    <x v="3"/>
    <s v="Rukungiri"/>
    <s v="Rukungiri"/>
    <s v="UGA"/>
    <n v="1"/>
    <s v="Home"/>
    <s v="Kihihi"/>
    <s v="Kanungu"/>
    <s v="UGA"/>
    <n v="2"/>
    <s v="Work"/>
    <x v="1"/>
    <n v="100000"/>
    <n v="120"/>
    <x v="2"/>
    <n v="2.5"/>
    <x v="0"/>
    <n v="2"/>
    <s v="Manual Labour"/>
    <n v="2"/>
    <x v="3"/>
    <n v="2"/>
    <n v="3"/>
    <n v="1"/>
    <n v="5"/>
    <n v="4"/>
    <s v="Y"/>
    <n v="5000"/>
    <x v="2"/>
  </r>
  <r>
    <d v="2019-10-22T00:00:00"/>
    <m/>
    <m/>
    <s v="D"/>
    <n v="2"/>
    <s v="Road Vehicle"/>
    <n v="4"/>
    <x v="3"/>
    <x v="0"/>
    <n v="4"/>
    <x v="3"/>
    <s v="Rukungiri"/>
    <s v="Rukungiri"/>
    <s v="UGA"/>
    <n v="1"/>
    <s v="Home"/>
    <s v="Mbarara"/>
    <s v="Mbarara"/>
    <s v="UGA"/>
    <n v="2"/>
    <s v="Work"/>
    <x v="1"/>
    <n v="150000"/>
    <n v="160"/>
    <x v="2"/>
    <n v="2.5"/>
    <x v="0"/>
    <n v="5"/>
    <s v="Professional"/>
    <n v="4"/>
    <x v="0"/>
    <n v="1"/>
    <n v="3"/>
    <n v="5"/>
    <n v="2"/>
    <n v="4"/>
    <s v="Y"/>
    <n v="3000"/>
    <x v="0"/>
  </r>
  <r>
    <d v="2019-10-23T00:00:00"/>
    <d v="1899-12-30T13:45:00"/>
    <m/>
    <s v="D"/>
    <n v="2"/>
    <s v="Road Vehicle"/>
    <n v="4"/>
    <x v="3"/>
    <x v="0"/>
    <n v="4"/>
    <x v="3"/>
    <s v="Rukungiri"/>
    <s v="Rukungiri"/>
    <s v="UGA"/>
    <n v="1"/>
    <s v="Home"/>
    <s v="Kampala"/>
    <s v="Kampala"/>
    <s v="UGA"/>
    <n v="2"/>
    <s v="Work"/>
    <x v="1"/>
    <n v="600000"/>
    <n v="400"/>
    <x v="3"/>
    <n v="8"/>
    <x v="2"/>
    <n v="5"/>
    <s v="Professional"/>
    <n v="3"/>
    <x v="1"/>
    <n v="3"/>
    <n v="5"/>
    <n v="4"/>
    <n v="1"/>
    <n v="2"/>
    <s v="Y"/>
    <m/>
    <x v="3"/>
  </r>
  <r>
    <d v="2019-10-23T00:00:00"/>
    <d v="1899-12-30T07:15:00"/>
    <m/>
    <s v="P"/>
    <n v="2"/>
    <s v="Road Vehicle"/>
    <n v="2"/>
    <x v="6"/>
    <x v="1"/>
    <n v="4"/>
    <x v="3"/>
    <s v="Rukungiri"/>
    <s v="Rukungiri"/>
    <s v="UGA"/>
    <n v="1"/>
    <s v="Home"/>
    <s v="Mbarara"/>
    <s v="Mbarara"/>
    <s v="UGA"/>
    <n v="8"/>
    <s v="Others"/>
    <x v="13"/>
    <n v="15000"/>
    <m/>
    <x v="0"/>
    <n v="1.5"/>
    <x v="1"/>
    <n v="9"/>
    <s v="Retired"/>
    <n v="1"/>
    <x v="2"/>
    <n v="3"/>
    <n v="1"/>
    <n v="2"/>
    <n v="4"/>
    <n v="5"/>
    <s v="Y"/>
    <m/>
    <x v="3"/>
  </r>
  <r>
    <d v="2019-10-21T00:00:00"/>
    <d v="1899-12-30T16:02:00"/>
    <m/>
    <s v="P"/>
    <n v="2"/>
    <s v="Road Vehicle"/>
    <n v="6"/>
    <x v="1"/>
    <x v="1"/>
    <n v="6"/>
    <x v="5"/>
    <s v="Kitimba"/>
    <s v="Rukungiri"/>
    <s v="UGA"/>
    <n v="2"/>
    <s v="Work"/>
    <s v="Kasubi"/>
    <s v="Kampala"/>
    <s v="UGA"/>
    <n v="1"/>
    <s v="Home"/>
    <x v="4"/>
    <n v="25000"/>
    <n v="380"/>
    <x v="3"/>
    <n v="7"/>
    <x v="2"/>
    <n v="6"/>
    <s v="Businessman"/>
    <n v="2"/>
    <x v="3"/>
    <n v="1"/>
    <n v="5"/>
    <n v="3"/>
    <n v="4"/>
    <n v="2"/>
    <s v="Y"/>
    <n v="500"/>
    <x v="3"/>
  </r>
  <r>
    <m/>
    <m/>
    <m/>
    <m/>
    <m/>
    <m/>
    <m/>
    <x v="12"/>
    <x v="2"/>
    <m/>
    <x v="6"/>
    <m/>
    <m/>
    <m/>
    <m/>
    <m/>
    <m/>
    <m/>
    <m/>
    <m/>
    <m/>
    <x v="40"/>
    <m/>
    <m/>
    <x v="7"/>
    <m/>
    <x v="5"/>
    <m/>
    <m/>
    <m/>
    <x v="5"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87977-44D8-4B2C-AF40-4AC6974D6A68}" name="PivotTable5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E13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Gender (M/F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A544B-87FA-4A92-B9BE-E18D2BC0D1E9}" name="PivotTable59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46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2">
        <item x="18"/>
        <item x="3"/>
        <item x="36"/>
        <item x="26"/>
        <item x="24"/>
        <item x="0"/>
        <item x="16"/>
        <item x="32"/>
        <item x="8"/>
        <item x="13"/>
        <item x="25"/>
        <item x="20"/>
        <item x="1"/>
        <item x="27"/>
        <item x="21"/>
        <item x="10"/>
        <item x="7"/>
        <item x="39"/>
        <item x="29"/>
        <item x="12"/>
        <item x="30"/>
        <item x="37"/>
        <item x="15"/>
        <item x="11"/>
        <item x="14"/>
        <item x="9"/>
        <item x="34"/>
        <item x="6"/>
        <item x="22"/>
        <item x="28"/>
        <item x="31"/>
        <item x="35"/>
        <item x="17"/>
        <item x="4"/>
        <item x="23"/>
        <item x="5"/>
        <item x="19"/>
        <item x="33"/>
        <item x="2"/>
        <item x="38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Gender (M/F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C4945-9F04-4DF8-B5A1-A34AB8459C37}" name="PivotTable6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B22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me Range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5B797-0D98-4696-AE14-0CC788D17467}" name="PivotTable6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0"/>
        <item x="2"/>
        <item x="6"/>
        <item x="4"/>
        <item x="5"/>
        <item x="1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ist Range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C9E7B-471D-41C7-BF78-77BB43E14EA9}" name="PivotTable6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6:I24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3"/>
        <item x="4"/>
        <item x="1"/>
        <item x="0"/>
        <item x="2"/>
        <item x="5"/>
        <item x="6"/>
        <item t="default"/>
      </items>
    </pivotField>
  </pivotFields>
  <rowFields count="1">
    <field x="2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4CB02-31B4-4B7F-B7C2-E32FA3285C07}" name="PivotTable6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3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4"/>
        <item x="5"/>
        <item x="1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3"/>
        <item x="4"/>
        <item x="1"/>
        <item x="0"/>
        <item x="2"/>
        <item x="5"/>
        <item x="6"/>
        <item t="default"/>
      </items>
    </pivotField>
  </pivotFields>
  <rowFields count="1">
    <field x="2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4FD0C-2481-4206-9E08-322118FEF431}" name="PivotTable6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1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3"/>
        <item x="4"/>
        <item x="1"/>
        <item x="0"/>
        <item x="2"/>
        <item x="5"/>
        <item x="6"/>
        <item t="default"/>
      </items>
    </pivotField>
  </pivotFields>
  <rowFields count="1">
    <field x="3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24D7B-ABA4-450E-9D42-4BF1A5AD4BC9}" name="PivotTable6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8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0"/>
        <item x="5"/>
        <item x="11"/>
        <item x="0"/>
        <item x="8"/>
        <item x="1"/>
        <item x="7"/>
        <item x="2"/>
        <item x="4"/>
        <item x="3"/>
        <item x="9"/>
        <item x="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3"/>
        <item x="4"/>
        <item x="1"/>
        <item x="0"/>
        <item x="2"/>
        <item x="5"/>
        <item x="6"/>
        <item t="default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AE46-243C-4D97-A13C-DE281D332AB2}">
  <dimension ref="A3:O21"/>
  <sheetViews>
    <sheetView zoomScale="70" zoomScaleNormal="70" workbookViewId="0">
      <selection activeCell="G20" sqref="G20"/>
    </sheetView>
  </sheetViews>
  <sheetFormatPr defaultRowHeight="12.75" x14ac:dyDescent="0.2"/>
  <cols>
    <col min="1" max="1" width="21.140625" style="62" bestFit="1" customWidth="1"/>
    <col min="2" max="2" width="17" style="62" bestFit="1" customWidth="1"/>
    <col min="3" max="3" width="5" style="62" bestFit="1" customWidth="1"/>
    <col min="4" max="4" width="7.140625" style="62" bestFit="1" customWidth="1"/>
    <col min="5" max="5" width="11.7109375" style="62" bestFit="1" customWidth="1"/>
    <col min="6" max="6" width="11.7109375" style="62" customWidth="1"/>
    <col min="7" max="16384" width="9.140625" style="62"/>
  </cols>
  <sheetData>
    <row r="3" spans="1:15" x14ac:dyDescent="0.2">
      <c r="A3"/>
      <c r="B3"/>
      <c r="C3"/>
      <c r="D3"/>
      <c r="E3"/>
      <c r="F3"/>
    </row>
    <row r="4" spans="1:15" x14ac:dyDescent="0.2">
      <c r="A4" s="74" t="s">
        <v>977</v>
      </c>
      <c r="B4" s="74" t="s">
        <v>905</v>
      </c>
      <c r="C4"/>
      <c r="D4"/>
      <c r="E4"/>
      <c r="F4"/>
      <c r="G4" s="63" t="s">
        <v>906</v>
      </c>
      <c r="H4" s="63" t="s">
        <v>156</v>
      </c>
      <c r="I4" s="63" t="s">
        <v>109</v>
      </c>
      <c r="J4" s="77"/>
      <c r="L4" s="62" t="s">
        <v>218</v>
      </c>
      <c r="M4" s="62" t="s">
        <v>214</v>
      </c>
      <c r="N4" s="62" t="s">
        <v>215</v>
      </c>
      <c r="O4" s="62" t="s">
        <v>216</v>
      </c>
    </row>
    <row r="5" spans="1:15" x14ac:dyDescent="0.2">
      <c r="A5" s="74" t="s">
        <v>906</v>
      </c>
      <c r="B5" t="s">
        <v>156</v>
      </c>
      <c r="C5" t="s">
        <v>109</v>
      </c>
      <c r="D5" t="s">
        <v>907</v>
      </c>
      <c r="E5" t="s">
        <v>216</v>
      </c>
      <c r="F5"/>
      <c r="G5" s="64" t="s">
        <v>112</v>
      </c>
      <c r="H5" s="62">
        <v>151</v>
      </c>
      <c r="I5" s="62">
        <v>266</v>
      </c>
      <c r="J5" s="62">
        <v>417</v>
      </c>
      <c r="L5" s="64" t="s">
        <v>112</v>
      </c>
      <c r="M5" s="65">
        <f>H5/$O$11</f>
        <v>9.7356544165054806E-2</v>
      </c>
      <c r="N5" s="65">
        <f>I5/$O$11</f>
        <v>0.17150225660863957</v>
      </c>
      <c r="O5" s="62">
        <v>417</v>
      </c>
    </row>
    <row r="6" spans="1:15" x14ac:dyDescent="0.2">
      <c r="A6" s="75" t="s">
        <v>112</v>
      </c>
      <c r="B6" s="76">
        <v>151</v>
      </c>
      <c r="C6" s="76">
        <v>266</v>
      </c>
      <c r="D6" s="76"/>
      <c r="E6" s="76">
        <v>417</v>
      </c>
      <c r="F6" s="76"/>
      <c r="G6" s="64" t="s">
        <v>113</v>
      </c>
      <c r="H6" s="62">
        <v>228</v>
      </c>
      <c r="I6" s="62">
        <v>475</v>
      </c>
      <c r="J6" s="62">
        <v>703</v>
      </c>
      <c r="L6" s="64" t="s">
        <v>113</v>
      </c>
      <c r="M6" s="65">
        <f t="shared" ref="M6:N10" si="0">H6/$O$11</f>
        <v>0.14700193423597679</v>
      </c>
      <c r="N6" s="65">
        <f t="shared" si="0"/>
        <v>0.30625402965828497</v>
      </c>
      <c r="O6" s="62">
        <v>703</v>
      </c>
    </row>
    <row r="7" spans="1:15" x14ac:dyDescent="0.2">
      <c r="A7" s="75" t="s">
        <v>113</v>
      </c>
      <c r="B7" s="76">
        <v>228</v>
      </c>
      <c r="C7" s="76">
        <v>475</v>
      </c>
      <c r="D7" s="76"/>
      <c r="E7" s="76">
        <v>703</v>
      </c>
      <c r="F7" s="76"/>
      <c r="G7" s="64" t="s">
        <v>114</v>
      </c>
      <c r="H7" s="62">
        <v>52</v>
      </c>
      <c r="I7" s="62">
        <v>277</v>
      </c>
      <c r="J7" s="62">
        <v>329</v>
      </c>
      <c r="L7" s="64" t="s">
        <v>114</v>
      </c>
      <c r="M7" s="65">
        <f t="shared" si="0"/>
        <v>3.3526756931012251E-2</v>
      </c>
      <c r="N7" s="65">
        <f t="shared" si="0"/>
        <v>0.17859445519019987</v>
      </c>
      <c r="O7" s="62">
        <v>329</v>
      </c>
    </row>
    <row r="8" spans="1:15" x14ac:dyDescent="0.2">
      <c r="A8" s="75" t="s">
        <v>114</v>
      </c>
      <c r="B8" s="76">
        <v>52</v>
      </c>
      <c r="C8" s="76">
        <v>277</v>
      </c>
      <c r="D8" s="76"/>
      <c r="E8" s="76">
        <v>329</v>
      </c>
      <c r="F8" s="76"/>
      <c r="G8" s="64" t="s">
        <v>115</v>
      </c>
      <c r="H8" s="62">
        <v>14</v>
      </c>
      <c r="I8" s="62">
        <v>77</v>
      </c>
      <c r="J8" s="62">
        <v>91</v>
      </c>
      <c r="L8" s="64" t="s">
        <v>115</v>
      </c>
      <c r="M8" s="65">
        <f t="shared" si="0"/>
        <v>9.0264345583494516E-3</v>
      </c>
      <c r="N8" s="65">
        <f t="shared" si="0"/>
        <v>4.9645390070921988E-2</v>
      </c>
      <c r="O8" s="62">
        <v>91</v>
      </c>
    </row>
    <row r="9" spans="1:15" x14ac:dyDescent="0.2">
      <c r="A9" s="75" t="s">
        <v>115</v>
      </c>
      <c r="B9" s="76">
        <v>14</v>
      </c>
      <c r="C9" s="76">
        <v>77</v>
      </c>
      <c r="D9" s="76"/>
      <c r="E9" s="76">
        <v>91</v>
      </c>
      <c r="F9" s="76"/>
      <c r="G9" s="64" t="s">
        <v>116</v>
      </c>
      <c r="H9" s="62">
        <v>3</v>
      </c>
      <c r="I9" s="62">
        <v>5</v>
      </c>
      <c r="J9" s="62">
        <v>8</v>
      </c>
      <c r="L9" s="64" t="s">
        <v>116</v>
      </c>
      <c r="M9" s="65">
        <f t="shared" si="0"/>
        <v>1.9342359767891683E-3</v>
      </c>
      <c r="N9" s="65">
        <f t="shared" si="0"/>
        <v>3.2237266279819469E-3</v>
      </c>
      <c r="O9" s="62">
        <v>8</v>
      </c>
    </row>
    <row r="10" spans="1:15" x14ac:dyDescent="0.2">
      <c r="A10" s="75" t="s">
        <v>116</v>
      </c>
      <c r="B10" s="76">
        <v>3</v>
      </c>
      <c r="C10" s="76">
        <v>5</v>
      </c>
      <c r="D10" s="76"/>
      <c r="E10" s="76">
        <v>8</v>
      </c>
      <c r="F10" s="76"/>
      <c r="G10" s="62" t="s">
        <v>117</v>
      </c>
      <c r="H10" s="62">
        <v>2</v>
      </c>
      <c r="I10" s="62">
        <v>1</v>
      </c>
      <c r="J10" s="62">
        <v>3</v>
      </c>
      <c r="L10" s="62" t="s">
        <v>117</v>
      </c>
      <c r="M10" s="65">
        <f t="shared" si="0"/>
        <v>1.2894906511927789E-3</v>
      </c>
      <c r="N10" s="65">
        <f t="shared" si="0"/>
        <v>6.4474532559638943E-4</v>
      </c>
      <c r="O10" s="62">
        <v>3</v>
      </c>
    </row>
    <row r="11" spans="1:15" x14ac:dyDescent="0.2">
      <c r="A11" s="75" t="s">
        <v>117</v>
      </c>
      <c r="B11" s="76">
        <v>2</v>
      </c>
      <c r="C11" s="76">
        <v>1</v>
      </c>
      <c r="D11" s="76"/>
      <c r="E11" s="76">
        <v>3</v>
      </c>
      <c r="F11" s="76"/>
      <c r="L11" s="62" t="s">
        <v>216</v>
      </c>
      <c r="M11" s="62">
        <f t="shared" ref="M11:N11" si="1">SUM(M5:M10)</f>
        <v>0.29013539651837522</v>
      </c>
      <c r="N11" s="62">
        <f t="shared" si="1"/>
        <v>0.70986460348162483</v>
      </c>
      <c r="O11" s="62">
        <f>SUM(O5:O10)</f>
        <v>1551</v>
      </c>
    </row>
    <row r="12" spans="1:15" x14ac:dyDescent="0.2">
      <c r="A12" s="75" t="s">
        <v>907</v>
      </c>
      <c r="B12" s="76"/>
      <c r="C12" s="76"/>
      <c r="D12" s="76"/>
      <c r="E12" s="76"/>
      <c r="F12" s="76"/>
    </row>
    <row r="13" spans="1:15" x14ac:dyDescent="0.2">
      <c r="A13" s="75" t="s">
        <v>216</v>
      </c>
      <c r="B13" s="76">
        <v>450</v>
      </c>
      <c r="C13" s="76">
        <v>1101</v>
      </c>
      <c r="D13" s="76"/>
      <c r="E13" s="76">
        <v>1551</v>
      </c>
      <c r="F13" s="76"/>
    </row>
    <row r="14" spans="1:15" x14ac:dyDescent="0.2">
      <c r="A14"/>
      <c r="B14"/>
      <c r="C14"/>
    </row>
    <row r="15" spans="1:15" x14ac:dyDescent="0.2">
      <c r="A15"/>
      <c r="B15"/>
      <c r="C15"/>
    </row>
    <row r="16" spans="1:15" x14ac:dyDescent="0.2">
      <c r="A16"/>
      <c r="B16"/>
      <c r="C16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  <row r="21" spans="1:3" x14ac:dyDescent="0.2">
      <c r="A21"/>
      <c r="B21"/>
      <c r="C2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0823-6ADD-45DA-B11E-6D5F2B7A5425}">
  <dimension ref="A3:S46"/>
  <sheetViews>
    <sheetView tabSelected="1" topLeftCell="I4" zoomScale="85" zoomScaleNormal="85" workbookViewId="0">
      <selection activeCell="R10" sqref="R10"/>
    </sheetView>
  </sheetViews>
  <sheetFormatPr defaultRowHeight="12.75" x14ac:dyDescent="0.2"/>
  <cols>
    <col min="1" max="1" width="25.5703125" style="62" bestFit="1" customWidth="1"/>
    <col min="2" max="2" width="18" style="62" bestFit="1" customWidth="1"/>
    <col min="3" max="3" width="5.140625" style="62" bestFit="1" customWidth="1"/>
    <col min="4" max="4" width="7.5703125" style="62" bestFit="1" customWidth="1"/>
    <col min="5" max="5" width="11.7109375" style="62" bestFit="1" customWidth="1"/>
    <col min="6" max="6" width="9.140625" style="62"/>
    <col min="7" max="7" width="23.7109375" style="62" customWidth="1"/>
    <col min="8" max="11" width="9.140625" style="62"/>
    <col min="12" max="12" width="23.5703125" style="62" customWidth="1"/>
    <col min="13" max="16" width="9.140625" style="62"/>
    <col min="17" max="17" width="16.7109375" style="62" customWidth="1"/>
    <col min="18" max="16384" width="9.140625" style="62"/>
  </cols>
  <sheetData>
    <row r="3" spans="1:19" x14ac:dyDescent="0.2">
      <c r="A3" s="74" t="s">
        <v>977</v>
      </c>
      <c r="B3" s="74" t="s">
        <v>905</v>
      </c>
      <c r="C3"/>
      <c r="D3"/>
      <c r="E3"/>
    </row>
    <row r="4" spans="1:19" x14ac:dyDescent="0.2">
      <c r="A4" s="74" t="s">
        <v>906</v>
      </c>
      <c r="B4" t="s">
        <v>156</v>
      </c>
      <c r="C4" t="s">
        <v>109</v>
      </c>
      <c r="D4" t="s">
        <v>907</v>
      </c>
      <c r="E4" t="s">
        <v>216</v>
      </c>
      <c r="G4" s="62" t="s">
        <v>908</v>
      </c>
      <c r="H4" s="62" t="s">
        <v>214</v>
      </c>
      <c r="I4" s="62" t="s">
        <v>215</v>
      </c>
      <c r="J4" s="62" t="s">
        <v>216</v>
      </c>
      <c r="L4" s="62" t="s">
        <v>908</v>
      </c>
      <c r="M4" s="62" t="s">
        <v>214</v>
      </c>
      <c r="N4" s="62" t="s">
        <v>215</v>
      </c>
      <c r="O4" s="62" t="s">
        <v>216</v>
      </c>
      <c r="R4" s="66" t="s">
        <v>214</v>
      </c>
      <c r="S4" s="66" t="s">
        <v>215</v>
      </c>
    </row>
    <row r="5" spans="1:19" x14ac:dyDescent="0.2">
      <c r="A5" s="75" t="s">
        <v>909</v>
      </c>
      <c r="B5" s="76">
        <v>28</v>
      </c>
      <c r="C5" s="76">
        <v>99</v>
      </c>
      <c r="D5" s="76"/>
      <c r="E5" s="76">
        <v>127</v>
      </c>
      <c r="G5" s="75" t="s">
        <v>909</v>
      </c>
      <c r="H5" s="76">
        <v>28</v>
      </c>
      <c r="I5" s="76">
        <v>99</v>
      </c>
      <c r="J5" s="76">
        <v>127</v>
      </c>
      <c r="L5" s="62" t="s">
        <v>67</v>
      </c>
      <c r="M5" s="62">
        <f>SUM(H5:H9)</f>
        <v>37</v>
      </c>
      <c r="N5" s="62">
        <f>SUM(I5:I9)</f>
        <v>134</v>
      </c>
      <c r="O5" s="62">
        <f>SUM(M5:N5)</f>
        <v>171</v>
      </c>
      <c r="Q5" s="67" t="s">
        <v>67</v>
      </c>
      <c r="R5" s="68">
        <f>M5/$O$13</f>
        <v>2.4088541666666668E-2</v>
      </c>
      <c r="S5" s="68">
        <f>N5/$O$13</f>
        <v>8.7239583333333329E-2</v>
      </c>
    </row>
    <row r="6" spans="1:19" x14ac:dyDescent="0.2">
      <c r="A6" s="75" t="s">
        <v>910</v>
      </c>
      <c r="B6" s="76">
        <v>6</v>
      </c>
      <c r="C6" s="76">
        <v>24</v>
      </c>
      <c r="D6" s="76"/>
      <c r="E6" s="76">
        <v>30</v>
      </c>
      <c r="G6" s="75" t="s">
        <v>910</v>
      </c>
      <c r="H6" s="76">
        <v>6</v>
      </c>
      <c r="I6" s="76">
        <v>24</v>
      </c>
      <c r="J6" s="76">
        <v>30</v>
      </c>
      <c r="L6" s="62" t="s">
        <v>65</v>
      </c>
      <c r="M6" s="62">
        <f>SUM(H37:H43)</f>
        <v>100</v>
      </c>
      <c r="N6" s="62">
        <f>SUM(I37:I43)</f>
        <v>360</v>
      </c>
      <c r="O6" s="62">
        <f t="shared" ref="O6:O12" si="0">SUM(M6:N6)</f>
        <v>460</v>
      </c>
      <c r="Q6" s="67" t="s">
        <v>65</v>
      </c>
      <c r="R6" s="68">
        <f t="shared" ref="R6:S12" si="1">M6/$O$13</f>
        <v>6.5104166666666671E-2</v>
      </c>
      <c r="S6" s="68">
        <f t="shared" si="1"/>
        <v>0.234375</v>
      </c>
    </row>
    <row r="7" spans="1:19" x14ac:dyDescent="0.2">
      <c r="A7" s="75" t="s">
        <v>911</v>
      </c>
      <c r="B7" s="76">
        <v>2</v>
      </c>
      <c r="C7" s="76"/>
      <c r="D7" s="76"/>
      <c r="E7" s="76">
        <v>2</v>
      </c>
      <c r="G7" s="75" t="s">
        <v>911</v>
      </c>
      <c r="H7" s="76">
        <v>2</v>
      </c>
      <c r="I7" s="76"/>
      <c r="J7" s="76">
        <v>2</v>
      </c>
      <c r="L7" s="62" t="s">
        <v>64</v>
      </c>
      <c r="M7" s="62">
        <f>SUM(H10:H17)</f>
        <v>247</v>
      </c>
      <c r="N7" s="62">
        <f>SUM(I10:I17)</f>
        <v>516</v>
      </c>
      <c r="O7" s="62">
        <f t="shared" si="0"/>
        <v>763</v>
      </c>
      <c r="Q7" s="67" t="s">
        <v>64</v>
      </c>
      <c r="R7" s="68">
        <f t="shared" si="1"/>
        <v>0.16080729166666666</v>
      </c>
      <c r="S7" s="68">
        <f t="shared" si="1"/>
        <v>0.3359375</v>
      </c>
    </row>
    <row r="8" spans="1:19" x14ac:dyDescent="0.2">
      <c r="A8" s="75" t="s">
        <v>978</v>
      </c>
      <c r="B8" s="76">
        <v>1</v>
      </c>
      <c r="C8" s="76">
        <v>1</v>
      </c>
      <c r="D8" s="76"/>
      <c r="E8" s="76">
        <v>2</v>
      </c>
      <c r="G8" s="75" t="s">
        <v>978</v>
      </c>
      <c r="H8" s="76">
        <v>1</v>
      </c>
      <c r="I8" s="76">
        <v>1</v>
      </c>
      <c r="J8" s="76">
        <v>2</v>
      </c>
      <c r="L8" s="62" t="s">
        <v>51</v>
      </c>
      <c r="M8" s="62">
        <f>SUM(H18)</f>
        <v>1</v>
      </c>
      <c r="N8" s="62">
        <f>SUM(I18)</f>
        <v>4</v>
      </c>
      <c r="O8" s="62">
        <f t="shared" si="0"/>
        <v>5</v>
      </c>
      <c r="Q8" s="67" t="s">
        <v>51</v>
      </c>
      <c r="R8" s="68">
        <f t="shared" si="1"/>
        <v>6.5104166666666663E-4</v>
      </c>
      <c r="S8" s="68">
        <f t="shared" si="1"/>
        <v>2.6041666666666665E-3</v>
      </c>
    </row>
    <row r="9" spans="1:19" x14ac:dyDescent="0.2">
      <c r="A9" s="75" t="s">
        <v>912</v>
      </c>
      <c r="B9" s="76"/>
      <c r="C9" s="76">
        <v>10</v>
      </c>
      <c r="D9" s="76"/>
      <c r="E9" s="76">
        <v>10</v>
      </c>
      <c r="G9" s="75" t="s">
        <v>912</v>
      </c>
      <c r="H9" s="76"/>
      <c r="I9" s="76">
        <v>10</v>
      </c>
      <c r="J9" s="76">
        <v>10</v>
      </c>
      <c r="L9" s="62" t="s">
        <v>914</v>
      </c>
      <c r="M9" s="62">
        <f>SUM(H19:H23)</f>
        <v>18</v>
      </c>
      <c r="N9" s="62">
        <f>SUM(I19:I23)</f>
        <v>33</v>
      </c>
      <c r="O9" s="62">
        <f t="shared" si="0"/>
        <v>51</v>
      </c>
      <c r="Q9" s="67" t="s">
        <v>914</v>
      </c>
      <c r="R9" s="68">
        <f t="shared" si="1"/>
        <v>1.171875E-2</v>
      </c>
      <c r="S9" s="68">
        <f t="shared" si="1"/>
        <v>2.1484375E-2</v>
      </c>
    </row>
    <row r="10" spans="1:19" x14ac:dyDescent="0.2">
      <c r="A10" s="75" t="s">
        <v>913</v>
      </c>
      <c r="B10" s="76">
        <v>53</v>
      </c>
      <c r="C10" s="76">
        <v>88</v>
      </c>
      <c r="D10" s="76"/>
      <c r="E10" s="76">
        <v>141</v>
      </c>
      <c r="G10" s="75" t="s">
        <v>913</v>
      </c>
      <c r="H10" s="76">
        <v>53</v>
      </c>
      <c r="I10" s="76">
        <v>88</v>
      </c>
      <c r="J10" s="76">
        <v>141</v>
      </c>
      <c r="L10" s="62" t="s">
        <v>66</v>
      </c>
      <c r="M10" s="62">
        <f>SUM(H30:H33)</f>
        <v>19</v>
      </c>
      <c r="N10" s="62">
        <f>SUM(I30:I33)</f>
        <v>22</v>
      </c>
      <c r="O10" s="62">
        <f t="shared" si="0"/>
        <v>41</v>
      </c>
      <c r="Q10" s="67" t="s">
        <v>66</v>
      </c>
      <c r="R10" s="68">
        <f t="shared" si="1"/>
        <v>1.2369791666666666E-2</v>
      </c>
      <c r="S10" s="68">
        <f t="shared" si="1"/>
        <v>1.4322916666666666E-2</v>
      </c>
    </row>
    <row r="11" spans="1:19" x14ac:dyDescent="0.2">
      <c r="A11" s="75" t="s">
        <v>915</v>
      </c>
      <c r="B11" s="76">
        <v>8</v>
      </c>
      <c r="C11" s="76">
        <v>14</v>
      </c>
      <c r="D11" s="76"/>
      <c r="E11" s="76">
        <v>22</v>
      </c>
      <c r="G11" s="75" t="s">
        <v>915</v>
      </c>
      <c r="H11" s="76">
        <v>8</v>
      </c>
      <c r="I11" s="76">
        <v>14</v>
      </c>
      <c r="J11" s="76">
        <v>22</v>
      </c>
      <c r="L11" s="62" t="s">
        <v>68</v>
      </c>
      <c r="M11" s="62">
        <f>SUM(H34:H36)</f>
        <v>4</v>
      </c>
      <c r="N11" s="62">
        <f>SUM(I34:I36)</f>
        <v>6</v>
      </c>
      <c r="O11" s="62">
        <f t="shared" si="0"/>
        <v>10</v>
      </c>
      <c r="Q11" s="67" t="s">
        <v>68</v>
      </c>
      <c r="R11" s="68">
        <f t="shared" si="1"/>
        <v>2.6041666666666665E-3</v>
      </c>
      <c r="S11" s="68">
        <f t="shared" si="1"/>
        <v>3.90625E-3</v>
      </c>
    </row>
    <row r="12" spans="1:19" x14ac:dyDescent="0.2">
      <c r="A12" s="75" t="s">
        <v>916</v>
      </c>
      <c r="B12" s="76">
        <v>9</v>
      </c>
      <c r="C12" s="76">
        <v>8</v>
      </c>
      <c r="D12" s="76"/>
      <c r="E12" s="76">
        <v>17</v>
      </c>
      <c r="G12" s="75" t="s">
        <v>916</v>
      </c>
      <c r="H12" s="76">
        <v>9</v>
      </c>
      <c r="I12" s="76">
        <v>8</v>
      </c>
      <c r="J12" s="76">
        <v>17</v>
      </c>
      <c r="L12" s="62" t="s">
        <v>70</v>
      </c>
      <c r="M12" s="62">
        <f>SUM(H24:H28)</f>
        <v>21</v>
      </c>
      <c r="N12" s="62">
        <f>SUM(I24:I28)</f>
        <v>14</v>
      </c>
      <c r="O12" s="62">
        <f t="shared" si="0"/>
        <v>35</v>
      </c>
      <c r="Q12" s="67" t="s">
        <v>70</v>
      </c>
      <c r="R12" s="68">
        <f t="shared" si="1"/>
        <v>1.3671875E-2</v>
      </c>
      <c r="S12" s="68">
        <f t="shared" si="1"/>
        <v>9.1145833333333339E-3</v>
      </c>
    </row>
    <row r="13" spans="1:19" x14ac:dyDescent="0.2">
      <c r="A13" s="75" t="s">
        <v>917</v>
      </c>
      <c r="B13" s="76">
        <v>39</v>
      </c>
      <c r="C13" s="76">
        <v>49</v>
      </c>
      <c r="D13" s="76"/>
      <c r="E13" s="76">
        <v>88</v>
      </c>
      <c r="G13" s="75" t="s">
        <v>917</v>
      </c>
      <c r="H13" s="76">
        <v>39</v>
      </c>
      <c r="I13" s="76">
        <v>49</v>
      </c>
      <c r="J13" s="76">
        <v>88</v>
      </c>
      <c r="O13" s="62">
        <f>SUM(O5:O12)</f>
        <v>1536</v>
      </c>
    </row>
    <row r="14" spans="1:19" x14ac:dyDescent="0.2">
      <c r="A14" s="75" t="s">
        <v>918</v>
      </c>
      <c r="B14" s="76">
        <v>29</v>
      </c>
      <c r="C14" s="76">
        <v>23</v>
      </c>
      <c r="D14" s="76"/>
      <c r="E14" s="76">
        <v>52</v>
      </c>
      <c r="G14" s="75" t="s">
        <v>918</v>
      </c>
      <c r="H14" s="76">
        <v>29</v>
      </c>
      <c r="I14" s="76">
        <v>23</v>
      </c>
      <c r="J14" s="76">
        <v>52</v>
      </c>
    </row>
    <row r="15" spans="1:19" x14ac:dyDescent="0.2">
      <c r="A15" s="75" t="s">
        <v>919</v>
      </c>
      <c r="B15" s="76">
        <v>22</v>
      </c>
      <c r="C15" s="76">
        <v>14</v>
      </c>
      <c r="D15" s="76"/>
      <c r="E15" s="76">
        <v>36</v>
      </c>
      <c r="G15" s="75" t="s">
        <v>919</v>
      </c>
      <c r="H15" s="76">
        <v>22</v>
      </c>
      <c r="I15" s="76">
        <v>14</v>
      </c>
      <c r="J15" s="76">
        <v>36</v>
      </c>
    </row>
    <row r="16" spans="1:19" x14ac:dyDescent="0.2">
      <c r="A16" s="75" t="s">
        <v>920</v>
      </c>
      <c r="B16" s="76">
        <v>3</v>
      </c>
      <c r="C16" s="76">
        <v>15</v>
      </c>
      <c r="D16" s="76"/>
      <c r="E16" s="76">
        <v>18</v>
      </c>
      <c r="G16" s="75" t="s">
        <v>920</v>
      </c>
      <c r="H16" s="76">
        <v>3</v>
      </c>
      <c r="I16" s="76">
        <v>15</v>
      </c>
      <c r="J16" s="76">
        <v>18</v>
      </c>
    </row>
    <row r="17" spans="1:10" x14ac:dyDescent="0.2">
      <c r="A17" s="75" t="s">
        <v>921</v>
      </c>
      <c r="B17" s="76">
        <v>84</v>
      </c>
      <c r="C17" s="76">
        <v>305</v>
      </c>
      <c r="D17" s="76"/>
      <c r="E17" s="76">
        <v>389</v>
      </c>
      <c r="G17" s="75" t="s">
        <v>921</v>
      </c>
      <c r="H17" s="76">
        <v>84</v>
      </c>
      <c r="I17" s="76">
        <v>305</v>
      </c>
      <c r="J17" s="76">
        <v>389</v>
      </c>
    </row>
    <row r="18" spans="1:10" x14ac:dyDescent="0.2">
      <c r="A18" s="75" t="s">
        <v>922</v>
      </c>
      <c r="B18" s="76">
        <v>1</v>
      </c>
      <c r="C18" s="76">
        <v>4</v>
      </c>
      <c r="D18" s="76"/>
      <c r="E18" s="76">
        <v>5</v>
      </c>
      <c r="G18" s="75" t="s">
        <v>922</v>
      </c>
      <c r="H18" s="76">
        <v>1</v>
      </c>
      <c r="I18" s="76">
        <v>4</v>
      </c>
      <c r="J18" s="76">
        <v>5</v>
      </c>
    </row>
    <row r="19" spans="1:10" x14ac:dyDescent="0.2">
      <c r="A19" s="75" t="s">
        <v>923</v>
      </c>
      <c r="B19" s="76">
        <v>1</v>
      </c>
      <c r="C19" s="76">
        <v>1</v>
      </c>
      <c r="D19" s="76"/>
      <c r="E19" s="76">
        <v>2</v>
      </c>
      <c r="G19" s="75" t="s">
        <v>923</v>
      </c>
      <c r="H19" s="76">
        <v>1</v>
      </c>
      <c r="I19" s="76">
        <v>1</v>
      </c>
      <c r="J19" s="76">
        <v>2</v>
      </c>
    </row>
    <row r="20" spans="1:10" x14ac:dyDescent="0.2">
      <c r="A20" s="75" t="s">
        <v>924</v>
      </c>
      <c r="B20" s="76">
        <v>14</v>
      </c>
      <c r="C20" s="76">
        <v>28</v>
      </c>
      <c r="D20" s="76"/>
      <c r="E20" s="76">
        <v>42</v>
      </c>
      <c r="G20" s="75" t="s">
        <v>924</v>
      </c>
      <c r="H20" s="76">
        <v>14</v>
      </c>
      <c r="I20" s="76">
        <v>28</v>
      </c>
      <c r="J20" s="76">
        <v>42</v>
      </c>
    </row>
    <row r="21" spans="1:10" x14ac:dyDescent="0.2">
      <c r="A21" s="75" t="s">
        <v>925</v>
      </c>
      <c r="B21" s="76">
        <v>3</v>
      </c>
      <c r="C21" s="76">
        <v>2</v>
      </c>
      <c r="D21" s="76"/>
      <c r="E21" s="76">
        <v>5</v>
      </c>
      <c r="G21" s="75" t="s">
        <v>925</v>
      </c>
      <c r="H21" s="76">
        <v>3</v>
      </c>
      <c r="I21" s="76">
        <v>2</v>
      </c>
      <c r="J21" s="76">
        <v>5</v>
      </c>
    </row>
    <row r="22" spans="1:10" x14ac:dyDescent="0.2">
      <c r="A22" s="75" t="s">
        <v>979</v>
      </c>
      <c r="B22" s="76"/>
      <c r="C22" s="76">
        <v>1</v>
      </c>
      <c r="D22" s="76"/>
      <c r="E22" s="76">
        <v>1</v>
      </c>
      <c r="G22" s="75" t="s">
        <v>979</v>
      </c>
      <c r="H22" s="76"/>
      <c r="I22" s="76">
        <v>1</v>
      </c>
      <c r="J22" s="76">
        <v>1</v>
      </c>
    </row>
    <row r="23" spans="1:10" x14ac:dyDescent="0.2">
      <c r="A23" s="75" t="s">
        <v>926</v>
      </c>
      <c r="B23" s="76"/>
      <c r="C23" s="76">
        <v>1</v>
      </c>
      <c r="D23" s="76"/>
      <c r="E23" s="76">
        <v>1</v>
      </c>
      <c r="G23" s="75" t="s">
        <v>926</v>
      </c>
      <c r="H23" s="76"/>
      <c r="I23" s="76">
        <v>1</v>
      </c>
      <c r="J23" s="76">
        <v>1</v>
      </c>
    </row>
    <row r="24" spans="1:10" x14ac:dyDescent="0.2">
      <c r="A24" s="75" t="s">
        <v>927</v>
      </c>
      <c r="B24" s="76">
        <v>16</v>
      </c>
      <c r="C24" s="76">
        <v>7</v>
      </c>
      <c r="D24" s="76"/>
      <c r="E24" s="76">
        <v>23</v>
      </c>
      <c r="G24" s="75" t="s">
        <v>927</v>
      </c>
      <c r="H24" s="76">
        <v>16</v>
      </c>
      <c r="I24" s="76">
        <v>7</v>
      </c>
      <c r="J24" s="76">
        <v>23</v>
      </c>
    </row>
    <row r="25" spans="1:10" x14ac:dyDescent="0.2">
      <c r="A25" s="75" t="s">
        <v>980</v>
      </c>
      <c r="B25" s="76"/>
      <c r="C25" s="76">
        <v>1</v>
      </c>
      <c r="D25" s="76"/>
      <c r="E25" s="76">
        <v>1</v>
      </c>
      <c r="G25" s="75" t="s">
        <v>980</v>
      </c>
      <c r="H25" s="76"/>
      <c r="I25" s="76">
        <v>1</v>
      </c>
      <c r="J25" s="76">
        <v>1</v>
      </c>
    </row>
    <row r="26" spans="1:10" x14ac:dyDescent="0.2">
      <c r="A26" s="75" t="s">
        <v>981</v>
      </c>
      <c r="B26" s="76">
        <v>1</v>
      </c>
      <c r="C26" s="76"/>
      <c r="D26" s="76"/>
      <c r="E26" s="76">
        <v>1</v>
      </c>
      <c r="G26" s="75" t="s">
        <v>981</v>
      </c>
      <c r="H26" s="76">
        <v>1</v>
      </c>
      <c r="I26" s="76"/>
      <c r="J26" s="76">
        <v>1</v>
      </c>
    </row>
    <row r="27" spans="1:10" x14ac:dyDescent="0.2">
      <c r="A27" s="75" t="s">
        <v>928</v>
      </c>
      <c r="B27" s="76">
        <v>3</v>
      </c>
      <c r="C27" s="76">
        <v>6</v>
      </c>
      <c r="D27" s="76"/>
      <c r="E27" s="76">
        <v>9</v>
      </c>
      <c r="G27" s="75" t="s">
        <v>928</v>
      </c>
      <c r="H27" s="76">
        <v>3</v>
      </c>
      <c r="I27" s="76">
        <v>6</v>
      </c>
      <c r="J27" s="76">
        <v>9</v>
      </c>
    </row>
    <row r="28" spans="1:10" x14ac:dyDescent="0.2">
      <c r="A28" s="75" t="s">
        <v>982</v>
      </c>
      <c r="B28" s="76">
        <v>1</v>
      </c>
      <c r="C28" s="76"/>
      <c r="D28" s="76"/>
      <c r="E28" s="76">
        <v>1</v>
      </c>
      <c r="G28" s="75" t="s">
        <v>982</v>
      </c>
      <c r="H28" s="76">
        <v>1</v>
      </c>
      <c r="I28" s="76"/>
      <c r="J28" s="76">
        <v>1</v>
      </c>
    </row>
    <row r="29" spans="1:10" x14ac:dyDescent="0.2">
      <c r="A29" s="75" t="s">
        <v>929</v>
      </c>
      <c r="B29" s="76">
        <v>3</v>
      </c>
      <c r="C29" s="76">
        <v>11</v>
      </c>
      <c r="D29" s="76"/>
      <c r="E29" s="76">
        <v>14</v>
      </c>
      <c r="G29" s="75" t="s">
        <v>929</v>
      </c>
      <c r="H29" s="76">
        <v>3</v>
      </c>
      <c r="I29" s="76">
        <v>11</v>
      </c>
      <c r="J29" s="76">
        <v>14</v>
      </c>
    </row>
    <row r="30" spans="1:10" x14ac:dyDescent="0.2">
      <c r="A30" s="75" t="s">
        <v>930</v>
      </c>
      <c r="B30" s="76">
        <v>19</v>
      </c>
      <c r="C30" s="76">
        <v>16</v>
      </c>
      <c r="D30" s="76"/>
      <c r="E30" s="76">
        <v>35</v>
      </c>
      <c r="G30" s="75" t="s">
        <v>930</v>
      </c>
      <c r="H30" s="76">
        <v>19</v>
      </c>
      <c r="I30" s="76">
        <v>16</v>
      </c>
      <c r="J30" s="76">
        <v>35</v>
      </c>
    </row>
    <row r="31" spans="1:10" x14ac:dyDescent="0.2">
      <c r="A31" s="75" t="s">
        <v>931</v>
      </c>
      <c r="B31" s="76"/>
      <c r="C31" s="76">
        <v>1</v>
      </c>
      <c r="D31" s="76"/>
      <c r="E31" s="76">
        <v>1</v>
      </c>
      <c r="G31" s="75" t="s">
        <v>931</v>
      </c>
      <c r="H31" s="76"/>
      <c r="I31" s="76">
        <v>1</v>
      </c>
      <c r="J31" s="76">
        <v>1</v>
      </c>
    </row>
    <row r="32" spans="1:10" x14ac:dyDescent="0.2">
      <c r="A32" s="75" t="s">
        <v>983</v>
      </c>
      <c r="B32" s="76"/>
      <c r="C32" s="76">
        <v>2</v>
      </c>
      <c r="D32" s="76"/>
      <c r="E32" s="76">
        <v>2</v>
      </c>
      <c r="G32" s="75" t="s">
        <v>983</v>
      </c>
      <c r="H32" s="76"/>
      <c r="I32" s="76">
        <v>2</v>
      </c>
      <c r="J32" s="76">
        <v>2</v>
      </c>
    </row>
    <row r="33" spans="1:10" x14ac:dyDescent="0.2">
      <c r="A33" s="75" t="s">
        <v>984</v>
      </c>
      <c r="B33" s="76"/>
      <c r="C33" s="76">
        <v>3</v>
      </c>
      <c r="D33" s="76"/>
      <c r="E33" s="76">
        <v>3</v>
      </c>
      <c r="G33" s="75" t="s">
        <v>984</v>
      </c>
      <c r="H33" s="76"/>
      <c r="I33" s="76">
        <v>3</v>
      </c>
      <c r="J33" s="76">
        <v>3</v>
      </c>
    </row>
    <row r="34" spans="1:10" x14ac:dyDescent="0.2">
      <c r="A34" s="75" t="s">
        <v>932</v>
      </c>
      <c r="B34" s="76">
        <v>2</v>
      </c>
      <c r="C34" s="76">
        <v>4</v>
      </c>
      <c r="D34" s="76"/>
      <c r="E34" s="76">
        <v>6</v>
      </c>
      <c r="G34" s="75" t="s">
        <v>932</v>
      </c>
      <c r="H34" s="76">
        <v>2</v>
      </c>
      <c r="I34" s="76">
        <v>4</v>
      </c>
      <c r="J34" s="76">
        <v>6</v>
      </c>
    </row>
    <row r="35" spans="1:10" x14ac:dyDescent="0.2">
      <c r="A35" s="75" t="s">
        <v>933</v>
      </c>
      <c r="B35" s="76">
        <v>1</v>
      </c>
      <c r="C35" s="76">
        <v>1</v>
      </c>
      <c r="D35" s="76"/>
      <c r="E35" s="76">
        <v>2</v>
      </c>
      <c r="G35" s="75" t="s">
        <v>933</v>
      </c>
      <c r="H35" s="76">
        <v>1</v>
      </c>
      <c r="I35" s="76">
        <v>1</v>
      </c>
      <c r="J35" s="76">
        <v>2</v>
      </c>
    </row>
    <row r="36" spans="1:10" x14ac:dyDescent="0.2">
      <c r="A36" s="75" t="s">
        <v>985</v>
      </c>
      <c r="B36" s="76">
        <v>1</v>
      </c>
      <c r="C36" s="76">
        <v>1</v>
      </c>
      <c r="D36" s="76"/>
      <c r="E36" s="76">
        <v>2</v>
      </c>
      <c r="G36" s="75" t="s">
        <v>985</v>
      </c>
      <c r="H36" s="76">
        <v>1</v>
      </c>
      <c r="I36" s="76">
        <v>1</v>
      </c>
      <c r="J36" s="76">
        <v>2</v>
      </c>
    </row>
    <row r="37" spans="1:10" x14ac:dyDescent="0.2">
      <c r="A37" s="75" t="s">
        <v>934</v>
      </c>
      <c r="B37" s="76">
        <v>12</v>
      </c>
      <c r="C37" s="76">
        <v>30</v>
      </c>
      <c r="D37" s="76"/>
      <c r="E37" s="76">
        <v>42</v>
      </c>
      <c r="G37" s="75" t="s">
        <v>934</v>
      </c>
      <c r="H37" s="76">
        <v>12</v>
      </c>
      <c r="I37" s="76">
        <v>30</v>
      </c>
      <c r="J37" s="76">
        <v>42</v>
      </c>
    </row>
    <row r="38" spans="1:10" x14ac:dyDescent="0.2">
      <c r="A38" s="75" t="s">
        <v>935</v>
      </c>
      <c r="B38" s="76">
        <v>58</v>
      </c>
      <c r="C38" s="76">
        <v>186</v>
      </c>
      <c r="D38" s="76"/>
      <c r="E38" s="76">
        <v>244</v>
      </c>
      <c r="G38" s="75" t="s">
        <v>935</v>
      </c>
      <c r="H38" s="76">
        <v>58</v>
      </c>
      <c r="I38" s="76">
        <v>186</v>
      </c>
      <c r="J38" s="76">
        <v>244</v>
      </c>
    </row>
    <row r="39" spans="1:10" x14ac:dyDescent="0.2">
      <c r="A39" s="75" t="s">
        <v>936</v>
      </c>
      <c r="B39" s="76">
        <v>2</v>
      </c>
      <c r="C39" s="76">
        <v>1</v>
      </c>
      <c r="D39" s="76"/>
      <c r="E39" s="76">
        <v>3</v>
      </c>
      <c r="G39" s="75" t="s">
        <v>936</v>
      </c>
      <c r="H39" s="76">
        <v>2</v>
      </c>
      <c r="I39" s="76">
        <v>1</v>
      </c>
      <c r="J39" s="76">
        <v>3</v>
      </c>
    </row>
    <row r="40" spans="1:10" x14ac:dyDescent="0.2">
      <c r="A40" s="75" t="s">
        <v>937</v>
      </c>
      <c r="B40" s="76">
        <v>8</v>
      </c>
      <c r="C40" s="76">
        <v>4</v>
      </c>
      <c r="D40" s="76"/>
      <c r="E40" s="76">
        <v>12</v>
      </c>
      <c r="G40" s="75" t="s">
        <v>937</v>
      </c>
      <c r="H40" s="76">
        <v>8</v>
      </c>
      <c r="I40" s="76">
        <v>4</v>
      </c>
      <c r="J40" s="76">
        <v>12</v>
      </c>
    </row>
    <row r="41" spans="1:10" x14ac:dyDescent="0.2">
      <c r="A41" s="75" t="s">
        <v>938</v>
      </c>
      <c r="B41" s="76">
        <v>7</v>
      </c>
      <c r="C41" s="76">
        <v>38</v>
      </c>
      <c r="D41" s="76"/>
      <c r="E41" s="76">
        <v>45</v>
      </c>
      <c r="G41" s="75" t="s">
        <v>938</v>
      </c>
      <c r="H41" s="76">
        <v>7</v>
      </c>
      <c r="I41" s="76">
        <v>38</v>
      </c>
      <c r="J41" s="76">
        <v>45</v>
      </c>
    </row>
    <row r="42" spans="1:10" x14ac:dyDescent="0.2">
      <c r="A42" s="75" t="s">
        <v>939</v>
      </c>
      <c r="B42" s="76">
        <v>4</v>
      </c>
      <c r="C42" s="76">
        <v>1</v>
      </c>
      <c r="D42" s="76"/>
      <c r="E42" s="76">
        <v>5</v>
      </c>
      <c r="G42" s="75" t="s">
        <v>939</v>
      </c>
      <c r="H42" s="76">
        <v>4</v>
      </c>
      <c r="I42" s="76">
        <v>1</v>
      </c>
      <c r="J42" s="76">
        <v>5</v>
      </c>
    </row>
    <row r="43" spans="1:10" x14ac:dyDescent="0.2">
      <c r="A43" s="75" t="s">
        <v>940</v>
      </c>
      <c r="B43" s="76">
        <v>9</v>
      </c>
      <c r="C43" s="76">
        <v>100</v>
      </c>
      <c r="D43" s="76"/>
      <c r="E43" s="76">
        <v>109</v>
      </c>
      <c r="G43" s="75" t="s">
        <v>940</v>
      </c>
      <c r="H43" s="76">
        <v>9</v>
      </c>
      <c r="I43" s="76">
        <v>100</v>
      </c>
      <c r="J43" s="76">
        <v>109</v>
      </c>
    </row>
    <row r="44" spans="1:10" x14ac:dyDescent="0.2">
      <c r="A44" s="75" t="s">
        <v>974</v>
      </c>
      <c r="B44" s="76"/>
      <c r="C44" s="76">
        <v>1</v>
      </c>
      <c r="D44" s="76"/>
      <c r="E44" s="76">
        <v>1</v>
      </c>
      <c r="G44" s="75" t="s">
        <v>974</v>
      </c>
      <c r="H44" s="76"/>
      <c r="I44" s="76">
        <v>1</v>
      </c>
      <c r="J44" s="76">
        <v>1</v>
      </c>
    </row>
    <row r="45" spans="1:10" x14ac:dyDescent="0.2">
      <c r="A45" s="75" t="s">
        <v>907</v>
      </c>
      <c r="B45" s="76"/>
      <c r="C45" s="76"/>
      <c r="D45" s="76"/>
      <c r="E45" s="76"/>
      <c r="G45" s="75" t="s">
        <v>907</v>
      </c>
      <c r="H45" s="76"/>
      <c r="I45" s="76"/>
      <c r="J45" s="76"/>
    </row>
    <row r="46" spans="1:10" x14ac:dyDescent="0.2">
      <c r="A46" s="75" t="s">
        <v>216</v>
      </c>
      <c r="B46" s="76">
        <v>450</v>
      </c>
      <c r="C46" s="76">
        <v>1101</v>
      </c>
      <c r="D46" s="76"/>
      <c r="E46" s="76">
        <v>1551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7C87-D2DA-47CF-A45A-9128A4965C10}">
  <dimension ref="A3:H32"/>
  <sheetViews>
    <sheetView topLeftCell="C1" workbookViewId="0">
      <selection activeCell="R10" sqref="R10"/>
    </sheetView>
  </sheetViews>
  <sheetFormatPr defaultRowHeight="12.75" x14ac:dyDescent="0.2"/>
  <cols>
    <col min="1" max="1" width="13.85546875" style="62" bestFit="1" customWidth="1"/>
    <col min="2" max="2" width="19.140625" style="62" bestFit="1" customWidth="1"/>
    <col min="3" max="3" width="5" style="62" bestFit="1" customWidth="1"/>
    <col min="4" max="4" width="4" style="62" bestFit="1" customWidth="1"/>
    <col min="5" max="6" width="12.7109375" style="62" customWidth="1"/>
    <col min="7" max="7" width="15" style="62" customWidth="1"/>
    <col min="8" max="8" width="14.85546875" style="62" customWidth="1"/>
    <col min="9" max="38" width="12.7109375" style="62" customWidth="1"/>
    <col min="39" max="39" width="5" style="62" bestFit="1" customWidth="1"/>
    <col min="40" max="43" width="3" style="62" bestFit="1" customWidth="1"/>
    <col min="44" max="44" width="7.140625" style="62" bestFit="1" customWidth="1"/>
    <col min="45" max="45" width="11.7109375" style="62" bestFit="1" customWidth="1"/>
    <col min="46" max="16384" width="9.140625" style="62"/>
  </cols>
  <sheetData>
    <row r="3" spans="1:8" x14ac:dyDescent="0.2">
      <c r="A3" s="74" t="s">
        <v>906</v>
      </c>
      <c r="B3" t="s">
        <v>941</v>
      </c>
      <c r="C3"/>
      <c r="F3" s="62" t="s">
        <v>942</v>
      </c>
      <c r="G3" s="62" t="s">
        <v>943</v>
      </c>
      <c r="H3" s="62" t="s">
        <v>944</v>
      </c>
    </row>
    <row r="4" spans="1:8" x14ac:dyDescent="0.2">
      <c r="A4" s="75" t="s">
        <v>945</v>
      </c>
      <c r="B4" s="76">
        <v>540</v>
      </c>
      <c r="C4"/>
      <c r="F4" s="62" t="s">
        <v>945</v>
      </c>
      <c r="G4" s="62">
        <v>540</v>
      </c>
      <c r="H4" s="65">
        <f t="shared" ref="H4:H9" si="0">G4/$G$12</f>
        <v>0.34816247582205029</v>
      </c>
    </row>
    <row r="5" spans="1:8" x14ac:dyDescent="0.2">
      <c r="A5" s="75" t="s">
        <v>952</v>
      </c>
      <c r="B5" s="76">
        <v>229</v>
      </c>
      <c r="C5"/>
      <c r="F5" s="62" t="s">
        <v>947</v>
      </c>
      <c r="G5" s="62">
        <v>62</v>
      </c>
      <c r="H5" s="65">
        <f t="shared" si="0"/>
        <v>3.9974210186976146E-2</v>
      </c>
    </row>
    <row r="6" spans="1:8" x14ac:dyDescent="0.2">
      <c r="A6" s="75" t="s">
        <v>947</v>
      </c>
      <c r="B6" s="76">
        <v>62</v>
      </c>
      <c r="C6"/>
      <c r="F6" s="62" t="s">
        <v>948</v>
      </c>
      <c r="G6" s="62">
        <v>92</v>
      </c>
      <c r="H6" s="65">
        <f t="shared" si="0"/>
        <v>5.931656995486783E-2</v>
      </c>
    </row>
    <row r="7" spans="1:8" x14ac:dyDescent="0.2">
      <c r="A7" s="75" t="s">
        <v>948</v>
      </c>
      <c r="B7" s="76">
        <v>92</v>
      </c>
      <c r="C7"/>
      <c r="F7" s="62" t="s">
        <v>949</v>
      </c>
      <c r="G7" s="62">
        <v>141</v>
      </c>
      <c r="H7" s="65">
        <f t="shared" si="0"/>
        <v>9.0909090909090912E-2</v>
      </c>
    </row>
    <row r="8" spans="1:8" x14ac:dyDescent="0.2">
      <c r="A8" s="75" t="s">
        <v>949</v>
      </c>
      <c r="B8" s="76">
        <v>141</v>
      </c>
      <c r="C8"/>
      <c r="F8" s="62" t="s">
        <v>951</v>
      </c>
      <c r="G8" s="62">
        <v>123</v>
      </c>
      <c r="H8" s="65">
        <f t="shared" si="0"/>
        <v>7.9303675048355893E-2</v>
      </c>
    </row>
    <row r="9" spans="1:8" x14ac:dyDescent="0.2">
      <c r="A9" s="75" t="s">
        <v>951</v>
      </c>
      <c r="B9" s="76">
        <v>123</v>
      </c>
      <c r="C9"/>
      <c r="F9" s="62" t="s">
        <v>952</v>
      </c>
      <c r="G9" s="62">
        <v>229</v>
      </c>
      <c r="H9" s="65">
        <f t="shared" si="0"/>
        <v>0.14764667956157318</v>
      </c>
    </row>
    <row r="10" spans="1:8" x14ac:dyDescent="0.2">
      <c r="A10" s="75" t="s">
        <v>986</v>
      </c>
      <c r="B10" s="76">
        <v>364</v>
      </c>
      <c r="C10"/>
      <c r="F10" s="62" t="s">
        <v>986</v>
      </c>
      <c r="G10" s="62">
        <v>364</v>
      </c>
      <c r="H10" s="65">
        <f t="shared" ref="H10" si="1">G10/$G$12</f>
        <v>0.23468729851708575</v>
      </c>
    </row>
    <row r="11" spans="1:8" x14ac:dyDescent="0.2">
      <c r="A11" s="75" t="s">
        <v>907</v>
      </c>
      <c r="B11" s="76"/>
      <c r="C11"/>
    </row>
    <row r="12" spans="1:8" x14ac:dyDescent="0.2">
      <c r="A12" s="75" t="s">
        <v>216</v>
      </c>
      <c r="B12" s="76">
        <v>1551</v>
      </c>
      <c r="C12"/>
      <c r="F12" s="62" t="s">
        <v>216</v>
      </c>
      <c r="G12" s="62">
        <f>SUM(G4:G10)</f>
        <v>1551</v>
      </c>
    </row>
    <row r="13" spans="1:8" x14ac:dyDescent="0.2">
      <c r="A13"/>
      <c r="B13"/>
      <c r="C13"/>
    </row>
    <row r="14" spans="1:8" x14ac:dyDescent="0.2">
      <c r="A14"/>
      <c r="B14"/>
      <c r="C14"/>
    </row>
    <row r="15" spans="1:8" x14ac:dyDescent="0.2">
      <c r="A15" s="74" t="s">
        <v>906</v>
      </c>
      <c r="B15" t="s">
        <v>953</v>
      </c>
      <c r="C15"/>
    </row>
    <row r="16" spans="1:8" x14ac:dyDescent="0.2">
      <c r="A16" s="75" t="s">
        <v>954</v>
      </c>
      <c r="B16" s="76">
        <v>123</v>
      </c>
      <c r="C16"/>
    </row>
    <row r="17" spans="1:8" x14ac:dyDescent="0.2">
      <c r="A17" s="75" t="s">
        <v>955</v>
      </c>
      <c r="B17" s="76">
        <v>183</v>
      </c>
      <c r="C17"/>
    </row>
    <row r="18" spans="1:8" x14ac:dyDescent="0.2">
      <c r="A18" s="75" t="s">
        <v>956</v>
      </c>
      <c r="B18" s="76">
        <v>223</v>
      </c>
      <c r="C18"/>
    </row>
    <row r="19" spans="1:8" x14ac:dyDescent="0.2">
      <c r="A19" s="75" t="s">
        <v>957</v>
      </c>
      <c r="B19" s="76">
        <v>458</v>
      </c>
      <c r="C19"/>
    </row>
    <row r="20" spans="1:8" x14ac:dyDescent="0.2">
      <c r="A20" s="75" t="s">
        <v>958</v>
      </c>
      <c r="B20" s="76">
        <v>564</v>
      </c>
      <c r="C20"/>
    </row>
    <row r="21" spans="1:8" x14ac:dyDescent="0.2">
      <c r="A21" s="75" t="s">
        <v>907</v>
      </c>
      <c r="B21" s="76"/>
      <c r="C21"/>
      <c r="F21" s="62" t="s">
        <v>959</v>
      </c>
      <c r="G21" s="62" t="s">
        <v>943</v>
      </c>
      <c r="H21" s="62" t="s">
        <v>944</v>
      </c>
    </row>
    <row r="22" spans="1:8" x14ac:dyDescent="0.2">
      <c r="A22" s="75" t="s">
        <v>216</v>
      </c>
      <c r="B22" s="76">
        <v>1551</v>
      </c>
      <c r="C22"/>
      <c r="F22" s="62" t="s">
        <v>955</v>
      </c>
      <c r="G22" s="62">
        <v>183</v>
      </c>
      <c r="H22" s="65">
        <f>G22/$G$27</f>
        <v>0.11798839458413926</v>
      </c>
    </row>
    <row r="23" spans="1:8" x14ac:dyDescent="0.2">
      <c r="A23"/>
      <c r="B23"/>
      <c r="C23"/>
      <c r="F23" s="62" t="s">
        <v>954</v>
      </c>
      <c r="G23" s="62">
        <v>123</v>
      </c>
      <c r="H23" s="65">
        <f>G23/$G$27</f>
        <v>7.9303675048355893E-2</v>
      </c>
    </row>
    <row r="24" spans="1:8" x14ac:dyDescent="0.2">
      <c r="A24"/>
      <c r="B24"/>
      <c r="C24"/>
      <c r="F24" s="62" t="s">
        <v>956</v>
      </c>
      <c r="G24" s="62">
        <v>223</v>
      </c>
      <c r="H24" s="65">
        <f t="shared" ref="H24:H26" si="2">G24/$G$27</f>
        <v>0.14377820760799484</v>
      </c>
    </row>
    <row r="25" spans="1:8" x14ac:dyDescent="0.2">
      <c r="A25"/>
      <c r="B25"/>
      <c r="C25"/>
      <c r="F25" s="62" t="s">
        <v>957</v>
      </c>
      <c r="G25" s="62">
        <v>458</v>
      </c>
      <c r="H25" s="65">
        <f t="shared" si="2"/>
        <v>0.29529335912314636</v>
      </c>
    </row>
    <row r="26" spans="1:8" x14ac:dyDescent="0.2">
      <c r="A26"/>
      <c r="B26"/>
      <c r="C26"/>
      <c r="F26" s="62" t="s">
        <v>958</v>
      </c>
      <c r="G26" s="62">
        <v>564</v>
      </c>
      <c r="H26" s="65">
        <f t="shared" si="2"/>
        <v>0.36363636363636365</v>
      </c>
    </row>
    <row r="27" spans="1:8" x14ac:dyDescent="0.2">
      <c r="A27"/>
      <c r="B27"/>
      <c r="C27"/>
      <c r="F27" s="62" t="s">
        <v>216</v>
      </c>
      <c r="G27" s="62">
        <f>SUM(G22:G26)</f>
        <v>1551</v>
      </c>
    </row>
    <row r="28" spans="1:8" x14ac:dyDescent="0.2">
      <c r="A28"/>
      <c r="B28"/>
      <c r="C28"/>
    </row>
    <row r="29" spans="1:8" x14ac:dyDescent="0.2">
      <c r="A29"/>
      <c r="B29"/>
      <c r="C29"/>
    </row>
    <row r="30" spans="1:8" x14ac:dyDescent="0.2">
      <c r="A30"/>
      <c r="B30"/>
      <c r="C30"/>
    </row>
    <row r="31" spans="1:8" x14ac:dyDescent="0.2">
      <c r="A31"/>
      <c r="B31"/>
      <c r="C31"/>
    </row>
    <row r="32" spans="1:8" x14ac:dyDescent="0.2">
      <c r="A32"/>
      <c r="B32"/>
      <c r="C32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0F9A-94BB-4E62-99A8-ED2B5466B13D}">
  <dimension ref="A3:AA33"/>
  <sheetViews>
    <sheetView topLeftCell="I4" workbookViewId="0">
      <selection activeCell="R10" sqref="R10"/>
    </sheetView>
  </sheetViews>
  <sheetFormatPr defaultRowHeight="12.75" x14ac:dyDescent="0.2"/>
  <cols>
    <col min="1" max="1" width="20" style="62" bestFit="1" customWidth="1"/>
    <col min="2" max="2" width="17" style="62" bestFit="1" customWidth="1"/>
    <col min="3" max="5" width="9.5703125" style="62" bestFit="1" customWidth="1"/>
    <col min="6" max="6" width="10.5703125" style="62" bestFit="1" customWidth="1"/>
    <col min="7" max="7" width="10.85546875" style="62" bestFit="1" customWidth="1"/>
    <col min="8" max="8" width="7.140625" style="62" bestFit="1" customWidth="1"/>
    <col min="9" max="9" width="11.7109375" style="62" bestFit="1" customWidth="1"/>
    <col min="10" max="20" width="9.140625" style="62"/>
    <col min="21" max="21" width="11.7109375" style="62" customWidth="1"/>
    <col min="22" max="16384" width="9.140625" style="62"/>
  </cols>
  <sheetData>
    <row r="3" spans="1:27" ht="15.75" x14ac:dyDescent="0.25">
      <c r="A3" s="74" t="s">
        <v>960</v>
      </c>
      <c r="B3" s="74" t="s">
        <v>905</v>
      </c>
      <c r="C3"/>
      <c r="D3"/>
      <c r="E3"/>
      <c r="F3"/>
      <c r="G3"/>
      <c r="H3"/>
      <c r="I3"/>
      <c r="V3" s="78" t="s">
        <v>961</v>
      </c>
      <c r="W3" s="78"/>
      <c r="X3" s="78"/>
      <c r="Y3" s="78"/>
      <c r="Z3" s="78"/>
      <c r="AA3" s="78"/>
    </row>
    <row r="4" spans="1:27" ht="38.25" x14ac:dyDescent="0.2">
      <c r="A4" s="74" t="s">
        <v>906</v>
      </c>
      <c r="B4" t="s">
        <v>962</v>
      </c>
      <c r="C4" t="s">
        <v>287</v>
      </c>
      <c r="D4" t="s">
        <v>963</v>
      </c>
      <c r="E4" t="s">
        <v>251</v>
      </c>
      <c r="F4" t="s">
        <v>964</v>
      </c>
      <c r="G4" t="s">
        <v>965</v>
      </c>
      <c r="H4" t="s">
        <v>907</v>
      </c>
      <c r="I4" t="s">
        <v>216</v>
      </c>
      <c r="K4" s="62" t="s">
        <v>942</v>
      </c>
      <c r="L4" s="62" t="s">
        <v>962</v>
      </c>
      <c r="M4" s="62" t="s">
        <v>287</v>
      </c>
      <c r="N4" s="62" t="s">
        <v>963</v>
      </c>
      <c r="O4" s="62" t="s">
        <v>251</v>
      </c>
      <c r="P4" s="62" t="s">
        <v>964</v>
      </c>
      <c r="Q4" s="62" t="s">
        <v>965</v>
      </c>
      <c r="R4" s="62" t="s">
        <v>216</v>
      </c>
      <c r="U4" s="69" t="s">
        <v>966</v>
      </c>
      <c r="V4" s="69" t="s">
        <v>967</v>
      </c>
      <c r="W4" s="69" t="s">
        <v>968</v>
      </c>
      <c r="X4" s="69" t="s">
        <v>969</v>
      </c>
      <c r="Y4" s="69" t="s">
        <v>970</v>
      </c>
      <c r="Z4" s="69" t="s">
        <v>971</v>
      </c>
      <c r="AA4" s="69" t="s">
        <v>972</v>
      </c>
    </row>
    <row r="5" spans="1:27" x14ac:dyDescent="0.2">
      <c r="A5" s="75" t="s">
        <v>945</v>
      </c>
      <c r="B5" s="76">
        <v>231</v>
      </c>
      <c r="C5" s="76">
        <v>118</v>
      </c>
      <c r="D5" s="76">
        <v>61</v>
      </c>
      <c r="E5" s="76">
        <v>37</v>
      </c>
      <c r="F5" s="76">
        <v>49</v>
      </c>
      <c r="G5" s="76">
        <v>44</v>
      </c>
      <c r="H5" s="76"/>
      <c r="I5" s="76">
        <v>540</v>
      </c>
      <c r="K5" s="62" t="s">
        <v>945</v>
      </c>
      <c r="L5" s="62">
        <v>231</v>
      </c>
      <c r="M5" s="62">
        <v>118</v>
      </c>
      <c r="N5" s="62">
        <v>61</v>
      </c>
      <c r="O5" s="62">
        <v>37</v>
      </c>
      <c r="P5" s="62">
        <v>49</v>
      </c>
      <c r="Q5" s="62">
        <v>44</v>
      </c>
      <c r="R5" s="62">
        <v>540</v>
      </c>
      <c r="U5" s="70" t="s">
        <v>945</v>
      </c>
      <c r="V5" s="71">
        <f t="shared" ref="V5:AA5" si="0">L5/$R$13</f>
        <v>0.14893617021276595</v>
      </c>
      <c r="W5" s="71">
        <f t="shared" si="0"/>
        <v>7.6079948420373952E-2</v>
      </c>
      <c r="X5" s="71">
        <f t="shared" si="0"/>
        <v>3.9329464861379754E-2</v>
      </c>
      <c r="Y5" s="71">
        <f t="shared" si="0"/>
        <v>2.3855577047066409E-2</v>
      </c>
      <c r="Z5" s="71">
        <f t="shared" si="0"/>
        <v>3.1592520954223081E-2</v>
      </c>
      <c r="AA5" s="71">
        <f t="shared" si="0"/>
        <v>2.8368794326241134E-2</v>
      </c>
    </row>
    <row r="6" spans="1:27" x14ac:dyDescent="0.2">
      <c r="A6" s="75" t="s">
        <v>952</v>
      </c>
      <c r="B6" s="76">
        <v>79</v>
      </c>
      <c r="C6" s="76">
        <v>54</v>
      </c>
      <c r="D6" s="76">
        <v>30</v>
      </c>
      <c r="E6" s="76">
        <v>28</v>
      </c>
      <c r="F6" s="76">
        <v>32</v>
      </c>
      <c r="G6" s="76">
        <v>6</v>
      </c>
      <c r="H6" s="76"/>
      <c r="I6" s="76">
        <v>229</v>
      </c>
      <c r="K6" s="62" t="s">
        <v>947</v>
      </c>
      <c r="L6" s="62">
        <v>25</v>
      </c>
      <c r="M6" s="62">
        <v>20</v>
      </c>
      <c r="N6" s="62">
        <v>9</v>
      </c>
      <c r="O6" s="62">
        <v>3</v>
      </c>
      <c r="P6" s="62">
        <v>5</v>
      </c>
      <c r="R6" s="62">
        <v>62</v>
      </c>
      <c r="U6" s="70" t="s">
        <v>947</v>
      </c>
      <c r="V6" s="71">
        <f t="shared" ref="V6:AA6" si="1">L10/$R$13</f>
        <v>5.0934880722114766E-2</v>
      </c>
      <c r="W6" s="71">
        <f t="shared" si="1"/>
        <v>3.4816247582205029E-2</v>
      </c>
      <c r="X6" s="71">
        <f t="shared" si="1"/>
        <v>1.9342359767891684E-2</v>
      </c>
      <c r="Y6" s="71">
        <f t="shared" si="1"/>
        <v>1.8052869116698903E-2</v>
      </c>
      <c r="Z6" s="71">
        <f t="shared" si="1"/>
        <v>2.0631850419084462E-2</v>
      </c>
      <c r="AA6" s="71">
        <f t="shared" si="1"/>
        <v>3.8684719535783366E-3</v>
      </c>
    </row>
    <row r="7" spans="1:27" x14ac:dyDescent="0.2">
      <c r="A7" s="75" t="s">
        <v>947</v>
      </c>
      <c r="B7" s="76">
        <v>25</v>
      </c>
      <c r="C7" s="76">
        <v>20</v>
      </c>
      <c r="D7" s="76">
        <v>9</v>
      </c>
      <c r="E7" s="76">
        <v>3</v>
      </c>
      <c r="F7" s="76">
        <v>5</v>
      </c>
      <c r="G7" s="76"/>
      <c r="H7" s="76"/>
      <c r="I7" s="76">
        <v>62</v>
      </c>
      <c r="K7" s="62" t="s">
        <v>948</v>
      </c>
      <c r="L7" s="62">
        <v>33</v>
      </c>
      <c r="M7" s="62">
        <v>22</v>
      </c>
      <c r="N7" s="62">
        <v>15</v>
      </c>
      <c r="O7" s="62">
        <v>7</v>
      </c>
      <c r="P7" s="62">
        <v>12</v>
      </c>
      <c r="Q7" s="62">
        <v>3</v>
      </c>
      <c r="R7" s="62">
        <v>92</v>
      </c>
      <c r="U7" s="70" t="s">
        <v>948</v>
      </c>
      <c r="V7" s="71">
        <f t="shared" ref="V7:AA10" si="2">L6/$R$13</f>
        <v>1.6118633139909737E-2</v>
      </c>
      <c r="W7" s="71">
        <f t="shared" si="2"/>
        <v>1.2894906511927788E-2</v>
      </c>
      <c r="X7" s="71">
        <f t="shared" si="2"/>
        <v>5.8027079303675051E-3</v>
      </c>
      <c r="Y7" s="71">
        <f t="shared" si="2"/>
        <v>1.9342359767891683E-3</v>
      </c>
      <c r="Z7" s="71">
        <f t="shared" si="2"/>
        <v>3.2237266279819469E-3</v>
      </c>
      <c r="AA7" s="71">
        <f t="shared" si="2"/>
        <v>0</v>
      </c>
    </row>
    <row r="8" spans="1:27" x14ac:dyDescent="0.2">
      <c r="A8" s="75" t="s">
        <v>948</v>
      </c>
      <c r="B8" s="76">
        <v>33</v>
      </c>
      <c r="C8" s="76">
        <v>22</v>
      </c>
      <c r="D8" s="76">
        <v>15</v>
      </c>
      <c r="E8" s="76">
        <v>7</v>
      </c>
      <c r="F8" s="76">
        <v>12</v>
      </c>
      <c r="G8" s="76">
        <v>3</v>
      </c>
      <c r="H8" s="76"/>
      <c r="I8" s="76">
        <v>92</v>
      </c>
      <c r="K8" s="62" t="s">
        <v>949</v>
      </c>
      <c r="L8" s="62">
        <v>55</v>
      </c>
      <c r="M8" s="62">
        <v>36</v>
      </c>
      <c r="N8" s="62">
        <v>19</v>
      </c>
      <c r="O8" s="62">
        <v>9</v>
      </c>
      <c r="P8" s="62">
        <v>20</v>
      </c>
      <c r="Q8" s="62">
        <v>2</v>
      </c>
      <c r="R8" s="62">
        <v>141</v>
      </c>
      <c r="U8" s="70" t="s">
        <v>949</v>
      </c>
      <c r="V8" s="71">
        <f t="shared" si="2"/>
        <v>2.1276595744680851E-2</v>
      </c>
      <c r="W8" s="71">
        <f t="shared" si="2"/>
        <v>1.4184397163120567E-2</v>
      </c>
      <c r="X8" s="71">
        <f t="shared" si="2"/>
        <v>9.6711798839458421E-3</v>
      </c>
      <c r="Y8" s="71">
        <f t="shared" si="2"/>
        <v>4.5132172791747258E-3</v>
      </c>
      <c r="Z8" s="71">
        <f t="shared" si="2"/>
        <v>7.7369439071566732E-3</v>
      </c>
      <c r="AA8" s="71">
        <f t="shared" si="2"/>
        <v>1.9342359767891683E-3</v>
      </c>
    </row>
    <row r="9" spans="1:27" x14ac:dyDescent="0.2">
      <c r="A9" s="75" t="s">
        <v>949</v>
      </c>
      <c r="B9" s="76">
        <v>55</v>
      </c>
      <c r="C9" s="76">
        <v>36</v>
      </c>
      <c r="D9" s="76">
        <v>19</v>
      </c>
      <c r="E9" s="76">
        <v>9</v>
      </c>
      <c r="F9" s="76">
        <v>20</v>
      </c>
      <c r="G9" s="76">
        <v>2</v>
      </c>
      <c r="H9" s="76"/>
      <c r="I9" s="76">
        <v>141</v>
      </c>
      <c r="K9" s="62" t="s">
        <v>951</v>
      </c>
      <c r="L9" s="62">
        <v>42</v>
      </c>
      <c r="M9" s="62">
        <v>31</v>
      </c>
      <c r="N9" s="62">
        <v>18</v>
      </c>
      <c r="O9" s="62">
        <v>11</v>
      </c>
      <c r="P9" s="62">
        <v>19</v>
      </c>
      <c r="Q9" s="62">
        <v>2</v>
      </c>
      <c r="R9" s="62">
        <v>123</v>
      </c>
      <c r="U9" s="70" t="s">
        <v>951</v>
      </c>
      <c r="V9" s="71">
        <f t="shared" si="2"/>
        <v>3.5460992907801421E-2</v>
      </c>
      <c r="W9" s="71">
        <f t="shared" si="2"/>
        <v>2.321083172147002E-2</v>
      </c>
      <c r="X9" s="71">
        <f t="shared" si="2"/>
        <v>1.2250161186331399E-2</v>
      </c>
      <c r="Y9" s="71">
        <f t="shared" si="2"/>
        <v>5.8027079303675051E-3</v>
      </c>
      <c r="Z9" s="71">
        <f t="shared" si="2"/>
        <v>1.2894906511927788E-2</v>
      </c>
      <c r="AA9" s="71">
        <f t="shared" si="2"/>
        <v>1.2894906511927789E-3</v>
      </c>
    </row>
    <row r="10" spans="1:27" x14ac:dyDescent="0.2">
      <c r="A10" s="75" t="s">
        <v>951</v>
      </c>
      <c r="B10" s="76">
        <v>42</v>
      </c>
      <c r="C10" s="76">
        <v>31</v>
      </c>
      <c r="D10" s="76">
        <v>18</v>
      </c>
      <c r="E10" s="76">
        <v>11</v>
      </c>
      <c r="F10" s="76">
        <v>19</v>
      </c>
      <c r="G10" s="76">
        <v>2</v>
      </c>
      <c r="H10" s="76"/>
      <c r="I10" s="76">
        <v>123</v>
      </c>
      <c r="K10" s="62" t="s">
        <v>952</v>
      </c>
      <c r="L10" s="62">
        <v>79</v>
      </c>
      <c r="M10" s="62">
        <v>54</v>
      </c>
      <c r="N10" s="62">
        <v>30</v>
      </c>
      <c r="O10" s="62">
        <v>28</v>
      </c>
      <c r="P10" s="62">
        <v>32</v>
      </c>
      <c r="Q10" s="62">
        <v>6</v>
      </c>
      <c r="R10" s="62">
        <v>229</v>
      </c>
      <c r="U10" s="70" t="s">
        <v>950</v>
      </c>
      <c r="V10" s="71">
        <f t="shared" si="2"/>
        <v>2.7079303675048357E-2</v>
      </c>
      <c r="W10" s="71">
        <f t="shared" si="2"/>
        <v>1.9987105093488073E-2</v>
      </c>
      <c r="X10" s="71">
        <f t="shared" si="2"/>
        <v>1.160541586073501E-2</v>
      </c>
      <c r="Y10" s="71">
        <f t="shared" si="2"/>
        <v>7.0921985815602835E-3</v>
      </c>
      <c r="Z10" s="71">
        <f t="shared" si="2"/>
        <v>1.2250161186331399E-2</v>
      </c>
      <c r="AA10" s="71">
        <f t="shared" si="2"/>
        <v>1.2894906511927789E-3</v>
      </c>
    </row>
    <row r="11" spans="1:27" x14ac:dyDescent="0.2">
      <c r="A11" s="75" t="s">
        <v>986</v>
      </c>
      <c r="B11" s="76">
        <v>140</v>
      </c>
      <c r="C11" s="76">
        <v>60</v>
      </c>
      <c r="D11" s="76">
        <v>58</v>
      </c>
      <c r="E11" s="76">
        <v>47</v>
      </c>
      <c r="F11" s="76">
        <v>48</v>
      </c>
      <c r="G11" s="76">
        <v>11</v>
      </c>
      <c r="H11" s="76"/>
      <c r="I11" s="76">
        <v>364</v>
      </c>
      <c r="K11" s="62" t="s">
        <v>986</v>
      </c>
      <c r="L11" s="62">
        <v>140</v>
      </c>
      <c r="M11" s="62">
        <v>60</v>
      </c>
      <c r="N11" s="62">
        <v>58</v>
      </c>
      <c r="O11" s="62">
        <v>47</v>
      </c>
      <c r="P11" s="62">
        <v>48</v>
      </c>
      <c r="Q11" s="62">
        <v>11</v>
      </c>
      <c r="R11" s="62">
        <v>364</v>
      </c>
      <c r="U11" s="70" t="s">
        <v>946</v>
      </c>
      <c r="V11" s="71">
        <f t="shared" ref="V11:AA11" si="3">L11/$R$13</f>
        <v>9.0264345583494526E-2</v>
      </c>
      <c r="W11" s="71">
        <f t="shared" si="3"/>
        <v>3.8684719535783368E-2</v>
      </c>
      <c r="X11" s="71">
        <f t="shared" si="3"/>
        <v>3.7395228884590584E-2</v>
      </c>
      <c r="Y11" s="71">
        <f t="shared" si="3"/>
        <v>3.0303030303030304E-2</v>
      </c>
      <c r="Z11" s="71">
        <f t="shared" si="3"/>
        <v>3.0947775628626693E-2</v>
      </c>
      <c r="AA11" s="71">
        <f t="shared" si="3"/>
        <v>7.0921985815602835E-3</v>
      </c>
    </row>
    <row r="12" spans="1:27" x14ac:dyDescent="0.2">
      <c r="A12" s="75" t="s">
        <v>907</v>
      </c>
      <c r="B12" s="76"/>
      <c r="C12" s="76"/>
      <c r="D12" s="76"/>
      <c r="E12" s="76"/>
      <c r="F12" s="76"/>
      <c r="G12" s="76"/>
      <c r="H12" s="76"/>
      <c r="I12" s="76"/>
    </row>
    <row r="13" spans="1:27" x14ac:dyDescent="0.2">
      <c r="A13" s="75" t="s">
        <v>216</v>
      </c>
      <c r="B13" s="76">
        <v>605</v>
      </c>
      <c r="C13" s="76">
        <v>341</v>
      </c>
      <c r="D13" s="76">
        <v>210</v>
      </c>
      <c r="E13" s="76">
        <v>142</v>
      </c>
      <c r="F13" s="76">
        <v>185</v>
      </c>
      <c r="G13" s="76">
        <v>68</v>
      </c>
      <c r="H13" s="76"/>
      <c r="I13" s="76">
        <v>1551</v>
      </c>
      <c r="K13" s="62" t="s">
        <v>216</v>
      </c>
      <c r="L13" s="62">
        <f t="shared" ref="L13:Q13" si="4">SUM(L5:L11)</f>
        <v>605</v>
      </c>
      <c r="M13" s="62">
        <f t="shared" si="4"/>
        <v>341</v>
      </c>
      <c r="N13" s="62">
        <f t="shared" si="4"/>
        <v>210</v>
      </c>
      <c r="O13" s="62">
        <f t="shared" si="4"/>
        <v>142</v>
      </c>
      <c r="P13" s="62">
        <f t="shared" si="4"/>
        <v>185</v>
      </c>
      <c r="Q13" s="62">
        <f t="shared" si="4"/>
        <v>68</v>
      </c>
      <c r="R13" s="62">
        <f>SUM(R5:R11)</f>
        <v>1551</v>
      </c>
    </row>
    <row r="14" spans="1:27" x14ac:dyDescent="0.2">
      <c r="A14"/>
      <c r="B14"/>
      <c r="C14"/>
    </row>
    <row r="15" spans="1:27" x14ac:dyDescent="0.2">
      <c r="A15"/>
      <c r="B15"/>
      <c r="C15"/>
    </row>
    <row r="16" spans="1:27" x14ac:dyDescent="0.2">
      <c r="A16" s="74" t="s">
        <v>960</v>
      </c>
      <c r="B16" s="74" t="s">
        <v>905</v>
      </c>
      <c r="C16"/>
      <c r="D16"/>
      <c r="E16"/>
      <c r="F16"/>
      <c r="G16"/>
      <c r="H16"/>
      <c r="I16"/>
    </row>
    <row r="17" spans="1:9" x14ac:dyDescent="0.2">
      <c r="A17" s="74" t="s">
        <v>906</v>
      </c>
      <c r="B17" t="s">
        <v>962</v>
      </c>
      <c r="C17" t="s">
        <v>287</v>
      </c>
      <c r="D17" t="s">
        <v>963</v>
      </c>
      <c r="E17" t="s">
        <v>251</v>
      </c>
      <c r="F17" t="s">
        <v>964</v>
      </c>
      <c r="G17" t="s">
        <v>965</v>
      </c>
      <c r="H17" t="s">
        <v>907</v>
      </c>
      <c r="I17" t="s">
        <v>216</v>
      </c>
    </row>
    <row r="18" spans="1:9" x14ac:dyDescent="0.2">
      <c r="A18" s="75" t="s">
        <v>954</v>
      </c>
      <c r="B18" s="76">
        <v>53</v>
      </c>
      <c r="C18" s="76">
        <v>38</v>
      </c>
      <c r="D18" s="76">
        <v>19</v>
      </c>
      <c r="E18" s="76">
        <v>2</v>
      </c>
      <c r="F18" s="76">
        <v>10</v>
      </c>
      <c r="G18" s="76">
        <v>1</v>
      </c>
      <c r="H18" s="76"/>
      <c r="I18" s="76">
        <v>123</v>
      </c>
    </row>
    <row r="19" spans="1:9" x14ac:dyDescent="0.2">
      <c r="A19" s="75" t="s">
        <v>955</v>
      </c>
      <c r="B19" s="76">
        <v>88</v>
      </c>
      <c r="C19" s="76">
        <v>55</v>
      </c>
      <c r="D19" s="76">
        <v>22</v>
      </c>
      <c r="E19" s="76">
        <v>6</v>
      </c>
      <c r="F19" s="76">
        <v>9</v>
      </c>
      <c r="G19" s="76">
        <v>3</v>
      </c>
      <c r="H19" s="76"/>
      <c r="I19" s="76">
        <v>183</v>
      </c>
    </row>
    <row r="20" spans="1:9" x14ac:dyDescent="0.2">
      <c r="A20" s="75" t="s">
        <v>956</v>
      </c>
      <c r="B20" s="76">
        <v>86</v>
      </c>
      <c r="C20" s="76">
        <v>60</v>
      </c>
      <c r="D20" s="76">
        <v>27</v>
      </c>
      <c r="E20" s="76">
        <v>19</v>
      </c>
      <c r="F20" s="76">
        <v>26</v>
      </c>
      <c r="G20" s="76">
        <v>5</v>
      </c>
      <c r="H20" s="76"/>
      <c r="I20" s="76">
        <v>223</v>
      </c>
    </row>
    <row r="21" spans="1:9" x14ac:dyDescent="0.2">
      <c r="A21" s="75" t="s">
        <v>957</v>
      </c>
      <c r="B21" s="76">
        <v>167</v>
      </c>
      <c r="C21" s="76">
        <v>100</v>
      </c>
      <c r="D21" s="76">
        <v>64</v>
      </c>
      <c r="E21" s="76">
        <v>48</v>
      </c>
      <c r="F21" s="76">
        <v>58</v>
      </c>
      <c r="G21" s="76">
        <v>21</v>
      </c>
      <c r="H21" s="76"/>
      <c r="I21" s="76">
        <v>458</v>
      </c>
    </row>
    <row r="22" spans="1:9" x14ac:dyDescent="0.2">
      <c r="A22" s="75" t="s">
        <v>958</v>
      </c>
      <c r="B22" s="76">
        <v>211</v>
      </c>
      <c r="C22" s="76">
        <v>88</v>
      </c>
      <c r="D22" s="76">
        <v>78</v>
      </c>
      <c r="E22" s="76">
        <v>67</v>
      </c>
      <c r="F22" s="76">
        <v>82</v>
      </c>
      <c r="G22" s="76">
        <v>38</v>
      </c>
      <c r="H22" s="76"/>
      <c r="I22" s="76">
        <v>564</v>
      </c>
    </row>
    <row r="23" spans="1:9" x14ac:dyDescent="0.2">
      <c r="A23" s="75" t="s">
        <v>907</v>
      </c>
      <c r="B23" s="76"/>
      <c r="C23" s="76"/>
      <c r="D23" s="76"/>
      <c r="E23" s="76"/>
      <c r="F23" s="76"/>
      <c r="G23" s="76"/>
      <c r="H23" s="76"/>
      <c r="I23" s="76"/>
    </row>
    <row r="24" spans="1:9" x14ac:dyDescent="0.2">
      <c r="A24" s="75" t="s">
        <v>216</v>
      </c>
      <c r="B24" s="76">
        <v>605</v>
      </c>
      <c r="C24" s="76">
        <v>341</v>
      </c>
      <c r="D24" s="76">
        <v>210</v>
      </c>
      <c r="E24" s="76">
        <v>142</v>
      </c>
      <c r="F24" s="76">
        <v>185</v>
      </c>
      <c r="G24" s="76">
        <v>68</v>
      </c>
      <c r="H24" s="76"/>
      <c r="I24" s="76">
        <v>1551</v>
      </c>
    </row>
    <row r="25" spans="1:9" x14ac:dyDescent="0.2">
      <c r="A25"/>
      <c r="B25"/>
      <c r="C25"/>
    </row>
    <row r="26" spans="1:9" x14ac:dyDescent="0.2">
      <c r="A26"/>
      <c r="B26"/>
      <c r="C26"/>
    </row>
    <row r="27" spans="1:9" x14ac:dyDescent="0.2">
      <c r="A27"/>
      <c r="B27"/>
      <c r="C27"/>
    </row>
    <row r="28" spans="1:9" x14ac:dyDescent="0.2">
      <c r="A28"/>
      <c r="B28"/>
      <c r="C28"/>
    </row>
    <row r="29" spans="1:9" x14ac:dyDescent="0.2">
      <c r="A29"/>
      <c r="B29"/>
      <c r="C29"/>
    </row>
    <row r="30" spans="1:9" x14ac:dyDescent="0.2">
      <c r="A30"/>
      <c r="B30"/>
      <c r="C30"/>
    </row>
    <row r="31" spans="1:9" x14ac:dyDescent="0.2">
      <c r="A31"/>
      <c r="B31"/>
      <c r="C31"/>
    </row>
    <row r="32" spans="1:9" x14ac:dyDescent="0.2">
      <c r="A32"/>
      <c r="B32"/>
      <c r="C32"/>
    </row>
    <row r="33" spans="1:3" x14ac:dyDescent="0.2">
      <c r="A33"/>
      <c r="B33"/>
      <c r="C33"/>
    </row>
  </sheetData>
  <mergeCells count="1">
    <mergeCell ref="V3:AA3"/>
  </mergeCells>
  <pageMargins left="0.7" right="0.7" top="0.75" bottom="0.75" header="0.3" footer="0.3"/>
  <ignoredErrors>
    <ignoredError sqref="U6" twoDigitTextYear="1"/>
  </ignoredError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5445-E0DF-4EA1-844A-7E7BD4C8A8BF}">
  <dimension ref="A3:Z20"/>
  <sheetViews>
    <sheetView topLeftCell="J1" zoomScale="70" zoomScaleNormal="70" workbookViewId="0">
      <selection activeCell="R10" sqref="R10"/>
    </sheetView>
  </sheetViews>
  <sheetFormatPr defaultRowHeight="12.75" x14ac:dyDescent="0.2"/>
  <cols>
    <col min="1" max="1" width="24.28515625" style="62" bestFit="1" customWidth="1"/>
    <col min="2" max="2" width="20.5703125" style="62" bestFit="1" customWidth="1"/>
    <col min="3" max="3" width="12" style="62" bestFit="1" customWidth="1"/>
    <col min="4" max="5" width="12.42578125" style="62" bestFit="1" customWidth="1"/>
    <col min="6" max="6" width="13.140625" style="62" bestFit="1" customWidth="1"/>
    <col min="7" max="7" width="13" style="62" bestFit="1" customWidth="1"/>
    <col min="8" max="8" width="8.85546875" style="62" bestFit="1" customWidth="1"/>
    <col min="9" max="9" width="14.28515625" style="62" bestFit="1" customWidth="1"/>
    <col min="10" max="10" width="9.140625" style="62"/>
    <col min="11" max="11" width="17" style="62" customWidth="1"/>
    <col min="12" max="19" width="9.140625" style="62"/>
    <col min="20" max="20" width="13.42578125" style="62" customWidth="1"/>
    <col min="21" max="16384" width="9.140625" style="62"/>
  </cols>
  <sheetData>
    <row r="3" spans="1:26" ht="15.75" x14ac:dyDescent="0.25">
      <c r="A3" s="74" t="s">
        <v>960</v>
      </c>
      <c r="B3" s="74" t="s">
        <v>905</v>
      </c>
      <c r="C3"/>
      <c r="D3"/>
      <c r="E3"/>
      <c r="F3"/>
      <c r="G3"/>
      <c r="H3"/>
      <c r="I3"/>
      <c r="U3" s="78" t="s">
        <v>961</v>
      </c>
      <c r="V3" s="78"/>
      <c r="W3" s="78"/>
      <c r="X3" s="78"/>
      <c r="Y3" s="78"/>
      <c r="Z3" s="78"/>
    </row>
    <row r="4" spans="1:26" ht="25.5" x14ac:dyDescent="0.2">
      <c r="A4" s="74" t="s">
        <v>906</v>
      </c>
      <c r="B4" t="s">
        <v>962</v>
      </c>
      <c r="C4" t="s">
        <v>287</v>
      </c>
      <c r="D4" t="s">
        <v>963</v>
      </c>
      <c r="E4" t="s">
        <v>251</v>
      </c>
      <c r="F4" t="s">
        <v>964</v>
      </c>
      <c r="G4" t="s">
        <v>965</v>
      </c>
      <c r="H4" t="s">
        <v>907</v>
      </c>
      <c r="I4" t="s">
        <v>216</v>
      </c>
      <c r="K4" s="62" t="s">
        <v>973</v>
      </c>
      <c r="L4" s="62" t="s">
        <v>962</v>
      </c>
      <c r="M4" s="62" t="s">
        <v>287</v>
      </c>
      <c r="N4" s="62" t="s">
        <v>963</v>
      </c>
      <c r="O4" s="62" t="s">
        <v>251</v>
      </c>
      <c r="P4" s="62" t="s">
        <v>964</v>
      </c>
      <c r="Q4" s="62" t="s">
        <v>965</v>
      </c>
      <c r="R4" s="62" t="s">
        <v>216</v>
      </c>
      <c r="T4" s="69" t="s">
        <v>973</v>
      </c>
      <c r="U4" s="69" t="s">
        <v>967</v>
      </c>
      <c r="V4" s="69" t="s">
        <v>968</v>
      </c>
      <c r="W4" s="69" t="s">
        <v>969</v>
      </c>
      <c r="X4" s="69" t="s">
        <v>970</v>
      </c>
      <c r="Y4" s="69" t="s">
        <v>971</v>
      </c>
      <c r="Z4" s="69" t="s">
        <v>972</v>
      </c>
    </row>
    <row r="5" spans="1:26" x14ac:dyDescent="0.2">
      <c r="A5" s="75" t="s">
        <v>137</v>
      </c>
      <c r="B5" s="76">
        <v>294</v>
      </c>
      <c r="C5" s="76">
        <v>121</v>
      </c>
      <c r="D5" s="76">
        <v>35</v>
      </c>
      <c r="E5" s="76">
        <v>26</v>
      </c>
      <c r="F5" s="76">
        <v>39</v>
      </c>
      <c r="G5" s="76">
        <v>13</v>
      </c>
      <c r="H5" s="76"/>
      <c r="I5" s="76">
        <v>528</v>
      </c>
      <c r="K5" s="62" t="s">
        <v>137</v>
      </c>
      <c r="L5" s="62">
        <v>294</v>
      </c>
      <c r="M5" s="62">
        <v>121</v>
      </c>
      <c r="N5" s="62">
        <v>35</v>
      </c>
      <c r="O5" s="62">
        <v>26</v>
      </c>
      <c r="P5" s="62">
        <v>39</v>
      </c>
      <c r="Q5" s="62">
        <v>13</v>
      </c>
      <c r="R5" s="62">
        <v>528</v>
      </c>
      <c r="T5" s="72" t="s">
        <v>137</v>
      </c>
      <c r="U5" s="71">
        <f>L5/$R$12</f>
        <v>0.20040899795501022</v>
      </c>
      <c r="V5" s="71">
        <f t="shared" ref="V5:Z5" si="0">M5/$R$12</f>
        <v>8.2481254260395362E-2</v>
      </c>
      <c r="W5" s="71">
        <f t="shared" si="0"/>
        <v>2.3858214042263123E-2</v>
      </c>
      <c r="X5" s="71">
        <f t="shared" si="0"/>
        <v>1.7723244717109749E-2</v>
      </c>
      <c r="Y5" s="71">
        <f t="shared" si="0"/>
        <v>2.6584867075664622E-2</v>
      </c>
      <c r="Z5" s="71">
        <f t="shared" si="0"/>
        <v>8.8616223585548746E-3</v>
      </c>
    </row>
    <row r="6" spans="1:26" x14ac:dyDescent="0.2">
      <c r="A6" s="75" t="s">
        <v>141</v>
      </c>
      <c r="B6" s="76">
        <v>23</v>
      </c>
      <c r="C6" s="76">
        <v>10</v>
      </c>
      <c r="D6" s="76">
        <v>9</v>
      </c>
      <c r="E6" s="76">
        <v>11</v>
      </c>
      <c r="F6" s="76">
        <v>17</v>
      </c>
      <c r="G6" s="76">
        <v>14</v>
      </c>
      <c r="H6" s="76"/>
      <c r="I6" s="76">
        <v>84</v>
      </c>
      <c r="K6" s="62" t="s">
        <v>138</v>
      </c>
      <c r="L6" s="62">
        <v>154</v>
      </c>
      <c r="M6" s="62">
        <v>118</v>
      </c>
      <c r="N6" s="62">
        <v>91</v>
      </c>
      <c r="O6" s="62">
        <v>39</v>
      </c>
      <c r="P6" s="62">
        <v>41</v>
      </c>
      <c r="Q6" s="62">
        <v>10</v>
      </c>
      <c r="R6" s="62">
        <v>453</v>
      </c>
      <c r="T6" s="72" t="s">
        <v>138</v>
      </c>
      <c r="U6" s="71">
        <f t="shared" ref="U6:Z6" si="1">L9/$R$12</f>
        <v>1.5678254942058625E-2</v>
      </c>
      <c r="V6" s="71">
        <f t="shared" si="1"/>
        <v>6.8166325835037492E-3</v>
      </c>
      <c r="W6" s="71">
        <f t="shared" si="1"/>
        <v>6.1349693251533744E-3</v>
      </c>
      <c r="X6" s="71">
        <f t="shared" si="1"/>
        <v>7.498295841854124E-3</v>
      </c>
      <c r="Y6" s="71">
        <f t="shared" si="1"/>
        <v>1.1588275391956374E-2</v>
      </c>
      <c r="Z6" s="71">
        <f t="shared" si="1"/>
        <v>9.5432856169052494E-3</v>
      </c>
    </row>
    <row r="7" spans="1:26" x14ac:dyDescent="0.2">
      <c r="A7" s="75" t="s">
        <v>138</v>
      </c>
      <c r="B7" s="76">
        <v>154</v>
      </c>
      <c r="C7" s="76">
        <v>118</v>
      </c>
      <c r="D7" s="76">
        <v>91</v>
      </c>
      <c r="E7" s="76">
        <v>39</v>
      </c>
      <c r="F7" s="76">
        <v>41</v>
      </c>
      <c r="G7" s="76">
        <v>10</v>
      </c>
      <c r="H7" s="76"/>
      <c r="I7" s="76">
        <v>453</v>
      </c>
      <c r="K7" s="62" t="s">
        <v>139</v>
      </c>
      <c r="L7" s="62">
        <v>75</v>
      </c>
      <c r="M7" s="62">
        <v>59</v>
      </c>
      <c r="N7" s="62">
        <v>51</v>
      </c>
      <c r="O7" s="62">
        <v>32</v>
      </c>
      <c r="P7" s="62">
        <v>49</v>
      </c>
      <c r="Q7" s="62">
        <v>14</v>
      </c>
      <c r="R7" s="62">
        <v>280</v>
      </c>
      <c r="T7" s="72" t="s">
        <v>139</v>
      </c>
      <c r="U7" s="71">
        <f t="shared" ref="U7:Z9" si="2">L6/$R$12</f>
        <v>0.10497614178595774</v>
      </c>
      <c r="V7" s="71">
        <f t="shared" si="2"/>
        <v>8.0436264485344244E-2</v>
      </c>
      <c r="W7" s="71">
        <f t="shared" si="2"/>
        <v>6.2031356509884117E-2</v>
      </c>
      <c r="X7" s="71">
        <f t="shared" si="2"/>
        <v>2.6584867075664622E-2</v>
      </c>
      <c r="Y7" s="71">
        <f t="shared" si="2"/>
        <v>2.7948193592365372E-2</v>
      </c>
      <c r="Z7" s="71">
        <f t="shared" si="2"/>
        <v>6.8166325835037492E-3</v>
      </c>
    </row>
    <row r="8" spans="1:26" x14ac:dyDescent="0.2">
      <c r="A8" s="75" t="s">
        <v>139</v>
      </c>
      <c r="B8" s="76">
        <v>75</v>
      </c>
      <c r="C8" s="76">
        <v>59</v>
      </c>
      <c r="D8" s="76">
        <v>51</v>
      </c>
      <c r="E8" s="76">
        <v>32</v>
      </c>
      <c r="F8" s="76">
        <v>49</v>
      </c>
      <c r="G8" s="76">
        <v>14</v>
      </c>
      <c r="H8" s="76"/>
      <c r="I8" s="76">
        <v>280</v>
      </c>
      <c r="K8" s="62" t="s">
        <v>140</v>
      </c>
      <c r="L8" s="62">
        <v>59</v>
      </c>
      <c r="M8" s="62">
        <v>33</v>
      </c>
      <c r="N8" s="62">
        <v>24</v>
      </c>
      <c r="O8" s="62">
        <v>34</v>
      </c>
      <c r="P8" s="62">
        <v>39</v>
      </c>
      <c r="Q8" s="62">
        <v>17</v>
      </c>
      <c r="R8" s="62">
        <v>206</v>
      </c>
      <c r="T8" s="72" t="s">
        <v>140</v>
      </c>
      <c r="U8" s="71">
        <f t="shared" si="2"/>
        <v>5.112474437627812E-2</v>
      </c>
      <c r="V8" s="71">
        <f t="shared" si="2"/>
        <v>4.0218132242672122E-2</v>
      </c>
      <c r="W8" s="71">
        <f t="shared" si="2"/>
        <v>3.4764826175869123E-2</v>
      </c>
      <c r="X8" s="71">
        <f t="shared" si="2"/>
        <v>2.1813224267211998E-2</v>
      </c>
      <c r="Y8" s="71">
        <f t="shared" si="2"/>
        <v>3.3401499659168374E-2</v>
      </c>
      <c r="Z8" s="71">
        <f t="shared" si="2"/>
        <v>9.5432856169052494E-3</v>
      </c>
    </row>
    <row r="9" spans="1:26" x14ac:dyDescent="0.2">
      <c r="A9" s="75" t="s">
        <v>140</v>
      </c>
      <c r="B9" s="76">
        <v>59</v>
      </c>
      <c r="C9" s="76">
        <v>33</v>
      </c>
      <c r="D9" s="76">
        <v>24</v>
      </c>
      <c r="E9" s="76">
        <v>34</v>
      </c>
      <c r="F9" s="76">
        <v>39</v>
      </c>
      <c r="G9" s="76">
        <v>17</v>
      </c>
      <c r="H9" s="76"/>
      <c r="I9" s="76">
        <v>206</v>
      </c>
      <c r="K9" s="62" t="s">
        <v>141</v>
      </c>
      <c r="L9" s="62">
        <v>23</v>
      </c>
      <c r="M9" s="62">
        <v>10</v>
      </c>
      <c r="N9" s="62">
        <v>9</v>
      </c>
      <c r="O9" s="62">
        <v>11</v>
      </c>
      <c r="P9" s="62">
        <v>17</v>
      </c>
      <c r="Q9" s="62">
        <v>14</v>
      </c>
      <c r="R9" s="62">
        <v>84</v>
      </c>
      <c r="T9" s="72" t="s">
        <v>141</v>
      </c>
      <c r="U9" s="71">
        <f t="shared" si="2"/>
        <v>4.0218132242672122E-2</v>
      </c>
      <c r="V9" s="71">
        <f t="shared" si="2"/>
        <v>2.2494887525562373E-2</v>
      </c>
      <c r="W9" s="71">
        <f t="shared" si="2"/>
        <v>1.6359918200408999E-2</v>
      </c>
      <c r="X9" s="71">
        <f t="shared" si="2"/>
        <v>2.3176550783912748E-2</v>
      </c>
      <c r="Y9" s="71">
        <f t="shared" si="2"/>
        <v>2.6584867075664622E-2</v>
      </c>
      <c r="Z9" s="71">
        <f t="shared" si="2"/>
        <v>1.1588275391956374E-2</v>
      </c>
    </row>
    <row r="10" spans="1:26" x14ac:dyDescent="0.2">
      <c r="A10" s="75" t="s">
        <v>907</v>
      </c>
      <c r="B10" s="76"/>
      <c r="C10" s="76"/>
      <c r="D10" s="76"/>
      <c r="E10" s="76"/>
      <c r="F10" s="76"/>
      <c r="G10" s="76"/>
      <c r="H10" s="76"/>
      <c r="I10" s="76"/>
      <c r="T10" s="73" t="s">
        <v>975</v>
      </c>
      <c r="U10" s="71">
        <f>SUM(U5:U9)</f>
        <v>0.41240627130197682</v>
      </c>
      <c r="V10" s="71">
        <f t="shared" ref="V10:Z10" si="3">SUM(V5:V9)</f>
        <v>0.23244717109747784</v>
      </c>
      <c r="W10" s="71">
        <f t="shared" si="3"/>
        <v>0.14314928425357873</v>
      </c>
      <c r="X10" s="71">
        <f t="shared" si="3"/>
        <v>9.679618268575324E-2</v>
      </c>
      <c r="Y10" s="71">
        <f t="shared" si="3"/>
        <v>0.12610770279481937</v>
      </c>
      <c r="Z10" s="71">
        <f t="shared" si="3"/>
        <v>4.6353101567825496E-2</v>
      </c>
    </row>
    <row r="11" spans="1:26" x14ac:dyDescent="0.2">
      <c r="A11" s="75" t="s">
        <v>216</v>
      </c>
      <c r="B11" s="76">
        <v>605</v>
      </c>
      <c r="C11" s="76">
        <v>341</v>
      </c>
      <c r="D11" s="76">
        <v>210</v>
      </c>
      <c r="E11" s="76">
        <v>142</v>
      </c>
      <c r="F11" s="76">
        <v>185</v>
      </c>
      <c r="G11" s="76">
        <v>68</v>
      </c>
      <c r="H11" s="76"/>
      <c r="I11" s="76">
        <v>1551</v>
      </c>
    </row>
    <row r="12" spans="1:26" x14ac:dyDescent="0.2">
      <c r="A12"/>
      <c r="B12"/>
      <c r="C12"/>
      <c r="D12"/>
      <c r="E12"/>
      <c r="F12"/>
      <c r="G12"/>
      <c r="H12"/>
      <c r="I12"/>
      <c r="K12" s="62" t="s">
        <v>216</v>
      </c>
      <c r="L12" s="62">
        <v>387</v>
      </c>
      <c r="M12" s="62">
        <v>256</v>
      </c>
      <c r="N12" s="62">
        <v>175</v>
      </c>
      <c r="O12" s="62">
        <v>66</v>
      </c>
      <c r="P12" s="62">
        <v>55</v>
      </c>
      <c r="Q12" s="62">
        <v>29</v>
      </c>
      <c r="R12" s="62">
        <f>SUM(R5:R8)</f>
        <v>1467</v>
      </c>
    </row>
    <row r="13" spans="1:26" x14ac:dyDescent="0.2">
      <c r="A13"/>
      <c r="B13"/>
      <c r="C13"/>
    </row>
    <row r="14" spans="1:26" x14ac:dyDescent="0.2">
      <c r="A14"/>
      <c r="B14"/>
      <c r="C14"/>
    </row>
    <row r="15" spans="1:26" x14ac:dyDescent="0.2">
      <c r="A15"/>
      <c r="B15"/>
      <c r="C15"/>
    </row>
    <row r="16" spans="1:26" x14ac:dyDescent="0.2">
      <c r="A16"/>
      <c r="B16"/>
      <c r="C16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</sheetData>
  <mergeCells count="1">
    <mergeCell ref="U3:Z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637A-CCEC-4AAE-B48F-E8E465E89EC4}">
  <dimension ref="A3:Z20"/>
  <sheetViews>
    <sheetView zoomScale="85" zoomScaleNormal="85" workbookViewId="0">
      <selection activeCell="R10" sqref="R10"/>
    </sheetView>
  </sheetViews>
  <sheetFormatPr defaultRowHeight="12.75" x14ac:dyDescent="0.2"/>
  <cols>
    <col min="1" max="1" width="20.42578125" style="62" bestFit="1" customWidth="1"/>
    <col min="2" max="2" width="18" style="62" bestFit="1" customWidth="1"/>
    <col min="3" max="5" width="9.85546875" style="62" bestFit="1" customWidth="1"/>
    <col min="6" max="6" width="10.85546875" style="62" bestFit="1" customWidth="1"/>
    <col min="7" max="7" width="11" style="62" bestFit="1" customWidth="1"/>
    <col min="8" max="8" width="7.5703125" style="62" bestFit="1" customWidth="1"/>
    <col min="9" max="9" width="11.7109375" style="62" bestFit="1" customWidth="1"/>
    <col min="10" max="19" width="9.140625" style="62"/>
    <col min="20" max="20" width="12.7109375" style="62" customWidth="1"/>
    <col min="21" max="16384" width="9.140625" style="62"/>
  </cols>
  <sheetData>
    <row r="3" spans="1:26" ht="15.75" x14ac:dyDescent="0.25">
      <c r="A3" s="74" t="s">
        <v>960</v>
      </c>
      <c r="B3" s="74" t="s">
        <v>905</v>
      </c>
      <c r="C3"/>
      <c r="D3"/>
      <c r="E3"/>
      <c r="F3"/>
      <c r="G3"/>
      <c r="H3"/>
      <c r="I3"/>
      <c r="U3" s="78" t="s">
        <v>961</v>
      </c>
      <c r="V3" s="78"/>
      <c r="W3" s="78"/>
      <c r="X3" s="78"/>
      <c r="Y3" s="78"/>
      <c r="Z3" s="78"/>
    </row>
    <row r="4" spans="1:26" ht="25.5" x14ac:dyDescent="0.2">
      <c r="A4" s="74" t="s">
        <v>906</v>
      </c>
      <c r="B4" t="s">
        <v>962</v>
      </c>
      <c r="C4" t="s">
        <v>287</v>
      </c>
      <c r="D4" t="s">
        <v>963</v>
      </c>
      <c r="E4" t="s">
        <v>251</v>
      </c>
      <c r="F4" t="s">
        <v>964</v>
      </c>
      <c r="G4" t="s">
        <v>965</v>
      </c>
      <c r="H4" t="s">
        <v>907</v>
      </c>
      <c r="I4" t="s">
        <v>216</v>
      </c>
      <c r="K4" s="62" t="s">
        <v>33</v>
      </c>
      <c r="L4" s="62" t="s">
        <v>962</v>
      </c>
      <c r="M4" s="62" t="s">
        <v>287</v>
      </c>
      <c r="N4" s="62" t="s">
        <v>963</v>
      </c>
      <c r="O4" s="62" t="s">
        <v>251</v>
      </c>
      <c r="P4" s="62" t="s">
        <v>964</v>
      </c>
      <c r="Q4" s="62" t="s">
        <v>965</v>
      </c>
      <c r="R4" s="62" t="s">
        <v>216</v>
      </c>
      <c r="T4" s="69" t="s">
        <v>33</v>
      </c>
      <c r="U4" s="69" t="s">
        <v>967</v>
      </c>
      <c r="V4" s="69" t="s">
        <v>968</v>
      </c>
      <c r="W4" s="69" t="s">
        <v>976</v>
      </c>
      <c r="X4" s="69" t="s">
        <v>970</v>
      </c>
      <c r="Y4" s="69" t="s">
        <v>971</v>
      </c>
      <c r="Z4" s="69" t="s">
        <v>972</v>
      </c>
    </row>
    <row r="5" spans="1:26" x14ac:dyDescent="0.2">
      <c r="A5" s="75" t="s">
        <v>217</v>
      </c>
      <c r="B5" s="76"/>
      <c r="C5" s="76"/>
      <c r="D5" s="76"/>
      <c r="E5" s="76">
        <v>1</v>
      </c>
      <c r="F5" s="76"/>
      <c r="G5" s="76"/>
      <c r="H5" s="76"/>
      <c r="I5" s="76">
        <v>1</v>
      </c>
      <c r="K5" s="62" t="s">
        <v>35</v>
      </c>
      <c r="L5" s="62">
        <v>75</v>
      </c>
      <c r="M5" s="62">
        <v>54</v>
      </c>
      <c r="N5" s="62">
        <v>24</v>
      </c>
      <c r="O5" s="62">
        <v>8</v>
      </c>
      <c r="P5" s="62">
        <v>17</v>
      </c>
      <c r="Q5" s="62">
        <v>7</v>
      </c>
      <c r="R5" s="62">
        <v>185</v>
      </c>
      <c r="S5" s="62">
        <v>185</v>
      </c>
      <c r="T5" s="72" t="s">
        <v>35</v>
      </c>
      <c r="U5" s="71">
        <f>L5/$R$15</f>
        <v>5.1020408163265307E-2</v>
      </c>
      <c r="V5" s="71">
        <f t="shared" ref="V5:Z14" si="0">M5/$R$15</f>
        <v>3.6734693877551024E-2</v>
      </c>
      <c r="W5" s="71">
        <f t="shared" si="0"/>
        <v>1.6326530612244899E-2</v>
      </c>
      <c r="X5" s="71">
        <f t="shared" si="0"/>
        <v>5.4421768707482989E-3</v>
      </c>
      <c r="Y5" s="71">
        <f t="shared" si="0"/>
        <v>1.1564625850340135E-2</v>
      </c>
      <c r="Z5" s="71">
        <f t="shared" si="0"/>
        <v>4.7619047619047623E-3</v>
      </c>
    </row>
    <row r="6" spans="1:26" x14ac:dyDescent="0.2">
      <c r="A6" s="75" t="s">
        <v>987</v>
      </c>
      <c r="B6" s="76">
        <v>44</v>
      </c>
      <c r="C6" s="76">
        <v>24</v>
      </c>
      <c r="D6" s="76">
        <v>7</v>
      </c>
      <c r="E6" s="76"/>
      <c r="F6" s="76">
        <v>3</v>
      </c>
      <c r="G6" s="76">
        <v>1</v>
      </c>
      <c r="H6" s="76"/>
      <c r="I6" s="76">
        <v>79</v>
      </c>
      <c r="K6" s="62" t="s">
        <v>42</v>
      </c>
      <c r="L6" s="62">
        <v>1</v>
      </c>
      <c r="N6" s="62">
        <v>1</v>
      </c>
      <c r="P6" s="62">
        <v>3</v>
      </c>
      <c r="Q6" s="62">
        <v>1</v>
      </c>
      <c r="R6" s="62">
        <v>6</v>
      </c>
      <c r="S6" s="62">
        <v>6</v>
      </c>
      <c r="T6" s="72" t="s">
        <v>42</v>
      </c>
      <c r="U6" s="71">
        <f t="shared" ref="U6:U14" si="1">L6/$R$15</f>
        <v>6.8027210884353737E-4</v>
      </c>
      <c r="V6" s="71">
        <f t="shared" si="0"/>
        <v>0</v>
      </c>
      <c r="W6" s="71">
        <f t="shared" si="0"/>
        <v>6.8027210884353737E-4</v>
      </c>
      <c r="X6" s="71">
        <f t="shared" si="0"/>
        <v>0</v>
      </c>
      <c r="Y6" s="71">
        <f t="shared" si="0"/>
        <v>2.0408163265306124E-3</v>
      </c>
      <c r="Z6" s="71">
        <f t="shared" si="0"/>
        <v>6.8027210884353737E-4</v>
      </c>
    </row>
    <row r="7" spans="1:26" x14ac:dyDescent="0.2">
      <c r="A7" s="75" t="s">
        <v>988</v>
      </c>
      <c r="B7" s="76"/>
      <c r="C7" s="76"/>
      <c r="D7" s="76"/>
      <c r="E7" s="76"/>
      <c r="F7" s="76"/>
      <c r="G7" s="76">
        <v>1</v>
      </c>
      <c r="H7" s="76"/>
      <c r="I7" s="76">
        <v>1</v>
      </c>
      <c r="K7" s="62" t="s">
        <v>39</v>
      </c>
      <c r="L7" s="62">
        <v>144</v>
      </c>
      <c r="M7" s="62">
        <v>68</v>
      </c>
      <c r="N7" s="62">
        <v>66</v>
      </c>
      <c r="O7" s="62">
        <v>43</v>
      </c>
      <c r="P7" s="62">
        <v>59</v>
      </c>
      <c r="Q7" s="62">
        <v>17</v>
      </c>
      <c r="R7" s="62">
        <v>397</v>
      </c>
      <c r="S7" s="62">
        <v>397</v>
      </c>
      <c r="T7" s="72" t="s">
        <v>39</v>
      </c>
      <c r="U7" s="71">
        <f t="shared" si="1"/>
        <v>9.7959183673469383E-2</v>
      </c>
      <c r="V7" s="71">
        <f t="shared" si="0"/>
        <v>4.6258503401360541E-2</v>
      </c>
      <c r="W7" s="71">
        <f t="shared" si="0"/>
        <v>4.4897959183673466E-2</v>
      </c>
      <c r="X7" s="71">
        <f t="shared" si="0"/>
        <v>2.9251700680272108E-2</v>
      </c>
      <c r="Y7" s="71">
        <f t="shared" si="0"/>
        <v>4.0136054421768708E-2</v>
      </c>
      <c r="Z7" s="71">
        <f t="shared" si="0"/>
        <v>1.1564625850340135E-2</v>
      </c>
    </row>
    <row r="8" spans="1:26" x14ac:dyDescent="0.2">
      <c r="A8" s="75" t="s">
        <v>35</v>
      </c>
      <c r="B8" s="76">
        <v>75</v>
      </c>
      <c r="C8" s="76">
        <v>54</v>
      </c>
      <c r="D8" s="76">
        <v>24</v>
      </c>
      <c r="E8" s="76">
        <v>8</v>
      </c>
      <c r="F8" s="76">
        <v>17</v>
      </c>
      <c r="G8" s="76">
        <v>7</v>
      </c>
      <c r="H8" s="76"/>
      <c r="I8" s="76">
        <v>185</v>
      </c>
      <c r="K8" s="62" t="s">
        <v>40</v>
      </c>
      <c r="L8" s="62">
        <v>1</v>
      </c>
      <c r="M8" s="62">
        <v>4</v>
      </c>
      <c r="N8" s="62">
        <v>2</v>
      </c>
      <c r="O8" s="62">
        <v>1</v>
      </c>
      <c r="P8" s="62">
        <v>2</v>
      </c>
      <c r="R8" s="62">
        <v>10</v>
      </c>
      <c r="S8" s="62">
        <v>10</v>
      </c>
      <c r="T8" s="72" t="s">
        <v>40</v>
      </c>
      <c r="U8" s="71">
        <f t="shared" si="1"/>
        <v>6.8027210884353737E-4</v>
      </c>
      <c r="V8" s="71">
        <f t="shared" si="0"/>
        <v>2.7210884353741495E-3</v>
      </c>
      <c r="W8" s="71">
        <f t="shared" si="0"/>
        <v>1.3605442176870747E-3</v>
      </c>
      <c r="X8" s="71">
        <f t="shared" si="0"/>
        <v>6.8027210884353737E-4</v>
      </c>
      <c r="Y8" s="71">
        <f t="shared" si="0"/>
        <v>1.3605442176870747E-3</v>
      </c>
      <c r="Z8" s="71">
        <f t="shared" si="0"/>
        <v>0</v>
      </c>
    </row>
    <row r="9" spans="1:26" x14ac:dyDescent="0.2">
      <c r="A9" s="75" t="s">
        <v>42</v>
      </c>
      <c r="B9" s="76">
        <v>1</v>
      </c>
      <c r="C9" s="76"/>
      <c r="D9" s="76">
        <v>1</v>
      </c>
      <c r="E9" s="76"/>
      <c r="F9" s="76">
        <v>3</v>
      </c>
      <c r="G9" s="76">
        <v>1</v>
      </c>
      <c r="H9" s="76"/>
      <c r="I9" s="76">
        <v>6</v>
      </c>
      <c r="K9" s="62" t="s">
        <v>38</v>
      </c>
      <c r="L9" s="62">
        <v>9</v>
      </c>
      <c r="M9" s="62">
        <v>4</v>
      </c>
      <c r="N9" s="62">
        <v>5</v>
      </c>
      <c r="O9" s="62">
        <v>6</v>
      </c>
      <c r="P9" s="62">
        <v>3</v>
      </c>
      <c r="Q9" s="62">
        <v>3</v>
      </c>
      <c r="R9" s="62">
        <v>30</v>
      </c>
      <c r="S9" s="62">
        <v>30</v>
      </c>
      <c r="T9" s="72" t="s">
        <v>38</v>
      </c>
      <c r="U9" s="71">
        <f t="shared" si="1"/>
        <v>6.1224489795918364E-3</v>
      </c>
      <c r="V9" s="71">
        <f t="shared" si="0"/>
        <v>2.7210884353741495E-3</v>
      </c>
      <c r="W9" s="71">
        <f t="shared" si="0"/>
        <v>3.4013605442176869E-3</v>
      </c>
      <c r="X9" s="71">
        <f t="shared" si="0"/>
        <v>4.0816326530612249E-3</v>
      </c>
      <c r="Y9" s="71">
        <f t="shared" si="0"/>
        <v>2.0408163265306124E-3</v>
      </c>
      <c r="Z9" s="71">
        <f t="shared" si="0"/>
        <v>2.0408163265306124E-3</v>
      </c>
    </row>
    <row r="10" spans="1:26" x14ac:dyDescent="0.2">
      <c r="A10" s="75" t="s">
        <v>39</v>
      </c>
      <c r="B10" s="76">
        <v>144</v>
      </c>
      <c r="C10" s="76">
        <v>68</v>
      </c>
      <c r="D10" s="76">
        <v>66</v>
      </c>
      <c r="E10" s="76">
        <v>43</v>
      </c>
      <c r="F10" s="76">
        <v>59</v>
      </c>
      <c r="G10" s="76">
        <v>17</v>
      </c>
      <c r="H10" s="76"/>
      <c r="I10" s="76">
        <v>397</v>
      </c>
      <c r="K10" s="62" t="s">
        <v>41</v>
      </c>
      <c r="L10" s="62">
        <v>1</v>
      </c>
      <c r="P10" s="62">
        <v>2</v>
      </c>
      <c r="R10" s="62">
        <v>3</v>
      </c>
      <c r="S10" s="62">
        <v>3</v>
      </c>
      <c r="T10" s="72" t="s">
        <v>41</v>
      </c>
      <c r="U10" s="71">
        <f t="shared" si="1"/>
        <v>6.8027210884353737E-4</v>
      </c>
      <c r="V10" s="71">
        <f t="shared" si="0"/>
        <v>0</v>
      </c>
      <c r="W10" s="71">
        <f t="shared" si="0"/>
        <v>0</v>
      </c>
      <c r="X10" s="71">
        <f t="shared" si="0"/>
        <v>0</v>
      </c>
      <c r="Y10" s="71">
        <f t="shared" si="0"/>
        <v>1.3605442176870747E-3</v>
      </c>
      <c r="Z10" s="71">
        <f t="shared" si="0"/>
        <v>0</v>
      </c>
    </row>
    <row r="11" spans="1:26" x14ac:dyDescent="0.2">
      <c r="A11" s="75" t="s">
        <v>40</v>
      </c>
      <c r="B11" s="76">
        <v>1</v>
      </c>
      <c r="C11" s="76">
        <v>4</v>
      </c>
      <c r="D11" s="76">
        <v>2</v>
      </c>
      <c r="E11" s="76">
        <v>1</v>
      </c>
      <c r="F11" s="76">
        <v>2</v>
      </c>
      <c r="G11" s="76"/>
      <c r="H11" s="76"/>
      <c r="I11" s="76">
        <v>10</v>
      </c>
      <c r="K11" s="62" t="s">
        <v>107</v>
      </c>
      <c r="L11" s="62">
        <v>302</v>
      </c>
      <c r="M11" s="62">
        <v>164</v>
      </c>
      <c r="N11" s="62">
        <v>94</v>
      </c>
      <c r="O11" s="62">
        <v>81</v>
      </c>
      <c r="P11" s="62">
        <v>86</v>
      </c>
      <c r="Q11" s="62">
        <v>32</v>
      </c>
      <c r="R11" s="62">
        <v>759</v>
      </c>
      <c r="S11" s="62">
        <v>759</v>
      </c>
      <c r="T11" s="72" t="s">
        <v>107</v>
      </c>
      <c r="U11" s="71">
        <f t="shared" si="1"/>
        <v>0.20544217687074831</v>
      </c>
      <c r="V11" s="71">
        <f t="shared" si="0"/>
        <v>0.11156462585034013</v>
      </c>
      <c r="W11" s="71">
        <f t="shared" si="0"/>
        <v>6.3945578231292516E-2</v>
      </c>
      <c r="X11" s="71">
        <f t="shared" si="0"/>
        <v>5.5102040816326532E-2</v>
      </c>
      <c r="Y11" s="71">
        <f t="shared" si="0"/>
        <v>5.8503401360544216E-2</v>
      </c>
      <c r="Z11" s="71">
        <f t="shared" si="0"/>
        <v>2.1768707482993196E-2</v>
      </c>
    </row>
    <row r="12" spans="1:26" x14ac:dyDescent="0.2">
      <c r="A12" s="75" t="s">
        <v>38</v>
      </c>
      <c r="B12" s="76">
        <v>9</v>
      </c>
      <c r="C12" s="76">
        <v>4</v>
      </c>
      <c r="D12" s="76">
        <v>5</v>
      </c>
      <c r="E12" s="76">
        <v>6</v>
      </c>
      <c r="F12" s="76">
        <v>3</v>
      </c>
      <c r="G12" s="76">
        <v>3</v>
      </c>
      <c r="H12" s="76"/>
      <c r="I12" s="76">
        <v>30</v>
      </c>
      <c r="K12" s="62" t="s">
        <v>37</v>
      </c>
      <c r="L12" s="62">
        <v>5</v>
      </c>
      <c r="M12" s="62">
        <v>5</v>
      </c>
      <c r="N12" s="62">
        <v>1</v>
      </c>
      <c r="P12" s="62">
        <v>3</v>
      </c>
      <c r="R12" s="62">
        <v>14</v>
      </c>
      <c r="S12" s="62">
        <v>14</v>
      </c>
      <c r="T12" s="72" t="s">
        <v>37</v>
      </c>
      <c r="U12" s="71">
        <f t="shared" si="1"/>
        <v>3.4013605442176869E-3</v>
      </c>
      <c r="V12" s="71">
        <f t="shared" si="0"/>
        <v>3.4013605442176869E-3</v>
      </c>
      <c r="W12" s="71">
        <f t="shared" si="0"/>
        <v>6.8027210884353737E-4</v>
      </c>
      <c r="X12" s="71">
        <f t="shared" si="0"/>
        <v>0</v>
      </c>
      <c r="Y12" s="71">
        <f t="shared" si="0"/>
        <v>2.0408163265306124E-3</v>
      </c>
      <c r="Z12" s="71">
        <f t="shared" si="0"/>
        <v>0</v>
      </c>
    </row>
    <row r="13" spans="1:26" x14ac:dyDescent="0.2">
      <c r="A13" s="75" t="s">
        <v>41</v>
      </c>
      <c r="B13" s="76">
        <v>1</v>
      </c>
      <c r="C13" s="76"/>
      <c r="D13" s="76"/>
      <c r="E13" s="76"/>
      <c r="F13" s="76">
        <v>2</v>
      </c>
      <c r="G13" s="76"/>
      <c r="H13" s="76"/>
      <c r="I13" s="76">
        <v>3</v>
      </c>
      <c r="K13" s="62" t="s">
        <v>36</v>
      </c>
      <c r="L13" s="62">
        <v>23</v>
      </c>
      <c r="M13" s="62">
        <v>18</v>
      </c>
      <c r="N13" s="62">
        <v>10</v>
      </c>
      <c r="O13" s="62">
        <v>2</v>
      </c>
      <c r="P13" s="62">
        <v>7</v>
      </c>
      <c r="Q13" s="62">
        <v>6</v>
      </c>
      <c r="R13" s="62">
        <v>66</v>
      </c>
      <c r="S13" s="62">
        <v>66</v>
      </c>
      <c r="T13" s="72" t="s">
        <v>36</v>
      </c>
      <c r="U13" s="71">
        <f t="shared" si="1"/>
        <v>1.5646258503401362E-2</v>
      </c>
      <c r="V13" s="71">
        <f t="shared" si="0"/>
        <v>1.2244897959183673E-2</v>
      </c>
      <c r="W13" s="71">
        <f t="shared" si="0"/>
        <v>6.8027210884353739E-3</v>
      </c>
      <c r="X13" s="71">
        <f t="shared" si="0"/>
        <v>1.3605442176870747E-3</v>
      </c>
      <c r="Y13" s="71">
        <f t="shared" si="0"/>
        <v>4.7619047619047623E-3</v>
      </c>
      <c r="Z13" s="71">
        <f t="shared" si="0"/>
        <v>4.0816326530612249E-3</v>
      </c>
    </row>
    <row r="14" spans="1:26" x14ac:dyDescent="0.2">
      <c r="A14" s="75" t="s">
        <v>107</v>
      </c>
      <c r="B14" s="76">
        <v>302</v>
      </c>
      <c r="C14" s="76">
        <v>164</v>
      </c>
      <c r="D14" s="76">
        <v>94</v>
      </c>
      <c r="E14" s="76">
        <v>81</v>
      </c>
      <c r="F14" s="76">
        <v>86</v>
      </c>
      <c r="G14" s="76">
        <v>32</v>
      </c>
      <c r="H14" s="76"/>
      <c r="I14" s="76">
        <v>759</v>
      </c>
      <c r="K14" s="62" t="s">
        <v>43</v>
      </c>
      <c r="T14" s="72" t="s">
        <v>43</v>
      </c>
      <c r="U14" s="71">
        <f t="shared" si="1"/>
        <v>0</v>
      </c>
      <c r="V14" s="71">
        <f t="shared" si="0"/>
        <v>0</v>
      </c>
      <c r="W14" s="71">
        <f t="shared" si="0"/>
        <v>0</v>
      </c>
      <c r="X14" s="71">
        <f t="shared" si="0"/>
        <v>0</v>
      </c>
      <c r="Y14" s="71">
        <f t="shared" si="0"/>
        <v>0</v>
      </c>
      <c r="Z14" s="71">
        <f t="shared" si="0"/>
        <v>0</v>
      </c>
    </row>
    <row r="15" spans="1:26" x14ac:dyDescent="0.2">
      <c r="A15" s="75" t="s">
        <v>37</v>
      </c>
      <c r="B15" s="76">
        <v>5</v>
      </c>
      <c r="C15" s="76">
        <v>5</v>
      </c>
      <c r="D15" s="76">
        <v>1</v>
      </c>
      <c r="E15" s="76"/>
      <c r="F15" s="76">
        <v>3</v>
      </c>
      <c r="G15" s="76"/>
      <c r="H15" s="76"/>
      <c r="I15" s="76">
        <v>14</v>
      </c>
      <c r="R15" s="62">
        <f>SUM(R5:R14)</f>
        <v>1470</v>
      </c>
    </row>
    <row r="16" spans="1:26" x14ac:dyDescent="0.2">
      <c r="A16" s="75" t="s">
        <v>36</v>
      </c>
      <c r="B16" s="76">
        <v>23</v>
      </c>
      <c r="C16" s="76">
        <v>18</v>
      </c>
      <c r="D16" s="76">
        <v>10</v>
      </c>
      <c r="E16" s="76">
        <v>2</v>
      </c>
      <c r="F16" s="76">
        <v>7</v>
      </c>
      <c r="G16" s="76">
        <v>6</v>
      </c>
      <c r="H16" s="76"/>
      <c r="I16" s="76">
        <v>66</v>
      </c>
    </row>
    <row r="17" spans="1:9" x14ac:dyDescent="0.2">
      <c r="A17" s="75" t="s">
        <v>907</v>
      </c>
      <c r="B17" s="76"/>
      <c r="C17" s="76"/>
      <c r="D17" s="76"/>
      <c r="E17" s="76"/>
      <c r="F17" s="76"/>
      <c r="G17" s="76"/>
      <c r="H17" s="76"/>
      <c r="I17" s="76"/>
    </row>
    <row r="18" spans="1:9" x14ac:dyDescent="0.2">
      <c r="A18" s="75" t="s">
        <v>216</v>
      </c>
      <c r="B18" s="76">
        <v>605</v>
      </c>
      <c r="C18" s="76">
        <v>341</v>
      </c>
      <c r="D18" s="76">
        <v>210</v>
      </c>
      <c r="E18" s="76">
        <v>142</v>
      </c>
      <c r="F18" s="76">
        <v>185</v>
      </c>
      <c r="G18" s="76">
        <v>68</v>
      </c>
      <c r="H18" s="76"/>
      <c r="I18" s="76">
        <v>1551</v>
      </c>
    </row>
    <row r="19" spans="1:9" x14ac:dyDescent="0.2">
      <c r="A19"/>
      <c r="B19"/>
      <c r="C19"/>
    </row>
    <row r="20" spans="1:9" x14ac:dyDescent="0.2">
      <c r="A20"/>
      <c r="B20"/>
      <c r="C20"/>
    </row>
  </sheetData>
  <mergeCells count="1">
    <mergeCell ref="U3:Z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T1552"/>
  <sheetViews>
    <sheetView view="pageBreakPreview" topLeftCell="A91" zoomScale="40" zoomScaleNormal="73" zoomScaleSheetLayoutView="40" workbookViewId="0">
      <selection activeCell="S138" sqref="S138"/>
    </sheetView>
  </sheetViews>
  <sheetFormatPr defaultRowHeight="12.75" x14ac:dyDescent="0.2"/>
  <cols>
    <col min="1" max="1" width="12.140625" customWidth="1"/>
    <col min="2" max="2" width="7.28515625" customWidth="1"/>
    <col min="3" max="3" width="11.5703125" customWidth="1"/>
    <col min="4" max="5" width="10.28515625" customWidth="1"/>
    <col min="6" max="6" width="13.140625" customWidth="1"/>
    <col min="7" max="7" width="9.7109375" customWidth="1"/>
    <col min="8" max="8" width="16" customWidth="1"/>
    <col min="9" max="9" width="11.5703125" customWidth="1"/>
    <col min="10" max="10" width="8.85546875" customWidth="1"/>
    <col min="11" max="11" width="9.7109375" customWidth="1"/>
    <col min="12" max="12" width="15.28515625" customWidth="1"/>
    <col min="13" max="13" width="12.85546875" customWidth="1"/>
    <col min="14" max="14" width="9.42578125" customWidth="1"/>
    <col min="15" max="15" width="8.42578125" style="37" customWidth="1"/>
    <col min="16" max="16" width="11.85546875" customWidth="1"/>
    <col min="17" max="17" width="15.7109375" customWidth="1"/>
    <col min="18" max="18" width="12.28515625" customWidth="1"/>
    <col min="19" max="19" width="12.140625" customWidth="1"/>
    <col min="20" max="20" width="20.28515625" customWidth="1"/>
    <col min="21" max="21" width="12.7109375" customWidth="1"/>
    <col min="22" max="22" width="15.7109375" customWidth="1"/>
    <col min="23" max="23" width="11.5703125" style="43" customWidth="1"/>
    <col min="24" max="25" width="9.28515625" customWidth="1"/>
    <col min="26" max="27" width="9.42578125" customWidth="1"/>
    <col min="28" max="28" width="9.28515625" customWidth="1"/>
    <col min="29" max="29" width="12.85546875" customWidth="1"/>
    <col min="30" max="30" width="9.42578125" customWidth="1"/>
    <col min="31" max="31" width="19.42578125" customWidth="1"/>
    <col min="32" max="32" width="11.140625" customWidth="1"/>
    <col min="33" max="33" width="11" customWidth="1"/>
    <col min="34" max="35" width="10.7109375" customWidth="1"/>
    <col min="36" max="36" width="12.28515625" customWidth="1"/>
    <col min="37" max="37" width="10.5703125" customWidth="1"/>
    <col min="38" max="39" width="10.7109375" customWidth="1"/>
  </cols>
  <sheetData>
    <row r="1" spans="1:46" ht="12.6" customHeight="1" x14ac:dyDescent="0.2">
      <c r="A1" s="56" t="s">
        <v>95</v>
      </c>
      <c r="B1" s="57" t="s">
        <v>149</v>
      </c>
      <c r="C1" s="58" t="s">
        <v>34</v>
      </c>
      <c r="D1" s="59" t="s">
        <v>148</v>
      </c>
      <c r="E1" s="59" t="s">
        <v>98</v>
      </c>
      <c r="F1" s="59" t="s">
        <v>99</v>
      </c>
      <c r="G1" s="59" t="s">
        <v>9</v>
      </c>
      <c r="H1" s="58" t="s">
        <v>106</v>
      </c>
      <c r="I1" s="58" t="s">
        <v>108</v>
      </c>
      <c r="J1" s="58" t="s">
        <v>110</v>
      </c>
      <c r="K1" s="58" t="s">
        <v>111</v>
      </c>
      <c r="L1" s="47" t="s">
        <v>894</v>
      </c>
      <c r="M1" s="47" t="s">
        <v>895</v>
      </c>
      <c r="N1" s="22" t="s">
        <v>896</v>
      </c>
      <c r="O1" s="58" t="s">
        <v>15</v>
      </c>
      <c r="P1" s="58" t="s">
        <v>91</v>
      </c>
      <c r="Q1" s="47" t="s">
        <v>897</v>
      </c>
      <c r="R1" s="47" t="s">
        <v>898</v>
      </c>
      <c r="S1" s="47" t="s">
        <v>899</v>
      </c>
      <c r="T1" s="58" t="s">
        <v>900</v>
      </c>
      <c r="U1" s="58" t="s">
        <v>901</v>
      </c>
      <c r="V1" s="58" t="s">
        <v>92</v>
      </c>
      <c r="W1" s="58" t="s">
        <v>118</v>
      </c>
      <c r="X1" s="58" t="s">
        <v>119</v>
      </c>
      <c r="Y1" s="58" t="s">
        <v>902</v>
      </c>
      <c r="Z1" s="58" t="s">
        <v>120</v>
      </c>
      <c r="AA1" s="58" t="s">
        <v>903</v>
      </c>
      <c r="AB1" s="58" t="s">
        <v>121</v>
      </c>
      <c r="AC1" s="58" t="s">
        <v>122</v>
      </c>
      <c r="AD1" s="58" t="s">
        <v>134</v>
      </c>
      <c r="AE1" s="58" t="s">
        <v>135</v>
      </c>
      <c r="AF1" s="42" t="s">
        <v>142</v>
      </c>
      <c r="AG1" s="60" t="s">
        <v>143</v>
      </c>
      <c r="AH1" s="60" t="s">
        <v>144</v>
      </c>
      <c r="AI1" s="60" t="s">
        <v>145</v>
      </c>
      <c r="AJ1" s="60" t="s">
        <v>146</v>
      </c>
      <c r="AK1" s="58" t="s">
        <v>147</v>
      </c>
      <c r="AL1" s="58" t="s">
        <v>93</v>
      </c>
      <c r="AM1" s="61" t="s">
        <v>904</v>
      </c>
    </row>
    <row r="2" spans="1:46" s="19" customFormat="1" x14ac:dyDescent="0.2">
      <c r="A2" s="44">
        <v>43762</v>
      </c>
      <c r="B2" s="31">
        <v>0.73472222222222217</v>
      </c>
      <c r="C2" s="31"/>
      <c r="D2" s="31" t="s">
        <v>150</v>
      </c>
      <c r="E2" s="33">
        <v>2</v>
      </c>
      <c r="F2" s="38" t="str">
        <f>VLOOKUP(E2,Key!$A$17:$B$21,2,FALSE)</f>
        <v>Road Vehicle</v>
      </c>
      <c r="G2" s="32">
        <v>1</v>
      </c>
      <c r="H2" s="39" t="str">
        <f>VLOOKUP(G2,Key!$A$2:$B$13,2,FALSE)</f>
        <v>Car</v>
      </c>
      <c r="I2" s="33" t="s">
        <v>109</v>
      </c>
      <c r="J2" s="33">
        <v>1</v>
      </c>
      <c r="K2" s="40" t="str">
        <f>VLOOKUP(J2,Key!$A$24:$B$29,2,FALSE)</f>
        <v>20-29</v>
      </c>
      <c r="L2" s="33" t="s">
        <v>169</v>
      </c>
      <c r="M2" s="29" t="s">
        <v>168</v>
      </c>
      <c r="N2" s="33" t="s">
        <v>152</v>
      </c>
      <c r="O2" s="35">
        <v>1</v>
      </c>
      <c r="P2" s="30" t="str">
        <f>VLOOKUP(O2,Key!$E$2:$F$9,2,FALSE)</f>
        <v>Home</v>
      </c>
      <c r="Q2" s="33" t="s">
        <v>151</v>
      </c>
      <c r="R2" s="29" t="s">
        <v>151</v>
      </c>
      <c r="S2" s="33" t="s">
        <v>152</v>
      </c>
      <c r="T2" s="29">
        <v>4</v>
      </c>
      <c r="U2" s="30" t="str">
        <f>VLOOKUP(T2,Key!$E$2:$F$9,2,FALSE)</f>
        <v>Commercial</v>
      </c>
      <c r="V2" s="30" t="str">
        <f t="shared" ref="V2:V65" si="0">P2&amp;"-"&amp;U2</f>
        <v>Home-Commercial</v>
      </c>
      <c r="W2" s="29">
        <v>13000</v>
      </c>
      <c r="X2" s="34"/>
      <c r="Y2" s="50" t="str">
        <f>IF(X2&lt;10,"0-10",IF(X2&lt;20,"10-20",IF(X2&lt;40,"20-40",IF(X2&lt;70,"40-70",IF(X2&lt;100,"70-100",IF(X2&lt;200,"100-200","Over 200"))))))</f>
        <v>0-10</v>
      </c>
      <c r="Z2" s="34">
        <v>3</v>
      </c>
      <c r="AA2" s="50" t="str">
        <f>IF(Z2&lt;0.5,"0-0.5",IF(Z2&lt;1,"0.5-1.0",IF(Z2&lt;2,"1.0-2.0",IF(Z2&lt;3.5,"2.0-3.5","Over 3.5"))))</f>
        <v>2.0-3.5</v>
      </c>
      <c r="AB2" s="29">
        <v>6</v>
      </c>
      <c r="AC2" s="30" t="str">
        <f>VLOOKUP(AB2,Key!$C$20:$D$29,2,FALSE)</f>
        <v>Businessman</v>
      </c>
      <c r="AD2" s="29">
        <v>4</v>
      </c>
      <c r="AE2" s="30" t="str">
        <f>VLOOKUP(AD2,Key!$E$20:$F$24,2,FALSE)</f>
        <v>750,000-1,000,000</v>
      </c>
      <c r="AF2" s="29">
        <v>2</v>
      </c>
      <c r="AG2" s="34">
        <v>3</v>
      </c>
      <c r="AH2" s="34">
        <v>4</v>
      </c>
      <c r="AI2" s="34">
        <v>1</v>
      </c>
      <c r="AJ2" s="34">
        <v>5</v>
      </c>
      <c r="AK2" s="35" t="s">
        <v>94</v>
      </c>
      <c r="AL2" s="36">
        <v>3000</v>
      </c>
      <c r="AM2" t="str">
        <f>IF(AL2&lt;1000,"0-1000",IF(AL2&lt;2000,"1000-2000",IF(AL2&lt;3000,"2000-3000",IF(AL2&lt;5000,"3000-5000",IF(AL2&lt;10000,"5000-10000","Over 10000")))))</f>
        <v>3000-5000</v>
      </c>
      <c r="AN2"/>
      <c r="AO2"/>
      <c r="AP2"/>
      <c r="AQ2"/>
      <c r="AR2"/>
      <c r="AS2"/>
      <c r="AT2"/>
    </row>
    <row r="3" spans="1:46" x14ac:dyDescent="0.2">
      <c r="A3" s="44">
        <v>43763</v>
      </c>
      <c r="B3" s="31">
        <v>0.69166666666666676</v>
      </c>
      <c r="C3" s="31"/>
      <c r="D3" s="31" t="s">
        <v>97</v>
      </c>
      <c r="E3" s="33">
        <v>2</v>
      </c>
      <c r="F3" s="38" t="str">
        <f>VLOOKUP(E3,Key!$A$17:$B$21,2,FALSE)</f>
        <v>Road Vehicle</v>
      </c>
      <c r="G3" s="32">
        <v>1</v>
      </c>
      <c r="H3" s="39" t="str">
        <f>VLOOKUP(G3,Key!$A$2:$B$13,2,FALSE)</f>
        <v>Car</v>
      </c>
      <c r="I3" s="33" t="s">
        <v>109</v>
      </c>
      <c r="J3" s="33">
        <v>1</v>
      </c>
      <c r="K3" s="40" t="str">
        <f>VLOOKUP(J3,Key!$A$24:$B$29,2,FALSE)</f>
        <v>20-29</v>
      </c>
      <c r="L3" s="33" t="s">
        <v>151</v>
      </c>
      <c r="M3" s="29" t="s">
        <v>151</v>
      </c>
      <c r="N3" s="33" t="s">
        <v>152</v>
      </c>
      <c r="O3" s="35">
        <v>1</v>
      </c>
      <c r="P3" s="30" t="str">
        <f>VLOOKUP(O3,Key!$E$2:$F$9,2,FALSE)</f>
        <v>Home</v>
      </c>
      <c r="Q3" s="33" t="s">
        <v>187</v>
      </c>
      <c r="R3" s="29" t="s">
        <v>167</v>
      </c>
      <c r="S3" s="33" t="s">
        <v>152</v>
      </c>
      <c r="T3" s="29">
        <v>2</v>
      </c>
      <c r="U3" s="30" t="str">
        <f>VLOOKUP(T3,Key!$E$2:$F$9,2,FALSE)</f>
        <v>Work</v>
      </c>
      <c r="V3" s="30" t="str">
        <f t="shared" si="0"/>
        <v>Home-Work</v>
      </c>
      <c r="W3" s="29">
        <v>65000</v>
      </c>
      <c r="X3" s="34">
        <v>75</v>
      </c>
      <c r="Y3" s="50" t="str">
        <f t="shared" ref="Y3:Y66" si="1">IF(X3&lt;10,"0-10",IF(X3&lt;20,"10-20",IF(X3&lt;40,"20-40",IF(X3&lt;70,"40-70",IF(X3&lt;100,"70-100",IF(X3&lt;200,"100-200","Over 200"))))))</f>
        <v>70-100</v>
      </c>
      <c r="Z3" s="34">
        <v>1</v>
      </c>
      <c r="AA3" s="50" t="str">
        <f t="shared" ref="AA3:AA66" si="2">IF(Z3&lt;0.5,"0-0.5",IF(Z3&lt;1,"0.5-1.0",IF(Z3&lt;2,"1.0-2.0",IF(Z3&lt;3.5,"2.0-3.5","Over 3.5"))))</f>
        <v>1.0-2.0</v>
      </c>
      <c r="AB3" s="29">
        <v>5</v>
      </c>
      <c r="AC3" s="30" t="str">
        <f>VLOOKUP(AB3,Key!$C$20:$D$29,2,FALSE)</f>
        <v>Professional</v>
      </c>
      <c r="AD3" s="29">
        <v>3</v>
      </c>
      <c r="AE3" s="30" t="str">
        <f>VLOOKUP(AD3,Key!$E$20:$F$24,2,FALSE)</f>
        <v>500,000-750,000</v>
      </c>
      <c r="AF3" s="29">
        <v>2</v>
      </c>
      <c r="AG3" s="34">
        <v>1</v>
      </c>
      <c r="AH3" s="34">
        <v>1</v>
      </c>
      <c r="AI3" s="34">
        <v>1</v>
      </c>
      <c r="AJ3" s="34">
        <v>2</v>
      </c>
      <c r="AK3" s="35" t="s">
        <v>94</v>
      </c>
      <c r="AL3" s="36">
        <v>2000</v>
      </c>
      <c r="AM3" t="str">
        <f t="shared" ref="AM3:AM66" si="3">IF(AL3&lt;1000,"0-1000",IF(AL3&lt;2000,"1000-2000",IF(AL3&lt;3000,"2000-3000",IF(AL3&lt;5000,"3000-5000",IF(AL3&lt;10000,"5000-10000","Over 10000")))))</f>
        <v>2000-3000</v>
      </c>
    </row>
    <row r="4" spans="1:46" x14ac:dyDescent="0.2">
      <c r="A4" s="44">
        <v>43763</v>
      </c>
      <c r="B4" s="31">
        <v>0.52916666666666667</v>
      </c>
      <c r="C4" s="31"/>
      <c r="D4" s="31" t="s">
        <v>97</v>
      </c>
      <c r="E4" s="33">
        <v>2</v>
      </c>
      <c r="F4" s="38" t="str">
        <f>VLOOKUP(E4,Key!$A$17:$B$21,2,FALSE)</f>
        <v>Road Vehicle</v>
      </c>
      <c r="G4" s="32">
        <v>1</v>
      </c>
      <c r="H4" s="39" t="str">
        <f>VLOOKUP(G4,Key!$A$2:$B$13,2,FALSE)</f>
        <v>Car</v>
      </c>
      <c r="I4" s="33" t="s">
        <v>109</v>
      </c>
      <c r="J4" s="33">
        <v>1</v>
      </c>
      <c r="K4" s="40" t="str">
        <f>VLOOKUP(J4,Key!$A$24:$B$29,2,FALSE)</f>
        <v>20-29</v>
      </c>
      <c r="L4" s="33" t="s">
        <v>151</v>
      </c>
      <c r="M4" s="29" t="s">
        <v>151</v>
      </c>
      <c r="N4" s="33" t="s">
        <v>152</v>
      </c>
      <c r="O4" s="35">
        <v>1</v>
      </c>
      <c r="P4" s="30" t="str">
        <f>VLOOKUP(O4,Key!$E$2:$F$9,2,FALSE)</f>
        <v>Home</v>
      </c>
      <c r="Q4" s="33" t="s">
        <v>158</v>
      </c>
      <c r="R4" s="29" t="s">
        <v>151</v>
      </c>
      <c r="S4" s="33" t="s">
        <v>152</v>
      </c>
      <c r="T4" s="29">
        <v>2</v>
      </c>
      <c r="U4" s="30" t="str">
        <f>VLOOKUP(T4,Key!$E$2:$F$9,2,FALSE)</f>
        <v>Work</v>
      </c>
      <c r="V4" s="30" t="str">
        <f t="shared" si="0"/>
        <v>Home-Work</v>
      </c>
      <c r="W4" s="29">
        <v>50000</v>
      </c>
      <c r="X4" s="34"/>
      <c r="Y4" s="50" t="str">
        <f t="shared" si="1"/>
        <v>0-10</v>
      </c>
      <c r="Z4" s="34">
        <v>2</v>
      </c>
      <c r="AA4" s="50" t="str">
        <f t="shared" si="2"/>
        <v>2.0-3.5</v>
      </c>
      <c r="AB4" s="29">
        <v>2</v>
      </c>
      <c r="AC4" s="30" t="str">
        <f>VLOOKUP(AB4,Key!$C$20:$D$29,2,FALSE)</f>
        <v>Manual Labour</v>
      </c>
      <c r="AD4" s="29">
        <v>1</v>
      </c>
      <c r="AE4" s="30" t="str">
        <f>VLOOKUP(AD4,Key!$E$20:$F$24,2,FALSE)</f>
        <v>&lt;300,000</v>
      </c>
      <c r="AF4" s="29">
        <v>3</v>
      </c>
      <c r="AG4" s="34">
        <v>4</v>
      </c>
      <c r="AH4" s="34">
        <v>5</v>
      </c>
      <c r="AI4" s="34">
        <v>1</v>
      </c>
      <c r="AJ4" s="34">
        <v>2</v>
      </c>
      <c r="AK4" s="35" t="s">
        <v>94</v>
      </c>
      <c r="AL4" s="36">
        <v>5000</v>
      </c>
      <c r="AM4" t="str">
        <f t="shared" si="3"/>
        <v>5000-10000</v>
      </c>
    </row>
    <row r="5" spans="1:46" x14ac:dyDescent="0.2">
      <c r="A5" s="44">
        <v>43763</v>
      </c>
      <c r="B5" s="31">
        <v>0.57916666666666672</v>
      </c>
      <c r="C5" s="31"/>
      <c r="D5" s="31" t="s">
        <v>97</v>
      </c>
      <c r="E5" s="33">
        <v>2</v>
      </c>
      <c r="F5" s="38" t="str">
        <f>VLOOKUP(E5,Key!$A$17:$B$21,2,FALSE)</f>
        <v>Road Vehicle</v>
      </c>
      <c r="G5" s="32">
        <v>1</v>
      </c>
      <c r="H5" s="39" t="str">
        <f>VLOOKUP(G5,Key!$A$2:$B$13,2,FALSE)</f>
        <v>Car</v>
      </c>
      <c r="I5" s="33" t="s">
        <v>109</v>
      </c>
      <c r="J5" s="33">
        <v>1</v>
      </c>
      <c r="K5" s="40" t="str">
        <f>VLOOKUP(J5,Key!$A$24:$B$29,2,FALSE)</f>
        <v>20-29</v>
      </c>
      <c r="L5" s="33" t="s">
        <v>151</v>
      </c>
      <c r="M5" s="29" t="s">
        <v>151</v>
      </c>
      <c r="N5" s="33" t="s">
        <v>152</v>
      </c>
      <c r="O5" s="35">
        <v>1</v>
      </c>
      <c r="P5" s="30" t="str">
        <f>VLOOKUP(O5,Key!$E$2:$F$9,2,FALSE)</f>
        <v>Home</v>
      </c>
      <c r="Q5" s="33" t="s">
        <v>165</v>
      </c>
      <c r="R5" s="29" t="s">
        <v>165</v>
      </c>
      <c r="S5" s="33" t="s">
        <v>152</v>
      </c>
      <c r="T5" s="29">
        <v>2</v>
      </c>
      <c r="U5" s="30" t="str">
        <f>VLOOKUP(T5,Key!$E$2:$F$9,2,FALSE)</f>
        <v>Work</v>
      </c>
      <c r="V5" s="30" t="str">
        <f t="shared" si="0"/>
        <v>Home-Work</v>
      </c>
      <c r="W5" s="29">
        <v>80000</v>
      </c>
      <c r="X5" s="34">
        <v>75</v>
      </c>
      <c r="Y5" s="50" t="str">
        <f t="shared" si="1"/>
        <v>70-100</v>
      </c>
      <c r="Z5" s="34">
        <v>2</v>
      </c>
      <c r="AA5" s="50" t="str">
        <f t="shared" si="2"/>
        <v>2.0-3.5</v>
      </c>
      <c r="AB5" s="29">
        <v>5</v>
      </c>
      <c r="AC5" s="30" t="str">
        <f>VLOOKUP(AB5,Key!$C$20:$D$29,2,FALSE)</f>
        <v>Professional</v>
      </c>
      <c r="AD5" s="29">
        <v>4</v>
      </c>
      <c r="AE5" s="30" t="str">
        <f>VLOOKUP(AD5,Key!$E$20:$F$24,2,FALSE)</f>
        <v>750,000-1,000,000</v>
      </c>
      <c r="AF5" s="29">
        <v>1</v>
      </c>
      <c r="AG5" s="34">
        <v>1</v>
      </c>
      <c r="AH5" s="34">
        <v>1</v>
      </c>
      <c r="AI5" s="34">
        <v>1</v>
      </c>
      <c r="AJ5" s="34">
        <v>1</v>
      </c>
      <c r="AK5" s="35" t="s">
        <v>94</v>
      </c>
      <c r="AL5" s="36"/>
      <c r="AM5" t="str">
        <f t="shared" si="3"/>
        <v>0-1000</v>
      </c>
    </row>
    <row r="6" spans="1:46" x14ac:dyDescent="0.2">
      <c r="A6" s="44">
        <v>43763</v>
      </c>
      <c r="B6" s="31">
        <v>0.33402777777777781</v>
      </c>
      <c r="C6" s="31"/>
      <c r="D6" s="31" t="s">
        <v>97</v>
      </c>
      <c r="E6" s="33">
        <v>2</v>
      </c>
      <c r="F6" s="38" t="str">
        <f>VLOOKUP(E6,Key!$A$17:$B$21,2,FALSE)</f>
        <v>Road Vehicle</v>
      </c>
      <c r="G6" s="32">
        <v>1</v>
      </c>
      <c r="H6" s="39" t="str">
        <f>VLOOKUP(G6,Key!$A$2:$B$13,2,FALSE)</f>
        <v>Car</v>
      </c>
      <c r="I6" s="33" t="s">
        <v>109</v>
      </c>
      <c r="J6" s="33">
        <v>1</v>
      </c>
      <c r="K6" s="40" t="str">
        <f>VLOOKUP(J6,Key!$A$24:$B$29,2,FALSE)</f>
        <v>20-29</v>
      </c>
      <c r="L6" s="33" t="s">
        <v>151</v>
      </c>
      <c r="M6" s="29" t="s">
        <v>151</v>
      </c>
      <c r="N6" s="33" t="s">
        <v>152</v>
      </c>
      <c r="O6" s="35">
        <v>2</v>
      </c>
      <c r="P6" s="30" t="str">
        <f>VLOOKUP(O6,Key!$E$2:$F$9,2,FALSE)</f>
        <v>Work</v>
      </c>
      <c r="Q6" s="33" t="s">
        <v>153</v>
      </c>
      <c r="R6" s="29" t="s">
        <v>153</v>
      </c>
      <c r="S6" s="33" t="s">
        <v>152</v>
      </c>
      <c r="T6" s="29">
        <v>2</v>
      </c>
      <c r="U6" s="30" t="str">
        <f>VLOOKUP(T6,Key!$E$2:$F$9,2,FALSE)</f>
        <v>Work</v>
      </c>
      <c r="V6" s="30" t="str">
        <f t="shared" si="0"/>
        <v>Work-Work</v>
      </c>
      <c r="W6" s="29">
        <v>100000</v>
      </c>
      <c r="X6" s="34">
        <v>175</v>
      </c>
      <c r="Y6" s="50" t="str">
        <f t="shared" si="1"/>
        <v>100-200</v>
      </c>
      <c r="Z6" s="34">
        <v>3</v>
      </c>
      <c r="AA6" s="50" t="str">
        <f t="shared" si="2"/>
        <v>2.0-3.5</v>
      </c>
      <c r="AB6" s="29">
        <v>5</v>
      </c>
      <c r="AC6" s="30" t="str">
        <f>VLOOKUP(AB6,Key!$C$20:$D$29,2,FALSE)</f>
        <v>Professional</v>
      </c>
      <c r="AD6" s="29">
        <v>4</v>
      </c>
      <c r="AE6" s="30" t="str">
        <f>VLOOKUP(AD6,Key!$E$20:$F$24,2,FALSE)</f>
        <v>750,000-1,000,000</v>
      </c>
      <c r="AF6" s="29">
        <v>1</v>
      </c>
      <c r="AG6" s="34">
        <v>3</v>
      </c>
      <c r="AH6" s="34">
        <v>5</v>
      </c>
      <c r="AI6" s="34">
        <v>4</v>
      </c>
      <c r="AJ6" s="34">
        <v>2</v>
      </c>
      <c r="AK6" s="35" t="s">
        <v>94</v>
      </c>
      <c r="AL6" s="36">
        <v>5000</v>
      </c>
      <c r="AM6" t="str">
        <f t="shared" si="3"/>
        <v>5000-10000</v>
      </c>
    </row>
    <row r="7" spans="1:46" x14ac:dyDescent="0.2">
      <c r="A7" s="44">
        <v>43763</v>
      </c>
      <c r="B7" s="31">
        <v>0.75347222222222221</v>
      </c>
      <c r="C7" s="31"/>
      <c r="D7" s="31" t="s">
        <v>150</v>
      </c>
      <c r="E7" s="33">
        <v>2</v>
      </c>
      <c r="F7" s="38" t="str">
        <f>VLOOKUP(E7,Key!$A$17:$B$21,2,FALSE)</f>
        <v>Road Vehicle</v>
      </c>
      <c r="G7" s="32">
        <v>1</v>
      </c>
      <c r="H7" s="39" t="str">
        <f>VLOOKUP(G7,Key!$A$2:$B$13,2,FALSE)</f>
        <v>Car</v>
      </c>
      <c r="I7" s="33" t="s">
        <v>109</v>
      </c>
      <c r="J7" s="33">
        <v>1</v>
      </c>
      <c r="K7" s="40" t="str">
        <f>VLOOKUP(J7,Key!$A$24:$B$29,2,FALSE)</f>
        <v>20-29</v>
      </c>
      <c r="L7" s="33" t="s">
        <v>151</v>
      </c>
      <c r="M7" s="29" t="s">
        <v>151</v>
      </c>
      <c r="N7" s="33" t="s">
        <v>152</v>
      </c>
      <c r="O7" s="35">
        <v>4</v>
      </c>
      <c r="P7" s="30" t="str">
        <f>VLOOKUP(O7,Key!$E$2:$F$9,2,FALSE)</f>
        <v>Commercial</v>
      </c>
      <c r="Q7" s="33" t="s">
        <v>163</v>
      </c>
      <c r="R7" s="29" t="s">
        <v>163</v>
      </c>
      <c r="S7" s="33" t="s">
        <v>152</v>
      </c>
      <c r="T7" s="29">
        <v>1</v>
      </c>
      <c r="U7" s="30" t="str">
        <f>VLOOKUP(T7,Key!$E$2:$F$9,2,FALSE)</f>
        <v>Home</v>
      </c>
      <c r="V7" s="30" t="str">
        <f t="shared" si="0"/>
        <v>Commercial-Home</v>
      </c>
      <c r="W7" s="29">
        <v>350000</v>
      </c>
      <c r="X7" s="34">
        <v>390</v>
      </c>
      <c r="Y7" s="50" t="str">
        <f t="shared" si="1"/>
        <v>Over 200</v>
      </c>
      <c r="Z7" s="34">
        <v>8</v>
      </c>
      <c r="AA7" s="50" t="str">
        <f t="shared" si="2"/>
        <v>Over 3.5</v>
      </c>
      <c r="AB7" s="29">
        <v>5</v>
      </c>
      <c r="AC7" s="30" t="str">
        <f>VLOOKUP(AB7,Key!$C$20:$D$29,2,FALSE)</f>
        <v>Professional</v>
      </c>
      <c r="AD7" s="29">
        <v>3</v>
      </c>
      <c r="AE7" s="30" t="str">
        <f>VLOOKUP(AD7,Key!$E$20:$F$24,2,FALSE)</f>
        <v>500,000-750,000</v>
      </c>
      <c r="AF7" s="29">
        <v>3</v>
      </c>
      <c r="AG7" s="34">
        <v>2</v>
      </c>
      <c r="AH7" s="34">
        <v>1</v>
      </c>
      <c r="AI7" s="34">
        <v>5</v>
      </c>
      <c r="AJ7" s="34">
        <v>4</v>
      </c>
      <c r="AK7" s="35" t="s">
        <v>94</v>
      </c>
      <c r="AL7" s="36">
        <v>7000</v>
      </c>
      <c r="AM7" t="str">
        <f t="shared" si="3"/>
        <v>5000-10000</v>
      </c>
    </row>
    <row r="8" spans="1:46" x14ac:dyDescent="0.2">
      <c r="A8" s="44">
        <v>43763</v>
      </c>
      <c r="B8" s="31">
        <v>0.66180555555555554</v>
      </c>
      <c r="C8" s="31"/>
      <c r="D8" s="31" t="s">
        <v>97</v>
      </c>
      <c r="E8" s="33">
        <v>2</v>
      </c>
      <c r="F8" s="38" t="str">
        <f>VLOOKUP(E8,Key!$A$17:$B$21,2,FALSE)</f>
        <v>Road Vehicle</v>
      </c>
      <c r="G8" s="32">
        <v>1</v>
      </c>
      <c r="H8" s="39" t="str">
        <f>VLOOKUP(G8,Key!$A$2:$B$13,2,FALSE)</f>
        <v>Car</v>
      </c>
      <c r="I8" s="33" t="s">
        <v>109</v>
      </c>
      <c r="J8" s="33">
        <v>1</v>
      </c>
      <c r="K8" s="40" t="str">
        <f>VLOOKUP(J8,Key!$A$24:$B$29,2,FALSE)</f>
        <v>20-29</v>
      </c>
      <c r="L8" s="33" t="s">
        <v>151</v>
      </c>
      <c r="M8" s="29" t="s">
        <v>151</v>
      </c>
      <c r="N8" s="33" t="s">
        <v>152</v>
      </c>
      <c r="O8" s="35">
        <v>4</v>
      </c>
      <c r="P8" s="30" t="str">
        <f>VLOOKUP(O8,Key!$E$2:$F$9,2,FALSE)</f>
        <v>Commercial</v>
      </c>
      <c r="Q8" s="33" t="s">
        <v>166</v>
      </c>
      <c r="R8" s="29" t="s">
        <v>166</v>
      </c>
      <c r="S8" s="33" t="s">
        <v>152</v>
      </c>
      <c r="T8" s="29">
        <v>1</v>
      </c>
      <c r="U8" s="30" t="str">
        <f>VLOOKUP(T8,Key!$E$2:$F$9,2,FALSE)</f>
        <v>Home</v>
      </c>
      <c r="V8" s="30" t="str">
        <f t="shared" si="0"/>
        <v>Commercial-Home</v>
      </c>
      <c r="W8" s="29">
        <v>70000</v>
      </c>
      <c r="X8" s="34">
        <v>115</v>
      </c>
      <c r="Y8" s="50" t="str">
        <f t="shared" si="1"/>
        <v>100-200</v>
      </c>
      <c r="Z8" s="34">
        <v>1</v>
      </c>
      <c r="AA8" s="50" t="str">
        <f t="shared" si="2"/>
        <v>1.0-2.0</v>
      </c>
      <c r="AB8" s="29">
        <v>5</v>
      </c>
      <c r="AC8" s="30" t="str">
        <f>VLOOKUP(AB8,Key!$C$20:$D$29,2,FALSE)</f>
        <v>Professional</v>
      </c>
      <c r="AD8" s="29">
        <v>3</v>
      </c>
      <c r="AE8" s="30" t="str">
        <f>VLOOKUP(AD8,Key!$E$20:$F$24,2,FALSE)</f>
        <v>500,000-750,000</v>
      </c>
      <c r="AF8" s="29">
        <v>1</v>
      </c>
      <c r="AG8" s="34">
        <v>1</v>
      </c>
      <c r="AH8" s="34">
        <v>2</v>
      </c>
      <c r="AI8" s="34">
        <v>1</v>
      </c>
      <c r="AJ8" s="34">
        <v>1</v>
      </c>
      <c r="AK8" s="35" t="s">
        <v>94</v>
      </c>
      <c r="AL8" s="36">
        <v>2000</v>
      </c>
      <c r="AM8" t="str">
        <f t="shared" si="3"/>
        <v>2000-3000</v>
      </c>
    </row>
    <row r="9" spans="1:46" x14ac:dyDescent="0.2">
      <c r="A9" s="44">
        <v>43762</v>
      </c>
      <c r="B9" s="31">
        <v>0.67083333333333339</v>
      </c>
      <c r="C9" s="31"/>
      <c r="D9" s="31" t="s">
        <v>150</v>
      </c>
      <c r="E9" s="33">
        <v>2</v>
      </c>
      <c r="F9" s="38" t="str">
        <f>VLOOKUP(E9,Key!$A$17:$B$21,2,FALSE)</f>
        <v>Road Vehicle</v>
      </c>
      <c r="G9" s="32">
        <v>6</v>
      </c>
      <c r="H9" s="39" t="str">
        <f>VLOOKUP(G9,Key!$A$2:$B$13,2,FALSE)</f>
        <v>Large Bus</v>
      </c>
      <c r="I9" s="33" t="s">
        <v>156</v>
      </c>
      <c r="J9" s="33">
        <v>1</v>
      </c>
      <c r="K9" s="40" t="str">
        <f>VLOOKUP(J9,Key!$A$24:$B$29,2,FALSE)</f>
        <v>20-29</v>
      </c>
      <c r="L9" s="33" t="s">
        <v>151</v>
      </c>
      <c r="M9" s="29" t="s">
        <v>151</v>
      </c>
      <c r="N9" s="33" t="s">
        <v>152</v>
      </c>
      <c r="O9" s="35">
        <v>2</v>
      </c>
      <c r="P9" s="30" t="str">
        <f>VLOOKUP(O9,Key!$E$2:$F$9,2,FALSE)</f>
        <v>Work</v>
      </c>
      <c r="Q9" s="33" t="s">
        <v>153</v>
      </c>
      <c r="R9" s="29" t="s">
        <v>153</v>
      </c>
      <c r="S9" s="33" t="s">
        <v>152</v>
      </c>
      <c r="T9" s="29">
        <v>1</v>
      </c>
      <c r="U9" s="30" t="str">
        <f>VLOOKUP(T9,Key!$E$2:$F$9,2,FALSE)</f>
        <v>Home</v>
      </c>
      <c r="V9" s="30" t="str">
        <f t="shared" si="0"/>
        <v>Work-Home</v>
      </c>
      <c r="W9" s="41">
        <v>13000</v>
      </c>
      <c r="X9" s="34">
        <v>200</v>
      </c>
      <c r="Y9" s="50" t="str">
        <f t="shared" si="1"/>
        <v>Over 200</v>
      </c>
      <c r="Z9" s="34">
        <v>4</v>
      </c>
      <c r="AA9" s="50" t="str">
        <f t="shared" si="2"/>
        <v>Over 3.5</v>
      </c>
      <c r="AB9" s="29">
        <v>4</v>
      </c>
      <c r="AC9" s="30" t="str">
        <f>VLOOKUP(AB9,Key!$C$20:$D$29,2,FALSE)</f>
        <v>Office Worker</v>
      </c>
      <c r="AD9" s="29">
        <v>3</v>
      </c>
      <c r="AE9" s="30" t="str">
        <f>VLOOKUP(AD9,Key!$E$20:$F$24,2,FALSE)</f>
        <v>500,000-750,000</v>
      </c>
      <c r="AF9" s="29">
        <v>1</v>
      </c>
      <c r="AG9" s="34">
        <v>2</v>
      </c>
      <c r="AH9" s="34">
        <v>3</v>
      </c>
      <c r="AI9" s="34">
        <v>4</v>
      </c>
      <c r="AJ9" s="34">
        <v>5</v>
      </c>
      <c r="AK9" s="35" t="s">
        <v>94</v>
      </c>
      <c r="AL9" s="36">
        <v>1000</v>
      </c>
      <c r="AM9" t="str">
        <f t="shared" si="3"/>
        <v>1000-2000</v>
      </c>
    </row>
    <row r="10" spans="1:46" x14ac:dyDescent="0.2">
      <c r="A10" s="44">
        <v>43762</v>
      </c>
      <c r="B10" s="31">
        <v>0.61041666666666672</v>
      </c>
      <c r="C10" s="31"/>
      <c r="D10" s="31" t="s">
        <v>150</v>
      </c>
      <c r="E10" s="33">
        <v>2</v>
      </c>
      <c r="F10" s="38" t="str">
        <f>VLOOKUP(E10,Key!$A$17:$B$21,2,FALSE)</f>
        <v>Road Vehicle</v>
      </c>
      <c r="G10" s="32">
        <v>6</v>
      </c>
      <c r="H10" s="39" t="str">
        <f>VLOOKUP(G10,Key!$A$2:$B$13,2,FALSE)</f>
        <v>Large Bus</v>
      </c>
      <c r="I10" s="33" t="s">
        <v>109</v>
      </c>
      <c r="J10" s="33">
        <v>1</v>
      </c>
      <c r="K10" s="40" t="str">
        <f>VLOOKUP(J10,Key!$A$24:$B$29,2,FALSE)</f>
        <v>20-29</v>
      </c>
      <c r="L10" s="33" t="s">
        <v>151</v>
      </c>
      <c r="M10" s="29" t="s">
        <v>151</v>
      </c>
      <c r="N10" s="33" t="s">
        <v>152</v>
      </c>
      <c r="O10" s="35">
        <v>2</v>
      </c>
      <c r="P10" s="30" t="str">
        <f>VLOOKUP(O10,Key!$E$2:$F$9,2,FALSE)</f>
        <v>Work</v>
      </c>
      <c r="Q10" s="33" t="s">
        <v>153</v>
      </c>
      <c r="R10" s="29" t="s">
        <v>153</v>
      </c>
      <c r="S10" s="33" t="s">
        <v>152</v>
      </c>
      <c r="T10" s="29">
        <v>2</v>
      </c>
      <c r="U10" s="30" t="str">
        <f>VLOOKUP(T10,Key!$E$2:$F$9,2,FALSE)</f>
        <v>Work</v>
      </c>
      <c r="V10" s="30" t="str">
        <f t="shared" si="0"/>
        <v>Work-Work</v>
      </c>
      <c r="W10" s="41">
        <v>13000</v>
      </c>
      <c r="X10" s="34">
        <v>200</v>
      </c>
      <c r="Y10" s="50" t="str">
        <f t="shared" si="1"/>
        <v>Over 200</v>
      </c>
      <c r="Z10" s="34">
        <v>3</v>
      </c>
      <c r="AA10" s="50" t="str">
        <f t="shared" si="2"/>
        <v>2.0-3.5</v>
      </c>
      <c r="AB10" s="29">
        <v>4</v>
      </c>
      <c r="AC10" s="30" t="str">
        <f>VLOOKUP(AB10,Key!$C$20:$D$29,2,FALSE)</f>
        <v>Office Worker</v>
      </c>
      <c r="AD10" s="29">
        <v>4</v>
      </c>
      <c r="AE10" s="30" t="str">
        <f>VLOOKUP(AD10,Key!$E$20:$F$24,2,FALSE)</f>
        <v>750,000-1,000,000</v>
      </c>
      <c r="AF10" s="29">
        <v>1</v>
      </c>
      <c r="AG10" s="34">
        <v>3</v>
      </c>
      <c r="AH10" s="34">
        <v>5</v>
      </c>
      <c r="AI10" s="34">
        <v>4</v>
      </c>
      <c r="AJ10" s="34">
        <v>2</v>
      </c>
      <c r="AK10" s="35" t="s">
        <v>94</v>
      </c>
      <c r="AL10" s="36"/>
      <c r="AM10" t="str">
        <f t="shared" si="3"/>
        <v>0-1000</v>
      </c>
    </row>
    <row r="11" spans="1:46" x14ac:dyDescent="0.2">
      <c r="A11" s="44">
        <v>43762</v>
      </c>
      <c r="B11" s="31">
        <v>0.6</v>
      </c>
      <c r="C11" s="31"/>
      <c r="D11" s="31" t="s">
        <v>150</v>
      </c>
      <c r="E11" s="33">
        <v>2</v>
      </c>
      <c r="F11" s="38" t="str">
        <f>VLOOKUP(E11,Key!$A$17:$B$21,2,FALSE)</f>
        <v>Road Vehicle</v>
      </c>
      <c r="G11" s="32">
        <v>6</v>
      </c>
      <c r="H11" s="39" t="str">
        <f>VLOOKUP(G11,Key!$A$2:$B$13,2,FALSE)</f>
        <v>Large Bus</v>
      </c>
      <c r="I11" s="33" t="s">
        <v>109</v>
      </c>
      <c r="J11" s="33">
        <v>1</v>
      </c>
      <c r="K11" s="40" t="str">
        <f>VLOOKUP(J11,Key!$A$24:$B$29,2,FALSE)</f>
        <v>20-29</v>
      </c>
      <c r="L11" s="33" t="s">
        <v>151</v>
      </c>
      <c r="M11" s="29" t="s">
        <v>151</v>
      </c>
      <c r="N11" s="33" t="s">
        <v>152</v>
      </c>
      <c r="O11" s="35">
        <v>2</v>
      </c>
      <c r="P11" s="30" t="str">
        <f>VLOOKUP(O11,Key!$E$2:$F$9,2,FALSE)</f>
        <v>Work</v>
      </c>
      <c r="Q11" s="33" t="s">
        <v>153</v>
      </c>
      <c r="R11" s="29" t="s">
        <v>153</v>
      </c>
      <c r="S11" s="33" t="s">
        <v>152</v>
      </c>
      <c r="T11" s="29">
        <v>6</v>
      </c>
      <c r="U11" s="30" t="str">
        <f>VLOOKUP(T11,Key!$E$2:$F$9,2,FALSE)</f>
        <v>Leisure/Social</v>
      </c>
      <c r="V11" s="30" t="str">
        <f t="shared" si="0"/>
        <v>Work-Leisure/Social</v>
      </c>
      <c r="W11" s="41">
        <v>13000</v>
      </c>
      <c r="X11" s="34">
        <v>195</v>
      </c>
      <c r="Y11" s="50" t="str">
        <f t="shared" si="1"/>
        <v>100-200</v>
      </c>
      <c r="Z11" s="34">
        <v>3</v>
      </c>
      <c r="AA11" s="50" t="str">
        <f t="shared" si="2"/>
        <v>2.0-3.5</v>
      </c>
      <c r="AB11" s="29">
        <v>1</v>
      </c>
      <c r="AC11" s="30" t="str">
        <f>VLOOKUP(AB11,Key!$C$20:$D$29,2,FALSE)</f>
        <v>Unemployed</v>
      </c>
      <c r="AD11" s="29">
        <v>1</v>
      </c>
      <c r="AE11" s="30" t="str">
        <f>VLOOKUP(AD11,Key!$E$20:$F$24,2,FALSE)</f>
        <v>&lt;300,000</v>
      </c>
      <c r="AF11" s="29">
        <v>2</v>
      </c>
      <c r="AG11" s="34">
        <v>1</v>
      </c>
      <c r="AH11" s="34">
        <v>5</v>
      </c>
      <c r="AI11" s="34">
        <v>4</v>
      </c>
      <c r="AJ11" s="34">
        <v>3</v>
      </c>
      <c r="AK11" s="35" t="s">
        <v>94</v>
      </c>
      <c r="AL11" s="36">
        <v>3000</v>
      </c>
      <c r="AM11" t="str">
        <f t="shared" si="3"/>
        <v>3000-5000</v>
      </c>
    </row>
    <row r="12" spans="1:46" x14ac:dyDescent="0.2">
      <c r="A12" s="44">
        <v>43762</v>
      </c>
      <c r="B12" s="31">
        <v>0.59027777777777779</v>
      </c>
      <c r="C12" s="31"/>
      <c r="D12" s="31" t="s">
        <v>150</v>
      </c>
      <c r="E12" s="33">
        <v>2</v>
      </c>
      <c r="F12" s="38" t="str">
        <f>VLOOKUP(E12,Key!$A$17:$B$21,2,FALSE)</f>
        <v>Road Vehicle</v>
      </c>
      <c r="G12" s="32">
        <v>6</v>
      </c>
      <c r="H12" s="39" t="str">
        <f>VLOOKUP(G12,Key!$A$2:$B$13,2,FALSE)</f>
        <v>Large Bus</v>
      </c>
      <c r="I12" s="33" t="s">
        <v>109</v>
      </c>
      <c r="J12" s="33">
        <v>1</v>
      </c>
      <c r="K12" s="40" t="str">
        <f>VLOOKUP(J12,Key!$A$24:$B$29,2,FALSE)</f>
        <v>20-29</v>
      </c>
      <c r="L12" s="33" t="s">
        <v>151</v>
      </c>
      <c r="M12" s="29" t="s">
        <v>151</v>
      </c>
      <c r="N12" s="33" t="s">
        <v>152</v>
      </c>
      <c r="O12" s="35">
        <v>3</v>
      </c>
      <c r="P12" s="30" t="str">
        <f>VLOOKUP(O12,Key!$E$2:$F$9,2,FALSE)</f>
        <v>Study</v>
      </c>
      <c r="Q12" s="33" t="s">
        <v>153</v>
      </c>
      <c r="R12" s="29" t="s">
        <v>153</v>
      </c>
      <c r="S12" s="33" t="s">
        <v>152</v>
      </c>
      <c r="T12" s="29">
        <v>5</v>
      </c>
      <c r="U12" s="30" t="str">
        <f>VLOOKUP(T12,Key!$E$2:$F$9,2,FALSE)</f>
        <v>Tourism</v>
      </c>
      <c r="V12" s="30" t="str">
        <f t="shared" si="0"/>
        <v>Study-Tourism</v>
      </c>
      <c r="W12" s="29">
        <v>13000</v>
      </c>
      <c r="X12" s="34">
        <v>200</v>
      </c>
      <c r="Y12" s="50" t="str">
        <f t="shared" si="1"/>
        <v>Over 200</v>
      </c>
      <c r="Z12" s="34">
        <v>4</v>
      </c>
      <c r="AA12" s="50" t="str">
        <f t="shared" si="2"/>
        <v>Over 3.5</v>
      </c>
      <c r="AB12" s="29">
        <v>5</v>
      </c>
      <c r="AC12" s="30" t="str">
        <f>VLOOKUP(AB12,Key!$C$20:$D$29,2,FALSE)</f>
        <v>Professional</v>
      </c>
      <c r="AD12" s="29">
        <v>4</v>
      </c>
      <c r="AE12" s="30" t="str">
        <f>VLOOKUP(AD12,Key!$E$20:$F$24,2,FALSE)</f>
        <v>750,000-1,000,000</v>
      </c>
      <c r="AF12" s="29">
        <v>2</v>
      </c>
      <c r="AG12" s="34">
        <v>3</v>
      </c>
      <c r="AH12" s="34">
        <v>5</v>
      </c>
      <c r="AI12" s="34">
        <v>4</v>
      </c>
      <c r="AJ12" s="34">
        <v>7</v>
      </c>
      <c r="AK12" s="35" t="s">
        <v>94</v>
      </c>
      <c r="AL12" s="36">
        <v>2000</v>
      </c>
      <c r="AM12" t="str">
        <f t="shared" si="3"/>
        <v>2000-3000</v>
      </c>
    </row>
    <row r="13" spans="1:46" x14ac:dyDescent="0.2">
      <c r="A13" s="44">
        <v>43763</v>
      </c>
      <c r="B13" s="31">
        <v>0.33611111111111108</v>
      </c>
      <c r="C13" s="31"/>
      <c r="D13" s="31" t="s">
        <v>150</v>
      </c>
      <c r="E13" s="33">
        <v>2</v>
      </c>
      <c r="F13" s="38" t="str">
        <f>VLOOKUP(E13,Key!$A$17:$B$21,2,FALSE)</f>
        <v>Road Vehicle</v>
      </c>
      <c r="G13" s="32">
        <v>6</v>
      </c>
      <c r="H13" s="39" t="str">
        <f>VLOOKUP(G13,Key!$A$2:$B$13,2,FALSE)</f>
        <v>Large Bus</v>
      </c>
      <c r="I13" s="33" t="s">
        <v>109</v>
      </c>
      <c r="J13" s="33">
        <v>1</v>
      </c>
      <c r="K13" s="40" t="str">
        <f>VLOOKUP(J13,Key!$A$24:$B$29,2,FALSE)</f>
        <v>20-29</v>
      </c>
      <c r="L13" s="33" t="s">
        <v>151</v>
      </c>
      <c r="M13" s="29" t="s">
        <v>151</v>
      </c>
      <c r="N13" s="33" t="s">
        <v>152</v>
      </c>
      <c r="O13" s="35">
        <v>6</v>
      </c>
      <c r="P13" s="30" t="str">
        <f>VLOOKUP(O13,Key!$E$2:$F$9,2,FALSE)</f>
        <v>Leisure/Social</v>
      </c>
      <c r="Q13" s="33" t="s">
        <v>167</v>
      </c>
      <c r="R13" s="29" t="s">
        <v>177</v>
      </c>
      <c r="S13" s="33" t="s">
        <v>152</v>
      </c>
      <c r="T13" s="29">
        <v>6</v>
      </c>
      <c r="U13" s="30" t="str">
        <f>VLOOKUP(T13,Key!$E$2:$F$9,2,FALSE)</f>
        <v>Leisure/Social</v>
      </c>
      <c r="V13" s="30" t="str">
        <f t="shared" si="0"/>
        <v>Leisure/Social-Leisure/Social</v>
      </c>
      <c r="W13" s="29">
        <v>10000</v>
      </c>
      <c r="X13" s="34">
        <v>130</v>
      </c>
      <c r="Y13" s="50" t="str">
        <f t="shared" si="1"/>
        <v>100-200</v>
      </c>
      <c r="Z13" s="34">
        <v>2</v>
      </c>
      <c r="AA13" s="50" t="str">
        <f t="shared" si="2"/>
        <v>2.0-3.5</v>
      </c>
      <c r="AB13" s="29">
        <v>3</v>
      </c>
      <c r="AC13" s="30" t="str">
        <f>VLOOKUP(AB13,Key!$C$20:$D$29,2,FALSE)</f>
        <v>Artisan/Domestic</v>
      </c>
      <c r="AD13" s="29">
        <v>2</v>
      </c>
      <c r="AE13" s="30" t="str">
        <f>VLOOKUP(AD13,Key!$E$20:$F$24,2,FALSE)</f>
        <v>300,000-500,000</v>
      </c>
      <c r="AF13" s="29">
        <v>1</v>
      </c>
      <c r="AG13" s="34">
        <v>1</v>
      </c>
      <c r="AH13" s="34">
        <v>1</v>
      </c>
      <c r="AI13" s="34">
        <v>1</v>
      </c>
      <c r="AJ13" s="34">
        <v>1</v>
      </c>
      <c r="AK13" s="35" t="s">
        <v>94</v>
      </c>
      <c r="AL13" s="36"/>
      <c r="AM13" t="str">
        <f t="shared" si="3"/>
        <v>0-1000</v>
      </c>
    </row>
    <row r="14" spans="1:46" x14ac:dyDescent="0.2">
      <c r="A14" s="44">
        <v>43763</v>
      </c>
      <c r="B14" s="31">
        <v>0.33611111111111108</v>
      </c>
      <c r="C14" s="31"/>
      <c r="D14" s="31" t="s">
        <v>150</v>
      </c>
      <c r="E14" s="33">
        <v>2</v>
      </c>
      <c r="F14" s="38" t="str">
        <f>VLOOKUP(E14,Key!$A$17:$B$21,2,FALSE)</f>
        <v>Road Vehicle</v>
      </c>
      <c r="G14" s="32">
        <v>6</v>
      </c>
      <c r="H14" s="39" t="str">
        <f>VLOOKUP(G14,Key!$A$2:$B$13,2,FALSE)</f>
        <v>Large Bus</v>
      </c>
      <c r="I14" s="33" t="s">
        <v>109</v>
      </c>
      <c r="J14" s="33">
        <v>1</v>
      </c>
      <c r="K14" s="40" t="str">
        <f>VLOOKUP(J14,Key!$A$24:$B$29,2,FALSE)</f>
        <v>20-29</v>
      </c>
      <c r="L14" s="33" t="s">
        <v>151</v>
      </c>
      <c r="M14" s="29" t="s">
        <v>151</v>
      </c>
      <c r="N14" s="33" t="s">
        <v>152</v>
      </c>
      <c r="O14" s="35">
        <v>1</v>
      </c>
      <c r="P14" s="30" t="str">
        <f>VLOOKUP(O14,Key!$E$2:$F$9,2,FALSE)</f>
        <v>Home</v>
      </c>
      <c r="Q14" s="33" t="s">
        <v>167</v>
      </c>
      <c r="R14" s="29" t="s">
        <v>177</v>
      </c>
      <c r="S14" s="33" t="s">
        <v>152</v>
      </c>
      <c r="T14" s="29">
        <v>6</v>
      </c>
      <c r="U14" s="30" t="str">
        <f>VLOOKUP(T14,Key!$E$2:$F$9,2,FALSE)</f>
        <v>Leisure/Social</v>
      </c>
      <c r="V14" s="30" t="str">
        <f t="shared" si="0"/>
        <v>Home-Leisure/Social</v>
      </c>
      <c r="W14" s="29">
        <v>10000</v>
      </c>
      <c r="X14" s="34">
        <v>130</v>
      </c>
      <c r="Y14" s="50" t="str">
        <f t="shared" si="1"/>
        <v>100-200</v>
      </c>
      <c r="Z14" s="34">
        <v>2</v>
      </c>
      <c r="AA14" s="50" t="str">
        <f t="shared" si="2"/>
        <v>2.0-3.5</v>
      </c>
      <c r="AB14" s="29">
        <v>3</v>
      </c>
      <c r="AC14" s="30" t="str">
        <f>VLOOKUP(AB14,Key!$C$20:$D$29,2,FALSE)</f>
        <v>Artisan/Domestic</v>
      </c>
      <c r="AD14" s="29">
        <v>2</v>
      </c>
      <c r="AE14" s="30" t="str">
        <f>VLOOKUP(AD14,Key!$E$20:$F$24,2,FALSE)</f>
        <v>300,000-500,000</v>
      </c>
      <c r="AF14" s="29">
        <v>1</v>
      </c>
      <c r="AG14" s="34">
        <v>1</v>
      </c>
      <c r="AH14" s="34">
        <v>1</v>
      </c>
      <c r="AI14" s="34">
        <v>1</v>
      </c>
      <c r="AJ14" s="34">
        <v>1</v>
      </c>
      <c r="AK14" s="35" t="s">
        <v>94</v>
      </c>
      <c r="AL14" s="36">
        <v>1000</v>
      </c>
      <c r="AM14" t="str">
        <f t="shared" si="3"/>
        <v>1000-2000</v>
      </c>
    </row>
    <row r="15" spans="1:46" x14ac:dyDescent="0.2">
      <c r="A15" s="44">
        <v>43763</v>
      </c>
      <c r="B15" s="31">
        <v>0.71875</v>
      </c>
      <c r="C15" s="31"/>
      <c r="D15" s="31" t="s">
        <v>97</v>
      </c>
      <c r="E15" s="33">
        <v>2</v>
      </c>
      <c r="F15" s="38" t="str">
        <f>VLOOKUP(E15,Key!$A$17:$B$21,2,FALSE)</f>
        <v>Road Vehicle</v>
      </c>
      <c r="G15" s="32">
        <v>6</v>
      </c>
      <c r="H15" s="39" t="str">
        <f>VLOOKUP(G15,Key!$A$2:$B$13,2,FALSE)</f>
        <v>Large Bus</v>
      </c>
      <c r="I15" s="33" t="s">
        <v>109</v>
      </c>
      <c r="J15" s="33">
        <v>1</v>
      </c>
      <c r="K15" s="40" t="str">
        <f>VLOOKUP(J15,Key!$A$24:$B$29,2,FALSE)</f>
        <v>20-29</v>
      </c>
      <c r="L15" s="33" t="s">
        <v>151</v>
      </c>
      <c r="M15" s="29" t="s">
        <v>151</v>
      </c>
      <c r="N15" s="33" t="s">
        <v>152</v>
      </c>
      <c r="O15" s="35">
        <v>2</v>
      </c>
      <c r="P15" s="30" t="str">
        <f>VLOOKUP(O15,Key!$E$2:$F$9,2,FALSE)</f>
        <v>Work</v>
      </c>
      <c r="Q15" s="33" t="s">
        <v>157</v>
      </c>
      <c r="R15" s="29" t="s">
        <v>157</v>
      </c>
      <c r="S15" s="33" t="s">
        <v>152</v>
      </c>
      <c r="T15" s="29">
        <v>1</v>
      </c>
      <c r="U15" s="30" t="str">
        <f>VLOOKUP(T15,Key!$E$2:$F$9,2,FALSE)</f>
        <v>Home</v>
      </c>
      <c r="V15" s="30" t="str">
        <f t="shared" si="0"/>
        <v>Work-Home</v>
      </c>
      <c r="W15" s="29">
        <v>600000</v>
      </c>
      <c r="X15" s="34">
        <v>80</v>
      </c>
      <c r="Y15" s="50" t="str">
        <f t="shared" si="1"/>
        <v>70-100</v>
      </c>
      <c r="Z15" s="34">
        <v>3</v>
      </c>
      <c r="AA15" s="50" t="str">
        <f t="shared" si="2"/>
        <v>2.0-3.5</v>
      </c>
      <c r="AB15" s="29">
        <v>10</v>
      </c>
      <c r="AC15" s="30" t="str">
        <f>VLOOKUP(AB15,Key!$C$20:$D$29,2,FALSE)</f>
        <v>Other</v>
      </c>
      <c r="AD15" s="29">
        <v>4</v>
      </c>
      <c r="AE15" s="30" t="str">
        <f>VLOOKUP(AD15,Key!$E$20:$F$24,2,FALSE)</f>
        <v>750,000-1,000,000</v>
      </c>
      <c r="AF15" s="29">
        <v>1</v>
      </c>
      <c r="AG15" s="34">
        <v>2</v>
      </c>
      <c r="AH15" s="34">
        <v>3</v>
      </c>
      <c r="AI15" s="34">
        <v>4</v>
      </c>
      <c r="AJ15" s="34">
        <v>5</v>
      </c>
      <c r="AK15" s="35" t="s">
        <v>94</v>
      </c>
      <c r="AL15" s="36">
        <v>3000</v>
      </c>
      <c r="AM15" t="str">
        <f t="shared" si="3"/>
        <v>3000-5000</v>
      </c>
    </row>
    <row r="16" spans="1:46" x14ac:dyDescent="0.2">
      <c r="A16" s="44">
        <v>43763</v>
      </c>
      <c r="B16" s="31">
        <v>0.65</v>
      </c>
      <c r="C16" s="31"/>
      <c r="D16" s="31" t="s">
        <v>150</v>
      </c>
      <c r="E16" s="33">
        <v>2</v>
      </c>
      <c r="F16" s="38" t="str">
        <f>VLOOKUP(E16,Key!$A$17:$B$21,2,FALSE)</f>
        <v>Road Vehicle</v>
      </c>
      <c r="G16" s="32">
        <v>6</v>
      </c>
      <c r="H16" s="39" t="str">
        <f>VLOOKUP(G16,Key!$A$2:$B$13,2,FALSE)</f>
        <v>Large Bus</v>
      </c>
      <c r="I16" s="33" t="s">
        <v>109</v>
      </c>
      <c r="J16" s="33">
        <v>1</v>
      </c>
      <c r="K16" s="40" t="str">
        <f>VLOOKUP(J16,Key!$A$24:$B$29,2,FALSE)</f>
        <v>20-29</v>
      </c>
      <c r="L16" s="33" t="s">
        <v>151</v>
      </c>
      <c r="M16" s="29" t="s">
        <v>151</v>
      </c>
      <c r="N16" s="33" t="s">
        <v>152</v>
      </c>
      <c r="O16" s="35">
        <v>3</v>
      </c>
      <c r="P16" s="30" t="str">
        <f>VLOOKUP(O16,Key!$E$2:$F$9,2,FALSE)</f>
        <v>Study</v>
      </c>
      <c r="Q16" s="33" t="s">
        <v>153</v>
      </c>
      <c r="R16" s="29" t="s">
        <v>153</v>
      </c>
      <c r="S16" s="33" t="s">
        <v>152</v>
      </c>
      <c r="T16" s="29">
        <v>1</v>
      </c>
      <c r="U16" s="30" t="str">
        <f>VLOOKUP(T16,Key!$E$2:$F$9,2,FALSE)</f>
        <v>Home</v>
      </c>
      <c r="V16" s="30" t="str">
        <f t="shared" si="0"/>
        <v>Study-Home</v>
      </c>
      <c r="W16" s="29">
        <v>130000</v>
      </c>
      <c r="X16" s="34">
        <v>190</v>
      </c>
      <c r="Y16" s="50" t="str">
        <f t="shared" si="1"/>
        <v>100-200</v>
      </c>
      <c r="Z16" s="34">
        <v>4</v>
      </c>
      <c r="AA16" s="50" t="str">
        <f t="shared" si="2"/>
        <v>Over 3.5</v>
      </c>
      <c r="AB16" s="29">
        <v>4</v>
      </c>
      <c r="AC16" s="30" t="str">
        <f>VLOOKUP(AB16,Key!$C$20:$D$29,2,FALSE)</f>
        <v>Office Worker</v>
      </c>
      <c r="AD16" s="29">
        <v>4</v>
      </c>
      <c r="AE16" s="30" t="str">
        <f>VLOOKUP(AD16,Key!$E$20:$F$24,2,FALSE)</f>
        <v>750,000-1,000,000</v>
      </c>
      <c r="AF16" s="29">
        <v>5</v>
      </c>
      <c r="AG16" s="34">
        <v>4</v>
      </c>
      <c r="AH16" s="34">
        <v>3</v>
      </c>
      <c r="AI16" s="34">
        <v>2</v>
      </c>
      <c r="AJ16" s="34">
        <v>1</v>
      </c>
      <c r="AK16" s="35" t="s">
        <v>94</v>
      </c>
      <c r="AL16" s="36"/>
      <c r="AM16" t="str">
        <f t="shared" si="3"/>
        <v>0-1000</v>
      </c>
    </row>
    <row r="17" spans="1:39" x14ac:dyDescent="0.2">
      <c r="A17" s="44">
        <v>43763</v>
      </c>
      <c r="B17" s="31">
        <v>0.64930555555555558</v>
      </c>
      <c r="C17" s="31"/>
      <c r="D17" s="31" t="s">
        <v>150</v>
      </c>
      <c r="E17" s="33">
        <v>2</v>
      </c>
      <c r="F17" s="38" t="str">
        <f>VLOOKUP(E17,Key!$A$17:$B$21,2,FALSE)</f>
        <v>Road Vehicle</v>
      </c>
      <c r="G17" s="32">
        <v>6</v>
      </c>
      <c r="H17" s="39" t="str">
        <f>VLOOKUP(G17,Key!$A$2:$B$13,2,FALSE)</f>
        <v>Large Bus</v>
      </c>
      <c r="I17" s="33" t="s">
        <v>109</v>
      </c>
      <c r="J17" s="33">
        <v>1</v>
      </c>
      <c r="K17" s="40" t="str">
        <f>VLOOKUP(J17,Key!$A$24:$B$29,2,FALSE)</f>
        <v>20-29</v>
      </c>
      <c r="L17" s="33" t="s">
        <v>151</v>
      </c>
      <c r="M17" s="29" t="s">
        <v>151</v>
      </c>
      <c r="N17" s="33" t="s">
        <v>152</v>
      </c>
      <c r="O17" s="35">
        <v>1</v>
      </c>
      <c r="P17" s="30" t="str">
        <f>VLOOKUP(O17,Key!$E$2:$F$9,2,FALSE)</f>
        <v>Home</v>
      </c>
      <c r="Q17" s="33" t="s">
        <v>153</v>
      </c>
      <c r="R17" s="29" t="s">
        <v>153</v>
      </c>
      <c r="S17" s="33" t="s">
        <v>152</v>
      </c>
      <c r="T17" s="29">
        <v>2</v>
      </c>
      <c r="U17" s="30" t="str">
        <f>VLOOKUP(T17,Key!$E$2:$F$9,2,FALSE)</f>
        <v>Work</v>
      </c>
      <c r="V17" s="30" t="str">
        <f t="shared" si="0"/>
        <v>Home-Work</v>
      </c>
      <c r="W17" s="29">
        <v>130000</v>
      </c>
      <c r="X17" s="34">
        <v>190</v>
      </c>
      <c r="Y17" s="50" t="str">
        <f t="shared" si="1"/>
        <v>100-200</v>
      </c>
      <c r="Z17" s="34">
        <v>4</v>
      </c>
      <c r="AA17" s="50" t="str">
        <f t="shared" si="2"/>
        <v>Over 3.5</v>
      </c>
      <c r="AB17" s="29">
        <v>10</v>
      </c>
      <c r="AC17" s="30" t="str">
        <f>VLOOKUP(AB17,Key!$C$20:$D$29,2,FALSE)</f>
        <v>Other</v>
      </c>
      <c r="AD17" s="29">
        <v>3</v>
      </c>
      <c r="AE17" s="30" t="str">
        <f>VLOOKUP(AD17,Key!$E$20:$F$24,2,FALSE)</f>
        <v>500,000-750,000</v>
      </c>
      <c r="AF17" s="29">
        <v>5</v>
      </c>
      <c r="AG17" s="34">
        <v>4</v>
      </c>
      <c r="AH17" s="34">
        <v>3</v>
      </c>
      <c r="AI17" s="34">
        <v>2</v>
      </c>
      <c r="AJ17" s="34">
        <v>1</v>
      </c>
      <c r="AK17" s="35" t="s">
        <v>94</v>
      </c>
      <c r="AL17" s="36">
        <v>5000</v>
      </c>
      <c r="AM17" t="str">
        <f t="shared" si="3"/>
        <v>5000-10000</v>
      </c>
    </row>
    <row r="18" spans="1:39" x14ac:dyDescent="0.2">
      <c r="A18" s="44">
        <v>43763</v>
      </c>
      <c r="B18" s="31">
        <v>0.60902777777777783</v>
      </c>
      <c r="C18" s="31"/>
      <c r="D18" s="31" t="s">
        <v>150</v>
      </c>
      <c r="E18" s="33">
        <v>2</v>
      </c>
      <c r="F18" s="38" t="str">
        <f>VLOOKUP(E18,Key!$A$17:$B$21,2,FALSE)</f>
        <v>Road Vehicle</v>
      </c>
      <c r="G18" s="32">
        <v>6</v>
      </c>
      <c r="H18" s="39" t="str">
        <f>VLOOKUP(G18,Key!$A$2:$B$13,2,FALSE)</f>
        <v>Large Bus</v>
      </c>
      <c r="I18" s="33" t="s">
        <v>109</v>
      </c>
      <c r="J18" s="33">
        <v>1</v>
      </c>
      <c r="K18" s="40" t="str">
        <f>VLOOKUP(J18,Key!$A$24:$B$29,2,FALSE)</f>
        <v>20-29</v>
      </c>
      <c r="L18" s="33" t="s">
        <v>151</v>
      </c>
      <c r="M18" s="29" t="s">
        <v>151</v>
      </c>
      <c r="N18" s="33" t="s">
        <v>152</v>
      </c>
      <c r="O18" s="35">
        <v>2</v>
      </c>
      <c r="P18" s="30" t="str">
        <f>VLOOKUP(O18,Key!$E$2:$F$9,2,FALSE)</f>
        <v>Work</v>
      </c>
      <c r="Q18" s="33" t="s">
        <v>153</v>
      </c>
      <c r="R18" s="29" t="s">
        <v>153</v>
      </c>
      <c r="S18" s="33" t="s">
        <v>152</v>
      </c>
      <c r="T18" s="29">
        <v>1</v>
      </c>
      <c r="U18" s="30" t="str">
        <f>VLOOKUP(T18,Key!$E$2:$F$9,2,FALSE)</f>
        <v>Home</v>
      </c>
      <c r="V18" s="30" t="str">
        <f t="shared" si="0"/>
        <v>Work-Home</v>
      </c>
      <c r="W18" s="29">
        <v>130000</v>
      </c>
      <c r="X18" s="34">
        <v>194</v>
      </c>
      <c r="Y18" s="50" t="str">
        <f t="shared" si="1"/>
        <v>100-200</v>
      </c>
      <c r="Z18" s="34">
        <v>4</v>
      </c>
      <c r="AA18" s="50" t="str">
        <f t="shared" si="2"/>
        <v>Over 3.5</v>
      </c>
      <c r="AB18" s="29">
        <v>6</v>
      </c>
      <c r="AC18" s="30" t="str">
        <f>VLOOKUP(AB18,Key!$C$20:$D$29,2,FALSE)</f>
        <v>Businessman</v>
      </c>
      <c r="AD18" s="29">
        <v>3</v>
      </c>
      <c r="AE18" s="30" t="str">
        <f>VLOOKUP(AD18,Key!$E$20:$F$24,2,FALSE)</f>
        <v>500,000-750,000</v>
      </c>
      <c r="AF18" s="29">
        <v>5</v>
      </c>
      <c r="AG18" s="34">
        <v>1</v>
      </c>
      <c r="AH18" s="34">
        <v>2</v>
      </c>
      <c r="AI18" s="34">
        <v>4</v>
      </c>
      <c r="AJ18" s="34">
        <v>3</v>
      </c>
      <c r="AK18" s="35" t="s">
        <v>94</v>
      </c>
      <c r="AL18" s="36">
        <v>1000</v>
      </c>
      <c r="AM18" t="str">
        <f t="shared" si="3"/>
        <v>1000-2000</v>
      </c>
    </row>
    <row r="19" spans="1:39" x14ac:dyDescent="0.2">
      <c r="A19" s="44">
        <v>43763</v>
      </c>
      <c r="B19" s="31">
        <v>0.56111111111111112</v>
      </c>
      <c r="C19" s="31"/>
      <c r="D19" s="31" t="s">
        <v>150</v>
      </c>
      <c r="E19" s="33">
        <v>2</v>
      </c>
      <c r="F19" s="38" t="str">
        <f>VLOOKUP(E19,Key!$A$17:$B$21,2,FALSE)</f>
        <v>Road Vehicle</v>
      </c>
      <c r="G19" s="32">
        <v>6</v>
      </c>
      <c r="H19" s="39" t="str">
        <f>VLOOKUP(G19,Key!$A$2:$B$13,2,FALSE)</f>
        <v>Large Bus</v>
      </c>
      <c r="I19" s="33" t="s">
        <v>109</v>
      </c>
      <c r="J19" s="33">
        <v>1</v>
      </c>
      <c r="K19" s="40" t="str">
        <f>VLOOKUP(J19,Key!$A$24:$B$29,2,FALSE)</f>
        <v>20-29</v>
      </c>
      <c r="L19" s="33" t="s">
        <v>151</v>
      </c>
      <c r="M19" s="29" t="s">
        <v>151</v>
      </c>
      <c r="N19" s="33" t="s">
        <v>152</v>
      </c>
      <c r="O19" s="35">
        <v>4</v>
      </c>
      <c r="P19" s="30" t="str">
        <f>VLOOKUP(O19,Key!$E$2:$F$9,2,FALSE)</f>
        <v>Commercial</v>
      </c>
      <c r="Q19" s="33" t="s">
        <v>153</v>
      </c>
      <c r="R19" s="29" t="s">
        <v>153</v>
      </c>
      <c r="S19" s="33" t="s">
        <v>152</v>
      </c>
      <c r="T19" s="29">
        <v>1</v>
      </c>
      <c r="U19" s="30" t="str">
        <f>VLOOKUP(T19,Key!$E$2:$F$9,2,FALSE)</f>
        <v>Home</v>
      </c>
      <c r="V19" s="30" t="str">
        <f t="shared" si="0"/>
        <v>Commercial-Home</v>
      </c>
      <c r="W19" s="29">
        <v>130000</v>
      </c>
      <c r="X19" s="34">
        <v>200</v>
      </c>
      <c r="Y19" s="50" t="str">
        <f t="shared" si="1"/>
        <v>Over 200</v>
      </c>
      <c r="Z19" s="34">
        <v>4</v>
      </c>
      <c r="AA19" s="50" t="str">
        <f t="shared" si="2"/>
        <v>Over 3.5</v>
      </c>
      <c r="AB19" s="29">
        <v>6</v>
      </c>
      <c r="AC19" s="30" t="str">
        <f>VLOOKUP(AB19,Key!$C$20:$D$29,2,FALSE)</f>
        <v>Businessman</v>
      </c>
      <c r="AD19" s="29">
        <v>2</v>
      </c>
      <c r="AE19" s="30" t="str">
        <f>VLOOKUP(AD19,Key!$E$20:$F$24,2,FALSE)</f>
        <v>300,000-500,000</v>
      </c>
      <c r="AF19" s="29">
        <v>1</v>
      </c>
      <c r="AG19" s="34">
        <v>2</v>
      </c>
      <c r="AH19" s="34">
        <v>5</v>
      </c>
      <c r="AI19" s="34">
        <v>4</v>
      </c>
      <c r="AJ19" s="34">
        <v>3</v>
      </c>
      <c r="AK19" s="35" t="s">
        <v>94</v>
      </c>
      <c r="AL19" s="36"/>
      <c r="AM19" t="str">
        <f t="shared" si="3"/>
        <v>0-1000</v>
      </c>
    </row>
    <row r="20" spans="1:39" x14ac:dyDescent="0.2">
      <c r="A20" s="44">
        <v>43763</v>
      </c>
      <c r="B20" s="31">
        <v>0.53472222222222221</v>
      </c>
      <c r="C20" s="31"/>
      <c r="D20" s="31" t="s">
        <v>150</v>
      </c>
      <c r="E20" s="33">
        <v>2</v>
      </c>
      <c r="F20" s="38" t="str">
        <f>VLOOKUP(E20,Key!$A$17:$B$21,2,FALSE)</f>
        <v>Road Vehicle</v>
      </c>
      <c r="G20" s="32">
        <v>6</v>
      </c>
      <c r="H20" s="39" t="str">
        <f>VLOOKUP(G20,Key!$A$2:$B$13,2,FALSE)</f>
        <v>Large Bus</v>
      </c>
      <c r="I20" s="33" t="s">
        <v>109</v>
      </c>
      <c r="J20" s="33">
        <v>1</v>
      </c>
      <c r="K20" s="40" t="str">
        <f>VLOOKUP(J20,Key!$A$24:$B$29,2,FALSE)</f>
        <v>20-29</v>
      </c>
      <c r="L20" s="33" t="s">
        <v>151</v>
      </c>
      <c r="M20" s="29" t="s">
        <v>151</v>
      </c>
      <c r="N20" s="33" t="s">
        <v>152</v>
      </c>
      <c r="O20" s="35">
        <v>6</v>
      </c>
      <c r="P20" s="30" t="str">
        <f>VLOOKUP(O20,Key!$E$2:$F$9,2,FALSE)</f>
        <v>Leisure/Social</v>
      </c>
      <c r="Q20" s="33" t="s">
        <v>153</v>
      </c>
      <c r="R20" s="29" t="s">
        <v>153</v>
      </c>
      <c r="S20" s="33" t="s">
        <v>152</v>
      </c>
      <c r="T20" s="29">
        <v>1</v>
      </c>
      <c r="U20" s="30" t="str">
        <f>VLOOKUP(T20,Key!$E$2:$F$9,2,FALSE)</f>
        <v>Home</v>
      </c>
      <c r="V20" s="30" t="str">
        <f t="shared" si="0"/>
        <v>Leisure/Social-Home</v>
      </c>
      <c r="W20" s="29">
        <v>130000</v>
      </c>
      <c r="X20" s="34">
        <v>220</v>
      </c>
      <c r="Y20" s="50" t="str">
        <f t="shared" si="1"/>
        <v>Over 200</v>
      </c>
      <c r="Z20" s="34">
        <v>5</v>
      </c>
      <c r="AA20" s="50" t="str">
        <f t="shared" si="2"/>
        <v>Over 3.5</v>
      </c>
      <c r="AB20" s="29">
        <v>3</v>
      </c>
      <c r="AC20" s="30" t="str">
        <f>VLOOKUP(AB20,Key!$C$20:$D$29,2,FALSE)</f>
        <v>Artisan/Domestic</v>
      </c>
      <c r="AD20" s="29">
        <v>3</v>
      </c>
      <c r="AE20" s="30" t="str">
        <f>VLOOKUP(AD20,Key!$E$20:$F$24,2,FALSE)</f>
        <v>500,000-750,000</v>
      </c>
      <c r="AF20" s="29">
        <v>5</v>
      </c>
      <c r="AG20" s="34">
        <v>2</v>
      </c>
      <c r="AH20" s="34">
        <v>1</v>
      </c>
      <c r="AI20" s="34">
        <v>4</v>
      </c>
      <c r="AJ20" s="34">
        <v>5</v>
      </c>
      <c r="AK20" s="35" t="s">
        <v>94</v>
      </c>
      <c r="AL20" s="36">
        <v>2000</v>
      </c>
      <c r="AM20" t="str">
        <f t="shared" si="3"/>
        <v>2000-3000</v>
      </c>
    </row>
    <row r="21" spans="1:39" x14ac:dyDescent="0.2">
      <c r="A21" s="44">
        <v>43763</v>
      </c>
      <c r="B21" s="31">
        <v>0.50972222222222219</v>
      </c>
      <c r="C21" s="31"/>
      <c r="D21" s="31" t="s">
        <v>150</v>
      </c>
      <c r="E21" s="33">
        <v>2</v>
      </c>
      <c r="F21" s="38" t="str">
        <f>VLOOKUP(E21,Key!$A$17:$B$21,2,FALSE)</f>
        <v>Road Vehicle</v>
      </c>
      <c r="G21" s="32">
        <v>6</v>
      </c>
      <c r="H21" s="39" t="str">
        <f>VLOOKUP(G21,Key!$A$2:$B$13,2,FALSE)</f>
        <v>Large Bus</v>
      </c>
      <c r="I21" s="33" t="s">
        <v>109</v>
      </c>
      <c r="J21" s="33">
        <v>1</v>
      </c>
      <c r="K21" s="40" t="str">
        <f>VLOOKUP(J21,Key!$A$24:$B$29,2,FALSE)</f>
        <v>20-29</v>
      </c>
      <c r="L21" s="33" t="s">
        <v>151</v>
      </c>
      <c r="M21" s="29" t="s">
        <v>151</v>
      </c>
      <c r="N21" s="33" t="s">
        <v>152</v>
      </c>
      <c r="O21" s="35">
        <v>2</v>
      </c>
      <c r="P21" s="30" t="str">
        <f>VLOOKUP(O21,Key!$E$2:$F$9,2,FALSE)</f>
        <v>Work</v>
      </c>
      <c r="Q21" s="33" t="s">
        <v>165</v>
      </c>
      <c r="R21" s="29" t="s">
        <v>165</v>
      </c>
      <c r="S21" s="33" t="s">
        <v>152</v>
      </c>
      <c r="T21" s="29">
        <v>1</v>
      </c>
      <c r="U21" s="30" t="str">
        <f>VLOOKUP(T21,Key!$E$2:$F$9,2,FALSE)</f>
        <v>Home</v>
      </c>
      <c r="V21" s="30" t="str">
        <f t="shared" si="0"/>
        <v>Work-Home</v>
      </c>
      <c r="W21" s="29">
        <v>15000</v>
      </c>
      <c r="X21" s="34">
        <v>200</v>
      </c>
      <c r="Y21" s="50" t="str">
        <f t="shared" si="1"/>
        <v>Over 200</v>
      </c>
      <c r="Z21" s="34">
        <v>3</v>
      </c>
      <c r="AA21" s="50" t="str">
        <f t="shared" si="2"/>
        <v>2.0-3.5</v>
      </c>
      <c r="AB21" s="29">
        <v>4</v>
      </c>
      <c r="AC21" s="30" t="str">
        <f>VLOOKUP(AB21,Key!$C$20:$D$29,2,FALSE)</f>
        <v>Office Worker</v>
      </c>
      <c r="AD21" s="29">
        <v>2</v>
      </c>
      <c r="AE21" s="30" t="str">
        <f>VLOOKUP(AD21,Key!$E$20:$F$24,2,FALSE)</f>
        <v>300,000-500,000</v>
      </c>
      <c r="AF21" s="29">
        <v>1</v>
      </c>
      <c r="AG21" s="34">
        <v>2</v>
      </c>
      <c r="AH21" s="34">
        <v>3</v>
      </c>
      <c r="AI21" s="34">
        <v>4</v>
      </c>
      <c r="AJ21" s="34">
        <v>5</v>
      </c>
      <c r="AK21" s="35" t="s">
        <v>94</v>
      </c>
      <c r="AL21" s="36"/>
      <c r="AM21" t="str">
        <f t="shared" si="3"/>
        <v>0-1000</v>
      </c>
    </row>
    <row r="22" spans="1:39" x14ac:dyDescent="0.2">
      <c r="A22" s="44">
        <v>43763</v>
      </c>
      <c r="B22" s="31">
        <v>0.60486111111111118</v>
      </c>
      <c r="C22" s="31"/>
      <c r="D22" s="31" t="s">
        <v>150</v>
      </c>
      <c r="E22" s="33">
        <v>2</v>
      </c>
      <c r="F22" s="38" t="str">
        <f>VLOOKUP(E22,Key!$A$17:$B$21,2,FALSE)</f>
        <v>Road Vehicle</v>
      </c>
      <c r="G22" s="32">
        <v>5</v>
      </c>
      <c r="H22" s="39" t="str">
        <f>VLOOKUP(G22,Key!$A$2:$B$13,2,FALSE)</f>
        <v xml:space="preserve">Medium bus </v>
      </c>
      <c r="I22" s="33" t="s">
        <v>109</v>
      </c>
      <c r="J22" s="33">
        <v>1</v>
      </c>
      <c r="K22" s="40" t="str">
        <f>VLOOKUP(J22,Key!$A$24:$B$29,2,FALSE)</f>
        <v>20-29</v>
      </c>
      <c r="L22" s="33" t="s">
        <v>151</v>
      </c>
      <c r="M22" s="29" t="s">
        <v>151</v>
      </c>
      <c r="N22" s="33" t="s">
        <v>152</v>
      </c>
      <c r="O22" s="35">
        <v>2</v>
      </c>
      <c r="P22" s="30" t="str">
        <f>VLOOKUP(O22,Key!$E$2:$F$9,2,FALSE)</f>
        <v>Work</v>
      </c>
      <c r="Q22" s="33" t="s">
        <v>153</v>
      </c>
      <c r="R22" s="29" t="s">
        <v>153</v>
      </c>
      <c r="S22" s="33" t="s">
        <v>152</v>
      </c>
      <c r="T22" s="29">
        <v>2</v>
      </c>
      <c r="U22" s="30" t="str">
        <f>VLOOKUP(T22,Key!$E$2:$F$9,2,FALSE)</f>
        <v>Work</v>
      </c>
      <c r="V22" s="30" t="str">
        <f t="shared" si="0"/>
        <v>Work-Work</v>
      </c>
      <c r="W22" s="29">
        <v>650000</v>
      </c>
      <c r="X22" s="34">
        <v>200</v>
      </c>
      <c r="Y22" s="50" t="str">
        <f t="shared" si="1"/>
        <v>Over 200</v>
      </c>
      <c r="Z22" s="34">
        <v>5</v>
      </c>
      <c r="AA22" s="50" t="str">
        <f t="shared" si="2"/>
        <v>Over 3.5</v>
      </c>
      <c r="AB22" s="29">
        <v>10</v>
      </c>
      <c r="AC22" s="30" t="str">
        <f>VLOOKUP(AB22,Key!$C$20:$D$29,2,FALSE)</f>
        <v>Other</v>
      </c>
      <c r="AD22" s="29">
        <v>5</v>
      </c>
      <c r="AE22" s="30" t="str">
        <f>VLOOKUP(AD22,Key!$E$20:$F$24,2,FALSE)</f>
        <v>&gt;1,000,000</v>
      </c>
      <c r="AF22" s="29">
        <v>1</v>
      </c>
      <c r="AG22" s="34">
        <v>2</v>
      </c>
      <c r="AH22" s="34">
        <v>3</v>
      </c>
      <c r="AI22" s="34">
        <v>5</v>
      </c>
      <c r="AJ22" s="34">
        <v>4</v>
      </c>
      <c r="AK22" s="35" t="s">
        <v>94</v>
      </c>
      <c r="AL22" s="36">
        <v>1000</v>
      </c>
      <c r="AM22" t="str">
        <f t="shared" si="3"/>
        <v>1000-2000</v>
      </c>
    </row>
    <row r="23" spans="1:39" x14ac:dyDescent="0.2">
      <c r="A23" s="44">
        <v>43762</v>
      </c>
      <c r="B23" s="31">
        <v>0.76666666666666661</v>
      </c>
      <c r="C23" s="31"/>
      <c r="D23" s="31" t="s">
        <v>150</v>
      </c>
      <c r="E23" s="33">
        <v>2</v>
      </c>
      <c r="F23" s="38" t="str">
        <f>VLOOKUP(E23,Key!$A$17:$B$21,2,FALSE)</f>
        <v>Road Vehicle</v>
      </c>
      <c r="G23" s="32">
        <v>4</v>
      </c>
      <c r="H23" s="39" t="str">
        <f>VLOOKUP(G23,Key!$A$2:$B$13,2,FALSE)</f>
        <v>Minibus</v>
      </c>
      <c r="I23" s="33" t="s">
        <v>156</v>
      </c>
      <c r="J23" s="33">
        <v>1</v>
      </c>
      <c r="K23" s="40" t="str">
        <f>VLOOKUP(J23,Key!$A$24:$B$29,2,FALSE)</f>
        <v>20-29</v>
      </c>
      <c r="L23" s="33" t="s">
        <v>151</v>
      </c>
      <c r="M23" s="29" t="s">
        <v>151</v>
      </c>
      <c r="N23" s="33" t="s">
        <v>152</v>
      </c>
      <c r="O23" s="35">
        <v>2</v>
      </c>
      <c r="P23" s="30" t="str">
        <f>VLOOKUP(O23,Key!$E$2:$F$9,2,FALSE)</f>
        <v>Work</v>
      </c>
      <c r="Q23" s="33" t="s">
        <v>153</v>
      </c>
      <c r="R23" s="29" t="s">
        <v>153</v>
      </c>
      <c r="S23" s="33" t="s">
        <v>152</v>
      </c>
      <c r="T23" s="29">
        <v>1</v>
      </c>
      <c r="U23" s="30" t="str">
        <f>VLOOKUP(T23,Key!$E$2:$F$9,2,FALSE)</f>
        <v>Home</v>
      </c>
      <c r="V23" s="30" t="str">
        <f t="shared" si="0"/>
        <v>Work-Home</v>
      </c>
      <c r="W23" s="41">
        <v>15000</v>
      </c>
      <c r="X23" s="34">
        <v>200</v>
      </c>
      <c r="Y23" s="50" t="str">
        <f t="shared" si="1"/>
        <v>Over 200</v>
      </c>
      <c r="Z23" s="34">
        <v>3</v>
      </c>
      <c r="AA23" s="50" t="str">
        <f t="shared" si="2"/>
        <v>2.0-3.5</v>
      </c>
      <c r="AB23" s="29">
        <v>2</v>
      </c>
      <c r="AC23" s="30" t="str">
        <f>VLOOKUP(AB23,Key!$C$20:$D$29,2,FALSE)</f>
        <v>Manual Labour</v>
      </c>
      <c r="AD23" s="29">
        <v>2</v>
      </c>
      <c r="AE23" s="30" t="str">
        <f>VLOOKUP(AD23,Key!$E$20:$F$24,2,FALSE)</f>
        <v>300,000-500,000</v>
      </c>
      <c r="AF23" s="29">
        <v>1</v>
      </c>
      <c r="AG23" s="34">
        <v>3</v>
      </c>
      <c r="AH23" s="34">
        <v>2</v>
      </c>
      <c r="AI23" s="34">
        <v>5</v>
      </c>
      <c r="AJ23" s="34">
        <v>4</v>
      </c>
      <c r="AK23" s="35" t="s">
        <v>94</v>
      </c>
      <c r="AL23" s="36">
        <v>3000</v>
      </c>
      <c r="AM23" t="str">
        <f t="shared" si="3"/>
        <v>3000-5000</v>
      </c>
    </row>
    <row r="24" spans="1:39" x14ac:dyDescent="0.2">
      <c r="A24" s="44">
        <v>43762</v>
      </c>
      <c r="B24" s="31">
        <v>0.72499999999999998</v>
      </c>
      <c r="C24" s="31"/>
      <c r="D24" s="31" t="s">
        <v>150</v>
      </c>
      <c r="E24" s="33">
        <v>2</v>
      </c>
      <c r="F24" s="38" t="str">
        <f>VLOOKUP(E24,Key!$A$17:$B$21,2,FALSE)</f>
        <v>Road Vehicle</v>
      </c>
      <c r="G24" s="32">
        <v>4</v>
      </c>
      <c r="H24" s="39" t="str">
        <f>VLOOKUP(G24,Key!$A$2:$B$13,2,FALSE)</f>
        <v>Minibus</v>
      </c>
      <c r="I24" s="33" t="s">
        <v>156</v>
      </c>
      <c r="J24" s="33">
        <v>1</v>
      </c>
      <c r="K24" s="40" t="str">
        <f>VLOOKUP(J24,Key!$A$24:$B$29,2,FALSE)</f>
        <v>20-29</v>
      </c>
      <c r="L24" s="33" t="s">
        <v>151</v>
      </c>
      <c r="M24" s="29" t="s">
        <v>151</v>
      </c>
      <c r="N24" s="33" t="s">
        <v>152</v>
      </c>
      <c r="O24" s="35">
        <v>1</v>
      </c>
      <c r="P24" s="30" t="str">
        <f>VLOOKUP(O24,Key!$E$2:$F$9,2,FALSE)</f>
        <v>Home</v>
      </c>
      <c r="Q24" s="33" t="s">
        <v>158</v>
      </c>
      <c r="R24" s="29" t="s">
        <v>158</v>
      </c>
      <c r="S24" s="33" t="s">
        <v>152</v>
      </c>
      <c r="T24" s="29">
        <v>2</v>
      </c>
      <c r="U24" s="30" t="str">
        <f>VLOOKUP(T24,Key!$E$2:$F$9,2,FALSE)</f>
        <v>Work</v>
      </c>
      <c r="V24" s="30" t="str">
        <f t="shared" si="0"/>
        <v>Home-Work</v>
      </c>
      <c r="W24" s="41">
        <v>5000</v>
      </c>
      <c r="X24" s="34">
        <v>31</v>
      </c>
      <c r="Y24" s="50" t="str">
        <f t="shared" si="1"/>
        <v>20-40</v>
      </c>
      <c r="Z24" s="34">
        <v>24</v>
      </c>
      <c r="AA24" s="50" t="str">
        <f t="shared" si="2"/>
        <v>Over 3.5</v>
      </c>
      <c r="AB24" s="29">
        <v>2</v>
      </c>
      <c r="AC24" s="30" t="str">
        <f>VLOOKUP(AB24,Key!$C$20:$D$29,2,FALSE)</f>
        <v>Manual Labour</v>
      </c>
      <c r="AD24" s="29">
        <v>1</v>
      </c>
      <c r="AE24" s="30" t="str">
        <f>VLOOKUP(AD24,Key!$E$20:$F$24,2,FALSE)</f>
        <v>&lt;300,000</v>
      </c>
      <c r="AF24" s="29">
        <v>5</v>
      </c>
      <c r="AG24" s="34">
        <v>3</v>
      </c>
      <c r="AH24" s="34">
        <v>1</v>
      </c>
      <c r="AI24" s="34">
        <v>2</v>
      </c>
      <c r="AJ24" s="34">
        <v>4</v>
      </c>
      <c r="AK24" s="35" t="s">
        <v>94</v>
      </c>
      <c r="AL24" s="36"/>
      <c r="AM24" t="str">
        <f t="shared" si="3"/>
        <v>0-1000</v>
      </c>
    </row>
    <row r="25" spans="1:39" x14ac:dyDescent="0.2">
      <c r="A25" s="44">
        <v>43762</v>
      </c>
      <c r="B25" s="31">
        <v>0.64722222222222225</v>
      </c>
      <c r="C25" s="31"/>
      <c r="D25" s="31" t="s">
        <v>150</v>
      </c>
      <c r="E25" s="33">
        <v>2</v>
      </c>
      <c r="F25" s="38" t="str">
        <f>VLOOKUP(E25,Key!$A$17:$B$21,2,FALSE)</f>
        <v>Road Vehicle</v>
      </c>
      <c r="G25" s="32">
        <v>4</v>
      </c>
      <c r="H25" s="39" t="str">
        <f>VLOOKUP(G25,Key!$A$2:$B$13,2,FALSE)</f>
        <v>Minibus</v>
      </c>
      <c r="I25" s="33" t="s">
        <v>156</v>
      </c>
      <c r="J25" s="33">
        <v>1</v>
      </c>
      <c r="K25" s="40" t="str">
        <f>VLOOKUP(J25,Key!$A$24:$B$29,2,FALSE)</f>
        <v>20-29</v>
      </c>
      <c r="L25" s="33" t="s">
        <v>151</v>
      </c>
      <c r="M25" s="29" t="s">
        <v>151</v>
      </c>
      <c r="N25" s="33" t="s">
        <v>152</v>
      </c>
      <c r="O25" s="35">
        <v>2</v>
      </c>
      <c r="P25" s="30" t="str">
        <f>VLOOKUP(O25,Key!$E$2:$F$9,2,FALSE)</f>
        <v>Work</v>
      </c>
      <c r="Q25" s="33" t="s">
        <v>162</v>
      </c>
      <c r="R25" s="29" t="s">
        <v>162</v>
      </c>
      <c r="S25" s="33" t="s">
        <v>152</v>
      </c>
      <c r="T25" s="29">
        <v>2</v>
      </c>
      <c r="U25" s="30" t="str">
        <f>VLOOKUP(T25,Key!$E$2:$F$9,2,FALSE)</f>
        <v>Work</v>
      </c>
      <c r="V25" s="30" t="str">
        <f t="shared" si="0"/>
        <v>Work-Work</v>
      </c>
      <c r="W25" s="41">
        <v>15000</v>
      </c>
      <c r="X25" s="34">
        <v>117</v>
      </c>
      <c r="Y25" s="50" t="str">
        <f t="shared" si="1"/>
        <v>100-200</v>
      </c>
      <c r="Z25" s="34">
        <v>2</v>
      </c>
      <c r="AA25" s="50" t="str">
        <f t="shared" si="2"/>
        <v>2.0-3.5</v>
      </c>
      <c r="AB25" s="29">
        <v>4</v>
      </c>
      <c r="AC25" s="30" t="str">
        <f>VLOOKUP(AB25,Key!$C$20:$D$29,2,FALSE)</f>
        <v>Office Worker</v>
      </c>
      <c r="AD25" s="29">
        <v>3</v>
      </c>
      <c r="AE25" s="30" t="str">
        <f>VLOOKUP(AD25,Key!$E$20:$F$24,2,FALSE)</f>
        <v>500,000-750,000</v>
      </c>
      <c r="AF25" s="29">
        <v>1</v>
      </c>
      <c r="AG25" s="34">
        <v>2</v>
      </c>
      <c r="AH25" s="34">
        <v>3</v>
      </c>
      <c r="AI25" s="34">
        <v>5</v>
      </c>
      <c r="AJ25" s="34">
        <v>4</v>
      </c>
      <c r="AK25" s="35" t="s">
        <v>94</v>
      </c>
      <c r="AL25" s="36"/>
      <c r="AM25" t="str">
        <f t="shared" si="3"/>
        <v>0-1000</v>
      </c>
    </row>
    <row r="26" spans="1:39" x14ac:dyDescent="0.2">
      <c r="A26" s="44">
        <v>43762</v>
      </c>
      <c r="B26" s="31">
        <v>0.66875000000000007</v>
      </c>
      <c r="C26" s="31"/>
      <c r="D26" s="31" t="s">
        <v>150</v>
      </c>
      <c r="E26" s="33">
        <v>2</v>
      </c>
      <c r="F26" s="38" t="str">
        <f>VLOOKUP(E26,Key!$A$17:$B$21,2,FALSE)</f>
        <v>Road Vehicle</v>
      </c>
      <c r="G26" s="32">
        <v>4</v>
      </c>
      <c r="H26" s="39" t="str">
        <f>VLOOKUP(G26,Key!$A$2:$B$13,2,FALSE)</f>
        <v>Minibus</v>
      </c>
      <c r="I26" s="33" t="s">
        <v>156</v>
      </c>
      <c r="J26" s="33">
        <v>1</v>
      </c>
      <c r="K26" s="40" t="str">
        <f>VLOOKUP(J26,Key!$A$24:$B$29,2,FALSE)</f>
        <v>20-29</v>
      </c>
      <c r="L26" s="33" t="s">
        <v>151</v>
      </c>
      <c r="M26" s="29" t="s">
        <v>151</v>
      </c>
      <c r="N26" s="33" t="s">
        <v>152</v>
      </c>
      <c r="O26" s="35">
        <v>8</v>
      </c>
      <c r="P26" s="30" t="str">
        <f>VLOOKUP(O26,Key!$E$2:$F$9,2,FALSE)</f>
        <v>Others</v>
      </c>
      <c r="Q26" s="33" t="s">
        <v>153</v>
      </c>
      <c r="R26" s="29" t="s">
        <v>153</v>
      </c>
      <c r="S26" s="33" t="s">
        <v>152</v>
      </c>
      <c r="T26" s="29">
        <v>3</v>
      </c>
      <c r="U26" s="30" t="str">
        <f>VLOOKUP(T26,Key!$E$2:$F$9,2,FALSE)</f>
        <v>Study</v>
      </c>
      <c r="V26" s="30" t="str">
        <f t="shared" si="0"/>
        <v>Others-Study</v>
      </c>
      <c r="W26" s="29">
        <v>15000</v>
      </c>
      <c r="X26" s="34">
        <v>200</v>
      </c>
      <c r="Y26" s="50" t="str">
        <f t="shared" si="1"/>
        <v>Over 200</v>
      </c>
      <c r="Z26" s="34">
        <v>3</v>
      </c>
      <c r="AA26" s="50" t="str">
        <f t="shared" si="2"/>
        <v>2.0-3.5</v>
      </c>
      <c r="AB26" s="29">
        <v>8</v>
      </c>
      <c r="AC26" s="30" t="str">
        <f>VLOOKUP(AB26,Key!$C$20:$D$29,2,FALSE)</f>
        <v>Student</v>
      </c>
      <c r="AD26" s="29">
        <v>2</v>
      </c>
      <c r="AE26" s="30" t="str">
        <f>VLOOKUP(AD26,Key!$E$20:$F$24,2,FALSE)</f>
        <v>300,000-500,000</v>
      </c>
      <c r="AF26" s="29">
        <v>4</v>
      </c>
      <c r="AG26" s="34">
        <v>1</v>
      </c>
      <c r="AH26" s="34">
        <v>2</v>
      </c>
      <c r="AI26" s="34">
        <v>3</v>
      </c>
      <c r="AJ26" s="34">
        <v>5</v>
      </c>
      <c r="AK26" s="35" t="s">
        <v>94</v>
      </c>
      <c r="AL26" s="36">
        <v>1000</v>
      </c>
      <c r="AM26" t="str">
        <f t="shared" si="3"/>
        <v>1000-2000</v>
      </c>
    </row>
    <row r="27" spans="1:39" x14ac:dyDescent="0.2">
      <c r="A27" s="44">
        <v>43762</v>
      </c>
      <c r="B27" s="31">
        <v>0.62361111111111112</v>
      </c>
      <c r="C27" s="31"/>
      <c r="D27" s="31" t="s">
        <v>150</v>
      </c>
      <c r="E27" s="33">
        <v>2</v>
      </c>
      <c r="F27" s="38" t="str">
        <f>VLOOKUP(E27,Key!$A$17:$B$21,2,FALSE)</f>
        <v>Road Vehicle</v>
      </c>
      <c r="G27" s="32">
        <v>4</v>
      </c>
      <c r="H27" s="39" t="str">
        <f>VLOOKUP(G27,Key!$A$2:$B$13,2,FALSE)</f>
        <v>Minibus</v>
      </c>
      <c r="I27" s="33" t="s">
        <v>156</v>
      </c>
      <c r="J27" s="33">
        <v>1</v>
      </c>
      <c r="K27" s="40" t="str">
        <f>VLOOKUP(J27,Key!$A$24:$B$29,2,FALSE)</f>
        <v>20-29</v>
      </c>
      <c r="L27" s="33" t="s">
        <v>151</v>
      </c>
      <c r="M27" s="29" t="s">
        <v>151</v>
      </c>
      <c r="N27" s="33" t="s">
        <v>152</v>
      </c>
      <c r="O27" s="35">
        <v>2</v>
      </c>
      <c r="P27" s="30" t="str">
        <f>VLOOKUP(O27,Key!$E$2:$F$9,2,FALSE)</f>
        <v>Work</v>
      </c>
      <c r="Q27" s="33" t="s">
        <v>151</v>
      </c>
      <c r="R27" s="29" t="s">
        <v>151</v>
      </c>
      <c r="S27" s="33" t="s">
        <v>152</v>
      </c>
      <c r="T27" s="29">
        <v>2</v>
      </c>
      <c r="U27" s="30" t="str">
        <f>VLOOKUP(T27,Key!$E$2:$F$9,2,FALSE)</f>
        <v>Work</v>
      </c>
      <c r="V27" s="30" t="str">
        <f t="shared" si="0"/>
        <v>Work-Work</v>
      </c>
      <c r="W27" s="29">
        <v>12000</v>
      </c>
      <c r="X27" s="34"/>
      <c r="Y27" s="50" t="str">
        <f t="shared" si="1"/>
        <v>0-10</v>
      </c>
      <c r="Z27" s="34">
        <v>3</v>
      </c>
      <c r="AA27" s="50" t="str">
        <f t="shared" si="2"/>
        <v>2.0-3.5</v>
      </c>
      <c r="AB27" s="29">
        <v>2</v>
      </c>
      <c r="AC27" s="30" t="str">
        <f>VLOOKUP(AB27,Key!$C$20:$D$29,2,FALSE)</f>
        <v>Manual Labour</v>
      </c>
      <c r="AD27" s="29">
        <v>1</v>
      </c>
      <c r="AE27" s="30" t="str">
        <f>VLOOKUP(AD27,Key!$E$20:$F$24,2,FALSE)</f>
        <v>&lt;300,000</v>
      </c>
      <c r="AF27" s="29">
        <v>1</v>
      </c>
      <c r="AG27" s="34">
        <v>4</v>
      </c>
      <c r="AH27" s="34">
        <v>1</v>
      </c>
      <c r="AI27" s="34">
        <v>2</v>
      </c>
      <c r="AJ27" s="34">
        <v>3</v>
      </c>
      <c r="AK27" s="35" t="s">
        <v>94</v>
      </c>
      <c r="AL27" s="36">
        <v>3000</v>
      </c>
      <c r="AM27" t="str">
        <f t="shared" si="3"/>
        <v>3000-5000</v>
      </c>
    </row>
    <row r="28" spans="1:39" x14ac:dyDescent="0.2">
      <c r="A28" s="44">
        <v>43762</v>
      </c>
      <c r="B28" s="31">
        <v>0.69374999999999998</v>
      </c>
      <c r="C28" s="31"/>
      <c r="D28" s="31" t="s">
        <v>150</v>
      </c>
      <c r="E28" s="33">
        <v>2</v>
      </c>
      <c r="F28" s="38" t="str">
        <f>VLOOKUP(E28,Key!$A$17:$B$21,2,FALSE)</f>
        <v>Road Vehicle</v>
      </c>
      <c r="G28" s="32">
        <v>4</v>
      </c>
      <c r="H28" s="39" t="str">
        <f>VLOOKUP(G28,Key!$A$2:$B$13,2,FALSE)</f>
        <v>Minibus</v>
      </c>
      <c r="I28" s="33" t="s">
        <v>156</v>
      </c>
      <c r="J28" s="33">
        <v>1</v>
      </c>
      <c r="K28" s="40" t="str">
        <f>VLOOKUP(J28,Key!$A$24:$B$29,2,FALSE)</f>
        <v>20-29</v>
      </c>
      <c r="L28" s="33" t="s">
        <v>166</v>
      </c>
      <c r="M28" s="29" t="s">
        <v>166</v>
      </c>
      <c r="N28" s="33" t="s">
        <v>152</v>
      </c>
      <c r="O28" s="35">
        <v>8</v>
      </c>
      <c r="P28" s="30" t="str">
        <f>VLOOKUP(O28,Key!$E$2:$F$9,2,FALSE)</f>
        <v>Others</v>
      </c>
      <c r="Q28" s="33" t="s">
        <v>151</v>
      </c>
      <c r="R28" s="29" t="s">
        <v>151</v>
      </c>
      <c r="S28" s="33" t="s">
        <v>152</v>
      </c>
      <c r="T28" s="29">
        <v>1</v>
      </c>
      <c r="U28" s="30" t="str">
        <f>VLOOKUP(T28,Key!$E$2:$F$9,2,FALSE)</f>
        <v>Home</v>
      </c>
      <c r="V28" s="30" t="str">
        <f t="shared" si="0"/>
        <v>Others-Home</v>
      </c>
      <c r="W28" s="29">
        <v>7000</v>
      </c>
      <c r="X28" s="34"/>
      <c r="Y28" s="50" t="str">
        <f t="shared" si="1"/>
        <v>0-10</v>
      </c>
      <c r="Z28" s="34">
        <v>2</v>
      </c>
      <c r="AA28" s="50" t="str">
        <f t="shared" si="2"/>
        <v>2.0-3.5</v>
      </c>
      <c r="AB28" s="29">
        <v>3</v>
      </c>
      <c r="AC28" s="30" t="str">
        <f>VLOOKUP(AB28,Key!$C$20:$D$29,2,FALSE)</f>
        <v>Artisan/Domestic</v>
      </c>
      <c r="AD28" s="29">
        <v>1</v>
      </c>
      <c r="AE28" s="30" t="str">
        <f>VLOOKUP(AD28,Key!$E$20:$F$24,2,FALSE)</f>
        <v>&lt;300,000</v>
      </c>
      <c r="AF28" s="29">
        <v>4</v>
      </c>
      <c r="AG28" s="34">
        <v>1</v>
      </c>
      <c r="AH28" s="34">
        <v>2</v>
      </c>
      <c r="AI28" s="34">
        <v>5</v>
      </c>
      <c r="AJ28" s="34">
        <v>2</v>
      </c>
      <c r="AK28" s="35" t="s">
        <v>94</v>
      </c>
      <c r="AL28" s="36"/>
      <c r="AM28" t="str">
        <f t="shared" si="3"/>
        <v>0-1000</v>
      </c>
    </row>
    <row r="29" spans="1:39" x14ac:dyDescent="0.2">
      <c r="A29" s="44">
        <v>43762</v>
      </c>
      <c r="B29" s="31">
        <v>0.74097222222222225</v>
      </c>
      <c r="C29" s="31"/>
      <c r="D29" s="31" t="s">
        <v>150</v>
      </c>
      <c r="E29" s="33">
        <v>2</v>
      </c>
      <c r="F29" s="38" t="str">
        <f>VLOOKUP(E29,Key!$A$17:$B$21,2,FALSE)</f>
        <v>Road Vehicle</v>
      </c>
      <c r="G29" s="32">
        <v>4</v>
      </c>
      <c r="H29" s="39" t="str">
        <f>VLOOKUP(G29,Key!$A$2:$B$13,2,FALSE)</f>
        <v>Minibus</v>
      </c>
      <c r="I29" s="33" t="s">
        <v>156</v>
      </c>
      <c r="J29" s="33">
        <v>1</v>
      </c>
      <c r="K29" s="40" t="str">
        <f>VLOOKUP(J29,Key!$A$24:$B$29,2,FALSE)</f>
        <v>20-29</v>
      </c>
      <c r="L29" s="33" t="s">
        <v>176</v>
      </c>
      <c r="M29" s="29" t="s">
        <v>153</v>
      </c>
      <c r="N29" s="33" t="s">
        <v>152</v>
      </c>
      <c r="O29" s="35">
        <v>1</v>
      </c>
      <c r="P29" s="30" t="str">
        <f>VLOOKUP(O29,Key!$E$2:$F$9,2,FALSE)</f>
        <v>Home</v>
      </c>
      <c r="Q29" s="33" t="s">
        <v>151</v>
      </c>
      <c r="R29" s="29" t="s">
        <v>151</v>
      </c>
      <c r="S29" s="33" t="s">
        <v>152</v>
      </c>
      <c r="T29" s="29">
        <v>8</v>
      </c>
      <c r="U29" s="30" t="str">
        <f>VLOOKUP(T29,Key!$E$2:$F$9,2,FALSE)</f>
        <v>Others</v>
      </c>
      <c r="V29" s="30" t="str">
        <f t="shared" si="0"/>
        <v>Home-Others</v>
      </c>
      <c r="W29" s="29">
        <v>15000</v>
      </c>
      <c r="X29" s="34"/>
      <c r="Y29" s="50" t="str">
        <f t="shared" si="1"/>
        <v>0-10</v>
      </c>
      <c r="Z29" s="34">
        <v>4</v>
      </c>
      <c r="AA29" s="50" t="str">
        <f t="shared" si="2"/>
        <v>Over 3.5</v>
      </c>
      <c r="AB29" s="29">
        <v>8</v>
      </c>
      <c r="AC29" s="30" t="str">
        <f>VLOOKUP(AB29,Key!$C$20:$D$29,2,FALSE)</f>
        <v>Student</v>
      </c>
      <c r="AD29" s="29">
        <v>4</v>
      </c>
      <c r="AE29" s="30" t="str">
        <f>VLOOKUP(AD29,Key!$E$20:$F$24,2,FALSE)</f>
        <v>750,000-1,000,000</v>
      </c>
      <c r="AF29" s="29">
        <v>2</v>
      </c>
      <c r="AG29" s="34">
        <v>1</v>
      </c>
      <c r="AH29" s="34">
        <v>3</v>
      </c>
      <c r="AI29" s="34">
        <v>5</v>
      </c>
      <c r="AJ29" s="34">
        <v>4</v>
      </c>
      <c r="AK29" s="35" t="s">
        <v>94</v>
      </c>
      <c r="AL29" s="36">
        <v>10000</v>
      </c>
      <c r="AM29" t="str">
        <f t="shared" si="3"/>
        <v>Over 10000</v>
      </c>
    </row>
    <row r="30" spans="1:39" x14ac:dyDescent="0.2">
      <c r="A30" s="44">
        <v>43762</v>
      </c>
      <c r="B30" s="31">
        <v>0.625</v>
      </c>
      <c r="C30" s="31"/>
      <c r="D30" s="31" t="s">
        <v>97</v>
      </c>
      <c r="E30" s="33">
        <v>2</v>
      </c>
      <c r="F30" s="38" t="str">
        <f>VLOOKUP(E30,Key!$A$17:$B$21,2,FALSE)</f>
        <v>Road Vehicle</v>
      </c>
      <c r="G30" s="32">
        <v>4</v>
      </c>
      <c r="H30" s="39" t="str">
        <f>VLOOKUP(G30,Key!$A$2:$B$13,2,FALSE)</f>
        <v>Minibus</v>
      </c>
      <c r="I30" s="33" t="s">
        <v>109</v>
      </c>
      <c r="J30" s="33">
        <v>1</v>
      </c>
      <c r="K30" s="40" t="str">
        <f>VLOOKUP(J30,Key!$A$24:$B$29,2,FALSE)</f>
        <v>20-29</v>
      </c>
      <c r="L30" s="33" t="s">
        <v>151</v>
      </c>
      <c r="M30" s="29" t="s">
        <v>151</v>
      </c>
      <c r="N30" s="33" t="s">
        <v>152</v>
      </c>
      <c r="O30" s="35">
        <v>2</v>
      </c>
      <c r="P30" s="30" t="str">
        <f>VLOOKUP(O30,Key!$E$2:$F$9,2,FALSE)</f>
        <v>Work</v>
      </c>
      <c r="Q30" s="33" t="s">
        <v>153</v>
      </c>
      <c r="R30" s="29" t="s">
        <v>153</v>
      </c>
      <c r="S30" s="33" t="s">
        <v>152</v>
      </c>
      <c r="T30" s="29">
        <v>1</v>
      </c>
      <c r="U30" s="30" t="str">
        <f>VLOOKUP(T30,Key!$E$2:$F$9,2,FALSE)</f>
        <v>Home</v>
      </c>
      <c r="V30" s="30" t="str">
        <f t="shared" si="0"/>
        <v>Work-Home</v>
      </c>
      <c r="W30" s="41">
        <v>180000</v>
      </c>
      <c r="X30" s="34">
        <v>198</v>
      </c>
      <c r="Y30" s="50" t="str">
        <f t="shared" si="1"/>
        <v>100-200</v>
      </c>
      <c r="Z30" s="34">
        <v>3</v>
      </c>
      <c r="AA30" s="50" t="str">
        <f t="shared" si="2"/>
        <v>2.0-3.5</v>
      </c>
      <c r="AB30" s="29">
        <v>10</v>
      </c>
      <c r="AC30" s="30" t="str">
        <f>VLOOKUP(AB30,Key!$C$20:$D$29,2,FALSE)</f>
        <v>Other</v>
      </c>
      <c r="AD30" s="29">
        <v>4</v>
      </c>
      <c r="AE30" s="30" t="str">
        <f>VLOOKUP(AD30,Key!$E$20:$F$24,2,FALSE)</f>
        <v>750,000-1,000,000</v>
      </c>
      <c r="AF30" s="29">
        <v>4</v>
      </c>
      <c r="AG30" s="34">
        <v>2</v>
      </c>
      <c r="AH30" s="34">
        <v>1</v>
      </c>
      <c r="AI30" s="34">
        <v>3</v>
      </c>
      <c r="AJ30" s="34">
        <v>5</v>
      </c>
      <c r="AK30" s="35" t="s">
        <v>94</v>
      </c>
      <c r="AL30" s="36">
        <v>3000</v>
      </c>
      <c r="AM30" t="str">
        <f t="shared" si="3"/>
        <v>3000-5000</v>
      </c>
    </row>
    <row r="31" spans="1:39" x14ac:dyDescent="0.2">
      <c r="A31" s="44">
        <v>43762</v>
      </c>
      <c r="B31" s="31">
        <v>0.67291666666666661</v>
      </c>
      <c r="C31" s="31"/>
      <c r="D31" s="31" t="s">
        <v>150</v>
      </c>
      <c r="E31" s="33">
        <v>2</v>
      </c>
      <c r="F31" s="38" t="str">
        <f>VLOOKUP(E31,Key!$A$17:$B$21,2,FALSE)</f>
        <v>Road Vehicle</v>
      </c>
      <c r="G31" s="32">
        <v>4</v>
      </c>
      <c r="H31" s="39" t="str">
        <f>VLOOKUP(G31,Key!$A$2:$B$13,2,FALSE)</f>
        <v>Minibus</v>
      </c>
      <c r="I31" s="33" t="s">
        <v>109</v>
      </c>
      <c r="J31" s="33">
        <v>1</v>
      </c>
      <c r="K31" s="40" t="str">
        <f>VLOOKUP(J31,Key!$A$24:$B$29,2,FALSE)</f>
        <v>20-29</v>
      </c>
      <c r="L31" s="33" t="s">
        <v>151</v>
      </c>
      <c r="M31" s="29" t="s">
        <v>151</v>
      </c>
      <c r="N31" s="33" t="s">
        <v>152</v>
      </c>
      <c r="O31" s="35">
        <v>2</v>
      </c>
      <c r="P31" s="30" t="str">
        <f>VLOOKUP(O31,Key!$E$2:$F$9,2,FALSE)</f>
        <v>Work</v>
      </c>
      <c r="Q31" s="33" t="s">
        <v>151</v>
      </c>
      <c r="R31" s="29" t="s">
        <v>164</v>
      </c>
      <c r="S31" s="33" t="s">
        <v>152</v>
      </c>
      <c r="T31" s="29">
        <v>1</v>
      </c>
      <c r="U31" s="30" t="str">
        <f>VLOOKUP(T31,Key!$E$2:$F$9,2,FALSE)</f>
        <v>Home</v>
      </c>
      <c r="V31" s="30" t="str">
        <f t="shared" si="0"/>
        <v>Work-Home</v>
      </c>
      <c r="W31" s="29">
        <v>5000</v>
      </c>
      <c r="X31" s="34">
        <v>160</v>
      </c>
      <c r="Y31" s="50" t="str">
        <f t="shared" si="1"/>
        <v>100-200</v>
      </c>
      <c r="Z31" s="34">
        <v>1</v>
      </c>
      <c r="AA31" s="50" t="str">
        <f t="shared" si="2"/>
        <v>1.0-2.0</v>
      </c>
      <c r="AB31" s="29">
        <v>2</v>
      </c>
      <c r="AC31" s="30" t="str">
        <f>VLOOKUP(AB31,Key!$C$20:$D$29,2,FALSE)</f>
        <v>Manual Labour</v>
      </c>
      <c r="AD31" s="29">
        <v>1</v>
      </c>
      <c r="AE31" s="30" t="str">
        <f>VLOOKUP(AD31,Key!$E$20:$F$24,2,FALSE)</f>
        <v>&lt;300,000</v>
      </c>
      <c r="AF31" s="29">
        <v>5</v>
      </c>
      <c r="AG31" s="34">
        <v>4</v>
      </c>
      <c r="AH31" s="34">
        <v>1</v>
      </c>
      <c r="AI31" s="34">
        <v>2</v>
      </c>
      <c r="AJ31" s="34">
        <v>3</v>
      </c>
      <c r="AK31" s="35" t="s">
        <v>94</v>
      </c>
      <c r="AL31" s="36">
        <v>1000</v>
      </c>
      <c r="AM31" t="str">
        <f t="shared" si="3"/>
        <v>1000-2000</v>
      </c>
    </row>
    <row r="32" spans="1:39" x14ac:dyDescent="0.2">
      <c r="A32" s="44">
        <v>43762</v>
      </c>
      <c r="B32" s="31">
        <v>0.66388888888888886</v>
      </c>
      <c r="C32" s="31"/>
      <c r="D32" s="31" t="s">
        <v>150</v>
      </c>
      <c r="E32" s="33">
        <v>2</v>
      </c>
      <c r="F32" s="38" t="str">
        <f>VLOOKUP(E32,Key!$A$17:$B$21,2,FALSE)</f>
        <v>Road Vehicle</v>
      </c>
      <c r="G32" s="32">
        <v>4</v>
      </c>
      <c r="H32" s="39" t="str">
        <f>VLOOKUP(G32,Key!$A$2:$B$13,2,FALSE)</f>
        <v>Minibus</v>
      </c>
      <c r="I32" s="33" t="s">
        <v>109</v>
      </c>
      <c r="J32" s="33">
        <v>1</v>
      </c>
      <c r="K32" s="40" t="str">
        <f>VLOOKUP(J32,Key!$A$24:$B$29,2,FALSE)</f>
        <v>20-29</v>
      </c>
      <c r="L32" s="33" t="s">
        <v>166</v>
      </c>
      <c r="M32" s="29" t="s">
        <v>166</v>
      </c>
      <c r="N32" s="33" t="s">
        <v>152</v>
      </c>
      <c r="O32" s="35">
        <v>8</v>
      </c>
      <c r="P32" s="30" t="str">
        <f>VLOOKUP(O32,Key!$E$2:$F$9,2,FALSE)</f>
        <v>Others</v>
      </c>
      <c r="Q32" s="33" t="s">
        <v>151</v>
      </c>
      <c r="R32" s="29" t="s">
        <v>151</v>
      </c>
      <c r="S32" s="33" t="s">
        <v>152</v>
      </c>
      <c r="T32" s="29">
        <v>2</v>
      </c>
      <c r="U32" s="30" t="str">
        <f>VLOOKUP(T32,Key!$E$2:$F$9,2,FALSE)</f>
        <v>Work</v>
      </c>
      <c r="V32" s="30" t="str">
        <f t="shared" si="0"/>
        <v>Others-Work</v>
      </c>
      <c r="W32" s="29">
        <v>8000</v>
      </c>
      <c r="X32" s="34">
        <v>87</v>
      </c>
      <c r="Y32" s="50" t="str">
        <f t="shared" si="1"/>
        <v>70-100</v>
      </c>
      <c r="Z32" s="34">
        <v>3</v>
      </c>
      <c r="AA32" s="50" t="str">
        <f t="shared" si="2"/>
        <v>2.0-3.5</v>
      </c>
      <c r="AB32" s="29">
        <v>2</v>
      </c>
      <c r="AC32" s="30" t="str">
        <f>VLOOKUP(AB32,Key!$C$20:$D$29,2,FALSE)</f>
        <v>Manual Labour</v>
      </c>
      <c r="AD32" s="29">
        <v>2</v>
      </c>
      <c r="AE32" s="30" t="str">
        <f>VLOOKUP(AD32,Key!$E$20:$F$24,2,FALSE)</f>
        <v>300,000-500,000</v>
      </c>
      <c r="AF32" s="29">
        <v>2</v>
      </c>
      <c r="AG32" s="34">
        <v>3</v>
      </c>
      <c r="AH32" s="34">
        <v>4</v>
      </c>
      <c r="AI32" s="34">
        <v>1</v>
      </c>
      <c r="AJ32" s="34">
        <v>5</v>
      </c>
      <c r="AK32" s="35" t="s">
        <v>94</v>
      </c>
      <c r="AL32" s="36"/>
      <c r="AM32" t="str">
        <f t="shared" si="3"/>
        <v>0-1000</v>
      </c>
    </row>
    <row r="33" spans="1:39" x14ac:dyDescent="0.2">
      <c r="A33" s="44">
        <v>43762</v>
      </c>
      <c r="B33" s="31">
        <v>0.65277777777777779</v>
      </c>
      <c r="C33" s="31"/>
      <c r="D33" s="31" t="s">
        <v>150</v>
      </c>
      <c r="E33" s="33">
        <v>2</v>
      </c>
      <c r="F33" s="38" t="str">
        <f>VLOOKUP(E33,Key!$A$17:$B$21,2,FALSE)</f>
        <v>Road Vehicle</v>
      </c>
      <c r="G33" s="32">
        <v>4</v>
      </c>
      <c r="H33" s="39" t="str">
        <f>VLOOKUP(G33,Key!$A$2:$B$13,2,FALSE)</f>
        <v>Minibus</v>
      </c>
      <c r="I33" s="33" t="s">
        <v>109</v>
      </c>
      <c r="J33" s="33">
        <v>1</v>
      </c>
      <c r="K33" s="40" t="str">
        <f>VLOOKUP(J33,Key!$A$24:$B$29,2,FALSE)</f>
        <v>20-29</v>
      </c>
      <c r="L33" s="33" t="s">
        <v>151</v>
      </c>
      <c r="M33" s="29" t="s">
        <v>151</v>
      </c>
      <c r="N33" s="33" t="s">
        <v>152</v>
      </c>
      <c r="O33" s="35">
        <v>8</v>
      </c>
      <c r="P33" s="30" t="str">
        <f>VLOOKUP(O33,Key!$E$2:$F$9,2,FALSE)</f>
        <v>Others</v>
      </c>
      <c r="Q33" s="33" t="s">
        <v>167</v>
      </c>
      <c r="R33" s="29" t="s">
        <v>167</v>
      </c>
      <c r="S33" s="33" t="s">
        <v>152</v>
      </c>
      <c r="T33" s="29">
        <v>8</v>
      </c>
      <c r="U33" s="30" t="str">
        <f>VLOOKUP(T33,Key!$E$2:$F$9,2,FALSE)</f>
        <v>Others</v>
      </c>
      <c r="V33" s="30" t="str">
        <f t="shared" si="0"/>
        <v>Others-Others</v>
      </c>
      <c r="W33" s="29">
        <v>5000</v>
      </c>
      <c r="X33" s="34"/>
      <c r="Y33" s="50" t="str">
        <f t="shared" si="1"/>
        <v>0-10</v>
      </c>
      <c r="Z33" s="34">
        <v>2</v>
      </c>
      <c r="AA33" s="50" t="str">
        <f t="shared" si="2"/>
        <v>2.0-3.5</v>
      </c>
      <c r="AB33" s="29">
        <v>5</v>
      </c>
      <c r="AC33" s="30" t="str">
        <f>VLOOKUP(AB33,Key!$C$20:$D$29,2,FALSE)</f>
        <v>Professional</v>
      </c>
      <c r="AD33" s="29">
        <v>5</v>
      </c>
      <c r="AE33" s="30" t="str">
        <f>VLOOKUP(AD33,Key!$E$20:$F$24,2,FALSE)</f>
        <v>&gt;1,000,000</v>
      </c>
      <c r="AF33" s="29">
        <v>3</v>
      </c>
      <c r="AG33" s="34">
        <v>4</v>
      </c>
      <c r="AH33" s="34">
        <v>2</v>
      </c>
      <c r="AI33" s="34">
        <v>1</v>
      </c>
      <c r="AJ33" s="34">
        <v>5</v>
      </c>
      <c r="AK33" s="35" t="s">
        <v>94</v>
      </c>
      <c r="AL33" s="36">
        <v>1000</v>
      </c>
      <c r="AM33" t="str">
        <f t="shared" si="3"/>
        <v>1000-2000</v>
      </c>
    </row>
    <row r="34" spans="1:39" x14ac:dyDescent="0.2">
      <c r="A34" s="44">
        <v>43762</v>
      </c>
      <c r="B34" s="31">
        <v>0.64236111111111105</v>
      </c>
      <c r="C34" s="31"/>
      <c r="D34" s="31" t="s">
        <v>150</v>
      </c>
      <c r="E34" s="33">
        <v>2</v>
      </c>
      <c r="F34" s="38" t="str">
        <f>VLOOKUP(E34,Key!$A$17:$B$21,2,FALSE)</f>
        <v>Road Vehicle</v>
      </c>
      <c r="G34" s="32">
        <v>4</v>
      </c>
      <c r="H34" s="39" t="str">
        <f>VLOOKUP(G34,Key!$A$2:$B$13,2,FALSE)</f>
        <v>Minibus</v>
      </c>
      <c r="I34" s="33" t="s">
        <v>109</v>
      </c>
      <c r="J34" s="33">
        <v>1</v>
      </c>
      <c r="K34" s="40" t="str">
        <f>VLOOKUP(J34,Key!$A$24:$B$29,2,FALSE)</f>
        <v>20-29</v>
      </c>
      <c r="L34" s="33" t="s">
        <v>151</v>
      </c>
      <c r="M34" s="29" t="s">
        <v>151</v>
      </c>
      <c r="N34" s="33" t="s">
        <v>152</v>
      </c>
      <c r="O34" s="35">
        <v>1</v>
      </c>
      <c r="P34" s="30" t="str">
        <f>VLOOKUP(O34,Key!$E$2:$F$9,2,FALSE)</f>
        <v>Home</v>
      </c>
      <c r="Q34" s="33" t="s">
        <v>168</v>
      </c>
      <c r="R34" s="29" t="s">
        <v>168</v>
      </c>
      <c r="S34" s="33" t="s">
        <v>152</v>
      </c>
      <c r="T34" s="29">
        <v>2</v>
      </c>
      <c r="U34" s="30" t="str">
        <f>VLOOKUP(T34,Key!$E$2:$F$9,2,FALSE)</f>
        <v>Work</v>
      </c>
      <c r="V34" s="30" t="str">
        <f t="shared" si="0"/>
        <v>Home-Work</v>
      </c>
      <c r="W34" s="29">
        <v>10000</v>
      </c>
      <c r="X34" s="34"/>
      <c r="Y34" s="50" t="str">
        <f t="shared" si="1"/>
        <v>0-10</v>
      </c>
      <c r="Z34" s="34">
        <v>3</v>
      </c>
      <c r="AA34" s="50" t="str">
        <f t="shared" si="2"/>
        <v>2.0-3.5</v>
      </c>
      <c r="AB34" s="29">
        <v>4</v>
      </c>
      <c r="AC34" s="30" t="str">
        <f>VLOOKUP(AB34,Key!$C$20:$D$29,2,FALSE)</f>
        <v>Office Worker</v>
      </c>
      <c r="AD34" s="29">
        <v>2</v>
      </c>
      <c r="AE34" s="30" t="str">
        <f>VLOOKUP(AD34,Key!$E$20:$F$24,2,FALSE)</f>
        <v>300,000-500,000</v>
      </c>
      <c r="AF34" s="29">
        <v>4</v>
      </c>
      <c r="AG34" s="34">
        <v>5</v>
      </c>
      <c r="AH34" s="34">
        <v>3</v>
      </c>
      <c r="AI34" s="34">
        <v>2</v>
      </c>
      <c r="AJ34" s="34">
        <v>1</v>
      </c>
      <c r="AK34" s="35" t="s">
        <v>94</v>
      </c>
      <c r="AL34" s="36">
        <v>3000</v>
      </c>
      <c r="AM34" t="str">
        <f t="shared" si="3"/>
        <v>3000-5000</v>
      </c>
    </row>
    <row r="35" spans="1:39" x14ac:dyDescent="0.2">
      <c r="A35" s="44">
        <v>43762</v>
      </c>
      <c r="B35" s="31">
        <v>0.63958333333333328</v>
      </c>
      <c r="C35" s="31"/>
      <c r="D35" s="31" t="s">
        <v>150</v>
      </c>
      <c r="E35" s="33">
        <v>2</v>
      </c>
      <c r="F35" s="38" t="str">
        <f>VLOOKUP(E35,Key!$A$17:$B$21,2,FALSE)</f>
        <v>Road Vehicle</v>
      </c>
      <c r="G35" s="32">
        <v>4</v>
      </c>
      <c r="H35" s="39" t="str">
        <f>VLOOKUP(G35,Key!$A$2:$B$13,2,FALSE)</f>
        <v>Minibus</v>
      </c>
      <c r="I35" s="33" t="s">
        <v>109</v>
      </c>
      <c r="J35" s="33">
        <v>1</v>
      </c>
      <c r="K35" s="40" t="str">
        <f>VLOOKUP(J35,Key!$A$24:$B$29,2,FALSE)</f>
        <v>20-29</v>
      </c>
      <c r="L35" s="33" t="s">
        <v>169</v>
      </c>
      <c r="M35" s="29" t="s">
        <v>168</v>
      </c>
      <c r="N35" s="33" t="s">
        <v>152</v>
      </c>
      <c r="O35" s="35">
        <v>1</v>
      </c>
      <c r="P35" s="30" t="str">
        <f>VLOOKUP(O35,Key!$E$2:$F$9,2,FALSE)</f>
        <v>Home</v>
      </c>
      <c r="Q35" s="33" t="s">
        <v>165</v>
      </c>
      <c r="R35" s="29" t="s">
        <v>151</v>
      </c>
      <c r="S35" s="33" t="s">
        <v>152</v>
      </c>
      <c r="T35" s="29">
        <v>2</v>
      </c>
      <c r="U35" s="30" t="str">
        <f>VLOOKUP(T35,Key!$E$2:$F$9,2,FALSE)</f>
        <v>Work</v>
      </c>
      <c r="V35" s="30" t="str">
        <f t="shared" si="0"/>
        <v>Home-Work</v>
      </c>
      <c r="W35" s="29">
        <v>19000</v>
      </c>
      <c r="X35" s="34"/>
      <c r="Y35" s="50" t="str">
        <f t="shared" si="1"/>
        <v>0-10</v>
      </c>
      <c r="Z35" s="34">
        <v>4</v>
      </c>
      <c r="AA35" s="50" t="str">
        <f t="shared" si="2"/>
        <v>Over 3.5</v>
      </c>
      <c r="AB35" s="29">
        <v>5</v>
      </c>
      <c r="AC35" s="30" t="str">
        <f>VLOOKUP(AB35,Key!$C$20:$D$29,2,FALSE)</f>
        <v>Professional</v>
      </c>
      <c r="AD35" s="29">
        <v>4</v>
      </c>
      <c r="AE35" s="30" t="str">
        <f>VLOOKUP(AD35,Key!$E$20:$F$24,2,FALSE)</f>
        <v>750,000-1,000,000</v>
      </c>
      <c r="AF35" s="29">
        <v>4</v>
      </c>
      <c r="AG35" s="34">
        <v>1</v>
      </c>
      <c r="AH35" s="34">
        <v>2</v>
      </c>
      <c r="AI35" s="34">
        <v>3</v>
      </c>
      <c r="AJ35" s="34">
        <v>5</v>
      </c>
      <c r="AK35" s="35" t="s">
        <v>94</v>
      </c>
      <c r="AL35" s="36">
        <v>5000</v>
      </c>
      <c r="AM35" t="str">
        <f t="shared" si="3"/>
        <v>5000-10000</v>
      </c>
    </row>
    <row r="36" spans="1:39" x14ac:dyDescent="0.2">
      <c r="A36" s="44">
        <v>43762</v>
      </c>
      <c r="B36" s="31">
        <v>0.72916666666666663</v>
      </c>
      <c r="C36" s="31"/>
      <c r="D36" s="31" t="s">
        <v>150</v>
      </c>
      <c r="E36" s="33">
        <v>2</v>
      </c>
      <c r="F36" s="38" t="str">
        <f>VLOOKUP(E36,Key!$A$17:$B$21,2,FALSE)</f>
        <v>Road Vehicle</v>
      </c>
      <c r="G36" s="32">
        <v>4</v>
      </c>
      <c r="H36" s="39" t="str">
        <f>VLOOKUP(G36,Key!$A$2:$B$13,2,FALSE)</f>
        <v>Minibus</v>
      </c>
      <c r="I36" s="33" t="s">
        <v>109</v>
      </c>
      <c r="J36" s="33">
        <v>1</v>
      </c>
      <c r="K36" s="40" t="str">
        <f>VLOOKUP(J36,Key!$A$24:$B$29,2,FALSE)</f>
        <v>20-29</v>
      </c>
      <c r="L36" s="33" t="s">
        <v>151</v>
      </c>
      <c r="M36" s="29" t="s">
        <v>151</v>
      </c>
      <c r="N36" s="33" t="s">
        <v>152</v>
      </c>
      <c r="O36" s="35">
        <v>1</v>
      </c>
      <c r="P36" s="30" t="str">
        <f>VLOOKUP(O36,Key!$E$2:$F$9,2,FALSE)</f>
        <v>Home</v>
      </c>
      <c r="Q36" s="33" t="s">
        <v>171</v>
      </c>
      <c r="R36" s="29" t="s">
        <v>168</v>
      </c>
      <c r="S36" s="33" t="s">
        <v>152</v>
      </c>
      <c r="T36" s="29">
        <v>1</v>
      </c>
      <c r="U36" s="30" t="str">
        <f>VLOOKUP(T36,Key!$E$2:$F$9,2,FALSE)</f>
        <v>Home</v>
      </c>
      <c r="V36" s="30" t="str">
        <f t="shared" si="0"/>
        <v>Home-Home</v>
      </c>
      <c r="W36" s="29">
        <v>13000</v>
      </c>
      <c r="X36" s="34"/>
      <c r="Y36" s="50" t="str">
        <f t="shared" si="1"/>
        <v>0-10</v>
      </c>
      <c r="Z36" s="34">
        <v>3</v>
      </c>
      <c r="AA36" s="50" t="str">
        <f t="shared" si="2"/>
        <v>2.0-3.5</v>
      </c>
      <c r="AB36" s="29">
        <v>4</v>
      </c>
      <c r="AC36" s="30" t="str">
        <f>VLOOKUP(AB36,Key!$C$20:$D$29,2,FALSE)</f>
        <v>Office Worker</v>
      </c>
      <c r="AD36" s="29">
        <v>2</v>
      </c>
      <c r="AE36" s="30" t="str">
        <f>VLOOKUP(AD36,Key!$E$20:$F$24,2,FALSE)</f>
        <v>300,000-500,000</v>
      </c>
      <c r="AF36" s="29">
        <v>4</v>
      </c>
      <c r="AG36" s="34">
        <v>1</v>
      </c>
      <c r="AH36" s="34">
        <v>2</v>
      </c>
      <c r="AI36" s="34">
        <v>3</v>
      </c>
      <c r="AJ36" s="34">
        <v>3</v>
      </c>
      <c r="AK36" s="35" t="s">
        <v>94</v>
      </c>
      <c r="AL36" s="36">
        <v>2000</v>
      </c>
      <c r="AM36" t="str">
        <f t="shared" si="3"/>
        <v>2000-3000</v>
      </c>
    </row>
    <row r="37" spans="1:39" x14ac:dyDescent="0.2">
      <c r="A37" s="44">
        <v>43762</v>
      </c>
      <c r="B37" s="31">
        <v>0.38958333333333334</v>
      </c>
      <c r="C37" s="31"/>
      <c r="D37" s="31" t="s">
        <v>150</v>
      </c>
      <c r="E37" s="33">
        <v>2</v>
      </c>
      <c r="F37" s="38" t="str">
        <f>VLOOKUP(E37,Key!$A$17:$B$21,2,FALSE)</f>
        <v>Road Vehicle</v>
      </c>
      <c r="G37" s="32">
        <v>4</v>
      </c>
      <c r="H37" s="39" t="str">
        <f>VLOOKUP(G37,Key!$A$2:$B$13,2,FALSE)</f>
        <v>Minibus</v>
      </c>
      <c r="I37" s="33" t="s">
        <v>109</v>
      </c>
      <c r="J37" s="33">
        <v>1</v>
      </c>
      <c r="K37" s="40" t="str">
        <f>VLOOKUP(J37,Key!$A$24:$B$29,2,FALSE)</f>
        <v>20-29</v>
      </c>
      <c r="L37" s="33" t="s">
        <v>151</v>
      </c>
      <c r="M37" s="29" t="s">
        <v>151</v>
      </c>
      <c r="N37" s="33" t="s">
        <v>152</v>
      </c>
      <c r="O37" s="35">
        <v>1</v>
      </c>
      <c r="P37" s="30" t="str">
        <f>VLOOKUP(O37,Key!$E$2:$F$9,2,FALSE)</f>
        <v>Home</v>
      </c>
      <c r="Q37" s="33" t="s">
        <v>179</v>
      </c>
      <c r="R37" s="29" t="s">
        <v>180</v>
      </c>
      <c r="S37" s="33" t="s">
        <v>152</v>
      </c>
      <c r="T37" s="29">
        <v>4</v>
      </c>
      <c r="U37" s="30" t="str">
        <f>VLOOKUP(T37,Key!$E$2:$F$9,2,FALSE)</f>
        <v>Commercial</v>
      </c>
      <c r="V37" s="30" t="str">
        <f t="shared" si="0"/>
        <v>Home-Commercial</v>
      </c>
      <c r="W37" s="29">
        <v>10000</v>
      </c>
      <c r="X37" s="34">
        <v>140</v>
      </c>
      <c r="Y37" s="50" t="str">
        <f t="shared" si="1"/>
        <v>100-200</v>
      </c>
      <c r="Z37" s="34">
        <v>3</v>
      </c>
      <c r="AA37" s="50" t="str">
        <f t="shared" si="2"/>
        <v>2.0-3.5</v>
      </c>
      <c r="AB37" s="29">
        <v>7</v>
      </c>
      <c r="AC37" s="30" t="str">
        <f>VLOOKUP(AB37,Key!$C$20:$D$29,2,FALSE)</f>
        <v>Farmer</v>
      </c>
      <c r="AD37" s="29">
        <v>2</v>
      </c>
      <c r="AE37" s="30" t="str">
        <f>VLOOKUP(AD37,Key!$E$20:$F$24,2,FALSE)</f>
        <v>300,000-500,000</v>
      </c>
      <c r="AF37" s="29">
        <v>1</v>
      </c>
      <c r="AG37" s="34">
        <v>3</v>
      </c>
      <c r="AH37" s="34">
        <v>4</v>
      </c>
      <c r="AI37" s="34">
        <v>5</v>
      </c>
      <c r="AJ37" s="34">
        <v>2</v>
      </c>
      <c r="AK37" s="35" t="s">
        <v>94</v>
      </c>
      <c r="AL37" s="36">
        <v>1000</v>
      </c>
      <c r="AM37" t="str">
        <f t="shared" si="3"/>
        <v>1000-2000</v>
      </c>
    </row>
    <row r="38" spans="1:39" x14ac:dyDescent="0.2">
      <c r="A38" s="44">
        <v>43763</v>
      </c>
      <c r="B38" s="31">
        <v>0.72083333333333333</v>
      </c>
      <c r="C38" s="31"/>
      <c r="D38" s="31" t="s">
        <v>150</v>
      </c>
      <c r="E38" s="33">
        <v>2</v>
      </c>
      <c r="F38" s="38" t="str">
        <f>VLOOKUP(E38,Key!$A$17:$B$21,2,FALSE)</f>
        <v>Road Vehicle</v>
      </c>
      <c r="G38" s="32">
        <v>4</v>
      </c>
      <c r="H38" s="39" t="str">
        <f>VLOOKUP(G38,Key!$A$2:$B$13,2,FALSE)</f>
        <v>Minibus</v>
      </c>
      <c r="I38" s="33" t="s">
        <v>109</v>
      </c>
      <c r="J38" s="33">
        <v>1</v>
      </c>
      <c r="K38" s="40" t="str">
        <f>VLOOKUP(J38,Key!$A$24:$B$29,2,FALSE)</f>
        <v>20-29</v>
      </c>
      <c r="L38" s="33" t="s">
        <v>151</v>
      </c>
      <c r="M38" s="29" t="s">
        <v>151</v>
      </c>
      <c r="N38" s="33" t="s">
        <v>152</v>
      </c>
      <c r="O38" s="35">
        <v>1</v>
      </c>
      <c r="P38" s="30" t="str">
        <f>VLOOKUP(O38,Key!$E$2:$F$9,2,FALSE)</f>
        <v>Home</v>
      </c>
      <c r="Q38" s="33" t="s">
        <v>186</v>
      </c>
      <c r="R38" s="29" t="s">
        <v>177</v>
      </c>
      <c r="S38" s="33" t="s">
        <v>152</v>
      </c>
      <c r="T38" s="29">
        <v>6</v>
      </c>
      <c r="U38" s="30" t="str">
        <f>VLOOKUP(T38,Key!$E$2:$F$9,2,FALSE)</f>
        <v>Leisure/Social</v>
      </c>
      <c r="V38" s="30" t="str">
        <f t="shared" si="0"/>
        <v>Home-Leisure/Social</v>
      </c>
      <c r="W38" s="29">
        <v>7000</v>
      </c>
      <c r="X38" s="34">
        <v>80</v>
      </c>
      <c r="Y38" s="50" t="str">
        <f t="shared" si="1"/>
        <v>70-100</v>
      </c>
      <c r="Z38" s="34">
        <v>2</v>
      </c>
      <c r="AA38" s="50" t="str">
        <f t="shared" si="2"/>
        <v>2.0-3.5</v>
      </c>
      <c r="AB38" s="29">
        <v>1</v>
      </c>
      <c r="AC38" s="30" t="str">
        <f>VLOOKUP(AB38,Key!$C$20:$D$29,2,FALSE)</f>
        <v>Unemployed</v>
      </c>
      <c r="AD38" s="29">
        <v>1</v>
      </c>
      <c r="AE38" s="30" t="str">
        <f>VLOOKUP(AD38,Key!$E$20:$F$24,2,FALSE)</f>
        <v>&lt;300,000</v>
      </c>
      <c r="AF38" s="29">
        <v>1</v>
      </c>
      <c r="AG38" s="34">
        <v>2</v>
      </c>
      <c r="AH38" s="34"/>
      <c r="AI38" s="34">
        <v>2</v>
      </c>
      <c r="AJ38" s="34">
        <v>2</v>
      </c>
      <c r="AK38" s="35" t="s">
        <v>94</v>
      </c>
      <c r="AL38" s="36">
        <v>3000</v>
      </c>
      <c r="AM38" t="str">
        <f t="shared" si="3"/>
        <v>3000-5000</v>
      </c>
    </row>
    <row r="39" spans="1:39" x14ac:dyDescent="0.2">
      <c r="A39" s="44">
        <v>43763</v>
      </c>
      <c r="B39" s="31">
        <v>0.70624999999999993</v>
      </c>
      <c r="C39" s="31"/>
      <c r="D39" s="31" t="s">
        <v>97</v>
      </c>
      <c r="E39" s="33">
        <v>2</v>
      </c>
      <c r="F39" s="38" t="str">
        <f>VLOOKUP(E39,Key!$A$17:$B$21,2,FALSE)</f>
        <v>Road Vehicle</v>
      </c>
      <c r="G39" s="32">
        <v>4</v>
      </c>
      <c r="H39" s="39" t="str">
        <f>VLOOKUP(G39,Key!$A$2:$B$13,2,FALSE)</f>
        <v>Minibus</v>
      </c>
      <c r="I39" s="33" t="s">
        <v>109</v>
      </c>
      <c r="J39" s="33">
        <v>1</v>
      </c>
      <c r="K39" s="40" t="str">
        <f>VLOOKUP(J39,Key!$A$24:$B$29,2,FALSE)</f>
        <v>20-29</v>
      </c>
      <c r="L39" s="33" t="s">
        <v>151</v>
      </c>
      <c r="M39" s="29" t="s">
        <v>151</v>
      </c>
      <c r="N39" s="33" t="s">
        <v>152</v>
      </c>
      <c r="O39" s="35">
        <v>1</v>
      </c>
      <c r="P39" s="30" t="str">
        <f>VLOOKUP(O39,Key!$E$2:$F$9,2,FALSE)</f>
        <v>Home</v>
      </c>
      <c r="Q39" s="33" t="s">
        <v>187</v>
      </c>
      <c r="R39" s="29" t="s">
        <v>167</v>
      </c>
      <c r="S39" s="33" t="s">
        <v>152</v>
      </c>
      <c r="T39" s="29">
        <v>2</v>
      </c>
      <c r="U39" s="30" t="str">
        <f>VLOOKUP(T39,Key!$E$2:$F$9,2,FALSE)</f>
        <v>Work</v>
      </c>
      <c r="V39" s="30" t="str">
        <f t="shared" si="0"/>
        <v>Home-Work</v>
      </c>
      <c r="W39" s="29">
        <v>65000</v>
      </c>
      <c r="X39" s="34">
        <v>75</v>
      </c>
      <c r="Y39" s="50" t="str">
        <f t="shared" si="1"/>
        <v>70-100</v>
      </c>
      <c r="Z39" s="34">
        <v>2</v>
      </c>
      <c r="AA39" s="50" t="str">
        <f t="shared" si="2"/>
        <v>2.0-3.5</v>
      </c>
      <c r="AB39" s="29">
        <v>5</v>
      </c>
      <c r="AC39" s="30" t="str">
        <f>VLOOKUP(AB39,Key!$C$20:$D$29,2,FALSE)</f>
        <v>Professional</v>
      </c>
      <c r="AD39" s="29">
        <v>3</v>
      </c>
      <c r="AE39" s="30" t="str">
        <f>VLOOKUP(AD39,Key!$E$20:$F$24,2,FALSE)</f>
        <v>500,000-750,000</v>
      </c>
      <c r="AF39" s="29">
        <v>2</v>
      </c>
      <c r="AG39" s="34">
        <v>3</v>
      </c>
      <c r="AH39" s="34">
        <v>4</v>
      </c>
      <c r="AI39" s="34">
        <v>1</v>
      </c>
      <c r="AJ39" s="34">
        <v>5</v>
      </c>
      <c r="AK39" s="35" t="s">
        <v>94</v>
      </c>
      <c r="AL39" s="36">
        <v>2000</v>
      </c>
      <c r="AM39" t="str">
        <f t="shared" si="3"/>
        <v>2000-3000</v>
      </c>
    </row>
    <row r="40" spans="1:39" x14ac:dyDescent="0.2">
      <c r="A40" s="44">
        <v>43763</v>
      </c>
      <c r="B40" s="31">
        <v>0.68333333333333324</v>
      </c>
      <c r="C40" s="31"/>
      <c r="D40" s="31" t="s">
        <v>150</v>
      </c>
      <c r="E40" s="33">
        <v>2</v>
      </c>
      <c r="F40" s="38" t="str">
        <f>VLOOKUP(E40,Key!$A$17:$B$21,2,FALSE)</f>
        <v>Road Vehicle</v>
      </c>
      <c r="G40" s="32">
        <v>4</v>
      </c>
      <c r="H40" s="39" t="str">
        <f>VLOOKUP(G40,Key!$A$2:$B$13,2,FALSE)</f>
        <v>Minibus</v>
      </c>
      <c r="I40" s="33" t="s">
        <v>109</v>
      </c>
      <c r="J40" s="33">
        <v>1</v>
      </c>
      <c r="K40" s="40" t="str">
        <f>VLOOKUP(J40,Key!$A$24:$B$29,2,FALSE)</f>
        <v>20-29</v>
      </c>
      <c r="L40" s="33" t="s">
        <v>151</v>
      </c>
      <c r="M40" s="29" t="s">
        <v>151</v>
      </c>
      <c r="N40" s="33" t="s">
        <v>152</v>
      </c>
      <c r="O40" s="35">
        <v>1</v>
      </c>
      <c r="P40" s="30" t="str">
        <f>VLOOKUP(O40,Key!$E$2:$F$9,2,FALSE)</f>
        <v>Home</v>
      </c>
      <c r="Q40" s="33" t="s">
        <v>187</v>
      </c>
      <c r="R40" s="29" t="s">
        <v>167</v>
      </c>
      <c r="S40" s="33" t="s">
        <v>152</v>
      </c>
      <c r="T40" s="29">
        <v>2</v>
      </c>
      <c r="U40" s="30" t="str">
        <f>VLOOKUP(T40,Key!$E$2:$F$9,2,FALSE)</f>
        <v>Work</v>
      </c>
      <c r="V40" s="30" t="str">
        <f t="shared" si="0"/>
        <v>Home-Work</v>
      </c>
      <c r="W40" s="29">
        <v>8000</v>
      </c>
      <c r="X40" s="34">
        <v>80</v>
      </c>
      <c r="Y40" s="50" t="str">
        <f t="shared" si="1"/>
        <v>70-100</v>
      </c>
      <c r="Z40" s="34">
        <v>3</v>
      </c>
      <c r="AA40" s="50" t="str">
        <f t="shared" si="2"/>
        <v>2.0-3.5</v>
      </c>
      <c r="AB40" s="29">
        <v>2</v>
      </c>
      <c r="AC40" s="30" t="str">
        <f>VLOOKUP(AB40,Key!$C$20:$D$29,2,FALSE)</f>
        <v>Manual Labour</v>
      </c>
      <c r="AD40" s="29">
        <v>2</v>
      </c>
      <c r="AE40" s="30" t="str">
        <f>VLOOKUP(AD40,Key!$E$20:$F$24,2,FALSE)</f>
        <v>300,000-500,000</v>
      </c>
      <c r="AF40" s="29">
        <v>2</v>
      </c>
      <c r="AG40" s="34">
        <v>3</v>
      </c>
      <c r="AH40" s="34">
        <v>2</v>
      </c>
      <c r="AI40" s="34">
        <v>4</v>
      </c>
      <c r="AJ40" s="34">
        <v>5</v>
      </c>
      <c r="AK40" s="35" t="s">
        <v>94</v>
      </c>
      <c r="AL40" s="36">
        <v>3000</v>
      </c>
      <c r="AM40" t="str">
        <f t="shared" si="3"/>
        <v>3000-5000</v>
      </c>
    </row>
    <row r="41" spans="1:39" x14ac:dyDescent="0.2">
      <c r="A41" s="44">
        <v>43763</v>
      </c>
      <c r="B41" s="31">
        <v>0.37986111111111115</v>
      </c>
      <c r="C41" s="31"/>
      <c r="D41" s="31" t="s">
        <v>150</v>
      </c>
      <c r="E41" s="33">
        <v>2</v>
      </c>
      <c r="F41" s="38" t="str">
        <f>VLOOKUP(E41,Key!$A$17:$B$21,2,FALSE)</f>
        <v>Road Vehicle</v>
      </c>
      <c r="G41" s="32">
        <v>4</v>
      </c>
      <c r="H41" s="39" t="str">
        <f>VLOOKUP(G41,Key!$A$2:$B$13,2,FALSE)</f>
        <v>Minibus</v>
      </c>
      <c r="I41" s="33" t="s">
        <v>109</v>
      </c>
      <c r="J41" s="33">
        <v>1</v>
      </c>
      <c r="K41" s="40" t="str">
        <f>VLOOKUP(J41,Key!$A$24:$B$29,2,FALSE)</f>
        <v>20-29</v>
      </c>
      <c r="L41" s="33" t="s">
        <v>151</v>
      </c>
      <c r="M41" s="29" t="s">
        <v>151</v>
      </c>
      <c r="N41" s="33" t="s">
        <v>152</v>
      </c>
      <c r="O41" s="35">
        <v>1</v>
      </c>
      <c r="P41" s="30" t="str">
        <f>VLOOKUP(O41,Key!$E$2:$F$9,2,FALSE)</f>
        <v>Home</v>
      </c>
      <c r="Q41" s="33" t="s">
        <v>179</v>
      </c>
      <c r="R41" s="29" t="s">
        <v>180</v>
      </c>
      <c r="S41" s="33" t="s">
        <v>152</v>
      </c>
      <c r="T41" s="29">
        <v>4</v>
      </c>
      <c r="U41" s="30" t="str">
        <f>VLOOKUP(T41,Key!$E$2:$F$9,2,FALSE)</f>
        <v>Commercial</v>
      </c>
      <c r="V41" s="30" t="str">
        <f t="shared" si="0"/>
        <v>Home-Commercial</v>
      </c>
      <c r="W41" s="29">
        <v>1000</v>
      </c>
      <c r="X41" s="34">
        <v>140</v>
      </c>
      <c r="Y41" s="50" t="str">
        <f t="shared" si="1"/>
        <v>100-200</v>
      </c>
      <c r="Z41" s="34">
        <v>3</v>
      </c>
      <c r="AA41" s="50" t="str">
        <f t="shared" si="2"/>
        <v>2.0-3.5</v>
      </c>
      <c r="AB41" s="29">
        <v>3</v>
      </c>
      <c r="AC41" s="30" t="str">
        <f>VLOOKUP(AB41,Key!$C$20:$D$29,2,FALSE)</f>
        <v>Artisan/Domestic</v>
      </c>
      <c r="AD41" s="29">
        <v>2</v>
      </c>
      <c r="AE41" s="30" t="str">
        <f>VLOOKUP(AD41,Key!$E$20:$F$24,2,FALSE)</f>
        <v>300,000-500,000</v>
      </c>
      <c r="AF41" s="29">
        <v>1</v>
      </c>
      <c r="AG41" s="34">
        <v>3</v>
      </c>
      <c r="AH41" s="34">
        <v>2</v>
      </c>
      <c r="AI41" s="34">
        <v>5</v>
      </c>
      <c r="AJ41" s="34">
        <v>4</v>
      </c>
      <c r="AK41" s="35" t="s">
        <v>94</v>
      </c>
      <c r="AL41" s="36"/>
      <c r="AM41" t="str">
        <f t="shared" si="3"/>
        <v>0-1000</v>
      </c>
    </row>
    <row r="42" spans="1:39" x14ac:dyDescent="0.2">
      <c r="A42" s="44">
        <v>43763</v>
      </c>
      <c r="B42" s="31">
        <v>0.38541666666666669</v>
      </c>
      <c r="C42" s="31"/>
      <c r="D42" s="31" t="s">
        <v>150</v>
      </c>
      <c r="E42" s="33">
        <v>2</v>
      </c>
      <c r="F42" s="38" t="str">
        <f>VLOOKUP(E42,Key!$A$17:$B$21,2,FALSE)</f>
        <v>Road Vehicle</v>
      </c>
      <c r="G42" s="32">
        <v>4</v>
      </c>
      <c r="H42" s="39" t="str">
        <f>VLOOKUP(G42,Key!$A$2:$B$13,2,FALSE)</f>
        <v>Minibus</v>
      </c>
      <c r="I42" s="33" t="s">
        <v>109</v>
      </c>
      <c r="J42" s="33">
        <v>1</v>
      </c>
      <c r="K42" s="40" t="str">
        <f>VLOOKUP(J42,Key!$A$24:$B$29,2,FALSE)</f>
        <v>20-29</v>
      </c>
      <c r="L42" s="33" t="s">
        <v>151</v>
      </c>
      <c r="M42" s="29" t="s">
        <v>151</v>
      </c>
      <c r="N42" s="33" t="s">
        <v>152</v>
      </c>
      <c r="O42" s="35">
        <v>1</v>
      </c>
      <c r="P42" s="30" t="str">
        <f>VLOOKUP(O42,Key!$E$2:$F$9,2,FALSE)</f>
        <v>Home</v>
      </c>
      <c r="Q42" s="33" t="s">
        <v>190</v>
      </c>
      <c r="R42" s="29" t="s">
        <v>151</v>
      </c>
      <c r="S42" s="33" t="s">
        <v>152</v>
      </c>
      <c r="T42" s="29">
        <v>2</v>
      </c>
      <c r="U42" s="30" t="str">
        <f>VLOOKUP(T42,Key!$E$2:$F$9,2,FALSE)</f>
        <v>Work</v>
      </c>
      <c r="V42" s="30" t="str">
        <f t="shared" si="0"/>
        <v>Home-Work</v>
      </c>
      <c r="W42" s="29">
        <v>5000</v>
      </c>
      <c r="X42" s="34">
        <v>30</v>
      </c>
      <c r="Y42" s="50" t="str">
        <f t="shared" si="1"/>
        <v>20-40</v>
      </c>
      <c r="Z42" s="34">
        <v>1</v>
      </c>
      <c r="AA42" s="50" t="str">
        <f t="shared" si="2"/>
        <v>1.0-2.0</v>
      </c>
      <c r="AB42" s="29">
        <v>2</v>
      </c>
      <c r="AC42" s="30" t="str">
        <f>VLOOKUP(AB42,Key!$C$20:$D$29,2,FALSE)</f>
        <v>Manual Labour</v>
      </c>
      <c r="AD42" s="29">
        <v>1</v>
      </c>
      <c r="AE42" s="30" t="str">
        <f>VLOOKUP(AD42,Key!$E$20:$F$24,2,FALSE)</f>
        <v>&lt;300,000</v>
      </c>
      <c r="AF42" s="29">
        <v>2</v>
      </c>
      <c r="AG42" s="34">
        <v>3</v>
      </c>
      <c r="AH42" s="34">
        <v>5</v>
      </c>
      <c r="AI42" s="34">
        <v>4</v>
      </c>
      <c r="AJ42" s="34">
        <v>1</v>
      </c>
      <c r="AK42" s="35" t="s">
        <v>94</v>
      </c>
      <c r="AL42" s="36">
        <v>5000</v>
      </c>
      <c r="AM42" t="str">
        <f t="shared" si="3"/>
        <v>5000-10000</v>
      </c>
    </row>
    <row r="43" spans="1:39" x14ac:dyDescent="0.2">
      <c r="A43" s="44">
        <v>43763</v>
      </c>
      <c r="B43" s="31">
        <v>0.34166666666666662</v>
      </c>
      <c r="C43" s="31"/>
      <c r="D43" s="31" t="s">
        <v>97</v>
      </c>
      <c r="E43" s="33">
        <v>2</v>
      </c>
      <c r="F43" s="38" t="str">
        <f>VLOOKUP(E43,Key!$A$17:$B$21,2,FALSE)</f>
        <v>Road Vehicle</v>
      </c>
      <c r="G43" s="32">
        <v>4</v>
      </c>
      <c r="H43" s="39" t="str">
        <f>VLOOKUP(G43,Key!$A$2:$B$13,2,FALSE)</f>
        <v>Minibus</v>
      </c>
      <c r="I43" s="33" t="s">
        <v>109</v>
      </c>
      <c r="J43" s="33">
        <v>1</v>
      </c>
      <c r="K43" s="40" t="str">
        <f>VLOOKUP(J43,Key!$A$24:$B$29,2,FALSE)</f>
        <v>20-29</v>
      </c>
      <c r="L43" s="33" t="s">
        <v>151</v>
      </c>
      <c r="M43" s="29" t="s">
        <v>151</v>
      </c>
      <c r="N43" s="33" t="s">
        <v>152</v>
      </c>
      <c r="O43" s="35">
        <v>1</v>
      </c>
      <c r="P43" s="30" t="str">
        <f>VLOOKUP(O43,Key!$E$2:$F$9,2,FALSE)</f>
        <v>Home</v>
      </c>
      <c r="Q43" s="33" t="s">
        <v>160</v>
      </c>
      <c r="R43" s="29" t="s">
        <v>160</v>
      </c>
      <c r="S43" s="33" t="s">
        <v>152</v>
      </c>
      <c r="T43" s="29">
        <v>2</v>
      </c>
      <c r="U43" s="30" t="str">
        <f>VLOOKUP(T43,Key!$E$2:$F$9,2,FALSE)</f>
        <v>Work</v>
      </c>
      <c r="V43" s="30" t="str">
        <f t="shared" si="0"/>
        <v>Home-Work</v>
      </c>
      <c r="W43" s="29">
        <v>120000</v>
      </c>
      <c r="X43" s="34">
        <v>45</v>
      </c>
      <c r="Y43" s="50" t="str">
        <f t="shared" si="1"/>
        <v>40-70</v>
      </c>
      <c r="Z43" s="34">
        <v>2</v>
      </c>
      <c r="AA43" s="50" t="str">
        <f t="shared" si="2"/>
        <v>2.0-3.5</v>
      </c>
      <c r="AB43" s="29">
        <v>2</v>
      </c>
      <c r="AC43" s="30" t="str">
        <f>VLOOKUP(AB43,Key!$C$20:$D$29,2,FALSE)</f>
        <v>Manual Labour</v>
      </c>
      <c r="AD43" s="29">
        <v>1</v>
      </c>
      <c r="AE43" s="30" t="str">
        <f>VLOOKUP(AD43,Key!$E$20:$F$24,2,FALSE)</f>
        <v>&lt;300,000</v>
      </c>
      <c r="AF43" s="29">
        <v>1</v>
      </c>
      <c r="AG43" s="34">
        <v>5</v>
      </c>
      <c r="AH43" s="34">
        <v>3</v>
      </c>
      <c r="AI43" s="34">
        <v>1</v>
      </c>
      <c r="AJ43" s="34">
        <v>2</v>
      </c>
      <c r="AK43" s="35" t="s">
        <v>94</v>
      </c>
      <c r="AL43" s="36">
        <v>3000</v>
      </c>
      <c r="AM43" t="str">
        <f t="shared" si="3"/>
        <v>3000-5000</v>
      </c>
    </row>
    <row r="44" spans="1:39" x14ac:dyDescent="0.2">
      <c r="A44" s="44">
        <v>43763</v>
      </c>
      <c r="B44" s="31">
        <v>0.38958333333333334</v>
      </c>
      <c r="C44" s="31"/>
      <c r="D44" s="31" t="s">
        <v>97</v>
      </c>
      <c r="E44" s="33">
        <v>2</v>
      </c>
      <c r="F44" s="38" t="str">
        <f>VLOOKUP(E44,Key!$A$17:$B$21,2,FALSE)</f>
        <v>Road Vehicle</v>
      </c>
      <c r="G44" s="32">
        <v>4</v>
      </c>
      <c r="H44" s="39" t="str">
        <f>VLOOKUP(G44,Key!$A$2:$B$13,2,FALSE)</f>
        <v>Minibus</v>
      </c>
      <c r="I44" s="33" t="s">
        <v>109</v>
      </c>
      <c r="J44" s="33">
        <v>1</v>
      </c>
      <c r="K44" s="40" t="str">
        <f>VLOOKUP(J44,Key!$A$24:$B$29,2,FALSE)</f>
        <v>20-29</v>
      </c>
      <c r="L44" s="33" t="s">
        <v>151</v>
      </c>
      <c r="M44" s="29" t="s">
        <v>151</v>
      </c>
      <c r="N44" s="33" t="s">
        <v>152</v>
      </c>
      <c r="O44" s="35">
        <v>1</v>
      </c>
      <c r="P44" s="30" t="str">
        <f>VLOOKUP(O44,Key!$E$2:$F$9,2,FALSE)</f>
        <v>Home</v>
      </c>
      <c r="Q44" s="33" t="s">
        <v>191</v>
      </c>
      <c r="R44" s="29" t="s">
        <v>151</v>
      </c>
      <c r="S44" s="33" t="s">
        <v>152</v>
      </c>
      <c r="T44" s="29">
        <v>2</v>
      </c>
      <c r="U44" s="30" t="str">
        <f>VLOOKUP(T44,Key!$E$2:$F$9,2,FALSE)</f>
        <v>Work</v>
      </c>
      <c r="V44" s="30" t="str">
        <f t="shared" si="0"/>
        <v>Home-Work</v>
      </c>
      <c r="W44" s="29">
        <v>5000</v>
      </c>
      <c r="X44" s="34">
        <v>15</v>
      </c>
      <c r="Y44" s="50" t="str">
        <f t="shared" si="1"/>
        <v>10-20</v>
      </c>
      <c r="Z44" s="34">
        <v>1</v>
      </c>
      <c r="AA44" s="50" t="str">
        <f t="shared" si="2"/>
        <v>1.0-2.0</v>
      </c>
      <c r="AB44" s="29">
        <v>4</v>
      </c>
      <c r="AC44" s="30" t="str">
        <f>VLOOKUP(AB44,Key!$C$20:$D$29,2,FALSE)</f>
        <v>Office Worker</v>
      </c>
      <c r="AD44" s="29">
        <v>1</v>
      </c>
      <c r="AE44" s="30" t="str">
        <f>VLOOKUP(AD44,Key!$E$20:$F$24,2,FALSE)</f>
        <v>&lt;300,000</v>
      </c>
      <c r="AF44" s="29">
        <v>1</v>
      </c>
      <c r="AG44" s="34">
        <v>2</v>
      </c>
      <c r="AH44" s="34">
        <v>5</v>
      </c>
      <c r="AI44" s="34">
        <v>4</v>
      </c>
      <c r="AJ44" s="34">
        <v>2</v>
      </c>
      <c r="AK44" s="35" t="s">
        <v>94</v>
      </c>
      <c r="AL44" s="36">
        <v>1000</v>
      </c>
      <c r="AM44" t="str">
        <f t="shared" si="3"/>
        <v>1000-2000</v>
      </c>
    </row>
    <row r="45" spans="1:39" x14ac:dyDescent="0.2">
      <c r="A45" s="44">
        <v>43763</v>
      </c>
      <c r="B45" s="31">
        <v>0.3972222222222222</v>
      </c>
      <c r="C45" s="31"/>
      <c r="D45" s="31" t="s">
        <v>150</v>
      </c>
      <c r="E45" s="33">
        <v>2</v>
      </c>
      <c r="F45" s="38" t="str">
        <f>VLOOKUP(E45,Key!$A$17:$B$21,2,FALSE)</f>
        <v>Road Vehicle</v>
      </c>
      <c r="G45" s="32">
        <v>4</v>
      </c>
      <c r="H45" s="39" t="str">
        <f>VLOOKUP(G45,Key!$A$2:$B$13,2,FALSE)</f>
        <v>Minibus</v>
      </c>
      <c r="I45" s="33" t="s">
        <v>109</v>
      </c>
      <c r="J45" s="33">
        <v>1</v>
      </c>
      <c r="K45" s="40" t="str">
        <f>VLOOKUP(J45,Key!$A$24:$B$29,2,FALSE)</f>
        <v>20-29</v>
      </c>
      <c r="L45" s="33" t="s">
        <v>151</v>
      </c>
      <c r="M45" s="29" t="s">
        <v>151</v>
      </c>
      <c r="N45" s="33" t="s">
        <v>152</v>
      </c>
      <c r="O45" s="35">
        <v>6</v>
      </c>
      <c r="P45" s="30" t="str">
        <f>VLOOKUP(O45,Key!$E$2:$F$9,2,FALSE)</f>
        <v>Leisure/Social</v>
      </c>
      <c r="Q45" s="33" t="s">
        <v>191</v>
      </c>
      <c r="R45" s="29" t="s">
        <v>151</v>
      </c>
      <c r="S45" s="33" t="s">
        <v>152</v>
      </c>
      <c r="T45" s="29">
        <v>1</v>
      </c>
      <c r="U45" s="30" t="str">
        <f>VLOOKUP(T45,Key!$E$2:$F$9,2,FALSE)</f>
        <v>Home</v>
      </c>
      <c r="V45" s="30" t="str">
        <f t="shared" si="0"/>
        <v>Leisure/Social-Home</v>
      </c>
      <c r="W45" s="29">
        <v>5000</v>
      </c>
      <c r="X45" s="34">
        <v>15</v>
      </c>
      <c r="Y45" s="50" t="str">
        <f t="shared" si="1"/>
        <v>10-20</v>
      </c>
      <c r="Z45" s="34">
        <v>2</v>
      </c>
      <c r="AA45" s="50" t="str">
        <f t="shared" si="2"/>
        <v>2.0-3.5</v>
      </c>
      <c r="AB45" s="29">
        <v>7</v>
      </c>
      <c r="AC45" s="30" t="str">
        <f>VLOOKUP(AB45,Key!$C$20:$D$29,2,FALSE)</f>
        <v>Farmer</v>
      </c>
      <c r="AD45" s="29">
        <v>1</v>
      </c>
      <c r="AE45" s="30" t="str">
        <f>VLOOKUP(AD45,Key!$E$20:$F$24,2,FALSE)</f>
        <v>&lt;300,000</v>
      </c>
      <c r="AF45" s="29">
        <v>1</v>
      </c>
      <c r="AG45" s="34">
        <v>2</v>
      </c>
      <c r="AH45" s="34">
        <v>4</v>
      </c>
      <c r="AI45" s="34">
        <v>1</v>
      </c>
      <c r="AJ45" s="34">
        <v>2</v>
      </c>
      <c r="AK45" s="35" t="s">
        <v>94</v>
      </c>
      <c r="AL45" s="36"/>
      <c r="AM45" t="str">
        <f t="shared" si="3"/>
        <v>0-1000</v>
      </c>
    </row>
    <row r="46" spans="1:39" x14ac:dyDescent="0.2">
      <c r="A46" s="44">
        <v>43763</v>
      </c>
      <c r="B46" s="31">
        <v>0.39999999999999997</v>
      </c>
      <c r="C46" s="31"/>
      <c r="D46" s="31" t="s">
        <v>150</v>
      </c>
      <c r="E46" s="33">
        <v>2</v>
      </c>
      <c r="F46" s="38" t="str">
        <f>VLOOKUP(E46,Key!$A$17:$B$21,2,FALSE)</f>
        <v>Road Vehicle</v>
      </c>
      <c r="G46" s="32">
        <v>4</v>
      </c>
      <c r="H46" s="39" t="str">
        <f>VLOOKUP(G46,Key!$A$2:$B$13,2,FALSE)</f>
        <v>Minibus</v>
      </c>
      <c r="I46" s="33" t="s">
        <v>109</v>
      </c>
      <c r="J46" s="33">
        <v>1</v>
      </c>
      <c r="K46" s="40" t="str">
        <f>VLOOKUP(J46,Key!$A$24:$B$29,2,FALSE)</f>
        <v>20-29</v>
      </c>
      <c r="L46" s="33" t="s">
        <v>151</v>
      </c>
      <c r="M46" s="29" t="s">
        <v>151</v>
      </c>
      <c r="N46" s="33" t="s">
        <v>152</v>
      </c>
      <c r="O46" s="35">
        <v>1</v>
      </c>
      <c r="P46" s="30" t="str">
        <f>VLOOKUP(O46,Key!$E$2:$F$9,2,FALSE)</f>
        <v>Home</v>
      </c>
      <c r="Q46" s="33" t="s">
        <v>191</v>
      </c>
      <c r="R46" s="29" t="s">
        <v>151</v>
      </c>
      <c r="S46" s="33" t="s">
        <v>152</v>
      </c>
      <c r="T46" s="29">
        <v>6</v>
      </c>
      <c r="U46" s="30" t="str">
        <f>VLOOKUP(T46,Key!$E$2:$F$9,2,FALSE)</f>
        <v>Leisure/Social</v>
      </c>
      <c r="V46" s="30" t="str">
        <f t="shared" si="0"/>
        <v>Home-Leisure/Social</v>
      </c>
      <c r="W46" s="29">
        <v>5000</v>
      </c>
      <c r="X46" s="34">
        <v>8</v>
      </c>
      <c r="Y46" s="50" t="str">
        <f t="shared" si="1"/>
        <v>0-10</v>
      </c>
      <c r="Z46" s="34">
        <v>1</v>
      </c>
      <c r="AA46" s="50" t="str">
        <f t="shared" si="2"/>
        <v>1.0-2.0</v>
      </c>
      <c r="AB46" s="29">
        <v>6</v>
      </c>
      <c r="AC46" s="30" t="str">
        <f>VLOOKUP(AB46,Key!$C$20:$D$29,2,FALSE)</f>
        <v>Businessman</v>
      </c>
      <c r="AD46" s="29">
        <v>2</v>
      </c>
      <c r="AE46" s="30" t="str">
        <f>VLOOKUP(AD46,Key!$E$20:$F$24,2,FALSE)</f>
        <v>300,000-500,000</v>
      </c>
      <c r="AF46" s="29">
        <v>3</v>
      </c>
      <c r="AG46" s="34">
        <v>4</v>
      </c>
      <c r="AH46" s="34">
        <v>1</v>
      </c>
      <c r="AI46" s="34">
        <v>2</v>
      </c>
      <c r="AJ46" s="34">
        <v>5</v>
      </c>
      <c r="AK46" s="35" t="s">
        <v>94</v>
      </c>
      <c r="AL46" s="36">
        <v>3000</v>
      </c>
      <c r="AM46" t="str">
        <f t="shared" si="3"/>
        <v>3000-5000</v>
      </c>
    </row>
    <row r="47" spans="1:39" x14ac:dyDescent="0.2">
      <c r="A47" s="44">
        <v>43763</v>
      </c>
      <c r="B47" s="31">
        <v>0.40347222222222223</v>
      </c>
      <c r="C47" s="31"/>
      <c r="D47" s="31" t="s">
        <v>97</v>
      </c>
      <c r="E47" s="33">
        <v>2</v>
      </c>
      <c r="F47" s="38" t="str">
        <f>VLOOKUP(E47,Key!$A$17:$B$21,2,FALSE)</f>
        <v>Road Vehicle</v>
      </c>
      <c r="G47" s="32">
        <v>4</v>
      </c>
      <c r="H47" s="39" t="str">
        <f>VLOOKUP(G47,Key!$A$2:$B$13,2,FALSE)</f>
        <v>Minibus</v>
      </c>
      <c r="I47" s="33" t="s">
        <v>109</v>
      </c>
      <c r="J47" s="33">
        <v>1</v>
      </c>
      <c r="K47" s="40" t="str">
        <f>VLOOKUP(J47,Key!$A$24:$B$29,2,FALSE)</f>
        <v>20-29</v>
      </c>
      <c r="L47" s="33" t="s">
        <v>151</v>
      </c>
      <c r="M47" s="29" t="s">
        <v>151</v>
      </c>
      <c r="N47" s="33" t="s">
        <v>152</v>
      </c>
      <c r="O47" s="35">
        <v>1</v>
      </c>
      <c r="P47" s="30" t="str">
        <f>VLOOKUP(O47,Key!$E$2:$F$9,2,FALSE)</f>
        <v>Home</v>
      </c>
      <c r="Q47" s="33" t="s">
        <v>167</v>
      </c>
      <c r="R47" s="29" t="s">
        <v>177</v>
      </c>
      <c r="S47" s="33" t="s">
        <v>152</v>
      </c>
      <c r="T47" s="29">
        <v>2</v>
      </c>
      <c r="U47" s="30" t="str">
        <f>VLOOKUP(T47,Key!$E$2:$F$9,2,FALSE)</f>
        <v>Work</v>
      </c>
      <c r="V47" s="30" t="str">
        <f t="shared" si="0"/>
        <v>Home-Work</v>
      </c>
      <c r="W47" s="29">
        <v>70000</v>
      </c>
      <c r="X47" s="34"/>
      <c r="Y47" s="50" t="str">
        <f t="shared" si="1"/>
        <v>0-10</v>
      </c>
      <c r="Z47" s="34">
        <v>4</v>
      </c>
      <c r="AA47" s="50" t="str">
        <f t="shared" si="2"/>
        <v>Over 3.5</v>
      </c>
      <c r="AB47" s="29">
        <v>2</v>
      </c>
      <c r="AC47" s="30" t="str">
        <f>VLOOKUP(AB47,Key!$C$20:$D$29,2,FALSE)</f>
        <v>Manual Labour</v>
      </c>
      <c r="AD47" s="29">
        <v>2</v>
      </c>
      <c r="AE47" s="30" t="str">
        <f>VLOOKUP(AD47,Key!$E$20:$F$24,2,FALSE)</f>
        <v>300,000-500,000</v>
      </c>
      <c r="AF47" s="29">
        <v>1</v>
      </c>
      <c r="AG47" s="34">
        <v>1</v>
      </c>
      <c r="AH47" s="34">
        <v>4</v>
      </c>
      <c r="AI47" s="34">
        <v>1</v>
      </c>
      <c r="AJ47" s="34">
        <v>2</v>
      </c>
      <c r="AK47" s="35" t="s">
        <v>94</v>
      </c>
      <c r="AL47" s="36">
        <v>4000</v>
      </c>
      <c r="AM47" t="str">
        <f t="shared" si="3"/>
        <v>3000-5000</v>
      </c>
    </row>
    <row r="48" spans="1:39" x14ac:dyDescent="0.2">
      <c r="A48" s="44">
        <v>43763</v>
      </c>
      <c r="B48" s="31">
        <v>0.40486111111111112</v>
      </c>
      <c r="C48" s="31"/>
      <c r="D48" s="31" t="s">
        <v>150</v>
      </c>
      <c r="E48" s="33">
        <v>2</v>
      </c>
      <c r="F48" s="38" t="str">
        <f>VLOOKUP(E48,Key!$A$17:$B$21,2,FALSE)</f>
        <v>Road Vehicle</v>
      </c>
      <c r="G48" s="32">
        <v>4</v>
      </c>
      <c r="H48" s="39" t="str">
        <f>VLOOKUP(G48,Key!$A$2:$B$13,2,FALSE)</f>
        <v>Minibus</v>
      </c>
      <c r="I48" s="33" t="s">
        <v>109</v>
      </c>
      <c r="J48" s="33">
        <v>1</v>
      </c>
      <c r="K48" s="40" t="str">
        <f>VLOOKUP(J48,Key!$A$24:$B$29,2,FALSE)</f>
        <v>20-29</v>
      </c>
      <c r="L48" s="33" t="s">
        <v>151</v>
      </c>
      <c r="M48" s="29" t="s">
        <v>151</v>
      </c>
      <c r="N48" s="33" t="s">
        <v>152</v>
      </c>
      <c r="O48" s="35">
        <v>1</v>
      </c>
      <c r="P48" s="30" t="str">
        <f>VLOOKUP(O48,Key!$E$2:$F$9,2,FALSE)</f>
        <v>Home</v>
      </c>
      <c r="Q48" s="33" t="s">
        <v>151</v>
      </c>
      <c r="R48" s="29" t="s">
        <v>151</v>
      </c>
      <c r="S48" s="33" t="s">
        <v>152</v>
      </c>
      <c r="T48" s="29">
        <v>4</v>
      </c>
      <c r="U48" s="30" t="str">
        <f>VLOOKUP(T48,Key!$E$2:$F$9,2,FALSE)</f>
        <v>Commercial</v>
      </c>
      <c r="V48" s="30" t="str">
        <f t="shared" si="0"/>
        <v>Home-Commercial</v>
      </c>
      <c r="W48" s="29">
        <v>10000</v>
      </c>
      <c r="X48" s="34">
        <v>35</v>
      </c>
      <c r="Y48" s="50" t="str">
        <f t="shared" si="1"/>
        <v>20-40</v>
      </c>
      <c r="Z48" s="34">
        <v>2</v>
      </c>
      <c r="AA48" s="50" t="str">
        <f t="shared" si="2"/>
        <v>2.0-3.5</v>
      </c>
      <c r="AB48" s="29">
        <v>5</v>
      </c>
      <c r="AC48" s="30" t="str">
        <f>VLOOKUP(AB48,Key!$C$20:$D$29,2,FALSE)</f>
        <v>Professional</v>
      </c>
      <c r="AD48" s="29">
        <v>1</v>
      </c>
      <c r="AE48" s="30" t="str">
        <f>VLOOKUP(AD48,Key!$E$20:$F$24,2,FALSE)</f>
        <v>&lt;300,000</v>
      </c>
      <c r="AF48" s="29">
        <v>2</v>
      </c>
      <c r="AG48" s="34">
        <v>3</v>
      </c>
      <c r="AH48" s="34">
        <v>5</v>
      </c>
      <c r="AI48" s="34">
        <v>1</v>
      </c>
      <c r="AJ48" s="34">
        <v>4</v>
      </c>
      <c r="AK48" s="35" t="s">
        <v>94</v>
      </c>
      <c r="AL48" s="36"/>
      <c r="AM48" t="str">
        <f t="shared" si="3"/>
        <v>0-1000</v>
      </c>
    </row>
    <row r="49" spans="1:39" x14ac:dyDescent="0.2">
      <c r="A49" s="44">
        <v>43763</v>
      </c>
      <c r="B49" s="31">
        <v>0.4375</v>
      </c>
      <c r="C49" s="31"/>
      <c r="D49" s="31" t="s">
        <v>97</v>
      </c>
      <c r="E49" s="33">
        <v>2</v>
      </c>
      <c r="F49" s="38" t="str">
        <f>VLOOKUP(E49,Key!$A$17:$B$21,2,FALSE)</f>
        <v>Road Vehicle</v>
      </c>
      <c r="G49" s="32">
        <v>4</v>
      </c>
      <c r="H49" s="39" t="str">
        <f>VLOOKUP(G49,Key!$A$2:$B$13,2,FALSE)</f>
        <v>Minibus</v>
      </c>
      <c r="I49" s="33" t="s">
        <v>109</v>
      </c>
      <c r="J49" s="33">
        <v>1</v>
      </c>
      <c r="K49" s="40" t="str">
        <f>VLOOKUP(J49,Key!$A$24:$B$29,2,FALSE)</f>
        <v>20-29</v>
      </c>
      <c r="L49" s="33" t="s">
        <v>151</v>
      </c>
      <c r="M49" s="29" t="s">
        <v>151</v>
      </c>
      <c r="N49" s="33" t="s">
        <v>152</v>
      </c>
      <c r="O49" s="35">
        <v>1</v>
      </c>
      <c r="P49" s="30" t="str">
        <f>VLOOKUP(O49,Key!$E$2:$F$9,2,FALSE)</f>
        <v>Home</v>
      </c>
      <c r="Q49" s="33" t="s">
        <v>167</v>
      </c>
      <c r="R49" s="29" t="s">
        <v>177</v>
      </c>
      <c r="S49" s="33" t="s">
        <v>152</v>
      </c>
      <c r="T49" s="29">
        <v>2</v>
      </c>
      <c r="U49" s="30" t="str">
        <f>VLOOKUP(T49,Key!$E$2:$F$9,2,FALSE)</f>
        <v>Work</v>
      </c>
      <c r="V49" s="30" t="str">
        <f t="shared" si="0"/>
        <v>Home-Work</v>
      </c>
      <c r="W49" s="29">
        <v>80000</v>
      </c>
      <c r="X49" s="34"/>
      <c r="Y49" s="50" t="str">
        <f t="shared" si="1"/>
        <v>0-10</v>
      </c>
      <c r="Z49" s="34">
        <v>2</v>
      </c>
      <c r="AA49" s="50" t="str">
        <f t="shared" si="2"/>
        <v>2.0-3.5</v>
      </c>
      <c r="AB49" s="29">
        <v>5</v>
      </c>
      <c r="AC49" s="30" t="str">
        <f>VLOOKUP(AB49,Key!$C$20:$D$29,2,FALSE)</f>
        <v>Professional</v>
      </c>
      <c r="AD49" s="29">
        <v>3</v>
      </c>
      <c r="AE49" s="30" t="str">
        <f>VLOOKUP(AD49,Key!$E$20:$F$24,2,FALSE)</f>
        <v>500,000-750,000</v>
      </c>
      <c r="AF49" s="29">
        <v>2</v>
      </c>
      <c r="AG49" s="34">
        <v>1</v>
      </c>
      <c r="AH49" s="34">
        <v>4</v>
      </c>
      <c r="AI49" s="34">
        <v>5</v>
      </c>
      <c r="AJ49" s="34">
        <v>1</v>
      </c>
      <c r="AK49" s="35" t="s">
        <v>94</v>
      </c>
      <c r="AL49" s="36">
        <v>1000</v>
      </c>
      <c r="AM49" t="str">
        <f t="shared" si="3"/>
        <v>1000-2000</v>
      </c>
    </row>
    <row r="50" spans="1:39" x14ac:dyDescent="0.2">
      <c r="A50" s="44">
        <v>43763</v>
      </c>
      <c r="B50" s="31">
        <v>0.45208333333333334</v>
      </c>
      <c r="C50" s="31"/>
      <c r="D50" s="31" t="s">
        <v>150</v>
      </c>
      <c r="E50" s="33">
        <v>2</v>
      </c>
      <c r="F50" s="38" t="str">
        <f>VLOOKUP(E50,Key!$A$17:$B$21,2,FALSE)</f>
        <v>Road Vehicle</v>
      </c>
      <c r="G50" s="32">
        <v>4</v>
      </c>
      <c r="H50" s="39" t="str">
        <f>VLOOKUP(G50,Key!$A$2:$B$13,2,FALSE)</f>
        <v>Minibus</v>
      </c>
      <c r="I50" s="33" t="s">
        <v>109</v>
      </c>
      <c r="J50" s="33">
        <v>1</v>
      </c>
      <c r="K50" s="40" t="str">
        <f>VLOOKUP(J50,Key!$A$24:$B$29,2,FALSE)</f>
        <v>20-29</v>
      </c>
      <c r="L50" s="33" t="s">
        <v>151</v>
      </c>
      <c r="M50" s="29" t="s">
        <v>151</v>
      </c>
      <c r="N50" s="33" t="s">
        <v>152</v>
      </c>
      <c r="O50" s="35">
        <v>2</v>
      </c>
      <c r="P50" s="30" t="str">
        <f>VLOOKUP(O50,Key!$E$2:$F$9,2,FALSE)</f>
        <v>Work</v>
      </c>
      <c r="Q50" s="33" t="s">
        <v>160</v>
      </c>
      <c r="R50" s="29" t="s">
        <v>160</v>
      </c>
      <c r="S50" s="33" t="s">
        <v>152</v>
      </c>
      <c r="T50" s="29">
        <v>4</v>
      </c>
      <c r="U50" s="30" t="str">
        <f>VLOOKUP(T50,Key!$E$2:$F$9,2,FALSE)</f>
        <v>Commercial</v>
      </c>
      <c r="V50" s="30" t="str">
        <f t="shared" si="0"/>
        <v>Work-Commercial</v>
      </c>
      <c r="W50" s="29">
        <v>10000</v>
      </c>
      <c r="X50" s="34">
        <v>48</v>
      </c>
      <c r="Y50" s="50" t="str">
        <f t="shared" si="1"/>
        <v>40-70</v>
      </c>
      <c r="Z50" s="34">
        <v>3</v>
      </c>
      <c r="AA50" s="50" t="str">
        <f t="shared" si="2"/>
        <v>2.0-3.5</v>
      </c>
      <c r="AB50" s="29">
        <v>7</v>
      </c>
      <c r="AC50" s="30" t="str">
        <f>VLOOKUP(AB50,Key!$C$20:$D$29,2,FALSE)</f>
        <v>Farmer</v>
      </c>
      <c r="AD50" s="29">
        <v>3</v>
      </c>
      <c r="AE50" s="30" t="str">
        <f>VLOOKUP(AD50,Key!$E$20:$F$24,2,FALSE)</f>
        <v>500,000-750,000</v>
      </c>
      <c r="AF50" s="29">
        <v>1</v>
      </c>
      <c r="AG50" s="34">
        <v>5</v>
      </c>
      <c r="AH50" s="34">
        <v>4</v>
      </c>
      <c r="AI50" s="34">
        <v>2</v>
      </c>
      <c r="AJ50" s="34">
        <v>1</v>
      </c>
      <c r="AK50" s="35" t="s">
        <v>94</v>
      </c>
      <c r="AL50" s="36">
        <v>5000</v>
      </c>
      <c r="AM50" t="str">
        <f t="shared" si="3"/>
        <v>5000-10000</v>
      </c>
    </row>
    <row r="51" spans="1:39" x14ac:dyDescent="0.2">
      <c r="A51" s="44">
        <v>43763</v>
      </c>
      <c r="B51" s="31">
        <v>0.77847222222222223</v>
      </c>
      <c r="C51" s="31"/>
      <c r="D51" s="31" t="s">
        <v>97</v>
      </c>
      <c r="E51" s="33">
        <v>2</v>
      </c>
      <c r="F51" s="38" t="str">
        <f>VLOOKUP(E51,Key!$A$17:$B$21,2,FALSE)</f>
        <v>Road Vehicle</v>
      </c>
      <c r="G51" s="32">
        <v>4</v>
      </c>
      <c r="H51" s="39" t="str">
        <f>VLOOKUP(G51,Key!$A$2:$B$13,2,FALSE)</f>
        <v>Minibus</v>
      </c>
      <c r="I51" s="33" t="s">
        <v>109</v>
      </c>
      <c r="J51" s="33">
        <v>1</v>
      </c>
      <c r="K51" s="40" t="str">
        <f>VLOOKUP(J51,Key!$A$24:$B$29,2,FALSE)</f>
        <v>20-29</v>
      </c>
      <c r="L51" s="33" t="s">
        <v>151</v>
      </c>
      <c r="M51" s="29" t="s">
        <v>151</v>
      </c>
      <c r="N51" s="33" t="s">
        <v>152</v>
      </c>
      <c r="O51" s="35">
        <v>2</v>
      </c>
      <c r="P51" s="30" t="str">
        <f>VLOOKUP(O51,Key!$E$2:$F$9,2,FALSE)</f>
        <v>Work</v>
      </c>
      <c r="Q51" s="33" t="s">
        <v>153</v>
      </c>
      <c r="R51" s="29" t="s">
        <v>153</v>
      </c>
      <c r="S51" s="33" t="s">
        <v>152</v>
      </c>
      <c r="T51" s="29">
        <v>1</v>
      </c>
      <c r="U51" s="30" t="str">
        <f>VLOOKUP(T51,Key!$E$2:$F$9,2,FALSE)</f>
        <v>Home</v>
      </c>
      <c r="V51" s="30" t="str">
        <f t="shared" si="0"/>
        <v>Work-Home</v>
      </c>
      <c r="W51" s="29">
        <v>150000</v>
      </c>
      <c r="X51" s="34">
        <v>180</v>
      </c>
      <c r="Y51" s="50" t="str">
        <f t="shared" si="1"/>
        <v>100-200</v>
      </c>
      <c r="Z51" s="34">
        <v>3</v>
      </c>
      <c r="AA51" s="50" t="str">
        <f t="shared" si="2"/>
        <v>2.0-3.5</v>
      </c>
      <c r="AB51" s="29">
        <v>10</v>
      </c>
      <c r="AC51" s="30" t="str">
        <f>VLOOKUP(AB51,Key!$C$20:$D$29,2,FALSE)</f>
        <v>Other</v>
      </c>
      <c r="AD51" s="29">
        <v>4</v>
      </c>
      <c r="AE51" s="30" t="str">
        <f>VLOOKUP(AD51,Key!$E$20:$F$24,2,FALSE)</f>
        <v>750,000-1,000,000</v>
      </c>
      <c r="AF51" s="29">
        <v>2</v>
      </c>
      <c r="AG51" s="34">
        <v>3</v>
      </c>
      <c r="AH51" s="34">
        <v>5</v>
      </c>
      <c r="AI51" s="34">
        <v>4</v>
      </c>
      <c r="AJ51" s="34">
        <v>1</v>
      </c>
      <c r="AK51" s="35" t="s">
        <v>94</v>
      </c>
      <c r="AL51" s="36">
        <v>4000</v>
      </c>
      <c r="AM51" t="str">
        <f t="shared" si="3"/>
        <v>3000-5000</v>
      </c>
    </row>
    <row r="52" spans="1:39" x14ac:dyDescent="0.2">
      <c r="A52" s="44">
        <v>43763</v>
      </c>
      <c r="B52" s="31">
        <v>0.77222222222222225</v>
      </c>
      <c r="C52" s="31"/>
      <c r="D52" s="31" t="s">
        <v>97</v>
      </c>
      <c r="E52" s="33">
        <v>2</v>
      </c>
      <c r="F52" s="38" t="str">
        <f>VLOOKUP(E52,Key!$A$17:$B$21,2,FALSE)</f>
        <v>Road Vehicle</v>
      </c>
      <c r="G52" s="32">
        <v>4</v>
      </c>
      <c r="H52" s="39" t="str">
        <f>VLOOKUP(G52,Key!$A$2:$B$13,2,FALSE)</f>
        <v>Minibus</v>
      </c>
      <c r="I52" s="33" t="s">
        <v>109</v>
      </c>
      <c r="J52" s="33">
        <v>1</v>
      </c>
      <c r="K52" s="40" t="str">
        <f>VLOOKUP(J52,Key!$A$24:$B$29,2,FALSE)</f>
        <v>20-29</v>
      </c>
      <c r="L52" s="33" t="s">
        <v>151</v>
      </c>
      <c r="M52" s="29" t="s">
        <v>151</v>
      </c>
      <c r="N52" s="33" t="s">
        <v>152</v>
      </c>
      <c r="O52" s="35">
        <v>2</v>
      </c>
      <c r="P52" s="30" t="str">
        <f>VLOOKUP(O52,Key!$E$2:$F$9,2,FALSE)</f>
        <v>Work</v>
      </c>
      <c r="Q52" s="33" t="s">
        <v>153</v>
      </c>
      <c r="R52" s="29" t="s">
        <v>153</v>
      </c>
      <c r="S52" s="33" t="s">
        <v>152</v>
      </c>
      <c r="T52" s="29">
        <v>1</v>
      </c>
      <c r="U52" s="30" t="str">
        <f>VLOOKUP(T52,Key!$E$2:$F$9,2,FALSE)</f>
        <v>Home</v>
      </c>
      <c r="V52" s="30" t="str">
        <f t="shared" si="0"/>
        <v>Work-Home</v>
      </c>
      <c r="W52" s="29">
        <v>200000</v>
      </c>
      <c r="X52" s="34">
        <v>300</v>
      </c>
      <c r="Y52" s="50" t="str">
        <f t="shared" si="1"/>
        <v>Over 200</v>
      </c>
      <c r="Z52" s="34">
        <v>4</v>
      </c>
      <c r="AA52" s="50" t="str">
        <f t="shared" si="2"/>
        <v>Over 3.5</v>
      </c>
      <c r="AB52" s="29">
        <v>10</v>
      </c>
      <c r="AC52" s="30" t="str">
        <f>VLOOKUP(AB52,Key!$C$20:$D$29,2,FALSE)</f>
        <v>Other</v>
      </c>
      <c r="AD52" s="29">
        <v>3</v>
      </c>
      <c r="AE52" s="30" t="str">
        <f>VLOOKUP(AD52,Key!$E$20:$F$24,2,FALSE)</f>
        <v>500,000-750,000</v>
      </c>
      <c r="AF52" s="29">
        <v>3</v>
      </c>
      <c r="AG52" s="34">
        <v>2</v>
      </c>
      <c r="AH52" s="34">
        <v>4</v>
      </c>
      <c r="AI52" s="34">
        <v>5</v>
      </c>
      <c r="AJ52" s="34">
        <v>1</v>
      </c>
      <c r="AK52" s="35" t="s">
        <v>94</v>
      </c>
      <c r="AL52" s="36">
        <v>1000</v>
      </c>
      <c r="AM52" t="str">
        <f t="shared" si="3"/>
        <v>1000-2000</v>
      </c>
    </row>
    <row r="53" spans="1:39" x14ac:dyDescent="0.2">
      <c r="A53" s="44">
        <v>43763</v>
      </c>
      <c r="B53" s="31">
        <v>0.76388888888888884</v>
      </c>
      <c r="C53" s="31"/>
      <c r="D53" s="31" t="s">
        <v>97</v>
      </c>
      <c r="E53" s="33">
        <v>2</v>
      </c>
      <c r="F53" s="38" t="str">
        <f>VLOOKUP(E53,Key!$A$17:$B$21,2,FALSE)</f>
        <v>Road Vehicle</v>
      </c>
      <c r="G53" s="32">
        <v>4</v>
      </c>
      <c r="H53" s="39" t="str">
        <f>VLOOKUP(G53,Key!$A$2:$B$13,2,FALSE)</f>
        <v>Minibus</v>
      </c>
      <c r="I53" s="33" t="s">
        <v>109</v>
      </c>
      <c r="J53" s="33">
        <v>1</v>
      </c>
      <c r="K53" s="40" t="str">
        <f>VLOOKUP(J53,Key!$A$24:$B$29,2,FALSE)</f>
        <v>20-29</v>
      </c>
      <c r="L53" s="33" t="s">
        <v>151</v>
      </c>
      <c r="M53" s="29" t="s">
        <v>151</v>
      </c>
      <c r="N53" s="33" t="s">
        <v>152</v>
      </c>
      <c r="O53" s="35">
        <v>2</v>
      </c>
      <c r="P53" s="30" t="str">
        <f>VLOOKUP(O53,Key!$E$2:$F$9,2,FALSE)</f>
        <v>Work</v>
      </c>
      <c r="Q53" s="33" t="s">
        <v>153</v>
      </c>
      <c r="R53" s="29" t="s">
        <v>153</v>
      </c>
      <c r="S53" s="33" t="s">
        <v>152</v>
      </c>
      <c r="T53" s="29">
        <v>1</v>
      </c>
      <c r="U53" s="30" t="str">
        <f>VLOOKUP(T53,Key!$E$2:$F$9,2,FALSE)</f>
        <v>Home</v>
      </c>
      <c r="V53" s="30" t="str">
        <f t="shared" si="0"/>
        <v>Work-Home</v>
      </c>
      <c r="W53" s="29">
        <v>180000</v>
      </c>
      <c r="X53" s="34">
        <v>200</v>
      </c>
      <c r="Y53" s="50" t="str">
        <f t="shared" si="1"/>
        <v>Over 200</v>
      </c>
      <c r="Z53" s="34">
        <v>3</v>
      </c>
      <c r="AA53" s="50" t="str">
        <f t="shared" si="2"/>
        <v>2.0-3.5</v>
      </c>
      <c r="AB53" s="29">
        <v>10</v>
      </c>
      <c r="AC53" s="30" t="str">
        <f>VLOOKUP(AB53,Key!$C$20:$D$29,2,FALSE)</f>
        <v>Other</v>
      </c>
      <c r="AD53" s="29">
        <v>4</v>
      </c>
      <c r="AE53" s="30" t="str">
        <f>VLOOKUP(AD53,Key!$E$20:$F$24,2,FALSE)</f>
        <v>750,000-1,000,000</v>
      </c>
      <c r="AF53" s="29">
        <v>2</v>
      </c>
      <c r="AG53" s="34">
        <v>3</v>
      </c>
      <c r="AH53" s="34">
        <v>5</v>
      </c>
      <c r="AI53" s="34">
        <v>4</v>
      </c>
      <c r="AJ53" s="34">
        <v>1</v>
      </c>
      <c r="AK53" s="35" t="s">
        <v>94</v>
      </c>
      <c r="AL53" s="36"/>
      <c r="AM53" t="str">
        <f t="shared" si="3"/>
        <v>0-1000</v>
      </c>
    </row>
    <row r="54" spans="1:39" x14ac:dyDescent="0.2">
      <c r="A54" s="44">
        <v>43763</v>
      </c>
      <c r="B54" s="31">
        <v>0.70277777777777783</v>
      </c>
      <c r="C54" s="31"/>
      <c r="D54" s="31" t="s">
        <v>97</v>
      </c>
      <c r="E54" s="33">
        <v>2</v>
      </c>
      <c r="F54" s="38" t="str">
        <f>VLOOKUP(E54,Key!$A$17:$B$21,2,FALSE)</f>
        <v>Road Vehicle</v>
      </c>
      <c r="G54" s="32">
        <v>4</v>
      </c>
      <c r="H54" s="39" t="str">
        <f>VLOOKUP(G54,Key!$A$2:$B$13,2,FALSE)</f>
        <v>Minibus</v>
      </c>
      <c r="I54" s="33" t="s">
        <v>109</v>
      </c>
      <c r="J54" s="33">
        <v>1</v>
      </c>
      <c r="K54" s="40" t="str">
        <f>VLOOKUP(J54,Key!$A$24:$B$29,2,FALSE)</f>
        <v>20-29</v>
      </c>
      <c r="L54" s="33" t="s">
        <v>151</v>
      </c>
      <c r="M54" s="29" t="s">
        <v>151</v>
      </c>
      <c r="N54" s="33" t="s">
        <v>152</v>
      </c>
      <c r="O54" s="35">
        <v>2</v>
      </c>
      <c r="P54" s="30" t="str">
        <f>VLOOKUP(O54,Key!$E$2:$F$9,2,FALSE)</f>
        <v>Work</v>
      </c>
      <c r="Q54" s="33" t="s">
        <v>165</v>
      </c>
      <c r="R54" s="29" t="s">
        <v>165</v>
      </c>
      <c r="S54" s="33" t="s">
        <v>152</v>
      </c>
      <c r="T54" s="29">
        <v>1</v>
      </c>
      <c r="U54" s="30" t="str">
        <f>VLOOKUP(T54,Key!$E$2:$F$9,2,FALSE)</f>
        <v>Home</v>
      </c>
      <c r="V54" s="30" t="str">
        <f t="shared" si="0"/>
        <v>Work-Home</v>
      </c>
      <c r="W54" s="29">
        <v>80000</v>
      </c>
      <c r="X54" s="34">
        <v>75</v>
      </c>
      <c r="Y54" s="50" t="str">
        <f t="shared" si="1"/>
        <v>70-100</v>
      </c>
      <c r="Z54" s="34">
        <v>2</v>
      </c>
      <c r="AA54" s="50" t="str">
        <f t="shared" si="2"/>
        <v>2.0-3.5</v>
      </c>
      <c r="AB54" s="29">
        <v>10</v>
      </c>
      <c r="AC54" s="30" t="str">
        <f>VLOOKUP(AB54,Key!$C$20:$D$29,2,FALSE)</f>
        <v>Other</v>
      </c>
      <c r="AD54" s="29">
        <v>4</v>
      </c>
      <c r="AE54" s="30" t="str">
        <f>VLOOKUP(AD54,Key!$E$20:$F$24,2,FALSE)</f>
        <v>750,000-1,000,000</v>
      </c>
      <c r="AF54" s="29">
        <v>4</v>
      </c>
      <c r="AG54" s="34">
        <v>3</v>
      </c>
      <c r="AH54" s="34"/>
      <c r="AI54" s="34">
        <v>1</v>
      </c>
      <c r="AJ54" s="34">
        <v>2</v>
      </c>
      <c r="AK54" s="35" t="s">
        <v>94</v>
      </c>
      <c r="AL54" s="36"/>
      <c r="AM54" t="str">
        <f t="shared" si="3"/>
        <v>0-1000</v>
      </c>
    </row>
    <row r="55" spans="1:39" x14ac:dyDescent="0.2">
      <c r="A55" s="44">
        <v>43763</v>
      </c>
      <c r="B55" s="31">
        <v>0.6958333333333333</v>
      </c>
      <c r="C55" s="31"/>
      <c r="D55" s="31" t="s">
        <v>150</v>
      </c>
      <c r="E55" s="33">
        <v>2</v>
      </c>
      <c r="F55" s="38" t="str">
        <f>VLOOKUP(E55,Key!$A$17:$B$21,2,FALSE)</f>
        <v>Road Vehicle</v>
      </c>
      <c r="G55" s="32">
        <v>4</v>
      </c>
      <c r="H55" s="39" t="str">
        <f>VLOOKUP(G55,Key!$A$2:$B$13,2,FALSE)</f>
        <v>Minibus</v>
      </c>
      <c r="I55" s="33" t="s">
        <v>109</v>
      </c>
      <c r="J55" s="33">
        <v>1</v>
      </c>
      <c r="K55" s="40" t="str">
        <f>VLOOKUP(J55,Key!$A$24:$B$29,2,FALSE)</f>
        <v>20-29</v>
      </c>
      <c r="L55" s="33" t="s">
        <v>151</v>
      </c>
      <c r="M55" s="29" t="s">
        <v>151</v>
      </c>
      <c r="N55" s="33" t="s">
        <v>152</v>
      </c>
      <c r="O55" s="35">
        <v>6</v>
      </c>
      <c r="P55" s="30" t="str">
        <f>VLOOKUP(O55,Key!$E$2:$F$9,2,FALSE)</f>
        <v>Leisure/Social</v>
      </c>
      <c r="Q55" s="33" t="s">
        <v>165</v>
      </c>
      <c r="R55" s="29" t="s">
        <v>165</v>
      </c>
      <c r="S55" s="33" t="s">
        <v>152</v>
      </c>
      <c r="T55" s="29">
        <v>1</v>
      </c>
      <c r="U55" s="30" t="str">
        <f>VLOOKUP(T55,Key!$E$2:$F$9,2,FALSE)</f>
        <v>Home</v>
      </c>
      <c r="V55" s="30" t="str">
        <f t="shared" si="0"/>
        <v>Leisure/Social-Home</v>
      </c>
      <c r="W55" s="29">
        <v>10000</v>
      </c>
      <c r="X55" s="34">
        <v>77</v>
      </c>
      <c r="Y55" s="50" t="str">
        <f t="shared" si="1"/>
        <v>70-100</v>
      </c>
      <c r="Z55" s="34">
        <v>2</v>
      </c>
      <c r="AA55" s="50" t="str">
        <f t="shared" si="2"/>
        <v>2.0-3.5</v>
      </c>
      <c r="AB55" s="29">
        <v>5</v>
      </c>
      <c r="AC55" s="30" t="str">
        <f>VLOOKUP(AB55,Key!$C$20:$D$29,2,FALSE)</f>
        <v>Professional</v>
      </c>
      <c r="AD55" s="29">
        <v>5</v>
      </c>
      <c r="AE55" s="30" t="str">
        <f>VLOOKUP(AD55,Key!$E$20:$F$24,2,FALSE)</f>
        <v>&gt;1,000,000</v>
      </c>
      <c r="AF55" s="29">
        <v>1</v>
      </c>
      <c r="AG55" s="34">
        <v>2</v>
      </c>
      <c r="AH55" s="34">
        <v>5</v>
      </c>
      <c r="AI55" s="34">
        <v>4</v>
      </c>
      <c r="AJ55" s="34">
        <v>3</v>
      </c>
      <c r="AK55" s="35" t="s">
        <v>94</v>
      </c>
      <c r="AL55" s="36">
        <v>10000</v>
      </c>
      <c r="AM55" t="str">
        <f t="shared" si="3"/>
        <v>Over 10000</v>
      </c>
    </row>
    <row r="56" spans="1:39" x14ac:dyDescent="0.2">
      <c r="A56" s="44">
        <v>43763</v>
      </c>
      <c r="B56" s="31">
        <v>0.69027777777777777</v>
      </c>
      <c r="C56" s="31"/>
      <c r="D56" s="31" t="s">
        <v>150</v>
      </c>
      <c r="E56" s="33">
        <v>2</v>
      </c>
      <c r="F56" s="38" t="str">
        <f>VLOOKUP(E56,Key!$A$17:$B$21,2,FALSE)</f>
        <v>Road Vehicle</v>
      </c>
      <c r="G56" s="32">
        <v>4</v>
      </c>
      <c r="H56" s="39" t="str">
        <f>VLOOKUP(G56,Key!$A$2:$B$13,2,FALSE)</f>
        <v>Minibus</v>
      </c>
      <c r="I56" s="33" t="s">
        <v>109</v>
      </c>
      <c r="J56" s="33">
        <v>1</v>
      </c>
      <c r="K56" s="40" t="str">
        <f>VLOOKUP(J56,Key!$A$24:$B$29,2,FALSE)</f>
        <v>20-29</v>
      </c>
      <c r="L56" s="33" t="s">
        <v>151</v>
      </c>
      <c r="M56" s="29" t="s">
        <v>151</v>
      </c>
      <c r="N56" s="33" t="s">
        <v>152</v>
      </c>
      <c r="O56" s="35">
        <v>2</v>
      </c>
      <c r="P56" s="30" t="str">
        <f>VLOOKUP(O56,Key!$E$2:$F$9,2,FALSE)</f>
        <v>Work</v>
      </c>
      <c r="Q56" s="33" t="s">
        <v>183</v>
      </c>
      <c r="R56" s="29" t="s">
        <v>183</v>
      </c>
      <c r="S56" s="33" t="s">
        <v>152</v>
      </c>
      <c r="T56" s="29">
        <v>1</v>
      </c>
      <c r="U56" s="30" t="str">
        <f>VLOOKUP(T56,Key!$E$2:$F$9,2,FALSE)</f>
        <v>Home</v>
      </c>
      <c r="V56" s="30" t="str">
        <f t="shared" si="0"/>
        <v>Work-Home</v>
      </c>
      <c r="W56" s="29">
        <v>150000</v>
      </c>
      <c r="X56" s="34">
        <v>70</v>
      </c>
      <c r="Y56" s="50" t="str">
        <f t="shared" si="1"/>
        <v>70-100</v>
      </c>
      <c r="Z56" s="34">
        <v>2</v>
      </c>
      <c r="AA56" s="50" t="str">
        <f t="shared" si="2"/>
        <v>2.0-3.5</v>
      </c>
      <c r="AB56" s="29">
        <v>5</v>
      </c>
      <c r="AC56" s="30" t="str">
        <f>VLOOKUP(AB56,Key!$C$20:$D$29,2,FALSE)</f>
        <v>Professional</v>
      </c>
      <c r="AD56" s="29">
        <v>4</v>
      </c>
      <c r="AE56" s="30" t="str">
        <f>VLOOKUP(AD56,Key!$E$20:$F$24,2,FALSE)</f>
        <v>750,000-1,000,000</v>
      </c>
      <c r="AF56" s="29">
        <v>5</v>
      </c>
      <c r="AG56" s="34">
        <v>1</v>
      </c>
      <c r="AH56" s="34">
        <v>2</v>
      </c>
      <c r="AI56" s="34">
        <v>2</v>
      </c>
      <c r="AJ56" s="34">
        <v>5</v>
      </c>
      <c r="AK56" s="35" t="s">
        <v>94</v>
      </c>
      <c r="AL56" s="36">
        <v>8000</v>
      </c>
      <c r="AM56" t="str">
        <f t="shared" si="3"/>
        <v>5000-10000</v>
      </c>
    </row>
    <row r="57" spans="1:39" x14ac:dyDescent="0.2">
      <c r="A57" s="44">
        <v>43763</v>
      </c>
      <c r="B57" s="31">
        <v>0.6743055555555556</v>
      </c>
      <c r="C57" s="31"/>
      <c r="D57" s="31" t="s">
        <v>97</v>
      </c>
      <c r="E57" s="33">
        <v>2</v>
      </c>
      <c r="F57" s="38" t="str">
        <f>VLOOKUP(E57,Key!$A$17:$B$21,2,FALSE)</f>
        <v>Road Vehicle</v>
      </c>
      <c r="G57" s="32">
        <v>4</v>
      </c>
      <c r="H57" s="39" t="str">
        <f>VLOOKUP(G57,Key!$A$2:$B$13,2,FALSE)</f>
        <v>Minibus</v>
      </c>
      <c r="I57" s="33" t="s">
        <v>109</v>
      </c>
      <c r="J57" s="33">
        <v>1</v>
      </c>
      <c r="K57" s="40" t="str">
        <f>VLOOKUP(J57,Key!$A$24:$B$29,2,FALSE)</f>
        <v>20-29</v>
      </c>
      <c r="L57" s="33" t="s">
        <v>151</v>
      </c>
      <c r="M57" s="29" t="s">
        <v>151</v>
      </c>
      <c r="N57" s="33" t="s">
        <v>152</v>
      </c>
      <c r="O57" s="35">
        <v>2</v>
      </c>
      <c r="P57" s="30" t="str">
        <f>VLOOKUP(O57,Key!$E$2:$F$9,2,FALSE)</f>
        <v>Work</v>
      </c>
      <c r="Q57" s="33" t="s">
        <v>160</v>
      </c>
      <c r="R57" s="29" t="s">
        <v>160</v>
      </c>
      <c r="S57" s="33" t="s">
        <v>152</v>
      </c>
      <c r="T57" s="29">
        <v>1</v>
      </c>
      <c r="U57" s="30" t="str">
        <f>VLOOKUP(T57,Key!$E$2:$F$9,2,FALSE)</f>
        <v>Home</v>
      </c>
      <c r="V57" s="30" t="str">
        <f t="shared" si="0"/>
        <v>Work-Home</v>
      </c>
      <c r="W57" s="29">
        <v>200000</v>
      </c>
      <c r="X57" s="34">
        <v>115</v>
      </c>
      <c r="Y57" s="50" t="str">
        <f t="shared" si="1"/>
        <v>100-200</v>
      </c>
      <c r="Z57" s="34">
        <v>3</v>
      </c>
      <c r="AA57" s="50" t="str">
        <f t="shared" si="2"/>
        <v>2.0-3.5</v>
      </c>
      <c r="AB57" s="29">
        <v>10</v>
      </c>
      <c r="AC57" s="30" t="str">
        <f>VLOOKUP(AB57,Key!$C$20:$D$29,2,FALSE)</f>
        <v>Other</v>
      </c>
      <c r="AD57" s="29">
        <v>3</v>
      </c>
      <c r="AE57" s="30" t="str">
        <f>VLOOKUP(AD57,Key!$E$20:$F$24,2,FALSE)</f>
        <v>500,000-750,000</v>
      </c>
      <c r="AF57" s="29">
        <v>5</v>
      </c>
      <c r="AG57" s="34">
        <v>1</v>
      </c>
      <c r="AH57" s="34">
        <v>3</v>
      </c>
      <c r="AI57" s="34">
        <v>4</v>
      </c>
      <c r="AJ57" s="34">
        <v>5</v>
      </c>
      <c r="AK57" s="35" t="s">
        <v>94</v>
      </c>
      <c r="AL57" s="36">
        <v>2000</v>
      </c>
      <c r="AM57" t="str">
        <f t="shared" si="3"/>
        <v>2000-3000</v>
      </c>
    </row>
    <row r="58" spans="1:39" x14ac:dyDescent="0.2">
      <c r="A58" s="44">
        <v>43763</v>
      </c>
      <c r="B58" s="31">
        <v>0.67083333333333339</v>
      </c>
      <c r="C58" s="31"/>
      <c r="D58" s="31" t="s">
        <v>97</v>
      </c>
      <c r="E58" s="33">
        <v>2</v>
      </c>
      <c r="F58" s="38" t="str">
        <f>VLOOKUP(E58,Key!$A$17:$B$21,2,FALSE)</f>
        <v>Road Vehicle</v>
      </c>
      <c r="G58" s="32">
        <v>4</v>
      </c>
      <c r="H58" s="39" t="str">
        <f>VLOOKUP(G58,Key!$A$2:$B$13,2,FALSE)</f>
        <v>Minibus</v>
      </c>
      <c r="I58" s="33" t="s">
        <v>109</v>
      </c>
      <c r="J58" s="33">
        <v>1</v>
      </c>
      <c r="K58" s="40" t="str">
        <f>VLOOKUP(J58,Key!$A$24:$B$29,2,FALSE)</f>
        <v>20-29</v>
      </c>
      <c r="L58" s="33" t="s">
        <v>151</v>
      </c>
      <c r="M58" s="29" t="s">
        <v>151</v>
      </c>
      <c r="N58" s="33" t="s">
        <v>152</v>
      </c>
      <c r="O58" s="35">
        <v>2</v>
      </c>
      <c r="P58" s="30" t="str">
        <f>VLOOKUP(O58,Key!$E$2:$F$9,2,FALSE)</f>
        <v>Work</v>
      </c>
      <c r="Q58" s="33" t="s">
        <v>160</v>
      </c>
      <c r="R58" s="29" t="s">
        <v>160</v>
      </c>
      <c r="S58" s="33" t="s">
        <v>152</v>
      </c>
      <c r="T58" s="29">
        <v>1</v>
      </c>
      <c r="U58" s="30" t="str">
        <f>VLOOKUP(T58,Key!$E$2:$F$9,2,FALSE)</f>
        <v>Home</v>
      </c>
      <c r="V58" s="30" t="str">
        <f t="shared" si="0"/>
        <v>Work-Home</v>
      </c>
      <c r="W58" s="29">
        <v>180000</v>
      </c>
      <c r="X58" s="34">
        <v>100</v>
      </c>
      <c r="Y58" s="50" t="str">
        <f t="shared" si="1"/>
        <v>100-200</v>
      </c>
      <c r="Z58" s="34">
        <v>2</v>
      </c>
      <c r="AA58" s="50" t="str">
        <f t="shared" si="2"/>
        <v>2.0-3.5</v>
      </c>
      <c r="AB58" s="29">
        <v>10</v>
      </c>
      <c r="AC58" s="30" t="str">
        <f>VLOOKUP(AB58,Key!$C$20:$D$29,2,FALSE)</f>
        <v>Other</v>
      </c>
      <c r="AD58" s="29">
        <v>2</v>
      </c>
      <c r="AE58" s="30" t="str">
        <f>VLOOKUP(AD58,Key!$E$20:$F$24,2,FALSE)</f>
        <v>300,000-500,000</v>
      </c>
      <c r="AF58" s="29">
        <v>2</v>
      </c>
      <c r="AG58" s="34">
        <v>1</v>
      </c>
      <c r="AH58" s="34">
        <v>3</v>
      </c>
      <c r="AI58" s="34">
        <v>5</v>
      </c>
      <c r="AJ58" s="34">
        <v>4</v>
      </c>
      <c r="AK58" s="35" t="s">
        <v>94</v>
      </c>
      <c r="AL58" s="36"/>
      <c r="AM58" t="str">
        <f t="shared" si="3"/>
        <v>0-1000</v>
      </c>
    </row>
    <row r="59" spans="1:39" x14ac:dyDescent="0.2">
      <c r="A59" s="44">
        <v>43763</v>
      </c>
      <c r="B59" s="31">
        <v>0.57361111111111118</v>
      </c>
      <c r="C59" s="31"/>
      <c r="D59" s="31" t="s">
        <v>150</v>
      </c>
      <c r="E59" s="33">
        <v>2</v>
      </c>
      <c r="F59" s="38" t="str">
        <f>VLOOKUP(E59,Key!$A$17:$B$21,2,FALSE)</f>
        <v>Road Vehicle</v>
      </c>
      <c r="G59" s="32">
        <v>4</v>
      </c>
      <c r="H59" s="39" t="str">
        <f>VLOOKUP(G59,Key!$A$2:$B$13,2,FALSE)</f>
        <v>Minibus</v>
      </c>
      <c r="I59" s="33" t="s">
        <v>109</v>
      </c>
      <c r="J59" s="33">
        <v>1</v>
      </c>
      <c r="K59" s="40" t="str">
        <f>VLOOKUP(J59,Key!$A$24:$B$29,2,FALSE)</f>
        <v>20-29</v>
      </c>
      <c r="L59" s="33" t="s">
        <v>154</v>
      </c>
      <c r="M59" s="29" t="s">
        <v>154</v>
      </c>
      <c r="N59" s="33" t="s">
        <v>152</v>
      </c>
      <c r="O59" s="35">
        <v>1</v>
      </c>
      <c r="P59" s="30" t="str">
        <f>VLOOKUP(O59,Key!$E$2:$F$9,2,FALSE)</f>
        <v>Home</v>
      </c>
      <c r="Q59" s="33" t="s">
        <v>151</v>
      </c>
      <c r="R59" s="29" t="s">
        <v>151</v>
      </c>
      <c r="S59" s="33" t="s">
        <v>152</v>
      </c>
      <c r="T59" s="29">
        <v>2</v>
      </c>
      <c r="U59" s="30" t="str">
        <f>VLOOKUP(T59,Key!$E$2:$F$9,2,FALSE)</f>
        <v>Work</v>
      </c>
      <c r="V59" s="30" t="str">
        <f t="shared" si="0"/>
        <v>Home-Work</v>
      </c>
      <c r="W59" s="29">
        <v>15000</v>
      </c>
      <c r="X59" s="34">
        <v>100</v>
      </c>
      <c r="Y59" s="50" t="str">
        <f t="shared" si="1"/>
        <v>100-200</v>
      </c>
      <c r="Z59" s="34">
        <v>3</v>
      </c>
      <c r="AA59" s="50" t="str">
        <f t="shared" si="2"/>
        <v>2.0-3.5</v>
      </c>
      <c r="AB59" s="29">
        <v>6</v>
      </c>
      <c r="AC59" s="30" t="str">
        <f>VLOOKUP(AB59,Key!$C$20:$D$29,2,FALSE)</f>
        <v>Businessman</v>
      </c>
      <c r="AD59" s="29">
        <v>4</v>
      </c>
      <c r="AE59" s="30" t="str">
        <f>VLOOKUP(AD59,Key!$E$20:$F$24,2,FALSE)</f>
        <v>750,000-1,000,000</v>
      </c>
      <c r="AF59" s="29">
        <v>5</v>
      </c>
      <c r="AG59" s="34">
        <v>3</v>
      </c>
      <c r="AH59" s="34">
        <v>4</v>
      </c>
      <c r="AI59" s="34">
        <v>5</v>
      </c>
      <c r="AJ59" s="34">
        <v>2</v>
      </c>
      <c r="AK59" s="35" t="s">
        <v>94</v>
      </c>
      <c r="AL59" s="36">
        <v>4000</v>
      </c>
      <c r="AM59" t="str">
        <f t="shared" si="3"/>
        <v>3000-5000</v>
      </c>
    </row>
    <row r="60" spans="1:39" x14ac:dyDescent="0.2">
      <c r="A60" s="44">
        <v>43764</v>
      </c>
      <c r="B60" s="31">
        <v>0.32500000000000001</v>
      </c>
      <c r="C60" s="31"/>
      <c r="D60" s="31" t="s">
        <v>150</v>
      </c>
      <c r="E60" s="33">
        <v>2</v>
      </c>
      <c r="F60" s="38" t="str">
        <f>VLOOKUP(E60,Key!$A$17:$B$21,2,FALSE)</f>
        <v>Road Vehicle</v>
      </c>
      <c r="G60" s="32">
        <v>4</v>
      </c>
      <c r="H60" s="39" t="str">
        <f>VLOOKUP(G60,Key!$A$2:$B$13,2,FALSE)</f>
        <v>Minibus</v>
      </c>
      <c r="I60" s="33" t="s">
        <v>109</v>
      </c>
      <c r="J60" s="33">
        <v>1</v>
      </c>
      <c r="K60" s="40" t="str">
        <f>VLOOKUP(J60,Key!$A$24:$B$29,2,FALSE)</f>
        <v>20-29</v>
      </c>
      <c r="L60" s="33" t="s">
        <v>151</v>
      </c>
      <c r="M60" s="29" t="s">
        <v>151</v>
      </c>
      <c r="N60" s="33" t="s">
        <v>152</v>
      </c>
      <c r="O60" s="35">
        <v>1</v>
      </c>
      <c r="P60" s="30" t="str">
        <f>VLOOKUP(O60,Key!$E$2:$F$9,2,FALSE)</f>
        <v>Home</v>
      </c>
      <c r="Q60" s="33" t="s">
        <v>153</v>
      </c>
      <c r="R60" s="29" t="s">
        <v>153</v>
      </c>
      <c r="S60" s="33" t="s">
        <v>152</v>
      </c>
      <c r="T60" s="29">
        <v>2</v>
      </c>
      <c r="U60" s="30" t="str">
        <f>VLOOKUP(T60,Key!$E$2:$F$9,2,FALSE)</f>
        <v>Work</v>
      </c>
      <c r="V60" s="30" t="str">
        <f t="shared" si="0"/>
        <v>Home-Work</v>
      </c>
      <c r="W60" s="29">
        <v>13000</v>
      </c>
      <c r="X60" s="34"/>
      <c r="Y60" s="50" t="str">
        <f t="shared" si="1"/>
        <v>0-10</v>
      </c>
      <c r="Z60" s="34">
        <v>3</v>
      </c>
      <c r="AA60" s="50" t="str">
        <f t="shared" si="2"/>
        <v>2.0-3.5</v>
      </c>
      <c r="AB60" s="29">
        <v>3</v>
      </c>
      <c r="AC60" s="30" t="str">
        <f>VLOOKUP(AB60,Key!$C$20:$D$29,2,FALSE)</f>
        <v>Artisan/Domestic</v>
      </c>
      <c r="AD60" s="29">
        <v>1</v>
      </c>
      <c r="AE60" s="30" t="str">
        <f>VLOOKUP(AD60,Key!$E$20:$F$24,2,FALSE)</f>
        <v>&lt;300,000</v>
      </c>
      <c r="AF60" s="29">
        <v>3</v>
      </c>
      <c r="AG60" s="34">
        <v>2</v>
      </c>
      <c r="AH60" s="34">
        <v>5</v>
      </c>
      <c r="AI60" s="34">
        <v>1</v>
      </c>
      <c r="AJ60" s="34">
        <v>4</v>
      </c>
      <c r="AK60" s="35" t="s">
        <v>94</v>
      </c>
      <c r="AL60" s="36"/>
      <c r="AM60" t="str">
        <f t="shared" si="3"/>
        <v>0-1000</v>
      </c>
    </row>
    <row r="61" spans="1:39" x14ac:dyDescent="0.2">
      <c r="A61" s="44">
        <v>43764</v>
      </c>
      <c r="B61" s="31">
        <v>0.66249999999999998</v>
      </c>
      <c r="C61" s="31"/>
      <c r="D61" s="31" t="s">
        <v>150</v>
      </c>
      <c r="E61" s="33">
        <v>2</v>
      </c>
      <c r="F61" s="38" t="str">
        <f>VLOOKUP(E61,Key!$A$17:$B$21,2,FALSE)</f>
        <v>Road Vehicle</v>
      </c>
      <c r="G61" s="32">
        <v>4</v>
      </c>
      <c r="H61" s="39" t="str">
        <f>VLOOKUP(G61,Key!$A$2:$B$13,2,FALSE)</f>
        <v>Minibus</v>
      </c>
      <c r="I61" s="33" t="s">
        <v>109</v>
      </c>
      <c r="J61" s="33">
        <v>1</v>
      </c>
      <c r="K61" s="40" t="str">
        <f>VLOOKUP(J61,Key!$A$24:$B$29,2,FALSE)</f>
        <v>20-29</v>
      </c>
      <c r="L61" s="33" t="s">
        <v>151</v>
      </c>
      <c r="M61" s="29" t="s">
        <v>151</v>
      </c>
      <c r="N61" s="33" t="s">
        <v>152</v>
      </c>
      <c r="O61" s="35">
        <v>2</v>
      </c>
      <c r="P61" s="30" t="str">
        <f>VLOOKUP(O61,Key!$E$2:$F$9,2,FALSE)</f>
        <v>Work</v>
      </c>
      <c r="Q61" s="33" t="s">
        <v>201</v>
      </c>
      <c r="R61" s="29" t="s">
        <v>168</v>
      </c>
      <c r="S61" s="33" t="s">
        <v>152</v>
      </c>
      <c r="T61" s="29">
        <v>4</v>
      </c>
      <c r="U61" s="30" t="str">
        <f>VLOOKUP(T61,Key!$E$2:$F$9,2,FALSE)</f>
        <v>Commercial</v>
      </c>
      <c r="V61" s="30" t="str">
        <f t="shared" si="0"/>
        <v>Work-Commercial</v>
      </c>
      <c r="W61" s="29">
        <v>12000</v>
      </c>
      <c r="X61" s="34"/>
      <c r="Y61" s="50" t="str">
        <f t="shared" si="1"/>
        <v>0-10</v>
      </c>
      <c r="Z61" s="34">
        <v>3</v>
      </c>
      <c r="AA61" s="50" t="str">
        <f t="shared" si="2"/>
        <v>2.0-3.5</v>
      </c>
      <c r="AB61" s="29">
        <v>4</v>
      </c>
      <c r="AC61" s="30" t="str">
        <f>VLOOKUP(AB61,Key!$C$20:$D$29,2,FALSE)</f>
        <v>Office Worker</v>
      </c>
      <c r="AD61" s="29">
        <v>2</v>
      </c>
      <c r="AE61" s="30" t="str">
        <f>VLOOKUP(AD61,Key!$E$20:$F$24,2,FALSE)</f>
        <v>300,000-500,000</v>
      </c>
      <c r="AF61" s="29">
        <v>4</v>
      </c>
      <c r="AG61" s="34">
        <v>2</v>
      </c>
      <c r="AH61" s="34">
        <v>1</v>
      </c>
      <c r="AI61" s="34">
        <v>3</v>
      </c>
      <c r="AJ61" s="34">
        <v>5</v>
      </c>
      <c r="AK61" s="35" t="s">
        <v>94</v>
      </c>
      <c r="AL61" s="36"/>
      <c r="AM61" t="str">
        <f t="shared" si="3"/>
        <v>0-1000</v>
      </c>
    </row>
    <row r="62" spans="1:39" x14ac:dyDescent="0.2">
      <c r="A62" s="44">
        <v>43764</v>
      </c>
      <c r="B62" s="31">
        <v>0.65625</v>
      </c>
      <c r="C62" s="31"/>
      <c r="D62" s="31" t="s">
        <v>150</v>
      </c>
      <c r="E62" s="33">
        <v>2</v>
      </c>
      <c r="F62" s="38" t="str">
        <f>VLOOKUP(E62,Key!$A$17:$B$21,2,FALSE)</f>
        <v>Road Vehicle</v>
      </c>
      <c r="G62" s="32">
        <v>4</v>
      </c>
      <c r="H62" s="39" t="str">
        <f>VLOOKUP(G62,Key!$A$2:$B$13,2,FALSE)</f>
        <v>Minibus</v>
      </c>
      <c r="I62" s="33" t="s">
        <v>109</v>
      </c>
      <c r="J62" s="33">
        <v>1</v>
      </c>
      <c r="K62" s="40" t="str">
        <f>VLOOKUP(J62,Key!$A$24:$B$29,2,FALSE)</f>
        <v>20-29</v>
      </c>
      <c r="L62" s="33" t="s">
        <v>151</v>
      </c>
      <c r="M62" s="29" t="s">
        <v>151</v>
      </c>
      <c r="N62" s="33" t="s">
        <v>152</v>
      </c>
      <c r="O62" s="35">
        <v>1</v>
      </c>
      <c r="P62" s="30" t="str">
        <f>VLOOKUP(O62,Key!$E$2:$F$9,2,FALSE)</f>
        <v>Home</v>
      </c>
      <c r="Q62" s="33" t="s">
        <v>151</v>
      </c>
      <c r="R62" s="29" t="s">
        <v>151</v>
      </c>
      <c r="S62" s="33" t="s">
        <v>152</v>
      </c>
      <c r="T62" s="29">
        <v>4</v>
      </c>
      <c r="U62" s="30" t="str">
        <f>VLOOKUP(T62,Key!$E$2:$F$9,2,FALSE)</f>
        <v>Commercial</v>
      </c>
      <c r="V62" s="30" t="str">
        <f t="shared" si="0"/>
        <v>Home-Commercial</v>
      </c>
      <c r="W62" s="29">
        <v>6000</v>
      </c>
      <c r="X62" s="34"/>
      <c r="Y62" s="50" t="str">
        <f t="shared" si="1"/>
        <v>0-10</v>
      </c>
      <c r="Z62" s="34">
        <v>2</v>
      </c>
      <c r="AA62" s="50" t="str">
        <f t="shared" si="2"/>
        <v>2.0-3.5</v>
      </c>
      <c r="AB62" s="29">
        <v>6</v>
      </c>
      <c r="AC62" s="30" t="str">
        <f>VLOOKUP(AB62,Key!$C$20:$D$29,2,FALSE)</f>
        <v>Businessman</v>
      </c>
      <c r="AD62" s="29">
        <v>3</v>
      </c>
      <c r="AE62" s="30" t="str">
        <f>VLOOKUP(AD62,Key!$E$20:$F$24,2,FALSE)</f>
        <v>500,000-750,000</v>
      </c>
      <c r="AF62" s="29">
        <v>2</v>
      </c>
      <c r="AG62" s="34">
        <v>3</v>
      </c>
      <c r="AH62" s="34">
        <v>1</v>
      </c>
      <c r="AI62" s="34">
        <v>5</v>
      </c>
      <c r="AJ62" s="34">
        <v>4</v>
      </c>
      <c r="AK62" s="35" t="s">
        <v>94</v>
      </c>
      <c r="AL62" s="36">
        <v>1000</v>
      </c>
      <c r="AM62" t="str">
        <f t="shared" si="3"/>
        <v>1000-2000</v>
      </c>
    </row>
    <row r="63" spans="1:39" x14ac:dyDescent="0.2">
      <c r="A63" s="44">
        <v>43764</v>
      </c>
      <c r="B63" s="31">
        <v>0.6333333333333333</v>
      </c>
      <c r="C63" s="31"/>
      <c r="D63" s="31" t="s">
        <v>150</v>
      </c>
      <c r="E63" s="33">
        <v>2</v>
      </c>
      <c r="F63" s="38" t="str">
        <f>VLOOKUP(E63,Key!$A$17:$B$21,2,FALSE)</f>
        <v>Road Vehicle</v>
      </c>
      <c r="G63" s="32">
        <v>4</v>
      </c>
      <c r="H63" s="39" t="str">
        <f>VLOOKUP(G63,Key!$A$2:$B$13,2,FALSE)</f>
        <v>Minibus</v>
      </c>
      <c r="I63" s="33" t="s">
        <v>109</v>
      </c>
      <c r="J63" s="33">
        <v>1</v>
      </c>
      <c r="K63" s="40" t="str">
        <f>VLOOKUP(J63,Key!$A$24:$B$29,2,FALSE)</f>
        <v>20-29</v>
      </c>
      <c r="L63" s="33" t="s">
        <v>151</v>
      </c>
      <c r="M63" s="29" t="s">
        <v>151</v>
      </c>
      <c r="N63" s="33" t="s">
        <v>152</v>
      </c>
      <c r="O63" s="35">
        <v>1</v>
      </c>
      <c r="P63" s="30" t="str">
        <f>VLOOKUP(O63,Key!$E$2:$F$9,2,FALSE)</f>
        <v>Home</v>
      </c>
      <c r="Q63" s="33" t="s">
        <v>202</v>
      </c>
      <c r="R63" s="29" t="s">
        <v>177</v>
      </c>
      <c r="S63" s="33" t="s">
        <v>152</v>
      </c>
      <c r="T63" s="29">
        <v>2</v>
      </c>
      <c r="U63" s="30" t="str">
        <f>VLOOKUP(T63,Key!$E$2:$F$9,2,FALSE)</f>
        <v>Work</v>
      </c>
      <c r="V63" s="30" t="str">
        <f t="shared" si="0"/>
        <v>Home-Work</v>
      </c>
      <c r="W63" s="29">
        <v>6000</v>
      </c>
      <c r="X63" s="34"/>
      <c r="Y63" s="50" t="str">
        <f t="shared" si="1"/>
        <v>0-10</v>
      </c>
      <c r="Z63" s="34">
        <v>1</v>
      </c>
      <c r="AA63" s="50" t="str">
        <f t="shared" si="2"/>
        <v>1.0-2.0</v>
      </c>
      <c r="AB63" s="29">
        <v>10</v>
      </c>
      <c r="AC63" s="30" t="str">
        <f>VLOOKUP(AB63,Key!$C$20:$D$29,2,FALSE)</f>
        <v>Other</v>
      </c>
      <c r="AD63" s="29">
        <v>3</v>
      </c>
      <c r="AE63" s="30" t="str">
        <f>VLOOKUP(AD63,Key!$E$20:$F$24,2,FALSE)</f>
        <v>500,000-750,000</v>
      </c>
      <c r="AF63" s="29">
        <v>1</v>
      </c>
      <c r="AG63" s="34">
        <v>1</v>
      </c>
      <c r="AH63" s="34">
        <v>1</v>
      </c>
      <c r="AI63" s="34">
        <v>1</v>
      </c>
      <c r="AJ63" s="34">
        <v>2</v>
      </c>
      <c r="AK63" s="35" t="s">
        <v>94</v>
      </c>
      <c r="AL63" s="36"/>
      <c r="AM63" t="str">
        <f t="shared" si="3"/>
        <v>0-1000</v>
      </c>
    </row>
    <row r="64" spans="1:39" x14ac:dyDescent="0.2">
      <c r="A64" s="44">
        <v>43764</v>
      </c>
      <c r="B64" s="31">
        <v>0.6333333333333333</v>
      </c>
      <c r="C64" s="31"/>
      <c r="D64" s="31" t="s">
        <v>150</v>
      </c>
      <c r="E64" s="33">
        <v>2</v>
      </c>
      <c r="F64" s="38" t="str">
        <f>VLOOKUP(E64,Key!$A$17:$B$21,2,FALSE)</f>
        <v>Road Vehicle</v>
      </c>
      <c r="G64" s="32">
        <v>4</v>
      </c>
      <c r="H64" s="39" t="str">
        <f>VLOOKUP(G64,Key!$A$2:$B$13,2,FALSE)</f>
        <v>Minibus</v>
      </c>
      <c r="I64" s="33" t="s">
        <v>109</v>
      </c>
      <c r="J64" s="33">
        <v>1</v>
      </c>
      <c r="K64" s="40" t="str">
        <f>VLOOKUP(J64,Key!$A$24:$B$29,2,FALSE)</f>
        <v>20-29</v>
      </c>
      <c r="L64" s="33" t="s">
        <v>151</v>
      </c>
      <c r="M64" s="29" t="s">
        <v>151</v>
      </c>
      <c r="N64" s="33" t="s">
        <v>152</v>
      </c>
      <c r="O64" s="35">
        <v>1</v>
      </c>
      <c r="P64" s="30" t="str">
        <f>VLOOKUP(O64,Key!$E$2:$F$9,2,FALSE)</f>
        <v>Home</v>
      </c>
      <c r="Q64" s="33" t="s">
        <v>202</v>
      </c>
      <c r="R64" s="29" t="s">
        <v>177</v>
      </c>
      <c r="S64" s="33" t="s">
        <v>152</v>
      </c>
      <c r="T64" s="29">
        <v>2</v>
      </c>
      <c r="U64" s="30" t="str">
        <f>VLOOKUP(T64,Key!$E$2:$F$9,2,FALSE)</f>
        <v>Work</v>
      </c>
      <c r="V64" s="30" t="str">
        <f t="shared" si="0"/>
        <v>Home-Work</v>
      </c>
      <c r="W64" s="29">
        <v>6000</v>
      </c>
      <c r="X64" s="34"/>
      <c r="Y64" s="50" t="str">
        <f t="shared" si="1"/>
        <v>0-10</v>
      </c>
      <c r="Z64" s="34">
        <v>1</v>
      </c>
      <c r="AA64" s="50" t="str">
        <f t="shared" si="2"/>
        <v>1.0-2.0</v>
      </c>
      <c r="AB64" s="29">
        <v>10</v>
      </c>
      <c r="AC64" s="30" t="str">
        <f>VLOOKUP(AB64,Key!$C$20:$D$29,2,FALSE)</f>
        <v>Other</v>
      </c>
      <c r="AD64" s="29">
        <v>2</v>
      </c>
      <c r="AE64" s="30" t="str">
        <f>VLOOKUP(AD64,Key!$E$20:$F$24,2,FALSE)</f>
        <v>300,000-500,000</v>
      </c>
      <c r="AF64" s="29">
        <v>1</v>
      </c>
      <c r="AG64" s="34">
        <v>2</v>
      </c>
      <c r="AH64" s="34">
        <v>1</v>
      </c>
      <c r="AI64" s="34">
        <v>1</v>
      </c>
      <c r="AJ64" s="34">
        <v>1</v>
      </c>
      <c r="AK64" s="35" t="s">
        <v>94</v>
      </c>
      <c r="AL64" s="36"/>
      <c r="AM64" t="str">
        <f t="shared" si="3"/>
        <v>0-1000</v>
      </c>
    </row>
    <row r="65" spans="1:39" x14ac:dyDescent="0.2">
      <c r="A65" s="44">
        <v>43764</v>
      </c>
      <c r="B65" s="31">
        <v>0.6069444444444444</v>
      </c>
      <c r="C65" s="31"/>
      <c r="D65" s="31" t="s">
        <v>150</v>
      </c>
      <c r="E65" s="33">
        <v>2</v>
      </c>
      <c r="F65" s="38" t="str">
        <f>VLOOKUP(E65,Key!$A$17:$B$21,2,FALSE)</f>
        <v>Road Vehicle</v>
      </c>
      <c r="G65" s="32">
        <v>4</v>
      </c>
      <c r="H65" s="39" t="str">
        <f>VLOOKUP(G65,Key!$A$2:$B$13,2,FALSE)</f>
        <v>Minibus</v>
      </c>
      <c r="I65" s="33" t="s">
        <v>109</v>
      </c>
      <c r="J65" s="33">
        <v>1</v>
      </c>
      <c r="K65" s="40" t="str">
        <f>VLOOKUP(J65,Key!$A$24:$B$29,2,FALSE)</f>
        <v>20-29</v>
      </c>
      <c r="L65" s="33" t="s">
        <v>151</v>
      </c>
      <c r="M65" s="29" t="s">
        <v>151</v>
      </c>
      <c r="N65" s="33" t="s">
        <v>152</v>
      </c>
      <c r="O65" s="35">
        <v>8</v>
      </c>
      <c r="P65" s="30" t="str">
        <f>VLOOKUP(O65,Key!$E$2:$F$9,2,FALSE)</f>
        <v>Others</v>
      </c>
      <c r="Q65" s="33" t="s">
        <v>153</v>
      </c>
      <c r="R65" s="29" t="s">
        <v>153</v>
      </c>
      <c r="S65" s="33" t="s">
        <v>152</v>
      </c>
      <c r="T65" s="29">
        <v>2</v>
      </c>
      <c r="U65" s="30" t="str">
        <f>VLOOKUP(T65,Key!$E$2:$F$9,2,FALSE)</f>
        <v>Work</v>
      </c>
      <c r="V65" s="30" t="str">
        <f t="shared" si="0"/>
        <v>Others-Work</v>
      </c>
      <c r="W65" s="29">
        <v>13000</v>
      </c>
      <c r="X65" s="34"/>
      <c r="Y65" s="50" t="str">
        <f t="shared" si="1"/>
        <v>0-10</v>
      </c>
      <c r="Z65" s="34">
        <v>5</v>
      </c>
      <c r="AA65" s="50" t="str">
        <f t="shared" si="2"/>
        <v>Over 3.5</v>
      </c>
      <c r="AB65" s="29">
        <v>3</v>
      </c>
      <c r="AC65" s="30" t="str">
        <f>VLOOKUP(AB65,Key!$C$20:$D$29,2,FALSE)</f>
        <v>Artisan/Domestic</v>
      </c>
      <c r="AD65" s="29">
        <v>1</v>
      </c>
      <c r="AE65" s="30" t="str">
        <f>VLOOKUP(AD65,Key!$E$20:$F$24,2,FALSE)</f>
        <v>&lt;300,000</v>
      </c>
      <c r="AF65" s="29">
        <v>3</v>
      </c>
      <c r="AG65" s="34">
        <v>4</v>
      </c>
      <c r="AH65" s="34">
        <v>2</v>
      </c>
      <c r="AI65" s="34">
        <v>1</v>
      </c>
      <c r="AJ65" s="34">
        <v>5</v>
      </c>
      <c r="AK65" s="35" t="s">
        <v>94</v>
      </c>
      <c r="AL65" s="36"/>
      <c r="AM65" t="str">
        <f t="shared" si="3"/>
        <v>0-1000</v>
      </c>
    </row>
    <row r="66" spans="1:39" x14ac:dyDescent="0.2">
      <c r="A66" s="44">
        <v>43764</v>
      </c>
      <c r="B66" s="31">
        <v>0.60833333333333328</v>
      </c>
      <c r="C66" s="31"/>
      <c r="D66" s="31" t="s">
        <v>150</v>
      </c>
      <c r="E66" s="33">
        <v>2</v>
      </c>
      <c r="F66" s="38" t="str">
        <f>VLOOKUP(E66,Key!$A$17:$B$21,2,FALSE)</f>
        <v>Road Vehicle</v>
      </c>
      <c r="G66" s="32">
        <v>4</v>
      </c>
      <c r="H66" s="39" t="str">
        <f>VLOOKUP(G66,Key!$A$2:$B$13,2,FALSE)</f>
        <v>Minibus</v>
      </c>
      <c r="I66" s="33" t="s">
        <v>109</v>
      </c>
      <c r="J66" s="33">
        <v>1</v>
      </c>
      <c r="K66" s="40" t="str">
        <f>VLOOKUP(J66,Key!$A$24:$B$29,2,FALSE)</f>
        <v>20-29</v>
      </c>
      <c r="L66" s="33" t="s">
        <v>151</v>
      </c>
      <c r="M66" s="29" t="s">
        <v>151</v>
      </c>
      <c r="N66" s="33" t="s">
        <v>152</v>
      </c>
      <c r="O66" s="35">
        <v>4</v>
      </c>
      <c r="P66" s="30" t="str">
        <f>VLOOKUP(O66,Key!$E$2:$F$9,2,FALSE)</f>
        <v>Commercial</v>
      </c>
      <c r="Q66" s="33" t="s">
        <v>154</v>
      </c>
      <c r="R66" s="29" t="s">
        <v>177</v>
      </c>
      <c r="S66" s="33" t="s">
        <v>152</v>
      </c>
      <c r="T66" s="29">
        <v>4</v>
      </c>
      <c r="U66" s="30" t="str">
        <f>VLOOKUP(T66,Key!$E$2:$F$9,2,FALSE)</f>
        <v>Commercial</v>
      </c>
      <c r="V66" s="30" t="str">
        <f t="shared" ref="V66:V129" si="4">P66&amp;"-"&amp;U66</f>
        <v>Commercial-Commercial</v>
      </c>
      <c r="W66" s="29">
        <v>8000</v>
      </c>
      <c r="X66" s="34"/>
      <c r="Y66" s="50" t="str">
        <f t="shared" si="1"/>
        <v>0-10</v>
      </c>
      <c r="Z66" s="34">
        <v>2</v>
      </c>
      <c r="AA66" s="50" t="str">
        <f t="shared" si="2"/>
        <v>2.0-3.5</v>
      </c>
      <c r="AB66" s="29">
        <v>6</v>
      </c>
      <c r="AC66" s="30" t="str">
        <f>VLOOKUP(AB66,Key!$C$20:$D$29,2,FALSE)</f>
        <v>Businessman</v>
      </c>
      <c r="AD66" s="29">
        <v>4</v>
      </c>
      <c r="AE66" s="30" t="str">
        <f>VLOOKUP(AD66,Key!$E$20:$F$24,2,FALSE)</f>
        <v>750,000-1,000,000</v>
      </c>
      <c r="AF66" s="29">
        <v>2</v>
      </c>
      <c r="AG66" s="34">
        <v>3</v>
      </c>
      <c r="AH66" s="34">
        <v>5</v>
      </c>
      <c r="AI66" s="34">
        <v>1</v>
      </c>
      <c r="AJ66" s="34">
        <v>4</v>
      </c>
      <c r="AK66" s="35" t="s">
        <v>94</v>
      </c>
      <c r="AL66" s="36"/>
      <c r="AM66" t="str">
        <f t="shared" si="3"/>
        <v>0-1000</v>
      </c>
    </row>
    <row r="67" spans="1:39" x14ac:dyDescent="0.2">
      <c r="A67" s="44">
        <v>43764</v>
      </c>
      <c r="B67" s="31">
        <v>0.60347222222222219</v>
      </c>
      <c r="C67" s="31"/>
      <c r="D67" s="31" t="s">
        <v>150</v>
      </c>
      <c r="E67" s="33">
        <v>2</v>
      </c>
      <c r="F67" s="38" t="str">
        <f>VLOOKUP(E67,Key!$A$17:$B$21,2,FALSE)</f>
        <v>Road Vehicle</v>
      </c>
      <c r="G67" s="32">
        <v>4</v>
      </c>
      <c r="H67" s="39" t="str">
        <f>VLOOKUP(G67,Key!$A$2:$B$13,2,FALSE)</f>
        <v>Minibus</v>
      </c>
      <c r="I67" s="33" t="s">
        <v>109</v>
      </c>
      <c r="J67" s="33">
        <v>1</v>
      </c>
      <c r="K67" s="40" t="str">
        <f>VLOOKUP(J67,Key!$A$24:$B$29,2,FALSE)</f>
        <v>20-29</v>
      </c>
      <c r="L67" s="33" t="s">
        <v>151</v>
      </c>
      <c r="M67" s="29" t="s">
        <v>151</v>
      </c>
      <c r="N67" s="33" t="s">
        <v>152</v>
      </c>
      <c r="O67" s="35">
        <v>1</v>
      </c>
      <c r="P67" s="30" t="str">
        <f>VLOOKUP(O67,Key!$E$2:$F$9,2,FALSE)</f>
        <v>Home</v>
      </c>
      <c r="Q67" s="33" t="s">
        <v>176</v>
      </c>
      <c r="R67" s="29" t="s">
        <v>153</v>
      </c>
      <c r="S67" s="33" t="s">
        <v>152</v>
      </c>
      <c r="T67" s="29">
        <v>1</v>
      </c>
      <c r="U67" s="30" t="str">
        <f>VLOOKUP(T67,Key!$E$2:$F$9,2,FALSE)</f>
        <v>Home</v>
      </c>
      <c r="V67" s="30" t="str">
        <f t="shared" si="4"/>
        <v>Home-Home</v>
      </c>
      <c r="W67" s="29">
        <v>13000</v>
      </c>
      <c r="X67" s="34"/>
      <c r="Y67" s="50" t="str">
        <f t="shared" ref="Y67:Y130" si="5">IF(X67&lt;10,"0-10",IF(X67&lt;20,"10-20",IF(X67&lt;40,"20-40",IF(X67&lt;70,"40-70",IF(X67&lt;100,"70-100",IF(X67&lt;200,"100-200","Over 200"))))))</f>
        <v>0-10</v>
      </c>
      <c r="Z67" s="34">
        <v>3</v>
      </c>
      <c r="AA67" s="50" t="str">
        <f t="shared" ref="AA67:AA130" si="6">IF(Z67&lt;0.5,"0-0.5",IF(Z67&lt;1,"0.5-1.0",IF(Z67&lt;2,"1.0-2.0",IF(Z67&lt;3.5,"2.0-3.5","Over 3.5"))))</f>
        <v>2.0-3.5</v>
      </c>
      <c r="AB67" s="29">
        <v>1</v>
      </c>
      <c r="AC67" s="30" t="str">
        <f>VLOOKUP(AB67,Key!$C$20:$D$29,2,FALSE)</f>
        <v>Unemployed</v>
      </c>
      <c r="AD67" s="29">
        <v>1</v>
      </c>
      <c r="AE67" s="30" t="str">
        <f>VLOOKUP(AD67,Key!$E$20:$F$24,2,FALSE)</f>
        <v>&lt;300,000</v>
      </c>
      <c r="AF67" s="29">
        <v>1</v>
      </c>
      <c r="AG67" s="34">
        <v>2</v>
      </c>
      <c r="AH67" s="34">
        <v>4</v>
      </c>
      <c r="AI67" s="34">
        <v>3</v>
      </c>
      <c r="AJ67" s="34">
        <v>2</v>
      </c>
      <c r="AK67" s="35" t="s">
        <v>94</v>
      </c>
      <c r="AL67" s="36"/>
      <c r="AM67" t="str">
        <f t="shared" ref="AM67:AM130" si="7">IF(AL67&lt;1000,"0-1000",IF(AL67&lt;2000,"1000-2000",IF(AL67&lt;3000,"2000-3000",IF(AL67&lt;5000,"3000-5000",IF(AL67&lt;10000,"5000-10000","Over 10000")))))</f>
        <v>0-1000</v>
      </c>
    </row>
    <row r="68" spans="1:39" x14ac:dyDescent="0.2">
      <c r="A68" s="44">
        <v>43764</v>
      </c>
      <c r="B68" s="31">
        <v>0.57361111111111118</v>
      </c>
      <c r="C68" s="31"/>
      <c r="D68" s="31" t="s">
        <v>150</v>
      </c>
      <c r="E68" s="33">
        <v>2</v>
      </c>
      <c r="F68" s="38" t="str">
        <f>VLOOKUP(E68,Key!$A$17:$B$21,2,FALSE)</f>
        <v>Road Vehicle</v>
      </c>
      <c r="G68" s="32">
        <v>4</v>
      </c>
      <c r="H68" s="39" t="str">
        <f>VLOOKUP(G68,Key!$A$2:$B$13,2,FALSE)</f>
        <v>Minibus</v>
      </c>
      <c r="I68" s="33" t="s">
        <v>109</v>
      </c>
      <c r="J68" s="33">
        <v>1</v>
      </c>
      <c r="K68" s="40" t="str">
        <f>VLOOKUP(J68,Key!$A$24:$B$29,2,FALSE)</f>
        <v>20-29</v>
      </c>
      <c r="L68" s="33" t="s">
        <v>153</v>
      </c>
      <c r="M68" s="29" t="s">
        <v>153</v>
      </c>
      <c r="N68" s="33" t="s">
        <v>152</v>
      </c>
      <c r="O68" s="35">
        <v>2</v>
      </c>
      <c r="P68" s="30" t="str">
        <f>VLOOKUP(O68,Key!$E$2:$F$9,2,FALSE)</f>
        <v>Work</v>
      </c>
      <c r="Q68" s="33" t="s">
        <v>151</v>
      </c>
      <c r="R68" s="29" t="s">
        <v>151</v>
      </c>
      <c r="S68" s="33" t="s">
        <v>152</v>
      </c>
      <c r="T68" s="29">
        <v>1</v>
      </c>
      <c r="U68" s="30" t="str">
        <f>VLOOKUP(T68,Key!$E$2:$F$9,2,FALSE)</f>
        <v>Home</v>
      </c>
      <c r="V68" s="30" t="str">
        <f t="shared" si="4"/>
        <v>Work-Home</v>
      </c>
      <c r="W68" s="29">
        <v>13000</v>
      </c>
      <c r="X68" s="34"/>
      <c r="Y68" s="50" t="str">
        <f t="shared" si="5"/>
        <v>0-10</v>
      </c>
      <c r="Z68" s="34">
        <v>4</v>
      </c>
      <c r="AA68" s="50" t="str">
        <f t="shared" si="6"/>
        <v>Over 3.5</v>
      </c>
      <c r="AB68" s="29">
        <v>4</v>
      </c>
      <c r="AC68" s="30" t="str">
        <f>VLOOKUP(AB68,Key!$C$20:$D$29,2,FALSE)</f>
        <v>Office Worker</v>
      </c>
      <c r="AD68" s="29">
        <v>2</v>
      </c>
      <c r="AE68" s="30" t="str">
        <f>VLOOKUP(AD68,Key!$E$20:$F$24,2,FALSE)</f>
        <v>300,000-500,000</v>
      </c>
      <c r="AF68" s="29">
        <v>4</v>
      </c>
      <c r="AG68" s="34">
        <v>2</v>
      </c>
      <c r="AH68" s="34">
        <v>3</v>
      </c>
      <c r="AI68" s="34">
        <v>1</v>
      </c>
      <c r="AJ68" s="34">
        <v>5</v>
      </c>
      <c r="AK68" s="35" t="s">
        <v>94</v>
      </c>
      <c r="AL68" s="36">
        <v>2000</v>
      </c>
      <c r="AM68" t="str">
        <f t="shared" si="7"/>
        <v>2000-3000</v>
      </c>
    </row>
    <row r="69" spans="1:39" x14ac:dyDescent="0.2">
      <c r="A69" s="44">
        <v>43764</v>
      </c>
      <c r="B69" s="31">
        <v>0.58124999999999993</v>
      </c>
      <c r="C69" s="31"/>
      <c r="D69" s="31" t="s">
        <v>150</v>
      </c>
      <c r="E69" s="33">
        <v>2</v>
      </c>
      <c r="F69" s="38" t="str">
        <f>VLOOKUP(E69,Key!$A$17:$B$21,2,FALSE)</f>
        <v>Road Vehicle</v>
      </c>
      <c r="G69" s="32">
        <v>4</v>
      </c>
      <c r="H69" s="39" t="str">
        <f>VLOOKUP(G69,Key!$A$2:$B$13,2,FALSE)</f>
        <v>Minibus</v>
      </c>
      <c r="I69" s="33" t="s">
        <v>109</v>
      </c>
      <c r="J69" s="33">
        <v>1</v>
      </c>
      <c r="K69" s="40" t="str">
        <f>VLOOKUP(J69,Key!$A$24:$B$29,2,FALSE)</f>
        <v>20-29</v>
      </c>
      <c r="L69" s="33" t="s">
        <v>151</v>
      </c>
      <c r="M69" s="29" t="s">
        <v>151</v>
      </c>
      <c r="N69" s="33" t="s">
        <v>152</v>
      </c>
      <c r="O69" s="35">
        <v>8</v>
      </c>
      <c r="P69" s="30" t="str">
        <f>VLOOKUP(O69,Key!$E$2:$F$9,2,FALSE)</f>
        <v>Others</v>
      </c>
      <c r="Q69" s="33" t="s">
        <v>153</v>
      </c>
      <c r="R69" s="29" t="s">
        <v>153</v>
      </c>
      <c r="S69" s="33" t="s">
        <v>152</v>
      </c>
      <c r="T69" s="29">
        <v>2</v>
      </c>
      <c r="U69" s="30" t="str">
        <f>VLOOKUP(T69,Key!$E$2:$F$9,2,FALSE)</f>
        <v>Work</v>
      </c>
      <c r="V69" s="30" t="str">
        <f t="shared" si="4"/>
        <v>Others-Work</v>
      </c>
      <c r="W69" s="29">
        <v>13000</v>
      </c>
      <c r="X69" s="34"/>
      <c r="Y69" s="50" t="str">
        <f t="shared" si="5"/>
        <v>0-10</v>
      </c>
      <c r="Z69" s="34">
        <v>4</v>
      </c>
      <c r="AA69" s="50" t="str">
        <f t="shared" si="6"/>
        <v>Over 3.5</v>
      </c>
      <c r="AB69" s="29">
        <v>4</v>
      </c>
      <c r="AC69" s="30" t="str">
        <f>VLOOKUP(AB69,Key!$C$20:$D$29,2,FALSE)</f>
        <v>Office Worker</v>
      </c>
      <c r="AD69" s="29">
        <v>3</v>
      </c>
      <c r="AE69" s="30" t="str">
        <f>VLOOKUP(AD69,Key!$E$20:$F$24,2,FALSE)</f>
        <v>500,000-750,000</v>
      </c>
      <c r="AF69" s="29">
        <v>1</v>
      </c>
      <c r="AG69" s="34">
        <v>2</v>
      </c>
      <c r="AH69" s="34">
        <v>3</v>
      </c>
      <c r="AI69" s="34">
        <v>5</v>
      </c>
      <c r="AJ69" s="34">
        <v>4</v>
      </c>
      <c r="AK69" s="35" t="s">
        <v>94</v>
      </c>
      <c r="AL69" s="36"/>
      <c r="AM69" t="str">
        <f t="shared" si="7"/>
        <v>0-1000</v>
      </c>
    </row>
    <row r="70" spans="1:39" x14ac:dyDescent="0.2">
      <c r="A70" s="44">
        <v>43764</v>
      </c>
      <c r="B70" s="31">
        <v>0.55694444444444446</v>
      </c>
      <c r="C70" s="31"/>
      <c r="D70" s="31" t="s">
        <v>150</v>
      </c>
      <c r="E70" s="33">
        <v>2</v>
      </c>
      <c r="F70" s="38" t="str">
        <f>VLOOKUP(E70,Key!$A$17:$B$21,2,FALSE)</f>
        <v>Road Vehicle</v>
      </c>
      <c r="G70" s="32">
        <v>4</v>
      </c>
      <c r="H70" s="39" t="str">
        <f>VLOOKUP(G70,Key!$A$2:$B$13,2,FALSE)</f>
        <v>Minibus</v>
      </c>
      <c r="I70" s="33" t="s">
        <v>109</v>
      </c>
      <c r="J70" s="33">
        <v>1</v>
      </c>
      <c r="K70" s="40" t="str">
        <f>VLOOKUP(J70,Key!$A$24:$B$29,2,FALSE)</f>
        <v>20-29</v>
      </c>
      <c r="L70" s="33" t="s">
        <v>151</v>
      </c>
      <c r="M70" s="29" t="s">
        <v>151</v>
      </c>
      <c r="N70" s="33" t="s">
        <v>152</v>
      </c>
      <c r="O70" s="35">
        <v>1</v>
      </c>
      <c r="P70" s="30" t="str">
        <f>VLOOKUP(O70,Key!$E$2:$F$9,2,FALSE)</f>
        <v>Home</v>
      </c>
      <c r="Q70" s="33" t="s">
        <v>153</v>
      </c>
      <c r="R70" s="29" t="s">
        <v>153</v>
      </c>
      <c r="S70" s="33" t="s">
        <v>152</v>
      </c>
      <c r="T70" s="29">
        <v>2</v>
      </c>
      <c r="U70" s="30" t="str">
        <f>VLOOKUP(T70,Key!$E$2:$F$9,2,FALSE)</f>
        <v>Work</v>
      </c>
      <c r="V70" s="30" t="str">
        <f t="shared" si="4"/>
        <v>Home-Work</v>
      </c>
      <c r="W70" s="29">
        <v>13000</v>
      </c>
      <c r="X70" s="34"/>
      <c r="Y70" s="50" t="str">
        <f t="shared" si="5"/>
        <v>0-10</v>
      </c>
      <c r="Z70" s="34">
        <v>5</v>
      </c>
      <c r="AA70" s="50" t="str">
        <f t="shared" si="6"/>
        <v>Over 3.5</v>
      </c>
      <c r="AB70" s="29">
        <v>4</v>
      </c>
      <c r="AC70" s="30" t="str">
        <f>VLOOKUP(AB70,Key!$C$20:$D$29,2,FALSE)</f>
        <v>Office Worker</v>
      </c>
      <c r="AD70" s="29">
        <v>3</v>
      </c>
      <c r="AE70" s="30" t="str">
        <f>VLOOKUP(AD70,Key!$E$20:$F$24,2,FALSE)</f>
        <v>500,000-750,000</v>
      </c>
      <c r="AF70" s="29">
        <v>2</v>
      </c>
      <c r="AG70" s="34">
        <v>4</v>
      </c>
      <c r="AH70" s="34">
        <v>1</v>
      </c>
      <c r="AI70" s="34">
        <v>5</v>
      </c>
      <c r="AJ70" s="34">
        <v>0.3</v>
      </c>
      <c r="AK70" s="35" t="s">
        <v>94</v>
      </c>
      <c r="AL70" s="36">
        <v>2000</v>
      </c>
      <c r="AM70" t="str">
        <f t="shared" si="7"/>
        <v>2000-3000</v>
      </c>
    </row>
    <row r="71" spans="1:39" x14ac:dyDescent="0.2">
      <c r="A71" s="44">
        <v>43764</v>
      </c>
      <c r="B71" s="31">
        <v>0.48819444444444443</v>
      </c>
      <c r="C71" s="31"/>
      <c r="D71" s="31" t="s">
        <v>150</v>
      </c>
      <c r="E71" s="33">
        <v>2</v>
      </c>
      <c r="F71" s="38" t="str">
        <f>VLOOKUP(E71,Key!$A$17:$B$21,2,FALSE)</f>
        <v>Road Vehicle</v>
      </c>
      <c r="G71" s="32">
        <v>4</v>
      </c>
      <c r="H71" s="39" t="str">
        <f>VLOOKUP(G71,Key!$A$2:$B$13,2,FALSE)</f>
        <v>Minibus</v>
      </c>
      <c r="I71" s="33" t="s">
        <v>109</v>
      </c>
      <c r="J71" s="33">
        <v>1</v>
      </c>
      <c r="K71" s="40" t="str">
        <f>VLOOKUP(J71,Key!$A$24:$B$29,2,FALSE)</f>
        <v>20-29</v>
      </c>
      <c r="L71" s="33" t="s">
        <v>151</v>
      </c>
      <c r="M71" s="29" t="s">
        <v>151</v>
      </c>
      <c r="N71" s="33" t="s">
        <v>152</v>
      </c>
      <c r="O71" s="35">
        <v>1</v>
      </c>
      <c r="P71" s="30" t="str">
        <f>VLOOKUP(O71,Key!$E$2:$F$9,2,FALSE)</f>
        <v>Home</v>
      </c>
      <c r="Q71" s="33" t="s">
        <v>168</v>
      </c>
      <c r="R71" s="29" t="s">
        <v>168</v>
      </c>
      <c r="S71" s="33" t="s">
        <v>152</v>
      </c>
      <c r="T71" s="29">
        <v>2</v>
      </c>
      <c r="U71" s="30" t="str">
        <f>VLOOKUP(T71,Key!$E$2:$F$9,2,FALSE)</f>
        <v>Work</v>
      </c>
      <c r="V71" s="30" t="str">
        <f t="shared" si="4"/>
        <v>Home-Work</v>
      </c>
      <c r="W71" s="29">
        <v>13000</v>
      </c>
      <c r="X71" s="34"/>
      <c r="Y71" s="50" t="str">
        <f t="shared" si="5"/>
        <v>0-10</v>
      </c>
      <c r="Z71" s="34">
        <v>3</v>
      </c>
      <c r="AA71" s="50" t="str">
        <f t="shared" si="6"/>
        <v>2.0-3.5</v>
      </c>
      <c r="AB71" s="29">
        <v>2</v>
      </c>
      <c r="AC71" s="30" t="str">
        <f>VLOOKUP(AB71,Key!$C$20:$D$29,2,FALSE)</f>
        <v>Manual Labour</v>
      </c>
      <c r="AD71" s="29">
        <v>3</v>
      </c>
      <c r="AE71" s="30" t="str">
        <f>VLOOKUP(AD71,Key!$E$20:$F$24,2,FALSE)</f>
        <v>500,000-750,000</v>
      </c>
      <c r="AF71" s="29">
        <v>2</v>
      </c>
      <c r="AG71" s="34">
        <v>1</v>
      </c>
      <c r="AH71" s="34">
        <v>1</v>
      </c>
      <c r="AI71" s="34">
        <v>5</v>
      </c>
      <c r="AJ71" s="34">
        <v>2</v>
      </c>
      <c r="AK71" s="35" t="s">
        <v>94</v>
      </c>
      <c r="AL71" s="36"/>
      <c r="AM71" t="str">
        <f t="shared" si="7"/>
        <v>0-1000</v>
      </c>
    </row>
    <row r="72" spans="1:39" x14ac:dyDescent="0.2">
      <c r="A72" s="44">
        <v>43764</v>
      </c>
      <c r="B72" s="31">
        <v>0.48819444444444443</v>
      </c>
      <c r="C72" s="31"/>
      <c r="D72" s="31" t="s">
        <v>150</v>
      </c>
      <c r="E72" s="33">
        <v>2</v>
      </c>
      <c r="F72" s="38" t="str">
        <f>VLOOKUP(E72,Key!$A$17:$B$21,2,FALSE)</f>
        <v>Road Vehicle</v>
      </c>
      <c r="G72" s="32">
        <v>4</v>
      </c>
      <c r="H72" s="39" t="str">
        <f>VLOOKUP(G72,Key!$A$2:$B$13,2,FALSE)</f>
        <v>Minibus</v>
      </c>
      <c r="I72" s="33" t="s">
        <v>109</v>
      </c>
      <c r="J72" s="33">
        <v>1</v>
      </c>
      <c r="K72" s="40" t="str">
        <f>VLOOKUP(J72,Key!$A$24:$B$29,2,FALSE)</f>
        <v>20-29</v>
      </c>
      <c r="L72" s="33" t="s">
        <v>151</v>
      </c>
      <c r="M72" s="29" t="s">
        <v>151</v>
      </c>
      <c r="N72" s="33" t="s">
        <v>152</v>
      </c>
      <c r="O72" s="35">
        <v>8</v>
      </c>
      <c r="P72" s="30" t="str">
        <f>VLOOKUP(O72,Key!$E$2:$F$9,2,FALSE)</f>
        <v>Others</v>
      </c>
      <c r="Q72" s="33" t="s">
        <v>153</v>
      </c>
      <c r="R72" s="29" t="s">
        <v>153</v>
      </c>
      <c r="S72" s="33" t="s">
        <v>152</v>
      </c>
      <c r="T72" s="29">
        <v>2</v>
      </c>
      <c r="U72" s="30" t="str">
        <f>VLOOKUP(T72,Key!$E$2:$F$9,2,FALSE)</f>
        <v>Work</v>
      </c>
      <c r="V72" s="30" t="str">
        <f t="shared" si="4"/>
        <v>Others-Work</v>
      </c>
      <c r="W72" s="29">
        <v>13000</v>
      </c>
      <c r="X72" s="34"/>
      <c r="Y72" s="50" t="str">
        <f t="shared" si="5"/>
        <v>0-10</v>
      </c>
      <c r="Z72" s="34">
        <v>4</v>
      </c>
      <c r="AA72" s="50" t="str">
        <f t="shared" si="6"/>
        <v>Over 3.5</v>
      </c>
      <c r="AB72" s="29">
        <v>4</v>
      </c>
      <c r="AC72" s="30" t="str">
        <f>VLOOKUP(AB72,Key!$C$20:$D$29,2,FALSE)</f>
        <v>Office Worker</v>
      </c>
      <c r="AD72" s="29">
        <v>3</v>
      </c>
      <c r="AE72" s="30" t="str">
        <f>VLOOKUP(AD72,Key!$E$20:$F$24,2,FALSE)</f>
        <v>500,000-750,000</v>
      </c>
      <c r="AF72" s="29">
        <v>5</v>
      </c>
      <c r="AG72" s="34">
        <v>5</v>
      </c>
      <c r="AH72" s="34">
        <v>4</v>
      </c>
      <c r="AI72" s="34">
        <v>1</v>
      </c>
      <c r="AJ72" s="34">
        <v>2</v>
      </c>
      <c r="AK72" s="35" t="s">
        <v>94</v>
      </c>
      <c r="AL72" s="36">
        <v>2000</v>
      </c>
      <c r="AM72" t="str">
        <f t="shared" si="7"/>
        <v>2000-3000</v>
      </c>
    </row>
    <row r="73" spans="1:39" x14ac:dyDescent="0.2">
      <c r="A73" s="44">
        <v>43764</v>
      </c>
      <c r="B73" s="31">
        <v>0.48472222222222222</v>
      </c>
      <c r="C73" s="31"/>
      <c r="D73" s="31" t="s">
        <v>150</v>
      </c>
      <c r="E73" s="33">
        <v>2</v>
      </c>
      <c r="F73" s="38" t="str">
        <f>VLOOKUP(E73,Key!$A$17:$B$21,2,FALSE)</f>
        <v>Road Vehicle</v>
      </c>
      <c r="G73" s="32">
        <v>4</v>
      </c>
      <c r="H73" s="39" t="str">
        <f>VLOOKUP(G73,Key!$A$2:$B$13,2,FALSE)</f>
        <v>Minibus</v>
      </c>
      <c r="I73" s="33" t="s">
        <v>109</v>
      </c>
      <c r="J73" s="33">
        <v>1</v>
      </c>
      <c r="K73" s="40" t="str">
        <f>VLOOKUP(J73,Key!$A$24:$B$29,2,FALSE)</f>
        <v>20-29</v>
      </c>
      <c r="L73" s="33" t="s">
        <v>151</v>
      </c>
      <c r="M73" s="29" t="s">
        <v>151</v>
      </c>
      <c r="N73" s="33" t="s">
        <v>152</v>
      </c>
      <c r="O73" s="35">
        <v>1</v>
      </c>
      <c r="P73" s="30" t="str">
        <f>VLOOKUP(O73,Key!$E$2:$F$9,2,FALSE)</f>
        <v>Home</v>
      </c>
      <c r="Q73" s="33" t="s">
        <v>153</v>
      </c>
      <c r="R73" s="29" t="s">
        <v>153</v>
      </c>
      <c r="S73" s="33" t="s">
        <v>152</v>
      </c>
      <c r="T73" s="29">
        <v>2</v>
      </c>
      <c r="U73" s="30" t="str">
        <f>VLOOKUP(T73,Key!$E$2:$F$9,2,FALSE)</f>
        <v>Work</v>
      </c>
      <c r="V73" s="30" t="str">
        <f t="shared" si="4"/>
        <v>Home-Work</v>
      </c>
      <c r="W73" s="29">
        <v>13000</v>
      </c>
      <c r="X73" s="34"/>
      <c r="Y73" s="50" t="str">
        <f t="shared" si="5"/>
        <v>0-10</v>
      </c>
      <c r="Z73" s="34">
        <v>4</v>
      </c>
      <c r="AA73" s="50" t="str">
        <f t="shared" si="6"/>
        <v>Over 3.5</v>
      </c>
      <c r="AB73" s="29">
        <v>2</v>
      </c>
      <c r="AC73" s="30" t="str">
        <f>VLOOKUP(AB73,Key!$C$20:$D$29,2,FALSE)</f>
        <v>Manual Labour</v>
      </c>
      <c r="AD73" s="29">
        <v>1</v>
      </c>
      <c r="AE73" s="30" t="str">
        <f>VLOOKUP(AD73,Key!$E$20:$F$24,2,FALSE)</f>
        <v>&lt;300,000</v>
      </c>
      <c r="AF73" s="29">
        <v>5</v>
      </c>
      <c r="AG73" s="34">
        <v>2</v>
      </c>
      <c r="AH73" s="34">
        <v>1</v>
      </c>
      <c r="AI73" s="34">
        <v>3</v>
      </c>
      <c r="AJ73" s="34">
        <v>4</v>
      </c>
      <c r="AK73" s="35" t="s">
        <v>94</v>
      </c>
      <c r="AL73" s="36"/>
      <c r="AM73" t="str">
        <f t="shared" si="7"/>
        <v>0-1000</v>
      </c>
    </row>
    <row r="74" spans="1:39" x14ac:dyDescent="0.2">
      <c r="A74" s="44">
        <v>43764</v>
      </c>
      <c r="B74" s="31">
        <v>0.4604166666666667</v>
      </c>
      <c r="C74" s="31"/>
      <c r="D74" s="31" t="s">
        <v>150</v>
      </c>
      <c r="E74" s="33">
        <v>2</v>
      </c>
      <c r="F74" s="38" t="str">
        <f>VLOOKUP(E74,Key!$A$17:$B$21,2,FALSE)</f>
        <v>Road Vehicle</v>
      </c>
      <c r="G74" s="32">
        <v>4</v>
      </c>
      <c r="H74" s="39" t="str">
        <f>VLOOKUP(G74,Key!$A$2:$B$13,2,FALSE)</f>
        <v>Minibus</v>
      </c>
      <c r="I74" s="33" t="s">
        <v>109</v>
      </c>
      <c r="J74" s="33">
        <v>1</v>
      </c>
      <c r="K74" s="40" t="str">
        <f>VLOOKUP(J74,Key!$A$24:$B$29,2,FALSE)</f>
        <v>20-29</v>
      </c>
      <c r="L74" s="33" t="s">
        <v>151</v>
      </c>
      <c r="M74" s="29" t="s">
        <v>151</v>
      </c>
      <c r="N74" s="33" t="s">
        <v>152</v>
      </c>
      <c r="O74" s="35">
        <v>2</v>
      </c>
      <c r="P74" s="30" t="str">
        <f>VLOOKUP(O74,Key!$E$2:$F$9,2,FALSE)</f>
        <v>Work</v>
      </c>
      <c r="Q74" s="33" t="s">
        <v>177</v>
      </c>
      <c r="R74" s="29" t="s">
        <v>177</v>
      </c>
      <c r="S74" s="33" t="s">
        <v>152</v>
      </c>
      <c r="T74" s="29">
        <v>8</v>
      </c>
      <c r="U74" s="30" t="str">
        <f>VLOOKUP(T74,Key!$E$2:$F$9,2,FALSE)</f>
        <v>Others</v>
      </c>
      <c r="V74" s="30" t="str">
        <f t="shared" si="4"/>
        <v>Work-Others</v>
      </c>
      <c r="W74" s="29">
        <v>5000</v>
      </c>
      <c r="X74" s="34"/>
      <c r="Y74" s="50" t="str">
        <f t="shared" si="5"/>
        <v>0-10</v>
      </c>
      <c r="Z74" s="34">
        <v>1</v>
      </c>
      <c r="AA74" s="50" t="str">
        <f t="shared" si="6"/>
        <v>1.0-2.0</v>
      </c>
      <c r="AB74" s="29">
        <v>2</v>
      </c>
      <c r="AC74" s="30" t="str">
        <f>VLOOKUP(AB74,Key!$C$20:$D$29,2,FALSE)</f>
        <v>Manual Labour</v>
      </c>
      <c r="AD74" s="29">
        <v>1</v>
      </c>
      <c r="AE74" s="30" t="str">
        <f>VLOOKUP(AD74,Key!$E$20:$F$24,2,FALSE)</f>
        <v>&lt;300,000</v>
      </c>
      <c r="AF74" s="29">
        <v>2</v>
      </c>
      <c r="AG74" s="34">
        <v>4</v>
      </c>
      <c r="AH74" s="34">
        <v>5</v>
      </c>
      <c r="AI74" s="34">
        <v>1</v>
      </c>
      <c r="AJ74" s="34">
        <v>3</v>
      </c>
      <c r="AK74" s="35" t="s">
        <v>94</v>
      </c>
      <c r="AL74" s="36"/>
      <c r="AM74" t="str">
        <f t="shared" si="7"/>
        <v>0-1000</v>
      </c>
    </row>
    <row r="75" spans="1:39" x14ac:dyDescent="0.2">
      <c r="A75" s="44">
        <v>43764</v>
      </c>
      <c r="B75" s="31">
        <v>0.45555555555555555</v>
      </c>
      <c r="C75" s="31"/>
      <c r="D75" s="31" t="s">
        <v>150</v>
      </c>
      <c r="E75" s="33">
        <v>2</v>
      </c>
      <c r="F75" s="38" t="str">
        <f>VLOOKUP(E75,Key!$A$17:$B$21,2,FALSE)</f>
        <v>Road Vehicle</v>
      </c>
      <c r="G75" s="32">
        <v>4</v>
      </c>
      <c r="H75" s="39" t="str">
        <f>VLOOKUP(G75,Key!$A$2:$B$13,2,FALSE)</f>
        <v>Minibus</v>
      </c>
      <c r="I75" s="33" t="s">
        <v>109</v>
      </c>
      <c r="J75" s="33">
        <v>1</v>
      </c>
      <c r="K75" s="40" t="str">
        <f>VLOOKUP(J75,Key!$A$24:$B$29,2,FALSE)</f>
        <v>20-29</v>
      </c>
      <c r="L75" s="33" t="s">
        <v>151</v>
      </c>
      <c r="M75" s="29" t="s">
        <v>151</v>
      </c>
      <c r="N75" s="33" t="s">
        <v>152</v>
      </c>
      <c r="O75" s="35">
        <v>1</v>
      </c>
      <c r="P75" s="30" t="str">
        <f>VLOOKUP(O75,Key!$E$2:$F$9,2,FALSE)</f>
        <v>Home</v>
      </c>
      <c r="Q75" s="33" t="s">
        <v>153</v>
      </c>
      <c r="R75" s="29" t="s">
        <v>153</v>
      </c>
      <c r="S75" s="33" t="s">
        <v>152</v>
      </c>
      <c r="T75" s="29">
        <v>2</v>
      </c>
      <c r="U75" s="30" t="str">
        <f>VLOOKUP(T75,Key!$E$2:$F$9,2,FALSE)</f>
        <v>Work</v>
      </c>
      <c r="V75" s="30" t="str">
        <f t="shared" si="4"/>
        <v>Home-Work</v>
      </c>
      <c r="W75" s="29">
        <v>13000</v>
      </c>
      <c r="X75" s="34"/>
      <c r="Y75" s="50" t="str">
        <f t="shared" si="5"/>
        <v>0-10</v>
      </c>
      <c r="Z75" s="34">
        <v>3</v>
      </c>
      <c r="AA75" s="50" t="str">
        <f t="shared" si="6"/>
        <v>2.0-3.5</v>
      </c>
      <c r="AB75" s="29">
        <v>3</v>
      </c>
      <c r="AC75" s="30" t="str">
        <f>VLOOKUP(AB75,Key!$C$20:$D$29,2,FALSE)</f>
        <v>Artisan/Domestic</v>
      </c>
      <c r="AD75" s="29">
        <v>1</v>
      </c>
      <c r="AE75" s="30" t="str">
        <f>VLOOKUP(AD75,Key!$E$20:$F$24,2,FALSE)</f>
        <v>&lt;300,000</v>
      </c>
      <c r="AF75" s="29">
        <v>2</v>
      </c>
      <c r="AG75" s="34">
        <v>4</v>
      </c>
      <c r="AH75" s="34">
        <v>3</v>
      </c>
      <c r="AI75" s="34">
        <v>1</v>
      </c>
      <c r="AJ75" s="34">
        <v>5</v>
      </c>
      <c r="AK75" s="35" t="s">
        <v>94</v>
      </c>
      <c r="AL75" s="36">
        <v>1000</v>
      </c>
      <c r="AM75" t="str">
        <f t="shared" si="7"/>
        <v>1000-2000</v>
      </c>
    </row>
    <row r="76" spans="1:39" x14ac:dyDescent="0.2">
      <c r="A76" s="44">
        <v>43764</v>
      </c>
      <c r="B76" s="31">
        <v>0.47569444444444442</v>
      </c>
      <c r="C76" s="31"/>
      <c r="D76" s="31" t="s">
        <v>150</v>
      </c>
      <c r="E76" s="33">
        <v>2</v>
      </c>
      <c r="F76" s="38" t="str">
        <f>VLOOKUP(E76,Key!$A$17:$B$21,2,FALSE)</f>
        <v>Road Vehicle</v>
      </c>
      <c r="G76" s="32">
        <v>4</v>
      </c>
      <c r="H76" s="39" t="str">
        <f>VLOOKUP(G76,Key!$A$2:$B$13,2,FALSE)</f>
        <v>Minibus</v>
      </c>
      <c r="I76" s="33" t="s">
        <v>109</v>
      </c>
      <c r="J76" s="33">
        <v>1</v>
      </c>
      <c r="K76" s="40" t="str">
        <f>VLOOKUP(J76,Key!$A$24:$B$29,2,FALSE)</f>
        <v>20-29</v>
      </c>
      <c r="L76" s="33" t="s">
        <v>151</v>
      </c>
      <c r="M76" s="29" t="s">
        <v>151</v>
      </c>
      <c r="N76" s="33" t="s">
        <v>152</v>
      </c>
      <c r="O76" s="35">
        <v>1</v>
      </c>
      <c r="P76" s="30" t="str">
        <f>VLOOKUP(O76,Key!$E$2:$F$9,2,FALSE)</f>
        <v>Home</v>
      </c>
      <c r="Q76" s="33" t="s">
        <v>154</v>
      </c>
      <c r="R76" s="29" t="s">
        <v>177</v>
      </c>
      <c r="S76" s="33" t="s">
        <v>152</v>
      </c>
      <c r="T76" s="29">
        <v>2</v>
      </c>
      <c r="U76" s="30" t="str">
        <f>VLOOKUP(T76,Key!$E$2:$F$9,2,FALSE)</f>
        <v>Work</v>
      </c>
      <c r="V76" s="30" t="str">
        <f t="shared" si="4"/>
        <v>Home-Work</v>
      </c>
      <c r="W76" s="29">
        <v>8000</v>
      </c>
      <c r="X76" s="34"/>
      <c r="Y76" s="50" t="str">
        <f t="shared" si="5"/>
        <v>0-10</v>
      </c>
      <c r="Z76" s="34">
        <v>2</v>
      </c>
      <c r="AA76" s="50" t="str">
        <f t="shared" si="6"/>
        <v>2.0-3.5</v>
      </c>
      <c r="AB76" s="29">
        <v>4</v>
      </c>
      <c r="AC76" s="30" t="str">
        <f>VLOOKUP(AB76,Key!$C$20:$D$29,2,FALSE)</f>
        <v>Office Worker</v>
      </c>
      <c r="AD76" s="29">
        <v>3</v>
      </c>
      <c r="AE76" s="30" t="str">
        <f>VLOOKUP(AD76,Key!$E$20:$F$24,2,FALSE)</f>
        <v>500,000-750,000</v>
      </c>
      <c r="AF76" s="29">
        <v>1</v>
      </c>
      <c r="AG76" s="34">
        <v>2</v>
      </c>
      <c r="AH76" s="34">
        <v>5</v>
      </c>
      <c r="AI76" s="34">
        <v>4</v>
      </c>
      <c r="AJ76" s="34">
        <v>3</v>
      </c>
      <c r="AK76" s="35" t="s">
        <v>94</v>
      </c>
      <c r="AL76" s="36">
        <v>1000</v>
      </c>
      <c r="AM76" t="str">
        <f t="shared" si="7"/>
        <v>1000-2000</v>
      </c>
    </row>
    <row r="77" spans="1:39" x14ac:dyDescent="0.2">
      <c r="A77" s="44">
        <v>43764</v>
      </c>
      <c r="B77" s="31">
        <v>0.63680555555555551</v>
      </c>
      <c r="C77" s="31"/>
      <c r="D77" s="31" t="s">
        <v>97</v>
      </c>
      <c r="E77" s="33">
        <v>2</v>
      </c>
      <c r="F77" s="38" t="str">
        <f>VLOOKUP(E77,Key!$A$17:$B$21,2,FALSE)</f>
        <v>Road Vehicle</v>
      </c>
      <c r="G77" s="32">
        <v>4</v>
      </c>
      <c r="H77" s="39" t="str">
        <f>VLOOKUP(G77,Key!$A$2:$B$13,2,FALSE)</f>
        <v>Minibus</v>
      </c>
      <c r="I77" s="33" t="s">
        <v>109</v>
      </c>
      <c r="J77" s="33">
        <v>1</v>
      </c>
      <c r="K77" s="40" t="str">
        <f>VLOOKUP(J77,Key!$A$24:$B$29,2,FALSE)</f>
        <v>20-29</v>
      </c>
      <c r="L77" s="33" t="s">
        <v>151</v>
      </c>
      <c r="M77" s="29" t="s">
        <v>151</v>
      </c>
      <c r="N77" s="33" t="s">
        <v>152</v>
      </c>
      <c r="O77" s="35">
        <v>2</v>
      </c>
      <c r="P77" s="30" t="str">
        <f>VLOOKUP(O77,Key!$E$2:$F$9,2,FALSE)</f>
        <v>Work</v>
      </c>
      <c r="Q77" s="33" t="s">
        <v>191</v>
      </c>
      <c r="R77" s="29" t="s">
        <v>151</v>
      </c>
      <c r="S77" s="33" t="s">
        <v>152</v>
      </c>
      <c r="T77" s="29">
        <v>1</v>
      </c>
      <c r="U77" s="30" t="str">
        <f>VLOOKUP(T77,Key!$E$2:$F$9,2,FALSE)</f>
        <v>Home</v>
      </c>
      <c r="V77" s="30" t="str">
        <f t="shared" si="4"/>
        <v>Work-Home</v>
      </c>
      <c r="W77" s="29">
        <v>5000</v>
      </c>
      <c r="X77" s="34">
        <v>30</v>
      </c>
      <c r="Y77" s="50" t="str">
        <f t="shared" si="5"/>
        <v>20-40</v>
      </c>
      <c r="Z77" s="34">
        <v>1</v>
      </c>
      <c r="AA77" s="50" t="str">
        <f t="shared" si="6"/>
        <v>1.0-2.0</v>
      </c>
      <c r="AB77" s="29">
        <v>8</v>
      </c>
      <c r="AC77" s="30" t="str">
        <f>VLOOKUP(AB77,Key!$C$20:$D$29,2,FALSE)</f>
        <v>Student</v>
      </c>
      <c r="AD77" s="29">
        <v>1</v>
      </c>
      <c r="AE77" s="30" t="str">
        <f>VLOOKUP(AD77,Key!$E$20:$F$24,2,FALSE)</f>
        <v>&lt;300,000</v>
      </c>
      <c r="AF77" s="29">
        <v>1</v>
      </c>
      <c r="AG77" s="34">
        <v>1</v>
      </c>
      <c r="AH77" s="34">
        <v>1</v>
      </c>
      <c r="AI77" s="34">
        <v>1</v>
      </c>
      <c r="AJ77" s="34">
        <v>1</v>
      </c>
      <c r="AK77" s="35" t="s">
        <v>94</v>
      </c>
      <c r="AL77" s="36">
        <v>5000</v>
      </c>
      <c r="AM77" t="str">
        <f t="shared" si="7"/>
        <v>5000-10000</v>
      </c>
    </row>
    <row r="78" spans="1:39" x14ac:dyDescent="0.2">
      <c r="A78" s="44">
        <v>43764</v>
      </c>
      <c r="B78" s="31">
        <v>0.62222222222222223</v>
      </c>
      <c r="C78" s="31"/>
      <c r="D78" s="31" t="s">
        <v>97</v>
      </c>
      <c r="E78" s="33">
        <v>2</v>
      </c>
      <c r="F78" s="38" t="str">
        <f>VLOOKUP(E78,Key!$A$17:$B$21,2,FALSE)</f>
        <v>Road Vehicle</v>
      </c>
      <c r="G78" s="32">
        <v>4</v>
      </c>
      <c r="H78" s="39" t="str">
        <f>VLOOKUP(G78,Key!$A$2:$B$13,2,FALSE)</f>
        <v>Minibus</v>
      </c>
      <c r="I78" s="33" t="s">
        <v>109</v>
      </c>
      <c r="J78" s="33">
        <v>1</v>
      </c>
      <c r="K78" s="40" t="str">
        <f>VLOOKUP(J78,Key!$A$24:$B$29,2,FALSE)</f>
        <v>20-29</v>
      </c>
      <c r="L78" s="33" t="s">
        <v>151</v>
      </c>
      <c r="M78" s="29" t="s">
        <v>151</v>
      </c>
      <c r="N78" s="33" t="s">
        <v>152</v>
      </c>
      <c r="O78" s="35">
        <v>1</v>
      </c>
      <c r="P78" s="30" t="str">
        <f>VLOOKUP(O78,Key!$E$2:$F$9,2,FALSE)</f>
        <v>Home</v>
      </c>
      <c r="Q78" s="33" t="s">
        <v>204</v>
      </c>
      <c r="R78" s="29" t="s">
        <v>180</v>
      </c>
      <c r="S78" s="33" t="s">
        <v>152</v>
      </c>
      <c r="T78" s="29">
        <v>6</v>
      </c>
      <c r="U78" s="30" t="str">
        <f>VLOOKUP(T78,Key!$E$2:$F$9,2,FALSE)</f>
        <v>Leisure/Social</v>
      </c>
      <c r="V78" s="30" t="str">
        <f t="shared" si="4"/>
        <v>Home-Leisure/Social</v>
      </c>
      <c r="W78" s="29">
        <v>10000</v>
      </c>
      <c r="X78" s="34">
        <v>150</v>
      </c>
      <c r="Y78" s="50" t="str">
        <f t="shared" si="5"/>
        <v>100-200</v>
      </c>
      <c r="Z78" s="34">
        <v>4</v>
      </c>
      <c r="AA78" s="50" t="str">
        <f t="shared" si="6"/>
        <v>Over 3.5</v>
      </c>
      <c r="AB78" s="29">
        <v>2</v>
      </c>
      <c r="AC78" s="30" t="str">
        <f>VLOOKUP(AB78,Key!$C$20:$D$29,2,FALSE)</f>
        <v>Manual Labour</v>
      </c>
      <c r="AD78" s="29">
        <v>1</v>
      </c>
      <c r="AE78" s="30" t="str">
        <f>VLOOKUP(AD78,Key!$E$20:$F$24,2,FALSE)</f>
        <v>&lt;300,000</v>
      </c>
      <c r="AF78" s="29">
        <v>4</v>
      </c>
      <c r="AG78" s="34">
        <v>3</v>
      </c>
      <c r="AH78" s="34">
        <v>5</v>
      </c>
      <c r="AI78" s="34">
        <v>1</v>
      </c>
      <c r="AJ78" s="34">
        <v>4</v>
      </c>
      <c r="AK78" s="35" t="s">
        <v>94</v>
      </c>
      <c r="AL78" s="36">
        <v>7000</v>
      </c>
      <c r="AM78" t="str">
        <f t="shared" si="7"/>
        <v>5000-10000</v>
      </c>
    </row>
    <row r="79" spans="1:39" x14ac:dyDescent="0.2">
      <c r="A79" s="44">
        <v>43764</v>
      </c>
      <c r="B79" s="31">
        <v>0.55486111111111114</v>
      </c>
      <c r="C79" s="31"/>
      <c r="D79" s="31" t="s">
        <v>97</v>
      </c>
      <c r="E79" s="33">
        <v>2</v>
      </c>
      <c r="F79" s="38" t="str">
        <f>VLOOKUP(E79,Key!$A$17:$B$21,2,FALSE)</f>
        <v>Road Vehicle</v>
      </c>
      <c r="G79" s="32">
        <v>4</v>
      </c>
      <c r="H79" s="39" t="str">
        <f>VLOOKUP(G79,Key!$A$2:$B$13,2,FALSE)</f>
        <v>Minibus</v>
      </c>
      <c r="I79" s="33" t="s">
        <v>109</v>
      </c>
      <c r="J79" s="33">
        <v>1</v>
      </c>
      <c r="K79" s="40" t="str">
        <f>VLOOKUP(J79,Key!$A$24:$B$29,2,FALSE)</f>
        <v>20-29</v>
      </c>
      <c r="L79" s="33" t="s">
        <v>151</v>
      </c>
      <c r="M79" s="29" t="s">
        <v>151</v>
      </c>
      <c r="N79" s="33" t="s">
        <v>152</v>
      </c>
      <c r="O79" s="35">
        <v>1</v>
      </c>
      <c r="P79" s="30" t="str">
        <f>VLOOKUP(O79,Key!$E$2:$F$9,2,FALSE)</f>
        <v>Home</v>
      </c>
      <c r="Q79" s="33" t="s">
        <v>205</v>
      </c>
      <c r="R79" s="29" t="s">
        <v>205</v>
      </c>
      <c r="S79" s="33" t="s">
        <v>152</v>
      </c>
      <c r="T79" s="29">
        <v>6</v>
      </c>
      <c r="U79" s="30" t="str">
        <f>VLOOKUP(T79,Key!$E$2:$F$9,2,FALSE)</f>
        <v>Leisure/Social</v>
      </c>
      <c r="V79" s="30" t="str">
        <f t="shared" si="4"/>
        <v>Home-Leisure/Social</v>
      </c>
      <c r="W79" s="29">
        <v>15000</v>
      </c>
      <c r="X79" s="34">
        <v>150</v>
      </c>
      <c r="Y79" s="50" t="str">
        <f t="shared" si="5"/>
        <v>100-200</v>
      </c>
      <c r="Z79" s="34">
        <v>3</v>
      </c>
      <c r="AA79" s="50" t="str">
        <f t="shared" si="6"/>
        <v>2.0-3.5</v>
      </c>
      <c r="AB79" s="29">
        <v>2</v>
      </c>
      <c r="AC79" s="30" t="str">
        <f>VLOOKUP(AB79,Key!$C$20:$D$29,2,FALSE)</f>
        <v>Manual Labour</v>
      </c>
      <c r="AD79" s="29">
        <v>2</v>
      </c>
      <c r="AE79" s="30" t="str">
        <f>VLOOKUP(AD79,Key!$E$20:$F$24,2,FALSE)</f>
        <v>300,000-500,000</v>
      </c>
      <c r="AF79" s="29">
        <v>3</v>
      </c>
      <c r="AG79" s="34">
        <v>4</v>
      </c>
      <c r="AH79" s="34">
        <v>1</v>
      </c>
      <c r="AI79" s="34">
        <v>2</v>
      </c>
      <c r="AJ79" s="34">
        <v>1</v>
      </c>
      <c r="AK79" s="35" t="s">
        <v>94</v>
      </c>
      <c r="AL79" s="36">
        <v>1000</v>
      </c>
      <c r="AM79" t="str">
        <f t="shared" si="7"/>
        <v>1000-2000</v>
      </c>
    </row>
    <row r="80" spans="1:39" x14ac:dyDescent="0.2">
      <c r="A80" s="44">
        <v>43764</v>
      </c>
      <c r="B80" s="31">
        <v>0.60833333333333328</v>
      </c>
      <c r="C80" s="31"/>
      <c r="D80" s="31" t="s">
        <v>97</v>
      </c>
      <c r="E80" s="33">
        <v>2</v>
      </c>
      <c r="F80" s="38" t="str">
        <f>VLOOKUP(E80,Key!$A$17:$B$21,2,FALSE)</f>
        <v>Road Vehicle</v>
      </c>
      <c r="G80" s="32">
        <v>4</v>
      </c>
      <c r="H80" s="39" t="str">
        <f>VLOOKUP(G80,Key!$A$2:$B$13,2,FALSE)</f>
        <v>Minibus</v>
      </c>
      <c r="I80" s="33" t="s">
        <v>109</v>
      </c>
      <c r="J80" s="33">
        <v>1</v>
      </c>
      <c r="K80" s="40" t="str">
        <f>VLOOKUP(J80,Key!$A$24:$B$29,2,FALSE)</f>
        <v>20-29</v>
      </c>
      <c r="L80" s="33" t="s">
        <v>151</v>
      </c>
      <c r="M80" s="29" t="s">
        <v>151</v>
      </c>
      <c r="N80" s="33" t="s">
        <v>152</v>
      </c>
      <c r="O80" s="35">
        <v>1</v>
      </c>
      <c r="P80" s="30" t="str">
        <f>VLOOKUP(O80,Key!$E$2:$F$9,2,FALSE)</f>
        <v>Home</v>
      </c>
      <c r="Q80" s="33" t="s">
        <v>160</v>
      </c>
      <c r="R80" s="29" t="s">
        <v>160</v>
      </c>
      <c r="S80" s="33" t="s">
        <v>152</v>
      </c>
      <c r="T80" s="29">
        <v>4</v>
      </c>
      <c r="U80" s="30" t="str">
        <f>VLOOKUP(T80,Key!$E$2:$F$9,2,FALSE)</f>
        <v>Commercial</v>
      </c>
      <c r="V80" s="30" t="str">
        <f t="shared" si="4"/>
        <v>Home-Commercial</v>
      </c>
      <c r="W80" s="29">
        <v>10000</v>
      </c>
      <c r="X80" s="34">
        <v>70</v>
      </c>
      <c r="Y80" s="50" t="str">
        <f t="shared" si="5"/>
        <v>70-100</v>
      </c>
      <c r="Z80" s="34">
        <v>2</v>
      </c>
      <c r="AA80" s="50" t="str">
        <f t="shared" si="6"/>
        <v>2.0-3.5</v>
      </c>
      <c r="AB80" s="29">
        <v>2</v>
      </c>
      <c r="AC80" s="30" t="str">
        <f>VLOOKUP(AB80,Key!$C$20:$D$29,2,FALSE)</f>
        <v>Manual Labour</v>
      </c>
      <c r="AD80" s="29">
        <v>2</v>
      </c>
      <c r="AE80" s="30" t="str">
        <f>VLOOKUP(AD80,Key!$E$20:$F$24,2,FALSE)</f>
        <v>300,000-500,000</v>
      </c>
      <c r="AF80" s="29">
        <v>1</v>
      </c>
      <c r="AG80" s="34">
        <v>4</v>
      </c>
      <c r="AH80" s="34">
        <v>3</v>
      </c>
      <c r="AI80" s="34">
        <v>2</v>
      </c>
      <c r="AJ80" s="34">
        <v>5</v>
      </c>
      <c r="AK80" s="35" t="s">
        <v>94</v>
      </c>
      <c r="AL80" s="36">
        <v>1000</v>
      </c>
      <c r="AM80" t="str">
        <f t="shared" si="7"/>
        <v>1000-2000</v>
      </c>
    </row>
    <row r="81" spans="1:39" x14ac:dyDescent="0.2">
      <c r="A81" s="44">
        <v>43764</v>
      </c>
      <c r="B81" s="31">
        <v>0.61805555555555558</v>
      </c>
      <c r="C81" s="31"/>
      <c r="D81" s="31" t="s">
        <v>97</v>
      </c>
      <c r="E81" s="33">
        <v>2</v>
      </c>
      <c r="F81" s="38" t="str">
        <f>VLOOKUP(E81,Key!$A$17:$B$21,2,FALSE)</f>
        <v>Road Vehicle</v>
      </c>
      <c r="G81" s="32">
        <v>4</v>
      </c>
      <c r="H81" s="39" t="str">
        <f>VLOOKUP(G81,Key!$A$2:$B$13,2,FALSE)</f>
        <v>Minibus</v>
      </c>
      <c r="I81" s="33" t="s">
        <v>109</v>
      </c>
      <c r="J81" s="33">
        <v>1</v>
      </c>
      <c r="K81" s="40" t="str">
        <f>VLOOKUP(J81,Key!$A$24:$B$29,2,FALSE)</f>
        <v>20-29</v>
      </c>
      <c r="L81" s="33" t="s">
        <v>151</v>
      </c>
      <c r="M81" s="29" t="s">
        <v>151</v>
      </c>
      <c r="N81" s="33" t="s">
        <v>152</v>
      </c>
      <c r="O81" s="35">
        <v>4</v>
      </c>
      <c r="P81" s="30" t="str">
        <f>VLOOKUP(O81,Key!$E$2:$F$9,2,FALSE)</f>
        <v>Commercial</v>
      </c>
      <c r="Q81" s="33" t="s">
        <v>191</v>
      </c>
      <c r="R81" s="29" t="s">
        <v>151</v>
      </c>
      <c r="S81" s="33" t="s">
        <v>152</v>
      </c>
      <c r="T81" s="29">
        <v>1</v>
      </c>
      <c r="U81" s="30" t="str">
        <f>VLOOKUP(T81,Key!$E$2:$F$9,2,FALSE)</f>
        <v>Home</v>
      </c>
      <c r="V81" s="30" t="str">
        <f t="shared" si="4"/>
        <v>Commercial-Home</v>
      </c>
      <c r="W81" s="29">
        <v>5000</v>
      </c>
      <c r="X81" s="34">
        <v>30</v>
      </c>
      <c r="Y81" s="50" t="str">
        <f t="shared" si="5"/>
        <v>20-40</v>
      </c>
      <c r="Z81" s="34">
        <v>1</v>
      </c>
      <c r="AA81" s="50" t="str">
        <f t="shared" si="6"/>
        <v>1.0-2.0</v>
      </c>
      <c r="AB81" s="29">
        <v>10</v>
      </c>
      <c r="AC81" s="30" t="str">
        <f>VLOOKUP(AB81,Key!$C$20:$D$29,2,FALSE)</f>
        <v>Other</v>
      </c>
      <c r="AD81" s="29">
        <v>2</v>
      </c>
      <c r="AE81" s="30" t="str">
        <f>VLOOKUP(AD81,Key!$E$20:$F$24,2,FALSE)</f>
        <v>300,000-500,000</v>
      </c>
      <c r="AF81" s="29">
        <v>3</v>
      </c>
      <c r="AG81" s="34">
        <v>4</v>
      </c>
      <c r="AH81" s="34">
        <v>1</v>
      </c>
      <c r="AI81" s="34">
        <v>5</v>
      </c>
      <c r="AJ81" s="34">
        <v>2</v>
      </c>
      <c r="AK81" s="35" t="s">
        <v>94</v>
      </c>
      <c r="AL81" s="36">
        <v>1000</v>
      </c>
      <c r="AM81" t="str">
        <f t="shared" si="7"/>
        <v>1000-2000</v>
      </c>
    </row>
    <row r="82" spans="1:39" x14ac:dyDescent="0.2">
      <c r="A82" s="44">
        <v>43764</v>
      </c>
      <c r="B82" s="31">
        <v>0.64652777777777781</v>
      </c>
      <c r="C82" s="31"/>
      <c r="D82" s="31" t="s">
        <v>150</v>
      </c>
      <c r="E82" s="33">
        <v>2</v>
      </c>
      <c r="F82" s="38" t="str">
        <f>VLOOKUP(E82,Key!$A$17:$B$21,2,FALSE)</f>
        <v>Road Vehicle</v>
      </c>
      <c r="G82" s="32">
        <v>4</v>
      </c>
      <c r="H82" s="39" t="str">
        <f>VLOOKUP(G82,Key!$A$2:$B$13,2,FALSE)</f>
        <v>Minibus</v>
      </c>
      <c r="I82" s="33" t="s">
        <v>109</v>
      </c>
      <c r="J82" s="33">
        <v>1</v>
      </c>
      <c r="K82" s="40" t="str">
        <f>VLOOKUP(J82,Key!$A$24:$B$29,2,FALSE)</f>
        <v>20-29</v>
      </c>
      <c r="L82" s="33" t="s">
        <v>151</v>
      </c>
      <c r="M82" s="29" t="s">
        <v>151</v>
      </c>
      <c r="N82" s="33" t="s">
        <v>152</v>
      </c>
      <c r="O82" s="35">
        <v>1</v>
      </c>
      <c r="P82" s="30" t="str">
        <f>VLOOKUP(O82,Key!$E$2:$F$9,2,FALSE)</f>
        <v>Home</v>
      </c>
      <c r="Q82" s="33" t="s">
        <v>208</v>
      </c>
      <c r="R82" s="29" t="s">
        <v>209</v>
      </c>
      <c r="S82" s="33" t="s">
        <v>152</v>
      </c>
      <c r="T82" s="29">
        <v>6</v>
      </c>
      <c r="U82" s="30" t="str">
        <f>VLOOKUP(T82,Key!$E$2:$F$9,2,FALSE)</f>
        <v>Leisure/Social</v>
      </c>
      <c r="V82" s="30" t="str">
        <f t="shared" si="4"/>
        <v>Home-Leisure/Social</v>
      </c>
      <c r="W82" s="29">
        <v>7000</v>
      </c>
      <c r="X82" s="34">
        <v>80</v>
      </c>
      <c r="Y82" s="50" t="str">
        <f t="shared" si="5"/>
        <v>70-100</v>
      </c>
      <c r="Z82" s="34">
        <v>2</v>
      </c>
      <c r="AA82" s="50" t="str">
        <f t="shared" si="6"/>
        <v>2.0-3.5</v>
      </c>
      <c r="AB82" s="29">
        <v>3</v>
      </c>
      <c r="AC82" s="30" t="str">
        <f>VLOOKUP(AB82,Key!$C$20:$D$29,2,FALSE)</f>
        <v>Artisan/Domestic</v>
      </c>
      <c r="AD82" s="29">
        <v>2</v>
      </c>
      <c r="AE82" s="30" t="str">
        <f>VLOOKUP(AD82,Key!$E$20:$F$24,2,FALSE)</f>
        <v>300,000-500,000</v>
      </c>
      <c r="AF82" s="29">
        <v>3</v>
      </c>
      <c r="AG82" s="34">
        <v>4</v>
      </c>
      <c r="AH82" s="34">
        <v>1</v>
      </c>
      <c r="AI82" s="34">
        <v>5</v>
      </c>
      <c r="AJ82" s="34">
        <v>2</v>
      </c>
      <c r="AK82" s="35" t="s">
        <v>94</v>
      </c>
      <c r="AL82" s="36">
        <v>5000</v>
      </c>
      <c r="AM82" t="str">
        <f t="shared" si="7"/>
        <v>5000-10000</v>
      </c>
    </row>
    <row r="83" spans="1:39" x14ac:dyDescent="0.2">
      <c r="A83" s="44">
        <v>43764</v>
      </c>
      <c r="B83" s="31">
        <v>0.625</v>
      </c>
      <c r="C83" s="31"/>
      <c r="D83" s="31" t="s">
        <v>97</v>
      </c>
      <c r="E83" s="33">
        <v>2</v>
      </c>
      <c r="F83" s="38" t="str">
        <f>VLOOKUP(E83,Key!$A$17:$B$21,2,FALSE)</f>
        <v>Road Vehicle</v>
      </c>
      <c r="G83" s="32">
        <v>4</v>
      </c>
      <c r="H83" s="39" t="str">
        <f>VLOOKUP(G83,Key!$A$2:$B$13,2,FALSE)</f>
        <v>Minibus</v>
      </c>
      <c r="I83" s="33" t="s">
        <v>109</v>
      </c>
      <c r="J83" s="33">
        <v>1</v>
      </c>
      <c r="K83" s="40" t="str">
        <f>VLOOKUP(J83,Key!$A$24:$B$29,2,FALSE)</f>
        <v>20-29</v>
      </c>
      <c r="L83" s="33" t="s">
        <v>151</v>
      </c>
      <c r="M83" s="29" t="s">
        <v>151</v>
      </c>
      <c r="N83" s="33" t="s">
        <v>152</v>
      </c>
      <c r="O83" s="35">
        <v>1</v>
      </c>
      <c r="P83" s="30" t="str">
        <f>VLOOKUP(O83,Key!$E$2:$F$9,2,FALSE)</f>
        <v>Home</v>
      </c>
      <c r="Q83" s="33" t="s">
        <v>187</v>
      </c>
      <c r="R83" s="29" t="s">
        <v>210</v>
      </c>
      <c r="S83" s="33" t="s">
        <v>152</v>
      </c>
      <c r="T83" s="29">
        <v>5</v>
      </c>
      <c r="U83" s="30" t="str">
        <f>VLOOKUP(T83,Key!$E$2:$F$9,2,FALSE)</f>
        <v>Tourism</v>
      </c>
      <c r="V83" s="30" t="str">
        <f t="shared" si="4"/>
        <v>Home-Tourism</v>
      </c>
      <c r="W83" s="29">
        <v>8000</v>
      </c>
      <c r="X83" s="34">
        <v>80</v>
      </c>
      <c r="Y83" s="50" t="str">
        <f t="shared" si="5"/>
        <v>70-100</v>
      </c>
      <c r="Z83" s="34">
        <v>3</v>
      </c>
      <c r="AA83" s="50" t="str">
        <f t="shared" si="6"/>
        <v>2.0-3.5</v>
      </c>
      <c r="AB83" s="29">
        <v>3</v>
      </c>
      <c r="AC83" s="30" t="str">
        <f>VLOOKUP(AB83,Key!$C$20:$D$29,2,FALSE)</f>
        <v>Artisan/Domestic</v>
      </c>
      <c r="AD83" s="29">
        <v>2</v>
      </c>
      <c r="AE83" s="30" t="str">
        <f>VLOOKUP(AD83,Key!$E$20:$F$24,2,FALSE)</f>
        <v>300,000-500,000</v>
      </c>
      <c r="AF83" s="29">
        <v>3</v>
      </c>
      <c r="AG83" s="34">
        <v>1</v>
      </c>
      <c r="AH83" s="34">
        <v>2</v>
      </c>
      <c r="AI83" s="34">
        <v>5</v>
      </c>
      <c r="AJ83" s="34">
        <v>4</v>
      </c>
      <c r="AK83" s="35" t="s">
        <v>94</v>
      </c>
      <c r="AL83" s="36">
        <v>3000</v>
      </c>
      <c r="AM83" t="str">
        <f t="shared" si="7"/>
        <v>3000-5000</v>
      </c>
    </row>
    <row r="84" spans="1:39" x14ac:dyDescent="0.2">
      <c r="A84" s="44">
        <v>43764</v>
      </c>
      <c r="B84" s="31">
        <v>0.80833333333333324</v>
      </c>
      <c r="C84" s="31"/>
      <c r="D84" s="31" t="s">
        <v>150</v>
      </c>
      <c r="E84" s="33">
        <v>2</v>
      </c>
      <c r="F84" s="38" t="str">
        <f>VLOOKUP(E84,Key!$A$17:$B$21,2,FALSE)</f>
        <v>Road Vehicle</v>
      </c>
      <c r="G84" s="32">
        <v>4</v>
      </c>
      <c r="H84" s="39" t="str">
        <f>VLOOKUP(G84,Key!$A$2:$B$13,2,FALSE)</f>
        <v>Minibus</v>
      </c>
      <c r="I84" s="33" t="s">
        <v>109</v>
      </c>
      <c r="J84" s="33">
        <v>1</v>
      </c>
      <c r="K84" s="40" t="str">
        <f>VLOOKUP(J84,Key!$A$24:$B$29,2,FALSE)</f>
        <v>20-29</v>
      </c>
      <c r="L84" s="33" t="s">
        <v>151</v>
      </c>
      <c r="M84" s="29" t="s">
        <v>151</v>
      </c>
      <c r="N84" s="33" t="s">
        <v>152</v>
      </c>
      <c r="O84" s="35">
        <v>1</v>
      </c>
      <c r="P84" s="30" t="str">
        <f>VLOOKUP(O84,Key!$E$2:$F$9,2,FALSE)</f>
        <v>Home</v>
      </c>
      <c r="Q84" s="33" t="s">
        <v>165</v>
      </c>
      <c r="R84" s="29" t="s">
        <v>165</v>
      </c>
      <c r="S84" s="33" t="s">
        <v>152</v>
      </c>
      <c r="T84" s="29">
        <v>5</v>
      </c>
      <c r="U84" s="30" t="str">
        <f>VLOOKUP(T84,Key!$E$2:$F$9,2,FALSE)</f>
        <v>Tourism</v>
      </c>
      <c r="V84" s="30" t="str">
        <f t="shared" si="4"/>
        <v>Home-Tourism</v>
      </c>
      <c r="W84" s="29">
        <v>15000</v>
      </c>
      <c r="X84" s="34">
        <v>160</v>
      </c>
      <c r="Y84" s="50" t="str">
        <f t="shared" si="5"/>
        <v>100-200</v>
      </c>
      <c r="Z84" s="34">
        <v>3</v>
      </c>
      <c r="AA84" s="50" t="str">
        <f t="shared" si="6"/>
        <v>2.0-3.5</v>
      </c>
      <c r="AB84" s="29">
        <v>2</v>
      </c>
      <c r="AC84" s="30" t="str">
        <f>VLOOKUP(AB84,Key!$C$20:$D$29,2,FALSE)</f>
        <v>Manual Labour</v>
      </c>
      <c r="AD84" s="29">
        <v>2</v>
      </c>
      <c r="AE84" s="30" t="str">
        <f>VLOOKUP(AD84,Key!$E$20:$F$24,2,FALSE)</f>
        <v>300,000-500,000</v>
      </c>
      <c r="AF84" s="29">
        <v>1</v>
      </c>
      <c r="AG84" s="34">
        <v>2</v>
      </c>
      <c r="AH84" s="34">
        <v>3</v>
      </c>
      <c r="AI84" s="34">
        <v>5</v>
      </c>
      <c r="AJ84" s="34">
        <v>4</v>
      </c>
      <c r="AK84" s="35" t="s">
        <v>94</v>
      </c>
      <c r="AL84" s="36">
        <v>5000</v>
      </c>
      <c r="AM84" t="str">
        <f t="shared" si="7"/>
        <v>5000-10000</v>
      </c>
    </row>
    <row r="85" spans="1:39" x14ac:dyDescent="0.2">
      <c r="A85" s="44">
        <v>43764</v>
      </c>
      <c r="B85" s="31">
        <v>0.62152777777777779</v>
      </c>
      <c r="C85" s="31"/>
      <c r="D85" s="31" t="s">
        <v>150</v>
      </c>
      <c r="E85" s="33">
        <v>2</v>
      </c>
      <c r="F85" s="38" t="str">
        <f>VLOOKUP(E85,Key!$A$17:$B$21,2,FALSE)</f>
        <v>Road Vehicle</v>
      </c>
      <c r="G85" s="32">
        <v>4</v>
      </c>
      <c r="H85" s="39" t="str">
        <f>VLOOKUP(G85,Key!$A$2:$B$13,2,FALSE)</f>
        <v>Minibus</v>
      </c>
      <c r="I85" s="33" t="s">
        <v>109</v>
      </c>
      <c r="J85" s="33">
        <v>1</v>
      </c>
      <c r="K85" s="40" t="str">
        <f>VLOOKUP(J85,Key!$A$24:$B$29,2,FALSE)</f>
        <v>20-29</v>
      </c>
      <c r="L85" s="33" t="s">
        <v>151</v>
      </c>
      <c r="M85" s="29" t="s">
        <v>151</v>
      </c>
      <c r="N85" s="33" t="s">
        <v>152</v>
      </c>
      <c r="O85" s="35">
        <v>4</v>
      </c>
      <c r="P85" s="30" t="str">
        <f>VLOOKUP(O85,Key!$E$2:$F$9,2,FALSE)</f>
        <v>Commercial</v>
      </c>
      <c r="Q85" s="33" t="s">
        <v>211</v>
      </c>
      <c r="R85" s="29" t="s">
        <v>211</v>
      </c>
      <c r="S85" s="33" t="s">
        <v>152</v>
      </c>
      <c r="T85" s="29">
        <v>1</v>
      </c>
      <c r="U85" s="30" t="str">
        <f>VLOOKUP(T85,Key!$E$2:$F$9,2,FALSE)</f>
        <v>Home</v>
      </c>
      <c r="V85" s="30" t="str">
        <f t="shared" si="4"/>
        <v>Commercial-Home</v>
      </c>
      <c r="W85" s="29">
        <v>5000</v>
      </c>
      <c r="X85" s="34">
        <v>20</v>
      </c>
      <c r="Y85" s="50" t="str">
        <f t="shared" si="5"/>
        <v>20-40</v>
      </c>
      <c r="Z85" s="34">
        <v>1</v>
      </c>
      <c r="AA85" s="50" t="str">
        <f t="shared" si="6"/>
        <v>1.0-2.0</v>
      </c>
      <c r="AB85" s="29">
        <v>4</v>
      </c>
      <c r="AC85" s="30" t="str">
        <f>VLOOKUP(AB85,Key!$C$20:$D$29,2,FALSE)</f>
        <v>Office Worker</v>
      </c>
      <c r="AD85" s="29">
        <v>3</v>
      </c>
      <c r="AE85" s="30" t="str">
        <f>VLOOKUP(AD85,Key!$E$20:$F$24,2,FALSE)</f>
        <v>500,000-750,000</v>
      </c>
      <c r="AF85" s="29">
        <v>2</v>
      </c>
      <c r="AG85" s="34">
        <v>3</v>
      </c>
      <c r="AH85" s="34">
        <v>4</v>
      </c>
      <c r="AI85" s="34">
        <v>5</v>
      </c>
      <c r="AJ85" s="34">
        <v>1</v>
      </c>
      <c r="AK85" s="35" t="s">
        <v>94</v>
      </c>
      <c r="AL85" s="36">
        <v>1000</v>
      </c>
      <c r="AM85" t="str">
        <f t="shared" si="7"/>
        <v>1000-2000</v>
      </c>
    </row>
    <row r="86" spans="1:39" x14ac:dyDescent="0.2">
      <c r="A86" s="44">
        <v>43764</v>
      </c>
      <c r="B86" s="31">
        <v>0.60069444444444442</v>
      </c>
      <c r="C86" s="31"/>
      <c r="D86" s="31" t="s">
        <v>97</v>
      </c>
      <c r="E86" s="33">
        <v>2</v>
      </c>
      <c r="F86" s="38" t="str">
        <f>VLOOKUP(E86,Key!$A$17:$B$21,2,FALSE)</f>
        <v>Road Vehicle</v>
      </c>
      <c r="G86" s="32">
        <v>4</v>
      </c>
      <c r="H86" s="39" t="str">
        <f>VLOOKUP(G86,Key!$A$2:$B$13,2,FALSE)</f>
        <v>Minibus</v>
      </c>
      <c r="I86" s="33" t="s">
        <v>109</v>
      </c>
      <c r="J86" s="33">
        <v>1</v>
      </c>
      <c r="K86" s="40" t="str">
        <f>VLOOKUP(J86,Key!$A$24:$B$29,2,FALSE)</f>
        <v>20-29</v>
      </c>
      <c r="L86" s="33" t="s">
        <v>151</v>
      </c>
      <c r="M86" s="29" t="s">
        <v>151</v>
      </c>
      <c r="N86" s="33" t="s">
        <v>152</v>
      </c>
      <c r="O86" s="35">
        <v>2</v>
      </c>
      <c r="P86" s="30" t="str">
        <f>VLOOKUP(O86,Key!$E$2:$F$9,2,FALSE)</f>
        <v>Work</v>
      </c>
      <c r="Q86" s="33" t="s">
        <v>183</v>
      </c>
      <c r="R86" s="29" t="s">
        <v>183</v>
      </c>
      <c r="S86" s="33" t="s">
        <v>152</v>
      </c>
      <c r="T86" s="29">
        <v>1</v>
      </c>
      <c r="U86" s="30" t="str">
        <f>VLOOKUP(T86,Key!$E$2:$F$9,2,FALSE)</f>
        <v>Home</v>
      </c>
      <c r="V86" s="30" t="str">
        <f t="shared" si="4"/>
        <v>Work-Home</v>
      </c>
      <c r="W86" s="29">
        <v>180000</v>
      </c>
      <c r="X86" s="34">
        <v>190</v>
      </c>
      <c r="Y86" s="50" t="str">
        <f t="shared" si="5"/>
        <v>100-200</v>
      </c>
      <c r="Z86" s="34">
        <v>3</v>
      </c>
      <c r="AA86" s="50" t="str">
        <f t="shared" si="6"/>
        <v>2.0-3.5</v>
      </c>
      <c r="AB86" s="29">
        <v>10</v>
      </c>
      <c r="AC86" s="30" t="str">
        <f>VLOOKUP(AB86,Key!$C$20:$D$29,2,FALSE)</f>
        <v>Other</v>
      </c>
      <c r="AD86" s="29">
        <v>3</v>
      </c>
      <c r="AE86" s="30" t="str">
        <f>VLOOKUP(AD86,Key!$E$20:$F$24,2,FALSE)</f>
        <v>500,000-750,000</v>
      </c>
      <c r="AF86" s="29">
        <v>1</v>
      </c>
      <c r="AG86" s="34">
        <v>3</v>
      </c>
      <c r="AH86" s="34">
        <v>2</v>
      </c>
      <c r="AI86" s="34">
        <v>4</v>
      </c>
      <c r="AJ86" s="34">
        <v>5</v>
      </c>
      <c r="AK86" s="35" t="s">
        <v>94</v>
      </c>
      <c r="AL86" s="36"/>
      <c r="AM86" t="str">
        <f t="shared" si="7"/>
        <v>0-1000</v>
      </c>
    </row>
    <row r="87" spans="1:39" x14ac:dyDescent="0.2">
      <c r="A87" s="44">
        <v>43764</v>
      </c>
      <c r="B87" s="31">
        <v>0.66041666666666665</v>
      </c>
      <c r="C87" s="31"/>
      <c r="D87" s="31" t="s">
        <v>150</v>
      </c>
      <c r="E87" s="33">
        <v>2</v>
      </c>
      <c r="F87" s="38" t="str">
        <f>VLOOKUP(E87,Key!$A$17:$B$21,2,FALSE)</f>
        <v>Road Vehicle</v>
      </c>
      <c r="G87" s="32">
        <v>4</v>
      </c>
      <c r="H87" s="39" t="str">
        <f>VLOOKUP(G87,Key!$A$2:$B$13,2,FALSE)</f>
        <v>Minibus</v>
      </c>
      <c r="I87" s="33" t="s">
        <v>109</v>
      </c>
      <c r="J87" s="33">
        <v>1</v>
      </c>
      <c r="K87" s="40" t="str">
        <f>VLOOKUP(J87,Key!$A$24:$B$29,2,FALSE)</f>
        <v>20-29</v>
      </c>
      <c r="L87" s="33" t="s">
        <v>151</v>
      </c>
      <c r="M87" s="29" t="s">
        <v>151</v>
      </c>
      <c r="N87" s="33" t="s">
        <v>152</v>
      </c>
      <c r="O87" s="35">
        <v>2</v>
      </c>
      <c r="P87" s="30" t="str">
        <f>VLOOKUP(O87,Key!$E$2:$F$9,2,FALSE)</f>
        <v>Work</v>
      </c>
      <c r="Q87" s="33" t="s">
        <v>153</v>
      </c>
      <c r="R87" s="29" t="s">
        <v>153</v>
      </c>
      <c r="S87" s="33" t="s">
        <v>152</v>
      </c>
      <c r="T87" s="29">
        <v>1</v>
      </c>
      <c r="U87" s="30" t="str">
        <f>VLOOKUP(T87,Key!$E$2:$F$9,2,FALSE)</f>
        <v>Home</v>
      </c>
      <c r="V87" s="30" t="str">
        <f t="shared" si="4"/>
        <v>Work-Home</v>
      </c>
      <c r="W87" s="29">
        <v>150000</v>
      </c>
      <c r="X87" s="34">
        <v>201</v>
      </c>
      <c r="Y87" s="50" t="str">
        <f t="shared" si="5"/>
        <v>Over 200</v>
      </c>
      <c r="Z87" s="34">
        <v>4</v>
      </c>
      <c r="AA87" s="50" t="str">
        <f t="shared" si="6"/>
        <v>Over 3.5</v>
      </c>
      <c r="AB87" s="29">
        <v>6</v>
      </c>
      <c r="AC87" s="30" t="str">
        <f>VLOOKUP(AB87,Key!$C$20:$D$29,2,FALSE)</f>
        <v>Businessman</v>
      </c>
      <c r="AD87" s="29">
        <v>4</v>
      </c>
      <c r="AE87" s="30" t="str">
        <f>VLOOKUP(AD87,Key!$E$20:$F$24,2,FALSE)</f>
        <v>750,000-1,000,000</v>
      </c>
      <c r="AF87" s="29">
        <v>2</v>
      </c>
      <c r="AG87" s="34">
        <v>1</v>
      </c>
      <c r="AH87" s="34">
        <v>3</v>
      </c>
      <c r="AI87" s="34">
        <v>4</v>
      </c>
      <c r="AJ87" s="34">
        <v>5</v>
      </c>
      <c r="AK87" s="35" t="s">
        <v>94</v>
      </c>
      <c r="AL87" s="36">
        <v>3000</v>
      </c>
      <c r="AM87" t="str">
        <f t="shared" si="7"/>
        <v>3000-5000</v>
      </c>
    </row>
    <row r="88" spans="1:39" x14ac:dyDescent="0.2">
      <c r="A88" s="44">
        <v>43764</v>
      </c>
      <c r="B88" s="31">
        <v>0.53402777777777777</v>
      </c>
      <c r="C88" s="31"/>
      <c r="D88" s="31" t="s">
        <v>97</v>
      </c>
      <c r="E88" s="33">
        <v>2</v>
      </c>
      <c r="F88" s="38" t="str">
        <f>VLOOKUP(E88,Key!$A$17:$B$21,2,FALSE)</f>
        <v>Road Vehicle</v>
      </c>
      <c r="G88" s="32">
        <v>4</v>
      </c>
      <c r="H88" s="39" t="str">
        <f>VLOOKUP(G88,Key!$A$2:$B$13,2,FALSE)</f>
        <v>Minibus</v>
      </c>
      <c r="I88" s="33" t="s">
        <v>109</v>
      </c>
      <c r="J88" s="33">
        <v>1</v>
      </c>
      <c r="K88" s="40" t="str">
        <f>VLOOKUP(J88,Key!$A$24:$B$29,2,FALSE)</f>
        <v>20-29</v>
      </c>
      <c r="L88" s="33" t="s">
        <v>151</v>
      </c>
      <c r="M88" s="29" t="s">
        <v>151</v>
      </c>
      <c r="N88" s="33" t="s">
        <v>152</v>
      </c>
      <c r="O88" s="35">
        <v>2</v>
      </c>
      <c r="P88" s="30" t="str">
        <f>VLOOKUP(O88,Key!$E$2:$F$9,2,FALSE)</f>
        <v>Work</v>
      </c>
      <c r="Q88" s="33" t="s">
        <v>154</v>
      </c>
      <c r="R88" s="29" t="s">
        <v>154</v>
      </c>
      <c r="S88" s="33" t="s">
        <v>152</v>
      </c>
      <c r="T88" s="29">
        <v>4</v>
      </c>
      <c r="U88" s="30" t="str">
        <f>VLOOKUP(T88,Key!$E$2:$F$9,2,FALSE)</f>
        <v>Commercial</v>
      </c>
      <c r="V88" s="30" t="str">
        <f t="shared" si="4"/>
        <v>Work-Commercial</v>
      </c>
      <c r="W88" s="29">
        <v>15000</v>
      </c>
      <c r="X88" s="34">
        <v>190</v>
      </c>
      <c r="Y88" s="50" t="str">
        <f t="shared" si="5"/>
        <v>100-200</v>
      </c>
      <c r="Z88" s="34">
        <v>3</v>
      </c>
      <c r="AA88" s="50" t="str">
        <f t="shared" si="6"/>
        <v>2.0-3.5</v>
      </c>
      <c r="AB88" s="29">
        <v>5</v>
      </c>
      <c r="AC88" s="30" t="str">
        <f>VLOOKUP(AB88,Key!$C$20:$D$29,2,FALSE)</f>
        <v>Professional</v>
      </c>
      <c r="AD88" s="29">
        <v>5</v>
      </c>
      <c r="AE88" s="30" t="str">
        <f>VLOOKUP(AD88,Key!$E$20:$F$24,2,FALSE)</f>
        <v>&gt;1,000,000</v>
      </c>
      <c r="AF88" s="29">
        <v>2</v>
      </c>
      <c r="AG88" s="34">
        <v>5</v>
      </c>
      <c r="AH88" s="34">
        <v>3</v>
      </c>
      <c r="AI88" s="34">
        <v>1</v>
      </c>
      <c r="AJ88" s="34">
        <v>4</v>
      </c>
      <c r="AK88" s="35" t="s">
        <v>94</v>
      </c>
      <c r="AL88" s="36">
        <v>2000</v>
      </c>
      <c r="AM88" t="str">
        <f t="shared" si="7"/>
        <v>2000-3000</v>
      </c>
    </row>
    <row r="89" spans="1:39" x14ac:dyDescent="0.2">
      <c r="A89" s="44">
        <v>43764</v>
      </c>
      <c r="B89" s="31">
        <v>0.30138888888888887</v>
      </c>
      <c r="C89" s="31"/>
      <c r="D89" s="31" t="s">
        <v>97</v>
      </c>
      <c r="E89" s="33">
        <v>2</v>
      </c>
      <c r="F89" s="38" t="str">
        <f>VLOOKUP(E89,Key!$A$17:$B$21,2,FALSE)</f>
        <v>Road Vehicle</v>
      </c>
      <c r="G89" s="32">
        <v>4</v>
      </c>
      <c r="H89" s="39" t="str">
        <f>VLOOKUP(G89,Key!$A$2:$B$13,2,FALSE)</f>
        <v>Minibus</v>
      </c>
      <c r="I89" s="33" t="s">
        <v>109</v>
      </c>
      <c r="J89" s="33">
        <v>1</v>
      </c>
      <c r="K89" s="40" t="str">
        <f>VLOOKUP(J89,Key!$A$24:$B$29,2,FALSE)</f>
        <v>20-29</v>
      </c>
      <c r="L89" s="33" t="s">
        <v>151</v>
      </c>
      <c r="M89" s="29" t="s">
        <v>151</v>
      </c>
      <c r="N89" s="33" t="s">
        <v>152</v>
      </c>
      <c r="O89" s="35">
        <v>2</v>
      </c>
      <c r="P89" s="30" t="str">
        <f>VLOOKUP(O89,Key!$E$2:$F$9,2,FALSE)</f>
        <v>Work</v>
      </c>
      <c r="Q89" s="33" t="s">
        <v>160</v>
      </c>
      <c r="R89" s="29" t="s">
        <v>160</v>
      </c>
      <c r="S89" s="33" t="s">
        <v>152</v>
      </c>
      <c r="T89" s="29">
        <v>1</v>
      </c>
      <c r="U89" s="30" t="str">
        <f>VLOOKUP(T89,Key!$E$2:$F$9,2,FALSE)</f>
        <v>Home</v>
      </c>
      <c r="V89" s="30" t="str">
        <f t="shared" si="4"/>
        <v>Work-Home</v>
      </c>
      <c r="W89" s="29">
        <v>1500</v>
      </c>
      <c r="X89" s="34">
        <v>190</v>
      </c>
      <c r="Y89" s="50" t="str">
        <f t="shared" si="5"/>
        <v>100-200</v>
      </c>
      <c r="Z89" s="34">
        <v>3</v>
      </c>
      <c r="AA89" s="50" t="str">
        <f t="shared" si="6"/>
        <v>2.0-3.5</v>
      </c>
      <c r="AB89" s="29">
        <v>5</v>
      </c>
      <c r="AC89" s="30" t="str">
        <f>VLOOKUP(AB89,Key!$C$20:$D$29,2,FALSE)</f>
        <v>Professional</v>
      </c>
      <c r="AD89" s="29">
        <v>2</v>
      </c>
      <c r="AE89" s="30" t="str">
        <f>VLOOKUP(AD89,Key!$E$20:$F$24,2,FALSE)</f>
        <v>300,000-500,000</v>
      </c>
      <c r="AF89" s="29">
        <v>5</v>
      </c>
      <c r="AG89" s="34">
        <v>2</v>
      </c>
      <c r="AH89" s="34">
        <v>3</v>
      </c>
      <c r="AI89" s="34">
        <v>4</v>
      </c>
      <c r="AJ89" s="34">
        <v>1</v>
      </c>
      <c r="AK89" s="35" t="s">
        <v>94</v>
      </c>
      <c r="AL89" s="36"/>
      <c r="AM89" t="str">
        <f t="shared" si="7"/>
        <v>0-1000</v>
      </c>
    </row>
    <row r="90" spans="1:39" x14ac:dyDescent="0.2">
      <c r="A90" s="44">
        <v>43764</v>
      </c>
      <c r="B90" s="31">
        <v>0.3888888888888889</v>
      </c>
      <c r="C90" s="31"/>
      <c r="D90" s="31" t="s">
        <v>97</v>
      </c>
      <c r="E90" s="33">
        <v>2</v>
      </c>
      <c r="F90" s="38" t="str">
        <f>VLOOKUP(E90,Key!$A$17:$B$21,2,FALSE)</f>
        <v>Road Vehicle</v>
      </c>
      <c r="G90" s="32">
        <v>4</v>
      </c>
      <c r="H90" s="39" t="str">
        <f>VLOOKUP(G90,Key!$A$2:$B$13,2,FALSE)</f>
        <v>Minibus</v>
      </c>
      <c r="I90" s="33" t="s">
        <v>109</v>
      </c>
      <c r="J90" s="33">
        <v>1</v>
      </c>
      <c r="K90" s="40" t="str">
        <f>VLOOKUP(J90,Key!$A$24:$B$29,2,FALSE)</f>
        <v>20-29</v>
      </c>
      <c r="L90" s="33" t="s">
        <v>151</v>
      </c>
      <c r="M90" s="29" t="s">
        <v>151</v>
      </c>
      <c r="N90" s="33" t="s">
        <v>152</v>
      </c>
      <c r="O90" s="35">
        <v>2</v>
      </c>
      <c r="P90" s="30" t="str">
        <f>VLOOKUP(O90,Key!$E$2:$F$9,2,FALSE)</f>
        <v>Work</v>
      </c>
      <c r="Q90" s="33" t="s">
        <v>201</v>
      </c>
      <c r="R90" s="29" t="s">
        <v>162</v>
      </c>
      <c r="S90" s="33" t="s">
        <v>152</v>
      </c>
      <c r="T90" s="29">
        <v>2</v>
      </c>
      <c r="U90" s="30" t="str">
        <f>VLOOKUP(T90,Key!$E$2:$F$9,2,FALSE)</f>
        <v>Work</v>
      </c>
      <c r="V90" s="30" t="str">
        <f t="shared" si="4"/>
        <v>Work-Work</v>
      </c>
      <c r="W90" s="29">
        <v>150000</v>
      </c>
      <c r="X90" s="34">
        <v>190</v>
      </c>
      <c r="Y90" s="50" t="str">
        <f t="shared" si="5"/>
        <v>100-200</v>
      </c>
      <c r="Z90" s="34">
        <v>2</v>
      </c>
      <c r="AA90" s="50" t="str">
        <f t="shared" si="6"/>
        <v>2.0-3.5</v>
      </c>
      <c r="AB90" s="29">
        <v>10</v>
      </c>
      <c r="AC90" s="30" t="str">
        <f>VLOOKUP(AB90,Key!$C$20:$D$29,2,FALSE)</f>
        <v>Other</v>
      </c>
      <c r="AD90" s="29">
        <v>1</v>
      </c>
      <c r="AE90" s="30" t="str">
        <f>VLOOKUP(AD90,Key!$E$20:$F$24,2,FALSE)</f>
        <v>&lt;300,000</v>
      </c>
      <c r="AF90" s="29">
        <v>4</v>
      </c>
      <c r="AG90" s="34">
        <v>3</v>
      </c>
      <c r="AH90" s="34">
        <v>5</v>
      </c>
      <c r="AI90" s="34">
        <v>2</v>
      </c>
      <c r="AJ90" s="34">
        <v>1</v>
      </c>
      <c r="AK90" s="35" t="s">
        <v>94</v>
      </c>
      <c r="AL90" s="36"/>
      <c r="AM90" t="str">
        <f t="shared" si="7"/>
        <v>0-1000</v>
      </c>
    </row>
    <row r="91" spans="1:39" x14ac:dyDescent="0.2">
      <c r="A91" s="44">
        <v>43764</v>
      </c>
      <c r="B91" s="31">
        <v>0.30694444444444441</v>
      </c>
      <c r="C91" s="31"/>
      <c r="D91" s="31" t="s">
        <v>97</v>
      </c>
      <c r="E91" s="33">
        <v>2</v>
      </c>
      <c r="F91" s="38" t="str">
        <f>VLOOKUP(E91,Key!$A$17:$B$21,2,FALSE)</f>
        <v>Road Vehicle</v>
      </c>
      <c r="G91" s="32">
        <v>4</v>
      </c>
      <c r="H91" s="39" t="str">
        <f>VLOOKUP(G91,Key!$A$2:$B$13,2,FALSE)</f>
        <v>Minibus</v>
      </c>
      <c r="I91" s="33" t="s">
        <v>109</v>
      </c>
      <c r="J91" s="33">
        <v>1</v>
      </c>
      <c r="K91" s="40" t="str">
        <f>VLOOKUP(J91,Key!$A$24:$B$29,2,FALSE)</f>
        <v>20-29</v>
      </c>
      <c r="L91" s="33" t="s">
        <v>151</v>
      </c>
      <c r="M91" s="29" t="s">
        <v>151</v>
      </c>
      <c r="N91" s="33" t="s">
        <v>152</v>
      </c>
      <c r="O91" s="35">
        <v>2</v>
      </c>
      <c r="P91" s="30" t="str">
        <f>VLOOKUP(O91,Key!$E$2:$F$9,2,FALSE)</f>
        <v>Work</v>
      </c>
      <c r="Q91" s="33" t="s">
        <v>153</v>
      </c>
      <c r="R91" s="29" t="s">
        <v>153</v>
      </c>
      <c r="S91" s="33" t="s">
        <v>152</v>
      </c>
      <c r="T91" s="29">
        <v>4</v>
      </c>
      <c r="U91" s="30" t="str">
        <f>VLOOKUP(T91,Key!$E$2:$F$9,2,FALSE)</f>
        <v>Commercial</v>
      </c>
      <c r="V91" s="30" t="str">
        <f t="shared" si="4"/>
        <v>Work-Commercial</v>
      </c>
      <c r="W91" s="29">
        <v>15000</v>
      </c>
      <c r="X91" s="34">
        <v>170</v>
      </c>
      <c r="Y91" s="50" t="str">
        <f t="shared" si="5"/>
        <v>100-200</v>
      </c>
      <c r="Z91" s="34">
        <v>2</v>
      </c>
      <c r="AA91" s="50" t="str">
        <f t="shared" si="6"/>
        <v>2.0-3.5</v>
      </c>
      <c r="AB91" s="29">
        <v>6</v>
      </c>
      <c r="AC91" s="30" t="str">
        <f>VLOOKUP(AB91,Key!$C$20:$D$29,2,FALSE)</f>
        <v>Businessman</v>
      </c>
      <c r="AD91" s="29">
        <v>3</v>
      </c>
      <c r="AE91" s="30" t="str">
        <f>VLOOKUP(AD91,Key!$E$20:$F$24,2,FALSE)</f>
        <v>500,000-750,000</v>
      </c>
      <c r="AF91" s="29">
        <v>3</v>
      </c>
      <c r="AG91" s="34">
        <v>5</v>
      </c>
      <c r="AH91" s="34">
        <v>4</v>
      </c>
      <c r="AI91" s="34">
        <v>1</v>
      </c>
      <c r="AJ91" s="34">
        <v>2</v>
      </c>
      <c r="AK91" s="35" t="s">
        <v>94</v>
      </c>
      <c r="AL91" s="36">
        <v>1000</v>
      </c>
      <c r="AM91" t="str">
        <f t="shared" si="7"/>
        <v>1000-2000</v>
      </c>
    </row>
    <row r="92" spans="1:39" x14ac:dyDescent="0.2">
      <c r="A92" s="44">
        <v>43764</v>
      </c>
      <c r="B92" s="31">
        <v>0.43472222222222223</v>
      </c>
      <c r="C92" s="31"/>
      <c r="D92" s="31" t="s">
        <v>97</v>
      </c>
      <c r="E92" s="33">
        <v>2</v>
      </c>
      <c r="F92" s="38" t="str">
        <f>VLOOKUP(E92,Key!$A$17:$B$21,2,FALSE)</f>
        <v>Road Vehicle</v>
      </c>
      <c r="G92" s="32">
        <v>4</v>
      </c>
      <c r="H92" s="39" t="str">
        <f>VLOOKUP(G92,Key!$A$2:$B$13,2,FALSE)</f>
        <v>Minibus</v>
      </c>
      <c r="I92" s="33" t="s">
        <v>109</v>
      </c>
      <c r="J92" s="33">
        <v>1</v>
      </c>
      <c r="K92" s="40" t="str">
        <f>VLOOKUP(J92,Key!$A$24:$B$29,2,FALSE)</f>
        <v>20-29</v>
      </c>
      <c r="L92" s="33" t="s">
        <v>151</v>
      </c>
      <c r="M92" s="29" t="s">
        <v>151</v>
      </c>
      <c r="N92" s="33" t="s">
        <v>152</v>
      </c>
      <c r="O92" s="35">
        <v>4</v>
      </c>
      <c r="P92" s="30" t="str">
        <f>VLOOKUP(O92,Key!$E$2:$F$9,2,FALSE)</f>
        <v>Commercial</v>
      </c>
      <c r="Q92" s="33" t="s">
        <v>151</v>
      </c>
      <c r="R92" s="29" t="s">
        <v>151</v>
      </c>
      <c r="S92" s="33" t="s">
        <v>152</v>
      </c>
      <c r="T92" s="29">
        <v>1</v>
      </c>
      <c r="U92" s="30" t="str">
        <f>VLOOKUP(T92,Key!$E$2:$F$9,2,FALSE)</f>
        <v>Home</v>
      </c>
      <c r="V92" s="30" t="str">
        <f t="shared" si="4"/>
        <v>Commercial-Home</v>
      </c>
      <c r="W92" s="29">
        <v>350000</v>
      </c>
      <c r="X92" s="34">
        <v>400</v>
      </c>
      <c r="Y92" s="50" t="str">
        <f t="shared" si="5"/>
        <v>Over 200</v>
      </c>
      <c r="Z92" s="34">
        <v>8</v>
      </c>
      <c r="AA92" s="50" t="str">
        <f t="shared" si="6"/>
        <v>Over 3.5</v>
      </c>
      <c r="AB92" s="29">
        <v>8</v>
      </c>
      <c r="AC92" s="30" t="str">
        <f>VLOOKUP(AB92,Key!$C$20:$D$29,2,FALSE)</f>
        <v>Student</v>
      </c>
      <c r="AD92" s="29">
        <v>3</v>
      </c>
      <c r="AE92" s="30" t="str">
        <f>VLOOKUP(AD92,Key!$E$20:$F$24,2,FALSE)</f>
        <v>500,000-750,000</v>
      </c>
      <c r="AF92" s="29">
        <v>5</v>
      </c>
      <c r="AG92" s="34">
        <v>1</v>
      </c>
      <c r="AH92" s="34">
        <v>3</v>
      </c>
      <c r="AI92" s="34">
        <v>2</v>
      </c>
      <c r="AJ92" s="34">
        <v>4</v>
      </c>
      <c r="AK92" s="35" t="s">
        <v>94</v>
      </c>
      <c r="AL92" s="36">
        <v>2000</v>
      </c>
      <c r="AM92" t="str">
        <f t="shared" si="7"/>
        <v>2000-3000</v>
      </c>
    </row>
    <row r="93" spans="1:39" x14ac:dyDescent="0.2">
      <c r="A93" s="44">
        <v>43764</v>
      </c>
      <c r="B93" s="31">
        <v>0.3888888888888889</v>
      </c>
      <c r="C93" s="31"/>
      <c r="D93" s="31" t="s">
        <v>150</v>
      </c>
      <c r="E93" s="33">
        <v>2</v>
      </c>
      <c r="F93" s="38" t="str">
        <f>VLOOKUP(E93,Key!$A$17:$B$21,2,FALSE)</f>
        <v>Road Vehicle</v>
      </c>
      <c r="G93" s="32">
        <v>4</v>
      </c>
      <c r="H93" s="39" t="str">
        <f>VLOOKUP(G93,Key!$A$2:$B$13,2,FALSE)</f>
        <v>Minibus</v>
      </c>
      <c r="I93" s="33" t="s">
        <v>109</v>
      </c>
      <c r="J93" s="33">
        <v>1</v>
      </c>
      <c r="K93" s="40" t="str">
        <f>VLOOKUP(J93,Key!$A$24:$B$29,2,FALSE)</f>
        <v>20-29</v>
      </c>
      <c r="L93" s="33" t="s">
        <v>151</v>
      </c>
      <c r="M93" s="29" t="s">
        <v>151</v>
      </c>
      <c r="N93" s="33" t="s">
        <v>152</v>
      </c>
      <c r="O93" s="35">
        <v>1</v>
      </c>
      <c r="P93" s="30" t="str">
        <f>VLOOKUP(O93,Key!$E$2:$F$9,2,FALSE)</f>
        <v>Home</v>
      </c>
      <c r="Q93" s="33" t="s">
        <v>153</v>
      </c>
      <c r="R93" s="29" t="s">
        <v>153</v>
      </c>
      <c r="S93" s="33" t="s">
        <v>152</v>
      </c>
      <c r="T93" s="29">
        <v>2</v>
      </c>
      <c r="U93" s="30" t="str">
        <f>VLOOKUP(T93,Key!$E$2:$F$9,2,FALSE)</f>
        <v>Work</v>
      </c>
      <c r="V93" s="30" t="str">
        <f t="shared" si="4"/>
        <v>Home-Work</v>
      </c>
      <c r="W93" s="29">
        <v>5000</v>
      </c>
      <c r="X93" s="34">
        <v>30</v>
      </c>
      <c r="Y93" s="50" t="str">
        <f t="shared" si="5"/>
        <v>20-40</v>
      </c>
      <c r="Z93" s="34">
        <v>1</v>
      </c>
      <c r="AA93" s="50" t="str">
        <f t="shared" si="6"/>
        <v>1.0-2.0</v>
      </c>
      <c r="AB93" s="29">
        <v>4</v>
      </c>
      <c r="AC93" s="30" t="str">
        <f>VLOOKUP(AB93,Key!$C$20:$D$29,2,FALSE)</f>
        <v>Office Worker</v>
      </c>
      <c r="AD93" s="29">
        <v>3</v>
      </c>
      <c r="AE93" s="30" t="str">
        <f>VLOOKUP(AD93,Key!$E$20:$F$24,2,FALSE)</f>
        <v>500,000-750,000</v>
      </c>
      <c r="AF93" s="29">
        <v>2</v>
      </c>
      <c r="AG93" s="34">
        <v>1</v>
      </c>
      <c r="AH93" s="34">
        <v>4</v>
      </c>
      <c r="AI93" s="34">
        <v>3</v>
      </c>
      <c r="AJ93" s="34">
        <v>5</v>
      </c>
      <c r="AK93" s="35" t="s">
        <v>94</v>
      </c>
      <c r="AL93" s="36">
        <v>3000</v>
      </c>
      <c r="AM93" t="str">
        <f t="shared" si="7"/>
        <v>3000-5000</v>
      </c>
    </row>
    <row r="94" spans="1:39" x14ac:dyDescent="0.2">
      <c r="A94" s="44">
        <v>43764</v>
      </c>
      <c r="B94" s="31">
        <v>0.36249999999999999</v>
      </c>
      <c r="C94" s="31"/>
      <c r="D94" s="31" t="s">
        <v>97</v>
      </c>
      <c r="E94" s="33">
        <v>2</v>
      </c>
      <c r="F94" s="38" t="str">
        <f>VLOOKUP(E94,Key!$A$17:$B$21,2,FALSE)</f>
        <v>Road Vehicle</v>
      </c>
      <c r="G94" s="32">
        <v>4</v>
      </c>
      <c r="H94" s="39" t="str">
        <f>VLOOKUP(G94,Key!$A$2:$B$13,2,FALSE)</f>
        <v>Minibus</v>
      </c>
      <c r="I94" s="33" t="s">
        <v>109</v>
      </c>
      <c r="J94" s="33">
        <v>1</v>
      </c>
      <c r="K94" s="40" t="str">
        <f>VLOOKUP(J94,Key!$A$24:$B$29,2,FALSE)</f>
        <v>20-29</v>
      </c>
      <c r="L94" s="33" t="s">
        <v>151</v>
      </c>
      <c r="M94" s="29" t="s">
        <v>151</v>
      </c>
      <c r="N94" s="33" t="s">
        <v>152</v>
      </c>
      <c r="O94" s="35">
        <v>1</v>
      </c>
      <c r="P94" s="30" t="str">
        <f>VLOOKUP(O94,Key!$E$2:$F$9,2,FALSE)</f>
        <v>Home</v>
      </c>
      <c r="Q94" s="33" t="s">
        <v>153</v>
      </c>
      <c r="R94" s="29" t="s">
        <v>153</v>
      </c>
      <c r="S94" s="33" t="s">
        <v>152</v>
      </c>
      <c r="T94" s="29">
        <v>2</v>
      </c>
      <c r="U94" s="30" t="str">
        <f>VLOOKUP(T94,Key!$E$2:$F$9,2,FALSE)</f>
        <v>Work</v>
      </c>
      <c r="V94" s="30" t="str">
        <f t="shared" si="4"/>
        <v>Home-Work</v>
      </c>
      <c r="W94" s="29">
        <v>170000</v>
      </c>
      <c r="X94" s="34">
        <v>192</v>
      </c>
      <c r="Y94" s="50" t="str">
        <f t="shared" si="5"/>
        <v>100-200</v>
      </c>
      <c r="Z94" s="34">
        <v>3</v>
      </c>
      <c r="AA94" s="50" t="str">
        <f t="shared" si="6"/>
        <v>2.0-3.5</v>
      </c>
      <c r="AB94" s="29">
        <v>10</v>
      </c>
      <c r="AC94" s="30" t="str">
        <f>VLOOKUP(AB94,Key!$C$20:$D$29,2,FALSE)</f>
        <v>Other</v>
      </c>
      <c r="AD94" s="29">
        <v>2</v>
      </c>
      <c r="AE94" s="30" t="str">
        <f>VLOOKUP(AD94,Key!$E$20:$F$24,2,FALSE)</f>
        <v>300,000-500,000</v>
      </c>
      <c r="AF94" s="29">
        <v>1</v>
      </c>
      <c r="AG94" s="34">
        <v>2</v>
      </c>
      <c r="AH94" s="34">
        <v>5</v>
      </c>
      <c r="AI94" s="34">
        <v>4</v>
      </c>
      <c r="AJ94" s="34">
        <v>5</v>
      </c>
      <c r="AK94" s="35" t="s">
        <v>94</v>
      </c>
      <c r="AL94" s="36"/>
      <c r="AM94" t="str">
        <f t="shared" si="7"/>
        <v>0-1000</v>
      </c>
    </row>
    <row r="95" spans="1:39" x14ac:dyDescent="0.2">
      <c r="A95" s="44">
        <v>43762</v>
      </c>
      <c r="B95" s="31">
        <v>0.73819444444444438</v>
      </c>
      <c r="C95" s="31"/>
      <c r="D95" s="31" t="s">
        <v>150</v>
      </c>
      <c r="E95" s="33">
        <v>2</v>
      </c>
      <c r="F95" s="38" t="str">
        <f>VLOOKUP(E95,Key!$A$17:$B$21,2,FALSE)</f>
        <v>Road Vehicle</v>
      </c>
      <c r="G95" s="32">
        <v>1</v>
      </c>
      <c r="H95" s="39" t="str">
        <f>VLOOKUP(G95,Key!$A$2:$B$13,2,FALSE)</f>
        <v>Car</v>
      </c>
      <c r="I95" s="33" t="s">
        <v>109</v>
      </c>
      <c r="J95" s="33">
        <v>2</v>
      </c>
      <c r="K95" s="40" t="str">
        <f>VLOOKUP(J95,Key!$A$24:$B$29,2,FALSE)</f>
        <v>30-39</v>
      </c>
      <c r="L95" s="33" t="s">
        <v>151</v>
      </c>
      <c r="M95" s="29" t="s">
        <v>151</v>
      </c>
      <c r="N95" s="33" t="s">
        <v>152</v>
      </c>
      <c r="O95" s="35">
        <v>2</v>
      </c>
      <c r="P95" s="30" t="str">
        <f>VLOOKUP(O95,Key!$E$2:$F$9,2,FALSE)</f>
        <v>Work</v>
      </c>
      <c r="Q95" s="33" t="s">
        <v>178</v>
      </c>
      <c r="R95" s="29" t="s">
        <v>177</v>
      </c>
      <c r="S95" s="33" t="s">
        <v>152</v>
      </c>
      <c r="T95" s="29">
        <v>8</v>
      </c>
      <c r="U95" s="30" t="str">
        <f>VLOOKUP(T95,Key!$E$2:$F$9,2,FALSE)</f>
        <v>Others</v>
      </c>
      <c r="V95" s="30" t="str">
        <f t="shared" si="4"/>
        <v>Work-Others</v>
      </c>
      <c r="W95" s="29">
        <v>15000</v>
      </c>
      <c r="X95" s="34"/>
      <c r="Y95" s="50" t="str">
        <f t="shared" si="5"/>
        <v>0-10</v>
      </c>
      <c r="Z95" s="34">
        <v>2</v>
      </c>
      <c r="AA95" s="50" t="str">
        <f t="shared" si="6"/>
        <v>2.0-3.5</v>
      </c>
      <c r="AB95" s="29">
        <v>4</v>
      </c>
      <c r="AC95" s="30" t="str">
        <f>VLOOKUP(AB95,Key!$C$20:$D$29,2,FALSE)</f>
        <v>Office Worker</v>
      </c>
      <c r="AD95" s="29">
        <v>2</v>
      </c>
      <c r="AE95" s="30" t="str">
        <f>VLOOKUP(AD95,Key!$E$20:$F$24,2,FALSE)</f>
        <v>300,000-500,000</v>
      </c>
      <c r="AF95" s="29">
        <v>5</v>
      </c>
      <c r="AG95" s="34">
        <v>4</v>
      </c>
      <c r="AH95" s="34">
        <v>1</v>
      </c>
      <c r="AI95" s="34">
        <v>2</v>
      </c>
      <c r="AJ95" s="34">
        <v>3</v>
      </c>
      <c r="AK95" s="35" t="s">
        <v>94</v>
      </c>
      <c r="AL95" s="36">
        <v>5000</v>
      </c>
      <c r="AM95" t="str">
        <f t="shared" si="7"/>
        <v>5000-10000</v>
      </c>
    </row>
    <row r="96" spans="1:39" x14ac:dyDescent="0.2">
      <c r="A96" s="44">
        <v>43762</v>
      </c>
      <c r="B96" s="31">
        <v>0.34236111111111112</v>
      </c>
      <c r="C96" s="31"/>
      <c r="D96" s="31" t="s">
        <v>97</v>
      </c>
      <c r="E96" s="33">
        <v>2</v>
      </c>
      <c r="F96" s="38" t="str">
        <f>VLOOKUP(E96,Key!$A$17:$B$21,2,FALSE)</f>
        <v>Road Vehicle</v>
      </c>
      <c r="G96" s="32">
        <v>1</v>
      </c>
      <c r="H96" s="39" t="str">
        <f>VLOOKUP(G96,Key!$A$2:$B$13,2,FALSE)</f>
        <v>Car</v>
      </c>
      <c r="I96" s="33" t="s">
        <v>109</v>
      </c>
      <c r="J96" s="33">
        <v>2</v>
      </c>
      <c r="K96" s="40" t="str">
        <f>VLOOKUP(J96,Key!$A$24:$B$29,2,FALSE)</f>
        <v>30-39</v>
      </c>
      <c r="L96" s="33" t="s">
        <v>151</v>
      </c>
      <c r="M96" s="29" t="s">
        <v>151</v>
      </c>
      <c r="N96" s="33" t="s">
        <v>152</v>
      </c>
      <c r="O96" s="35">
        <v>1</v>
      </c>
      <c r="P96" s="30" t="str">
        <f>VLOOKUP(O96,Key!$E$2:$F$9,2,FALSE)</f>
        <v>Home</v>
      </c>
      <c r="Q96" s="33" t="s">
        <v>165</v>
      </c>
      <c r="R96" s="29" t="s">
        <v>165</v>
      </c>
      <c r="S96" s="33" t="s">
        <v>152</v>
      </c>
      <c r="T96" s="29">
        <v>2</v>
      </c>
      <c r="U96" s="30" t="str">
        <f>VLOOKUP(T96,Key!$E$2:$F$9,2,FALSE)</f>
        <v>Work</v>
      </c>
      <c r="V96" s="30" t="str">
        <f t="shared" si="4"/>
        <v>Home-Work</v>
      </c>
      <c r="W96" s="29">
        <v>80000</v>
      </c>
      <c r="X96" s="34">
        <v>76</v>
      </c>
      <c r="Y96" s="50" t="str">
        <f t="shared" si="5"/>
        <v>70-100</v>
      </c>
      <c r="Z96" s="34">
        <v>2</v>
      </c>
      <c r="AA96" s="50" t="str">
        <f t="shared" si="6"/>
        <v>2.0-3.5</v>
      </c>
      <c r="AB96" s="29">
        <v>5</v>
      </c>
      <c r="AC96" s="30" t="str">
        <f>VLOOKUP(AB96,Key!$C$20:$D$29,2,FALSE)</f>
        <v>Professional</v>
      </c>
      <c r="AD96" s="29">
        <v>3</v>
      </c>
      <c r="AE96" s="30" t="str">
        <f>VLOOKUP(AD96,Key!$E$20:$F$24,2,FALSE)</f>
        <v>500,000-750,000</v>
      </c>
      <c r="AF96" s="29">
        <v>2</v>
      </c>
      <c r="AG96" s="34">
        <v>3</v>
      </c>
      <c r="AH96" s="34">
        <v>5</v>
      </c>
      <c r="AI96" s="34">
        <v>1</v>
      </c>
      <c r="AJ96" s="34">
        <v>4</v>
      </c>
      <c r="AK96" s="35" t="s">
        <v>94</v>
      </c>
      <c r="AL96" s="36">
        <v>1000</v>
      </c>
      <c r="AM96" t="str">
        <f t="shared" si="7"/>
        <v>1000-2000</v>
      </c>
    </row>
    <row r="97" spans="1:39" x14ac:dyDescent="0.2">
      <c r="A97" s="44">
        <v>43763</v>
      </c>
      <c r="B97" s="31">
        <v>0.58263888888888882</v>
      </c>
      <c r="C97" s="31"/>
      <c r="D97" s="31" t="s">
        <v>97</v>
      </c>
      <c r="E97" s="33">
        <v>2</v>
      </c>
      <c r="F97" s="38" t="str">
        <f>VLOOKUP(E97,Key!$A$17:$B$21,2,FALSE)</f>
        <v>Road Vehicle</v>
      </c>
      <c r="G97" s="32">
        <v>1</v>
      </c>
      <c r="H97" s="39" t="str">
        <f>VLOOKUP(G97,Key!$A$2:$B$13,2,FALSE)</f>
        <v>Car</v>
      </c>
      <c r="I97" s="33" t="s">
        <v>109</v>
      </c>
      <c r="J97" s="33">
        <v>2</v>
      </c>
      <c r="K97" s="40" t="str">
        <f>VLOOKUP(J97,Key!$A$24:$B$29,2,FALSE)</f>
        <v>30-39</v>
      </c>
      <c r="L97" s="33" t="s">
        <v>151</v>
      </c>
      <c r="M97" s="29" t="s">
        <v>151</v>
      </c>
      <c r="N97" s="33" t="s">
        <v>152</v>
      </c>
      <c r="O97" s="35">
        <v>1</v>
      </c>
      <c r="P97" s="30" t="str">
        <f>VLOOKUP(O97,Key!$E$2:$F$9,2,FALSE)</f>
        <v>Home</v>
      </c>
      <c r="Q97" s="33" t="s">
        <v>165</v>
      </c>
      <c r="R97" s="29" t="s">
        <v>165</v>
      </c>
      <c r="S97" s="33" t="s">
        <v>152</v>
      </c>
      <c r="T97" s="29">
        <v>2</v>
      </c>
      <c r="U97" s="30" t="str">
        <f>VLOOKUP(T97,Key!$E$2:$F$9,2,FALSE)</f>
        <v>Work</v>
      </c>
      <c r="V97" s="30" t="str">
        <f t="shared" si="4"/>
        <v>Home-Work</v>
      </c>
      <c r="W97" s="29">
        <v>80000</v>
      </c>
      <c r="X97" s="34">
        <v>79</v>
      </c>
      <c r="Y97" s="50" t="str">
        <f t="shared" si="5"/>
        <v>70-100</v>
      </c>
      <c r="Z97" s="34">
        <v>2</v>
      </c>
      <c r="AA97" s="50" t="str">
        <f t="shared" si="6"/>
        <v>2.0-3.5</v>
      </c>
      <c r="AB97" s="29">
        <v>5</v>
      </c>
      <c r="AC97" s="30" t="str">
        <f>VLOOKUP(AB97,Key!$C$20:$D$29,2,FALSE)</f>
        <v>Professional</v>
      </c>
      <c r="AD97" s="29">
        <v>3</v>
      </c>
      <c r="AE97" s="30" t="str">
        <f>VLOOKUP(AD97,Key!$E$20:$F$24,2,FALSE)</f>
        <v>500,000-750,000</v>
      </c>
      <c r="AF97" s="29">
        <v>2</v>
      </c>
      <c r="AG97" s="34">
        <v>3</v>
      </c>
      <c r="AH97" s="34">
        <v>1</v>
      </c>
      <c r="AI97" s="34">
        <v>4</v>
      </c>
      <c r="AJ97" s="34">
        <v>5</v>
      </c>
      <c r="AK97" s="35" t="s">
        <v>94</v>
      </c>
      <c r="AL97" s="36">
        <v>5000</v>
      </c>
      <c r="AM97" t="str">
        <f t="shared" si="7"/>
        <v>5000-10000</v>
      </c>
    </row>
    <row r="98" spans="1:39" ht="12" customHeight="1" x14ac:dyDescent="0.2">
      <c r="A98" s="44">
        <v>43763</v>
      </c>
      <c r="B98" s="31">
        <v>0.7416666666666667</v>
      </c>
      <c r="C98" s="31"/>
      <c r="D98" s="31" t="s">
        <v>97</v>
      </c>
      <c r="E98" s="33">
        <v>2</v>
      </c>
      <c r="F98" s="38" t="str">
        <f>VLOOKUP(E98,Key!$A$17:$B$21,2,FALSE)</f>
        <v>Road Vehicle</v>
      </c>
      <c r="G98" s="32">
        <v>1</v>
      </c>
      <c r="H98" s="39" t="str">
        <f>VLOOKUP(G98,Key!$A$2:$B$13,2,FALSE)</f>
        <v>Car</v>
      </c>
      <c r="I98" s="33" t="s">
        <v>109</v>
      </c>
      <c r="J98" s="33">
        <v>2</v>
      </c>
      <c r="K98" s="40" t="str">
        <f>VLOOKUP(J98,Key!$A$24:$B$29,2,FALSE)</f>
        <v>30-39</v>
      </c>
      <c r="L98" s="33" t="s">
        <v>151</v>
      </c>
      <c r="M98" s="29" t="s">
        <v>151</v>
      </c>
      <c r="N98" s="33" t="s">
        <v>152</v>
      </c>
      <c r="O98" s="35">
        <v>1</v>
      </c>
      <c r="P98" s="30" t="str">
        <f>VLOOKUP(O98,Key!$E$2:$F$9,2,FALSE)</f>
        <v>Home</v>
      </c>
      <c r="Q98" s="33" t="s">
        <v>153</v>
      </c>
      <c r="R98" s="29" t="s">
        <v>153</v>
      </c>
      <c r="S98" s="33" t="s">
        <v>152</v>
      </c>
      <c r="T98" s="29">
        <v>2</v>
      </c>
      <c r="U98" s="30" t="str">
        <f>VLOOKUP(T98,Key!$E$2:$F$9,2,FALSE)</f>
        <v>Work</v>
      </c>
      <c r="V98" s="30" t="str">
        <f t="shared" si="4"/>
        <v>Home-Work</v>
      </c>
      <c r="W98" s="29">
        <v>90000</v>
      </c>
      <c r="X98" s="34">
        <v>175</v>
      </c>
      <c r="Y98" s="50" t="str">
        <f t="shared" si="5"/>
        <v>100-200</v>
      </c>
      <c r="Z98" s="34">
        <v>3</v>
      </c>
      <c r="AA98" s="50" t="str">
        <f t="shared" si="6"/>
        <v>2.0-3.5</v>
      </c>
      <c r="AB98" s="29">
        <v>2</v>
      </c>
      <c r="AC98" s="30" t="str">
        <f>VLOOKUP(AB98,Key!$C$20:$D$29,2,FALSE)</f>
        <v>Manual Labour</v>
      </c>
      <c r="AD98" s="29">
        <v>2</v>
      </c>
      <c r="AE98" s="30" t="str">
        <f>VLOOKUP(AD98,Key!$E$20:$F$24,2,FALSE)</f>
        <v>300,000-500,000</v>
      </c>
      <c r="AF98" s="29">
        <v>2</v>
      </c>
      <c r="AG98" s="34">
        <v>4</v>
      </c>
      <c r="AH98" s="34">
        <v>1</v>
      </c>
      <c r="AI98" s="34">
        <v>2</v>
      </c>
      <c r="AJ98" s="34">
        <v>2</v>
      </c>
      <c r="AK98" s="35" t="s">
        <v>94</v>
      </c>
      <c r="AL98" s="36">
        <v>5000</v>
      </c>
      <c r="AM98" t="str">
        <f t="shared" si="7"/>
        <v>5000-10000</v>
      </c>
    </row>
    <row r="99" spans="1:39" x14ac:dyDescent="0.2">
      <c r="A99" s="44">
        <v>43763</v>
      </c>
      <c r="B99" s="31">
        <v>0.36805555555555558</v>
      </c>
      <c r="C99" s="31"/>
      <c r="D99" s="31" t="s">
        <v>150</v>
      </c>
      <c r="E99" s="33">
        <v>2</v>
      </c>
      <c r="F99" s="38" t="str">
        <f>VLOOKUP(E99,Key!$A$17:$B$21,2,FALSE)</f>
        <v>Road Vehicle</v>
      </c>
      <c r="G99" s="32">
        <v>1</v>
      </c>
      <c r="H99" s="39" t="str">
        <f>VLOOKUP(G99,Key!$A$2:$B$13,2,FALSE)</f>
        <v>Car</v>
      </c>
      <c r="I99" s="33" t="s">
        <v>109</v>
      </c>
      <c r="J99" s="33">
        <v>2</v>
      </c>
      <c r="K99" s="40" t="str">
        <f>VLOOKUP(J99,Key!$A$24:$B$29,2,FALSE)</f>
        <v>30-39</v>
      </c>
      <c r="L99" s="33" t="s">
        <v>151</v>
      </c>
      <c r="M99" s="29" t="s">
        <v>151</v>
      </c>
      <c r="N99" s="33" t="s">
        <v>152</v>
      </c>
      <c r="O99" s="35">
        <v>1</v>
      </c>
      <c r="P99" s="30" t="str">
        <f>VLOOKUP(O99,Key!$E$2:$F$9,2,FALSE)</f>
        <v>Home</v>
      </c>
      <c r="Q99" s="33" t="s">
        <v>189</v>
      </c>
      <c r="R99" s="29" t="s">
        <v>177</v>
      </c>
      <c r="S99" s="33" t="s">
        <v>152</v>
      </c>
      <c r="T99" s="29">
        <v>2</v>
      </c>
      <c r="U99" s="30" t="str">
        <f>VLOOKUP(T99,Key!$E$2:$F$9,2,FALSE)</f>
        <v>Work</v>
      </c>
      <c r="V99" s="30" t="str">
        <f t="shared" si="4"/>
        <v>Home-Work</v>
      </c>
      <c r="W99" s="29">
        <v>7000</v>
      </c>
      <c r="X99" s="34">
        <v>32</v>
      </c>
      <c r="Y99" s="50" t="str">
        <f t="shared" si="5"/>
        <v>20-40</v>
      </c>
      <c r="Z99" s="34">
        <v>1</v>
      </c>
      <c r="AA99" s="50" t="str">
        <f t="shared" si="6"/>
        <v>1.0-2.0</v>
      </c>
      <c r="AB99" s="29">
        <v>2</v>
      </c>
      <c r="AC99" s="30" t="str">
        <f>VLOOKUP(AB99,Key!$C$20:$D$29,2,FALSE)</f>
        <v>Manual Labour</v>
      </c>
      <c r="AD99" s="29">
        <v>2</v>
      </c>
      <c r="AE99" s="30" t="str">
        <f>VLOOKUP(AD99,Key!$E$20:$F$24,2,FALSE)</f>
        <v>300,000-500,000</v>
      </c>
      <c r="AF99" s="29">
        <v>2</v>
      </c>
      <c r="AG99" s="34">
        <v>3</v>
      </c>
      <c r="AH99" s="34">
        <v>5</v>
      </c>
      <c r="AI99" s="34">
        <v>1</v>
      </c>
      <c r="AJ99" s="34">
        <v>4</v>
      </c>
      <c r="AK99" s="35" t="s">
        <v>94</v>
      </c>
      <c r="AL99" s="36">
        <v>2000</v>
      </c>
      <c r="AM99" t="str">
        <f t="shared" si="7"/>
        <v>2000-3000</v>
      </c>
    </row>
    <row r="100" spans="1:39" x14ac:dyDescent="0.2">
      <c r="A100" s="44">
        <v>43763</v>
      </c>
      <c r="B100" s="31">
        <v>0.34375</v>
      </c>
      <c r="C100" s="31"/>
      <c r="D100" s="31" t="s">
        <v>150</v>
      </c>
      <c r="E100" s="33">
        <v>2</v>
      </c>
      <c r="F100" s="38" t="str">
        <f>VLOOKUP(E100,Key!$A$17:$B$21,2,FALSE)</f>
        <v>Road Vehicle</v>
      </c>
      <c r="G100" s="32">
        <v>1</v>
      </c>
      <c r="H100" s="39" t="str">
        <f>VLOOKUP(G100,Key!$A$2:$B$13,2,FALSE)</f>
        <v>Car</v>
      </c>
      <c r="I100" s="33" t="s">
        <v>109</v>
      </c>
      <c r="J100" s="33">
        <v>2</v>
      </c>
      <c r="K100" s="40" t="str">
        <f>VLOOKUP(J100,Key!$A$24:$B$29,2,FALSE)</f>
        <v>30-39</v>
      </c>
      <c r="L100" s="33" t="s">
        <v>151</v>
      </c>
      <c r="M100" s="29" t="s">
        <v>151</v>
      </c>
      <c r="N100" s="33" t="s">
        <v>152</v>
      </c>
      <c r="O100" s="35">
        <v>1</v>
      </c>
      <c r="P100" s="30" t="str">
        <f>VLOOKUP(O100,Key!$E$2:$F$9,2,FALSE)</f>
        <v>Home</v>
      </c>
      <c r="Q100" s="33" t="s">
        <v>166</v>
      </c>
      <c r="R100" s="29" t="s">
        <v>166</v>
      </c>
      <c r="S100" s="33" t="s">
        <v>152</v>
      </c>
      <c r="T100" s="29">
        <v>2</v>
      </c>
      <c r="U100" s="30" t="str">
        <f>VLOOKUP(T100,Key!$E$2:$F$9,2,FALSE)</f>
        <v>Work</v>
      </c>
      <c r="V100" s="30" t="str">
        <f t="shared" si="4"/>
        <v>Home-Work</v>
      </c>
      <c r="W100" s="29">
        <v>70000</v>
      </c>
      <c r="X100" s="34"/>
      <c r="Y100" s="50" t="str">
        <f t="shared" si="5"/>
        <v>0-10</v>
      </c>
      <c r="Z100" s="34">
        <v>1</v>
      </c>
      <c r="AA100" s="50" t="str">
        <f t="shared" si="6"/>
        <v>1.0-2.0</v>
      </c>
      <c r="AB100" s="29">
        <v>5</v>
      </c>
      <c r="AC100" s="30" t="str">
        <f>VLOOKUP(AB100,Key!$C$20:$D$29,2,FALSE)</f>
        <v>Professional</v>
      </c>
      <c r="AD100" s="29">
        <v>3</v>
      </c>
      <c r="AE100" s="30" t="str">
        <f>VLOOKUP(AD100,Key!$E$20:$F$24,2,FALSE)</f>
        <v>500,000-750,000</v>
      </c>
      <c r="AF100" s="29">
        <v>2</v>
      </c>
      <c r="AG100" s="34">
        <v>2</v>
      </c>
      <c r="AH100" s="34">
        <v>1</v>
      </c>
      <c r="AI100" s="34">
        <v>4</v>
      </c>
      <c r="AJ100" s="34">
        <v>4</v>
      </c>
      <c r="AK100" s="35" t="s">
        <v>94</v>
      </c>
      <c r="AL100" s="36">
        <v>1000</v>
      </c>
      <c r="AM100" t="str">
        <f t="shared" si="7"/>
        <v>1000-2000</v>
      </c>
    </row>
    <row r="101" spans="1:39" x14ac:dyDescent="0.2">
      <c r="A101" s="44">
        <v>43763</v>
      </c>
      <c r="B101" s="31">
        <v>0.40972222222222227</v>
      </c>
      <c r="C101" s="31"/>
      <c r="D101" s="31" t="s">
        <v>97</v>
      </c>
      <c r="E101" s="33">
        <v>2</v>
      </c>
      <c r="F101" s="38" t="str">
        <f>VLOOKUP(E101,Key!$A$17:$B$21,2,FALSE)</f>
        <v>Road Vehicle</v>
      </c>
      <c r="G101" s="32">
        <v>1</v>
      </c>
      <c r="H101" s="39" t="str">
        <f>VLOOKUP(G101,Key!$A$2:$B$13,2,FALSE)</f>
        <v>Car</v>
      </c>
      <c r="I101" s="33" t="s">
        <v>109</v>
      </c>
      <c r="J101" s="33">
        <v>2</v>
      </c>
      <c r="K101" s="40" t="str">
        <f>VLOOKUP(J101,Key!$A$24:$B$29,2,FALSE)</f>
        <v>30-39</v>
      </c>
      <c r="L101" s="33" t="s">
        <v>151</v>
      </c>
      <c r="M101" s="29" t="s">
        <v>151</v>
      </c>
      <c r="N101" s="33" t="s">
        <v>152</v>
      </c>
      <c r="O101" s="35">
        <v>1</v>
      </c>
      <c r="P101" s="30" t="str">
        <f>VLOOKUP(O101,Key!$E$2:$F$9,2,FALSE)</f>
        <v>Home</v>
      </c>
      <c r="Q101" s="33" t="s">
        <v>160</v>
      </c>
      <c r="R101" s="29" t="s">
        <v>160</v>
      </c>
      <c r="S101" s="33" t="s">
        <v>152</v>
      </c>
      <c r="T101" s="29">
        <v>2</v>
      </c>
      <c r="U101" s="30" t="str">
        <f>VLOOKUP(T101,Key!$E$2:$F$9,2,FALSE)</f>
        <v>Work</v>
      </c>
      <c r="V101" s="30" t="str">
        <f t="shared" si="4"/>
        <v>Home-Work</v>
      </c>
      <c r="W101" s="29">
        <v>40000</v>
      </c>
      <c r="X101" s="34">
        <v>35</v>
      </c>
      <c r="Y101" s="50" t="str">
        <f t="shared" si="5"/>
        <v>20-40</v>
      </c>
      <c r="Z101" s="34">
        <v>2</v>
      </c>
      <c r="AA101" s="50" t="str">
        <f t="shared" si="6"/>
        <v>2.0-3.5</v>
      </c>
      <c r="AB101" s="29">
        <v>5</v>
      </c>
      <c r="AC101" s="30" t="str">
        <f>VLOOKUP(AB101,Key!$C$20:$D$29,2,FALSE)</f>
        <v>Professional</v>
      </c>
      <c r="AD101" s="29">
        <v>2</v>
      </c>
      <c r="AE101" s="30" t="str">
        <f>VLOOKUP(AD101,Key!$E$20:$F$24,2,FALSE)</f>
        <v>300,000-500,000</v>
      </c>
      <c r="AF101" s="29">
        <v>3</v>
      </c>
      <c r="AG101" s="34">
        <v>4</v>
      </c>
      <c r="AH101" s="34">
        <v>2</v>
      </c>
      <c r="AI101" s="34">
        <v>1</v>
      </c>
      <c r="AJ101" s="34">
        <v>5</v>
      </c>
      <c r="AK101" s="35" t="s">
        <v>94</v>
      </c>
      <c r="AL101" s="36">
        <v>5000</v>
      </c>
      <c r="AM101" t="str">
        <f t="shared" si="7"/>
        <v>5000-10000</v>
      </c>
    </row>
    <row r="102" spans="1:39" x14ac:dyDescent="0.2">
      <c r="A102" s="44">
        <v>43763</v>
      </c>
      <c r="B102" s="31">
        <v>0.42708333333333331</v>
      </c>
      <c r="C102" s="31"/>
      <c r="D102" s="31" t="s">
        <v>97</v>
      </c>
      <c r="E102" s="33">
        <v>2</v>
      </c>
      <c r="F102" s="38" t="str">
        <f>VLOOKUP(E102,Key!$A$17:$B$21,2,FALSE)</f>
        <v>Road Vehicle</v>
      </c>
      <c r="G102" s="32">
        <v>1</v>
      </c>
      <c r="H102" s="39" t="str">
        <f>VLOOKUP(G102,Key!$A$2:$B$13,2,FALSE)</f>
        <v>Car</v>
      </c>
      <c r="I102" s="33" t="s">
        <v>109</v>
      </c>
      <c r="J102" s="33">
        <v>2</v>
      </c>
      <c r="K102" s="40" t="str">
        <f>VLOOKUP(J102,Key!$A$24:$B$29,2,FALSE)</f>
        <v>30-39</v>
      </c>
      <c r="L102" s="33" t="s">
        <v>151</v>
      </c>
      <c r="M102" s="29" t="s">
        <v>151</v>
      </c>
      <c r="N102" s="33" t="s">
        <v>152</v>
      </c>
      <c r="O102" s="35">
        <v>1</v>
      </c>
      <c r="P102" s="30" t="str">
        <f>VLOOKUP(O102,Key!$E$2:$F$9,2,FALSE)</f>
        <v>Home</v>
      </c>
      <c r="Q102" s="33" t="s">
        <v>160</v>
      </c>
      <c r="R102" s="29" t="s">
        <v>160</v>
      </c>
      <c r="S102" s="33" t="s">
        <v>152</v>
      </c>
      <c r="T102" s="29">
        <v>2</v>
      </c>
      <c r="U102" s="30" t="str">
        <f>VLOOKUP(T102,Key!$E$2:$F$9,2,FALSE)</f>
        <v>Work</v>
      </c>
      <c r="V102" s="30" t="str">
        <f t="shared" si="4"/>
        <v>Home-Work</v>
      </c>
      <c r="W102" s="29">
        <v>5000</v>
      </c>
      <c r="X102" s="34">
        <v>40</v>
      </c>
      <c r="Y102" s="50" t="str">
        <f t="shared" si="5"/>
        <v>40-70</v>
      </c>
      <c r="Z102" s="34">
        <v>2</v>
      </c>
      <c r="AA102" s="50" t="str">
        <f t="shared" si="6"/>
        <v>2.0-3.5</v>
      </c>
      <c r="AB102" s="29">
        <v>5</v>
      </c>
      <c r="AC102" s="30" t="str">
        <f>VLOOKUP(AB102,Key!$C$20:$D$29,2,FALSE)</f>
        <v>Professional</v>
      </c>
      <c r="AD102" s="29">
        <v>4</v>
      </c>
      <c r="AE102" s="30" t="str">
        <f>VLOOKUP(AD102,Key!$E$20:$F$24,2,FALSE)</f>
        <v>750,000-1,000,000</v>
      </c>
      <c r="AF102" s="29">
        <v>4</v>
      </c>
      <c r="AG102" s="34">
        <v>2</v>
      </c>
      <c r="AH102" s="34">
        <v>1</v>
      </c>
      <c r="AI102" s="34">
        <v>4</v>
      </c>
      <c r="AJ102" s="34">
        <v>5</v>
      </c>
      <c r="AK102" s="35" t="s">
        <v>94</v>
      </c>
      <c r="AL102" s="36">
        <v>5000</v>
      </c>
      <c r="AM102" t="str">
        <f t="shared" si="7"/>
        <v>5000-10000</v>
      </c>
    </row>
    <row r="103" spans="1:39" x14ac:dyDescent="0.2">
      <c r="A103" s="44">
        <v>43763</v>
      </c>
      <c r="B103" s="31">
        <v>0.48680555555555555</v>
      </c>
      <c r="C103" s="31"/>
      <c r="D103" s="31" t="s">
        <v>97</v>
      </c>
      <c r="E103" s="33">
        <v>2</v>
      </c>
      <c r="F103" s="38" t="str">
        <f>VLOOKUP(E103,Key!$A$17:$B$21,2,FALSE)</f>
        <v>Road Vehicle</v>
      </c>
      <c r="G103" s="32">
        <v>1</v>
      </c>
      <c r="H103" s="39" t="str">
        <f>VLOOKUP(G103,Key!$A$2:$B$13,2,FALSE)</f>
        <v>Car</v>
      </c>
      <c r="I103" s="33" t="s">
        <v>109</v>
      </c>
      <c r="J103" s="33">
        <v>2</v>
      </c>
      <c r="K103" s="40" t="str">
        <f>VLOOKUP(J103,Key!$A$24:$B$29,2,FALSE)</f>
        <v>30-39</v>
      </c>
      <c r="L103" s="33" t="s">
        <v>151</v>
      </c>
      <c r="M103" s="29" t="s">
        <v>151</v>
      </c>
      <c r="N103" s="33" t="s">
        <v>152</v>
      </c>
      <c r="O103" s="35">
        <v>1</v>
      </c>
      <c r="P103" s="30" t="str">
        <f>VLOOKUP(O103,Key!$E$2:$F$9,2,FALSE)</f>
        <v>Home</v>
      </c>
      <c r="Q103" s="33" t="s">
        <v>158</v>
      </c>
      <c r="R103" s="29" t="s">
        <v>151</v>
      </c>
      <c r="S103" s="33" t="s">
        <v>152</v>
      </c>
      <c r="T103" s="29">
        <v>2</v>
      </c>
      <c r="U103" s="30" t="str">
        <f>VLOOKUP(T103,Key!$E$2:$F$9,2,FALSE)</f>
        <v>Work</v>
      </c>
      <c r="V103" s="30" t="str">
        <f t="shared" si="4"/>
        <v>Home-Work</v>
      </c>
      <c r="W103" s="29">
        <v>30000</v>
      </c>
      <c r="X103" s="34">
        <v>45</v>
      </c>
      <c r="Y103" s="50" t="str">
        <f t="shared" si="5"/>
        <v>40-70</v>
      </c>
      <c r="Z103" s="34">
        <v>1</v>
      </c>
      <c r="AA103" s="50" t="str">
        <f t="shared" si="6"/>
        <v>1.0-2.0</v>
      </c>
      <c r="AB103" s="29">
        <v>5</v>
      </c>
      <c r="AC103" s="30" t="str">
        <f>VLOOKUP(AB103,Key!$C$20:$D$29,2,FALSE)</f>
        <v>Professional</v>
      </c>
      <c r="AD103" s="29">
        <v>2</v>
      </c>
      <c r="AE103" s="30" t="str">
        <f>VLOOKUP(AD103,Key!$E$20:$F$24,2,FALSE)</f>
        <v>300,000-500,000</v>
      </c>
      <c r="AF103" s="29">
        <v>3</v>
      </c>
      <c r="AG103" s="34">
        <v>5</v>
      </c>
      <c r="AH103" s="34">
        <v>4</v>
      </c>
      <c r="AI103" s="34">
        <v>2</v>
      </c>
      <c r="AJ103" s="34">
        <v>1</v>
      </c>
      <c r="AK103" s="35" t="s">
        <v>94</v>
      </c>
      <c r="AL103" s="36">
        <v>1000</v>
      </c>
      <c r="AM103" t="str">
        <f t="shared" si="7"/>
        <v>1000-2000</v>
      </c>
    </row>
    <row r="104" spans="1:39" x14ac:dyDescent="0.2">
      <c r="A104" s="44">
        <v>43763</v>
      </c>
      <c r="B104" s="31">
        <v>0.70000000000000007</v>
      </c>
      <c r="C104" s="31"/>
      <c r="D104" s="31" t="s">
        <v>150</v>
      </c>
      <c r="E104" s="33">
        <v>2</v>
      </c>
      <c r="F104" s="38" t="str">
        <f>VLOOKUP(E104,Key!$A$17:$B$21,2,FALSE)</f>
        <v>Road Vehicle</v>
      </c>
      <c r="G104" s="32">
        <v>1</v>
      </c>
      <c r="H104" s="39" t="str">
        <f>VLOOKUP(G104,Key!$A$2:$B$13,2,FALSE)</f>
        <v>Car</v>
      </c>
      <c r="I104" s="33" t="s">
        <v>109</v>
      </c>
      <c r="J104" s="33">
        <v>2</v>
      </c>
      <c r="K104" s="40" t="str">
        <f>VLOOKUP(J104,Key!$A$24:$B$29,2,FALSE)</f>
        <v>30-39</v>
      </c>
      <c r="L104" s="33" t="s">
        <v>151</v>
      </c>
      <c r="M104" s="29" t="s">
        <v>151</v>
      </c>
      <c r="N104" s="33" t="s">
        <v>152</v>
      </c>
      <c r="O104" s="35">
        <v>1</v>
      </c>
      <c r="P104" s="30" t="str">
        <f>VLOOKUP(O104,Key!$E$2:$F$9,2,FALSE)</f>
        <v>Home</v>
      </c>
      <c r="Q104" s="33" t="s">
        <v>189</v>
      </c>
      <c r="R104" s="29" t="s">
        <v>177</v>
      </c>
      <c r="S104" s="33" t="s">
        <v>152</v>
      </c>
      <c r="T104" s="29">
        <v>2</v>
      </c>
      <c r="U104" s="30" t="str">
        <f>VLOOKUP(T104,Key!$E$2:$F$9,2,FALSE)</f>
        <v>Work</v>
      </c>
      <c r="V104" s="30" t="str">
        <f t="shared" si="4"/>
        <v>Home-Work</v>
      </c>
      <c r="W104" s="29">
        <v>7000</v>
      </c>
      <c r="X104" s="34">
        <v>25</v>
      </c>
      <c r="Y104" s="50" t="str">
        <f t="shared" si="5"/>
        <v>20-40</v>
      </c>
      <c r="Z104" s="34">
        <v>1</v>
      </c>
      <c r="AA104" s="50" t="str">
        <f t="shared" si="6"/>
        <v>1.0-2.0</v>
      </c>
      <c r="AB104" s="29">
        <v>6</v>
      </c>
      <c r="AC104" s="30" t="str">
        <f>VLOOKUP(AB104,Key!$C$20:$D$29,2,FALSE)</f>
        <v>Businessman</v>
      </c>
      <c r="AD104" s="29">
        <v>3</v>
      </c>
      <c r="AE104" s="30" t="str">
        <f>VLOOKUP(AD104,Key!$E$20:$F$24,2,FALSE)</f>
        <v>500,000-750,000</v>
      </c>
      <c r="AF104" s="29">
        <v>1</v>
      </c>
      <c r="AG104" s="34">
        <v>2</v>
      </c>
      <c r="AH104" s="34">
        <v>4</v>
      </c>
      <c r="AI104" s="34">
        <v>5</v>
      </c>
      <c r="AJ104" s="34">
        <v>3</v>
      </c>
      <c r="AK104" s="35" t="s">
        <v>94</v>
      </c>
      <c r="AL104" s="36">
        <v>3000</v>
      </c>
      <c r="AM104" t="str">
        <f t="shared" si="7"/>
        <v>3000-5000</v>
      </c>
    </row>
    <row r="105" spans="1:39" x14ac:dyDescent="0.2">
      <c r="A105" s="44">
        <v>43763</v>
      </c>
      <c r="B105" s="31">
        <v>0.375</v>
      </c>
      <c r="C105" s="31"/>
      <c r="D105" s="31" t="s">
        <v>150</v>
      </c>
      <c r="E105" s="33">
        <v>2</v>
      </c>
      <c r="F105" s="38" t="str">
        <f>VLOOKUP(E105,Key!$A$17:$B$21,2,FALSE)</f>
        <v>Road Vehicle</v>
      </c>
      <c r="G105" s="32">
        <v>1</v>
      </c>
      <c r="H105" s="39" t="str">
        <f>VLOOKUP(G105,Key!$A$2:$B$13,2,FALSE)</f>
        <v>Car</v>
      </c>
      <c r="I105" s="33" t="s">
        <v>109</v>
      </c>
      <c r="J105" s="33">
        <v>2</v>
      </c>
      <c r="K105" s="40" t="str">
        <f>VLOOKUP(J105,Key!$A$24:$B$29,2,FALSE)</f>
        <v>30-39</v>
      </c>
      <c r="L105" s="33" t="s">
        <v>151</v>
      </c>
      <c r="M105" s="29" t="s">
        <v>151</v>
      </c>
      <c r="N105" s="33" t="s">
        <v>152</v>
      </c>
      <c r="O105" s="35">
        <v>1</v>
      </c>
      <c r="P105" s="30" t="str">
        <f>VLOOKUP(O105,Key!$E$2:$F$9,2,FALSE)</f>
        <v>Home</v>
      </c>
      <c r="Q105" s="33" t="s">
        <v>151</v>
      </c>
      <c r="R105" s="29" t="s">
        <v>177</v>
      </c>
      <c r="S105" s="33" t="s">
        <v>152</v>
      </c>
      <c r="T105" s="29">
        <v>2</v>
      </c>
      <c r="U105" s="30" t="str">
        <f>VLOOKUP(T105,Key!$E$2:$F$9,2,FALSE)</f>
        <v>Work</v>
      </c>
      <c r="V105" s="30" t="str">
        <f t="shared" si="4"/>
        <v>Home-Work</v>
      </c>
      <c r="W105" s="29">
        <v>7000</v>
      </c>
      <c r="X105" s="34">
        <v>30</v>
      </c>
      <c r="Y105" s="50" t="str">
        <f t="shared" si="5"/>
        <v>20-40</v>
      </c>
      <c r="Z105" s="34">
        <v>1</v>
      </c>
      <c r="AA105" s="50" t="str">
        <f t="shared" si="6"/>
        <v>1.0-2.0</v>
      </c>
      <c r="AB105" s="29">
        <v>5</v>
      </c>
      <c r="AC105" s="30" t="str">
        <f>VLOOKUP(AB105,Key!$C$20:$D$29,2,FALSE)</f>
        <v>Professional</v>
      </c>
      <c r="AD105" s="29">
        <v>1</v>
      </c>
      <c r="AE105" s="30" t="str">
        <f>VLOOKUP(AD105,Key!$E$20:$F$24,2,FALSE)</f>
        <v>&lt;300,000</v>
      </c>
      <c r="AF105" s="29">
        <v>2</v>
      </c>
      <c r="AG105" s="34">
        <v>3</v>
      </c>
      <c r="AH105" s="34">
        <v>5</v>
      </c>
      <c r="AI105" s="34">
        <v>1</v>
      </c>
      <c r="AJ105" s="34">
        <v>4</v>
      </c>
      <c r="AK105" s="35" t="s">
        <v>94</v>
      </c>
      <c r="AL105" s="36">
        <v>1000</v>
      </c>
      <c r="AM105" t="str">
        <f t="shared" si="7"/>
        <v>1000-2000</v>
      </c>
    </row>
    <row r="106" spans="1:39" x14ac:dyDescent="0.2">
      <c r="A106" s="44">
        <v>43762</v>
      </c>
      <c r="B106" s="31">
        <v>0.75624999999999998</v>
      </c>
      <c r="C106" s="31"/>
      <c r="D106" s="31" t="s">
        <v>150</v>
      </c>
      <c r="E106" s="33">
        <v>2</v>
      </c>
      <c r="F106" s="38" t="str">
        <f>VLOOKUP(E106,Key!$A$17:$B$21,2,FALSE)</f>
        <v>Road Vehicle</v>
      </c>
      <c r="G106" s="32">
        <v>6</v>
      </c>
      <c r="H106" s="39" t="str">
        <f>VLOOKUP(G106,Key!$A$2:$B$13,2,FALSE)</f>
        <v>Large Bus</v>
      </c>
      <c r="I106" s="33" t="s">
        <v>156</v>
      </c>
      <c r="J106" s="33">
        <v>2</v>
      </c>
      <c r="K106" s="40" t="str">
        <f>VLOOKUP(J106,Key!$A$24:$B$29,2,FALSE)</f>
        <v>30-39</v>
      </c>
      <c r="L106" s="33" t="s">
        <v>151</v>
      </c>
      <c r="M106" s="29" t="s">
        <v>151</v>
      </c>
      <c r="N106" s="33" t="s">
        <v>152</v>
      </c>
      <c r="O106" s="35">
        <v>8</v>
      </c>
      <c r="P106" s="30" t="str">
        <f>VLOOKUP(O106,Key!$E$2:$F$9,2,FALSE)</f>
        <v>Others</v>
      </c>
      <c r="Q106" s="33" t="s">
        <v>154</v>
      </c>
      <c r="R106" s="29" t="s">
        <v>154</v>
      </c>
      <c r="S106" s="33" t="s">
        <v>152</v>
      </c>
      <c r="T106" s="29">
        <v>1</v>
      </c>
      <c r="U106" s="30" t="str">
        <f>VLOOKUP(T106,Key!$E$2:$F$9,2,FALSE)</f>
        <v>Home</v>
      </c>
      <c r="V106" s="30" t="str">
        <f t="shared" si="4"/>
        <v>Others-Home</v>
      </c>
      <c r="W106" s="41">
        <v>9000</v>
      </c>
      <c r="X106" s="34">
        <v>120</v>
      </c>
      <c r="Y106" s="50" t="str">
        <f t="shared" si="5"/>
        <v>100-200</v>
      </c>
      <c r="Z106" s="34">
        <v>2</v>
      </c>
      <c r="AA106" s="50" t="str">
        <f t="shared" si="6"/>
        <v>2.0-3.5</v>
      </c>
      <c r="AB106" s="29">
        <v>7</v>
      </c>
      <c r="AC106" s="30" t="str">
        <f>VLOOKUP(AB106,Key!$C$20:$D$29,2,FALSE)</f>
        <v>Farmer</v>
      </c>
      <c r="AD106" s="29">
        <v>3</v>
      </c>
      <c r="AE106" s="30" t="str">
        <f>VLOOKUP(AD106,Key!$E$20:$F$24,2,FALSE)</f>
        <v>500,000-750,000</v>
      </c>
      <c r="AF106" s="29">
        <v>1</v>
      </c>
      <c r="AG106" s="34">
        <v>2</v>
      </c>
      <c r="AH106" s="34">
        <v>3</v>
      </c>
      <c r="AI106" s="34">
        <v>4</v>
      </c>
      <c r="AJ106" s="34">
        <v>5</v>
      </c>
      <c r="AK106" s="35" t="s">
        <v>94</v>
      </c>
      <c r="AL106" s="36"/>
      <c r="AM106" t="str">
        <f t="shared" si="7"/>
        <v>0-1000</v>
      </c>
    </row>
    <row r="107" spans="1:39" x14ac:dyDescent="0.2">
      <c r="A107" s="44">
        <v>43762</v>
      </c>
      <c r="B107" s="31">
        <v>0.65902777777777777</v>
      </c>
      <c r="C107" s="31"/>
      <c r="D107" s="31" t="s">
        <v>150</v>
      </c>
      <c r="E107" s="33">
        <v>2</v>
      </c>
      <c r="F107" s="38" t="str">
        <f>VLOOKUP(E107,Key!$A$17:$B$21,2,FALSE)</f>
        <v>Road Vehicle</v>
      </c>
      <c r="G107" s="32">
        <v>6</v>
      </c>
      <c r="H107" s="39" t="str">
        <f>VLOOKUP(G107,Key!$A$2:$B$13,2,FALSE)</f>
        <v>Large Bus</v>
      </c>
      <c r="I107" s="33" t="s">
        <v>156</v>
      </c>
      <c r="J107" s="33">
        <v>2</v>
      </c>
      <c r="K107" s="40" t="str">
        <f>VLOOKUP(J107,Key!$A$24:$B$29,2,FALSE)</f>
        <v>30-39</v>
      </c>
      <c r="L107" s="33" t="s">
        <v>151</v>
      </c>
      <c r="M107" s="29" t="s">
        <v>151</v>
      </c>
      <c r="N107" s="33" t="s">
        <v>152</v>
      </c>
      <c r="O107" s="35">
        <v>2</v>
      </c>
      <c r="P107" s="30" t="str">
        <f>VLOOKUP(O107,Key!$E$2:$F$9,2,FALSE)</f>
        <v>Work</v>
      </c>
      <c r="Q107" s="33" t="s">
        <v>153</v>
      </c>
      <c r="R107" s="29" t="s">
        <v>153</v>
      </c>
      <c r="S107" s="33" t="s">
        <v>152</v>
      </c>
      <c r="T107" s="29">
        <v>6</v>
      </c>
      <c r="U107" s="30" t="str">
        <f>VLOOKUP(T107,Key!$E$2:$F$9,2,FALSE)</f>
        <v>Leisure/Social</v>
      </c>
      <c r="V107" s="30" t="str">
        <f t="shared" si="4"/>
        <v>Work-Leisure/Social</v>
      </c>
      <c r="W107" s="41">
        <v>13000</v>
      </c>
      <c r="X107" s="34">
        <v>190</v>
      </c>
      <c r="Y107" s="50" t="str">
        <f t="shared" si="5"/>
        <v>100-200</v>
      </c>
      <c r="Z107" s="34">
        <v>3</v>
      </c>
      <c r="AA107" s="50" t="str">
        <f t="shared" si="6"/>
        <v>2.0-3.5</v>
      </c>
      <c r="AB107" s="29">
        <v>6</v>
      </c>
      <c r="AC107" s="30" t="str">
        <f>VLOOKUP(AB107,Key!$C$20:$D$29,2,FALSE)</f>
        <v>Businessman</v>
      </c>
      <c r="AD107" s="29">
        <v>3</v>
      </c>
      <c r="AE107" s="30" t="str">
        <f>VLOOKUP(AD107,Key!$E$20:$F$24,2,FALSE)</f>
        <v>500,000-750,000</v>
      </c>
      <c r="AF107" s="29">
        <v>3</v>
      </c>
      <c r="AG107" s="34">
        <v>4</v>
      </c>
      <c r="AH107" s="34">
        <v>5</v>
      </c>
      <c r="AI107" s="34">
        <v>2</v>
      </c>
      <c r="AJ107" s="34">
        <v>1</v>
      </c>
      <c r="AK107" s="35" t="s">
        <v>94</v>
      </c>
      <c r="AL107" s="36"/>
      <c r="AM107" t="str">
        <f t="shared" si="7"/>
        <v>0-1000</v>
      </c>
    </row>
    <row r="108" spans="1:39" x14ac:dyDescent="0.2">
      <c r="A108" s="44">
        <v>43762</v>
      </c>
      <c r="B108" s="31">
        <v>0.65277777777777779</v>
      </c>
      <c r="C108" s="31"/>
      <c r="D108" s="31" t="s">
        <v>150</v>
      </c>
      <c r="E108" s="33">
        <v>2</v>
      </c>
      <c r="F108" s="38" t="str">
        <f>VLOOKUP(E108,Key!$A$17:$B$21,2,FALSE)</f>
        <v>Road Vehicle</v>
      </c>
      <c r="G108" s="32">
        <v>6</v>
      </c>
      <c r="H108" s="39" t="str">
        <f>VLOOKUP(G108,Key!$A$2:$B$13,2,FALSE)</f>
        <v>Large Bus</v>
      </c>
      <c r="I108" s="33" t="s">
        <v>156</v>
      </c>
      <c r="J108" s="33">
        <v>2</v>
      </c>
      <c r="K108" s="40" t="str">
        <f>VLOOKUP(J108,Key!$A$24:$B$29,2,FALSE)</f>
        <v>30-39</v>
      </c>
      <c r="L108" s="33" t="s">
        <v>151</v>
      </c>
      <c r="M108" s="29" t="s">
        <v>151</v>
      </c>
      <c r="N108" s="33" t="s">
        <v>152</v>
      </c>
      <c r="O108" s="35">
        <v>6</v>
      </c>
      <c r="P108" s="30" t="str">
        <f>VLOOKUP(O108,Key!$E$2:$F$9,2,FALSE)</f>
        <v>Leisure/Social</v>
      </c>
      <c r="Q108" s="33" t="s">
        <v>161</v>
      </c>
      <c r="R108" s="29" t="s">
        <v>162</v>
      </c>
      <c r="S108" s="33" t="s">
        <v>152</v>
      </c>
      <c r="T108" s="29">
        <v>4</v>
      </c>
      <c r="U108" s="30" t="str">
        <f>VLOOKUP(T108,Key!$E$2:$F$9,2,FALSE)</f>
        <v>Commercial</v>
      </c>
      <c r="V108" s="30" t="str">
        <f t="shared" si="4"/>
        <v>Leisure/Social-Commercial</v>
      </c>
      <c r="W108" s="41">
        <v>12000</v>
      </c>
      <c r="X108" s="34">
        <v>190</v>
      </c>
      <c r="Y108" s="50" t="str">
        <f t="shared" si="5"/>
        <v>100-200</v>
      </c>
      <c r="Z108" s="34">
        <v>1</v>
      </c>
      <c r="AA108" s="50" t="str">
        <f t="shared" si="6"/>
        <v>1.0-2.0</v>
      </c>
      <c r="AB108" s="29">
        <v>2</v>
      </c>
      <c r="AC108" s="30" t="str">
        <f>VLOOKUP(AB108,Key!$C$20:$D$29,2,FALSE)</f>
        <v>Manual Labour</v>
      </c>
      <c r="AD108" s="29">
        <v>4</v>
      </c>
      <c r="AE108" s="30" t="str">
        <f>VLOOKUP(AD108,Key!$E$20:$F$24,2,FALSE)</f>
        <v>750,000-1,000,000</v>
      </c>
      <c r="AF108" s="29">
        <v>2</v>
      </c>
      <c r="AG108" s="34">
        <v>1</v>
      </c>
      <c r="AH108" s="34">
        <v>3</v>
      </c>
      <c r="AI108" s="34">
        <v>5</v>
      </c>
      <c r="AJ108" s="34">
        <v>4</v>
      </c>
      <c r="AK108" s="35" t="s">
        <v>94</v>
      </c>
      <c r="AL108" s="36"/>
      <c r="AM108" t="str">
        <f t="shared" si="7"/>
        <v>0-1000</v>
      </c>
    </row>
    <row r="109" spans="1:39" x14ac:dyDescent="0.2">
      <c r="A109" s="44">
        <v>43762</v>
      </c>
      <c r="B109" s="31">
        <v>0.62638888888888888</v>
      </c>
      <c r="C109" s="31"/>
      <c r="D109" s="31" t="s">
        <v>150</v>
      </c>
      <c r="E109" s="33">
        <v>2</v>
      </c>
      <c r="F109" s="38" t="str">
        <f>VLOOKUP(E109,Key!$A$17:$B$21,2,FALSE)</f>
        <v>Road Vehicle</v>
      </c>
      <c r="G109" s="32">
        <v>6</v>
      </c>
      <c r="H109" s="39" t="str">
        <f>VLOOKUP(G109,Key!$A$2:$B$13,2,FALSE)</f>
        <v>Large Bus</v>
      </c>
      <c r="I109" s="33" t="s">
        <v>156</v>
      </c>
      <c r="J109" s="33">
        <v>2</v>
      </c>
      <c r="K109" s="40" t="str">
        <f>VLOOKUP(J109,Key!$A$24:$B$29,2,FALSE)</f>
        <v>30-39</v>
      </c>
      <c r="L109" s="33" t="s">
        <v>151</v>
      </c>
      <c r="M109" s="29" t="s">
        <v>151</v>
      </c>
      <c r="N109" s="33" t="s">
        <v>152</v>
      </c>
      <c r="O109" s="35">
        <v>2</v>
      </c>
      <c r="P109" s="30" t="str">
        <f>VLOOKUP(O109,Key!$E$2:$F$9,2,FALSE)</f>
        <v>Work</v>
      </c>
      <c r="Q109" s="33" t="s">
        <v>153</v>
      </c>
      <c r="R109" s="29" t="s">
        <v>153</v>
      </c>
      <c r="S109" s="33" t="s">
        <v>152</v>
      </c>
      <c r="T109" s="29">
        <v>1</v>
      </c>
      <c r="U109" s="30" t="str">
        <f>VLOOKUP(T109,Key!$E$2:$F$9,2,FALSE)</f>
        <v>Home</v>
      </c>
      <c r="V109" s="30" t="str">
        <f t="shared" si="4"/>
        <v>Work-Home</v>
      </c>
      <c r="W109" s="41">
        <v>13000</v>
      </c>
      <c r="X109" s="34">
        <v>200</v>
      </c>
      <c r="Y109" s="50" t="str">
        <f t="shared" si="5"/>
        <v>Over 200</v>
      </c>
      <c r="Z109" s="34">
        <v>4</v>
      </c>
      <c r="AA109" s="50" t="str">
        <f t="shared" si="6"/>
        <v>Over 3.5</v>
      </c>
      <c r="AB109" s="29">
        <v>7</v>
      </c>
      <c r="AC109" s="30" t="str">
        <f>VLOOKUP(AB109,Key!$C$20:$D$29,2,FALSE)</f>
        <v>Farmer</v>
      </c>
      <c r="AD109" s="29">
        <v>3</v>
      </c>
      <c r="AE109" s="30" t="str">
        <f>VLOOKUP(AD109,Key!$E$20:$F$24,2,FALSE)</f>
        <v>500,000-750,000</v>
      </c>
      <c r="AF109" s="29">
        <v>1</v>
      </c>
      <c r="AG109" s="34">
        <v>3</v>
      </c>
      <c r="AH109" s="34">
        <v>2</v>
      </c>
      <c r="AI109" s="34">
        <v>4</v>
      </c>
      <c r="AJ109" s="34">
        <v>5</v>
      </c>
      <c r="AK109" s="35" t="s">
        <v>94</v>
      </c>
      <c r="AL109" s="36">
        <v>2000</v>
      </c>
      <c r="AM109" t="str">
        <f t="shared" si="7"/>
        <v>2000-3000</v>
      </c>
    </row>
    <row r="110" spans="1:39" x14ac:dyDescent="0.2">
      <c r="A110" s="44">
        <v>43762</v>
      </c>
      <c r="B110" s="31">
        <v>0.59236111111111112</v>
      </c>
      <c r="C110" s="31"/>
      <c r="D110" s="31" t="s">
        <v>150</v>
      </c>
      <c r="E110" s="33">
        <v>2</v>
      </c>
      <c r="F110" s="38" t="str">
        <f>VLOOKUP(E110,Key!$A$17:$B$21,2,FALSE)</f>
        <v>Road Vehicle</v>
      </c>
      <c r="G110" s="32">
        <v>6</v>
      </c>
      <c r="H110" s="39" t="str">
        <f>VLOOKUP(G110,Key!$A$2:$B$13,2,FALSE)</f>
        <v>Large Bus</v>
      </c>
      <c r="I110" s="33" t="s">
        <v>156</v>
      </c>
      <c r="J110" s="33">
        <v>2</v>
      </c>
      <c r="K110" s="40" t="str">
        <f>VLOOKUP(J110,Key!$A$24:$B$29,2,FALSE)</f>
        <v>30-39</v>
      </c>
      <c r="L110" s="33" t="s">
        <v>151</v>
      </c>
      <c r="M110" s="29" t="s">
        <v>151</v>
      </c>
      <c r="N110" s="33" t="s">
        <v>152</v>
      </c>
      <c r="O110" s="35">
        <v>2</v>
      </c>
      <c r="P110" s="30" t="str">
        <f>VLOOKUP(O110,Key!$E$2:$F$9,2,FALSE)</f>
        <v>Work</v>
      </c>
      <c r="Q110" s="33" t="s">
        <v>153</v>
      </c>
      <c r="R110" s="29" t="s">
        <v>153</v>
      </c>
      <c r="S110" s="33" t="s">
        <v>152</v>
      </c>
      <c r="T110" s="29">
        <v>1</v>
      </c>
      <c r="U110" s="30" t="str">
        <f>VLOOKUP(T110,Key!$E$2:$F$9,2,FALSE)</f>
        <v>Home</v>
      </c>
      <c r="V110" s="30" t="str">
        <f t="shared" si="4"/>
        <v>Work-Home</v>
      </c>
      <c r="W110" s="29">
        <v>13000</v>
      </c>
      <c r="X110" s="34">
        <v>200</v>
      </c>
      <c r="Y110" s="50" t="str">
        <f t="shared" si="5"/>
        <v>Over 200</v>
      </c>
      <c r="Z110" s="34">
        <v>3</v>
      </c>
      <c r="AA110" s="50" t="str">
        <f t="shared" si="6"/>
        <v>2.0-3.5</v>
      </c>
      <c r="AB110" s="29">
        <v>5</v>
      </c>
      <c r="AC110" s="30" t="str">
        <f>VLOOKUP(AB110,Key!$C$20:$D$29,2,FALSE)</f>
        <v>Professional</v>
      </c>
      <c r="AD110" s="29">
        <v>2</v>
      </c>
      <c r="AE110" s="30" t="str">
        <f>VLOOKUP(AD110,Key!$E$20:$F$24,2,FALSE)</f>
        <v>300,000-500,000</v>
      </c>
      <c r="AF110" s="29">
        <v>5</v>
      </c>
      <c r="AG110" s="34">
        <v>2</v>
      </c>
      <c r="AH110" s="34">
        <v>1</v>
      </c>
      <c r="AI110" s="34">
        <v>3</v>
      </c>
      <c r="AJ110" s="34">
        <v>4</v>
      </c>
      <c r="AK110" s="35" t="s">
        <v>94</v>
      </c>
      <c r="AL110" s="36">
        <v>1000</v>
      </c>
      <c r="AM110" t="str">
        <f t="shared" si="7"/>
        <v>1000-2000</v>
      </c>
    </row>
    <row r="111" spans="1:39" x14ac:dyDescent="0.2">
      <c r="A111" s="44">
        <v>43762</v>
      </c>
      <c r="B111" s="31">
        <v>0.98888888888888893</v>
      </c>
      <c r="C111" s="31"/>
      <c r="D111" s="31" t="s">
        <v>150</v>
      </c>
      <c r="E111" s="33">
        <v>2</v>
      </c>
      <c r="F111" s="38" t="str">
        <f>VLOOKUP(E111,Key!$A$17:$B$21,2,FALSE)</f>
        <v>Road Vehicle</v>
      </c>
      <c r="G111" s="32">
        <v>6</v>
      </c>
      <c r="H111" s="39" t="str">
        <f>VLOOKUP(G111,Key!$A$2:$B$13,2,FALSE)</f>
        <v>Large Bus</v>
      </c>
      <c r="I111" s="33" t="s">
        <v>156</v>
      </c>
      <c r="J111" s="33">
        <v>2</v>
      </c>
      <c r="K111" s="40" t="str">
        <f>VLOOKUP(J111,Key!$A$24:$B$29,2,FALSE)</f>
        <v>30-39</v>
      </c>
      <c r="L111" s="33" t="s">
        <v>151</v>
      </c>
      <c r="M111" s="29" t="s">
        <v>151</v>
      </c>
      <c r="N111" s="33" t="s">
        <v>152</v>
      </c>
      <c r="O111" s="35">
        <v>2</v>
      </c>
      <c r="P111" s="30" t="str">
        <f>VLOOKUP(O111,Key!$E$2:$F$9,2,FALSE)</f>
        <v>Work</v>
      </c>
      <c r="Q111" s="33" t="s">
        <v>153</v>
      </c>
      <c r="R111" s="29" t="s">
        <v>153</v>
      </c>
      <c r="S111" s="33" t="s">
        <v>152</v>
      </c>
      <c r="T111" s="29">
        <v>1</v>
      </c>
      <c r="U111" s="30" t="str">
        <f>VLOOKUP(T111,Key!$E$2:$F$9,2,FALSE)</f>
        <v>Home</v>
      </c>
      <c r="V111" s="30" t="str">
        <f t="shared" si="4"/>
        <v>Work-Home</v>
      </c>
      <c r="W111" s="29">
        <v>130000</v>
      </c>
      <c r="X111" s="34">
        <v>190</v>
      </c>
      <c r="Y111" s="50" t="str">
        <f t="shared" si="5"/>
        <v>100-200</v>
      </c>
      <c r="Z111" s="34">
        <v>3</v>
      </c>
      <c r="AA111" s="50" t="str">
        <f t="shared" si="6"/>
        <v>2.0-3.5</v>
      </c>
      <c r="AB111" s="29">
        <v>3</v>
      </c>
      <c r="AC111" s="30" t="str">
        <f>VLOOKUP(AB111,Key!$C$20:$D$29,2,FALSE)</f>
        <v>Artisan/Domestic</v>
      </c>
      <c r="AD111" s="29">
        <v>4</v>
      </c>
      <c r="AE111" s="30" t="str">
        <f>VLOOKUP(AD111,Key!$E$20:$F$24,2,FALSE)</f>
        <v>750,000-1,000,000</v>
      </c>
      <c r="AF111" s="29">
        <v>1</v>
      </c>
      <c r="AG111" s="34">
        <v>2</v>
      </c>
      <c r="AH111" s="34">
        <v>3</v>
      </c>
      <c r="AI111" s="34">
        <v>2</v>
      </c>
      <c r="AJ111" s="34">
        <v>4</v>
      </c>
      <c r="AK111" s="35" t="s">
        <v>94</v>
      </c>
      <c r="AL111" s="36">
        <v>1000</v>
      </c>
      <c r="AM111" t="str">
        <f t="shared" si="7"/>
        <v>1000-2000</v>
      </c>
    </row>
    <row r="112" spans="1:39" x14ac:dyDescent="0.2">
      <c r="A112" s="44">
        <v>43762</v>
      </c>
      <c r="B112" s="31">
        <v>0.77916666666666667</v>
      </c>
      <c r="C112" s="31"/>
      <c r="D112" s="31" t="s">
        <v>150</v>
      </c>
      <c r="E112" s="33">
        <v>2</v>
      </c>
      <c r="F112" s="38" t="str">
        <f>VLOOKUP(E112,Key!$A$17:$B$21,2,FALSE)</f>
        <v>Road Vehicle</v>
      </c>
      <c r="G112" s="32">
        <v>6</v>
      </c>
      <c r="H112" s="39" t="str">
        <f>VLOOKUP(G112,Key!$A$2:$B$13,2,FALSE)</f>
        <v>Large Bus</v>
      </c>
      <c r="I112" s="33" t="s">
        <v>109</v>
      </c>
      <c r="J112" s="33">
        <v>2</v>
      </c>
      <c r="K112" s="40" t="str">
        <f>VLOOKUP(J112,Key!$A$24:$B$29,2,FALSE)</f>
        <v>30-39</v>
      </c>
      <c r="L112" s="33" t="s">
        <v>151</v>
      </c>
      <c r="M112" s="29" t="s">
        <v>151</v>
      </c>
      <c r="N112" s="33" t="s">
        <v>152</v>
      </c>
      <c r="O112" s="35">
        <v>3</v>
      </c>
      <c r="P112" s="30" t="str">
        <f>VLOOKUP(O112,Key!$E$2:$F$9,2,FALSE)</f>
        <v>Study</v>
      </c>
      <c r="Q112" s="33" t="s">
        <v>154</v>
      </c>
      <c r="R112" s="29" t="s">
        <v>154</v>
      </c>
      <c r="S112" s="33" t="s">
        <v>152</v>
      </c>
      <c r="T112" s="29">
        <v>2</v>
      </c>
      <c r="U112" s="30" t="str">
        <f>VLOOKUP(T112,Key!$E$2:$F$9,2,FALSE)</f>
        <v>Work</v>
      </c>
      <c r="V112" s="30" t="str">
        <f t="shared" si="4"/>
        <v>Study-Work</v>
      </c>
      <c r="W112" s="41">
        <v>8000</v>
      </c>
      <c r="X112" s="34">
        <v>120</v>
      </c>
      <c r="Y112" s="50" t="str">
        <f t="shared" si="5"/>
        <v>100-200</v>
      </c>
      <c r="Z112" s="34">
        <v>2</v>
      </c>
      <c r="AA112" s="50" t="str">
        <f t="shared" si="6"/>
        <v>2.0-3.5</v>
      </c>
      <c r="AB112" s="29">
        <v>6</v>
      </c>
      <c r="AC112" s="30" t="str">
        <f>VLOOKUP(AB112,Key!$C$20:$D$29,2,FALSE)</f>
        <v>Businessman</v>
      </c>
      <c r="AD112" s="29">
        <v>3</v>
      </c>
      <c r="AE112" s="30" t="str">
        <f>VLOOKUP(AD112,Key!$E$20:$F$24,2,FALSE)</f>
        <v>500,000-750,000</v>
      </c>
      <c r="AF112" s="29">
        <v>1</v>
      </c>
      <c r="AG112" s="34">
        <v>2</v>
      </c>
      <c r="AH112" s="34">
        <v>4</v>
      </c>
      <c r="AI112" s="34">
        <v>3</v>
      </c>
      <c r="AJ112" s="34">
        <v>5</v>
      </c>
      <c r="AK112" s="35" t="s">
        <v>94</v>
      </c>
      <c r="AL112" s="36"/>
      <c r="AM112" t="str">
        <f t="shared" si="7"/>
        <v>0-1000</v>
      </c>
    </row>
    <row r="113" spans="1:39" x14ac:dyDescent="0.2">
      <c r="A113" s="44">
        <v>43762</v>
      </c>
      <c r="B113" s="31">
        <v>0.69861111111111107</v>
      </c>
      <c r="C113" s="31"/>
      <c r="D113" s="31" t="s">
        <v>97</v>
      </c>
      <c r="E113" s="33">
        <v>2</v>
      </c>
      <c r="F113" s="38" t="str">
        <f>VLOOKUP(E113,Key!$A$17:$B$21,2,FALSE)</f>
        <v>Road Vehicle</v>
      </c>
      <c r="G113" s="32">
        <v>6</v>
      </c>
      <c r="H113" s="39" t="str">
        <f>VLOOKUP(G113,Key!$A$2:$B$13,2,FALSE)</f>
        <v>Large Bus</v>
      </c>
      <c r="I113" s="33" t="s">
        <v>109</v>
      </c>
      <c r="J113" s="33">
        <v>2</v>
      </c>
      <c r="K113" s="40" t="str">
        <f>VLOOKUP(J113,Key!$A$24:$B$29,2,FALSE)</f>
        <v>30-39</v>
      </c>
      <c r="L113" s="33" t="s">
        <v>151</v>
      </c>
      <c r="M113" s="29" t="s">
        <v>151</v>
      </c>
      <c r="N113" s="33" t="s">
        <v>152</v>
      </c>
      <c r="O113" s="35">
        <v>1</v>
      </c>
      <c r="P113" s="30" t="str">
        <f>VLOOKUP(O113,Key!$E$2:$F$9,2,FALSE)</f>
        <v>Home</v>
      </c>
      <c r="Q113" s="33" t="s">
        <v>160</v>
      </c>
      <c r="R113" s="29" t="s">
        <v>160</v>
      </c>
      <c r="S113" s="33" t="s">
        <v>152</v>
      </c>
      <c r="T113" s="29">
        <v>2</v>
      </c>
      <c r="U113" s="30" t="str">
        <f>VLOOKUP(T113,Key!$E$2:$F$9,2,FALSE)</f>
        <v>Work</v>
      </c>
      <c r="V113" s="30" t="str">
        <f t="shared" si="4"/>
        <v>Home-Work</v>
      </c>
      <c r="W113" s="41">
        <v>650000</v>
      </c>
      <c r="X113" s="34">
        <v>130</v>
      </c>
      <c r="Y113" s="50" t="str">
        <f t="shared" si="5"/>
        <v>100-200</v>
      </c>
      <c r="Z113" s="34">
        <v>2</v>
      </c>
      <c r="AA113" s="50" t="str">
        <f t="shared" si="6"/>
        <v>2.0-3.5</v>
      </c>
      <c r="AB113" s="29">
        <v>10</v>
      </c>
      <c r="AC113" s="30" t="str">
        <f>VLOOKUP(AB113,Key!$C$20:$D$29,2,FALSE)</f>
        <v>Other</v>
      </c>
      <c r="AD113" s="29">
        <v>4</v>
      </c>
      <c r="AE113" s="30" t="str">
        <f>VLOOKUP(AD113,Key!$E$20:$F$24,2,FALSE)</f>
        <v>750,000-1,000,000</v>
      </c>
      <c r="AF113" s="29">
        <v>1</v>
      </c>
      <c r="AG113" s="34">
        <v>3</v>
      </c>
      <c r="AH113" s="34">
        <v>2</v>
      </c>
      <c r="AI113" s="34">
        <v>5</v>
      </c>
      <c r="AJ113" s="34">
        <v>4</v>
      </c>
      <c r="AK113" s="35" t="s">
        <v>94</v>
      </c>
      <c r="AL113" s="36">
        <v>1000</v>
      </c>
      <c r="AM113" t="str">
        <f t="shared" si="7"/>
        <v>1000-2000</v>
      </c>
    </row>
    <row r="114" spans="1:39" x14ac:dyDescent="0.2">
      <c r="A114" s="44">
        <v>43762</v>
      </c>
      <c r="B114" s="31">
        <v>0.52500000000000002</v>
      </c>
      <c r="C114" s="31"/>
      <c r="D114" s="31" t="s">
        <v>97</v>
      </c>
      <c r="E114" s="33">
        <v>2</v>
      </c>
      <c r="F114" s="38" t="str">
        <f>VLOOKUP(E114,Key!$A$17:$B$21,2,FALSE)</f>
        <v>Road Vehicle</v>
      </c>
      <c r="G114" s="32">
        <v>6</v>
      </c>
      <c r="H114" s="39" t="str">
        <f>VLOOKUP(G114,Key!$A$2:$B$13,2,FALSE)</f>
        <v>Large Bus</v>
      </c>
      <c r="I114" s="33" t="s">
        <v>109</v>
      </c>
      <c r="J114" s="33">
        <v>2</v>
      </c>
      <c r="K114" s="40" t="str">
        <f>VLOOKUP(J114,Key!$A$24:$B$29,2,FALSE)</f>
        <v>30-39</v>
      </c>
      <c r="L114" s="33" t="s">
        <v>151</v>
      </c>
      <c r="M114" s="29" t="s">
        <v>151</v>
      </c>
      <c r="N114" s="33" t="s">
        <v>152</v>
      </c>
      <c r="O114" s="35">
        <v>2</v>
      </c>
      <c r="P114" s="30" t="str">
        <f>VLOOKUP(O114,Key!$E$2:$F$9,2,FALSE)</f>
        <v>Work</v>
      </c>
      <c r="Q114" s="33" t="s">
        <v>163</v>
      </c>
      <c r="R114" s="29" t="s">
        <v>163</v>
      </c>
      <c r="S114" s="33" t="s">
        <v>152</v>
      </c>
      <c r="T114" s="29">
        <v>1</v>
      </c>
      <c r="U114" s="30" t="str">
        <f>VLOOKUP(T114,Key!$E$2:$F$9,2,FALSE)</f>
        <v>Home</v>
      </c>
      <c r="V114" s="30" t="str">
        <f t="shared" si="4"/>
        <v>Work-Home</v>
      </c>
      <c r="W114" s="29">
        <v>700000</v>
      </c>
      <c r="X114" s="34">
        <v>390</v>
      </c>
      <c r="Y114" s="50" t="str">
        <f t="shared" si="5"/>
        <v>Over 200</v>
      </c>
      <c r="Z114" s="34">
        <v>8</v>
      </c>
      <c r="AA114" s="50" t="str">
        <f t="shared" si="6"/>
        <v>Over 3.5</v>
      </c>
      <c r="AB114" s="29">
        <v>10</v>
      </c>
      <c r="AC114" s="30" t="str">
        <f>VLOOKUP(AB114,Key!$C$20:$D$29,2,FALSE)</f>
        <v>Other</v>
      </c>
      <c r="AD114" s="29">
        <v>3</v>
      </c>
      <c r="AE114" s="30" t="str">
        <f>VLOOKUP(AD114,Key!$E$20:$F$24,2,FALSE)</f>
        <v>500,000-750,000</v>
      </c>
      <c r="AF114" s="29">
        <v>2</v>
      </c>
      <c r="AG114" s="34">
        <v>5</v>
      </c>
      <c r="AH114" s="34">
        <v>3</v>
      </c>
      <c r="AI114" s="34">
        <v>1</v>
      </c>
      <c r="AJ114" s="34">
        <v>4</v>
      </c>
      <c r="AK114" s="35" t="s">
        <v>94</v>
      </c>
      <c r="AL114" s="36"/>
      <c r="AM114" t="str">
        <f t="shared" si="7"/>
        <v>0-1000</v>
      </c>
    </row>
    <row r="115" spans="1:39" x14ac:dyDescent="0.2">
      <c r="A115" s="44">
        <v>43762</v>
      </c>
      <c r="B115" s="31">
        <v>0.65972222222222221</v>
      </c>
      <c r="C115" s="31"/>
      <c r="D115" s="31" t="s">
        <v>150</v>
      </c>
      <c r="E115" s="33">
        <v>2</v>
      </c>
      <c r="F115" s="38" t="str">
        <f>VLOOKUP(E115,Key!$A$17:$B$21,2,FALSE)</f>
        <v>Road Vehicle</v>
      </c>
      <c r="G115" s="32">
        <v>6</v>
      </c>
      <c r="H115" s="39" t="str">
        <f>VLOOKUP(G115,Key!$A$2:$B$13,2,FALSE)</f>
        <v>Large Bus</v>
      </c>
      <c r="I115" s="33" t="s">
        <v>109</v>
      </c>
      <c r="J115" s="33">
        <v>2</v>
      </c>
      <c r="K115" s="40" t="str">
        <f>VLOOKUP(J115,Key!$A$24:$B$29,2,FALSE)</f>
        <v>30-39</v>
      </c>
      <c r="L115" s="33" t="s">
        <v>151</v>
      </c>
      <c r="M115" s="29" t="s">
        <v>151</v>
      </c>
      <c r="N115" s="33" t="s">
        <v>152</v>
      </c>
      <c r="O115" s="35">
        <v>8</v>
      </c>
      <c r="P115" s="30" t="str">
        <f>VLOOKUP(O115,Key!$E$2:$F$9,2,FALSE)</f>
        <v>Others</v>
      </c>
      <c r="Q115" s="33" t="s">
        <v>153</v>
      </c>
      <c r="R115" s="29" t="s">
        <v>153</v>
      </c>
      <c r="S115" s="33" t="s">
        <v>152</v>
      </c>
      <c r="T115" s="29">
        <v>2</v>
      </c>
      <c r="U115" s="30" t="str">
        <f>VLOOKUP(T115,Key!$E$2:$F$9,2,FALSE)</f>
        <v>Work</v>
      </c>
      <c r="V115" s="30" t="str">
        <f t="shared" si="4"/>
        <v>Others-Work</v>
      </c>
      <c r="W115" s="29">
        <v>13000</v>
      </c>
      <c r="X115" s="34"/>
      <c r="Y115" s="50" t="str">
        <f t="shared" si="5"/>
        <v>0-10</v>
      </c>
      <c r="Z115" s="34">
        <v>3</v>
      </c>
      <c r="AA115" s="50" t="str">
        <f t="shared" si="6"/>
        <v>2.0-3.5</v>
      </c>
      <c r="AB115" s="29">
        <v>5</v>
      </c>
      <c r="AC115" s="30" t="str">
        <f>VLOOKUP(AB115,Key!$C$20:$D$29,2,FALSE)</f>
        <v>Professional</v>
      </c>
      <c r="AD115" s="29">
        <v>3</v>
      </c>
      <c r="AE115" s="30" t="str">
        <f>VLOOKUP(AD115,Key!$E$20:$F$24,2,FALSE)</f>
        <v>500,000-750,000</v>
      </c>
      <c r="AF115" s="29">
        <v>4</v>
      </c>
      <c r="AG115" s="34">
        <v>5</v>
      </c>
      <c r="AH115" s="34">
        <v>1</v>
      </c>
      <c r="AI115" s="34">
        <v>2</v>
      </c>
      <c r="AJ115" s="34">
        <v>3</v>
      </c>
      <c r="AK115" s="35" t="s">
        <v>94</v>
      </c>
      <c r="AL115" s="36">
        <v>2000</v>
      </c>
      <c r="AM115" t="str">
        <f t="shared" si="7"/>
        <v>2000-3000</v>
      </c>
    </row>
    <row r="116" spans="1:39" x14ac:dyDescent="0.2">
      <c r="A116" s="44">
        <v>43763</v>
      </c>
      <c r="B116" s="31">
        <v>0.33888888888888885</v>
      </c>
      <c r="C116" s="31"/>
      <c r="D116" s="31" t="s">
        <v>150</v>
      </c>
      <c r="E116" s="33">
        <v>2</v>
      </c>
      <c r="F116" s="38" t="str">
        <f>VLOOKUP(E116,Key!$A$17:$B$21,2,FALSE)</f>
        <v>Road Vehicle</v>
      </c>
      <c r="G116" s="32">
        <v>6</v>
      </c>
      <c r="H116" s="39" t="str">
        <f>VLOOKUP(G116,Key!$A$2:$B$13,2,FALSE)</f>
        <v>Large Bus</v>
      </c>
      <c r="I116" s="33" t="s">
        <v>109</v>
      </c>
      <c r="J116" s="33">
        <v>2</v>
      </c>
      <c r="K116" s="40" t="str">
        <f>VLOOKUP(J116,Key!$A$24:$B$29,2,FALSE)</f>
        <v>30-39</v>
      </c>
      <c r="L116" s="33" t="s">
        <v>151</v>
      </c>
      <c r="M116" s="29" t="s">
        <v>151</v>
      </c>
      <c r="N116" s="33" t="s">
        <v>152</v>
      </c>
      <c r="O116" s="35">
        <v>1</v>
      </c>
      <c r="P116" s="30" t="str">
        <f>VLOOKUP(O116,Key!$E$2:$F$9,2,FALSE)</f>
        <v>Home</v>
      </c>
      <c r="Q116" s="33" t="s">
        <v>167</v>
      </c>
      <c r="R116" s="29" t="s">
        <v>177</v>
      </c>
      <c r="S116" s="33" t="s">
        <v>152</v>
      </c>
      <c r="T116" s="29">
        <v>2</v>
      </c>
      <c r="U116" s="30" t="str">
        <f>VLOOKUP(T116,Key!$E$2:$F$9,2,FALSE)</f>
        <v>Work</v>
      </c>
      <c r="V116" s="30" t="str">
        <f t="shared" si="4"/>
        <v>Home-Work</v>
      </c>
      <c r="W116" s="29">
        <v>10000</v>
      </c>
      <c r="X116" s="34">
        <v>135</v>
      </c>
      <c r="Y116" s="50" t="str">
        <f t="shared" si="5"/>
        <v>100-200</v>
      </c>
      <c r="Z116" s="34">
        <v>2</v>
      </c>
      <c r="AA116" s="50" t="str">
        <f t="shared" si="6"/>
        <v>2.0-3.5</v>
      </c>
      <c r="AB116" s="29">
        <v>4</v>
      </c>
      <c r="AC116" s="30" t="str">
        <f>VLOOKUP(AB116,Key!$C$20:$D$29,2,FALSE)</f>
        <v>Office Worker</v>
      </c>
      <c r="AD116" s="29">
        <v>4</v>
      </c>
      <c r="AE116" s="30" t="str">
        <f>VLOOKUP(AD116,Key!$E$20:$F$24,2,FALSE)</f>
        <v>750,000-1,000,000</v>
      </c>
      <c r="AF116" s="29">
        <v>2</v>
      </c>
      <c r="AG116" s="34">
        <v>3</v>
      </c>
      <c r="AH116" s="34">
        <v>5</v>
      </c>
      <c r="AI116" s="34">
        <v>4</v>
      </c>
      <c r="AJ116" s="34">
        <v>1</v>
      </c>
      <c r="AK116" s="35" t="s">
        <v>94</v>
      </c>
      <c r="AL116" s="36">
        <v>2000</v>
      </c>
      <c r="AM116" t="str">
        <f t="shared" si="7"/>
        <v>2000-3000</v>
      </c>
    </row>
    <row r="117" spans="1:39" x14ac:dyDescent="0.2">
      <c r="A117" s="44">
        <v>43763</v>
      </c>
      <c r="B117" s="31">
        <v>0.33888888888888885</v>
      </c>
      <c r="C117" s="31"/>
      <c r="D117" s="31" t="s">
        <v>150</v>
      </c>
      <c r="E117" s="33">
        <v>2</v>
      </c>
      <c r="F117" s="38" t="str">
        <f>VLOOKUP(E117,Key!$A$17:$B$21,2,FALSE)</f>
        <v>Road Vehicle</v>
      </c>
      <c r="G117" s="32">
        <v>6</v>
      </c>
      <c r="H117" s="39" t="str">
        <f>VLOOKUP(G117,Key!$A$2:$B$13,2,FALSE)</f>
        <v>Large Bus</v>
      </c>
      <c r="I117" s="33" t="s">
        <v>109</v>
      </c>
      <c r="J117" s="33">
        <v>2</v>
      </c>
      <c r="K117" s="40" t="str">
        <f>VLOOKUP(J117,Key!$A$24:$B$29,2,FALSE)</f>
        <v>30-39</v>
      </c>
      <c r="L117" s="33" t="s">
        <v>151</v>
      </c>
      <c r="M117" s="29" t="s">
        <v>151</v>
      </c>
      <c r="N117" s="33" t="s">
        <v>152</v>
      </c>
      <c r="O117" s="35">
        <v>1</v>
      </c>
      <c r="P117" s="30" t="str">
        <f>VLOOKUP(O117,Key!$E$2:$F$9,2,FALSE)</f>
        <v>Home</v>
      </c>
      <c r="Q117" s="33" t="s">
        <v>167</v>
      </c>
      <c r="R117" s="29" t="s">
        <v>177</v>
      </c>
      <c r="S117" s="33" t="s">
        <v>152</v>
      </c>
      <c r="T117" s="29">
        <v>2</v>
      </c>
      <c r="U117" s="30" t="str">
        <f>VLOOKUP(T117,Key!$E$2:$F$9,2,FALSE)</f>
        <v>Work</v>
      </c>
      <c r="V117" s="30" t="str">
        <f t="shared" si="4"/>
        <v>Home-Work</v>
      </c>
      <c r="W117" s="29">
        <v>10000</v>
      </c>
      <c r="X117" s="34">
        <v>135</v>
      </c>
      <c r="Y117" s="50" t="str">
        <f t="shared" si="5"/>
        <v>100-200</v>
      </c>
      <c r="Z117" s="34">
        <v>2</v>
      </c>
      <c r="AA117" s="50" t="str">
        <f t="shared" si="6"/>
        <v>2.0-3.5</v>
      </c>
      <c r="AB117" s="29">
        <v>6</v>
      </c>
      <c r="AC117" s="30" t="str">
        <f>VLOOKUP(AB117,Key!$C$20:$D$29,2,FALSE)</f>
        <v>Businessman</v>
      </c>
      <c r="AD117" s="29">
        <v>4</v>
      </c>
      <c r="AE117" s="30" t="str">
        <f>VLOOKUP(AD117,Key!$E$20:$F$24,2,FALSE)</f>
        <v>750,000-1,000,000</v>
      </c>
      <c r="AF117" s="29">
        <v>2</v>
      </c>
      <c r="AG117" s="34">
        <v>3</v>
      </c>
      <c r="AH117" s="34">
        <v>4</v>
      </c>
      <c r="AI117" s="34">
        <v>1</v>
      </c>
      <c r="AJ117" s="34">
        <v>5</v>
      </c>
      <c r="AK117" s="35" t="s">
        <v>94</v>
      </c>
      <c r="AL117" s="36">
        <v>1000</v>
      </c>
      <c r="AM117" t="str">
        <f t="shared" si="7"/>
        <v>1000-2000</v>
      </c>
    </row>
    <row r="118" spans="1:39" x14ac:dyDescent="0.2">
      <c r="A118" s="44">
        <v>43763</v>
      </c>
      <c r="B118" s="31">
        <v>0.7583333333333333</v>
      </c>
      <c r="C118" s="31"/>
      <c r="D118" s="31" t="s">
        <v>150</v>
      </c>
      <c r="E118" s="33">
        <v>2</v>
      </c>
      <c r="F118" s="38" t="str">
        <f>VLOOKUP(E118,Key!$A$17:$B$21,2,FALSE)</f>
        <v>Road Vehicle</v>
      </c>
      <c r="G118" s="32">
        <v>6</v>
      </c>
      <c r="H118" s="39" t="str">
        <f>VLOOKUP(G118,Key!$A$2:$B$13,2,FALSE)</f>
        <v>Large Bus</v>
      </c>
      <c r="I118" s="33" t="s">
        <v>109</v>
      </c>
      <c r="J118" s="33">
        <v>2</v>
      </c>
      <c r="K118" s="40" t="str">
        <f>VLOOKUP(J118,Key!$A$24:$B$29,2,FALSE)</f>
        <v>30-39</v>
      </c>
      <c r="L118" s="33" t="s">
        <v>151</v>
      </c>
      <c r="M118" s="29" t="s">
        <v>151</v>
      </c>
      <c r="N118" s="33" t="s">
        <v>152</v>
      </c>
      <c r="O118" s="35">
        <v>2</v>
      </c>
      <c r="P118" s="30" t="str">
        <f>VLOOKUP(O118,Key!$E$2:$F$9,2,FALSE)</f>
        <v>Work</v>
      </c>
      <c r="Q118" s="33" t="s">
        <v>163</v>
      </c>
      <c r="R118" s="29" t="s">
        <v>163</v>
      </c>
      <c r="S118" s="33" t="s">
        <v>152</v>
      </c>
      <c r="T118" s="29">
        <v>1</v>
      </c>
      <c r="U118" s="30" t="str">
        <f>VLOOKUP(T118,Key!$E$2:$F$9,2,FALSE)</f>
        <v>Home</v>
      </c>
      <c r="V118" s="30" t="str">
        <f t="shared" si="4"/>
        <v>Work-Home</v>
      </c>
      <c r="W118" s="29">
        <v>35000</v>
      </c>
      <c r="X118" s="34">
        <v>400</v>
      </c>
      <c r="Y118" s="50" t="str">
        <f t="shared" si="5"/>
        <v>Over 200</v>
      </c>
      <c r="Z118" s="34">
        <v>8</v>
      </c>
      <c r="AA118" s="50" t="str">
        <f t="shared" si="6"/>
        <v>Over 3.5</v>
      </c>
      <c r="AB118" s="29">
        <v>6</v>
      </c>
      <c r="AC118" s="30" t="str">
        <f>VLOOKUP(AB118,Key!$C$20:$D$29,2,FALSE)</f>
        <v>Businessman</v>
      </c>
      <c r="AD118" s="29">
        <v>4</v>
      </c>
      <c r="AE118" s="30" t="str">
        <f>VLOOKUP(AD118,Key!$E$20:$F$24,2,FALSE)</f>
        <v>750,000-1,000,000</v>
      </c>
      <c r="AF118" s="29">
        <v>2</v>
      </c>
      <c r="AG118" s="34">
        <v>1</v>
      </c>
      <c r="AH118" s="34">
        <v>5</v>
      </c>
      <c r="AI118" s="34">
        <v>4</v>
      </c>
      <c r="AJ118" s="34">
        <v>3</v>
      </c>
      <c r="AK118" s="35" t="s">
        <v>94</v>
      </c>
      <c r="AL118" s="36"/>
      <c r="AM118" t="str">
        <f t="shared" si="7"/>
        <v>0-1000</v>
      </c>
    </row>
    <row r="119" spans="1:39" x14ac:dyDescent="0.2">
      <c r="A119" s="44">
        <v>43763</v>
      </c>
      <c r="B119" s="31">
        <v>0.72430555555555554</v>
      </c>
      <c r="C119" s="31"/>
      <c r="D119" s="31" t="s">
        <v>97</v>
      </c>
      <c r="E119" s="33">
        <v>2</v>
      </c>
      <c r="F119" s="38" t="str">
        <f>VLOOKUP(E119,Key!$A$17:$B$21,2,FALSE)</f>
        <v>Road Vehicle</v>
      </c>
      <c r="G119" s="32">
        <v>6</v>
      </c>
      <c r="H119" s="39" t="str">
        <f>VLOOKUP(G119,Key!$A$2:$B$13,2,FALSE)</f>
        <v>Large Bus</v>
      </c>
      <c r="I119" s="33" t="s">
        <v>109</v>
      </c>
      <c r="J119" s="33">
        <v>2</v>
      </c>
      <c r="K119" s="40" t="str">
        <f>VLOOKUP(J119,Key!$A$24:$B$29,2,FALSE)</f>
        <v>30-39</v>
      </c>
      <c r="L119" s="33" t="s">
        <v>151</v>
      </c>
      <c r="M119" s="29" t="s">
        <v>151</v>
      </c>
      <c r="N119" s="33" t="s">
        <v>152</v>
      </c>
      <c r="O119" s="35">
        <v>2</v>
      </c>
      <c r="P119" s="30" t="str">
        <f>VLOOKUP(O119,Key!$E$2:$F$9,2,FALSE)</f>
        <v>Work</v>
      </c>
      <c r="Q119" s="33" t="s">
        <v>163</v>
      </c>
      <c r="R119" s="29" t="s">
        <v>163</v>
      </c>
      <c r="S119" s="33" t="s">
        <v>152</v>
      </c>
      <c r="T119" s="29">
        <v>1</v>
      </c>
      <c r="U119" s="30" t="str">
        <f>VLOOKUP(T119,Key!$E$2:$F$9,2,FALSE)</f>
        <v>Home</v>
      </c>
      <c r="V119" s="30" t="str">
        <f t="shared" si="4"/>
        <v>Work-Home</v>
      </c>
      <c r="W119" s="29">
        <v>750000</v>
      </c>
      <c r="X119" s="34">
        <v>390</v>
      </c>
      <c r="Y119" s="50" t="str">
        <f t="shared" si="5"/>
        <v>Over 200</v>
      </c>
      <c r="Z119" s="34">
        <v>7</v>
      </c>
      <c r="AA119" s="50" t="str">
        <f t="shared" si="6"/>
        <v>Over 3.5</v>
      </c>
      <c r="AB119" s="29">
        <v>10</v>
      </c>
      <c r="AC119" s="30" t="str">
        <f>VLOOKUP(AB119,Key!$C$20:$D$29,2,FALSE)</f>
        <v>Other</v>
      </c>
      <c r="AD119" s="29">
        <v>4</v>
      </c>
      <c r="AE119" s="30" t="str">
        <f>VLOOKUP(AD119,Key!$E$20:$F$24,2,FALSE)</f>
        <v>750,000-1,000,000</v>
      </c>
      <c r="AF119" s="29">
        <v>4</v>
      </c>
      <c r="AG119" s="34">
        <v>1</v>
      </c>
      <c r="AH119" s="34">
        <v>2</v>
      </c>
      <c r="AI119" s="34">
        <v>4</v>
      </c>
      <c r="AJ119" s="34">
        <v>5</v>
      </c>
      <c r="AK119" s="35" t="s">
        <v>94</v>
      </c>
      <c r="AL119" s="36"/>
      <c r="AM119" t="str">
        <f t="shared" si="7"/>
        <v>0-1000</v>
      </c>
    </row>
    <row r="120" spans="1:39" x14ac:dyDescent="0.2">
      <c r="A120" s="44">
        <v>43763</v>
      </c>
      <c r="B120" s="31">
        <v>0.71319444444444446</v>
      </c>
      <c r="C120" s="31"/>
      <c r="D120" s="31" t="s">
        <v>97</v>
      </c>
      <c r="E120" s="33">
        <v>2</v>
      </c>
      <c r="F120" s="38" t="str">
        <f>VLOOKUP(E120,Key!$A$17:$B$21,2,FALSE)</f>
        <v>Road Vehicle</v>
      </c>
      <c r="G120" s="32">
        <v>6</v>
      </c>
      <c r="H120" s="39" t="str">
        <f>VLOOKUP(G120,Key!$A$2:$B$13,2,FALSE)</f>
        <v>Large Bus</v>
      </c>
      <c r="I120" s="33" t="s">
        <v>109</v>
      </c>
      <c r="J120" s="33">
        <v>2</v>
      </c>
      <c r="K120" s="40" t="str">
        <f>VLOOKUP(J120,Key!$A$24:$B$29,2,FALSE)</f>
        <v>30-39</v>
      </c>
      <c r="L120" s="33" t="s">
        <v>151</v>
      </c>
      <c r="M120" s="29" t="s">
        <v>151</v>
      </c>
      <c r="N120" s="33" t="s">
        <v>152</v>
      </c>
      <c r="O120" s="35">
        <v>2</v>
      </c>
      <c r="P120" s="30" t="str">
        <f>VLOOKUP(O120,Key!$E$2:$F$9,2,FALSE)</f>
        <v>Work</v>
      </c>
      <c r="Q120" s="33" t="s">
        <v>157</v>
      </c>
      <c r="R120" s="29" t="s">
        <v>157</v>
      </c>
      <c r="S120" s="33" t="s">
        <v>152</v>
      </c>
      <c r="T120" s="29">
        <v>1</v>
      </c>
      <c r="U120" s="30" t="str">
        <f>VLOOKUP(T120,Key!$E$2:$F$9,2,FALSE)</f>
        <v>Home</v>
      </c>
      <c r="V120" s="30" t="str">
        <f t="shared" si="4"/>
        <v>Work-Home</v>
      </c>
      <c r="W120" s="29">
        <v>15000</v>
      </c>
      <c r="X120" s="34">
        <v>75</v>
      </c>
      <c r="Y120" s="50" t="str">
        <f t="shared" si="5"/>
        <v>70-100</v>
      </c>
      <c r="Z120" s="34">
        <v>1</v>
      </c>
      <c r="AA120" s="50" t="str">
        <f t="shared" si="6"/>
        <v>1.0-2.0</v>
      </c>
      <c r="AB120" s="29">
        <v>4</v>
      </c>
      <c r="AC120" s="30" t="str">
        <f>VLOOKUP(AB120,Key!$C$20:$D$29,2,FALSE)</f>
        <v>Office Worker</v>
      </c>
      <c r="AD120" s="29">
        <v>3</v>
      </c>
      <c r="AE120" s="30" t="str">
        <f>VLOOKUP(AD120,Key!$E$20:$F$24,2,FALSE)</f>
        <v>500,000-750,000</v>
      </c>
      <c r="AF120" s="29">
        <v>2</v>
      </c>
      <c r="AG120" s="34">
        <v>1</v>
      </c>
      <c r="AH120" s="34">
        <v>3</v>
      </c>
      <c r="AI120" s="34">
        <v>4</v>
      </c>
      <c r="AJ120" s="34">
        <v>5</v>
      </c>
      <c r="AK120" s="35" t="s">
        <v>94</v>
      </c>
      <c r="AL120" s="36">
        <v>6000</v>
      </c>
      <c r="AM120" t="str">
        <f t="shared" si="7"/>
        <v>5000-10000</v>
      </c>
    </row>
    <row r="121" spans="1:39" x14ac:dyDescent="0.2">
      <c r="A121" s="44">
        <v>43763</v>
      </c>
      <c r="B121" s="31">
        <v>0.65416666666666667</v>
      </c>
      <c r="C121" s="31"/>
      <c r="D121" s="31" t="s">
        <v>150</v>
      </c>
      <c r="E121" s="33">
        <v>2</v>
      </c>
      <c r="F121" s="38" t="str">
        <f>VLOOKUP(E121,Key!$A$17:$B$21,2,FALSE)</f>
        <v>Road Vehicle</v>
      </c>
      <c r="G121" s="32">
        <v>6</v>
      </c>
      <c r="H121" s="39" t="str">
        <f>VLOOKUP(G121,Key!$A$2:$B$13,2,FALSE)</f>
        <v>Large Bus</v>
      </c>
      <c r="I121" s="33" t="s">
        <v>109</v>
      </c>
      <c r="J121" s="33">
        <v>2</v>
      </c>
      <c r="K121" s="40" t="str">
        <f>VLOOKUP(J121,Key!$A$24:$B$29,2,FALSE)</f>
        <v>30-39</v>
      </c>
      <c r="L121" s="33" t="s">
        <v>151</v>
      </c>
      <c r="M121" s="29" t="s">
        <v>151</v>
      </c>
      <c r="N121" s="33" t="s">
        <v>152</v>
      </c>
      <c r="O121" s="35">
        <v>2</v>
      </c>
      <c r="P121" s="30" t="str">
        <f>VLOOKUP(O121,Key!$E$2:$F$9,2,FALSE)</f>
        <v>Work</v>
      </c>
      <c r="Q121" s="33" t="s">
        <v>153</v>
      </c>
      <c r="R121" s="29" t="s">
        <v>153</v>
      </c>
      <c r="S121" s="33" t="s">
        <v>152</v>
      </c>
      <c r="T121" s="29">
        <v>1</v>
      </c>
      <c r="U121" s="30" t="str">
        <f>VLOOKUP(T121,Key!$E$2:$F$9,2,FALSE)</f>
        <v>Home</v>
      </c>
      <c r="V121" s="30" t="str">
        <f t="shared" si="4"/>
        <v>Work-Home</v>
      </c>
      <c r="W121" s="29">
        <v>130000</v>
      </c>
      <c r="X121" s="34">
        <v>200</v>
      </c>
      <c r="Y121" s="50" t="str">
        <f t="shared" si="5"/>
        <v>Over 200</v>
      </c>
      <c r="Z121" s="34">
        <v>4</v>
      </c>
      <c r="AA121" s="50" t="str">
        <f t="shared" si="6"/>
        <v>Over 3.5</v>
      </c>
      <c r="AB121" s="29">
        <v>4</v>
      </c>
      <c r="AC121" s="30" t="str">
        <f>VLOOKUP(AB121,Key!$C$20:$D$29,2,FALSE)</f>
        <v>Office Worker</v>
      </c>
      <c r="AD121" s="29">
        <v>3</v>
      </c>
      <c r="AE121" s="30" t="str">
        <f>VLOOKUP(AD121,Key!$E$20:$F$24,2,FALSE)</f>
        <v>500,000-750,000</v>
      </c>
      <c r="AF121" s="29">
        <v>2</v>
      </c>
      <c r="AG121" s="34">
        <v>1</v>
      </c>
      <c r="AH121" s="34"/>
      <c r="AI121" s="34">
        <v>5</v>
      </c>
      <c r="AJ121" s="34">
        <v>4</v>
      </c>
      <c r="AK121" s="35" t="s">
        <v>94</v>
      </c>
      <c r="AL121" s="36">
        <v>3000</v>
      </c>
      <c r="AM121" t="str">
        <f t="shared" si="7"/>
        <v>3000-5000</v>
      </c>
    </row>
    <row r="122" spans="1:39" x14ac:dyDescent="0.2">
      <c r="A122" s="44">
        <v>43763</v>
      </c>
      <c r="B122" s="31">
        <v>0.54166666666666663</v>
      </c>
      <c r="C122" s="31"/>
      <c r="D122" s="31" t="s">
        <v>97</v>
      </c>
      <c r="E122" s="33">
        <v>2</v>
      </c>
      <c r="F122" s="38" t="str">
        <f>VLOOKUP(E122,Key!$A$17:$B$21,2,FALSE)</f>
        <v>Road Vehicle</v>
      </c>
      <c r="G122" s="32">
        <v>6</v>
      </c>
      <c r="H122" s="39" t="str">
        <f>VLOOKUP(G122,Key!$A$2:$B$13,2,FALSE)</f>
        <v>Large Bus</v>
      </c>
      <c r="I122" s="33" t="s">
        <v>109</v>
      </c>
      <c r="J122" s="33">
        <v>2</v>
      </c>
      <c r="K122" s="40" t="str">
        <f>VLOOKUP(J122,Key!$A$24:$B$29,2,FALSE)</f>
        <v>30-39</v>
      </c>
      <c r="L122" s="33" t="s">
        <v>151</v>
      </c>
      <c r="M122" s="29" t="s">
        <v>151</v>
      </c>
      <c r="N122" s="33" t="s">
        <v>152</v>
      </c>
      <c r="O122" s="35">
        <v>2</v>
      </c>
      <c r="P122" s="30" t="str">
        <f>VLOOKUP(O122,Key!$E$2:$F$9,2,FALSE)</f>
        <v>Work</v>
      </c>
      <c r="Q122" s="33" t="s">
        <v>153</v>
      </c>
      <c r="R122" s="29" t="s">
        <v>153</v>
      </c>
      <c r="S122" s="33" t="s">
        <v>152</v>
      </c>
      <c r="T122" s="29">
        <v>1</v>
      </c>
      <c r="U122" s="30" t="str">
        <f>VLOOKUP(T122,Key!$E$2:$F$9,2,FALSE)</f>
        <v>Home</v>
      </c>
      <c r="V122" s="30" t="str">
        <f t="shared" si="4"/>
        <v>Work-Home</v>
      </c>
      <c r="W122" s="29">
        <v>150000</v>
      </c>
      <c r="X122" s="34">
        <v>230</v>
      </c>
      <c r="Y122" s="50" t="str">
        <f t="shared" si="5"/>
        <v>Over 200</v>
      </c>
      <c r="Z122" s="34">
        <v>5</v>
      </c>
      <c r="AA122" s="50" t="str">
        <f t="shared" si="6"/>
        <v>Over 3.5</v>
      </c>
      <c r="AB122" s="29">
        <v>8</v>
      </c>
      <c r="AC122" s="30" t="str">
        <f>VLOOKUP(AB122,Key!$C$20:$D$29,2,FALSE)</f>
        <v>Student</v>
      </c>
      <c r="AD122" s="29">
        <v>1</v>
      </c>
      <c r="AE122" s="30" t="str">
        <f>VLOOKUP(AD122,Key!$E$20:$F$24,2,FALSE)</f>
        <v>&lt;300,000</v>
      </c>
      <c r="AF122" s="29">
        <v>1</v>
      </c>
      <c r="AG122" s="34">
        <v>2</v>
      </c>
      <c r="AH122" s="34">
        <v>3</v>
      </c>
      <c r="AI122" s="34">
        <v>4</v>
      </c>
      <c r="AJ122" s="34">
        <v>5</v>
      </c>
      <c r="AK122" s="35" t="s">
        <v>94</v>
      </c>
      <c r="AL122" s="36">
        <v>500</v>
      </c>
      <c r="AM122" t="str">
        <f t="shared" si="7"/>
        <v>0-1000</v>
      </c>
    </row>
    <row r="123" spans="1:39" x14ac:dyDescent="0.2">
      <c r="A123" s="44">
        <v>43763</v>
      </c>
      <c r="B123" s="31">
        <v>0.52361111111111114</v>
      </c>
      <c r="C123" s="31"/>
      <c r="D123" s="31" t="s">
        <v>150</v>
      </c>
      <c r="E123" s="33">
        <v>2</v>
      </c>
      <c r="F123" s="38" t="str">
        <f>VLOOKUP(E123,Key!$A$17:$B$21,2,FALSE)</f>
        <v>Road Vehicle</v>
      </c>
      <c r="G123" s="32">
        <v>6</v>
      </c>
      <c r="H123" s="39" t="str">
        <f>VLOOKUP(G123,Key!$A$2:$B$13,2,FALSE)</f>
        <v>Large Bus</v>
      </c>
      <c r="I123" s="33" t="s">
        <v>109</v>
      </c>
      <c r="J123" s="33">
        <v>2</v>
      </c>
      <c r="K123" s="40" t="str">
        <f>VLOOKUP(J123,Key!$A$24:$B$29,2,FALSE)</f>
        <v>30-39</v>
      </c>
      <c r="L123" s="33" t="s">
        <v>151</v>
      </c>
      <c r="M123" s="29" t="s">
        <v>151</v>
      </c>
      <c r="N123" s="33" t="s">
        <v>152</v>
      </c>
      <c r="O123" s="35">
        <v>6</v>
      </c>
      <c r="P123" s="30" t="str">
        <f>VLOOKUP(O123,Key!$E$2:$F$9,2,FALSE)</f>
        <v>Leisure/Social</v>
      </c>
      <c r="Q123" s="33" t="s">
        <v>153</v>
      </c>
      <c r="R123" s="29" t="s">
        <v>153</v>
      </c>
      <c r="S123" s="33" t="s">
        <v>152</v>
      </c>
      <c r="T123" s="29">
        <v>1</v>
      </c>
      <c r="U123" s="30" t="str">
        <f>VLOOKUP(T123,Key!$E$2:$F$9,2,FALSE)</f>
        <v>Home</v>
      </c>
      <c r="V123" s="30" t="str">
        <f t="shared" si="4"/>
        <v>Leisure/Social-Home</v>
      </c>
      <c r="W123" s="29">
        <v>120000</v>
      </c>
      <c r="X123" s="34">
        <v>195</v>
      </c>
      <c r="Y123" s="50" t="str">
        <f t="shared" si="5"/>
        <v>100-200</v>
      </c>
      <c r="Z123" s="34">
        <v>4</v>
      </c>
      <c r="AA123" s="50" t="str">
        <f t="shared" si="6"/>
        <v>Over 3.5</v>
      </c>
      <c r="AB123" s="29">
        <v>8</v>
      </c>
      <c r="AC123" s="30" t="str">
        <f>VLOOKUP(AB123,Key!$C$20:$D$29,2,FALSE)</f>
        <v>Student</v>
      </c>
      <c r="AD123" s="29">
        <v>1</v>
      </c>
      <c r="AE123" s="30" t="str">
        <f>VLOOKUP(AD123,Key!$E$20:$F$24,2,FALSE)</f>
        <v>&lt;300,000</v>
      </c>
      <c r="AF123" s="29">
        <v>2</v>
      </c>
      <c r="AG123" s="34">
        <v>1</v>
      </c>
      <c r="AH123" s="34">
        <v>5</v>
      </c>
      <c r="AI123" s="34">
        <v>4</v>
      </c>
      <c r="AJ123" s="34">
        <v>3</v>
      </c>
      <c r="AK123" s="35" t="s">
        <v>94</v>
      </c>
      <c r="AL123" s="36">
        <v>1000</v>
      </c>
      <c r="AM123" t="str">
        <f t="shared" si="7"/>
        <v>1000-2000</v>
      </c>
    </row>
    <row r="124" spans="1:39" x14ac:dyDescent="0.2">
      <c r="A124" s="44">
        <v>43763</v>
      </c>
      <c r="B124" s="31">
        <v>0.51527777777777783</v>
      </c>
      <c r="C124" s="31"/>
      <c r="D124" s="31" t="s">
        <v>150</v>
      </c>
      <c r="E124" s="33">
        <v>2</v>
      </c>
      <c r="F124" s="38" t="str">
        <f>VLOOKUP(E124,Key!$A$17:$B$21,2,FALSE)</f>
        <v>Road Vehicle</v>
      </c>
      <c r="G124" s="32">
        <v>6</v>
      </c>
      <c r="H124" s="39" t="str">
        <f>VLOOKUP(G124,Key!$A$2:$B$13,2,FALSE)</f>
        <v>Large Bus</v>
      </c>
      <c r="I124" s="33" t="s">
        <v>109</v>
      </c>
      <c r="J124" s="33">
        <v>2</v>
      </c>
      <c r="K124" s="40" t="str">
        <f>VLOOKUP(J124,Key!$A$24:$B$29,2,FALSE)</f>
        <v>30-39</v>
      </c>
      <c r="L124" s="33" t="s">
        <v>151</v>
      </c>
      <c r="M124" s="29" t="s">
        <v>151</v>
      </c>
      <c r="N124" s="33" t="s">
        <v>152</v>
      </c>
      <c r="O124" s="35">
        <v>1</v>
      </c>
      <c r="P124" s="30" t="str">
        <f>VLOOKUP(O124,Key!$E$2:$F$9,2,FALSE)</f>
        <v>Home</v>
      </c>
      <c r="Q124" s="33" t="s">
        <v>194</v>
      </c>
      <c r="R124" s="29" t="s">
        <v>151</v>
      </c>
      <c r="S124" s="33" t="s">
        <v>152</v>
      </c>
      <c r="T124" s="29">
        <v>2</v>
      </c>
      <c r="U124" s="30" t="str">
        <f>VLOOKUP(T124,Key!$E$2:$F$9,2,FALSE)</f>
        <v>Work</v>
      </c>
      <c r="V124" s="30" t="str">
        <f t="shared" si="4"/>
        <v>Home-Work</v>
      </c>
      <c r="W124" s="29">
        <v>5000</v>
      </c>
      <c r="X124" s="34">
        <v>70</v>
      </c>
      <c r="Y124" s="50" t="str">
        <f t="shared" si="5"/>
        <v>70-100</v>
      </c>
      <c r="Z124" s="34">
        <v>1</v>
      </c>
      <c r="AA124" s="50" t="str">
        <f t="shared" si="6"/>
        <v>1.0-2.0</v>
      </c>
      <c r="AB124" s="29">
        <v>4</v>
      </c>
      <c r="AC124" s="30" t="str">
        <f>VLOOKUP(AB124,Key!$C$20:$D$29,2,FALSE)</f>
        <v>Office Worker</v>
      </c>
      <c r="AD124" s="29">
        <v>4</v>
      </c>
      <c r="AE124" s="30" t="str">
        <f>VLOOKUP(AD124,Key!$E$20:$F$24,2,FALSE)</f>
        <v>750,000-1,000,000</v>
      </c>
      <c r="AF124" s="29">
        <v>2</v>
      </c>
      <c r="AG124" s="34">
        <v>33</v>
      </c>
      <c r="AH124" s="34">
        <v>1</v>
      </c>
      <c r="AI124" s="34">
        <v>4</v>
      </c>
      <c r="AJ124" s="34">
        <v>5</v>
      </c>
      <c r="AK124" s="35" t="s">
        <v>94</v>
      </c>
      <c r="AL124" s="36">
        <v>5000</v>
      </c>
      <c r="AM124" t="str">
        <f t="shared" si="7"/>
        <v>5000-10000</v>
      </c>
    </row>
    <row r="125" spans="1:39" x14ac:dyDescent="0.2">
      <c r="A125" s="44">
        <v>43763</v>
      </c>
      <c r="B125" s="31">
        <v>0.50347222222222221</v>
      </c>
      <c r="C125" s="31"/>
      <c r="D125" s="31" t="s">
        <v>150</v>
      </c>
      <c r="E125" s="33">
        <v>2</v>
      </c>
      <c r="F125" s="38" t="str">
        <f>VLOOKUP(E125,Key!$A$17:$B$21,2,FALSE)</f>
        <v>Road Vehicle</v>
      </c>
      <c r="G125" s="32">
        <v>6</v>
      </c>
      <c r="H125" s="39" t="str">
        <f>VLOOKUP(G125,Key!$A$2:$B$13,2,FALSE)</f>
        <v>Large Bus</v>
      </c>
      <c r="I125" s="33" t="s">
        <v>109</v>
      </c>
      <c r="J125" s="33">
        <v>2</v>
      </c>
      <c r="K125" s="40" t="str">
        <f>VLOOKUP(J125,Key!$A$24:$B$29,2,FALSE)</f>
        <v>30-39</v>
      </c>
      <c r="L125" s="33" t="s">
        <v>151</v>
      </c>
      <c r="M125" s="29" t="s">
        <v>151</v>
      </c>
      <c r="N125" s="33" t="s">
        <v>152</v>
      </c>
      <c r="O125" s="35">
        <v>4</v>
      </c>
      <c r="P125" s="30" t="str">
        <f>VLOOKUP(O125,Key!$E$2:$F$9,2,FALSE)</f>
        <v>Commercial</v>
      </c>
      <c r="Q125" s="33" t="s">
        <v>165</v>
      </c>
      <c r="R125" s="29" t="s">
        <v>165</v>
      </c>
      <c r="S125" s="33" t="s">
        <v>152</v>
      </c>
      <c r="T125" s="29">
        <v>1</v>
      </c>
      <c r="U125" s="30" t="str">
        <f>VLOOKUP(T125,Key!$E$2:$F$9,2,FALSE)</f>
        <v>Home</v>
      </c>
      <c r="V125" s="30" t="str">
        <f t="shared" si="4"/>
        <v>Commercial-Home</v>
      </c>
      <c r="W125" s="29">
        <v>15000</v>
      </c>
      <c r="X125" s="34">
        <v>120</v>
      </c>
      <c r="Y125" s="50" t="str">
        <f t="shared" si="5"/>
        <v>100-200</v>
      </c>
      <c r="Z125" s="34">
        <v>2</v>
      </c>
      <c r="AA125" s="50" t="str">
        <f t="shared" si="6"/>
        <v>2.0-3.5</v>
      </c>
      <c r="AB125" s="29">
        <v>6</v>
      </c>
      <c r="AC125" s="30" t="str">
        <f>VLOOKUP(AB125,Key!$C$20:$D$29,2,FALSE)</f>
        <v>Businessman</v>
      </c>
      <c r="AD125" s="29">
        <v>4</v>
      </c>
      <c r="AE125" s="30" t="str">
        <f>VLOOKUP(AD125,Key!$E$20:$F$24,2,FALSE)</f>
        <v>750,000-1,000,000</v>
      </c>
      <c r="AF125" s="29">
        <v>5</v>
      </c>
      <c r="AG125" s="34">
        <v>21</v>
      </c>
      <c r="AH125" s="34">
        <v>2</v>
      </c>
      <c r="AI125" s="34">
        <v>3</v>
      </c>
      <c r="AJ125" s="34">
        <v>4</v>
      </c>
      <c r="AK125" s="35" t="s">
        <v>94</v>
      </c>
      <c r="AL125" s="36">
        <v>1000</v>
      </c>
      <c r="AM125" t="str">
        <f t="shared" si="7"/>
        <v>1000-2000</v>
      </c>
    </row>
    <row r="126" spans="1:39" x14ac:dyDescent="0.2">
      <c r="A126" s="44">
        <v>43763</v>
      </c>
      <c r="B126" s="31">
        <v>0.7944444444444444</v>
      </c>
      <c r="C126" s="31"/>
      <c r="D126" s="31" t="s">
        <v>150</v>
      </c>
      <c r="E126" s="33">
        <v>2</v>
      </c>
      <c r="F126" s="38" t="str">
        <f>VLOOKUP(E126,Key!$A$17:$B$21,2,FALSE)</f>
        <v>Road Vehicle</v>
      </c>
      <c r="G126" s="32">
        <v>6</v>
      </c>
      <c r="H126" s="39" t="str">
        <f>VLOOKUP(G126,Key!$A$2:$B$13,2,FALSE)</f>
        <v>Large Bus</v>
      </c>
      <c r="I126" s="33" t="s">
        <v>109</v>
      </c>
      <c r="J126" s="33">
        <v>2</v>
      </c>
      <c r="K126" s="40" t="str">
        <f>VLOOKUP(J126,Key!$A$24:$B$29,2,FALSE)</f>
        <v>30-39</v>
      </c>
      <c r="L126" s="33" t="s">
        <v>151</v>
      </c>
      <c r="M126" s="29" t="s">
        <v>151</v>
      </c>
      <c r="N126" s="33" t="s">
        <v>152</v>
      </c>
      <c r="O126" s="35">
        <v>1</v>
      </c>
      <c r="P126" s="30" t="str">
        <f>VLOOKUP(O126,Key!$E$2:$F$9,2,FALSE)</f>
        <v>Home</v>
      </c>
      <c r="Q126" s="33" t="s">
        <v>154</v>
      </c>
      <c r="R126" s="29" t="s">
        <v>157</v>
      </c>
      <c r="S126" s="33" t="s">
        <v>152</v>
      </c>
      <c r="T126" s="29">
        <v>2</v>
      </c>
      <c r="U126" s="30" t="str">
        <f>VLOOKUP(T126,Key!$E$2:$F$9,2,FALSE)</f>
        <v>Work</v>
      </c>
      <c r="V126" s="30" t="str">
        <f t="shared" si="4"/>
        <v>Home-Work</v>
      </c>
      <c r="W126" s="29">
        <v>150000</v>
      </c>
      <c r="X126" s="34">
        <v>150</v>
      </c>
      <c r="Y126" s="50" t="str">
        <f t="shared" si="5"/>
        <v>100-200</v>
      </c>
      <c r="Z126" s="34">
        <v>2</v>
      </c>
      <c r="AA126" s="50" t="str">
        <f t="shared" si="6"/>
        <v>2.0-3.5</v>
      </c>
      <c r="AB126" s="29">
        <v>2</v>
      </c>
      <c r="AC126" s="30" t="str">
        <f>VLOOKUP(AB126,Key!$C$20:$D$29,2,FALSE)</f>
        <v>Manual Labour</v>
      </c>
      <c r="AD126" s="29">
        <v>1</v>
      </c>
      <c r="AE126" s="30" t="str">
        <f>VLOOKUP(AD126,Key!$E$20:$F$24,2,FALSE)</f>
        <v>&lt;300,000</v>
      </c>
      <c r="AF126" s="29">
        <v>5</v>
      </c>
      <c r="AG126" s="34">
        <v>4</v>
      </c>
      <c r="AH126" s="34">
        <v>1</v>
      </c>
      <c r="AI126" s="34">
        <v>2</v>
      </c>
      <c r="AJ126" s="34">
        <v>3</v>
      </c>
      <c r="AK126" s="35" t="s">
        <v>94</v>
      </c>
      <c r="AL126" s="36">
        <v>2000</v>
      </c>
      <c r="AM126" t="str">
        <f t="shared" si="7"/>
        <v>2000-3000</v>
      </c>
    </row>
    <row r="127" spans="1:39" x14ac:dyDescent="0.2">
      <c r="A127" s="44">
        <v>43763</v>
      </c>
      <c r="B127" s="31">
        <v>0.4826388888888889</v>
      </c>
      <c r="C127" s="31"/>
      <c r="D127" s="31" t="s">
        <v>97</v>
      </c>
      <c r="E127" s="33">
        <v>2</v>
      </c>
      <c r="F127" s="38" t="str">
        <f>VLOOKUP(E127,Key!$A$17:$B$21,2,FALSE)</f>
        <v>Road Vehicle</v>
      </c>
      <c r="G127" s="32">
        <v>6</v>
      </c>
      <c r="H127" s="39" t="str">
        <f>VLOOKUP(G127,Key!$A$2:$B$13,2,FALSE)</f>
        <v>Large Bus</v>
      </c>
      <c r="I127" s="33" t="s">
        <v>109</v>
      </c>
      <c r="J127" s="33">
        <v>2</v>
      </c>
      <c r="K127" s="40" t="str">
        <f>VLOOKUP(J127,Key!$A$24:$B$29,2,FALSE)</f>
        <v>30-39</v>
      </c>
      <c r="L127" s="33" t="s">
        <v>151</v>
      </c>
      <c r="M127" s="29" t="s">
        <v>151</v>
      </c>
      <c r="N127" s="33" t="s">
        <v>152</v>
      </c>
      <c r="O127" s="35">
        <v>2</v>
      </c>
      <c r="P127" s="30" t="str">
        <f>VLOOKUP(O127,Key!$E$2:$F$9,2,FALSE)</f>
        <v>Work</v>
      </c>
      <c r="Q127" s="33" t="s">
        <v>153</v>
      </c>
      <c r="R127" s="29" t="s">
        <v>153</v>
      </c>
      <c r="S127" s="33" t="s">
        <v>152</v>
      </c>
      <c r="T127" s="29">
        <v>1</v>
      </c>
      <c r="U127" s="30" t="str">
        <f>VLOOKUP(T127,Key!$E$2:$F$9,2,FALSE)</f>
        <v>Home</v>
      </c>
      <c r="V127" s="30" t="str">
        <f t="shared" si="4"/>
        <v>Work-Home</v>
      </c>
      <c r="W127" s="29">
        <v>650000</v>
      </c>
      <c r="X127" s="34">
        <v>190</v>
      </c>
      <c r="Y127" s="50" t="str">
        <f t="shared" si="5"/>
        <v>100-200</v>
      </c>
      <c r="Z127" s="34">
        <v>4</v>
      </c>
      <c r="AA127" s="50" t="str">
        <f t="shared" si="6"/>
        <v>Over 3.5</v>
      </c>
      <c r="AB127" s="29">
        <v>10</v>
      </c>
      <c r="AC127" s="30" t="str">
        <f>VLOOKUP(AB127,Key!$C$20:$D$29,2,FALSE)</f>
        <v>Other</v>
      </c>
      <c r="AD127" s="29">
        <v>4</v>
      </c>
      <c r="AE127" s="30" t="str">
        <f>VLOOKUP(AD127,Key!$E$20:$F$24,2,FALSE)</f>
        <v>750,000-1,000,000</v>
      </c>
      <c r="AF127" s="29">
        <v>3</v>
      </c>
      <c r="AG127" s="34">
        <v>1</v>
      </c>
      <c r="AH127" s="34">
        <v>2</v>
      </c>
      <c r="AI127" s="34">
        <v>5</v>
      </c>
      <c r="AJ127" s="34">
        <v>4</v>
      </c>
      <c r="AK127" s="35" t="s">
        <v>94</v>
      </c>
      <c r="AL127" s="36">
        <v>3000</v>
      </c>
      <c r="AM127" t="str">
        <f t="shared" si="7"/>
        <v>3000-5000</v>
      </c>
    </row>
    <row r="128" spans="1:39" x14ac:dyDescent="0.2">
      <c r="A128" s="44">
        <v>43762</v>
      </c>
      <c r="B128" s="31">
        <v>0.71944444444444444</v>
      </c>
      <c r="C128" s="31"/>
      <c r="D128" s="31" t="s">
        <v>150</v>
      </c>
      <c r="E128" s="33">
        <v>2</v>
      </c>
      <c r="F128" s="38" t="str">
        <f>VLOOKUP(E128,Key!$A$17:$B$21,2,FALSE)</f>
        <v>Road Vehicle</v>
      </c>
      <c r="G128" s="32">
        <v>4</v>
      </c>
      <c r="H128" s="39" t="str">
        <f>VLOOKUP(G128,Key!$A$2:$B$13,2,FALSE)</f>
        <v>Minibus</v>
      </c>
      <c r="I128" s="33" t="s">
        <v>156</v>
      </c>
      <c r="J128" s="33">
        <v>2</v>
      </c>
      <c r="K128" s="40" t="str">
        <f>VLOOKUP(J128,Key!$A$24:$B$29,2,FALSE)</f>
        <v>30-39</v>
      </c>
      <c r="L128" s="33" t="s">
        <v>151</v>
      </c>
      <c r="M128" s="29" t="s">
        <v>151</v>
      </c>
      <c r="N128" s="33" t="s">
        <v>152</v>
      </c>
      <c r="O128" s="35">
        <v>2</v>
      </c>
      <c r="P128" s="30" t="str">
        <f>VLOOKUP(O128,Key!$E$2:$F$9,2,FALSE)</f>
        <v>Work</v>
      </c>
      <c r="Q128" s="33" t="s">
        <v>159</v>
      </c>
      <c r="R128" s="29" t="s">
        <v>151</v>
      </c>
      <c r="S128" s="33" t="s">
        <v>152</v>
      </c>
      <c r="T128" s="29">
        <v>6</v>
      </c>
      <c r="U128" s="30" t="str">
        <f>VLOOKUP(T128,Key!$E$2:$F$9,2,FALSE)</f>
        <v>Leisure/Social</v>
      </c>
      <c r="V128" s="30" t="str">
        <f t="shared" si="4"/>
        <v>Work-Leisure/Social</v>
      </c>
      <c r="W128" s="41">
        <v>6000</v>
      </c>
      <c r="X128" s="34">
        <v>30</v>
      </c>
      <c r="Y128" s="50" t="str">
        <f t="shared" si="5"/>
        <v>20-40</v>
      </c>
      <c r="Z128" s="34">
        <v>35</v>
      </c>
      <c r="AA128" s="50" t="str">
        <f t="shared" si="6"/>
        <v>Over 3.5</v>
      </c>
      <c r="AB128" s="29">
        <v>1</v>
      </c>
      <c r="AC128" s="30" t="str">
        <f>VLOOKUP(AB128,Key!$C$20:$D$29,2,FALSE)</f>
        <v>Unemployed</v>
      </c>
      <c r="AD128" s="29">
        <v>1</v>
      </c>
      <c r="AE128" s="30" t="str">
        <f>VLOOKUP(AD128,Key!$E$20:$F$24,2,FALSE)</f>
        <v>&lt;300,000</v>
      </c>
      <c r="AF128" s="29">
        <v>1</v>
      </c>
      <c r="AG128" s="34">
        <v>3</v>
      </c>
      <c r="AH128" s="34">
        <v>2</v>
      </c>
      <c r="AI128" s="34">
        <v>5</v>
      </c>
      <c r="AJ128" s="34">
        <v>4</v>
      </c>
      <c r="AK128" s="35" t="s">
        <v>94</v>
      </c>
      <c r="AL128" s="36">
        <v>500</v>
      </c>
      <c r="AM128" t="str">
        <f t="shared" si="7"/>
        <v>0-1000</v>
      </c>
    </row>
    <row r="129" spans="1:46" x14ac:dyDescent="0.2">
      <c r="A129" s="44">
        <v>43762</v>
      </c>
      <c r="B129" s="31">
        <v>0.71388888888888891</v>
      </c>
      <c r="C129" s="31"/>
      <c r="D129" s="31" t="s">
        <v>150</v>
      </c>
      <c r="E129" s="33">
        <v>2</v>
      </c>
      <c r="F129" s="38" t="str">
        <f>VLOOKUP(E129,Key!$A$17:$B$21,2,FALSE)</f>
        <v>Road Vehicle</v>
      </c>
      <c r="G129" s="32">
        <v>4</v>
      </c>
      <c r="H129" s="39" t="str">
        <f>VLOOKUP(G129,Key!$A$2:$B$13,2,FALSE)</f>
        <v>Minibus</v>
      </c>
      <c r="I129" s="33" t="s">
        <v>156</v>
      </c>
      <c r="J129" s="33">
        <v>2</v>
      </c>
      <c r="K129" s="40" t="str">
        <f>VLOOKUP(J129,Key!$A$24:$B$29,2,FALSE)</f>
        <v>30-39</v>
      </c>
      <c r="L129" s="33" t="s">
        <v>151</v>
      </c>
      <c r="M129" s="29" t="s">
        <v>151</v>
      </c>
      <c r="N129" s="33" t="s">
        <v>152</v>
      </c>
      <c r="O129" s="35">
        <v>2</v>
      </c>
      <c r="P129" s="30" t="str">
        <f>VLOOKUP(O129,Key!$E$2:$F$9,2,FALSE)</f>
        <v>Work</v>
      </c>
      <c r="Q129" s="33" t="s">
        <v>153</v>
      </c>
      <c r="R129" s="29" t="s">
        <v>153</v>
      </c>
      <c r="S129" s="33" t="s">
        <v>152</v>
      </c>
      <c r="T129" s="29">
        <v>4</v>
      </c>
      <c r="U129" s="30" t="str">
        <f>VLOOKUP(T129,Key!$E$2:$F$9,2,FALSE)</f>
        <v>Commercial</v>
      </c>
      <c r="V129" s="30" t="str">
        <f t="shared" si="4"/>
        <v>Work-Commercial</v>
      </c>
      <c r="W129" s="41">
        <v>15000</v>
      </c>
      <c r="X129" s="34">
        <v>185</v>
      </c>
      <c r="Y129" s="50" t="str">
        <f t="shared" si="5"/>
        <v>100-200</v>
      </c>
      <c r="Z129" s="34">
        <v>4</v>
      </c>
      <c r="AA129" s="50" t="str">
        <f t="shared" si="6"/>
        <v>Over 3.5</v>
      </c>
      <c r="AB129" s="29">
        <v>5</v>
      </c>
      <c r="AC129" s="30" t="str">
        <f>VLOOKUP(AB129,Key!$C$20:$D$29,2,FALSE)</f>
        <v>Professional</v>
      </c>
      <c r="AD129" s="29">
        <v>3</v>
      </c>
      <c r="AE129" s="30" t="str">
        <f>VLOOKUP(AD129,Key!$E$20:$F$24,2,FALSE)</f>
        <v>500,000-750,000</v>
      </c>
      <c r="AF129" s="29">
        <v>2</v>
      </c>
      <c r="AG129" s="34">
        <v>1</v>
      </c>
      <c r="AH129" s="34">
        <v>5</v>
      </c>
      <c r="AI129" s="34">
        <v>4</v>
      </c>
      <c r="AJ129" s="34">
        <v>3</v>
      </c>
      <c r="AK129" s="35" t="s">
        <v>94</v>
      </c>
      <c r="AL129" s="36">
        <v>2000</v>
      </c>
      <c r="AM129" t="str">
        <f t="shared" si="7"/>
        <v>2000-3000</v>
      </c>
    </row>
    <row r="130" spans="1:46" x14ac:dyDescent="0.2">
      <c r="A130" s="44">
        <v>43762</v>
      </c>
      <c r="B130" s="31">
        <v>0.64722222222222225</v>
      </c>
      <c r="C130" s="31"/>
      <c r="D130" s="31" t="s">
        <v>150</v>
      </c>
      <c r="E130" s="33">
        <v>2</v>
      </c>
      <c r="F130" s="38" t="str">
        <f>VLOOKUP(E130,Key!$A$17:$B$21,2,FALSE)</f>
        <v>Road Vehicle</v>
      </c>
      <c r="G130" s="32">
        <v>4</v>
      </c>
      <c r="H130" s="39" t="str">
        <f>VLOOKUP(G130,Key!$A$2:$B$13,2,FALSE)</f>
        <v>Minibus</v>
      </c>
      <c r="I130" s="33" t="s">
        <v>156</v>
      </c>
      <c r="J130" s="33">
        <v>2</v>
      </c>
      <c r="K130" s="40" t="str">
        <f>VLOOKUP(J130,Key!$A$24:$B$29,2,FALSE)</f>
        <v>30-39</v>
      </c>
      <c r="L130" s="33" t="s">
        <v>151</v>
      </c>
      <c r="M130" s="29" t="s">
        <v>151</v>
      </c>
      <c r="N130" s="33" t="s">
        <v>152</v>
      </c>
      <c r="O130" s="35">
        <v>2</v>
      </c>
      <c r="P130" s="30" t="str">
        <f>VLOOKUP(O130,Key!$E$2:$F$9,2,FALSE)</f>
        <v>Work</v>
      </c>
      <c r="Q130" s="33" t="s">
        <v>153</v>
      </c>
      <c r="R130" s="29" t="s">
        <v>153</v>
      </c>
      <c r="S130" s="33" t="s">
        <v>152</v>
      </c>
      <c r="T130" s="29">
        <v>8</v>
      </c>
      <c r="U130" s="30" t="str">
        <f>VLOOKUP(T130,Key!$E$2:$F$9,2,FALSE)</f>
        <v>Others</v>
      </c>
      <c r="V130" s="30" t="str">
        <f t="shared" ref="V130:V193" si="8">P130&amp;"-"&amp;U130</f>
        <v>Work-Others</v>
      </c>
      <c r="W130" s="29">
        <v>15000</v>
      </c>
      <c r="X130" s="34"/>
      <c r="Y130" s="50" t="str">
        <f t="shared" si="5"/>
        <v>0-10</v>
      </c>
      <c r="Z130" s="34">
        <v>4</v>
      </c>
      <c r="AA130" s="50" t="str">
        <f t="shared" si="6"/>
        <v>Over 3.5</v>
      </c>
      <c r="AB130" s="29">
        <v>6</v>
      </c>
      <c r="AC130" s="30" t="str">
        <f>VLOOKUP(AB130,Key!$C$20:$D$29,2,FALSE)</f>
        <v>Businessman</v>
      </c>
      <c r="AD130" s="29">
        <v>4</v>
      </c>
      <c r="AE130" s="30" t="str">
        <f>VLOOKUP(AD130,Key!$E$20:$F$24,2,FALSE)</f>
        <v>750,000-1,000,000</v>
      </c>
      <c r="AF130" s="29">
        <v>2</v>
      </c>
      <c r="AG130" s="34">
        <v>3</v>
      </c>
      <c r="AH130" s="34">
        <v>5</v>
      </c>
      <c r="AI130" s="34">
        <v>4</v>
      </c>
      <c r="AJ130" s="34">
        <v>1</v>
      </c>
      <c r="AK130" s="35" t="s">
        <v>94</v>
      </c>
      <c r="AL130" s="36"/>
      <c r="AM130" t="str">
        <f t="shared" si="7"/>
        <v>0-1000</v>
      </c>
    </row>
    <row r="131" spans="1:46" x14ac:dyDescent="0.2">
      <c r="A131" s="44">
        <v>43762</v>
      </c>
      <c r="B131" s="31" t="s">
        <v>170</v>
      </c>
      <c r="C131" s="31"/>
      <c r="D131" s="31" t="s">
        <v>150</v>
      </c>
      <c r="E131" s="33">
        <v>2</v>
      </c>
      <c r="F131" s="38" t="str">
        <f>VLOOKUP(E131,Key!$A$17:$B$21,2,FALSE)</f>
        <v>Road Vehicle</v>
      </c>
      <c r="G131" s="32">
        <v>4</v>
      </c>
      <c r="H131" s="39" t="str">
        <f>VLOOKUP(G131,Key!$A$2:$B$13,2,FALSE)</f>
        <v>Minibus</v>
      </c>
      <c r="I131" s="33" t="s">
        <v>156</v>
      </c>
      <c r="J131" s="33">
        <v>2</v>
      </c>
      <c r="K131" s="40" t="str">
        <f>VLOOKUP(J131,Key!$A$24:$B$29,2,FALSE)</f>
        <v>30-39</v>
      </c>
      <c r="L131" s="33" t="s">
        <v>151</v>
      </c>
      <c r="M131" s="29" t="s">
        <v>151</v>
      </c>
      <c r="N131" s="33" t="s">
        <v>152</v>
      </c>
      <c r="O131" s="35">
        <v>4</v>
      </c>
      <c r="P131" s="30" t="str">
        <f>VLOOKUP(O131,Key!$E$2:$F$9,2,FALSE)</f>
        <v>Commercial</v>
      </c>
      <c r="Q131" s="33" t="s">
        <v>171</v>
      </c>
      <c r="R131" s="29" t="s">
        <v>168</v>
      </c>
      <c r="S131" s="33" t="s">
        <v>152</v>
      </c>
      <c r="T131" s="29">
        <v>4</v>
      </c>
      <c r="U131" s="30" t="str">
        <f>VLOOKUP(T131,Key!$E$2:$F$9,2,FALSE)</f>
        <v>Commercial</v>
      </c>
      <c r="V131" s="30" t="str">
        <f t="shared" si="8"/>
        <v>Commercial-Commercial</v>
      </c>
      <c r="W131" s="29">
        <v>13000</v>
      </c>
      <c r="X131" s="34"/>
      <c r="Y131" s="50" t="str">
        <f t="shared" ref="Y131:Y194" si="9">IF(X131&lt;10,"0-10",IF(X131&lt;20,"10-20",IF(X131&lt;40,"20-40",IF(X131&lt;70,"40-70",IF(X131&lt;100,"70-100",IF(X131&lt;200,"100-200","Over 200"))))))</f>
        <v>0-10</v>
      </c>
      <c r="Z131" s="34">
        <v>3</v>
      </c>
      <c r="AA131" s="50" t="str">
        <f t="shared" ref="AA131:AA194" si="10">IF(Z131&lt;0.5,"0-0.5",IF(Z131&lt;1,"0.5-1.0",IF(Z131&lt;2,"1.0-2.0",IF(Z131&lt;3.5,"2.0-3.5","Over 3.5"))))</f>
        <v>2.0-3.5</v>
      </c>
      <c r="AB131" s="29">
        <v>6</v>
      </c>
      <c r="AC131" s="30" t="str">
        <f>VLOOKUP(AB131,Key!$C$20:$D$29,2,FALSE)</f>
        <v>Businessman</v>
      </c>
      <c r="AD131" s="29">
        <v>5</v>
      </c>
      <c r="AE131" s="30" t="str">
        <f>VLOOKUP(AD131,Key!$E$20:$F$24,2,FALSE)</f>
        <v>&gt;1,000,000</v>
      </c>
      <c r="AF131" s="29">
        <v>2</v>
      </c>
      <c r="AG131" s="34">
        <v>3</v>
      </c>
      <c r="AH131" s="34">
        <v>1</v>
      </c>
      <c r="AI131" s="34">
        <v>4</v>
      </c>
      <c r="AJ131" s="34">
        <v>5</v>
      </c>
      <c r="AK131" s="35" t="s">
        <v>94</v>
      </c>
      <c r="AL131" s="36">
        <v>3000</v>
      </c>
      <c r="AM131" t="str">
        <f t="shared" ref="AM131:AM194" si="11">IF(AL131&lt;1000,"0-1000",IF(AL131&lt;2000,"1000-2000",IF(AL131&lt;3000,"2000-3000",IF(AL131&lt;5000,"3000-5000",IF(AL131&lt;10000,"5000-10000","Over 10000")))))</f>
        <v>3000-5000</v>
      </c>
    </row>
    <row r="132" spans="1:46" x14ac:dyDescent="0.2">
      <c r="A132" s="44">
        <v>43762</v>
      </c>
      <c r="B132" s="31">
        <v>0.74791666666666667</v>
      </c>
      <c r="C132" s="31"/>
      <c r="D132" s="31" t="s">
        <v>150</v>
      </c>
      <c r="E132" s="33">
        <v>2</v>
      </c>
      <c r="F132" s="38" t="str">
        <f>VLOOKUP(E132,Key!$A$17:$B$21,2,FALSE)</f>
        <v>Road Vehicle</v>
      </c>
      <c r="G132" s="32">
        <v>4</v>
      </c>
      <c r="H132" s="39" t="str">
        <f>VLOOKUP(G132,Key!$A$2:$B$13,2,FALSE)</f>
        <v>Minibus</v>
      </c>
      <c r="I132" s="33" t="s">
        <v>156</v>
      </c>
      <c r="J132" s="33">
        <v>2</v>
      </c>
      <c r="K132" s="40" t="str">
        <f>VLOOKUP(J132,Key!$A$24:$B$29,2,FALSE)</f>
        <v>30-39</v>
      </c>
      <c r="L132" s="33" t="s">
        <v>151</v>
      </c>
      <c r="M132" s="29" t="s">
        <v>151</v>
      </c>
      <c r="N132" s="33" t="s">
        <v>152</v>
      </c>
      <c r="O132" s="35">
        <v>8</v>
      </c>
      <c r="P132" s="30" t="str">
        <f>VLOOKUP(O132,Key!$E$2:$F$9,2,FALSE)</f>
        <v>Others</v>
      </c>
      <c r="Q132" s="33" t="s">
        <v>151</v>
      </c>
      <c r="R132" s="29" t="s">
        <v>151</v>
      </c>
      <c r="S132" s="33" t="s">
        <v>152</v>
      </c>
      <c r="T132" s="29">
        <v>1</v>
      </c>
      <c r="U132" s="30" t="str">
        <f>VLOOKUP(T132,Key!$E$2:$F$9,2,FALSE)</f>
        <v>Home</v>
      </c>
      <c r="V132" s="30" t="str">
        <f t="shared" si="8"/>
        <v>Others-Home</v>
      </c>
      <c r="W132" s="29">
        <v>5000</v>
      </c>
      <c r="X132" s="34"/>
      <c r="Y132" s="50" t="str">
        <f t="shared" si="9"/>
        <v>0-10</v>
      </c>
      <c r="Z132" s="34">
        <v>1</v>
      </c>
      <c r="AA132" s="50" t="str">
        <f t="shared" si="10"/>
        <v>1.0-2.0</v>
      </c>
      <c r="AB132" s="29">
        <v>4</v>
      </c>
      <c r="AC132" s="30" t="str">
        <f>VLOOKUP(AB132,Key!$C$20:$D$29,2,FALSE)</f>
        <v>Office Worker</v>
      </c>
      <c r="AD132" s="29">
        <v>3</v>
      </c>
      <c r="AE132" s="30" t="str">
        <f>VLOOKUP(AD132,Key!$E$20:$F$24,2,FALSE)</f>
        <v>500,000-750,000</v>
      </c>
      <c r="AF132" s="29">
        <v>4</v>
      </c>
      <c r="AG132" s="34">
        <v>5</v>
      </c>
      <c r="AH132" s="34">
        <v>3</v>
      </c>
      <c r="AI132" s="34">
        <v>1</v>
      </c>
      <c r="AJ132" s="34">
        <v>2</v>
      </c>
      <c r="AK132" s="35" t="s">
        <v>94</v>
      </c>
      <c r="AL132" s="36">
        <v>4000</v>
      </c>
      <c r="AM132" t="str">
        <f t="shared" si="11"/>
        <v>3000-5000</v>
      </c>
    </row>
    <row r="133" spans="1:46" x14ac:dyDescent="0.2">
      <c r="A133" s="44">
        <v>43762</v>
      </c>
      <c r="B133" s="31">
        <v>0.79305555555555562</v>
      </c>
      <c r="C133" s="31"/>
      <c r="D133" s="31" t="s">
        <v>150</v>
      </c>
      <c r="E133" s="33">
        <v>2</v>
      </c>
      <c r="F133" s="38" t="str">
        <f>VLOOKUP(E133,Key!$A$17:$B$21,2,FALSE)</f>
        <v>Road Vehicle</v>
      </c>
      <c r="G133" s="32">
        <v>4</v>
      </c>
      <c r="H133" s="39" t="str">
        <f>VLOOKUP(G133,Key!$A$2:$B$13,2,FALSE)</f>
        <v>Minibus</v>
      </c>
      <c r="I133" s="33" t="s">
        <v>109</v>
      </c>
      <c r="J133" s="33">
        <v>2</v>
      </c>
      <c r="K133" s="40" t="str">
        <f>VLOOKUP(J133,Key!$A$24:$B$29,2,FALSE)</f>
        <v>30-39</v>
      </c>
      <c r="L133" s="33" t="s">
        <v>151</v>
      </c>
      <c r="M133" s="29" t="s">
        <v>151</v>
      </c>
      <c r="N133" s="33" t="s">
        <v>152</v>
      </c>
      <c r="O133" s="35">
        <v>4</v>
      </c>
      <c r="P133" s="30" t="str">
        <f>VLOOKUP(O133,Key!$E$2:$F$9,2,FALSE)</f>
        <v>Commercial</v>
      </c>
      <c r="Q133" s="33" t="s">
        <v>153</v>
      </c>
      <c r="R133" s="29" t="s">
        <v>153</v>
      </c>
      <c r="S133" s="33" t="s">
        <v>152</v>
      </c>
      <c r="T133" s="29">
        <v>1</v>
      </c>
      <c r="U133" s="30" t="str">
        <f>VLOOKUP(T133,Key!$E$2:$F$9,2,FALSE)</f>
        <v>Home</v>
      </c>
      <c r="V133" s="30" t="str">
        <f t="shared" si="8"/>
        <v>Commercial-Home</v>
      </c>
      <c r="W133" s="41">
        <v>150000</v>
      </c>
      <c r="X133" s="34">
        <v>200</v>
      </c>
      <c r="Y133" s="50" t="str">
        <f t="shared" si="9"/>
        <v>Over 200</v>
      </c>
      <c r="Z133" s="34">
        <v>3</v>
      </c>
      <c r="AA133" s="50" t="str">
        <f t="shared" si="10"/>
        <v>2.0-3.5</v>
      </c>
      <c r="AB133" s="29">
        <v>4</v>
      </c>
      <c r="AC133" s="30" t="str">
        <f>VLOOKUP(AB133,Key!$C$20:$D$29,2,FALSE)</f>
        <v>Office Worker</v>
      </c>
      <c r="AD133" s="29">
        <v>3</v>
      </c>
      <c r="AE133" s="30" t="str">
        <f>VLOOKUP(AD133,Key!$E$20:$F$24,2,FALSE)</f>
        <v>500,000-750,000</v>
      </c>
      <c r="AF133" s="29">
        <v>2</v>
      </c>
      <c r="AG133" s="34">
        <v>1</v>
      </c>
      <c r="AH133" s="34">
        <v>3</v>
      </c>
      <c r="AI133" s="34">
        <v>5</v>
      </c>
      <c r="AJ133" s="34">
        <v>4</v>
      </c>
      <c r="AK133" s="35" t="s">
        <v>94</v>
      </c>
      <c r="AL133" s="36">
        <v>2000</v>
      </c>
      <c r="AM133" t="str">
        <f t="shared" si="11"/>
        <v>2000-3000</v>
      </c>
      <c r="AN133" s="19"/>
      <c r="AO133" s="19"/>
      <c r="AP133" s="19"/>
      <c r="AQ133" s="19"/>
      <c r="AR133" s="19"/>
      <c r="AS133" s="19"/>
      <c r="AT133" s="19"/>
    </row>
    <row r="134" spans="1:46" x14ac:dyDescent="0.2">
      <c r="A134" s="44">
        <v>43762</v>
      </c>
      <c r="B134" s="31">
        <v>0.78472222222222221</v>
      </c>
      <c r="C134" s="31"/>
      <c r="D134" s="31" t="s">
        <v>97</v>
      </c>
      <c r="E134" s="33">
        <v>2</v>
      </c>
      <c r="F134" s="38" t="str">
        <f>VLOOKUP(E134,Key!$A$17:$B$21,2,FALSE)</f>
        <v>Road Vehicle</v>
      </c>
      <c r="G134" s="32">
        <v>4</v>
      </c>
      <c r="H134" s="39" t="str">
        <f>VLOOKUP(G134,Key!$A$2:$B$13,2,FALSE)</f>
        <v>Minibus</v>
      </c>
      <c r="I134" s="33" t="s">
        <v>109</v>
      </c>
      <c r="J134" s="33">
        <v>2</v>
      </c>
      <c r="K134" s="40" t="str">
        <f>VLOOKUP(J134,Key!$A$24:$B$29,2,FALSE)</f>
        <v>30-39</v>
      </c>
      <c r="L134" s="33" t="s">
        <v>151</v>
      </c>
      <c r="M134" s="29" t="s">
        <v>151</v>
      </c>
      <c r="N134" s="33" t="s">
        <v>152</v>
      </c>
      <c r="O134" s="35">
        <v>1</v>
      </c>
      <c r="P134" s="30" t="str">
        <f>VLOOKUP(O134,Key!$E$2:$F$9,2,FALSE)</f>
        <v>Home</v>
      </c>
      <c r="Q134" s="33" t="s">
        <v>153</v>
      </c>
      <c r="R134" s="29" t="s">
        <v>153</v>
      </c>
      <c r="S134" s="33" t="s">
        <v>152</v>
      </c>
      <c r="T134" s="29">
        <v>2</v>
      </c>
      <c r="U134" s="30" t="str">
        <f>VLOOKUP(T134,Key!$E$2:$F$9,2,FALSE)</f>
        <v>Work</v>
      </c>
      <c r="V134" s="30" t="str">
        <f t="shared" si="8"/>
        <v>Home-Work</v>
      </c>
      <c r="W134" s="41">
        <v>160000</v>
      </c>
      <c r="X134" s="34">
        <v>200</v>
      </c>
      <c r="Y134" s="50" t="str">
        <f t="shared" si="9"/>
        <v>Over 200</v>
      </c>
      <c r="Z134" s="34">
        <v>3</v>
      </c>
      <c r="AA134" s="50" t="str">
        <f t="shared" si="10"/>
        <v>2.0-3.5</v>
      </c>
      <c r="AB134" s="29">
        <v>10</v>
      </c>
      <c r="AC134" s="30" t="str">
        <f>VLOOKUP(AB134,Key!$C$20:$D$29,2,FALSE)</f>
        <v>Other</v>
      </c>
      <c r="AD134" s="29">
        <v>3</v>
      </c>
      <c r="AE134" s="30" t="str">
        <f>VLOOKUP(AD134,Key!$E$20:$F$24,2,FALSE)</f>
        <v>500,000-750,000</v>
      </c>
      <c r="AF134" s="29">
        <v>2</v>
      </c>
      <c r="AG134" s="34">
        <v>5</v>
      </c>
      <c r="AH134" s="34">
        <v>4</v>
      </c>
      <c r="AI134" s="34">
        <v>3</v>
      </c>
      <c r="AJ134" s="34">
        <v>1</v>
      </c>
      <c r="AK134" s="35" t="s">
        <v>94</v>
      </c>
      <c r="AL134" s="36"/>
      <c r="AM134" t="str">
        <f t="shared" si="11"/>
        <v>0-1000</v>
      </c>
    </row>
    <row r="135" spans="1:46" x14ac:dyDescent="0.2">
      <c r="A135" s="44">
        <v>43762</v>
      </c>
      <c r="B135" s="31">
        <v>0.76250000000000007</v>
      </c>
      <c r="C135" s="31"/>
      <c r="D135" s="31" t="s">
        <v>97</v>
      </c>
      <c r="E135" s="33">
        <v>2</v>
      </c>
      <c r="F135" s="38" t="str">
        <f>VLOOKUP(E135,Key!$A$17:$B$21,2,FALSE)</f>
        <v>Road Vehicle</v>
      </c>
      <c r="G135" s="32">
        <v>4</v>
      </c>
      <c r="H135" s="39" t="str">
        <f>VLOOKUP(G135,Key!$A$2:$B$13,2,FALSE)</f>
        <v>Minibus</v>
      </c>
      <c r="I135" s="33" t="s">
        <v>109</v>
      </c>
      <c r="J135" s="33">
        <v>2</v>
      </c>
      <c r="K135" s="40" t="str">
        <f>VLOOKUP(J135,Key!$A$24:$B$29,2,FALSE)</f>
        <v>30-39</v>
      </c>
      <c r="L135" s="33" t="s">
        <v>151</v>
      </c>
      <c r="M135" s="29" t="s">
        <v>151</v>
      </c>
      <c r="N135" s="33" t="s">
        <v>152</v>
      </c>
      <c r="O135" s="35">
        <v>1</v>
      </c>
      <c r="P135" s="30" t="str">
        <f>VLOOKUP(O135,Key!$E$2:$F$9,2,FALSE)</f>
        <v>Home</v>
      </c>
      <c r="Q135" s="33" t="s">
        <v>153</v>
      </c>
      <c r="R135" s="29" t="s">
        <v>153</v>
      </c>
      <c r="S135" s="33" t="s">
        <v>152</v>
      </c>
      <c r="T135" s="29">
        <v>2</v>
      </c>
      <c r="U135" s="30" t="str">
        <f>VLOOKUP(T135,Key!$E$2:$F$9,2,FALSE)</f>
        <v>Work</v>
      </c>
      <c r="V135" s="30" t="str">
        <f t="shared" si="8"/>
        <v>Home-Work</v>
      </c>
      <c r="W135" s="41">
        <v>180000</v>
      </c>
      <c r="X135" s="34">
        <v>196</v>
      </c>
      <c r="Y135" s="50" t="str">
        <f t="shared" si="9"/>
        <v>100-200</v>
      </c>
      <c r="Z135" s="34">
        <v>3</v>
      </c>
      <c r="AA135" s="50" t="str">
        <f t="shared" si="10"/>
        <v>2.0-3.5</v>
      </c>
      <c r="AB135" s="29">
        <v>10</v>
      </c>
      <c r="AC135" s="30" t="str">
        <f>VLOOKUP(AB135,Key!$C$20:$D$29,2,FALSE)</f>
        <v>Other</v>
      </c>
      <c r="AD135" s="29">
        <v>4</v>
      </c>
      <c r="AE135" s="30" t="str">
        <f>VLOOKUP(AD135,Key!$E$20:$F$24,2,FALSE)</f>
        <v>750,000-1,000,000</v>
      </c>
      <c r="AF135" s="29">
        <v>5</v>
      </c>
      <c r="AG135" s="34">
        <v>4</v>
      </c>
      <c r="AH135" s="34">
        <v>3</v>
      </c>
      <c r="AI135" s="34">
        <v>2</v>
      </c>
      <c r="AJ135" s="34">
        <v>1</v>
      </c>
      <c r="AK135" s="35" t="s">
        <v>94</v>
      </c>
      <c r="AL135" s="36">
        <v>1000</v>
      </c>
      <c r="AM135" t="str">
        <f t="shared" si="11"/>
        <v>1000-2000</v>
      </c>
    </row>
    <row r="136" spans="1:46" x14ac:dyDescent="0.2">
      <c r="A136" s="44">
        <v>43762</v>
      </c>
      <c r="B136" s="31">
        <v>0.73749999999999993</v>
      </c>
      <c r="C136" s="31"/>
      <c r="D136" s="31" t="s">
        <v>97</v>
      </c>
      <c r="E136" s="33">
        <v>2</v>
      </c>
      <c r="F136" s="38" t="str">
        <f>VLOOKUP(E136,Key!$A$17:$B$21,2,FALSE)</f>
        <v>Road Vehicle</v>
      </c>
      <c r="G136" s="32">
        <v>4</v>
      </c>
      <c r="H136" s="39" t="str">
        <f>VLOOKUP(G136,Key!$A$2:$B$13,2,FALSE)</f>
        <v>Minibus</v>
      </c>
      <c r="I136" s="33" t="s">
        <v>109</v>
      </c>
      <c r="J136" s="33">
        <v>2</v>
      </c>
      <c r="K136" s="40" t="str">
        <f>VLOOKUP(J136,Key!$A$24:$B$29,2,FALSE)</f>
        <v>30-39</v>
      </c>
      <c r="L136" s="33" t="s">
        <v>151</v>
      </c>
      <c r="M136" s="29" t="s">
        <v>151</v>
      </c>
      <c r="N136" s="33" t="s">
        <v>152</v>
      </c>
      <c r="O136" s="35">
        <v>2</v>
      </c>
      <c r="P136" s="30" t="str">
        <f>VLOOKUP(O136,Key!$E$2:$F$9,2,FALSE)</f>
        <v>Work</v>
      </c>
      <c r="Q136" s="33" t="s">
        <v>153</v>
      </c>
      <c r="R136" s="29" t="s">
        <v>153</v>
      </c>
      <c r="S136" s="33" t="s">
        <v>152</v>
      </c>
      <c r="T136" s="29">
        <v>1</v>
      </c>
      <c r="U136" s="30" t="str">
        <f>VLOOKUP(T136,Key!$E$2:$F$9,2,FALSE)</f>
        <v>Home</v>
      </c>
      <c r="V136" s="30" t="str">
        <f t="shared" si="8"/>
        <v>Work-Home</v>
      </c>
      <c r="W136" s="41">
        <v>160000</v>
      </c>
      <c r="X136" s="34">
        <v>190</v>
      </c>
      <c r="Y136" s="50" t="str">
        <f t="shared" si="9"/>
        <v>100-200</v>
      </c>
      <c r="Z136" s="34">
        <v>3</v>
      </c>
      <c r="AA136" s="50" t="str">
        <f t="shared" si="10"/>
        <v>2.0-3.5</v>
      </c>
      <c r="AB136" s="29">
        <v>10</v>
      </c>
      <c r="AC136" s="30" t="str">
        <f>VLOOKUP(AB136,Key!$C$20:$D$29,2,FALSE)</f>
        <v>Other</v>
      </c>
      <c r="AD136" s="29">
        <v>3</v>
      </c>
      <c r="AE136" s="30" t="str">
        <f>VLOOKUP(AD136,Key!$E$20:$F$24,2,FALSE)</f>
        <v>500,000-750,000</v>
      </c>
      <c r="AF136" s="29">
        <v>3</v>
      </c>
      <c r="AG136" s="34">
        <v>5</v>
      </c>
      <c r="AH136" s="34">
        <v>4</v>
      </c>
      <c r="AI136" s="34">
        <v>1</v>
      </c>
      <c r="AJ136" s="34">
        <v>2</v>
      </c>
      <c r="AK136" s="35" t="s">
        <v>94</v>
      </c>
      <c r="AL136" s="36"/>
      <c r="AM136" t="str">
        <f t="shared" si="11"/>
        <v>0-1000</v>
      </c>
    </row>
    <row r="137" spans="1:46" x14ac:dyDescent="0.2">
      <c r="A137" s="44">
        <v>43762</v>
      </c>
      <c r="B137" s="31">
        <v>0.73055555555555562</v>
      </c>
      <c r="C137" s="31"/>
      <c r="D137" s="31" t="s">
        <v>150</v>
      </c>
      <c r="E137" s="33">
        <v>2</v>
      </c>
      <c r="F137" s="38" t="str">
        <f>VLOOKUP(E137,Key!$A$17:$B$21,2,FALSE)</f>
        <v>Road Vehicle</v>
      </c>
      <c r="G137" s="32">
        <v>4</v>
      </c>
      <c r="H137" s="39" t="str">
        <f>VLOOKUP(G137,Key!$A$2:$B$13,2,FALSE)</f>
        <v>Minibus</v>
      </c>
      <c r="I137" s="33" t="s">
        <v>109</v>
      </c>
      <c r="J137" s="33">
        <v>2</v>
      </c>
      <c r="K137" s="40" t="str">
        <f>VLOOKUP(J137,Key!$A$24:$B$29,2,FALSE)</f>
        <v>30-39</v>
      </c>
      <c r="L137" s="33" t="s">
        <v>151</v>
      </c>
      <c r="M137" s="29" t="s">
        <v>151</v>
      </c>
      <c r="N137" s="33" t="s">
        <v>152</v>
      </c>
      <c r="O137" s="35">
        <v>3</v>
      </c>
      <c r="P137" s="30" t="str">
        <f>VLOOKUP(O137,Key!$E$2:$F$9,2,FALSE)</f>
        <v>Study</v>
      </c>
      <c r="Q137" s="33" t="s">
        <v>153</v>
      </c>
      <c r="R137" s="29" t="s">
        <v>153</v>
      </c>
      <c r="S137" s="33" t="s">
        <v>152</v>
      </c>
      <c r="T137" s="29">
        <v>2</v>
      </c>
      <c r="U137" s="30" t="str">
        <f>VLOOKUP(T137,Key!$E$2:$F$9,2,FALSE)</f>
        <v>Work</v>
      </c>
      <c r="V137" s="30" t="str">
        <f t="shared" si="8"/>
        <v>Study-Work</v>
      </c>
      <c r="W137" s="41">
        <v>150000</v>
      </c>
      <c r="X137" s="34">
        <v>200</v>
      </c>
      <c r="Y137" s="50" t="str">
        <f t="shared" si="9"/>
        <v>Over 200</v>
      </c>
      <c r="Z137" s="34">
        <v>3</v>
      </c>
      <c r="AA137" s="50" t="str">
        <f t="shared" si="10"/>
        <v>2.0-3.5</v>
      </c>
      <c r="AB137" s="29">
        <v>4</v>
      </c>
      <c r="AC137" s="30" t="str">
        <f>VLOOKUP(AB137,Key!$C$20:$D$29,2,FALSE)</f>
        <v>Office Worker</v>
      </c>
      <c r="AD137" s="29">
        <v>3</v>
      </c>
      <c r="AE137" s="30" t="str">
        <f>VLOOKUP(AD137,Key!$E$20:$F$24,2,FALSE)</f>
        <v>500,000-750,000</v>
      </c>
      <c r="AF137" s="29">
        <v>2</v>
      </c>
      <c r="AG137" s="34">
        <v>1</v>
      </c>
      <c r="AH137" s="34">
        <v>5</v>
      </c>
      <c r="AI137" s="34">
        <v>3</v>
      </c>
      <c r="AJ137" s="34">
        <v>4</v>
      </c>
      <c r="AK137" s="35" t="s">
        <v>94</v>
      </c>
      <c r="AL137" s="36">
        <v>5000</v>
      </c>
      <c r="AM137" t="str">
        <f t="shared" si="11"/>
        <v>5000-10000</v>
      </c>
    </row>
    <row r="138" spans="1:46" x14ac:dyDescent="0.2">
      <c r="A138" s="44">
        <v>43762</v>
      </c>
      <c r="B138" s="31">
        <v>0.70486111111111116</v>
      </c>
      <c r="C138" s="31"/>
      <c r="D138" s="31" t="s">
        <v>150</v>
      </c>
      <c r="E138" s="33">
        <v>2</v>
      </c>
      <c r="F138" s="38" t="str">
        <f>VLOOKUP(E138,Key!$A$17:$B$21,2,FALSE)</f>
        <v>Road Vehicle</v>
      </c>
      <c r="G138" s="32">
        <v>4</v>
      </c>
      <c r="H138" s="39" t="str">
        <f>VLOOKUP(G138,Key!$A$2:$B$13,2,FALSE)</f>
        <v>Minibus</v>
      </c>
      <c r="I138" s="33" t="s">
        <v>109</v>
      </c>
      <c r="J138" s="33">
        <v>2</v>
      </c>
      <c r="K138" s="40" t="str">
        <f>VLOOKUP(J138,Key!$A$24:$B$29,2,FALSE)</f>
        <v>30-39</v>
      </c>
      <c r="L138" s="33" t="s">
        <v>151</v>
      </c>
      <c r="M138" s="29" t="s">
        <v>151</v>
      </c>
      <c r="N138" s="33" t="s">
        <v>152</v>
      </c>
      <c r="O138" s="35">
        <v>2</v>
      </c>
      <c r="P138" s="30" t="str">
        <f>VLOOKUP(O138,Key!$E$2:$F$9,2,FALSE)</f>
        <v>Work</v>
      </c>
      <c r="Q138" s="33" t="s">
        <v>153</v>
      </c>
      <c r="R138" s="29" t="s">
        <v>153</v>
      </c>
      <c r="S138" s="33" t="s">
        <v>152</v>
      </c>
      <c r="T138" s="29">
        <v>7</v>
      </c>
      <c r="U138" s="30" t="str">
        <f>VLOOKUP(T138,Key!$E$2:$F$9,2,FALSE)</f>
        <v>Hospital</v>
      </c>
      <c r="V138" s="30" t="str">
        <f t="shared" si="8"/>
        <v>Work-Hospital</v>
      </c>
      <c r="W138" s="41">
        <v>200000</v>
      </c>
      <c r="X138" s="34">
        <v>190</v>
      </c>
      <c r="Y138" s="50" t="str">
        <f t="shared" si="9"/>
        <v>100-200</v>
      </c>
      <c r="Z138" s="34">
        <v>3</v>
      </c>
      <c r="AA138" s="50" t="str">
        <f t="shared" si="10"/>
        <v>2.0-3.5</v>
      </c>
      <c r="AB138" s="29">
        <v>7</v>
      </c>
      <c r="AC138" s="30" t="str">
        <f>VLOOKUP(AB138,Key!$C$20:$D$29,2,FALSE)</f>
        <v>Farmer</v>
      </c>
      <c r="AD138" s="29">
        <v>2</v>
      </c>
      <c r="AE138" s="30" t="str">
        <f>VLOOKUP(AD138,Key!$E$20:$F$24,2,FALSE)</f>
        <v>300,000-500,000</v>
      </c>
      <c r="AF138" s="29">
        <v>5</v>
      </c>
      <c r="AG138" s="34">
        <v>4</v>
      </c>
      <c r="AH138" s="34">
        <v>2</v>
      </c>
      <c r="AI138" s="34">
        <v>3</v>
      </c>
      <c r="AJ138" s="34">
        <v>1</v>
      </c>
      <c r="AK138" s="35" t="s">
        <v>94</v>
      </c>
      <c r="AL138" s="36">
        <v>1000</v>
      </c>
      <c r="AM138" t="str">
        <f t="shared" si="11"/>
        <v>1000-2000</v>
      </c>
    </row>
    <row r="139" spans="1:46" x14ac:dyDescent="0.2">
      <c r="A139" s="44">
        <v>43762</v>
      </c>
      <c r="B139" s="31">
        <v>0.69236111111111109</v>
      </c>
      <c r="C139" s="31"/>
      <c r="D139" s="31" t="s">
        <v>97</v>
      </c>
      <c r="E139" s="33">
        <v>2</v>
      </c>
      <c r="F139" s="38" t="str">
        <f>VLOOKUP(E139,Key!$A$17:$B$21,2,FALSE)</f>
        <v>Road Vehicle</v>
      </c>
      <c r="G139" s="32">
        <v>4</v>
      </c>
      <c r="H139" s="39" t="str">
        <f>VLOOKUP(G139,Key!$A$2:$B$13,2,FALSE)</f>
        <v>Minibus</v>
      </c>
      <c r="I139" s="33" t="s">
        <v>109</v>
      </c>
      <c r="J139" s="33">
        <v>2</v>
      </c>
      <c r="K139" s="40" t="str">
        <f>VLOOKUP(J139,Key!$A$24:$B$29,2,FALSE)</f>
        <v>30-39</v>
      </c>
      <c r="L139" s="33" t="s">
        <v>151</v>
      </c>
      <c r="M139" s="29" t="s">
        <v>151</v>
      </c>
      <c r="N139" s="33" t="s">
        <v>152</v>
      </c>
      <c r="O139" s="35">
        <v>1</v>
      </c>
      <c r="P139" s="30" t="str">
        <f>VLOOKUP(O139,Key!$E$2:$F$9,2,FALSE)</f>
        <v>Home</v>
      </c>
      <c r="Q139" s="33" t="s">
        <v>154</v>
      </c>
      <c r="R139" s="29" t="s">
        <v>154</v>
      </c>
      <c r="S139" s="33" t="s">
        <v>152</v>
      </c>
      <c r="T139" s="29">
        <v>2</v>
      </c>
      <c r="U139" s="30" t="str">
        <f>VLOOKUP(T139,Key!$E$2:$F$9,2,FALSE)</f>
        <v>Work</v>
      </c>
      <c r="V139" s="30" t="str">
        <f t="shared" si="8"/>
        <v>Home-Work</v>
      </c>
      <c r="W139" s="41">
        <v>300000</v>
      </c>
      <c r="X139" s="34">
        <v>120</v>
      </c>
      <c r="Y139" s="50" t="str">
        <f t="shared" si="9"/>
        <v>100-200</v>
      </c>
      <c r="Z139" s="34">
        <v>2</v>
      </c>
      <c r="AA139" s="50" t="str">
        <f t="shared" si="10"/>
        <v>2.0-3.5</v>
      </c>
      <c r="AB139" s="29">
        <v>10</v>
      </c>
      <c r="AC139" s="30" t="str">
        <f>VLOOKUP(AB139,Key!$C$20:$D$29,2,FALSE)</f>
        <v>Other</v>
      </c>
      <c r="AD139" s="29">
        <v>4</v>
      </c>
      <c r="AE139" s="30" t="str">
        <f>VLOOKUP(AD139,Key!$E$20:$F$24,2,FALSE)</f>
        <v>750,000-1,000,000</v>
      </c>
      <c r="AF139" s="29">
        <v>2</v>
      </c>
      <c r="AG139" s="34">
        <v>1</v>
      </c>
      <c r="AH139" s="34">
        <v>3</v>
      </c>
      <c r="AI139" s="34">
        <v>5</v>
      </c>
      <c r="AJ139" s="34">
        <v>4</v>
      </c>
      <c r="AK139" s="35" t="s">
        <v>94</v>
      </c>
      <c r="AL139" s="36">
        <v>3000</v>
      </c>
      <c r="AM139" t="str">
        <f t="shared" si="11"/>
        <v>3000-5000</v>
      </c>
    </row>
    <row r="140" spans="1:46" x14ac:dyDescent="0.2">
      <c r="A140" s="44">
        <v>43762</v>
      </c>
      <c r="B140" s="31">
        <v>0.55694444444444446</v>
      </c>
      <c r="C140" s="31"/>
      <c r="D140" s="31" t="s">
        <v>150</v>
      </c>
      <c r="E140" s="33">
        <v>2</v>
      </c>
      <c r="F140" s="38" t="str">
        <f>VLOOKUP(E140,Key!$A$17:$B$21,2,FALSE)</f>
        <v>Road Vehicle</v>
      </c>
      <c r="G140" s="32">
        <v>4</v>
      </c>
      <c r="H140" s="39" t="str">
        <f>VLOOKUP(G140,Key!$A$2:$B$13,2,FALSE)</f>
        <v>Minibus</v>
      </c>
      <c r="I140" s="33" t="s">
        <v>109</v>
      </c>
      <c r="J140" s="33">
        <v>2</v>
      </c>
      <c r="K140" s="40" t="str">
        <f>VLOOKUP(J140,Key!$A$24:$B$29,2,FALSE)</f>
        <v>30-39</v>
      </c>
      <c r="L140" s="33" t="s">
        <v>151</v>
      </c>
      <c r="M140" s="29" t="s">
        <v>151</v>
      </c>
      <c r="N140" s="33" t="s">
        <v>152</v>
      </c>
      <c r="O140" s="35">
        <v>4</v>
      </c>
      <c r="P140" s="30" t="str">
        <f>VLOOKUP(O140,Key!$E$2:$F$9,2,FALSE)</f>
        <v>Commercial</v>
      </c>
      <c r="Q140" s="33" t="s">
        <v>153</v>
      </c>
      <c r="R140" s="29" t="s">
        <v>153</v>
      </c>
      <c r="S140" s="33" t="s">
        <v>152</v>
      </c>
      <c r="T140" s="29">
        <v>2</v>
      </c>
      <c r="U140" s="30" t="str">
        <f>VLOOKUP(T140,Key!$E$2:$F$9,2,FALSE)</f>
        <v>Work</v>
      </c>
      <c r="V140" s="30" t="str">
        <f t="shared" si="8"/>
        <v>Commercial-Work</v>
      </c>
      <c r="W140" s="29">
        <v>15000</v>
      </c>
      <c r="X140" s="34">
        <v>210</v>
      </c>
      <c r="Y140" s="50" t="str">
        <f t="shared" si="9"/>
        <v>Over 200</v>
      </c>
      <c r="Z140" s="34">
        <v>4</v>
      </c>
      <c r="AA140" s="50" t="str">
        <f t="shared" si="10"/>
        <v>Over 3.5</v>
      </c>
      <c r="AB140" s="29">
        <v>4</v>
      </c>
      <c r="AC140" s="30" t="str">
        <f>VLOOKUP(AB140,Key!$C$20:$D$29,2,FALSE)</f>
        <v>Office Worker</v>
      </c>
      <c r="AD140" s="29">
        <v>4</v>
      </c>
      <c r="AE140" s="30" t="str">
        <f>VLOOKUP(AD140,Key!$E$20:$F$24,2,FALSE)</f>
        <v>750,000-1,000,000</v>
      </c>
      <c r="AF140" s="29">
        <v>2</v>
      </c>
      <c r="AG140" s="34">
        <v>1</v>
      </c>
      <c r="AH140" s="34">
        <v>3</v>
      </c>
      <c r="AI140" s="34">
        <v>4</v>
      </c>
      <c r="AJ140" s="34">
        <v>5</v>
      </c>
      <c r="AK140" s="35" t="s">
        <v>94</v>
      </c>
      <c r="AL140" s="36"/>
      <c r="AM140" t="str">
        <f t="shared" si="11"/>
        <v>0-1000</v>
      </c>
    </row>
    <row r="141" spans="1:46" x14ac:dyDescent="0.2">
      <c r="A141" s="44">
        <v>43762</v>
      </c>
      <c r="B141" s="31">
        <v>0.51597222222222217</v>
      </c>
      <c r="C141" s="31"/>
      <c r="D141" s="31" t="s">
        <v>97</v>
      </c>
      <c r="E141" s="33">
        <v>2</v>
      </c>
      <c r="F141" s="38" t="str">
        <f>VLOOKUP(E141,Key!$A$17:$B$21,2,FALSE)</f>
        <v>Road Vehicle</v>
      </c>
      <c r="G141" s="32">
        <v>4</v>
      </c>
      <c r="H141" s="39" t="str">
        <f>VLOOKUP(G141,Key!$A$2:$B$13,2,FALSE)</f>
        <v>Minibus</v>
      </c>
      <c r="I141" s="33" t="s">
        <v>109</v>
      </c>
      <c r="J141" s="33">
        <v>2</v>
      </c>
      <c r="K141" s="40" t="str">
        <f>VLOOKUP(J141,Key!$A$24:$B$29,2,FALSE)</f>
        <v>30-39</v>
      </c>
      <c r="L141" s="33" t="s">
        <v>151</v>
      </c>
      <c r="M141" s="29" t="s">
        <v>151</v>
      </c>
      <c r="N141" s="33" t="s">
        <v>152</v>
      </c>
      <c r="O141" s="35">
        <v>1</v>
      </c>
      <c r="P141" s="30" t="str">
        <f>VLOOKUP(O141,Key!$E$2:$F$9,2,FALSE)</f>
        <v>Home</v>
      </c>
      <c r="Q141" s="33" t="s">
        <v>153</v>
      </c>
      <c r="R141" s="29" t="s">
        <v>153</v>
      </c>
      <c r="S141" s="33" t="s">
        <v>152</v>
      </c>
      <c r="T141" s="29">
        <v>1</v>
      </c>
      <c r="U141" s="30" t="str">
        <f>VLOOKUP(T141,Key!$E$2:$F$9,2,FALSE)</f>
        <v>Home</v>
      </c>
      <c r="V141" s="30" t="str">
        <f t="shared" si="8"/>
        <v>Home-Home</v>
      </c>
      <c r="W141" s="29">
        <v>180000</v>
      </c>
      <c r="X141" s="34">
        <v>200</v>
      </c>
      <c r="Y141" s="50" t="str">
        <f t="shared" si="9"/>
        <v>Over 200</v>
      </c>
      <c r="Z141" s="34">
        <v>3</v>
      </c>
      <c r="AA141" s="50" t="str">
        <f t="shared" si="10"/>
        <v>2.0-3.5</v>
      </c>
      <c r="AB141" s="29">
        <v>10</v>
      </c>
      <c r="AC141" s="30" t="str">
        <f>VLOOKUP(AB141,Key!$C$20:$D$29,2,FALSE)</f>
        <v>Other</v>
      </c>
      <c r="AD141" s="29">
        <v>4</v>
      </c>
      <c r="AE141" s="30" t="str">
        <f>VLOOKUP(AD141,Key!$E$20:$F$24,2,FALSE)</f>
        <v>750,000-1,000,000</v>
      </c>
      <c r="AF141" s="29">
        <v>5</v>
      </c>
      <c r="AG141" s="34">
        <v>3</v>
      </c>
      <c r="AH141" s="34">
        <v>4</v>
      </c>
      <c r="AI141" s="34">
        <v>1</v>
      </c>
      <c r="AJ141" s="34">
        <v>2</v>
      </c>
      <c r="AK141" s="35" t="s">
        <v>94</v>
      </c>
      <c r="AL141" s="36">
        <v>3000</v>
      </c>
      <c r="AM141" t="str">
        <f t="shared" si="11"/>
        <v>3000-5000</v>
      </c>
    </row>
    <row r="142" spans="1:46" x14ac:dyDescent="0.2">
      <c r="A142" s="44">
        <v>43762</v>
      </c>
      <c r="B142" s="31">
        <v>0.67986111111111114</v>
      </c>
      <c r="C142" s="31"/>
      <c r="D142" s="31" t="s">
        <v>150</v>
      </c>
      <c r="E142" s="33">
        <v>2</v>
      </c>
      <c r="F142" s="38" t="str">
        <f>VLOOKUP(E142,Key!$A$17:$B$21,2,FALSE)</f>
        <v>Road Vehicle</v>
      </c>
      <c r="G142" s="32">
        <v>4</v>
      </c>
      <c r="H142" s="39" t="str">
        <f>VLOOKUP(G142,Key!$A$2:$B$13,2,FALSE)</f>
        <v>Minibus</v>
      </c>
      <c r="I142" s="33" t="s">
        <v>109</v>
      </c>
      <c r="J142" s="33">
        <v>2</v>
      </c>
      <c r="K142" s="40" t="str">
        <f>VLOOKUP(J142,Key!$A$24:$B$29,2,FALSE)</f>
        <v>30-39</v>
      </c>
      <c r="L142" s="33" t="s">
        <v>151</v>
      </c>
      <c r="M142" s="29" t="s">
        <v>151</v>
      </c>
      <c r="N142" s="33" t="s">
        <v>152</v>
      </c>
      <c r="O142" s="35">
        <v>2</v>
      </c>
      <c r="P142" s="30" t="str">
        <f>VLOOKUP(O142,Key!$E$2:$F$9,2,FALSE)</f>
        <v>Work</v>
      </c>
      <c r="Q142" s="33" t="s">
        <v>160</v>
      </c>
      <c r="R142" s="29" t="s">
        <v>160</v>
      </c>
      <c r="S142" s="33" t="s">
        <v>152</v>
      </c>
      <c r="T142" s="29">
        <v>8</v>
      </c>
      <c r="U142" s="30" t="str">
        <f>VLOOKUP(T142,Key!$E$2:$F$9,2,FALSE)</f>
        <v>Others</v>
      </c>
      <c r="V142" s="30" t="str">
        <f t="shared" si="8"/>
        <v>Work-Others</v>
      </c>
      <c r="W142" s="29">
        <v>70000</v>
      </c>
      <c r="X142" s="34">
        <v>190</v>
      </c>
      <c r="Y142" s="50" t="str">
        <f t="shared" si="9"/>
        <v>100-200</v>
      </c>
      <c r="Z142" s="34">
        <v>2</v>
      </c>
      <c r="AA142" s="50" t="str">
        <f t="shared" si="10"/>
        <v>2.0-3.5</v>
      </c>
      <c r="AB142" s="29">
        <v>4</v>
      </c>
      <c r="AC142" s="30" t="str">
        <f>VLOOKUP(AB142,Key!$C$20:$D$29,2,FALSE)</f>
        <v>Office Worker</v>
      </c>
      <c r="AD142" s="29">
        <v>2</v>
      </c>
      <c r="AE142" s="30" t="str">
        <f>VLOOKUP(AD142,Key!$E$20:$F$24,2,FALSE)</f>
        <v>300,000-500,000</v>
      </c>
      <c r="AF142" s="29">
        <v>3</v>
      </c>
      <c r="AG142" s="34">
        <v>5</v>
      </c>
      <c r="AH142" s="34">
        <v>1</v>
      </c>
      <c r="AI142" s="34">
        <v>2</v>
      </c>
      <c r="AJ142" s="34">
        <v>4</v>
      </c>
      <c r="AK142" s="35" t="s">
        <v>94</v>
      </c>
      <c r="AL142" s="36"/>
      <c r="AM142" t="str">
        <f t="shared" si="11"/>
        <v>0-1000</v>
      </c>
    </row>
    <row r="143" spans="1:46" x14ac:dyDescent="0.2">
      <c r="A143" s="44">
        <v>43762</v>
      </c>
      <c r="B143" s="31">
        <v>0.6875</v>
      </c>
      <c r="C143" s="31"/>
      <c r="D143" s="31" t="s">
        <v>150</v>
      </c>
      <c r="E143" s="33">
        <v>2</v>
      </c>
      <c r="F143" s="38" t="str">
        <f>VLOOKUP(E143,Key!$A$17:$B$21,2,FALSE)</f>
        <v>Road Vehicle</v>
      </c>
      <c r="G143" s="32">
        <v>4</v>
      </c>
      <c r="H143" s="39" t="str">
        <f>VLOOKUP(G143,Key!$A$2:$B$13,2,FALSE)</f>
        <v>Minibus</v>
      </c>
      <c r="I143" s="33" t="s">
        <v>109</v>
      </c>
      <c r="J143" s="33">
        <v>2</v>
      </c>
      <c r="K143" s="40" t="str">
        <f>VLOOKUP(J143,Key!$A$24:$B$29,2,FALSE)</f>
        <v>30-39</v>
      </c>
      <c r="L143" s="33" t="s">
        <v>151</v>
      </c>
      <c r="M143" s="29" t="s">
        <v>151</v>
      </c>
      <c r="N143" s="33" t="s">
        <v>152</v>
      </c>
      <c r="O143" s="35">
        <v>1</v>
      </c>
      <c r="P143" s="30" t="str">
        <f>VLOOKUP(O143,Key!$E$2:$F$9,2,FALSE)</f>
        <v>Home</v>
      </c>
      <c r="Q143" s="33" t="s">
        <v>151</v>
      </c>
      <c r="R143" s="29" t="s">
        <v>151</v>
      </c>
      <c r="S143" s="33" t="s">
        <v>152</v>
      </c>
      <c r="T143" s="29">
        <v>2</v>
      </c>
      <c r="U143" s="30" t="str">
        <f>VLOOKUP(T143,Key!$E$2:$F$9,2,FALSE)</f>
        <v>Work</v>
      </c>
      <c r="V143" s="30" t="str">
        <f t="shared" si="8"/>
        <v>Home-Work</v>
      </c>
      <c r="W143" s="29">
        <v>15000</v>
      </c>
      <c r="X143" s="34">
        <v>196</v>
      </c>
      <c r="Y143" s="50" t="str">
        <f t="shared" si="9"/>
        <v>100-200</v>
      </c>
      <c r="Z143" s="34">
        <v>3</v>
      </c>
      <c r="AA143" s="50" t="str">
        <f t="shared" si="10"/>
        <v>2.0-3.5</v>
      </c>
      <c r="AB143" s="29">
        <v>5</v>
      </c>
      <c r="AC143" s="30" t="str">
        <f>VLOOKUP(AB143,Key!$C$20:$D$29,2,FALSE)</f>
        <v>Professional</v>
      </c>
      <c r="AD143" s="29">
        <v>3</v>
      </c>
      <c r="AE143" s="30" t="str">
        <f>VLOOKUP(AD143,Key!$E$20:$F$24,2,FALSE)</f>
        <v>500,000-750,000</v>
      </c>
      <c r="AF143" s="29">
        <v>2</v>
      </c>
      <c r="AG143" s="34">
        <v>2</v>
      </c>
      <c r="AH143" s="34">
        <v>1</v>
      </c>
      <c r="AI143" s="34">
        <v>1</v>
      </c>
      <c r="AJ143" s="34">
        <v>5</v>
      </c>
      <c r="AK143" s="35" t="s">
        <v>94</v>
      </c>
      <c r="AL143" s="36">
        <v>10000</v>
      </c>
      <c r="AM143" t="str">
        <f t="shared" si="11"/>
        <v>Over 10000</v>
      </c>
    </row>
    <row r="144" spans="1:46" x14ac:dyDescent="0.2">
      <c r="A144" s="44">
        <v>43762</v>
      </c>
      <c r="B144" s="31">
        <v>0.67708333333333337</v>
      </c>
      <c r="C144" s="31"/>
      <c r="D144" s="31" t="s">
        <v>150</v>
      </c>
      <c r="E144" s="33">
        <v>2</v>
      </c>
      <c r="F144" s="38" t="str">
        <f>VLOOKUP(E144,Key!$A$17:$B$21,2,FALSE)</f>
        <v>Road Vehicle</v>
      </c>
      <c r="G144" s="32">
        <v>4</v>
      </c>
      <c r="H144" s="39" t="str">
        <f>VLOOKUP(G144,Key!$A$2:$B$13,2,FALSE)</f>
        <v>Minibus</v>
      </c>
      <c r="I144" s="33" t="s">
        <v>109</v>
      </c>
      <c r="J144" s="33">
        <v>2</v>
      </c>
      <c r="K144" s="40" t="str">
        <f>VLOOKUP(J144,Key!$A$24:$B$29,2,FALSE)</f>
        <v>30-39</v>
      </c>
      <c r="L144" s="33" t="s">
        <v>151</v>
      </c>
      <c r="M144" s="29" t="s">
        <v>151</v>
      </c>
      <c r="N144" s="33" t="s">
        <v>152</v>
      </c>
      <c r="O144" s="35">
        <v>4</v>
      </c>
      <c r="P144" s="30" t="str">
        <f>VLOOKUP(O144,Key!$E$2:$F$9,2,FALSE)</f>
        <v>Commercial</v>
      </c>
      <c r="Q144" s="33" t="s">
        <v>165</v>
      </c>
      <c r="R144" s="29" t="s">
        <v>165</v>
      </c>
      <c r="S144" s="33" t="s">
        <v>152</v>
      </c>
      <c r="T144" s="29">
        <v>1</v>
      </c>
      <c r="U144" s="30" t="str">
        <f>VLOOKUP(T144,Key!$E$2:$F$9,2,FALSE)</f>
        <v>Home</v>
      </c>
      <c r="V144" s="30" t="str">
        <f t="shared" si="8"/>
        <v>Commercial-Home</v>
      </c>
      <c r="W144" s="29">
        <v>15000</v>
      </c>
      <c r="X144" s="34">
        <v>100</v>
      </c>
      <c r="Y144" s="50" t="str">
        <f t="shared" si="9"/>
        <v>100-200</v>
      </c>
      <c r="Z144" s="34">
        <v>3</v>
      </c>
      <c r="AA144" s="50" t="str">
        <f t="shared" si="10"/>
        <v>2.0-3.5</v>
      </c>
      <c r="AB144" s="29">
        <v>6</v>
      </c>
      <c r="AC144" s="30" t="str">
        <f>VLOOKUP(AB144,Key!$C$20:$D$29,2,FALSE)</f>
        <v>Businessman</v>
      </c>
      <c r="AD144" s="29">
        <v>4</v>
      </c>
      <c r="AE144" s="30" t="str">
        <f>VLOOKUP(AD144,Key!$E$20:$F$24,2,FALSE)</f>
        <v>750,000-1,000,000</v>
      </c>
      <c r="AF144" s="29">
        <v>3</v>
      </c>
      <c r="AG144" s="34">
        <v>1</v>
      </c>
      <c r="AH144" s="34">
        <v>2</v>
      </c>
      <c r="AI144" s="34">
        <v>4</v>
      </c>
      <c r="AJ144" s="34">
        <v>5</v>
      </c>
      <c r="AK144" s="35" t="s">
        <v>94</v>
      </c>
      <c r="AL144" s="36">
        <v>5000</v>
      </c>
      <c r="AM144" t="str">
        <f t="shared" si="11"/>
        <v>5000-10000</v>
      </c>
    </row>
    <row r="145" spans="1:39" x14ac:dyDescent="0.2">
      <c r="A145" s="44">
        <v>43762</v>
      </c>
      <c r="B145" s="31">
        <v>0.63541666666666663</v>
      </c>
      <c r="C145" s="31"/>
      <c r="D145" s="31" t="s">
        <v>150</v>
      </c>
      <c r="E145" s="33">
        <v>2</v>
      </c>
      <c r="F145" s="38" t="str">
        <f>VLOOKUP(E145,Key!$A$17:$B$21,2,FALSE)</f>
        <v>Road Vehicle</v>
      </c>
      <c r="G145" s="32">
        <v>4</v>
      </c>
      <c r="H145" s="39" t="str">
        <f>VLOOKUP(G145,Key!$A$2:$B$13,2,FALSE)</f>
        <v>Minibus</v>
      </c>
      <c r="I145" s="33" t="s">
        <v>109</v>
      </c>
      <c r="J145" s="33">
        <v>2</v>
      </c>
      <c r="K145" s="40" t="str">
        <f>VLOOKUP(J145,Key!$A$24:$B$29,2,FALSE)</f>
        <v>30-39</v>
      </c>
      <c r="L145" s="33" t="s">
        <v>169</v>
      </c>
      <c r="M145" s="29" t="s">
        <v>168</v>
      </c>
      <c r="N145" s="33" t="s">
        <v>152</v>
      </c>
      <c r="O145" s="35">
        <v>1</v>
      </c>
      <c r="P145" s="30" t="str">
        <f>VLOOKUP(O145,Key!$E$2:$F$9,2,FALSE)</f>
        <v>Home</v>
      </c>
      <c r="Q145" s="33" t="s">
        <v>151</v>
      </c>
      <c r="R145" s="29" t="s">
        <v>151</v>
      </c>
      <c r="S145" s="33" t="s">
        <v>152</v>
      </c>
      <c r="T145" s="29">
        <v>2</v>
      </c>
      <c r="U145" s="30" t="str">
        <f>VLOOKUP(T145,Key!$E$2:$F$9,2,FALSE)</f>
        <v>Work</v>
      </c>
      <c r="V145" s="30" t="str">
        <f t="shared" si="8"/>
        <v>Home-Work</v>
      </c>
      <c r="W145" s="29">
        <v>13000</v>
      </c>
      <c r="X145" s="34"/>
      <c r="Y145" s="50" t="str">
        <f t="shared" si="9"/>
        <v>0-10</v>
      </c>
      <c r="Z145" s="34">
        <v>4</v>
      </c>
      <c r="AA145" s="50" t="str">
        <f t="shared" si="10"/>
        <v>Over 3.5</v>
      </c>
      <c r="AB145" s="29">
        <v>4</v>
      </c>
      <c r="AC145" s="30" t="str">
        <f>VLOOKUP(AB145,Key!$C$20:$D$29,2,FALSE)</f>
        <v>Office Worker</v>
      </c>
      <c r="AD145" s="29">
        <v>2</v>
      </c>
      <c r="AE145" s="30" t="str">
        <f>VLOOKUP(AD145,Key!$E$20:$F$24,2,FALSE)</f>
        <v>300,000-500,000</v>
      </c>
      <c r="AF145" s="29">
        <v>3</v>
      </c>
      <c r="AG145" s="34">
        <v>5</v>
      </c>
      <c r="AH145" s="34">
        <v>1</v>
      </c>
      <c r="AI145" s="34">
        <v>2</v>
      </c>
      <c r="AJ145" s="34">
        <v>4</v>
      </c>
      <c r="AK145" s="35" t="s">
        <v>94</v>
      </c>
      <c r="AL145" s="36"/>
      <c r="AM145" t="str">
        <f t="shared" si="11"/>
        <v>0-1000</v>
      </c>
    </row>
    <row r="146" spans="1:39" x14ac:dyDescent="0.2">
      <c r="A146" s="44">
        <v>43762</v>
      </c>
      <c r="B146" s="31">
        <v>0.71319444444444446</v>
      </c>
      <c r="C146" s="31"/>
      <c r="D146" s="31" t="s">
        <v>150</v>
      </c>
      <c r="E146" s="33">
        <v>2</v>
      </c>
      <c r="F146" s="38" t="str">
        <f>VLOOKUP(E146,Key!$A$17:$B$21,2,FALSE)</f>
        <v>Road Vehicle</v>
      </c>
      <c r="G146" s="32">
        <v>4</v>
      </c>
      <c r="H146" s="39" t="str">
        <f>VLOOKUP(G146,Key!$A$2:$B$13,2,FALSE)</f>
        <v>Minibus</v>
      </c>
      <c r="I146" s="33" t="s">
        <v>109</v>
      </c>
      <c r="J146" s="33">
        <v>2</v>
      </c>
      <c r="K146" s="40" t="str">
        <f>VLOOKUP(J146,Key!$A$24:$B$29,2,FALSE)</f>
        <v>30-39</v>
      </c>
      <c r="L146" s="33" t="s">
        <v>160</v>
      </c>
      <c r="M146" s="29" t="s">
        <v>160</v>
      </c>
      <c r="N146" s="33" t="s">
        <v>152</v>
      </c>
      <c r="O146" s="35">
        <v>4</v>
      </c>
      <c r="P146" s="30" t="str">
        <f>VLOOKUP(O146,Key!$E$2:$F$9,2,FALSE)</f>
        <v>Commercial</v>
      </c>
      <c r="Q146" s="33" t="s">
        <v>151</v>
      </c>
      <c r="R146" s="29" t="s">
        <v>151</v>
      </c>
      <c r="S146" s="33" t="s">
        <v>152</v>
      </c>
      <c r="T146" s="29">
        <v>4</v>
      </c>
      <c r="U146" s="30" t="str">
        <f>VLOOKUP(T146,Key!$E$2:$F$9,2,FALSE)</f>
        <v>Commercial</v>
      </c>
      <c r="V146" s="30" t="str">
        <f t="shared" si="8"/>
        <v>Commercial-Commercial</v>
      </c>
      <c r="W146" s="29">
        <v>50000</v>
      </c>
      <c r="X146" s="34"/>
      <c r="Y146" s="50" t="str">
        <f t="shared" si="9"/>
        <v>0-10</v>
      </c>
      <c r="Z146" s="34">
        <v>2</v>
      </c>
      <c r="AA146" s="50" t="str">
        <f t="shared" si="10"/>
        <v>2.0-3.5</v>
      </c>
      <c r="AB146" s="29">
        <v>10</v>
      </c>
      <c r="AC146" s="30" t="str">
        <f>VLOOKUP(AB146,Key!$C$20:$D$29,2,FALSE)</f>
        <v>Other</v>
      </c>
      <c r="AD146" s="29">
        <v>4</v>
      </c>
      <c r="AE146" s="30" t="str">
        <f>VLOOKUP(AD146,Key!$E$20:$F$24,2,FALSE)</f>
        <v>750,000-1,000,000</v>
      </c>
      <c r="AF146" s="29">
        <v>4</v>
      </c>
      <c r="AG146" s="34">
        <v>4</v>
      </c>
      <c r="AH146" s="34">
        <v>3</v>
      </c>
      <c r="AI146" s="34">
        <v>1</v>
      </c>
      <c r="AJ146" s="34">
        <v>2</v>
      </c>
      <c r="AK146" s="35" t="s">
        <v>94</v>
      </c>
      <c r="AL146" s="36">
        <v>2000</v>
      </c>
      <c r="AM146" t="str">
        <f t="shared" si="11"/>
        <v>2000-3000</v>
      </c>
    </row>
    <row r="147" spans="1:39" x14ac:dyDescent="0.2">
      <c r="A147" s="44">
        <v>43762</v>
      </c>
      <c r="B147" s="31">
        <v>0.71875</v>
      </c>
      <c r="C147" s="31"/>
      <c r="D147" s="31" t="s">
        <v>150</v>
      </c>
      <c r="E147" s="33">
        <v>2</v>
      </c>
      <c r="F147" s="38" t="str">
        <f>VLOOKUP(E147,Key!$A$17:$B$21,2,FALSE)</f>
        <v>Road Vehicle</v>
      </c>
      <c r="G147" s="32">
        <v>4</v>
      </c>
      <c r="H147" s="39" t="str">
        <f>VLOOKUP(G147,Key!$A$2:$B$13,2,FALSE)</f>
        <v>Minibus</v>
      </c>
      <c r="I147" s="33" t="s">
        <v>109</v>
      </c>
      <c r="J147" s="33">
        <v>2</v>
      </c>
      <c r="K147" s="40" t="str">
        <f>VLOOKUP(J147,Key!$A$24:$B$29,2,FALSE)</f>
        <v>30-39</v>
      </c>
      <c r="L147" s="33" t="s">
        <v>153</v>
      </c>
      <c r="M147" s="29" t="s">
        <v>153</v>
      </c>
      <c r="N147" s="33" t="s">
        <v>152</v>
      </c>
      <c r="O147" s="35">
        <v>4</v>
      </c>
      <c r="P147" s="30" t="str">
        <f>VLOOKUP(O147,Key!$E$2:$F$9,2,FALSE)</f>
        <v>Commercial</v>
      </c>
      <c r="Q147" s="33" t="s">
        <v>151</v>
      </c>
      <c r="R147" s="29" t="s">
        <v>151</v>
      </c>
      <c r="S147" s="33" t="s">
        <v>152</v>
      </c>
      <c r="T147" s="29">
        <v>4</v>
      </c>
      <c r="U147" s="30" t="str">
        <f>VLOOKUP(T147,Key!$E$2:$F$9,2,FALSE)</f>
        <v>Commercial</v>
      </c>
      <c r="V147" s="30" t="str">
        <f t="shared" si="8"/>
        <v>Commercial-Commercial</v>
      </c>
      <c r="W147" s="29">
        <v>200000</v>
      </c>
      <c r="X147" s="34"/>
      <c r="Y147" s="50" t="str">
        <f t="shared" si="9"/>
        <v>0-10</v>
      </c>
      <c r="Z147" s="34">
        <v>3</v>
      </c>
      <c r="AA147" s="50" t="str">
        <f t="shared" si="10"/>
        <v>2.0-3.5</v>
      </c>
      <c r="AB147" s="29">
        <v>10</v>
      </c>
      <c r="AC147" s="30" t="str">
        <f>VLOOKUP(AB147,Key!$C$20:$D$29,2,FALSE)</f>
        <v>Other</v>
      </c>
      <c r="AD147" s="29">
        <v>5</v>
      </c>
      <c r="AE147" s="30" t="str">
        <f>VLOOKUP(AD147,Key!$E$20:$F$24,2,FALSE)</f>
        <v>&gt;1,000,000</v>
      </c>
      <c r="AF147" s="29">
        <v>1</v>
      </c>
      <c r="AG147" s="34">
        <v>1</v>
      </c>
      <c r="AH147" s="34">
        <v>3</v>
      </c>
      <c r="AI147" s="34">
        <v>4</v>
      </c>
      <c r="AJ147" s="34">
        <v>5</v>
      </c>
      <c r="AK147" s="35" t="s">
        <v>94</v>
      </c>
      <c r="AL147" s="36"/>
      <c r="AM147" t="str">
        <f t="shared" si="11"/>
        <v>0-1000</v>
      </c>
    </row>
    <row r="148" spans="1:39" x14ac:dyDescent="0.2">
      <c r="A148" s="44">
        <v>43762</v>
      </c>
      <c r="B148" s="31">
        <v>0.72291666666666676</v>
      </c>
      <c r="C148" s="31"/>
      <c r="D148" s="31" t="s">
        <v>97</v>
      </c>
      <c r="E148" s="33">
        <v>2</v>
      </c>
      <c r="F148" s="38" t="str">
        <f>VLOOKUP(E148,Key!$A$17:$B$21,2,FALSE)</f>
        <v>Road Vehicle</v>
      </c>
      <c r="G148" s="32">
        <v>4</v>
      </c>
      <c r="H148" s="39" t="str">
        <f>VLOOKUP(G148,Key!$A$2:$B$13,2,FALSE)</f>
        <v>Minibus</v>
      </c>
      <c r="I148" s="33" t="s">
        <v>109</v>
      </c>
      <c r="J148" s="33">
        <v>2</v>
      </c>
      <c r="K148" s="40" t="str">
        <f>VLOOKUP(J148,Key!$A$24:$B$29,2,FALSE)</f>
        <v>30-39</v>
      </c>
      <c r="L148" s="33" t="s">
        <v>153</v>
      </c>
      <c r="M148" s="29" t="s">
        <v>153</v>
      </c>
      <c r="N148" s="33" t="s">
        <v>152</v>
      </c>
      <c r="O148" s="35">
        <v>4</v>
      </c>
      <c r="P148" s="30" t="str">
        <f>VLOOKUP(O148,Key!$E$2:$F$9,2,FALSE)</f>
        <v>Commercial</v>
      </c>
      <c r="Q148" s="33" t="s">
        <v>165</v>
      </c>
      <c r="R148" s="29" t="s">
        <v>165</v>
      </c>
      <c r="S148" s="33" t="s">
        <v>152</v>
      </c>
      <c r="T148" s="29">
        <v>1</v>
      </c>
      <c r="U148" s="30" t="str">
        <f>VLOOKUP(T148,Key!$E$2:$F$9,2,FALSE)</f>
        <v>Home</v>
      </c>
      <c r="V148" s="30" t="str">
        <f t="shared" si="8"/>
        <v>Commercial-Home</v>
      </c>
      <c r="W148" s="29">
        <v>350000</v>
      </c>
      <c r="X148" s="34"/>
      <c r="Y148" s="50" t="str">
        <f t="shared" si="9"/>
        <v>0-10</v>
      </c>
      <c r="Z148" s="34">
        <v>6</v>
      </c>
      <c r="AA148" s="50" t="str">
        <f t="shared" si="10"/>
        <v>Over 3.5</v>
      </c>
      <c r="AB148" s="29">
        <v>6</v>
      </c>
      <c r="AC148" s="30" t="str">
        <f>VLOOKUP(AB148,Key!$C$20:$D$29,2,FALSE)</f>
        <v>Businessman</v>
      </c>
      <c r="AD148" s="29">
        <v>5</v>
      </c>
      <c r="AE148" s="30" t="str">
        <f>VLOOKUP(AD148,Key!$E$20:$F$24,2,FALSE)</f>
        <v>&gt;1,000,000</v>
      </c>
      <c r="AF148" s="29">
        <v>5</v>
      </c>
      <c r="AG148" s="34">
        <v>1</v>
      </c>
      <c r="AH148" s="34">
        <v>2</v>
      </c>
      <c r="AI148" s="34">
        <v>3</v>
      </c>
      <c r="AJ148" s="34">
        <v>4</v>
      </c>
      <c r="AK148" s="35" t="s">
        <v>94</v>
      </c>
      <c r="AL148" s="36">
        <v>3000</v>
      </c>
      <c r="AM148" t="str">
        <f t="shared" si="11"/>
        <v>3000-5000</v>
      </c>
    </row>
    <row r="149" spans="1:39" x14ac:dyDescent="0.2">
      <c r="A149" s="44">
        <v>43762</v>
      </c>
      <c r="B149" s="31">
        <v>0.7319444444444444</v>
      </c>
      <c r="C149" s="31"/>
      <c r="D149" s="31" t="s">
        <v>150</v>
      </c>
      <c r="E149" s="33">
        <v>2</v>
      </c>
      <c r="F149" s="38" t="str">
        <f>VLOOKUP(E149,Key!$A$17:$B$21,2,FALSE)</f>
        <v>Road Vehicle</v>
      </c>
      <c r="G149" s="32">
        <v>4</v>
      </c>
      <c r="H149" s="39" t="str">
        <f>VLOOKUP(G149,Key!$A$2:$B$13,2,FALSE)</f>
        <v>Minibus</v>
      </c>
      <c r="I149" s="33" t="s">
        <v>109</v>
      </c>
      <c r="J149" s="33">
        <v>2</v>
      </c>
      <c r="K149" s="40" t="str">
        <f>VLOOKUP(J149,Key!$A$24:$B$29,2,FALSE)</f>
        <v>30-39</v>
      </c>
      <c r="L149" s="33" t="s">
        <v>174</v>
      </c>
      <c r="M149" s="29" t="s">
        <v>174</v>
      </c>
      <c r="N149" s="33" t="s">
        <v>152</v>
      </c>
      <c r="O149" s="35">
        <v>1</v>
      </c>
      <c r="P149" s="30" t="str">
        <f>VLOOKUP(O149,Key!$E$2:$F$9,2,FALSE)</f>
        <v>Home</v>
      </c>
      <c r="Q149" s="33" t="s">
        <v>151</v>
      </c>
      <c r="R149" s="29" t="s">
        <v>151</v>
      </c>
      <c r="S149" s="33" t="s">
        <v>152</v>
      </c>
      <c r="T149" s="29">
        <v>4</v>
      </c>
      <c r="U149" s="30" t="str">
        <f>VLOOKUP(T149,Key!$E$2:$F$9,2,FALSE)</f>
        <v>Commercial</v>
      </c>
      <c r="V149" s="30" t="str">
        <f t="shared" si="8"/>
        <v>Home-Commercial</v>
      </c>
      <c r="W149" s="29">
        <v>18000</v>
      </c>
      <c r="X149" s="34"/>
      <c r="Y149" s="50" t="str">
        <f t="shared" si="9"/>
        <v>0-10</v>
      </c>
      <c r="Z149" s="34">
        <v>3</v>
      </c>
      <c r="AA149" s="50" t="str">
        <f t="shared" si="10"/>
        <v>2.0-3.5</v>
      </c>
      <c r="AB149" s="29">
        <v>6</v>
      </c>
      <c r="AC149" s="30" t="str">
        <f>VLOOKUP(AB149,Key!$C$20:$D$29,2,FALSE)</f>
        <v>Businessman</v>
      </c>
      <c r="AD149" s="29">
        <v>4</v>
      </c>
      <c r="AE149" s="30" t="str">
        <f>VLOOKUP(AD149,Key!$E$20:$F$24,2,FALSE)</f>
        <v>750,000-1,000,000</v>
      </c>
      <c r="AF149" s="29">
        <v>1</v>
      </c>
      <c r="AG149" s="34">
        <v>1</v>
      </c>
      <c r="AH149" s="34">
        <v>2</v>
      </c>
      <c r="AI149" s="34">
        <v>5</v>
      </c>
      <c r="AJ149" s="34">
        <v>4</v>
      </c>
      <c r="AK149" s="35" t="s">
        <v>94</v>
      </c>
      <c r="AL149" s="36">
        <v>10000</v>
      </c>
      <c r="AM149" t="str">
        <f t="shared" si="11"/>
        <v>Over 10000</v>
      </c>
    </row>
    <row r="150" spans="1:39" x14ac:dyDescent="0.2">
      <c r="A150" s="44">
        <v>43762</v>
      </c>
      <c r="B150" s="31">
        <v>0.7368055555555556</v>
      </c>
      <c r="C150" s="31"/>
      <c r="D150" s="31" t="s">
        <v>97</v>
      </c>
      <c r="E150" s="33">
        <v>2</v>
      </c>
      <c r="F150" s="38" t="str">
        <f>VLOOKUP(E150,Key!$A$17:$B$21,2,FALSE)</f>
        <v>Road Vehicle</v>
      </c>
      <c r="G150" s="32">
        <v>4</v>
      </c>
      <c r="H150" s="39" t="str">
        <f>VLOOKUP(G150,Key!$A$2:$B$13,2,FALSE)</f>
        <v>Minibus</v>
      </c>
      <c r="I150" s="33" t="s">
        <v>109</v>
      </c>
      <c r="J150" s="33">
        <v>2</v>
      </c>
      <c r="K150" s="40" t="str">
        <f>VLOOKUP(J150,Key!$A$24:$B$29,2,FALSE)</f>
        <v>30-39</v>
      </c>
      <c r="L150" s="33" t="s">
        <v>175</v>
      </c>
      <c r="M150" s="29" t="s">
        <v>175</v>
      </c>
      <c r="N150" s="33" t="s">
        <v>152</v>
      </c>
      <c r="O150" s="35">
        <v>2</v>
      </c>
      <c r="P150" s="30" t="str">
        <f>VLOOKUP(O150,Key!$E$2:$F$9,2,FALSE)</f>
        <v>Work</v>
      </c>
      <c r="Q150" s="33" t="s">
        <v>151</v>
      </c>
      <c r="R150" s="29" t="s">
        <v>151</v>
      </c>
      <c r="S150" s="33" t="s">
        <v>152</v>
      </c>
      <c r="T150" s="29">
        <v>2</v>
      </c>
      <c r="U150" s="30" t="str">
        <f>VLOOKUP(T150,Key!$E$2:$F$9,2,FALSE)</f>
        <v>Work</v>
      </c>
      <c r="V150" s="30" t="str">
        <f t="shared" si="8"/>
        <v>Work-Work</v>
      </c>
      <c r="W150" s="29">
        <v>120000</v>
      </c>
      <c r="X150" s="34"/>
      <c r="Y150" s="50" t="str">
        <f t="shared" si="9"/>
        <v>0-10</v>
      </c>
      <c r="Z150" s="34">
        <v>4</v>
      </c>
      <c r="AA150" s="50" t="str">
        <f t="shared" si="10"/>
        <v>Over 3.5</v>
      </c>
      <c r="AB150" s="29">
        <v>10</v>
      </c>
      <c r="AC150" s="30" t="str">
        <f>VLOOKUP(AB150,Key!$C$20:$D$29,2,FALSE)</f>
        <v>Other</v>
      </c>
      <c r="AD150" s="29">
        <v>3</v>
      </c>
      <c r="AE150" s="30" t="str">
        <f>VLOOKUP(AD150,Key!$E$20:$F$24,2,FALSE)</f>
        <v>500,000-750,000</v>
      </c>
      <c r="AF150" s="29">
        <v>3</v>
      </c>
      <c r="AG150" s="34">
        <v>4</v>
      </c>
      <c r="AH150" s="34">
        <v>5</v>
      </c>
      <c r="AI150" s="34">
        <v>1</v>
      </c>
      <c r="AJ150" s="34">
        <v>2</v>
      </c>
      <c r="AK150" s="35" t="s">
        <v>94</v>
      </c>
      <c r="AL150" s="36">
        <v>3000</v>
      </c>
      <c r="AM150" t="str">
        <f t="shared" si="11"/>
        <v>3000-5000</v>
      </c>
    </row>
    <row r="151" spans="1:39" x14ac:dyDescent="0.2">
      <c r="A151" s="44">
        <v>43762</v>
      </c>
      <c r="B151" s="31">
        <v>0.74444444444444446</v>
      </c>
      <c r="C151" s="31"/>
      <c r="D151" s="31" t="s">
        <v>97</v>
      </c>
      <c r="E151" s="33">
        <v>2</v>
      </c>
      <c r="F151" s="38" t="str">
        <f>VLOOKUP(E151,Key!$A$17:$B$21,2,FALSE)</f>
        <v>Road Vehicle</v>
      </c>
      <c r="G151" s="32">
        <v>4</v>
      </c>
      <c r="H151" s="39" t="str">
        <f>VLOOKUP(G151,Key!$A$2:$B$13,2,FALSE)</f>
        <v>Minibus</v>
      </c>
      <c r="I151" s="33" t="s">
        <v>109</v>
      </c>
      <c r="J151" s="33">
        <v>2</v>
      </c>
      <c r="K151" s="40" t="str">
        <f>VLOOKUP(J151,Key!$A$24:$B$29,2,FALSE)</f>
        <v>30-39</v>
      </c>
      <c r="L151" s="33" t="s">
        <v>151</v>
      </c>
      <c r="M151" s="29" t="s">
        <v>151</v>
      </c>
      <c r="N151" s="33" t="s">
        <v>152</v>
      </c>
      <c r="O151" s="35">
        <v>4</v>
      </c>
      <c r="P151" s="30" t="str">
        <f>VLOOKUP(O151,Key!$E$2:$F$9,2,FALSE)</f>
        <v>Commercial</v>
      </c>
      <c r="Q151" s="33" t="s">
        <v>153</v>
      </c>
      <c r="R151" s="29" t="s">
        <v>153</v>
      </c>
      <c r="S151" s="33" t="s">
        <v>152</v>
      </c>
      <c r="T151" s="29">
        <v>4</v>
      </c>
      <c r="U151" s="30" t="str">
        <f>VLOOKUP(T151,Key!$E$2:$F$9,2,FALSE)</f>
        <v>Commercial</v>
      </c>
      <c r="V151" s="30" t="str">
        <f t="shared" si="8"/>
        <v>Commercial-Commercial</v>
      </c>
      <c r="W151" s="29">
        <v>310000</v>
      </c>
      <c r="X151" s="34"/>
      <c r="Y151" s="50" t="str">
        <f t="shared" si="9"/>
        <v>0-10</v>
      </c>
      <c r="Z151" s="34">
        <v>4</v>
      </c>
      <c r="AA151" s="50" t="str">
        <f t="shared" si="10"/>
        <v>Over 3.5</v>
      </c>
      <c r="AB151" s="29">
        <v>10</v>
      </c>
      <c r="AC151" s="30" t="str">
        <f>VLOOKUP(AB151,Key!$C$20:$D$29,2,FALSE)</f>
        <v>Other</v>
      </c>
      <c r="AD151" s="29">
        <v>4</v>
      </c>
      <c r="AE151" s="30" t="str">
        <f>VLOOKUP(AD151,Key!$E$20:$F$24,2,FALSE)</f>
        <v>750,000-1,000,000</v>
      </c>
      <c r="AF151" s="29">
        <v>5</v>
      </c>
      <c r="AG151" s="34">
        <v>2</v>
      </c>
      <c r="AH151" s="34">
        <v>1</v>
      </c>
      <c r="AI151" s="34">
        <v>3</v>
      </c>
      <c r="AJ151" s="34">
        <v>4</v>
      </c>
      <c r="AK151" s="35" t="s">
        <v>94</v>
      </c>
      <c r="AL151" s="36"/>
      <c r="AM151" t="str">
        <f t="shared" si="11"/>
        <v>0-1000</v>
      </c>
    </row>
    <row r="152" spans="1:39" x14ac:dyDescent="0.2">
      <c r="A152" s="44">
        <v>43762</v>
      </c>
      <c r="B152" s="31">
        <v>0.34930555555555554</v>
      </c>
      <c r="C152" s="31"/>
      <c r="D152" s="31" t="s">
        <v>97</v>
      </c>
      <c r="E152" s="33">
        <v>2</v>
      </c>
      <c r="F152" s="38" t="str">
        <f>VLOOKUP(E152,Key!$A$17:$B$21,2,FALSE)</f>
        <v>Road Vehicle</v>
      </c>
      <c r="G152" s="32">
        <v>4</v>
      </c>
      <c r="H152" s="39" t="str">
        <f>VLOOKUP(G152,Key!$A$2:$B$13,2,FALSE)</f>
        <v>Minibus</v>
      </c>
      <c r="I152" s="33" t="s">
        <v>109</v>
      </c>
      <c r="J152" s="33">
        <v>2</v>
      </c>
      <c r="K152" s="40" t="str">
        <f>VLOOKUP(J152,Key!$A$24:$B$29,2,FALSE)</f>
        <v>30-39</v>
      </c>
      <c r="L152" s="33" t="s">
        <v>151</v>
      </c>
      <c r="M152" s="29" t="s">
        <v>151</v>
      </c>
      <c r="N152" s="33" t="s">
        <v>152</v>
      </c>
      <c r="O152" s="35">
        <v>1</v>
      </c>
      <c r="P152" s="30" t="str">
        <f>VLOOKUP(O152,Key!$E$2:$F$9,2,FALSE)</f>
        <v>Home</v>
      </c>
      <c r="Q152" s="33" t="s">
        <v>160</v>
      </c>
      <c r="R152" s="29" t="s">
        <v>160</v>
      </c>
      <c r="S152" s="33" t="s">
        <v>152</v>
      </c>
      <c r="T152" s="29">
        <v>3</v>
      </c>
      <c r="U152" s="30" t="str">
        <f>VLOOKUP(T152,Key!$E$2:$F$9,2,FALSE)</f>
        <v>Study</v>
      </c>
      <c r="V152" s="30" t="str">
        <f t="shared" si="8"/>
        <v>Home-Study</v>
      </c>
      <c r="W152" s="29">
        <v>100000</v>
      </c>
      <c r="X152" s="34">
        <v>45</v>
      </c>
      <c r="Y152" s="50" t="str">
        <f t="shared" si="9"/>
        <v>40-70</v>
      </c>
      <c r="Z152" s="34">
        <v>2</v>
      </c>
      <c r="AA152" s="50" t="str">
        <f t="shared" si="10"/>
        <v>2.0-3.5</v>
      </c>
      <c r="AB152" s="29">
        <v>6</v>
      </c>
      <c r="AC152" s="30" t="str">
        <f>VLOOKUP(AB152,Key!$C$20:$D$29,2,FALSE)</f>
        <v>Businessman</v>
      </c>
      <c r="AD152" s="29">
        <v>4</v>
      </c>
      <c r="AE152" s="30" t="str">
        <f>VLOOKUP(AD152,Key!$E$20:$F$24,2,FALSE)</f>
        <v>750,000-1,000,000</v>
      </c>
      <c r="AF152" s="29">
        <v>5</v>
      </c>
      <c r="AG152" s="34">
        <v>2</v>
      </c>
      <c r="AH152" s="34">
        <v>3</v>
      </c>
      <c r="AI152" s="34">
        <v>1</v>
      </c>
      <c r="AJ152" s="34">
        <v>4</v>
      </c>
      <c r="AK152" s="35" t="s">
        <v>94</v>
      </c>
      <c r="AL152" s="36"/>
      <c r="AM152" t="str">
        <f t="shared" si="11"/>
        <v>0-1000</v>
      </c>
    </row>
    <row r="153" spans="1:39" x14ac:dyDescent="0.2">
      <c r="A153" s="44">
        <v>43762</v>
      </c>
      <c r="B153" s="31">
        <v>0.36180555555555555</v>
      </c>
      <c r="C153" s="31"/>
      <c r="D153" s="31" t="s">
        <v>150</v>
      </c>
      <c r="E153" s="33">
        <v>2</v>
      </c>
      <c r="F153" s="38" t="str">
        <f>VLOOKUP(E153,Key!$A$17:$B$21,2,FALSE)</f>
        <v>Road Vehicle</v>
      </c>
      <c r="G153" s="32">
        <v>4</v>
      </c>
      <c r="H153" s="39" t="str">
        <f>VLOOKUP(G153,Key!$A$2:$B$13,2,FALSE)</f>
        <v>Minibus</v>
      </c>
      <c r="I153" s="33" t="s">
        <v>109</v>
      </c>
      <c r="J153" s="33">
        <v>2</v>
      </c>
      <c r="K153" s="40" t="str">
        <f>VLOOKUP(J153,Key!$A$24:$B$29,2,FALSE)</f>
        <v>30-39</v>
      </c>
      <c r="L153" s="33" t="s">
        <v>151</v>
      </c>
      <c r="M153" s="29" t="s">
        <v>151</v>
      </c>
      <c r="N153" s="33" t="s">
        <v>152</v>
      </c>
      <c r="O153" s="35">
        <v>1</v>
      </c>
      <c r="P153" s="30" t="str">
        <f>VLOOKUP(O153,Key!$E$2:$F$9,2,FALSE)</f>
        <v>Home</v>
      </c>
      <c r="Q153" s="33" t="s">
        <v>179</v>
      </c>
      <c r="R153" s="29" t="s">
        <v>180</v>
      </c>
      <c r="S153" s="33" t="s">
        <v>152</v>
      </c>
      <c r="T153" s="29">
        <v>4</v>
      </c>
      <c r="U153" s="30" t="str">
        <f>VLOOKUP(T153,Key!$E$2:$F$9,2,FALSE)</f>
        <v>Commercial</v>
      </c>
      <c r="V153" s="30" t="str">
        <f t="shared" si="8"/>
        <v>Home-Commercial</v>
      </c>
      <c r="W153" s="29">
        <v>10000</v>
      </c>
      <c r="X153" s="34"/>
      <c r="Y153" s="50" t="str">
        <f t="shared" si="9"/>
        <v>0-10</v>
      </c>
      <c r="Z153" s="34">
        <v>3</v>
      </c>
      <c r="AA153" s="50" t="str">
        <f t="shared" si="10"/>
        <v>2.0-3.5</v>
      </c>
      <c r="AB153" s="29">
        <v>7</v>
      </c>
      <c r="AC153" s="30" t="str">
        <f>VLOOKUP(AB153,Key!$C$20:$D$29,2,FALSE)</f>
        <v>Farmer</v>
      </c>
      <c r="AD153" s="29">
        <v>2</v>
      </c>
      <c r="AE153" s="30" t="str">
        <f>VLOOKUP(AD153,Key!$E$20:$F$24,2,FALSE)</f>
        <v>300,000-500,000</v>
      </c>
      <c r="AF153" s="29">
        <v>2</v>
      </c>
      <c r="AG153" s="34">
        <v>1</v>
      </c>
      <c r="AH153" s="34">
        <v>3</v>
      </c>
      <c r="AI153" s="34">
        <v>5</v>
      </c>
      <c r="AJ153" s="34">
        <v>4</v>
      </c>
      <c r="AK153" s="35" t="s">
        <v>94</v>
      </c>
      <c r="AL153" s="36">
        <v>1000</v>
      </c>
      <c r="AM153" t="str">
        <f t="shared" si="11"/>
        <v>1000-2000</v>
      </c>
    </row>
    <row r="154" spans="1:39" x14ac:dyDescent="0.2">
      <c r="A154" s="44">
        <v>43762</v>
      </c>
      <c r="B154" s="31">
        <v>0.38958333333333334</v>
      </c>
      <c r="C154" s="31"/>
      <c r="D154" s="31" t="s">
        <v>97</v>
      </c>
      <c r="E154" s="33">
        <v>2</v>
      </c>
      <c r="F154" s="38" t="str">
        <f>VLOOKUP(E154,Key!$A$17:$B$21,2,FALSE)</f>
        <v>Road Vehicle</v>
      </c>
      <c r="G154" s="32">
        <v>4</v>
      </c>
      <c r="H154" s="39" t="str">
        <f>VLOOKUP(G154,Key!$A$2:$B$13,2,FALSE)</f>
        <v>Minibus</v>
      </c>
      <c r="I154" s="33" t="s">
        <v>109</v>
      </c>
      <c r="J154" s="33">
        <v>2</v>
      </c>
      <c r="K154" s="40" t="str">
        <f>VLOOKUP(J154,Key!$A$24:$B$29,2,FALSE)</f>
        <v>30-39</v>
      </c>
      <c r="L154" s="33" t="s">
        <v>151</v>
      </c>
      <c r="M154" s="29" t="s">
        <v>151</v>
      </c>
      <c r="N154" s="33" t="s">
        <v>152</v>
      </c>
      <c r="O154" s="35">
        <v>1</v>
      </c>
      <c r="P154" s="30" t="str">
        <f>VLOOKUP(O154,Key!$E$2:$F$9,2,FALSE)</f>
        <v>Home</v>
      </c>
      <c r="Q154" s="33" t="s">
        <v>165</v>
      </c>
      <c r="R154" s="29" t="s">
        <v>168</v>
      </c>
      <c r="S154" s="33" t="s">
        <v>152</v>
      </c>
      <c r="T154" s="29">
        <v>2</v>
      </c>
      <c r="U154" s="30" t="str">
        <f>VLOOKUP(T154,Key!$E$2:$F$9,2,FALSE)</f>
        <v>Work</v>
      </c>
      <c r="V154" s="30" t="str">
        <f t="shared" si="8"/>
        <v>Home-Work</v>
      </c>
      <c r="W154" s="29">
        <v>10000</v>
      </c>
      <c r="X154" s="34">
        <v>90</v>
      </c>
      <c r="Y154" s="50" t="str">
        <f t="shared" si="9"/>
        <v>70-100</v>
      </c>
      <c r="Z154" s="34">
        <v>2</v>
      </c>
      <c r="AA154" s="50" t="str">
        <f t="shared" si="10"/>
        <v>2.0-3.5</v>
      </c>
      <c r="AB154" s="29">
        <v>5</v>
      </c>
      <c r="AC154" s="30" t="str">
        <f>VLOOKUP(AB154,Key!$C$20:$D$29,2,FALSE)</f>
        <v>Professional</v>
      </c>
      <c r="AD154" s="29">
        <v>2</v>
      </c>
      <c r="AE154" s="30" t="str">
        <f>VLOOKUP(AD154,Key!$E$20:$F$24,2,FALSE)</f>
        <v>300,000-500,000</v>
      </c>
      <c r="AF154" s="29">
        <v>2</v>
      </c>
      <c r="AG154" s="34">
        <v>3</v>
      </c>
      <c r="AH154" s="34">
        <v>1</v>
      </c>
      <c r="AI154" s="34">
        <v>4</v>
      </c>
      <c r="AJ154" s="34">
        <v>2</v>
      </c>
      <c r="AK154" s="35" t="s">
        <v>94</v>
      </c>
      <c r="AL154" s="36">
        <v>5000</v>
      </c>
      <c r="AM154" t="str">
        <f t="shared" si="11"/>
        <v>5000-10000</v>
      </c>
    </row>
    <row r="155" spans="1:39" x14ac:dyDescent="0.2">
      <c r="A155" s="44">
        <v>43763</v>
      </c>
      <c r="B155" s="31">
        <v>0.34722222222222227</v>
      </c>
      <c r="C155" s="31"/>
      <c r="D155" s="31" t="s">
        <v>97</v>
      </c>
      <c r="E155" s="33">
        <v>2</v>
      </c>
      <c r="F155" s="38" t="str">
        <f>VLOOKUP(E155,Key!$A$17:$B$21,2,FALSE)</f>
        <v>Road Vehicle</v>
      </c>
      <c r="G155" s="32">
        <v>4</v>
      </c>
      <c r="H155" s="39" t="str">
        <f>VLOOKUP(G155,Key!$A$2:$B$13,2,FALSE)</f>
        <v>Minibus</v>
      </c>
      <c r="I155" s="33" t="s">
        <v>109</v>
      </c>
      <c r="J155" s="33">
        <v>2</v>
      </c>
      <c r="K155" s="40" t="str">
        <f>VLOOKUP(J155,Key!$A$24:$B$29,2,FALSE)</f>
        <v>30-39</v>
      </c>
      <c r="L155" s="33" t="s">
        <v>151</v>
      </c>
      <c r="M155" s="29" t="s">
        <v>151</v>
      </c>
      <c r="N155" s="33" t="s">
        <v>152</v>
      </c>
      <c r="O155" s="35">
        <v>2</v>
      </c>
      <c r="P155" s="30" t="str">
        <f>VLOOKUP(O155,Key!$E$2:$F$9,2,FALSE)</f>
        <v>Work</v>
      </c>
      <c r="Q155" s="33" t="s">
        <v>160</v>
      </c>
      <c r="R155" s="29" t="s">
        <v>160</v>
      </c>
      <c r="S155" s="33" t="s">
        <v>152</v>
      </c>
      <c r="T155" s="29">
        <v>2</v>
      </c>
      <c r="U155" s="30" t="str">
        <f>VLOOKUP(T155,Key!$E$2:$F$9,2,FALSE)</f>
        <v>Work</v>
      </c>
      <c r="V155" s="30" t="str">
        <f t="shared" si="8"/>
        <v>Work-Work</v>
      </c>
      <c r="W155" s="29">
        <v>100000</v>
      </c>
      <c r="X155" s="34">
        <v>45</v>
      </c>
      <c r="Y155" s="50" t="str">
        <f t="shared" si="9"/>
        <v>40-70</v>
      </c>
      <c r="Z155" s="34">
        <v>2</v>
      </c>
      <c r="AA155" s="50" t="str">
        <f t="shared" si="10"/>
        <v>2.0-3.5</v>
      </c>
      <c r="AB155" s="29">
        <v>2</v>
      </c>
      <c r="AC155" s="30" t="str">
        <f>VLOOKUP(AB155,Key!$C$20:$D$29,2,FALSE)</f>
        <v>Manual Labour</v>
      </c>
      <c r="AD155" s="29">
        <v>4</v>
      </c>
      <c r="AE155" s="30" t="str">
        <f>VLOOKUP(AD155,Key!$E$20:$F$24,2,FALSE)</f>
        <v>750,000-1,000,000</v>
      </c>
      <c r="AF155" s="29">
        <v>2</v>
      </c>
      <c r="AG155" s="34">
        <v>3</v>
      </c>
      <c r="AH155" s="34">
        <v>5</v>
      </c>
      <c r="AI155" s="34">
        <v>1</v>
      </c>
      <c r="AJ155" s="34">
        <v>4</v>
      </c>
      <c r="AK155" s="35" t="s">
        <v>94</v>
      </c>
      <c r="AL155" s="36">
        <v>5000</v>
      </c>
      <c r="AM155" t="str">
        <f t="shared" si="11"/>
        <v>5000-10000</v>
      </c>
    </row>
    <row r="156" spans="1:39" x14ac:dyDescent="0.2">
      <c r="A156" s="44">
        <v>43763</v>
      </c>
      <c r="B156" s="31">
        <v>0.34930555555555554</v>
      </c>
      <c r="C156" s="31"/>
      <c r="D156" s="31" t="s">
        <v>97</v>
      </c>
      <c r="E156" s="33">
        <v>2</v>
      </c>
      <c r="F156" s="38" t="str">
        <f>VLOOKUP(E156,Key!$A$17:$B$21,2,FALSE)</f>
        <v>Road Vehicle</v>
      </c>
      <c r="G156" s="32">
        <v>4</v>
      </c>
      <c r="H156" s="39" t="str">
        <f>VLOOKUP(G156,Key!$A$2:$B$13,2,FALSE)</f>
        <v>Minibus</v>
      </c>
      <c r="I156" s="33" t="s">
        <v>109</v>
      </c>
      <c r="J156" s="33">
        <v>2</v>
      </c>
      <c r="K156" s="40" t="str">
        <f>VLOOKUP(J156,Key!$A$24:$B$29,2,FALSE)</f>
        <v>30-39</v>
      </c>
      <c r="L156" s="33" t="s">
        <v>151</v>
      </c>
      <c r="M156" s="29" t="s">
        <v>151</v>
      </c>
      <c r="N156" s="33" t="s">
        <v>152</v>
      </c>
      <c r="O156" s="35">
        <v>1</v>
      </c>
      <c r="P156" s="30" t="str">
        <f>VLOOKUP(O156,Key!$E$2:$F$9,2,FALSE)</f>
        <v>Home</v>
      </c>
      <c r="Q156" s="33" t="s">
        <v>160</v>
      </c>
      <c r="R156" s="29" t="s">
        <v>160</v>
      </c>
      <c r="S156" s="33" t="s">
        <v>152</v>
      </c>
      <c r="T156" s="29">
        <v>2</v>
      </c>
      <c r="U156" s="30" t="str">
        <f>VLOOKUP(T156,Key!$E$2:$F$9,2,FALSE)</f>
        <v>Work</v>
      </c>
      <c r="V156" s="30" t="str">
        <f t="shared" si="8"/>
        <v>Home-Work</v>
      </c>
      <c r="W156" s="29">
        <v>100000</v>
      </c>
      <c r="X156" s="34">
        <v>45</v>
      </c>
      <c r="Y156" s="50" t="str">
        <f t="shared" si="9"/>
        <v>40-70</v>
      </c>
      <c r="Z156" s="34">
        <v>2</v>
      </c>
      <c r="AA156" s="50" t="str">
        <f t="shared" si="10"/>
        <v>2.0-3.5</v>
      </c>
      <c r="AB156" s="29">
        <v>5</v>
      </c>
      <c r="AC156" s="30" t="str">
        <f>VLOOKUP(AB156,Key!$C$20:$D$29,2,FALSE)</f>
        <v>Professional</v>
      </c>
      <c r="AD156" s="29">
        <v>4</v>
      </c>
      <c r="AE156" s="30" t="str">
        <f>VLOOKUP(AD156,Key!$E$20:$F$24,2,FALSE)</f>
        <v>750,000-1,000,000</v>
      </c>
      <c r="AF156" s="29">
        <v>2</v>
      </c>
      <c r="AG156" s="34">
        <v>3</v>
      </c>
      <c r="AH156" s="34">
        <v>4</v>
      </c>
      <c r="AI156" s="34">
        <v>5</v>
      </c>
      <c r="AJ156" s="34">
        <v>1</v>
      </c>
      <c r="AK156" s="35" t="s">
        <v>94</v>
      </c>
      <c r="AL156" s="36"/>
      <c r="AM156" t="str">
        <f t="shared" si="11"/>
        <v>0-1000</v>
      </c>
    </row>
    <row r="157" spans="1:39" x14ac:dyDescent="0.2">
      <c r="A157" s="44">
        <v>43763</v>
      </c>
      <c r="B157" s="31">
        <v>0.36180555555555555</v>
      </c>
      <c r="C157" s="31"/>
      <c r="D157" s="31" t="s">
        <v>150</v>
      </c>
      <c r="E157" s="33">
        <v>2</v>
      </c>
      <c r="F157" s="38" t="str">
        <f>VLOOKUP(E157,Key!$A$17:$B$21,2,FALSE)</f>
        <v>Road Vehicle</v>
      </c>
      <c r="G157" s="32">
        <v>4</v>
      </c>
      <c r="H157" s="39" t="str">
        <f>VLOOKUP(G157,Key!$A$2:$B$13,2,FALSE)</f>
        <v>Minibus</v>
      </c>
      <c r="I157" s="33" t="s">
        <v>109</v>
      </c>
      <c r="J157" s="33">
        <v>2</v>
      </c>
      <c r="K157" s="40" t="str">
        <f>VLOOKUP(J157,Key!$A$24:$B$29,2,FALSE)</f>
        <v>30-39</v>
      </c>
      <c r="L157" s="33" t="s">
        <v>184</v>
      </c>
      <c r="M157" s="29" t="s">
        <v>180</v>
      </c>
      <c r="N157" s="33" t="s">
        <v>152</v>
      </c>
      <c r="O157" s="35">
        <v>1</v>
      </c>
      <c r="P157" s="30" t="str">
        <f>VLOOKUP(O157,Key!$E$2:$F$9,2,FALSE)</f>
        <v>Home</v>
      </c>
      <c r="Q157" s="33" t="s">
        <v>151</v>
      </c>
      <c r="R157" s="29" t="s">
        <v>151</v>
      </c>
      <c r="S157" s="33" t="s">
        <v>152</v>
      </c>
      <c r="T157" s="29">
        <v>1</v>
      </c>
      <c r="U157" s="30" t="str">
        <f>VLOOKUP(T157,Key!$E$2:$F$9,2,FALSE)</f>
        <v>Home</v>
      </c>
      <c r="V157" s="30" t="str">
        <f t="shared" si="8"/>
        <v>Home-Home</v>
      </c>
      <c r="W157" s="29">
        <v>10000</v>
      </c>
      <c r="X157" s="34"/>
      <c r="Y157" s="50" t="str">
        <f t="shared" si="9"/>
        <v>0-10</v>
      </c>
      <c r="Z157" s="34">
        <v>4</v>
      </c>
      <c r="AA157" s="50" t="str">
        <f t="shared" si="10"/>
        <v>Over 3.5</v>
      </c>
      <c r="AB157" s="29">
        <v>6</v>
      </c>
      <c r="AC157" s="30" t="str">
        <f>VLOOKUP(AB157,Key!$C$20:$D$29,2,FALSE)</f>
        <v>Businessman</v>
      </c>
      <c r="AD157" s="29">
        <v>2</v>
      </c>
      <c r="AE157" s="30" t="str">
        <f>VLOOKUP(AD157,Key!$E$20:$F$24,2,FALSE)</f>
        <v>300,000-500,000</v>
      </c>
      <c r="AF157" s="29">
        <v>3</v>
      </c>
      <c r="AG157" s="34">
        <v>2</v>
      </c>
      <c r="AH157" s="34">
        <v>5</v>
      </c>
      <c r="AI157" s="34">
        <v>4</v>
      </c>
      <c r="AJ157" s="34">
        <v>1</v>
      </c>
      <c r="AK157" s="35" t="s">
        <v>94</v>
      </c>
      <c r="AL157" s="36"/>
      <c r="AM157" t="str">
        <f t="shared" si="11"/>
        <v>0-1000</v>
      </c>
    </row>
    <row r="158" spans="1:39" x14ac:dyDescent="0.2">
      <c r="A158" s="44">
        <v>43763</v>
      </c>
      <c r="B158" s="31">
        <v>0.35555555555555557</v>
      </c>
      <c r="C158" s="31"/>
      <c r="D158" s="31" t="s">
        <v>97</v>
      </c>
      <c r="E158" s="33">
        <v>2</v>
      </c>
      <c r="F158" s="38" t="str">
        <f>VLOOKUP(E158,Key!$A$17:$B$21,2,FALSE)</f>
        <v>Road Vehicle</v>
      </c>
      <c r="G158" s="32">
        <v>4</v>
      </c>
      <c r="H158" s="39" t="str">
        <f>VLOOKUP(G158,Key!$A$2:$B$13,2,FALSE)</f>
        <v>Minibus</v>
      </c>
      <c r="I158" s="33" t="s">
        <v>109</v>
      </c>
      <c r="J158" s="33">
        <v>2</v>
      </c>
      <c r="K158" s="40" t="str">
        <f>VLOOKUP(J158,Key!$A$24:$B$29,2,FALSE)</f>
        <v>30-39</v>
      </c>
      <c r="L158" s="33" t="s">
        <v>185</v>
      </c>
      <c r="M158" s="29" t="s">
        <v>180</v>
      </c>
      <c r="N158" s="33" t="s">
        <v>152</v>
      </c>
      <c r="O158" s="35">
        <v>2</v>
      </c>
      <c r="P158" s="30" t="str">
        <f>VLOOKUP(O158,Key!$E$2:$F$9,2,FALSE)</f>
        <v>Work</v>
      </c>
      <c r="Q158" s="33" t="s">
        <v>151</v>
      </c>
      <c r="R158" s="29" t="s">
        <v>151</v>
      </c>
      <c r="S158" s="33" t="s">
        <v>152</v>
      </c>
      <c r="T158" s="29">
        <v>1</v>
      </c>
      <c r="U158" s="30" t="str">
        <f>VLOOKUP(T158,Key!$E$2:$F$9,2,FALSE)</f>
        <v>Home</v>
      </c>
      <c r="V158" s="30" t="str">
        <f t="shared" si="8"/>
        <v>Work-Home</v>
      </c>
      <c r="W158" s="29">
        <v>100000</v>
      </c>
      <c r="X158" s="34">
        <v>12</v>
      </c>
      <c r="Y158" s="50" t="str">
        <f t="shared" si="9"/>
        <v>10-20</v>
      </c>
      <c r="Z158" s="34">
        <v>2</v>
      </c>
      <c r="AA158" s="50" t="str">
        <f t="shared" si="10"/>
        <v>2.0-3.5</v>
      </c>
      <c r="AB158" s="29">
        <v>5</v>
      </c>
      <c r="AC158" s="30" t="str">
        <f>VLOOKUP(AB158,Key!$C$20:$D$29,2,FALSE)</f>
        <v>Professional</v>
      </c>
      <c r="AD158" s="29">
        <v>2</v>
      </c>
      <c r="AE158" s="30" t="str">
        <f>VLOOKUP(AD158,Key!$E$20:$F$24,2,FALSE)</f>
        <v>300,000-500,000</v>
      </c>
      <c r="AF158" s="29">
        <v>1</v>
      </c>
      <c r="AG158" s="34">
        <v>3</v>
      </c>
      <c r="AH158" s="34">
        <v>2</v>
      </c>
      <c r="AI158" s="34">
        <v>5</v>
      </c>
      <c r="AJ158" s="34">
        <v>4</v>
      </c>
      <c r="AK158" s="35" t="s">
        <v>94</v>
      </c>
      <c r="AL158" s="36">
        <v>3000</v>
      </c>
      <c r="AM158" t="str">
        <f t="shared" si="11"/>
        <v>3000-5000</v>
      </c>
    </row>
    <row r="159" spans="1:39" x14ac:dyDescent="0.2">
      <c r="A159" s="44">
        <v>43763</v>
      </c>
      <c r="B159" s="31">
        <v>0.58958333333333335</v>
      </c>
      <c r="C159" s="31"/>
      <c r="D159" s="31" t="s">
        <v>97</v>
      </c>
      <c r="E159" s="33">
        <v>2</v>
      </c>
      <c r="F159" s="38" t="str">
        <f>VLOOKUP(E159,Key!$A$17:$B$21,2,FALSE)</f>
        <v>Road Vehicle</v>
      </c>
      <c r="G159" s="32">
        <v>4</v>
      </c>
      <c r="H159" s="39" t="str">
        <f>VLOOKUP(G159,Key!$A$2:$B$13,2,FALSE)</f>
        <v>Minibus</v>
      </c>
      <c r="I159" s="33" t="s">
        <v>109</v>
      </c>
      <c r="J159" s="33">
        <v>2</v>
      </c>
      <c r="K159" s="40" t="str">
        <f>VLOOKUP(J159,Key!$A$24:$B$29,2,FALSE)</f>
        <v>30-39</v>
      </c>
      <c r="L159" s="33" t="s">
        <v>151</v>
      </c>
      <c r="M159" s="29" t="s">
        <v>151</v>
      </c>
      <c r="N159" s="33" t="s">
        <v>152</v>
      </c>
      <c r="O159" s="35">
        <v>1</v>
      </c>
      <c r="P159" s="30" t="str">
        <f>VLOOKUP(O159,Key!$E$2:$F$9,2,FALSE)</f>
        <v>Home</v>
      </c>
      <c r="Q159" s="33" t="s">
        <v>183</v>
      </c>
      <c r="R159" s="29" t="s">
        <v>183</v>
      </c>
      <c r="S159" s="33" t="s">
        <v>152</v>
      </c>
      <c r="T159" s="29">
        <v>2</v>
      </c>
      <c r="U159" s="30" t="str">
        <f>VLOOKUP(T159,Key!$E$2:$F$9,2,FALSE)</f>
        <v>Work</v>
      </c>
      <c r="V159" s="30" t="str">
        <f t="shared" si="8"/>
        <v>Home-Work</v>
      </c>
      <c r="W159" s="29">
        <v>100000</v>
      </c>
      <c r="X159" s="34">
        <v>65</v>
      </c>
      <c r="Y159" s="50" t="str">
        <f t="shared" si="9"/>
        <v>40-70</v>
      </c>
      <c r="Z159" s="34">
        <v>3</v>
      </c>
      <c r="AA159" s="50" t="str">
        <f t="shared" si="10"/>
        <v>2.0-3.5</v>
      </c>
      <c r="AB159" s="29">
        <v>5</v>
      </c>
      <c r="AC159" s="30" t="str">
        <f>VLOOKUP(AB159,Key!$C$20:$D$29,2,FALSE)</f>
        <v>Professional</v>
      </c>
      <c r="AD159" s="29">
        <v>2</v>
      </c>
      <c r="AE159" s="30" t="str">
        <f>VLOOKUP(AD159,Key!$E$20:$F$24,2,FALSE)</f>
        <v>300,000-500,000</v>
      </c>
      <c r="AF159" s="29">
        <v>2</v>
      </c>
      <c r="AG159" s="34">
        <v>1</v>
      </c>
      <c r="AH159" s="34">
        <v>2</v>
      </c>
      <c r="AI159" s="34">
        <v>3</v>
      </c>
      <c r="AJ159" s="34">
        <v>5</v>
      </c>
      <c r="AK159" s="35" t="s">
        <v>94</v>
      </c>
      <c r="AL159" s="36">
        <v>5000</v>
      </c>
      <c r="AM159" t="str">
        <f t="shared" si="11"/>
        <v>5000-10000</v>
      </c>
    </row>
    <row r="160" spans="1:39" x14ac:dyDescent="0.2">
      <c r="A160" s="44">
        <v>43763</v>
      </c>
      <c r="B160" s="31">
        <v>0.72013888888888899</v>
      </c>
      <c r="C160" s="31"/>
      <c r="D160" s="31" t="s">
        <v>97</v>
      </c>
      <c r="E160" s="33">
        <v>2</v>
      </c>
      <c r="F160" s="38" t="str">
        <f>VLOOKUP(E160,Key!$A$17:$B$21,2,FALSE)</f>
        <v>Road Vehicle</v>
      </c>
      <c r="G160" s="32">
        <v>4</v>
      </c>
      <c r="H160" s="39" t="str">
        <f>VLOOKUP(G160,Key!$A$2:$B$13,2,FALSE)</f>
        <v>Minibus</v>
      </c>
      <c r="I160" s="33" t="s">
        <v>109</v>
      </c>
      <c r="J160" s="33">
        <v>2</v>
      </c>
      <c r="K160" s="40" t="str">
        <f>VLOOKUP(J160,Key!$A$24:$B$29,2,FALSE)</f>
        <v>30-39</v>
      </c>
      <c r="L160" s="33" t="s">
        <v>151</v>
      </c>
      <c r="M160" s="29" t="s">
        <v>151</v>
      </c>
      <c r="N160" s="33" t="s">
        <v>152</v>
      </c>
      <c r="O160" s="35">
        <v>1</v>
      </c>
      <c r="P160" s="30" t="str">
        <f>VLOOKUP(O160,Key!$E$2:$F$9,2,FALSE)</f>
        <v>Home</v>
      </c>
      <c r="Q160" s="33" t="s">
        <v>180</v>
      </c>
      <c r="R160" s="29" t="s">
        <v>180</v>
      </c>
      <c r="S160" s="33" t="s">
        <v>152</v>
      </c>
      <c r="T160" s="29">
        <v>2</v>
      </c>
      <c r="U160" s="30" t="str">
        <f>VLOOKUP(T160,Key!$E$2:$F$9,2,FALSE)</f>
        <v>Work</v>
      </c>
      <c r="V160" s="30" t="str">
        <f t="shared" si="8"/>
        <v>Home-Work</v>
      </c>
      <c r="W160" s="29">
        <v>120000</v>
      </c>
      <c r="X160" s="34">
        <v>63</v>
      </c>
      <c r="Y160" s="50" t="str">
        <f t="shared" si="9"/>
        <v>40-70</v>
      </c>
      <c r="Z160" s="34">
        <v>3</v>
      </c>
      <c r="AA160" s="50" t="str">
        <f t="shared" si="10"/>
        <v>2.0-3.5</v>
      </c>
      <c r="AB160" s="29">
        <v>5</v>
      </c>
      <c r="AC160" s="30" t="str">
        <f>VLOOKUP(AB160,Key!$C$20:$D$29,2,FALSE)</f>
        <v>Professional</v>
      </c>
      <c r="AD160" s="29">
        <v>3</v>
      </c>
      <c r="AE160" s="30" t="str">
        <f>VLOOKUP(AD160,Key!$E$20:$F$24,2,FALSE)</f>
        <v>500,000-750,000</v>
      </c>
      <c r="AF160" s="29">
        <v>2</v>
      </c>
      <c r="AG160" s="34">
        <v>4</v>
      </c>
      <c r="AH160" s="34">
        <v>1</v>
      </c>
      <c r="AI160" s="34">
        <v>5</v>
      </c>
      <c r="AJ160" s="34">
        <v>2</v>
      </c>
      <c r="AK160" s="35" t="s">
        <v>94</v>
      </c>
      <c r="AL160" s="36">
        <v>3000</v>
      </c>
      <c r="AM160" t="str">
        <f t="shared" si="11"/>
        <v>3000-5000</v>
      </c>
    </row>
    <row r="161" spans="1:39" x14ac:dyDescent="0.2">
      <c r="A161" s="44">
        <v>43763</v>
      </c>
      <c r="B161" s="31">
        <v>0.71458333333333324</v>
      </c>
      <c r="C161" s="31"/>
      <c r="D161" s="31" t="s">
        <v>97</v>
      </c>
      <c r="E161" s="33">
        <v>2</v>
      </c>
      <c r="F161" s="38" t="str">
        <f>VLOOKUP(E161,Key!$A$17:$B$21,2,FALSE)</f>
        <v>Road Vehicle</v>
      </c>
      <c r="G161" s="32">
        <v>4</v>
      </c>
      <c r="H161" s="39" t="str">
        <f>VLOOKUP(G161,Key!$A$2:$B$13,2,FALSE)</f>
        <v>Minibus</v>
      </c>
      <c r="I161" s="33" t="s">
        <v>109</v>
      </c>
      <c r="J161" s="33">
        <v>2</v>
      </c>
      <c r="K161" s="40" t="str">
        <f>VLOOKUP(J161,Key!$A$24:$B$29,2,FALSE)</f>
        <v>30-39</v>
      </c>
      <c r="L161" s="33" t="s">
        <v>151</v>
      </c>
      <c r="M161" s="29" t="s">
        <v>151</v>
      </c>
      <c r="N161" s="33" t="s">
        <v>152</v>
      </c>
      <c r="O161" s="35">
        <v>1</v>
      </c>
      <c r="P161" s="30" t="str">
        <f>VLOOKUP(O161,Key!$E$2:$F$9,2,FALSE)</f>
        <v>Home</v>
      </c>
      <c r="Q161" s="33" t="s">
        <v>180</v>
      </c>
      <c r="R161" s="29" t="s">
        <v>180</v>
      </c>
      <c r="S161" s="33" t="s">
        <v>152</v>
      </c>
      <c r="T161" s="29">
        <v>2</v>
      </c>
      <c r="U161" s="30" t="str">
        <f>VLOOKUP(T161,Key!$E$2:$F$9,2,FALSE)</f>
        <v>Work</v>
      </c>
      <c r="V161" s="30" t="str">
        <f t="shared" si="8"/>
        <v>Home-Work</v>
      </c>
      <c r="W161" s="29">
        <v>120000</v>
      </c>
      <c r="X161" s="34">
        <v>63</v>
      </c>
      <c r="Y161" s="50" t="str">
        <f t="shared" si="9"/>
        <v>40-70</v>
      </c>
      <c r="Z161" s="34">
        <v>3</v>
      </c>
      <c r="AA161" s="50" t="str">
        <f t="shared" si="10"/>
        <v>2.0-3.5</v>
      </c>
      <c r="AB161" s="29">
        <v>5</v>
      </c>
      <c r="AC161" s="30" t="str">
        <f>VLOOKUP(AB161,Key!$C$20:$D$29,2,FALSE)</f>
        <v>Professional</v>
      </c>
      <c r="AD161" s="29">
        <v>4</v>
      </c>
      <c r="AE161" s="30" t="str">
        <f>VLOOKUP(AD161,Key!$E$20:$F$24,2,FALSE)</f>
        <v>750,000-1,000,000</v>
      </c>
      <c r="AF161" s="29">
        <v>3</v>
      </c>
      <c r="AG161" s="34">
        <v>4</v>
      </c>
      <c r="AH161" s="34">
        <v>5</v>
      </c>
      <c r="AI161" s="34">
        <v>2</v>
      </c>
      <c r="AJ161" s="34">
        <v>1</v>
      </c>
      <c r="AK161" s="35" t="s">
        <v>94</v>
      </c>
      <c r="AL161" s="36">
        <v>3000</v>
      </c>
      <c r="AM161" t="str">
        <f t="shared" si="11"/>
        <v>3000-5000</v>
      </c>
    </row>
    <row r="162" spans="1:39" x14ac:dyDescent="0.2">
      <c r="A162" s="44">
        <v>43763</v>
      </c>
      <c r="B162" s="31">
        <v>0.70000000000000007</v>
      </c>
      <c r="C162" s="31"/>
      <c r="D162" s="31" t="s">
        <v>97</v>
      </c>
      <c r="E162" s="33">
        <v>2</v>
      </c>
      <c r="F162" s="38" t="str">
        <f>VLOOKUP(E162,Key!$A$17:$B$21,2,FALSE)</f>
        <v>Road Vehicle</v>
      </c>
      <c r="G162" s="32">
        <v>4</v>
      </c>
      <c r="H162" s="39" t="str">
        <f>VLOOKUP(G162,Key!$A$2:$B$13,2,FALSE)</f>
        <v>Minibus</v>
      </c>
      <c r="I162" s="33" t="s">
        <v>109</v>
      </c>
      <c r="J162" s="33">
        <v>2</v>
      </c>
      <c r="K162" s="40" t="str">
        <f>VLOOKUP(J162,Key!$A$24:$B$29,2,FALSE)</f>
        <v>30-39</v>
      </c>
      <c r="L162" s="33" t="s">
        <v>151</v>
      </c>
      <c r="M162" s="29" t="s">
        <v>151</v>
      </c>
      <c r="N162" s="33" t="s">
        <v>152</v>
      </c>
      <c r="O162" s="35">
        <v>1</v>
      </c>
      <c r="P162" s="30" t="str">
        <f>VLOOKUP(O162,Key!$E$2:$F$9,2,FALSE)</f>
        <v>Home</v>
      </c>
      <c r="Q162" s="33" t="s">
        <v>153</v>
      </c>
      <c r="R162" s="29" t="s">
        <v>153</v>
      </c>
      <c r="S162" s="33" t="s">
        <v>152</v>
      </c>
      <c r="T162" s="29">
        <v>2</v>
      </c>
      <c r="U162" s="30" t="str">
        <f>VLOOKUP(T162,Key!$E$2:$F$9,2,FALSE)</f>
        <v>Work</v>
      </c>
      <c r="V162" s="30" t="str">
        <f t="shared" si="8"/>
        <v>Home-Work</v>
      </c>
      <c r="W162" s="29">
        <v>15000</v>
      </c>
      <c r="X162" s="34">
        <v>200</v>
      </c>
      <c r="Y162" s="50" t="str">
        <f t="shared" si="9"/>
        <v>Over 200</v>
      </c>
      <c r="Z162" s="34">
        <v>3</v>
      </c>
      <c r="AA162" s="50" t="str">
        <f t="shared" si="10"/>
        <v>2.0-3.5</v>
      </c>
      <c r="AB162" s="29">
        <v>6</v>
      </c>
      <c r="AC162" s="30" t="str">
        <f>VLOOKUP(AB162,Key!$C$20:$D$29,2,FALSE)</f>
        <v>Businessman</v>
      </c>
      <c r="AD162" s="29">
        <v>2</v>
      </c>
      <c r="AE162" s="30" t="str">
        <f>VLOOKUP(AD162,Key!$E$20:$F$24,2,FALSE)</f>
        <v>300,000-500,000</v>
      </c>
      <c r="AF162" s="29">
        <v>2</v>
      </c>
      <c r="AG162" s="34">
        <v>1</v>
      </c>
      <c r="AH162" s="34">
        <v>1</v>
      </c>
      <c r="AI162" s="34">
        <v>1</v>
      </c>
      <c r="AJ162" s="34">
        <v>1</v>
      </c>
      <c r="AK162" s="35" t="s">
        <v>94</v>
      </c>
      <c r="AL162" s="36">
        <v>2000</v>
      </c>
      <c r="AM162" t="str">
        <f t="shared" si="11"/>
        <v>2000-3000</v>
      </c>
    </row>
    <row r="163" spans="1:39" x14ac:dyDescent="0.2">
      <c r="A163" s="44">
        <v>43763</v>
      </c>
      <c r="B163" s="31">
        <v>0.67013888888888884</v>
      </c>
      <c r="C163" s="31"/>
      <c r="D163" s="31" t="s">
        <v>150</v>
      </c>
      <c r="E163" s="33">
        <v>2</v>
      </c>
      <c r="F163" s="38" t="str">
        <f>VLOOKUP(E163,Key!$A$17:$B$21,2,FALSE)</f>
        <v>Road Vehicle</v>
      </c>
      <c r="G163" s="32">
        <v>4</v>
      </c>
      <c r="H163" s="39" t="str">
        <f>VLOOKUP(G163,Key!$A$2:$B$13,2,FALSE)</f>
        <v>Minibus</v>
      </c>
      <c r="I163" s="33" t="s">
        <v>109</v>
      </c>
      <c r="J163" s="33">
        <v>2</v>
      </c>
      <c r="K163" s="40" t="str">
        <f>VLOOKUP(J163,Key!$A$24:$B$29,2,FALSE)</f>
        <v>30-39</v>
      </c>
      <c r="L163" s="33" t="s">
        <v>151</v>
      </c>
      <c r="M163" s="29" t="s">
        <v>151</v>
      </c>
      <c r="N163" s="33" t="s">
        <v>152</v>
      </c>
      <c r="O163" s="35">
        <v>1</v>
      </c>
      <c r="P163" s="30" t="s">
        <v>64</v>
      </c>
      <c r="Q163" s="33" t="s">
        <v>151</v>
      </c>
      <c r="R163" s="29" t="s">
        <v>151</v>
      </c>
      <c r="S163" s="33" t="s">
        <v>152</v>
      </c>
      <c r="T163" s="29">
        <v>2</v>
      </c>
      <c r="U163" s="30" t="str">
        <f>VLOOKUP(T163,Key!$E$2:$F$9,2,FALSE)</f>
        <v>Work</v>
      </c>
      <c r="V163" s="30" t="str">
        <f t="shared" si="8"/>
        <v>Home-Work</v>
      </c>
      <c r="W163" s="29">
        <v>7000</v>
      </c>
      <c r="X163" s="34">
        <v>70</v>
      </c>
      <c r="Y163" s="50" t="str">
        <f t="shared" si="9"/>
        <v>70-100</v>
      </c>
      <c r="Z163" s="34">
        <v>2</v>
      </c>
      <c r="AA163" s="50" t="str">
        <f t="shared" si="10"/>
        <v>2.0-3.5</v>
      </c>
      <c r="AB163" s="29">
        <v>7</v>
      </c>
      <c r="AC163" s="30" t="str">
        <f>VLOOKUP(AB163,Key!$C$20:$D$29,2,FALSE)</f>
        <v>Farmer</v>
      </c>
      <c r="AD163" s="29">
        <v>2</v>
      </c>
      <c r="AE163" s="30" t="str">
        <f>VLOOKUP(AD163,Key!$E$20:$F$24,2,FALSE)</f>
        <v>300,000-500,000</v>
      </c>
      <c r="AF163" s="29">
        <v>2</v>
      </c>
      <c r="AG163" s="34">
        <v>1</v>
      </c>
      <c r="AH163" s="34">
        <v>4</v>
      </c>
      <c r="AI163" s="34">
        <v>5</v>
      </c>
      <c r="AJ163" s="34">
        <v>2</v>
      </c>
      <c r="AK163" s="35" t="s">
        <v>94</v>
      </c>
      <c r="AL163" s="36">
        <v>5000</v>
      </c>
      <c r="AM163" t="str">
        <f t="shared" si="11"/>
        <v>5000-10000</v>
      </c>
    </row>
    <row r="164" spans="1:39" x14ac:dyDescent="0.2">
      <c r="A164" s="44">
        <v>43763</v>
      </c>
      <c r="B164" s="31">
        <v>0.66249999999999998</v>
      </c>
      <c r="C164" s="31"/>
      <c r="D164" s="31" t="s">
        <v>150</v>
      </c>
      <c r="E164" s="33">
        <v>2</v>
      </c>
      <c r="F164" s="38" t="str">
        <f>VLOOKUP(E164,Key!$A$17:$B$21,2,FALSE)</f>
        <v>Road Vehicle</v>
      </c>
      <c r="G164" s="32">
        <v>4</v>
      </c>
      <c r="H164" s="39" t="str">
        <f>VLOOKUP(G164,Key!$A$2:$B$13,2,FALSE)</f>
        <v>Minibus</v>
      </c>
      <c r="I164" s="33" t="s">
        <v>109</v>
      </c>
      <c r="J164" s="33">
        <v>2</v>
      </c>
      <c r="K164" s="40" t="str">
        <f>VLOOKUP(J164,Key!$A$24:$B$29,2,FALSE)</f>
        <v>30-39</v>
      </c>
      <c r="L164" s="33" t="s">
        <v>151</v>
      </c>
      <c r="M164" s="29" t="s">
        <v>151</v>
      </c>
      <c r="N164" s="33" t="s">
        <v>152</v>
      </c>
      <c r="O164" s="35">
        <v>1</v>
      </c>
      <c r="P164" s="30" t="str">
        <f>VLOOKUP(O164,Key!$E$2:$F$9,2,FALSE)</f>
        <v>Home</v>
      </c>
      <c r="Q164" s="33" t="s">
        <v>153</v>
      </c>
      <c r="R164" s="29" t="s">
        <v>153</v>
      </c>
      <c r="S164" s="33" t="s">
        <v>152</v>
      </c>
      <c r="T164" s="29">
        <v>2</v>
      </c>
      <c r="U164" s="30" t="str">
        <f>VLOOKUP(T164,Key!$E$2:$F$9,2,FALSE)</f>
        <v>Work</v>
      </c>
      <c r="V164" s="30" t="str">
        <f t="shared" si="8"/>
        <v>Home-Work</v>
      </c>
      <c r="W164" s="29">
        <v>15000</v>
      </c>
      <c r="X164" s="34">
        <v>201</v>
      </c>
      <c r="Y164" s="50" t="str">
        <f t="shared" si="9"/>
        <v>Over 200</v>
      </c>
      <c r="Z164" s="34">
        <v>3</v>
      </c>
      <c r="AA164" s="50" t="str">
        <f t="shared" si="10"/>
        <v>2.0-3.5</v>
      </c>
      <c r="AB164" s="29">
        <v>6</v>
      </c>
      <c r="AC164" s="30" t="str">
        <f>VLOOKUP(AB164,Key!$C$20:$D$29,2,FALSE)</f>
        <v>Businessman</v>
      </c>
      <c r="AD164" s="29">
        <v>2</v>
      </c>
      <c r="AE164" s="30" t="str">
        <f>VLOOKUP(AD164,Key!$E$20:$F$24,2,FALSE)</f>
        <v>300,000-500,000</v>
      </c>
      <c r="AF164" s="29">
        <v>3</v>
      </c>
      <c r="AG164" s="34">
        <v>4</v>
      </c>
      <c r="AH164" s="34">
        <v>1</v>
      </c>
      <c r="AI164" s="34">
        <v>2</v>
      </c>
      <c r="AJ164" s="34">
        <v>5</v>
      </c>
      <c r="AK164" s="35" t="s">
        <v>94</v>
      </c>
      <c r="AL164" s="36">
        <v>7000</v>
      </c>
      <c r="AM164" t="str">
        <f t="shared" si="11"/>
        <v>5000-10000</v>
      </c>
    </row>
    <row r="165" spans="1:39" x14ac:dyDescent="0.2">
      <c r="A165" s="44">
        <v>43763</v>
      </c>
      <c r="B165" s="31">
        <v>0.60555555555555551</v>
      </c>
      <c r="C165" s="31"/>
      <c r="D165" s="31" t="s">
        <v>150</v>
      </c>
      <c r="E165" s="33">
        <v>2</v>
      </c>
      <c r="F165" s="38" t="str">
        <f>VLOOKUP(E165,Key!$A$17:$B$21,2,FALSE)</f>
        <v>Road Vehicle</v>
      </c>
      <c r="G165" s="32">
        <v>4</v>
      </c>
      <c r="H165" s="39" t="str">
        <f>VLOOKUP(G165,Key!$A$2:$B$13,2,FALSE)</f>
        <v>Minibus</v>
      </c>
      <c r="I165" s="33" t="s">
        <v>109</v>
      </c>
      <c r="J165" s="33">
        <v>2</v>
      </c>
      <c r="K165" s="40" t="str">
        <f>VLOOKUP(J165,Key!$A$24:$B$29,2,FALSE)</f>
        <v>30-39</v>
      </c>
      <c r="L165" s="33" t="s">
        <v>151</v>
      </c>
      <c r="M165" s="29" t="s">
        <v>151</v>
      </c>
      <c r="N165" s="33" t="s">
        <v>152</v>
      </c>
      <c r="O165" s="35">
        <v>1</v>
      </c>
      <c r="P165" s="30" t="str">
        <f>VLOOKUP(O165,Key!$E$2:$F$9,2,FALSE)</f>
        <v>Home</v>
      </c>
      <c r="Q165" s="33" t="s">
        <v>188</v>
      </c>
      <c r="R165" s="29" t="s">
        <v>165</v>
      </c>
      <c r="S165" s="33" t="s">
        <v>152</v>
      </c>
      <c r="T165" s="29">
        <v>6</v>
      </c>
      <c r="U165" s="30" t="str">
        <f>VLOOKUP(T165,Key!$E$2:$F$9,2,FALSE)</f>
        <v>Leisure/Social</v>
      </c>
      <c r="V165" s="30" t="str">
        <f t="shared" si="8"/>
        <v>Home-Leisure/Social</v>
      </c>
      <c r="W165" s="29">
        <v>15000</v>
      </c>
      <c r="X165" s="34"/>
      <c r="Y165" s="50" t="str">
        <f t="shared" si="9"/>
        <v>0-10</v>
      </c>
      <c r="Z165" s="34"/>
      <c r="AA165" s="50" t="str">
        <f t="shared" si="10"/>
        <v>0-0.5</v>
      </c>
      <c r="AB165" s="29">
        <v>2</v>
      </c>
      <c r="AC165" s="30" t="str">
        <f>VLOOKUP(AB165,Key!$C$20:$D$29,2,FALSE)</f>
        <v>Manual Labour</v>
      </c>
      <c r="AD165" s="29">
        <v>2</v>
      </c>
      <c r="AE165" s="30" t="str">
        <f>VLOOKUP(AD165,Key!$E$20:$F$24,2,FALSE)</f>
        <v>300,000-500,000</v>
      </c>
      <c r="AF165" s="29">
        <v>2</v>
      </c>
      <c r="AG165" s="34">
        <v>3</v>
      </c>
      <c r="AH165" s="34">
        <v>4</v>
      </c>
      <c r="AI165" s="34">
        <v>1</v>
      </c>
      <c r="AJ165" s="34">
        <v>5</v>
      </c>
      <c r="AK165" s="35" t="s">
        <v>94</v>
      </c>
      <c r="AL165" s="36"/>
      <c r="AM165" t="str">
        <f t="shared" si="11"/>
        <v>0-1000</v>
      </c>
    </row>
    <row r="166" spans="1:39" x14ac:dyDescent="0.2">
      <c r="A166" s="44">
        <v>43763</v>
      </c>
      <c r="B166" s="31">
        <v>0.36944444444444446</v>
      </c>
      <c r="C166" s="31"/>
      <c r="D166" s="31" t="s">
        <v>150</v>
      </c>
      <c r="E166" s="33">
        <v>2</v>
      </c>
      <c r="F166" s="38" t="str">
        <f>VLOOKUP(E166,Key!$A$17:$B$21,2,FALSE)</f>
        <v>Road Vehicle</v>
      </c>
      <c r="G166" s="32">
        <v>4</v>
      </c>
      <c r="H166" s="39" t="str">
        <f>VLOOKUP(G166,Key!$A$2:$B$13,2,FALSE)</f>
        <v>Minibus</v>
      </c>
      <c r="I166" s="33" t="s">
        <v>109</v>
      </c>
      <c r="J166" s="33">
        <v>2</v>
      </c>
      <c r="K166" s="40" t="str">
        <f>VLOOKUP(J166,Key!$A$24:$B$29,2,FALSE)</f>
        <v>30-39</v>
      </c>
      <c r="L166" s="33" t="s">
        <v>184</v>
      </c>
      <c r="M166" s="29" t="s">
        <v>180</v>
      </c>
      <c r="N166" s="33" t="s">
        <v>152</v>
      </c>
      <c r="O166" s="35">
        <v>1</v>
      </c>
      <c r="P166" s="30" t="str">
        <f>VLOOKUP(O166,Key!$E$2:$F$9,2,FALSE)</f>
        <v>Home</v>
      </c>
      <c r="Q166" s="33" t="s">
        <v>151</v>
      </c>
      <c r="R166" s="29" t="s">
        <v>151</v>
      </c>
      <c r="S166" s="33" t="s">
        <v>152</v>
      </c>
      <c r="T166" s="29">
        <v>4</v>
      </c>
      <c r="U166" s="30" t="str">
        <f>VLOOKUP(T166,Key!$E$2:$F$9,2,FALSE)</f>
        <v>Commercial</v>
      </c>
      <c r="V166" s="30" t="str">
        <f t="shared" si="8"/>
        <v>Home-Commercial</v>
      </c>
      <c r="W166" s="29">
        <v>10000</v>
      </c>
      <c r="X166" s="34"/>
      <c r="Y166" s="50" t="str">
        <f t="shared" si="9"/>
        <v>0-10</v>
      </c>
      <c r="Z166" s="34">
        <v>4</v>
      </c>
      <c r="AA166" s="50" t="str">
        <f t="shared" si="10"/>
        <v>Over 3.5</v>
      </c>
      <c r="AB166" s="29">
        <v>2</v>
      </c>
      <c r="AC166" s="30" t="str">
        <f>VLOOKUP(AB166,Key!$C$20:$D$29,2,FALSE)</f>
        <v>Manual Labour</v>
      </c>
      <c r="AD166" s="29">
        <v>2</v>
      </c>
      <c r="AE166" s="30" t="str">
        <f>VLOOKUP(AD166,Key!$E$20:$F$24,2,FALSE)</f>
        <v>300,000-500,000</v>
      </c>
      <c r="AF166" s="29">
        <v>1</v>
      </c>
      <c r="AG166" s="34">
        <v>3</v>
      </c>
      <c r="AH166" s="34">
        <v>5</v>
      </c>
      <c r="AI166" s="34">
        <v>4</v>
      </c>
      <c r="AJ166" s="34">
        <v>2</v>
      </c>
      <c r="AK166" s="35" t="s">
        <v>94</v>
      </c>
      <c r="AL166" s="36"/>
      <c r="AM166" t="str">
        <f t="shared" si="11"/>
        <v>0-1000</v>
      </c>
    </row>
    <row r="167" spans="1:39" x14ac:dyDescent="0.2">
      <c r="A167" s="44">
        <v>43763</v>
      </c>
      <c r="B167" s="31">
        <v>0.37777777777777777</v>
      </c>
      <c r="C167" s="31"/>
      <c r="D167" s="31" t="s">
        <v>150</v>
      </c>
      <c r="E167" s="33">
        <v>2</v>
      </c>
      <c r="F167" s="38" t="str">
        <f>VLOOKUP(E167,Key!$A$17:$B$21,2,FALSE)</f>
        <v>Road Vehicle</v>
      </c>
      <c r="G167" s="32">
        <v>4</v>
      </c>
      <c r="H167" s="39" t="str">
        <f>VLOOKUP(G167,Key!$A$2:$B$13,2,FALSE)</f>
        <v>Minibus</v>
      </c>
      <c r="I167" s="33" t="s">
        <v>109</v>
      </c>
      <c r="J167" s="33">
        <v>2</v>
      </c>
      <c r="K167" s="40" t="str">
        <f>VLOOKUP(J167,Key!$A$24:$B$29,2,FALSE)</f>
        <v>30-39</v>
      </c>
      <c r="L167" s="33" t="s">
        <v>151</v>
      </c>
      <c r="M167" s="29" t="s">
        <v>151</v>
      </c>
      <c r="N167" s="33" t="s">
        <v>152</v>
      </c>
      <c r="O167" s="35">
        <v>1</v>
      </c>
      <c r="P167" s="30" t="str">
        <f>VLOOKUP(O167,Key!$E$2:$F$9,2,FALSE)</f>
        <v>Home</v>
      </c>
      <c r="Q167" s="33" t="s">
        <v>181</v>
      </c>
      <c r="R167" s="29" t="s">
        <v>180</v>
      </c>
      <c r="S167" s="33" t="s">
        <v>152</v>
      </c>
      <c r="T167" s="29">
        <v>2</v>
      </c>
      <c r="U167" s="30" t="str">
        <f>VLOOKUP(T167,Key!$E$2:$F$9,2,FALSE)</f>
        <v>Work</v>
      </c>
      <c r="V167" s="30" t="str">
        <f t="shared" si="8"/>
        <v>Home-Work</v>
      </c>
      <c r="W167" s="29">
        <v>10000</v>
      </c>
      <c r="X167" s="34">
        <v>17</v>
      </c>
      <c r="Y167" s="50" t="str">
        <f t="shared" si="9"/>
        <v>10-20</v>
      </c>
      <c r="Z167" s="34">
        <v>2</v>
      </c>
      <c r="AA167" s="50" t="str">
        <f t="shared" si="10"/>
        <v>2.0-3.5</v>
      </c>
      <c r="AB167" s="29">
        <v>6</v>
      </c>
      <c r="AC167" s="30" t="str">
        <f>VLOOKUP(AB167,Key!$C$20:$D$29,2,FALSE)</f>
        <v>Businessman</v>
      </c>
      <c r="AD167" s="29">
        <v>2</v>
      </c>
      <c r="AE167" s="30" t="str">
        <f>VLOOKUP(AD167,Key!$E$20:$F$24,2,FALSE)</f>
        <v>300,000-500,000</v>
      </c>
      <c r="AF167" s="29">
        <v>3</v>
      </c>
      <c r="AG167" s="34">
        <v>4</v>
      </c>
      <c r="AH167" s="34">
        <v>5</v>
      </c>
      <c r="AI167" s="34">
        <v>1</v>
      </c>
      <c r="AJ167" s="34">
        <v>2</v>
      </c>
      <c r="AK167" s="35" t="s">
        <v>94</v>
      </c>
      <c r="AL167" s="36"/>
      <c r="AM167" t="str">
        <f t="shared" si="11"/>
        <v>0-1000</v>
      </c>
    </row>
    <row r="168" spans="1:39" x14ac:dyDescent="0.2">
      <c r="A168" s="44">
        <v>43763</v>
      </c>
      <c r="B168" s="31">
        <v>0.38263888888888892</v>
      </c>
      <c r="C168" s="31"/>
      <c r="D168" s="31" t="s">
        <v>150</v>
      </c>
      <c r="E168" s="33">
        <v>2</v>
      </c>
      <c r="F168" s="38" t="str">
        <f>VLOOKUP(E168,Key!$A$17:$B$21,2,FALSE)</f>
        <v>Road Vehicle</v>
      </c>
      <c r="G168" s="32">
        <v>4</v>
      </c>
      <c r="H168" s="39" t="str">
        <f>VLOOKUP(G168,Key!$A$2:$B$13,2,FALSE)</f>
        <v>Minibus</v>
      </c>
      <c r="I168" s="33" t="s">
        <v>109</v>
      </c>
      <c r="J168" s="33">
        <v>2</v>
      </c>
      <c r="K168" s="40" t="str">
        <f>VLOOKUP(J168,Key!$A$24:$B$29,2,FALSE)</f>
        <v>30-39</v>
      </c>
      <c r="L168" s="33" t="s">
        <v>184</v>
      </c>
      <c r="M168" s="29" t="s">
        <v>180</v>
      </c>
      <c r="N168" s="33" t="s">
        <v>152</v>
      </c>
      <c r="O168" s="35">
        <v>1</v>
      </c>
      <c r="P168" s="30" t="str">
        <f>VLOOKUP(O168,Key!$E$2:$F$9,2,FALSE)</f>
        <v>Home</v>
      </c>
      <c r="Q168" s="33" t="s">
        <v>151</v>
      </c>
      <c r="R168" s="29" t="s">
        <v>151</v>
      </c>
      <c r="S168" s="33" t="s">
        <v>152</v>
      </c>
      <c r="T168" s="29">
        <v>5</v>
      </c>
      <c r="U168" s="30" t="str">
        <f>VLOOKUP(T168,Key!$E$2:$F$9,2,FALSE)</f>
        <v>Tourism</v>
      </c>
      <c r="V168" s="30" t="str">
        <f t="shared" si="8"/>
        <v>Home-Tourism</v>
      </c>
      <c r="W168" s="29">
        <v>10000</v>
      </c>
      <c r="X168" s="34">
        <v>150</v>
      </c>
      <c r="Y168" s="50" t="str">
        <f t="shared" si="9"/>
        <v>100-200</v>
      </c>
      <c r="Z168" s="34">
        <v>5</v>
      </c>
      <c r="AA168" s="50" t="str">
        <f t="shared" si="10"/>
        <v>Over 3.5</v>
      </c>
      <c r="AB168" s="29">
        <v>2</v>
      </c>
      <c r="AC168" s="30" t="str">
        <f>VLOOKUP(AB168,Key!$C$20:$D$29,2,FALSE)</f>
        <v>Manual Labour</v>
      </c>
      <c r="AD168" s="29">
        <v>2</v>
      </c>
      <c r="AE168" s="30" t="str">
        <f>VLOOKUP(AD168,Key!$E$20:$F$24,2,FALSE)</f>
        <v>300,000-500,000</v>
      </c>
      <c r="AF168" s="29">
        <v>2</v>
      </c>
      <c r="AG168" s="34">
        <v>1</v>
      </c>
      <c r="AH168" s="34">
        <v>4</v>
      </c>
      <c r="AI168" s="34">
        <v>5</v>
      </c>
      <c r="AJ168" s="34">
        <v>3</v>
      </c>
      <c r="AK168" s="35" t="s">
        <v>94</v>
      </c>
      <c r="AL168" s="36">
        <v>1000</v>
      </c>
      <c r="AM168" t="str">
        <f t="shared" si="11"/>
        <v>1000-2000</v>
      </c>
    </row>
    <row r="169" spans="1:39" x14ac:dyDescent="0.2">
      <c r="A169" s="44">
        <v>43763</v>
      </c>
      <c r="B169" s="31">
        <v>0.38958333333333334</v>
      </c>
      <c r="C169" s="31"/>
      <c r="D169" s="31" t="s">
        <v>150</v>
      </c>
      <c r="E169" s="33">
        <v>2</v>
      </c>
      <c r="F169" s="38" t="str">
        <f>VLOOKUP(E169,Key!$A$17:$B$21,2,FALSE)</f>
        <v>Road Vehicle</v>
      </c>
      <c r="G169" s="32">
        <v>4</v>
      </c>
      <c r="H169" s="39" t="str">
        <f>VLOOKUP(G169,Key!$A$2:$B$13,2,FALSE)</f>
        <v>Minibus</v>
      </c>
      <c r="I169" s="33" t="s">
        <v>109</v>
      </c>
      <c r="J169" s="33">
        <v>2</v>
      </c>
      <c r="K169" s="40" t="str">
        <f>VLOOKUP(J169,Key!$A$24:$B$29,2,FALSE)</f>
        <v>30-39</v>
      </c>
      <c r="L169" s="33" t="s">
        <v>151</v>
      </c>
      <c r="M169" s="29" t="s">
        <v>151</v>
      </c>
      <c r="N169" s="33" t="s">
        <v>152</v>
      </c>
      <c r="O169" s="35">
        <v>1</v>
      </c>
      <c r="P169" s="30" t="str">
        <f>VLOOKUP(O169,Key!$E$2:$F$9,2,FALSE)</f>
        <v>Home</v>
      </c>
      <c r="Q169" s="33" t="s">
        <v>192</v>
      </c>
      <c r="R169" s="29" t="s">
        <v>151</v>
      </c>
      <c r="S169" s="33" t="s">
        <v>152</v>
      </c>
      <c r="T169" s="29">
        <v>5</v>
      </c>
      <c r="U169" s="30" t="str">
        <f>VLOOKUP(T169,Key!$E$2:$F$9,2,FALSE)</f>
        <v>Tourism</v>
      </c>
      <c r="V169" s="30" t="str">
        <f t="shared" si="8"/>
        <v>Home-Tourism</v>
      </c>
      <c r="W169" s="29"/>
      <c r="X169" s="34">
        <v>10</v>
      </c>
      <c r="Y169" s="50" t="str">
        <f t="shared" si="9"/>
        <v>10-20</v>
      </c>
      <c r="Z169" s="34">
        <v>1</v>
      </c>
      <c r="AA169" s="50" t="str">
        <f t="shared" si="10"/>
        <v>1.0-2.0</v>
      </c>
      <c r="AB169" s="29">
        <v>8</v>
      </c>
      <c r="AC169" s="30" t="str">
        <f>VLOOKUP(AB169,Key!$C$20:$D$29,2,FALSE)</f>
        <v>Student</v>
      </c>
      <c r="AD169" s="29">
        <v>2</v>
      </c>
      <c r="AE169" s="30" t="str">
        <f>VLOOKUP(AD169,Key!$E$20:$F$24,2,FALSE)</f>
        <v>300,000-500,000</v>
      </c>
      <c r="AF169" s="29">
        <v>2</v>
      </c>
      <c r="AG169" s="34">
        <v>3</v>
      </c>
      <c r="AH169" s="34">
        <v>5</v>
      </c>
      <c r="AI169" s="34">
        <v>4</v>
      </c>
      <c r="AJ169" s="34">
        <v>1</v>
      </c>
      <c r="AK169" s="35" t="s">
        <v>94</v>
      </c>
      <c r="AL169" s="36">
        <v>2000</v>
      </c>
      <c r="AM169" t="str">
        <f t="shared" si="11"/>
        <v>2000-3000</v>
      </c>
    </row>
    <row r="170" spans="1:39" x14ac:dyDescent="0.2">
      <c r="A170" s="44">
        <v>43763</v>
      </c>
      <c r="B170" s="31">
        <v>0.44236111111111115</v>
      </c>
      <c r="C170" s="31"/>
      <c r="D170" s="31" t="s">
        <v>150</v>
      </c>
      <c r="E170" s="33">
        <v>2</v>
      </c>
      <c r="F170" s="38" t="str">
        <f>VLOOKUP(E170,Key!$A$17:$B$21,2,FALSE)</f>
        <v>Road Vehicle</v>
      </c>
      <c r="G170" s="32">
        <v>4</v>
      </c>
      <c r="H170" s="39" t="str">
        <f>VLOOKUP(G170,Key!$A$2:$B$13,2,FALSE)</f>
        <v>Minibus</v>
      </c>
      <c r="I170" s="33" t="s">
        <v>109</v>
      </c>
      <c r="J170" s="33">
        <v>2</v>
      </c>
      <c r="K170" s="40" t="str">
        <f>VLOOKUP(J170,Key!$A$24:$B$29,2,FALSE)</f>
        <v>30-39</v>
      </c>
      <c r="L170" s="33" t="s">
        <v>151</v>
      </c>
      <c r="M170" s="29" t="s">
        <v>151</v>
      </c>
      <c r="N170" s="33" t="s">
        <v>152</v>
      </c>
      <c r="O170" s="35">
        <v>1</v>
      </c>
      <c r="P170" s="30" t="str">
        <f>VLOOKUP(O170,Key!$E$2:$F$9,2,FALSE)</f>
        <v>Home</v>
      </c>
      <c r="Q170" s="33" t="s">
        <v>160</v>
      </c>
      <c r="R170" s="29" t="s">
        <v>160</v>
      </c>
      <c r="S170" s="33" t="s">
        <v>152</v>
      </c>
      <c r="T170" s="29">
        <v>2</v>
      </c>
      <c r="U170" s="30" t="str">
        <f>VLOOKUP(T170,Key!$E$2:$F$9,2,FALSE)</f>
        <v>Work</v>
      </c>
      <c r="V170" s="30" t="str">
        <f t="shared" si="8"/>
        <v>Home-Work</v>
      </c>
      <c r="W170" s="29">
        <v>10000</v>
      </c>
      <c r="X170" s="34">
        <v>30</v>
      </c>
      <c r="Y170" s="50" t="str">
        <f t="shared" si="9"/>
        <v>20-40</v>
      </c>
      <c r="Z170" s="34">
        <v>2</v>
      </c>
      <c r="AA170" s="50" t="str">
        <f t="shared" si="10"/>
        <v>2.0-3.5</v>
      </c>
      <c r="AB170" s="29">
        <v>2</v>
      </c>
      <c r="AC170" s="30" t="str">
        <f>VLOOKUP(AB170,Key!$C$20:$D$29,2,FALSE)</f>
        <v>Manual Labour</v>
      </c>
      <c r="AD170" s="29">
        <v>4</v>
      </c>
      <c r="AE170" s="30" t="str">
        <f>VLOOKUP(AD170,Key!$E$20:$F$24,2,FALSE)</f>
        <v>750,000-1,000,000</v>
      </c>
      <c r="AF170" s="29">
        <v>3</v>
      </c>
      <c r="AG170" s="34">
        <v>5</v>
      </c>
      <c r="AH170" s="34">
        <v>1</v>
      </c>
      <c r="AI170" s="34">
        <v>4</v>
      </c>
      <c r="AJ170" s="34">
        <v>1</v>
      </c>
      <c r="AK170" s="35" t="s">
        <v>94</v>
      </c>
      <c r="AL170" s="36">
        <v>5000</v>
      </c>
      <c r="AM170" t="str">
        <f t="shared" si="11"/>
        <v>5000-10000</v>
      </c>
    </row>
    <row r="171" spans="1:39" x14ac:dyDescent="0.2">
      <c r="A171" s="44">
        <v>43763</v>
      </c>
      <c r="B171" s="31">
        <v>0.4458333333333333</v>
      </c>
      <c r="C171" s="31"/>
      <c r="D171" s="31" t="s">
        <v>150</v>
      </c>
      <c r="E171" s="33">
        <v>2</v>
      </c>
      <c r="F171" s="38" t="str">
        <f>VLOOKUP(E171,Key!$A$17:$B$21,2,FALSE)</f>
        <v>Road Vehicle</v>
      </c>
      <c r="G171" s="32">
        <v>4</v>
      </c>
      <c r="H171" s="39" t="str">
        <f>VLOOKUP(G171,Key!$A$2:$B$13,2,FALSE)</f>
        <v>Minibus</v>
      </c>
      <c r="I171" s="33" t="s">
        <v>109</v>
      </c>
      <c r="J171" s="33">
        <v>2</v>
      </c>
      <c r="K171" s="40" t="str">
        <f>VLOOKUP(J171,Key!$A$24:$B$29,2,FALSE)</f>
        <v>30-39</v>
      </c>
      <c r="L171" s="33" t="s">
        <v>151</v>
      </c>
      <c r="M171" s="29" t="s">
        <v>151</v>
      </c>
      <c r="N171" s="33" t="s">
        <v>152</v>
      </c>
      <c r="O171" s="35">
        <v>1</v>
      </c>
      <c r="P171" s="30" t="str">
        <f>VLOOKUP(O171,Key!$E$2:$F$9,2,FALSE)</f>
        <v>Home</v>
      </c>
      <c r="Q171" s="33" t="s">
        <v>160</v>
      </c>
      <c r="R171" s="29" t="s">
        <v>160</v>
      </c>
      <c r="S171" s="33" t="s">
        <v>152</v>
      </c>
      <c r="T171" s="29">
        <v>2</v>
      </c>
      <c r="U171" s="30" t="str">
        <f>VLOOKUP(T171,Key!$E$2:$F$9,2,FALSE)</f>
        <v>Work</v>
      </c>
      <c r="V171" s="30" t="str">
        <f t="shared" si="8"/>
        <v>Home-Work</v>
      </c>
      <c r="W171" s="29">
        <v>10000</v>
      </c>
      <c r="X171" s="34">
        <v>33</v>
      </c>
      <c r="Y171" s="50" t="str">
        <f t="shared" si="9"/>
        <v>20-40</v>
      </c>
      <c r="Z171" s="34">
        <v>2</v>
      </c>
      <c r="AA171" s="50" t="str">
        <f t="shared" si="10"/>
        <v>2.0-3.5</v>
      </c>
      <c r="AB171" s="29">
        <v>2</v>
      </c>
      <c r="AC171" s="30" t="str">
        <f>VLOOKUP(AB171,Key!$C$20:$D$29,2,FALSE)</f>
        <v>Manual Labour</v>
      </c>
      <c r="AD171" s="29">
        <v>2</v>
      </c>
      <c r="AE171" s="30" t="str">
        <f>VLOOKUP(AD171,Key!$E$20:$F$24,2,FALSE)</f>
        <v>300,000-500,000</v>
      </c>
      <c r="AF171" s="29">
        <v>1</v>
      </c>
      <c r="AG171" s="34">
        <v>3</v>
      </c>
      <c r="AH171" s="34">
        <v>5</v>
      </c>
      <c r="AI171" s="34">
        <v>4</v>
      </c>
      <c r="AJ171" s="34">
        <v>2</v>
      </c>
      <c r="AK171" s="35" t="s">
        <v>94</v>
      </c>
      <c r="AL171" s="36">
        <v>3000</v>
      </c>
      <c r="AM171" t="str">
        <f t="shared" si="11"/>
        <v>3000-5000</v>
      </c>
    </row>
    <row r="172" spans="1:39" x14ac:dyDescent="0.2">
      <c r="A172" s="44">
        <v>43763</v>
      </c>
      <c r="B172" s="31">
        <v>0.44861111111111113</v>
      </c>
      <c r="C172" s="31"/>
      <c r="D172" s="31" t="s">
        <v>150</v>
      </c>
      <c r="E172" s="33">
        <v>2</v>
      </c>
      <c r="F172" s="38" t="str">
        <f>VLOOKUP(E172,Key!$A$17:$B$21,2,FALSE)</f>
        <v>Road Vehicle</v>
      </c>
      <c r="G172" s="32">
        <v>4</v>
      </c>
      <c r="H172" s="39" t="str">
        <f>VLOOKUP(G172,Key!$A$2:$B$13,2,FALSE)</f>
        <v>Minibus</v>
      </c>
      <c r="I172" s="33" t="s">
        <v>109</v>
      </c>
      <c r="J172" s="33">
        <v>2</v>
      </c>
      <c r="K172" s="40" t="str">
        <f>VLOOKUP(J172,Key!$A$24:$B$29,2,FALSE)</f>
        <v>30-39</v>
      </c>
      <c r="L172" s="33" t="s">
        <v>151</v>
      </c>
      <c r="M172" s="29" t="s">
        <v>151</v>
      </c>
      <c r="N172" s="33" t="s">
        <v>152</v>
      </c>
      <c r="O172" s="35">
        <v>1</v>
      </c>
      <c r="P172" s="30" t="str">
        <f>VLOOKUP(O172,Key!$E$2:$F$9,2,FALSE)</f>
        <v>Home</v>
      </c>
      <c r="Q172" s="33" t="s">
        <v>160</v>
      </c>
      <c r="R172" s="29" t="s">
        <v>160</v>
      </c>
      <c r="S172" s="33" t="s">
        <v>152</v>
      </c>
      <c r="T172" s="29">
        <v>2</v>
      </c>
      <c r="U172" s="30" t="str">
        <f>VLOOKUP(T172,Key!$E$2:$F$9,2,FALSE)</f>
        <v>Work</v>
      </c>
      <c r="V172" s="30" t="str">
        <f t="shared" si="8"/>
        <v>Home-Work</v>
      </c>
      <c r="W172" s="29"/>
      <c r="X172" s="34"/>
      <c r="Y172" s="50" t="str">
        <f t="shared" si="9"/>
        <v>0-10</v>
      </c>
      <c r="Z172" s="34"/>
      <c r="AA172" s="50" t="str">
        <f t="shared" si="10"/>
        <v>0-0.5</v>
      </c>
      <c r="AB172" s="29">
        <v>3</v>
      </c>
      <c r="AC172" s="30" t="str">
        <f>VLOOKUP(AB172,Key!$C$20:$D$29,2,FALSE)</f>
        <v>Artisan/Domestic</v>
      </c>
      <c r="AD172" s="29">
        <v>2</v>
      </c>
      <c r="AE172" s="30" t="str">
        <f>VLOOKUP(AD172,Key!$E$20:$F$24,2,FALSE)</f>
        <v>300,000-500,000</v>
      </c>
      <c r="AF172" s="29">
        <v>3</v>
      </c>
      <c r="AG172" s="34">
        <v>5</v>
      </c>
      <c r="AH172" s="34">
        <v>4</v>
      </c>
      <c r="AI172" s="34">
        <v>1</v>
      </c>
      <c r="AJ172" s="34">
        <v>2</v>
      </c>
      <c r="AK172" s="35" t="s">
        <v>94</v>
      </c>
      <c r="AL172" s="36"/>
      <c r="AM172" t="str">
        <f t="shared" si="11"/>
        <v>0-1000</v>
      </c>
    </row>
    <row r="173" spans="1:39" x14ac:dyDescent="0.2">
      <c r="A173" s="44">
        <v>43763</v>
      </c>
      <c r="B173" s="31">
        <v>0.45833333333333331</v>
      </c>
      <c r="C173" s="31"/>
      <c r="D173" s="31" t="s">
        <v>150</v>
      </c>
      <c r="E173" s="33">
        <v>2</v>
      </c>
      <c r="F173" s="38" t="str">
        <f>VLOOKUP(E173,Key!$A$17:$B$21,2,FALSE)</f>
        <v>Road Vehicle</v>
      </c>
      <c r="G173" s="32">
        <v>4</v>
      </c>
      <c r="H173" s="39" t="str">
        <f>VLOOKUP(G173,Key!$A$2:$B$13,2,FALSE)</f>
        <v>Minibus</v>
      </c>
      <c r="I173" s="33" t="s">
        <v>109</v>
      </c>
      <c r="J173" s="33">
        <v>2</v>
      </c>
      <c r="K173" s="40" t="str">
        <f>VLOOKUP(J173,Key!$A$24:$B$29,2,FALSE)</f>
        <v>30-39</v>
      </c>
      <c r="L173" s="33" t="s">
        <v>151</v>
      </c>
      <c r="M173" s="29" t="s">
        <v>151</v>
      </c>
      <c r="N173" s="33" t="s">
        <v>152</v>
      </c>
      <c r="O173" s="35">
        <v>1</v>
      </c>
      <c r="P173" s="30" t="str">
        <f>VLOOKUP(O173,Key!$E$2:$F$9,2,FALSE)</f>
        <v>Home</v>
      </c>
      <c r="Q173" s="33" t="s">
        <v>160</v>
      </c>
      <c r="R173" s="29" t="s">
        <v>160</v>
      </c>
      <c r="S173" s="33" t="s">
        <v>152</v>
      </c>
      <c r="T173" s="29">
        <v>5</v>
      </c>
      <c r="U173" s="30" t="str">
        <f>VLOOKUP(T173,Key!$E$2:$F$9,2,FALSE)</f>
        <v>Tourism</v>
      </c>
      <c r="V173" s="30" t="str">
        <f t="shared" si="8"/>
        <v>Home-Tourism</v>
      </c>
      <c r="W173" s="29">
        <v>1000</v>
      </c>
      <c r="X173" s="34">
        <v>48</v>
      </c>
      <c r="Y173" s="50" t="str">
        <f t="shared" si="9"/>
        <v>40-70</v>
      </c>
      <c r="Z173" s="34">
        <v>3</v>
      </c>
      <c r="AA173" s="50" t="str">
        <f t="shared" si="10"/>
        <v>2.0-3.5</v>
      </c>
      <c r="AB173" s="29">
        <v>6</v>
      </c>
      <c r="AC173" s="30" t="str">
        <f>VLOOKUP(AB173,Key!$C$20:$D$29,2,FALSE)</f>
        <v>Businessman</v>
      </c>
      <c r="AD173" s="29">
        <v>2</v>
      </c>
      <c r="AE173" s="30" t="str">
        <f>VLOOKUP(AD173,Key!$E$20:$F$24,2,FALSE)</f>
        <v>300,000-500,000</v>
      </c>
      <c r="AF173" s="29">
        <v>2</v>
      </c>
      <c r="AG173" s="34">
        <v>3</v>
      </c>
      <c r="AH173" s="34">
        <v>1</v>
      </c>
      <c r="AI173" s="34">
        <v>4</v>
      </c>
      <c r="AJ173" s="34">
        <v>5</v>
      </c>
      <c r="AK173" s="35" t="s">
        <v>94</v>
      </c>
      <c r="AL173" s="36"/>
      <c r="AM173" t="str">
        <f t="shared" si="11"/>
        <v>0-1000</v>
      </c>
    </row>
    <row r="174" spans="1:39" x14ac:dyDescent="0.2">
      <c r="A174" s="44">
        <v>43763</v>
      </c>
      <c r="B174" s="31">
        <v>0.49791666666666662</v>
      </c>
      <c r="C174" s="31"/>
      <c r="D174" s="31" t="s">
        <v>97</v>
      </c>
      <c r="E174" s="33">
        <v>2</v>
      </c>
      <c r="F174" s="38" t="str">
        <f>VLOOKUP(E174,Key!$A$17:$B$21,2,FALSE)</f>
        <v>Road Vehicle</v>
      </c>
      <c r="G174" s="32">
        <v>4</v>
      </c>
      <c r="H174" s="39" t="str">
        <f>VLOOKUP(G174,Key!$A$2:$B$13,2,FALSE)</f>
        <v>Minibus</v>
      </c>
      <c r="I174" s="33" t="s">
        <v>109</v>
      </c>
      <c r="J174" s="33">
        <v>2</v>
      </c>
      <c r="K174" s="40" t="str">
        <f>VLOOKUP(J174,Key!$A$24:$B$29,2,FALSE)</f>
        <v>30-39</v>
      </c>
      <c r="L174" s="33" t="s">
        <v>151</v>
      </c>
      <c r="M174" s="29" t="s">
        <v>151</v>
      </c>
      <c r="N174" s="33" t="s">
        <v>152</v>
      </c>
      <c r="O174" s="35">
        <v>1</v>
      </c>
      <c r="P174" s="30" t="str">
        <f>VLOOKUP(O174,Key!$E$2:$F$9,2,FALSE)</f>
        <v>Home</v>
      </c>
      <c r="Q174" s="33" t="s">
        <v>153</v>
      </c>
      <c r="R174" s="29" t="s">
        <v>153</v>
      </c>
      <c r="S174" s="33" t="s">
        <v>152</v>
      </c>
      <c r="T174" s="29">
        <v>2</v>
      </c>
      <c r="U174" s="30" t="str">
        <f>VLOOKUP(T174,Key!$E$2:$F$9,2,FALSE)</f>
        <v>Work</v>
      </c>
      <c r="V174" s="30" t="str">
        <f t="shared" si="8"/>
        <v>Home-Work</v>
      </c>
      <c r="W174" s="29">
        <v>20000</v>
      </c>
      <c r="X174" s="34">
        <v>125</v>
      </c>
      <c r="Y174" s="50" t="str">
        <f t="shared" si="9"/>
        <v>100-200</v>
      </c>
      <c r="Z174" s="34">
        <v>3</v>
      </c>
      <c r="AA174" s="50" t="str">
        <f t="shared" si="10"/>
        <v>2.0-3.5</v>
      </c>
      <c r="AB174" s="29">
        <v>5</v>
      </c>
      <c r="AC174" s="30" t="str">
        <f>VLOOKUP(AB174,Key!$C$20:$D$29,2,FALSE)</f>
        <v>Professional</v>
      </c>
      <c r="AD174" s="29">
        <v>3</v>
      </c>
      <c r="AE174" s="30" t="str">
        <f>VLOOKUP(AD174,Key!$E$20:$F$24,2,FALSE)</f>
        <v>500,000-750,000</v>
      </c>
      <c r="AF174" s="29">
        <v>3</v>
      </c>
      <c r="AG174" s="34">
        <v>1</v>
      </c>
      <c r="AH174" s="34">
        <v>2</v>
      </c>
      <c r="AI174" s="34">
        <v>5</v>
      </c>
      <c r="AJ174" s="34">
        <v>4</v>
      </c>
      <c r="AK174" s="35" t="s">
        <v>94</v>
      </c>
      <c r="AL174" s="36">
        <v>10000</v>
      </c>
      <c r="AM174" t="str">
        <f t="shared" si="11"/>
        <v>Over 10000</v>
      </c>
    </row>
    <row r="175" spans="1:39" x14ac:dyDescent="0.2">
      <c r="A175" s="44">
        <v>43763</v>
      </c>
      <c r="B175" s="31">
        <v>0.45763888888888887</v>
      </c>
      <c r="C175" s="31"/>
      <c r="D175" s="31" t="s">
        <v>97</v>
      </c>
      <c r="E175" s="33">
        <v>2</v>
      </c>
      <c r="F175" s="38" t="str">
        <f>VLOOKUP(E175,Key!$A$17:$B$21,2,FALSE)</f>
        <v>Road Vehicle</v>
      </c>
      <c r="G175" s="32">
        <v>4</v>
      </c>
      <c r="H175" s="39" t="str">
        <f>VLOOKUP(G175,Key!$A$2:$B$13,2,FALSE)</f>
        <v>Minibus</v>
      </c>
      <c r="I175" s="33" t="s">
        <v>109</v>
      </c>
      <c r="J175" s="33">
        <v>2</v>
      </c>
      <c r="K175" s="40" t="str">
        <f>VLOOKUP(J175,Key!$A$24:$B$29,2,FALSE)</f>
        <v>30-39</v>
      </c>
      <c r="L175" s="33" t="s">
        <v>151</v>
      </c>
      <c r="M175" s="29" t="s">
        <v>151</v>
      </c>
      <c r="N175" s="33" t="s">
        <v>152</v>
      </c>
      <c r="O175" s="35">
        <v>2</v>
      </c>
      <c r="P175" s="30" t="str">
        <f>VLOOKUP(O175,Key!$E$2:$F$9,2,FALSE)</f>
        <v>Work</v>
      </c>
      <c r="Q175" s="33" t="s">
        <v>160</v>
      </c>
      <c r="R175" s="29" t="s">
        <v>160</v>
      </c>
      <c r="S175" s="33" t="s">
        <v>152</v>
      </c>
      <c r="T175" s="29">
        <v>2</v>
      </c>
      <c r="U175" s="30" t="str">
        <f>VLOOKUP(T175,Key!$E$2:$F$9,2,FALSE)</f>
        <v>Work</v>
      </c>
      <c r="V175" s="30" t="str">
        <f t="shared" si="8"/>
        <v>Work-Work</v>
      </c>
      <c r="W175" s="29">
        <v>20000</v>
      </c>
      <c r="X175" s="34">
        <v>125</v>
      </c>
      <c r="Y175" s="50" t="str">
        <f t="shared" si="9"/>
        <v>100-200</v>
      </c>
      <c r="Z175" s="34">
        <v>3</v>
      </c>
      <c r="AA175" s="50" t="str">
        <f t="shared" si="10"/>
        <v>2.0-3.5</v>
      </c>
      <c r="AB175" s="29">
        <v>5</v>
      </c>
      <c r="AC175" s="30" t="str">
        <f>VLOOKUP(AB175,Key!$C$20:$D$29,2,FALSE)</f>
        <v>Professional</v>
      </c>
      <c r="AD175" s="29">
        <v>2</v>
      </c>
      <c r="AE175" s="30" t="str">
        <f>VLOOKUP(AD175,Key!$E$20:$F$24,2,FALSE)</f>
        <v>300,000-500,000</v>
      </c>
      <c r="AF175" s="29">
        <v>3</v>
      </c>
      <c r="AG175" s="34">
        <v>4</v>
      </c>
      <c r="AH175" s="34">
        <v>1</v>
      </c>
      <c r="AI175" s="34">
        <v>2</v>
      </c>
      <c r="AJ175" s="34">
        <v>5</v>
      </c>
      <c r="AK175" s="35" t="s">
        <v>94</v>
      </c>
      <c r="AL175" s="36">
        <v>10000</v>
      </c>
      <c r="AM175" t="str">
        <f t="shared" si="11"/>
        <v>Over 10000</v>
      </c>
    </row>
    <row r="176" spans="1:39" x14ac:dyDescent="0.2">
      <c r="A176" s="44">
        <v>43763</v>
      </c>
      <c r="B176" s="31">
        <v>0.45624999999999999</v>
      </c>
      <c r="C176" s="31"/>
      <c r="D176" s="31" t="s">
        <v>150</v>
      </c>
      <c r="E176" s="33">
        <v>2</v>
      </c>
      <c r="F176" s="38" t="str">
        <f>VLOOKUP(E176,Key!$A$17:$B$21,2,FALSE)</f>
        <v>Road Vehicle</v>
      </c>
      <c r="G176" s="32">
        <v>4</v>
      </c>
      <c r="H176" s="39" t="str">
        <f>VLOOKUP(G176,Key!$A$2:$B$13,2,FALSE)</f>
        <v>Minibus</v>
      </c>
      <c r="I176" s="33" t="s">
        <v>109</v>
      </c>
      <c r="J176" s="33">
        <v>2</v>
      </c>
      <c r="K176" s="40" t="str">
        <f>VLOOKUP(J176,Key!$A$24:$B$29,2,FALSE)</f>
        <v>30-39</v>
      </c>
      <c r="L176" s="33" t="s">
        <v>151</v>
      </c>
      <c r="M176" s="29" t="s">
        <v>151</v>
      </c>
      <c r="N176" s="33" t="s">
        <v>152</v>
      </c>
      <c r="O176" s="35">
        <v>1</v>
      </c>
      <c r="P176" s="30" t="str">
        <f>VLOOKUP(O176,Key!$E$2:$F$9,2,FALSE)</f>
        <v>Home</v>
      </c>
      <c r="Q176" s="33" t="s">
        <v>160</v>
      </c>
      <c r="R176" s="29" t="s">
        <v>160</v>
      </c>
      <c r="S176" s="33" t="s">
        <v>152</v>
      </c>
      <c r="T176" s="29">
        <v>2</v>
      </c>
      <c r="U176" s="30" t="str">
        <f>VLOOKUP(T176,Key!$E$2:$F$9,2,FALSE)</f>
        <v>Work</v>
      </c>
      <c r="V176" s="30" t="str">
        <f t="shared" si="8"/>
        <v>Home-Work</v>
      </c>
      <c r="W176" s="29">
        <v>10000</v>
      </c>
      <c r="X176" s="34">
        <v>48</v>
      </c>
      <c r="Y176" s="50" t="str">
        <f t="shared" si="9"/>
        <v>40-70</v>
      </c>
      <c r="Z176" s="34">
        <v>3</v>
      </c>
      <c r="AA176" s="50" t="str">
        <f t="shared" si="10"/>
        <v>2.0-3.5</v>
      </c>
      <c r="AB176" s="29">
        <v>2</v>
      </c>
      <c r="AC176" s="30" t="str">
        <f>VLOOKUP(AB176,Key!$C$20:$D$29,2,FALSE)</f>
        <v>Manual Labour</v>
      </c>
      <c r="AD176" s="29">
        <v>1</v>
      </c>
      <c r="AE176" s="30" t="str">
        <f>VLOOKUP(AD176,Key!$E$20:$F$24,2,FALSE)</f>
        <v>&lt;300,000</v>
      </c>
      <c r="AF176" s="29">
        <v>3</v>
      </c>
      <c r="AG176" s="34">
        <v>4</v>
      </c>
      <c r="AH176" s="34">
        <v>1</v>
      </c>
      <c r="AI176" s="34">
        <v>2</v>
      </c>
      <c r="AJ176" s="34">
        <v>5</v>
      </c>
      <c r="AK176" s="35" t="s">
        <v>94</v>
      </c>
      <c r="AL176" s="36">
        <v>5000</v>
      </c>
      <c r="AM176" t="str">
        <f t="shared" si="11"/>
        <v>5000-10000</v>
      </c>
    </row>
    <row r="177" spans="1:39" x14ac:dyDescent="0.2">
      <c r="A177" s="44">
        <v>43763</v>
      </c>
      <c r="B177" s="31">
        <v>0.36388888888888887</v>
      </c>
      <c r="C177" s="31"/>
      <c r="D177" s="31" t="s">
        <v>97</v>
      </c>
      <c r="E177" s="33">
        <v>2</v>
      </c>
      <c r="F177" s="38" t="str">
        <f>VLOOKUP(E177,Key!$A$17:$B$21,2,FALSE)</f>
        <v>Road Vehicle</v>
      </c>
      <c r="G177" s="32">
        <v>4</v>
      </c>
      <c r="H177" s="39" t="str">
        <f>VLOOKUP(G177,Key!$A$2:$B$13,2,FALSE)</f>
        <v>Minibus</v>
      </c>
      <c r="I177" s="33" t="s">
        <v>109</v>
      </c>
      <c r="J177" s="33">
        <v>2</v>
      </c>
      <c r="K177" s="40" t="str">
        <f>VLOOKUP(J177,Key!$A$24:$B$29,2,FALSE)</f>
        <v>30-39</v>
      </c>
      <c r="L177" s="33" t="s">
        <v>151</v>
      </c>
      <c r="M177" s="29" t="s">
        <v>151</v>
      </c>
      <c r="N177" s="33" t="s">
        <v>152</v>
      </c>
      <c r="O177" s="35">
        <v>1</v>
      </c>
      <c r="P177" s="30" t="str">
        <f>VLOOKUP(O177,Key!$E$2:$F$9,2,FALSE)</f>
        <v>Home</v>
      </c>
      <c r="Q177" s="33" t="s">
        <v>181</v>
      </c>
      <c r="R177" s="29" t="s">
        <v>180</v>
      </c>
      <c r="S177" s="33" t="s">
        <v>152</v>
      </c>
      <c r="T177" s="29">
        <v>2</v>
      </c>
      <c r="U177" s="30" t="str">
        <f>VLOOKUP(T177,Key!$E$2:$F$9,2,FALSE)</f>
        <v>Work</v>
      </c>
      <c r="V177" s="30" t="str">
        <f t="shared" si="8"/>
        <v>Home-Work</v>
      </c>
      <c r="W177" s="29">
        <v>100000</v>
      </c>
      <c r="X177" s="34">
        <v>15</v>
      </c>
      <c r="Y177" s="50" t="str">
        <f t="shared" si="9"/>
        <v>10-20</v>
      </c>
      <c r="Z177" s="34">
        <v>2</v>
      </c>
      <c r="AA177" s="50" t="str">
        <f t="shared" si="10"/>
        <v>2.0-3.5</v>
      </c>
      <c r="AB177" s="29">
        <v>5</v>
      </c>
      <c r="AC177" s="30" t="str">
        <f>VLOOKUP(AB177,Key!$C$20:$D$29,2,FALSE)</f>
        <v>Professional</v>
      </c>
      <c r="AD177" s="29">
        <v>4</v>
      </c>
      <c r="AE177" s="30" t="str">
        <f>VLOOKUP(AD177,Key!$E$20:$F$24,2,FALSE)</f>
        <v>750,000-1,000,000</v>
      </c>
      <c r="AF177" s="29">
        <v>3</v>
      </c>
      <c r="AG177" s="34">
        <v>5</v>
      </c>
      <c r="AH177" s="34">
        <v>4</v>
      </c>
      <c r="AI177" s="34">
        <v>2</v>
      </c>
      <c r="AJ177" s="34">
        <v>1</v>
      </c>
      <c r="AK177" s="35" t="s">
        <v>94</v>
      </c>
      <c r="AL177" s="36">
        <v>2000</v>
      </c>
      <c r="AM177" t="str">
        <f t="shared" si="11"/>
        <v>2000-3000</v>
      </c>
    </row>
    <row r="178" spans="1:39" x14ac:dyDescent="0.2">
      <c r="A178" s="44">
        <v>43763</v>
      </c>
      <c r="B178" s="31">
        <v>0.37291666666666662</v>
      </c>
      <c r="C178" s="31"/>
      <c r="D178" s="31" t="s">
        <v>97</v>
      </c>
      <c r="E178" s="33">
        <v>2</v>
      </c>
      <c r="F178" s="38" t="str">
        <f>VLOOKUP(E178,Key!$A$17:$B$21,2,FALSE)</f>
        <v>Road Vehicle</v>
      </c>
      <c r="G178" s="32">
        <v>4</v>
      </c>
      <c r="H178" s="39" t="str">
        <f>VLOOKUP(G178,Key!$A$2:$B$13,2,FALSE)</f>
        <v>Minibus</v>
      </c>
      <c r="I178" s="33" t="s">
        <v>109</v>
      </c>
      <c r="J178" s="33">
        <v>2</v>
      </c>
      <c r="K178" s="40" t="str">
        <f>VLOOKUP(J178,Key!$A$24:$B$29,2,FALSE)</f>
        <v>30-39</v>
      </c>
      <c r="L178" s="33" t="s">
        <v>185</v>
      </c>
      <c r="M178" s="29" t="s">
        <v>180</v>
      </c>
      <c r="N178" s="33" t="s">
        <v>152</v>
      </c>
      <c r="O178" s="35">
        <v>2</v>
      </c>
      <c r="P178" s="30" t="str">
        <f>VLOOKUP(O178,Key!$E$2:$F$9,2,FALSE)</f>
        <v>Work</v>
      </c>
      <c r="Q178" s="33" t="s">
        <v>151</v>
      </c>
      <c r="R178" s="29" t="s">
        <v>151</v>
      </c>
      <c r="S178" s="33" t="s">
        <v>152</v>
      </c>
      <c r="T178" s="29">
        <v>1</v>
      </c>
      <c r="U178" s="30" t="str">
        <f>VLOOKUP(T178,Key!$E$2:$F$9,2,FALSE)</f>
        <v>Home</v>
      </c>
      <c r="V178" s="30" t="str">
        <f t="shared" si="8"/>
        <v>Work-Home</v>
      </c>
      <c r="W178" s="29">
        <v>8000</v>
      </c>
      <c r="X178" s="34">
        <v>15</v>
      </c>
      <c r="Y178" s="50" t="str">
        <f t="shared" si="9"/>
        <v>10-20</v>
      </c>
      <c r="Z178" s="34">
        <v>2</v>
      </c>
      <c r="AA178" s="50" t="str">
        <f t="shared" si="10"/>
        <v>2.0-3.5</v>
      </c>
      <c r="AB178" s="29">
        <v>5</v>
      </c>
      <c r="AC178" s="30" t="str">
        <f>VLOOKUP(AB178,Key!$C$20:$D$29,2,FALSE)</f>
        <v>Professional</v>
      </c>
      <c r="AD178" s="29">
        <v>4</v>
      </c>
      <c r="AE178" s="30" t="str">
        <f>VLOOKUP(AD178,Key!$E$20:$F$24,2,FALSE)</f>
        <v>750,000-1,000,000</v>
      </c>
      <c r="AF178" s="29">
        <v>3</v>
      </c>
      <c r="AG178" s="34">
        <v>5</v>
      </c>
      <c r="AH178" s="34">
        <v>4</v>
      </c>
      <c r="AI178" s="34">
        <v>2</v>
      </c>
      <c r="AJ178" s="34">
        <v>1</v>
      </c>
      <c r="AK178" s="35" t="s">
        <v>94</v>
      </c>
      <c r="AL178" s="36">
        <v>5000</v>
      </c>
      <c r="AM178" t="str">
        <f t="shared" si="11"/>
        <v>5000-10000</v>
      </c>
    </row>
    <row r="179" spans="1:39" x14ac:dyDescent="0.2">
      <c r="A179" s="44">
        <v>43763</v>
      </c>
      <c r="B179" s="31">
        <v>0.68194444444444446</v>
      </c>
      <c r="C179" s="31"/>
      <c r="D179" s="31" t="s">
        <v>150</v>
      </c>
      <c r="E179" s="33">
        <v>2</v>
      </c>
      <c r="F179" s="38" t="str">
        <f>VLOOKUP(E179,Key!$A$17:$B$21,2,FALSE)</f>
        <v>Road Vehicle</v>
      </c>
      <c r="G179" s="32">
        <v>4</v>
      </c>
      <c r="H179" s="39" t="str">
        <f>VLOOKUP(G179,Key!$A$2:$B$13,2,FALSE)</f>
        <v>Minibus</v>
      </c>
      <c r="I179" s="33" t="s">
        <v>109</v>
      </c>
      <c r="J179" s="33">
        <v>2</v>
      </c>
      <c r="K179" s="40" t="str">
        <f>VLOOKUP(J179,Key!$A$24:$B$29,2,FALSE)</f>
        <v>30-39</v>
      </c>
      <c r="L179" s="33" t="s">
        <v>151</v>
      </c>
      <c r="M179" s="29" t="s">
        <v>151</v>
      </c>
      <c r="N179" s="33" t="s">
        <v>152</v>
      </c>
      <c r="O179" s="35">
        <v>2</v>
      </c>
      <c r="P179" s="30" t="str">
        <f>VLOOKUP(O179,Key!$E$2:$F$9,2,FALSE)</f>
        <v>Work</v>
      </c>
      <c r="Q179" s="33" t="s">
        <v>183</v>
      </c>
      <c r="R179" s="29" t="s">
        <v>183</v>
      </c>
      <c r="S179" s="33" t="s">
        <v>152</v>
      </c>
      <c r="T179" s="29">
        <v>1</v>
      </c>
      <c r="U179" s="30" t="str">
        <f>VLOOKUP(T179,Key!$E$2:$F$9,2,FALSE)</f>
        <v>Home</v>
      </c>
      <c r="V179" s="30" t="str">
        <f t="shared" si="8"/>
        <v>Work-Home</v>
      </c>
      <c r="W179" s="29">
        <v>100000</v>
      </c>
      <c r="X179" s="34">
        <v>65</v>
      </c>
      <c r="Y179" s="50" t="str">
        <f t="shared" si="9"/>
        <v>40-70</v>
      </c>
      <c r="Z179" s="34">
        <v>2</v>
      </c>
      <c r="AA179" s="50" t="str">
        <f t="shared" si="10"/>
        <v>2.0-3.5</v>
      </c>
      <c r="AB179" s="29">
        <v>4</v>
      </c>
      <c r="AC179" s="30" t="str">
        <f>VLOOKUP(AB179,Key!$C$20:$D$29,2,FALSE)</f>
        <v>Office Worker</v>
      </c>
      <c r="AD179" s="29">
        <v>3</v>
      </c>
      <c r="AE179" s="30" t="str">
        <f>VLOOKUP(AD179,Key!$E$20:$F$24,2,FALSE)</f>
        <v>500,000-750,000</v>
      </c>
      <c r="AF179" s="29">
        <v>2</v>
      </c>
      <c r="AG179" s="34">
        <v>1</v>
      </c>
      <c r="AH179" s="34">
        <v>3</v>
      </c>
      <c r="AI179" s="34">
        <v>4</v>
      </c>
      <c r="AJ179" s="34">
        <v>5</v>
      </c>
      <c r="AK179" s="35" t="s">
        <v>94</v>
      </c>
      <c r="AL179" s="36">
        <v>2000</v>
      </c>
      <c r="AM179" t="str">
        <f t="shared" si="11"/>
        <v>2000-3000</v>
      </c>
    </row>
    <row r="180" spans="1:39" x14ac:dyDescent="0.2">
      <c r="A180" s="44">
        <v>43763</v>
      </c>
      <c r="B180" s="31">
        <v>0.56388888888888888</v>
      </c>
      <c r="C180" s="31"/>
      <c r="D180" s="31" t="s">
        <v>97</v>
      </c>
      <c r="E180" s="33">
        <v>2</v>
      </c>
      <c r="F180" s="38" t="str">
        <f>VLOOKUP(E180,Key!$A$17:$B$21,2,FALSE)</f>
        <v>Road Vehicle</v>
      </c>
      <c r="G180" s="32">
        <v>4</v>
      </c>
      <c r="H180" s="39" t="str">
        <f>VLOOKUP(G180,Key!$A$2:$B$13,2,FALSE)</f>
        <v>Minibus</v>
      </c>
      <c r="I180" s="33" t="s">
        <v>109</v>
      </c>
      <c r="J180" s="33">
        <v>2</v>
      </c>
      <c r="K180" s="40" t="str">
        <f>VLOOKUP(J180,Key!$A$24:$B$29,2,FALSE)</f>
        <v>30-39</v>
      </c>
      <c r="L180" s="33" t="s">
        <v>151</v>
      </c>
      <c r="M180" s="29" t="s">
        <v>151</v>
      </c>
      <c r="N180" s="33" t="s">
        <v>152</v>
      </c>
      <c r="O180" s="35">
        <v>2</v>
      </c>
      <c r="P180" s="30" t="str">
        <f>VLOOKUP(O180,Key!$E$2:$F$9,2,FALSE)</f>
        <v>Work</v>
      </c>
      <c r="Q180" s="33" t="s">
        <v>151</v>
      </c>
      <c r="R180" s="29" t="s">
        <v>151</v>
      </c>
      <c r="S180" s="33" t="s">
        <v>152</v>
      </c>
      <c r="T180" s="29">
        <v>2</v>
      </c>
      <c r="U180" s="30" t="str">
        <f>VLOOKUP(T180,Key!$E$2:$F$9,2,FALSE)</f>
        <v>Work</v>
      </c>
      <c r="V180" s="30" t="str">
        <f t="shared" si="8"/>
        <v>Work-Work</v>
      </c>
      <c r="W180" s="29">
        <v>120000</v>
      </c>
      <c r="X180" s="34">
        <v>150</v>
      </c>
      <c r="Y180" s="50" t="str">
        <f t="shared" si="9"/>
        <v>100-200</v>
      </c>
      <c r="Z180" s="34">
        <v>3</v>
      </c>
      <c r="AA180" s="50" t="str">
        <f t="shared" si="10"/>
        <v>2.0-3.5</v>
      </c>
      <c r="AB180" s="29">
        <v>10</v>
      </c>
      <c r="AC180" s="30" t="str">
        <f>VLOOKUP(AB180,Key!$C$20:$D$29,2,FALSE)</f>
        <v>Other</v>
      </c>
      <c r="AD180" s="29">
        <v>2</v>
      </c>
      <c r="AE180" s="30" t="str">
        <f>VLOOKUP(AD180,Key!$E$20:$F$24,2,FALSE)</f>
        <v>300,000-500,000</v>
      </c>
      <c r="AF180" s="29">
        <v>1</v>
      </c>
      <c r="AG180" s="34">
        <v>2</v>
      </c>
      <c r="AH180" s="34">
        <v>5</v>
      </c>
      <c r="AI180" s="34">
        <v>4</v>
      </c>
      <c r="AJ180" s="34">
        <v>3</v>
      </c>
      <c r="AK180" s="35" t="s">
        <v>94</v>
      </c>
      <c r="AL180" s="36">
        <v>1000</v>
      </c>
      <c r="AM180" t="str">
        <f t="shared" si="11"/>
        <v>1000-2000</v>
      </c>
    </row>
    <row r="181" spans="1:39" x14ac:dyDescent="0.2">
      <c r="A181" s="44">
        <v>43763</v>
      </c>
      <c r="B181" s="31">
        <v>0.80138888888888893</v>
      </c>
      <c r="C181" s="31"/>
      <c r="D181" s="31" t="s">
        <v>97</v>
      </c>
      <c r="E181" s="33">
        <v>2</v>
      </c>
      <c r="F181" s="38" t="str">
        <f>VLOOKUP(E181,Key!$A$17:$B$21,2,FALSE)</f>
        <v>Road Vehicle</v>
      </c>
      <c r="G181" s="32">
        <v>4</v>
      </c>
      <c r="H181" s="39" t="str">
        <f>VLOOKUP(G181,Key!$A$2:$B$13,2,FALSE)</f>
        <v>Minibus</v>
      </c>
      <c r="I181" s="33" t="s">
        <v>109</v>
      </c>
      <c r="J181" s="33">
        <v>2</v>
      </c>
      <c r="K181" s="40" t="str">
        <f>VLOOKUP(J181,Key!$A$24:$B$29,2,FALSE)</f>
        <v>30-39</v>
      </c>
      <c r="L181" s="33" t="s">
        <v>151</v>
      </c>
      <c r="M181" s="29" t="s">
        <v>151</v>
      </c>
      <c r="N181" s="33" t="s">
        <v>152</v>
      </c>
      <c r="O181" s="35">
        <v>2</v>
      </c>
      <c r="P181" s="30" t="str">
        <f>VLOOKUP(O181,Key!$E$2:$F$9,2,FALSE)</f>
        <v>Work</v>
      </c>
      <c r="Q181" s="33" t="s">
        <v>153</v>
      </c>
      <c r="R181" s="29" t="s">
        <v>153</v>
      </c>
      <c r="S181" s="33" t="s">
        <v>152</v>
      </c>
      <c r="T181" s="29">
        <v>1</v>
      </c>
      <c r="U181" s="30" t="str">
        <f>VLOOKUP(T181,Key!$E$2:$F$9,2,FALSE)</f>
        <v>Home</v>
      </c>
      <c r="V181" s="30" t="str">
        <f t="shared" si="8"/>
        <v>Work-Home</v>
      </c>
      <c r="W181" s="29">
        <v>180000</v>
      </c>
      <c r="X181" s="34">
        <v>210</v>
      </c>
      <c r="Y181" s="50" t="str">
        <f t="shared" si="9"/>
        <v>Over 200</v>
      </c>
      <c r="Z181" s="34">
        <v>4</v>
      </c>
      <c r="AA181" s="50" t="str">
        <f t="shared" si="10"/>
        <v>Over 3.5</v>
      </c>
      <c r="AB181" s="29">
        <v>10</v>
      </c>
      <c r="AC181" s="30" t="str">
        <f>VLOOKUP(AB181,Key!$C$20:$D$29,2,FALSE)</f>
        <v>Other</v>
      </c>
      <c r="AD181" s="29">
        <v>2</v>
      </c>
      <c r="AE181" s="30" t="str">
        <f>VLOOKUP(AD181,Key!$E$20:$F$24,2,FALSE)</f>
        <v>300,000-500,000</v>
      </c>
      <c r="AF181" s="29">
        <v>3</v>
      </c>
      <c r="AG181" s="34">
        <v>4</v>
      </c>
      <c r="AH181" s="34">
        <v>5</v>
      </c>
      <c r="AI181" s="34">
        <v>2</v>
      </c>
      <c r="AJ181" s="34">
        <v>1</v>
      </c>
      <c r="AK181" s="35" t="s">
        <v>94</v>
      </c>
      <c r="AL181" s="36">
        <v>8000</v>
      </c>
      <c r="AM181" t="str">
        <f t="shared" si="11"/>
        <v>5000-10000</v>
      </c>
    </row>
    <row r="182" spans="1:39" x14ac:dyDescent="0.2">
      <c r="A182" s="44">
        <v>43764</v>
      </c>
      <c r="B182" s="31">
        <v>0.2951388888888889</v>
      </c>
      <c r="C182" s="31"/>
      <c r="D182" s="31" t="s">
        <v>150</v>
      </c>
      <c r="E182" s="33">
        <v>2</v>
      </c>
      <c r="F182" s="38" t="str">
        <f>VLOOKUP(E182,Key!$A$17:$B$21,2,FALSE)</f>
        <v>Road Vehicle</v>
      </c>
      <c r="G182" s="32">
        <v>4</v>
      </c>
      <c r="H182" s="39" t="str">
        <f>VLOOKUP(G182,Key!$A$2:$B$13,2,FALSE)</f>
        <v>Minibus</v>
      </c>
      <c r="I182" s="33" t="s">
        <v>109</v>
      </c>
      <c r="J182" s="33">
        <v>2</v>
      </c>
      <c r="K182" s="40" t="str">
        <f>VLOOKUP(J182,Key!$A$24:$B$29,2,FALSE)</f>
        <v>30-39</v>
      </c>
      <c r="L182" s="33" t="s">
        <v>151</v>
      </c>
      <c r="M182" s="29" t="s">
        <v>151</v>
      </c>
      <c r="N182" s="33" t="s">
        <v>152</v>
      </c>
      <c r="O182" s="35">
        <v>4</v>
      </c>
      <c r="P182" s="30" t="str">
        <f>VLOOKUP(O182,Key!$E$2:$F$9,2,FALSE)</f>
        <v>Commercial</v>
      </c>
      <c r="Q182" s="33" t="s">
        <v>163</v>
      </c>
      <c r="R182" s="29" t="s">
        <v>163</v>
      </c>
      <c r="S182" s="33" t="s">
        <v>152</v>
      </c>
      <c r="T182" s="29">
        <v>1</v>
      </c>
      <c r="U182" s="30" t="str">
        <f>VLOOKUP(T182,Key!$E$2:$F$9,2,FALSE)</f>
        <v>Home</v>
      </c>
      <c r="V182" s="30" t="str">
        <f t="shared" si="8"/>
        <v>Commercial-Home</v>
      </c>
      <c r="W182" s="29">
        <v>35000</v>
      </c>
      <c r="X182" s="34"/>
      <c r="Y182" s="50" t="str">
        <f t="shared" si="9"/>
        <v>0-10</v>
      </c>
      <c r="Z182" s="34">
        <v>9</v>
      </c>
      <c r="AA182" s="50" t="str">
        <f t="shared" si="10"/>
        <v>Over 3.5</v>
      </c>
      <c r="AB182" s="29">
        <v>6</v>
      </c>
      <c r="AC182" s="30" t="str">
        <f>VLOOKUP(AB182,Key!$C$20:$D$29,2,FALSE)</f>
        <v>Businessman</v>
      </c>
      <c r="AD182" s="29">
        <v>5</v>
      </c>
      <c r="AE182" s="30" t="str">
        <f>VLOOKUP(AD182,Key!$E$20:$F$24,2,FALSE)</f>
        <v>&gt;1,000,000</v>
      </c>
      <c r="AF182" s="29">
        <v>1</v>
      </c>
      <c r="AG182" s="34">
        <v>4</v>
      </c>
      <c r="AH182" s="34">
        <v>2</v>
      </c>
      <c r="AI182" s="34">
        <v>4</v>
      </c>
      <c r="AJ182" s="34">
        <v>5</v>
      </c>
      <c r="AK182" s="35" t="s">
        <v>94</v>
      </c>
      <c r="AL182" s="36">
        <v>10000</v>
      </c>
      <c r="AM182" t="str">
        <f t="shared" si="11"/>
        <v>Over 10000</v>
      </c>
    </row>
    <row r="183" spans="1:39" x14ac:dyDescent="0.2">
      <c r="A183" s="44">
        <v>43764</v>
      </c>
      <c r="B183" s="31">
        <v>0.34375</v>
      </c>
      <c r="C183" s="31"/>
      <c r="D183" s="31" t="s">
        <v>150</v>
      </c>
      <c r="E183" s="33">
        <v>2</v>
      </c>
      <c r="F183" s="38" t="str">
        <f>VLOOKUP(E183,Key!$A$17:$B$21,2,FALSE)</f>
        <v>Road Vehicle</v>
      </c>
      <c r="G183" s="32">
        <v>4</v>
      </c>
      <c r="H183" s="39" t="str">
        <f>VLOOKUP(G183,Key!$A$2:$B$13,2,FALSE)</f>
        <v>Minibus</v>
      </c>
      <c r="I183" s="33" t="s">
        <v>109</v>
      </c>
      <c r="J183" s="33">
        <v>2</v>
      </c>
      <c r="K183" s="40" t="str">
        <f>VLOOKUP(J183,Key!$A$24:$B$29,2,FALSE)</f>
        <v>30-39</v>
      </c>
      <c r="L183" s="33" t="s">
        <v>151</v>
      </c>
      <c r="M183" s="29" t="s">
        <v>151</v>
      </c>
      <c r="N183" s="33" t="s">
        <v>152</v>
      </c>
      <c r="O183" s="35">
        <v>8</v>
      </c>
      <c r="P183" s="30" t="str">
        <f>VLOOKUP(O183,Key!$E$2:$F$9,2,FALSE)</f>
        <v>Others</v>
      </c>
      <c r="Q183" s="33" t="s">
        <v>153</v>
      </c>
      <c r="R183" s="29" t="s">
        <v>153</v>
      </c>
      <c r="S183" s="33" t="s">
        <v>152</v>
      </c>
      <c r="T183" s="29">
        <v>2</v>
      </c>
      <c r="U183" s="30" t="str">
        <f>VLOOKUP(T183,Key!$E$2:$F$9,2,FALSE)</f>
        <v>Work</v>
      </c>
      <c r="V183" s="30" t="str">
        <f t="shared" si="8"/>
        <v>Others-Work</v>
      </c>
      <c r="W183" s="29">
        <v>13000</v>
      </c>
      <c r="X183" s="34"/>
      <c r="Y183" s="50" t="str">
        <f t="shared" si="9"/>
        <v>0-10</v>
      </c>
      <c r="Z183" s="34">
        <v>3</v>
      </c>
      <c r="AA183" s="50" t="str">
        <f t="shared" si="10"/>
        <v>2.0-3.5</v>
      </c>
      <c r="AB183" s="29">
        <v>4</v>
      </c>
      <c r="AC183" s="30" t="str">
        <f>VLOOKUP(AB183,Key!$C$20:$D$29,2,FALSE)</f>
        <v>Office Worker</v>
      </c>
      <c r="AD183" s="29">
        <v>3</v>
      </c>
      <c r="AE183" s="30" t="str">
        <f>VLOOKUP(AD183,Key!$E$20:$F$24,2,FALSE)</f>
        <v>500,000-750,000</v>
      </c>
      <c r="AF183" s="29">
        <v>5</v>
      </c>
      <c r="AG183" s="34">
        <v>2</v>
      </c>
      <c r="AH183" s="34">
        <v>1</v>
      </c>
      <c r="AI183" s="34">
        <v>3</v>
      </c>
      <c r="AJ183" s="34">
        <v>4</v>
      </c>
      <c r="AK183" s="35" t="s">
        <v>94</v>
      </c>
      <c r="AL183" s="36">
        <v>3000</v>
      </c>
      <c r="AM183" t="str">
        <f t="shared" si="11"/>
        <v>3000-5000</v>
      </c>
    </row>
    <row r="184" spans="1:39" x14ac:dyDescent="0.2">
      <c r="A184" s="44">
        <v>43764</v>
      </c>
      <c r="B184" s="31">
        <v>0.34652777777777777</v>
      </c>
      <c r="C184" s="31"/>
      <c r="D184" s="31" t="s">
        <v>150</v>
      </c>
      <c r="E184" s="33">
        <v>2</v>
      </c>
      <c r="F184" s="38" t="str">
        <f>VLOOKUP(E184,Key!$A$17:$B$21,2,FALSE)</f>
        <v>Road Vehicle</v>
      </c>
      <c r="G184" s="32">
        <v>4</v>
      </c>
      <c r="H184" s="39" t="str">
        <f>VLOOKUP(G184,Key!$A$2:$B$13,2,FALSE)</f>
        <v>Minibus</v>
      </c>
      <c r="I184" s="33" t="s">
        <v>109</v>
      </c>
      <c r="J184" s="33">
        <v>2</v>
      </c>
      <c r="K184" s="40" t="str">
        <f>VLOOKUP(J184,Key!$A$24:$B$29,2,FALSE)</f>
        <v>30-39</v>
      </c>
      <c r="L184" s="33" t="s">
        <v>151</v>
      </c>
      <c r="M184" s="29" t="s">
        <v>151</v>
      </c>
      <c r="N184" s="33" t="s">
        <v>152</v>
      </c>
      <c r="O184" s="35">
        <v>1</v>
      </c>
      <c r="P184" s="30" t="str">
        <f>VLOOKUP(O184,Key!$E$2:$F$9,2,FALSE)</f>
        <v>Home</v>
      </c>
      <c r="Q184" s="33" t="s">
        <v>163</v>
      </c>
      <c r="R184" s="29" t="s">
        <v>163</v>
      </c>
      <c r="S184" s="33" t="s">
        <v>152</v>
      </c>
      <c r="T184" s="29">
        <v>8</v>
      </c>
      <c r="U184" s="30" t="str">
        <f>VLOOKUP(T184,Key!$E$2:$F$9,2,FALSE)</f>
        <v>Others</v>
      </c>
      <c r="V184" s="30" t="str">
        <f t="shared" si="8"/>
        <v>Home-Others</v>
      </c>
      <c r="W184" s="29">
        <v>30000</v>
      </c>
      <c r="X184" s="34"/>
      <c r="Y184" s="50" t="str">
        <f t="shared" si="9"/>
        <v>0-10</v>
      </c>
      <c r="Z184" s="34">
        <v>8</v>
      </c>
      <c r="AA184" s="50" t="str">
        <f t="shared" si="10"/>
        <v>Over 3.5</v>
      </c>
      <c r="AB184" s="29">
        <v>5</v>
      </c>
      <c r="AC184" s="30" t="str">
        <f>VLOOKUP(AB184,Key!$C$20:$D$29,2,FALSE)</f>
        <v>Professional</v>
      </c>
      <c r="AD184" s="29">
        <v>5</v>
      </c>
      <c r="AE184" s="30" t="str">
        <f>VLOOKUP(AD184,Key!$E$20:$F$24,2,FALSE)</f>
        <v>&gt;1,000,000</v>
      </c>
      <c r="AF184" s="29">
        <v>1</v>
      </c>
      <c r="AG184" s="34">
        <v>5</v>
      </c>
      <c r="AH184" s="34">
        <v>4</v>
      </c>
      <c r="AI184" s="34">
        <v>2</v>
      </c>
      <c r="AJ184" s="34">
        <v>3</v>
      </c>
      <c r="AK184" s="35" t="s">
        <v>94</v>
      </c>
      <c r="AL184" s="36">
        <v>5000</v>
      </c>
      <c r="AM184" t="str">
        <f t="shared" si="11"/>
        <v>5000-10000</v>
      </c>
    </row>
    <row r="185" spans="1:39" x14ac:dyDescent="0.2">
      <c r="A185" s="44">
        <v>43764</v>
      </c>
      <c r="B185" s="31">
        <v>0.3125</v>
      </c>
      <c r="C185" s="31"/>
      <c r="D185" s="31" t="s">
        <v>150</v>
      </c>
      <c r="E185" s="33">
        <v>2</v>
      </c>
      <c r="F185" s="38" t="str">
        <f>VLOOKUP(E185,Key!$A$17:$B$21,2,FALSE)</f>
        <v>Road Vehicle</v>
      </c>
      <c r="G185" s="32">
        <v>4</v>
      </c>
      <c r="H185" s="39" t="str">
        <f>VLOOKUP(G185,Key!$A$2:$B$13,2,FALSE)</f>
        <v>Minibus</v>
      </c>
      <c r="I185" s="33" t="s">
        <v>109</v>
      </c>
      <c r="J185" s="33">
        <v>2</v>
      </c>
      <c r="K185" s="40" t="str">
        <f>VLOOKUP(J185,Key!$A$24:$B$29,2,FALSE)</f>
        <v>30-39</v>
      </c>
      <c r="L185" s="33" t="s">
        <v>151</v>
      </c>
      <c r="M185" s="29" t="s">
        <v>151</v>
      </c>
      <c r="N185" s="33" t="s">
        <v>152</v>
      </c>
      <c r="O185" s="35">
        <v>1</v>
      </c>
      <c r="P185" s="30" t="str">
        <f>VLOOKUP(O185,Key!$E$2:$F$9,2,FALSE)</f>
        <v>Home</v>
      </c>
      <c r="Q185" s="33" t="s">
        <v>153</v>
      </c>
      <c r="R185" s="29" t="s">
        <v>153</v>
      </c>
      <c r="S185" s="33" t="s">
        <v>152</v>
      </c>
      <c r="T185" s="29">
        <v>2</v>
      </c>
      <c r="U185" s="30" t="str">
        <f>VLOOKUP(T185,Key!$E$2:$F$9,2,FALSE)</f>
        <v>Work</v>
      </c>
      <c r="V185" s="30" t="str">
        <f t="shared" si="8"/>
        <v>Home-Work</v>
      </c>
      <c r="W185" s="29">
        <v>13000</v>
      </c>
      <c r="X185" s="34"/>
      <c r="Y185" s="50" t="str">
        <f t="shared" si="9"/>
        <v>0-10</v>
      </c>
      <c r="Z185" s="34">
        <v>3</v>
      </c>
      <c r="AA185" s="50" t="str">
        <f t="shared" si="10"/>
        <v>2.0-3.5</v>
      </c>
      <c r="AB185" s="29">
        <v>4</v>
      </c>
      <c r="AC185" s="30" t="str">
        <f>VLOOKUP(AB185,Key!$C$20:$D$29,2,FALSE)</f>
        <v>Office Worker</v>
      </c>
      <c r="AD185" s="29">
        <v>2</v>
      </c>
      <c r="AE185" s="30" t="str">
        <f>VLOOKUP(AD185,Key!$E$20:$F$24,2,FALSE)</f>
        <v>300,000-500,000</v>
      </c>
      <c r="AF185" s="29">
        <v>3</v>
      </c>
      <c r="AG185" s="34">
        <v>1</v>
      </c>
      <c r="AH185" s="34">
        <v>2</v>
      </c>
      <c r="AI185" s="34">
        <v>4</v>
      </c>
      <c r="AJ185" s="34">
        <v>5</v>
      </c>
      <c r="AK185" s="35" t="s">
        <v>94</v>
      </c>
      <c r="AL185" s="36">
        <v>1000</v>
      </c>
      <c r="AM185" t="str">
        <f t="shared" si="11"/>
        <v>1000-2000</v>
      </c>
    </row>
    <row r="186" spans="1:39" x14ac:dyDescent="0.2">
      <c r="A186" s="44">
        <v>43764</v>
      </c>
      <c r="B186" s="31">
        <v>0.65902777777777777</v>
      </c>
      <c r="C186" s="31"/>
      <c r="D186" s="31" t="s">
        <v>150</v>
      </c>
      <c r="E186" s="33">
        <v>2</v>
      </c>
      <c r="F186" s="38" t="str">
        <f>VLOOKUP(E186,Key!$A$17:$B$21,2,FALSE)</f>
        <v>Road Vehicle</v>
      </c>
      <c r="G186" s="32">
        <v>4</v>
      </c>
      <c r="H186" s="39" t="str">
        <f>VLOOKUP(G186,Key!$A$2:$B$13,2,FALSE)</f>
        <v>Minibus</v>
      </c>
      <c r="I186" s="33" t="s">
        <v>109</v>
      </c>
      <c r="J186" s="33">
        <v>2</v>
      </c>
      <c r="K186" s="40" t="str">
        <f>VLOOKUP(J186,Key!$A$24:$B$29,2,FALSE)</f>
        <v>30-39</v>
      </c>
      <c r="L186" s="33" t="s">
        <v>151</v>
      </c>
      <c r="M186" s="29" t="s">
        <v>151</v>
      </c>
      <c r="N186" s="33" t="s">
        <v>152</v>
      </c>
      <c r="O186" s="35">
        <v>1</v>
      </c>
      <c r="P186" s="30" t="str">
        <f>VLOOKUP(O186,Key!$E$2:$F$9,2,FALSE)</f>
        <v>Home</v>
      </c>
      <c r="Q186" s="33" t="s">
        <v>153</v>
      </c>
      <c r="R186" s="29" t="s">
        <v>153</v>
      </c>
      <c r="S186" s="33" t="s">
        <v>152</v>
      </c>
      <c r="T186" s="29">
        <v>8</v>
      </c>
      <c r="U186" s="30" t="str">
        <f>VLOOKUP(T186,Key!$E$2:$F$9,2,FALSE)</f>
        <v>Others</v>
      </c>
      <c r="V186" s="30" t="str">
        <f t="shared" si="8"/>
        <v>Home-Others</v>
      </c>
      <c r="W186" s="29">
        <v>13000</v>
      </c>
      <c r="X186" s="34"/>
      <c r="Y186" s="50" t="str">
        <f t="shared" si="9"/>
        <v>0-10</v>
      </c>
      <c r="Z186" s="34">
        <v>4</v>
      </c>
      <c r="AA186" s="50" t="str">
        <f t="shared" si="10"/>
        <v>Over 3.5</v>
      </c>
      <c r="AB186" s="29">
        <v>5</v>
      </c>
      <c r="AC186" s="30" t="str">
        <f>VLOOKUP(AB186,Key!$C$20:$D$29,2,FALSE)</f>
        <v>Professional</v>
      </c>
      <c r="AD186" s="29">
        <v>4</v>
      </c>
      <c r="AE186" s="30" t="str">
        <f>VLOOKUP(AD186,Key!$E$20:$F$24,2,FALSE)</f>
        <v>750,000-1,000,000</v>
      </c>
      <c r="AF186" s="29">
        <v>2</v>
      </c>
      <c r="AG186" s="34">
        <v>5</v>
      </c>
      <c r="AH186" s="34">
        <v>3</v>
      </c>
      <c r="AI186" s="34">
        <v>1</v>
      </c>
      <c r="AJ186" s="34">
        <v>4</v>
      </c>
      <c r="AK186" s="35" t="s">
        <v>94</v>
      </c>
      <c r="AL186" s="36">
        <v>1000</v>
      </c>
      <c r="AM186" t="str">
        <f t="shared" si="11"/>
        <v>1000-2000</v>
      </c>
    </row>
    <row r="187" spans="1:39" x14ac:dyDescent="0.2">
      <c r="A187" s="44">
        <v>43764</v>
      </c>
      <c r="B187" s="31">
        <v>0.65069444444444446</v>
      </c>
      <c r="C187" s="31"/>
      <c r="D187" s="31" t="s">
        <v>150</v>
      </c>
      <c r="E187" s="33">
        <v>2</v>
      </c>
      <c r="F187" s="38" t="str">
        <f>VLOOKUP(E187,Key!$A$17:$B$21,2,FALSE)</f>
        <v>Road Vehicle</v>
      </c>
      <c r="G187" s="32">
        <v>4</v>
      </c>
      <c r="H187" s="39" t="str">
        <f>VLOOKUP(G187,Key!$A$2:$B$13,2,FALSE)</f>
        <v>Minibus</v>
      </c>
      <c r="I187" s="33" t="s">
        <v>109</v>
      </c>
      <c r="J187" s="33">
        <v>2</v>
      </c>
      <c r="K187" s="40" t="str">
        <f>VLOOKUP(J187,Key!$A$24:$B$29,2,FALSE)</f>
        <v>30-39</v>
      </c>
      <c r="L187" s="33" t="s">
        <v>151</v>
      </c>
      <c r="M187" s="29" t="s">
        <v>151</v>
      </c>
      <c r="N187" s="33" t="s">
        <v>152</v>
      </c>
      <c r="O187" s="35">
        <v>4</v>
      </c>
      <c r="P187" s="30" t="str">
        <f>VLOOKUP(O187,Key!$E$2:$F$9,2,FALSE)</f>
        <v>Commercial</v>
      </c>
      <c r="Q187" s="33" t="s">
        <v>154</v>
      </c>
      <c r="R187" s="29" t="s">
        <v>177</v>
      </c>
      <c r="S187" s="33" t="s">
        <v>152</v>
      </c>
      <c r="T187" s="29">
        <v>4</v>
      </c>
      <c r="U187" s="30" t="str">
        <f>VLOOKUP(T187,Key!$E$2:$F$9,2,FALSE)</f>
        <v>Commercial</v>
      </c>
      <c r="V187" s="30" t="str">
        <f t="shared" si="8"/>
        <v>Commercial-Commercial</v>
      </c>
      <c r="W187" s="29">
        <v>8000</v>
      </c>
      <c r="X187" s="34"/>
      <c r="Y187" s="50" t="str">
        <f t="shared" si="9"/>
        <v>0-10</v>
      </c>
      <c r="Z187" s="34">
        <v>2</v>
      </c>
      <c r="AA187" s="50" t="str">
        <f t="shared" si="10"/>
        <v>2.0-3.5</v>
      </c>
      <c r="AB187" s="29">
        <v>6</v>
      </c>
      <c r="AC187" s="30" t="str">
        <f>VLOOKUP(AB187,Key!$C$20:$D$29,2,FALSE)</f>
        <v>Businessman</v>
      </c>
      <c r="AD187" s="29">
        <v>4</v>
      </c>
      <c r="AE187" s="30" t="str">
        <f>VLOOKUP(AD187,Key!$E$20:$F$24,2,FALSE)</f>
        <v>750,000-1,000,000</v>
      </c>
      <c r="AF187" s="29">
        <v>3</v>
      </c>
      <c r="AG187" s="34">
        <v>4</v>
      </c>
      <c r="AH187" s="34">
        <v>5</v>
      </c>
      <c r="AI187" s="34">
        <v>1</v>
      </c>
      <c r="AJ187" s="34">
        <v>2</v>
      </c>
      <c r="AK187" s="35" t="s">
        <v>94</v>
      </c>
      <c r="AL187" s="36">
        <v>2000</v>
      </c>
      <c r="AM187" t="str">
        <f t="shared" si="11"/>
        <v>2000-3000</v>
      </c>
    </row>
    <row r="188" spans="1:39" x14ac:dyDescent="0.2">
      <c r="A188" s="44">
        <v>43764</v>
      </c>
      <c r="B188" s="31">
        <v>0.64861111111111114</v>
      </c>
      <c r="C188" s="31"/>
      <c r="D188" s="31" t="s">
        <v>150</v>
      </c>
      <c r="E188" s="33">
        <v>2</v>
      </c>
      <c r="F188" s="38" t="str">
        <f>VLOOKUP(E188,Key!$A$17:$B$21,2,FALSE)</f>
        <v>Road Vehicle</v>
      </c>
      <c r="G188" s="32">
        <v>4</v>
      </c>
      <c r="H188" s="39" t="str">
        <f>VLOOKUP(G188,Key!$A$2:$B$13,2,FALSE)</f>
        <v>Minibus</v>
      </c>
      <c r="I188" s="33" t="s">
        <v>109</v>
      </c>
      <c r="J188" s="33">
        <v>2</v>
      </c>
      <c r="K188" s="40" t="str">
        <f>VLOOKUP(J188,Key!$A$24:$B$29,2,FALSE)</f>
        <v>30-39</v>
      </c>
      <c r="L188" s="33" t="s">
        <v>151</v>
      </c>
      <c r="M188" s="29" t="s">
        <v>151</v>
      </c>
      <c r="N188" s="33" t="s">
        <v>152</v>
      </c>
      <c r="O188" s="35">
        <v>1</v>
      </c>
      <c r="P188" s="30" t="str">
        <f>VLOOKUP(O188,Key!$E$2:$F$9,2,FALSE)</f>
        <v>Home</v>
      </c>
      <c r="Q188" s="33" t="s">
        <v>151</v>
      </c>
      <c r="R188" s="29" t="s">
        <v>151</v>
      </c>
      <c r="S188" s="33" t="s">
        <v>152</v>
      </c>
      <c r="T188" s="29">
        <v>1</v>
      </c>
      <c r="U188" s="30" t="str">
        <f>VLOOKUP(T188,Key!$E$2:$F$9,2,FALSE)</f>
        <v>Home</v>
      </c>
      <c r="V188" s="30" t="str">
        <f t="shared" si="8"/>
        <v>Home-Home</v>
      </c>
      <c r="W188" s="29">
        <v>6000</v>
      </c>
      <c r="X188" s="34"/>
      <c r="Y188" s="50" t="str">
        <f t="shared" si="9"/>
        <v>0-10</v>
      </c>
      <c r="Z188" s="34">
        <v>1</v>
      </c>
      <c r="AA188" s="50" t="str">
        <f t="shared" si="10"/>
        <v>1.0-2.0</v>
      </c>
      <c r="AB188" s="29">
        <v>1</v>
      </c>
      <c r="AC188" s="30" t="str">
        <f>VLOOKUP(AB188,Key!$C$20:$D$29,2,FALSE)</f>
        <v>Unemployed</v>
      </c>
      <c r="AD188" s="29">
        <v>2</v>
      </c>
      <c r="AE188" s="30" t="str">
        <f>VLOOKUP(AD188,Key!$E$20:$F$24,2,FALSE)</f>
        <v>300,000-500,000</v>
      </c>
      <c r="AF188" s="29">
        <v>4</v>
      </c>
      <c r="AG188" s="34">
        <v>3</v>
      </c>
      <c r="AH188" s="34">
        <v>5</v>
      </c>
      <c r="AI188" s="34">
        <v>1</v>
      </c>
      <c r="AJ188" s="34">
        <v>2</v>
      </c>
      <c r="AK188" s="35" t="s">
        <v>94</v>
      </c>
      <c r="AL188" s="36"/>
      <c r="AM188" t="str">
        <f t="shared" si="11"/>
        <v>0-1000</v>
      </c>
    </row>
    <row r="189" spans="1:39" x14ac:dyDescent="0.2">
      <c r="A189" s="44">
        <v>43764</v>
      </c>
      <c r="B189" s="31">
        <v>0.6430555555555556</v>
      </c>
      <c r="C189" s="31"/>
      <c r="D189" s="31" t="s">
        <v>150</v>
      </c>
      <c r="E189" s="33">
        <v>2</v>
      </c>
      <c r="F189" s="38" t="str">
        <f>VLOOKUP(E189,Key!$A$17:$B$21,2,FALSE)</f>
        <v>Road Vehicle</v>
      </c>
      <c r="G189" s="32">
        <v>4</v>
      </c>
      <c r="H189" s="39" t="str">
        <f>VLOOKUP(G189,Key!$A$2:$B$13,2,FALSE)</f>
        <v>Minibus</v>
      </c>
      <c r="I189" s="33" t="s">
        <v>109</v>
      </c>
      <c r="J189" s="33">
        <v>2</v>
      </c>
      <c r="K189" s="40" t="str">
        <f>VLOOKUP(J189,Key!$A$24:$B$29,2,FALSE)</f>
        <v>30-39</v>
      </c>
      <c r="L189" s="33" t="s">
        <v>151</v>
      </c>
      <c r="M189" s="29" t="s">
        <v>151</v>
      </c>
      <c r="N189" s="33" t="s">
        <v>152</v>
      </c>
      <c r="O189" s="35">
        <v>1</v>
      </c>
      <c r="P189" s="30" t="str">
        <f>VLOOKUP(O189,Key!$E$2:$F$9,2,FALSE)</f>
        <v>Home</v>
      </c>
      <c r="Q189" s="33" t="s">
        <v>153</v>
      </c>
      <c r="R189" s="29" t="s">
        <v>153</v>
      </c>
      <c r="S189" s="33" t="s">
        <v>152</v>
      </c>
      <c r="T189" s="29">
        <v>2</v>
      </c>
      <c r="U189" s="30" t="str">
        <f>VLOOKUP(T189,Key!$E$2:$F$9,2,FALSE)</f>
        <v>Work</v>
      </c>
      <c r="V189" s="30" t="str">
        <f t="shared" si="8"/>
        <v>Home-Work</v>
      </c>
      <c r="W189" s="29">
        <v>13000</v>
      </c>
      <c r="X189" s="34"/>
      <c r="Y189" s="50" t="str">
        <f t="shared" si="9"/>
        <v>0-10</v>
      </c>
      <c r="Z189" s="34">
        <v>4</v>
      </c>
      <c r="AA189" s="50" t="str">
        <f t="shared" si="10"/>
        <v>Over 3.5</v>
      </c>
      <c r="AB189" s="29">
        <v>4</v>
      </c>
      <c r="AC189" s="30" t="str">
        <f>VLOOKUP(AB189,Key!$C$20:$D$29,2,FALSE)</f>
        <v>Office Worker</v>
      </c>
      <c r="AD189" s="29">
        <v>2</v>
      </c>
      <c r="AE189" s="30" t="str">
        <f>VLOOKUP(AD189,Key!$E$20:$F$24,2,FALSE)</f>
        <v>300,000-500,000</v>
      </c>
      <c r="AF189" s="29">
        <v>2</v>
      </c>
      <c r="AG189" s="34">
        <v>1</v>
      </c>
      <c r="AH189" s="34">
        <v>5</v>
      </c>
      <c r="AI189" s="34">
        <v>4</v>
      </c>
      <c r="AJ189" s="34">
        <v>3</v>
      </c>
      <c r="AK189" s="35" t="s">
        <v>94</v>
      </c>
      <c r="AL189" s="36"/>
      <c r="AM189" t="str">
        <f t="shared" si="11"/>
        <v>0-1000</v>
      </c>
    </row>
    <row r="190" spans="1:39" x14ac:dyDescent="0.2">
      <c r="A190" s="44">
        <v>43764</v>
      </c>
      <c r="B190" s="31">
        <v>0.6430555555555556</v>
      </c>
      <c r="C190" s="31"/>
      <c r="D190" s="31" t="s">
        <v>150</v>
      </c>
      <c r="E190" s="33">
        <v>2</v>
      </c>
      <c r="F190" s="38" t="str">
        <f>VLOOKUP(E190,Key!$A$17:$B$21,2,FALSE)</f>
        <v>Road Vehicle</v>
      </c>
      <c r="G190" s="32">
        <v>4</v>
      </c>
      <c r="H190" s="39" t="str">
        <f>VLOOKUP(G190,Key!$A$2:$B$13,2,FALSE)</f>
        <v>Minibus</v>
      </c>
      <c r="I190" s="33" t="s">
        <v>109</v>
      </c>
      <c r="J190" s="33">
        <v>2</v>
      </c>
      <c r="K190" s="40" t="str">
        <f>VLOOKUP(J190,Key!$A$24:$B$29,2,FALSE)</f>
        <v>30-39</v>
      </c>
      <c r="L190" s="33" t="s">
        <v>151</v>
      </c>
      <c r="M190" s="29" t="s">
        <v>151</v>
      </c>
      <c r="N190" s="33" t="s">
        <v>152</v>
      </c>
      <c r="O190" s="35">
        <v>1</v>
      </c>
      <c r="P190" s="30" t="str">
        <f>VLOOKUP(O190,Key!$E$2:$F$9,2,FALSE)</f>
        <v>Home</v>
      </c>
      <c r="Q190" s="33" t="s">
        <v>153</v>
      </c>
      <c r="R190" s="29" t="s">
        <v>153</v>
      </c>
      <c r="S190" s="33" t="s">
        <v>152</v>
      </c>
      <c r="T190" s="29">
        <v>2</v>
      </c>
      <c r="U190" s="30" t="str">
        <f>VLOOKUP(T190,Key!$E$2:$F$9,2,FALSE)</f>
        <v>Work</v>
      </c>
      <c r="V190" s="30" t="str">
        <f t="shared" si="8"/>
        <v>Home-Work</v>
      </c>
      <c r="W190" s="29">
        <v>13000</v>
      </c>
      <c r="X190" s="34"/>
      <c r="Y190" s="50" t="str">
        <f t="shared" si="9"/>
        <v>0-10</v>
      </c>
      <c r="Z190" s="34">
        <v>4</v>
      </c>
      <c r="AA190" s="50" t="str">
        <f t="shared" si="10"/>
        <v>Over 3.5</v>
      </c>
      <c r="AB190" s="29">
        <v>4</v>
      </c>
      <c r="AC190" s="30" t="str">
        <f>VLOOKUP(AB190,Key!$C$20:$D$29,2,FALSE)</f>
        <v>Office Worker</v>
      </c>
      <c r="AD190" s="29">
        <v>2</v>
      </c>
      <c r="AE190" s="30" t="str">
        <f>VLOOKUP(AD190,Key!$E$20:$F$24,2,FALSE)</f>
        <v>300,000-500,000</v>
      </c>
      <c r="AF190" s="29">
        <v>2</v>
      </c>
      <c r="AG190" s="34">
        <v>1</v>
      </c>
      <c r="AH190" s="34">
        <v>5</v>
      </c>
      <c r="AI190" s="34">
        <v>4</v>
      </c>
      <c r="AJ190" s="34">
        <v>3</v>
      </c>
      <c r="AK190" s="35" t="s">
        <v>94</v>
      </c>
      <c r="AL190" s="36"/>
      <c r="AM190" t="str">
        <f t="shared" si="11"/>
        <v>0-1000</v>
      </c>
    </row>
    <row r="191" spans="1:39" x14ac:dyDescent="0.2">
      <c r="A191" s="44">
        <v>43764</v>
      </c>
      <c r="B191" s="31">
        <v>0.59861111111111109</v>
      </c>
      <c r="C191" s="31"/>
      <c r="D191" s="31" t="s">
        <v>150</v>
      </c>
      <c r="E191" s="33">
        <v>2</v>
      </c>
      <c r="F191" s="38" t="str">
        <f>VLOOKUP(E191,Key!$A$17:$B$21,2,FALSE)</f>
        <v>Road Vehicle</v>
      </c>
      <c r="G191" s="32">
        <v>4</v>
      </c>
      <c r="H191" s="39" t="str">
        <f>VLOOKUP(G191,Key!$A$2:$B$13,2,FALSE)</f>
        <v>Minibus</v>
      </c>
      <c r="I191" s="33" t="s">
        <v>109</v>
      </c>
      <c r="J191" s="33">
        <v>2</v>
      </c>
      <c r="K191" s="40" t="str">
        <f>VLOOKUP(J191,Key!$A$24:$B$29,2,FALSE)</f>
        <v>30-39</v>
      </c>
      <c r="L191" s="33" t="s">
        <v>151</v>
      </c>
      <c r="M191" s="29" t="s">
        <v>151</v>
      </c>
      <c r="N191" s="33" t="s">
        <v>152</v>
      </c>
      <c r="O191" s="35">
        <v>1</v>
      </c>
      <c r="P191" s="30" t="str">
        <f>VLOOKUP(O191,Key!$E$2:$F$9,2,FALSE)</f>
        <v>Home</v>
      </c>
      <c r="Q191" s="33" t="s">
        <v>153</v>
      </c>
      <c r="R191" s="29" t="s">
        <v>153</v>
      </c>
      <c r="S191" s="33" t="s">
        <v>152</v>
      </c>
      <c r="T191" s="29">
        <v>2</v>
      </c>
      <c r="U191" s="30" t="str">
        <f>VLOOKUP(T191,Key!$E$2:$F$9,2,FALSE)</f>
        <v>Work</v>
      </c>
      <c r="V191" s="30" t="str">
        <f t="shared" si="8"/>
        <v>Home-Work</v>
      </c>
      <c r="W191" s="29">
        <v>13000</v>
      </c>
      <c r="X191" s="34"/>
      <c r="Y191" s="50" t="str">
        <f t="shared" si="9"/>
        <v>0-10</v>
      </c>
      <c r="Z191" s="34">
        <v>4</v>
      </c>
      <c r="AA191" s="50" t="str">
        <f t="shared" si="10"/>
        <v>Over 3.5</v>
      </c>
      <c r="AB191" s="29">
        <v>4</v>
      </c>
      <c r="AC191" s="30" t="str">
        <f>VLOOKUP(AB191,Key!$C$20:$D$29,2,FALSE)</f>
        <v>Office Worker</v>
      </c>
      <c r="AD191" s="29">
        <v>2</v>
      </c>
      <c r="AE191" s="30" t="str">
        <f>VLOOKUP(AD191,Key!$E$20:$F$24,2,FALSE)</f>
        <v>300,000-500,000</v>
      </c>
      <c r="AF191" s="29">
        <v>5</v>
      </c>
      <c r="AG191" s="34">
        <v>2</v>
      </c>
      <c r="AH191" s="34">
        <v>3</v>
      </c>
      <c r="AI191" s="34">
        <v>1</v>
      </c>
      <c r="AJ191" s="34">
        <v>4</v>
      </c>
      <c r="AK191" s="35" t="s">
        <v>94</v>
      </c>
      <c r="AL191" s="36"/>
      <c r="AM191" t="str">
        <f t="shared" si="11"/>
        <v>0-1000</v>
      </c>
    </row>
    <row r="192" spans="1:39" x14ac:dyDescent="0.2">
      <c r="A192" s="44">
        <v>43764</v>
      </c>
      <c r="B192" s="31">
        <v>0.6</v>
      </c>
      <c r="C192" s="31"/>
      <c r="D192" s="31" t="s">
        <v>150</v>
      </c>
      <c r="E192" s="33">
        <v>2</v>
      </c>
      <c r="F192" s="38" t="str">
        <f>VLOOKUP(E192,Key!$A$17:$B$21,2,FALSE)</f>
        <v>Road Vehicle</v>
      </c>
      <c r="G192" s="32">
        <v>4</v>
      </c>
      <c r="H192" s="39" t="str">
        <f>VLOOKUP(G192,Key!$A$2:$B$13,2,FALSE)</f>
        <v>Minibus</v>
      </c>
      <c r="I192" s="33" t="s">
        <v>109</v>
      </c>
      <c r="J192" s="33">
        <v>2</v>
      </c>
      <c r="K192" s="40" t="str">
        <f>VLOOKUP(J192,Key!$A$24:$B$29,2,FALSE)</f>
        <v>30-39</v>
      </c>
      <c r="L192" s="33" t="s">
        <v>151</v>
      </c>
      <c r="M192" s="29" t="s">
        <v>151</v>
      </c>
      <c r="N192" s="33" t="s">
        <v>152</v>
      </c>
      <c r="O192" s="35">
        <v>4</v>
      </c>
      <c r="P192" s="30" t="str">
        <f>VLOOKUP(O192,Key!$E$2:$F$9,2,FALSE)</f>
        <v>Commercial</v>
      </c>
      <c r="Q192" s="33" t="s">
        <v>153</v>
      </c>
      <c r="R192" s="29" t="s">
        <v>153</v>
      </c>
      <c r="S192" s="33" t="s">
        <v>152</v>
      </c>
      <c r="T192" s="29">
        <v>1</v>
      </c>
      <c r="U192" s="30" t="str">
        <f>VLOOKUP(T192,Key!$E$2:$F$9,2,FALSE)</f>
        <v>Home</v>
      </c>
      <c r="V192" s="30" t="str">
        <f t="shared" si="8"/>
        <v>Commercial-Home</v>
      </c>
      <c r="W192" s="29">
        <v>13000</v>
      </c>
      <c r="X192" s="34"/>
      <c r="Y192" s="50" t="str">
        <f t="shared" si="9"/>
        <v>0-10</v>
      </c>
      <c r="Z192" s="34">
        <v>4</v>
      </c>
      <c r="AA192" s="50" t="str">
        <f t="shared" si="10"/>
        <v>Over 3.5</v>
      </c>
      <c r="AB192" s="29">
        <v>6</v>
      </c>
      <c r="AC192" s="30" t="str">
        <f>VLOOKUP(AB192,Key!$C$20:$D$29,2,FALSE)</f>
        <v>Businessman</v>
      </c>
      <c r="AD192" s="29">
        <v>5</v>
      </c>
      <c r="AE192" s="30" t="str">
        <f>VLOOKUP(AD192,Key!$E$20:$F$24,2,FALSE)</f>
        <v>&gt;1,000,000</v>
      </c>
      <c r="AF192" s="29">
        <v>1</v>
      </c>
      <c r="AG192" s="34">
        <v>4</v>
      </c>
      <c r="AH192" s="34">
        <v>2</v>
      </c>
      <c r="AI192" s="34">
        <v>5</v>
      </c>
      <c r="AJ192" s="34">
        <v>3</v>
      </c>
      <c r="AK192" s="35" t="s">
        <v>94</v>
      </c>
      <c r="AL192" s="36"/>
      <c r="AM192" t="str">
        <f t="shared" si="11"/>
        <v>0-1000</v>
      </c>
    </row>
    <row r="193" spans="1:39" x14ac:dyDescent="0.2">
      <c r="A193" s="44">
        <v>43764</v>
      </c>
      <c r="B193" s="31">
        <v>0.6020833333333333</v>
      </c>
      <c r="C193" s="31"/>
      <c r="D193" s="31" t="s">
        <v>150</v>
      </c>
      <c r="E193" s="33">
        <v>2</v>
      </c>
      <c r="F193" s="38" t="str">
        <f>VLOOKUP(E193,Key!$A$17:$B$21,2,FALSE)</f>
        <v>Road Vehicle</v>
      </c>
      <c r="G193" s="32">
        <v>4</v>
      </c>
      <c r="H193" s="39" t="str">
        <f>VLOOKUP(G193,Key!$A$2:$B$13,2,FALSE)</f>
        <v>Minibus</v>
      </c>
      <c r="I193" s="33" t="s">
        <v>109</v>
      </c>
      <c r="J193" s="33">
        <v>2</v>
      </c>
      <c r="K193" s="40" t="str">
        <f>VLOOKUP(J193,Key!$A$24:$B$29,2,FALSE)</f>
        <v>30-39</v>
      </c>
      <c r="L193" s="33" t="s">
        <v>151</v>
      </c>
      <c r="M193" s="29" t="s">
        <v>151</v>
      </c>
      <c r="N193" s="33" t="s">
        <v>152</v>
      </c>
      <c r="O193" s="35">
        <v>2</v>
      </c>
      <c r="P193" s="30" t="str">
        <f>VLOOKUP(O193,Key!$E$2:$F$9,2,FALSE)</f>
        <v>Work</v>
      </c>
      <c r="Q193" s="33" t="s">
        <v>203</v>
      </c>
      <c r="R193" s="29" t="s">
        <v>168</v>
      </c>
      <c r="S193" s="33" t="s">
        <v>152</v>
      </c>
      <c r="T193" s="29">
        <v>1</v>
      </c>
      <c r="U193" s="30" t="str">
        <f>VLOOKUP(T193,Key!$E$2:$F$9,2,FALSE)</f>
        <v>Home</v>
      </c>
      <c r="V193" s="30" t="str">
        <f t="shared" si="8"/>
        <v>Work-Home</v>
      </c>
      <c r="W193" s="29">
        <v>17000</v>
      </c>
      <c r="X193" s="34"/>
      <c r="Y193" s="50" t="str">
        <f t="shared" si="9"/>
        <v>0-10</v>
      </c>
      <c r="Z193" s="34">
        <v>7</v>
      </c>
      <c r="AA193" s="50" t="str">
        <f t="shared" si="10"/>
        <v>Over 3.5</v>
      </c>
      <c r="AB193" s="29">
        <v>5</v>
      </c>
      <c r="AC193" s="30" t="str">
        <f>VLOOKUP(AB193,Key!$C$20:$D$29,2,FALSE)</f>
        <v>Professional</v>
      </c>
      <c r="AD193" s="29">
        <v>5</v>
      </c>
      <c r="AE193" s="30" t="str">
        <f>VLOOKUP(AD193,Key!$E$20:$F$24,2,FALSE)</f>
        <v>&gt;1,000,000</v>
      </c>
      <c r="AF193" s="29">
        <v>1</v>
      </c>
      <c r="AG193" s="34">
        <v>2</v>
      </c>
      <c r="AH193" s="34">
        <v>3</v>
      </c>
      <c r="AI193" s="34">
        <v>4</v>
      </c>
      <c r="AJ193" s="34">
        <v>5</v>
      </c>
      <c r="AK193" s="35" t="s">
        <v>94</v>
      </c>
      <c r="AL193" s="36"/>
      <c r="AM193" t="str">
        <f t="shared" si="11"/>
        <v>0-1000</v>
      </c>
    </row>
    <row r="194" spans="1:39" x14ac:dyDescent="0.2">
      <c r="A194" s="44">
        <v>43764</v>
      </c>
      <c r="B194" s="31">
        <v>0.59583333333333333</v>
      </c>
      <c r="C194" s="31"/>
      <c r="D194" s="31" t="s">
        <v>150</v>
      </c>
      <c r="E194" s="33">
        <v>2</v>
      </c>
      <c r="F194" s="38" t="str">
        <f>VLOOKUP(E194,Key!$A$17:$B$21,2,FALSE)</f>
        <v>Road Vehicle</v>
      </c>
      <c r="G194" s="32">
        <v>4</v>
      </c>
      <c r="H194" s="39" t="str">
        <f>VLOOKUP(G194,Key!$A$2:$B$13,2,FALSE)</f>
        <v>Minibus</v>
      </c>
      <c r="I194" s="33" t="s">
        <v>109</v>
      </c>
      <c r="J194" s="33">
        <v>2</v>
      </c>
      <c r="K194" s="40" t="str">
        <f>VLOOKUP(J194,Key!$A$24:$B$29,2,FALSE)</f>
        <v>30-39</v>
      </c>
      <c r="L194" s="33" t="s">
        <v>151</v>
      </c>
      <c r="M194" s="29" t="s">
        <v>151</v>
      </c>
      <c r="N194" s="33" t="s">
        <v>152</v>
      </c>
      <c r="O194" s="35">
        <v>1</v>
      </c>
      <c r="P194" s="30" t="str">
        <f>VLOOKUP(O194,Key!$E$2:$F$9,2,FALSE)</f>
        <v>Home</v>
      </c>
      <c r="Q194" s="33" t="s">
        <v>171</v>
      </c>
      <c r="R194" s="29" t="s">
        <v>168</v>
      </c>
      <c r="S194" s="33" t="s">
        <v>152</v>
      </c>
      <c r="T194" s="29">
        <v>2</v>
      </c>
      <c r="U194" s="30" t="str">
        <f>VLOOKUP(T194,Key!$E$2:$F$9,2,FALSE)</f>
        <v>Work</v>
      </c>
      <c r="V194" s="30" t="str">
        <f t="shared" ref="V194:V257" si="12">P194&amp;"-"&amp;U194</f>
        <v>Home-Work</v>
      </c>
      <c r="W194" s="29">
        <v>10000</v>
      </c>
      <c r="X194" s="34"/>
      <c r="Y194" s="50" t="str">
        <f t="shared" si="9"/>
        <v>0-10</v>
      </c>
      <c r="Z194" s="34">
        <v>2</v>
      </c>
      <c r="AA194" s="50" t="str">
        <f t="shared" si="10"/>
        <v>2.0-3.5</v>
      </c>
      <c r="AB194" s="29">
        <v>6</v>
      </c>
      <c r="AC194" s="30" t="str">
        <f>VLOOKUP(AB194,Key!$C$20:$D$29,2,FALSE)</f>
        <v>Businessman</v>
      </c>
      <c r="AD194" s="29">
        <v>4</v>
      </c>
      <c r="AE194" s="30" t="str">
        <f>VLOOKUP(AD194,Key!$E$20:$F$24,2,FALSE)</f>
        <v>750,000-1,000,000</v>
      </c>
      <c r="AF194" s="29">
        <v>2</v>
      </c>
      <c r="AG194" s="34">
        <v>4</v>
      </c>
      <c r="AH194" s="34">
        <v>5</v>
      </c>
      <c r="AI194" s="34">
        <v>1</v>
      </c>
      <c r="AJ194" s="34">
        <v>3</v>
      </c>
      <c r="AK194" s="35" t="s">
        <v>94</v>
      </c>
      <c r="AL194" s="36">
        <v>10000</v>
      </c>
      <c r="AM194" t="str">
        <f t="shared" si="11"/>
        <v>Over 10000</v>
      </c>
    </row>
    <row r="195" spans="1:39" x14ac:dyDescent="0.2">
      <c r="A195" s="44">
        <v>43764</v>
      </c>
      <c r="B195" s="31">
        <v>0.59375</v>
      </c>
      <c r="C195" s="31"/>
      <c r="D195" s="31" t="s">
        <v>150</v>
      </c>
      <c r="E195" s="33">
        <v>2</v>
      </c>
      <c r="F195" s="38" t="str">
        <f>VLOOKUP(E195,Key!$A$17:$B$21,2,FALSE)</f>
        <v>Road Vehicle</v>
      </c>
      <c r="G195" s="32">
        <v>4</v>
      </c>
      <c r="H195" s="39" t="str">
        <f>VLOOKUP(G195,Key!$A$2:$B$13,2,FALSE)</f>
        <v>Minibus</v>
      </c>
      <c r="I195" s="33" t="s">
        <v>109</v>
      </c>
      <c r="J195" s="33">
        <v>2</v>
      </c>
      <c r="K195" s="40" t="str">
        <f>VLOOKUP(J195,Key!$A$24:$B$29,2,FALSE)</f>
        <v>30-39</v>
      </c>
      <c r="L195" s="33" t="s">
        <v>151</v>
      </c>
      <c r="M195" s="29" t="s">
        <v>151</v>
      </c>
      <c r="N195" s="33" t="s">
        <v>152</v>
      </c>
      <c r="O195" s="35">
        <v>1</v>
      </c>
      <c r="P195" s="30" t="str">
        <f>VLOOKUP(O195,Key!$E$2:$F$9,2,FALSE)</f>
        <v>Home</v>
      </c>
      <c r="Q195" s="33" t="s">
        <v>153</v>
      </c>
      <c r="R195" s="29" t="s">
        <v>153</v>
      </c>
      <c r="S195" s="33" t="s">
        <v>152</v>
      </c>
      <c r="T195" s="29">
        <v>1</v>
      </c>
      <c r="U195" s="30" t="str">
        <f>VLOOKUP(T195,Key!$E$2:$F$9,2,FALSE)</f>
        <v>Home</v>
      </c>
      <c r="V195" s="30" t="str">
        <f t="shared" si="12"/>
        <v>Home-Home</v>
      </c>
      <c r="W195" s="29">
        <v>13000</v>
      </c>
      <c r="X195" s="34"/>
      <c r="Y195" s="50" t="str">
        <f t="shared" ref="Y195:Y258" si="13">IF(X195&lt;10,"0-10",IF(X195&lt;20,"10-20",IF(X195&lt;40,"20-40",IF(X195&lt;70,"40-70",IF(X195&lt;100,"70-100",IF(X195&lt;200,"100-200","Over 200"))))))</f>
        <v>0-10</v>
      </c>
      <c r="Z195" s="34">
        <v>5</v>
      </c>
      <c r="AA195" s="50" t="str">
        <f t="shared" ref="AA195:AA258" si="14">IF(Z195&lt;0.5,"0-0.5",IF(Z195&lt;1,"0.5-1.0",IF(Z195&lt;2,"1.0-2.0",IF(Z195&lt;3.5,"2.0-3.5","Over 3.5"))))</f>
        <v>Over 3.5</v>
      </c>
      <c r="AB195" s="29">
        <v>1</v>
      </c>
      <c r="AC195" s="30" t="str">
        <f>VLOOKUP(AB195,Key!$C$20:$D$29,2,FALSE)</f>
        <v>Unemployed</v>
      </c>
      <c r="AD195" s="29">
        <v>1</v>
      </c>
      <c r="AE195" s="30" t="str">
        <f>VLOOKUP(AD195,Key!$E$20:$F$24,2,FALSE)</f>
        <v>&lt;300,000</v>
      </c>
      <c r="AF195" s="29">
        <v>1</v>
      </c>
      <c r="AG195" s="34">
        <v>5</v>
      </c>
      <c r="AH195" s="34">
        <v>4</v>
      </c>
      <c r="AI195" s="34">
        <v>3</v>
      </c>
      <c r="AJ195" s="34">
        <v>2</v>
      </c>
      <c r="AK195" s="35" t="s">
        <v>94</v>
      </c>
      <c r="AL195" s="36">
        <v>2000</v>
      </c>
      <c r="AM195" t="str">
        <f t="shared" ref="AM195:AM258" si="15">IF(AL195&lt;1000,"0-1000",IF(AL195&lt;2000,"1000-2000",IF(AL195&lt;3000,"2000-3000",IF(AL195&lt;5000,"3000-5000",IF(AL195&lt;10000,"5000-10000","Over 10000")))))</f>
        <v>2000-3000</v>
      </c>
    </row>
    <row r="196" spans="1:39" x14ac:dyDescent="0.2">
      <c r="A196" s="44">
        <v>43764</v>
      </c>
      <c r="B196" s="31">
        <v>0.56944444444444442</v>
      </c>
      <c r="C196" s="31"/>
      <c r="D196" s="31" t="s">
        <v>150</v>
      </c>
      <c r="E196" s="33">
        <v>2</v>
      </c>
      <c r="F196" s="38" t="str">
        <f>VLOOKUP(E196,Key!$A$17:$B$21,2,FALSE)</f>
        <v>Road Vehicle</v>
      </c>
      <c r="G196" s="32">
        <v>4</v>
      </c>
      <c r="H196" s="39" t="str">
        <f>VLOOKUP(G196,Key!$A$2:$B$13,2,FALSE)</f>
        <v>Minibus</v>
      </c>
      <c r="I196" s="33" t="s">
        <v>109</v>
      </c>
      <c r="J196" s="33">
        <v>2</v>
      </c>
      <c r="K196" s="40" t="str">
        <f>VLOOKUP(J196,Key!$A$24:$B$29,2,FALSE)</f>
        <v>30-39</v>
      </c>
      <c r="L196" s="33" t="s">
        <v>151</v>
      </c>
      <c r="M196" s="29" t="s">
        <v>151</v>
      </c>
      <c r="N196" s="33" t="s">
        <v>152</v>
      </c>
      <c r="O196" s="35">
        <v>2</v>
      </c>
      <c r="P196" s="30" t="str">
        <f>VLOOKUP(O196,Key!$E$2:$F$9,2,FALSE)</f>
        <v>Work</v>
      </c>
      <c r="Q196" s="33" t="s">
        <v>153</v>
      </c>
      <c r="R196" s="29" t="s">
        <v>153</v>
      </c>
      <c r="S196" s="33" t="s">
        <v>152</v>
      </c>
      <c r="T196" s="29">
        <v>1</v>
      </c>
      <c r="U196" s="30" t="str">
        <f>VLOOKUP(T196,Key!$E$2:$F$9,2,FALSE)</f>
        <v>Home</v>
      </c>
      <c r="V196" s="30" t="str">
        <f t="shared" si="12"/>
        <v>Work-Home</v>
      </c>
      <c r="W196" s="29">
        <v>13000</v>
      </c>
      <c r="X196" s="34"/>
      <c r="Y196" s="50" t="str">
        <f t="shared" si="13"/>
        <v>0-10</v>
      </c>
      <c r="Z196" s="34">
        <v>4</v>
      </c>
      <c r="AA196" s="50" t="str">
        <f t="shared" si="14"/>
        <v>Over 3.5</v>
      </c>
      <c r="AB196" s="29">
        <v>2</v>
      </c>
      <c r="AC196" s="30" t="str">
        <f>VLOOKUP(AB196,Key!$C$20:$D$29,2,FALSE)</f>
        <v>Manual Labour</v>
      </c>
      <c r="AD196" s="29">
        <v>1</v>
      </c>
      <c r="AE196" s="30" t="str">
        <f>VLOOKUP(AD196,Key!$E$20:$F$24,2,FALSE)</f>
        <v>&lt;300,000</v>
      </c>
      <c r="AF196" s="29">
        <v>1</v>
      </c>
      <c r="AG196" s="34">
        <v>2</v>
      </c>
      <c r="AH196" s="34">
        <v>4</v>
      </c>
      <c r="AI196" s="34">
        <v>2</v>
      </c>
      <c r="AJ196" s="34">
        <v>3</v>
      </c>
      <c r="AK196" s="35" t="s">
        <v>94</v>
      </c>
      <c r="AL196" s="36"/>
      <c r="AM196" t="str">
        <f t="shared" si="15"/>
        <v>0-1000</v>
      </c>
    </row>
    <row r="197" spans="1:39" x14ac:dyDescent="0.2">
      <c r="A197" s="44">
        <v>43764</v>
      </c>
      <c r="B197" s="31">
        <v>0.57916666666666672</v>
      </c>
      <c r="C197" s="31"/>
      <c r="D197" s="31" t="s">
        <v>150</v>
      </c>
      <c r="E197" s="33">
        <v>2</v>
      </c>
      <c r="F197" s="38" t="str">
        <f>VLOOKUP(E197,Key!$A$17:$B$21,2,FALSE)</f>
        <v>Road Vehicle</v>
      </c>
      <c r="G197" s="32">
        <v>4</v>
      </c>
      <c r="H197" s="39" t="str">
        <f>VLOOKUP(G197,Key!$A$2:$B$13,2,FALSE)</f>
        <v>Minibus</v>
      </c>
      <c r="I197" s="33" t="s">
        <v>109</v>
      </c>
      <c r="J197" s="33">
        <v>2</v>
      </c>
      <c r="K197" s="40" t="str">
        <f>VLOOKUP(J197,Key!$A$24:$B$29,2,FALSE)</f>
        <v>30-39</v>
      </c>
      <c r="L197" s="33" t="s">
        <v>151</v>
      </c>
      <c r="M197" s="29" t="s">
        <v>151</v>
      </c>
      <c r="N197" s="33" t="s">
        <v>152</v>
      </c>
      <c r="O197" s="35">
        <v>4</v>
      </c>
      <c r="P197" s="30" t="str">
        <f>VLOOKUP(O197,Key!$E$2:$F$9,2,FALSE)</f>
        <v>Commercial</v>
      </c>
      <c r="Q197" s="33" t="s">
        <v>201</v>
      </c>
      <c r="R197" s="29" t="s">
        <v>168</v>
      </c>
      <c r="S197" s="33" t="s">
        <v>152</v>
      </c>
      <c r="T197" s="29">
        <v>4</v>
      </c>
      <c r="U197" s="30" t="str">
        <f>VLOOKUP(T197,Key!$E$2:$F$9,2,FALSE)</f>
        <v>Commercial</v>
      </c>
      <c r="V197" s="30" t="str">
        <f t="shared" si="12"/>
        <v>Commercial-Commercial</v>
      </c>
      <c r="W197" s="29">
        <v>10000</v>
      </c>
      <c r="X197" s="34"/>
      <c r="Y197" s="50" t="str">
        <f t="shared" si="13"/>
        <v>0-10</v>
      </c>
      <c r="Z197" s="34">
        <v>3</v>
      </c>
      <c r="AA197" s="50" t="str">
        <f t="shared" si="14"/>
        <v>2.0-3.5</v>
      </c>
      <c r="AB197" s="29">
        <v>6</v>
      </c>
      <c r="AC197" s="30" t="str">
        <f>VLOOKUP(AB197,Key!$C$20:$D$29,2,FALSE)</f>
        <v>Businessman</v>
      </c>
      <c r="AD197" s="29">
        <v>5</v>
      </c>
      <c r="AE197" s="30" t="str">
        <f>VLOOKUP(AD197,Key!$E$20:$F$24,2,FALSE)</f>
        <v>&gt;1,000,000</v>
      </c>
      <c r="AF197" s="29">
        <v>3</v>
      </c>
      <c r="AG197" s="34">
        <v>1</v>
      </c>
      <c r="AH197" s="34">
        <v>2</v>
      </c>
      <c r="AI197" s="34">
        <v>4</v>
      </c>
      <c r="AJ197" s="34">
        <v>5</v>
      </c>
      <c r="AK197" s="35" t="s">
        <v>94</v>
      </c>
      <c r="AL197" s="36">
        <v>5000</v>
      </c>
      <c r="AM197" t="str">
        <f t="shared" si="15"/>
        <v>5000-10000</v>
      </c>
    </row>
    <row r="198" spans="1:39" x14ac:dyDescent="0.2">
      <c r="A198" s="44">
        <v>43764</v>
      </c>
      <c r="B198" s="31">
        <v>0.5756944444444444</v>
      </c>
      <c r="C198" s="31"/>
      <c r="D198" s="31" t="s">
        <v>150</v>
      </c>
      <c r="E198" s="33">
        <v>2</v>
      </c>
      <c r="F198" s="38" t="str">
        <f>VLOOKUP(E198,Key!$A$17:$B$21,2,FALSE)</f>
        <v>Road Vehicle</v>
      </c>
      <c r="G198" s="32">
        <v>4</v>
      </c>
      <c r="H198" s="39" t="str">
        <f>VLOOKUP(G198,Key!$A$2:$B$13,2,FALSE)</f>
        <v>Minibus</v>
      </c>
      <c r="I198" s="33" t="s">
        <v>109</v>
      </c>
      <c r="J198" s="33">
        <v>2</v>
      </c>
      <c r="K198" s="40" t="str">
        <f>VLOOKUP(J198,Key!$A$24:$B$29,2,FALSE)</f>
        <v>30-39</v>
      </c>
      <c r="L198" s="33" t="s">
        <v>169</v>
      </c>
      <c r="M198" s="29" t="s">
        <v>168</v>
      </c>
      <c r="N198" s="33" t="s">
        <v>152</v>
      </c>
      <c r="O198" s="35">
        <v>2</v>
      </c>
      <c r="P198" s="30" t="str">
        <f>VLOOKUP(O198,Key!$E$2:$F$9,2,FALSE)</f>
        <v>Work</v>
      </c>
      <c r="Q198" s="33" t="s">
        <v>151</v>
      </c>
      <c r="R198" s="29" t="s">
        <v>151</v>
      </c>
      <c r="S198" s="33" t="s">
        <v>152</v>
      </c>
      <c r="T198" s="29">
        <v>2</v>
      </c>
      <c r="U198" s="30" t="str">
        <f>VLOOKUP(T198,Key!$E$2:$F$9,2,FALSE)</f>
        <v>Work</v>
      </c>
      <c r="V198" s="30" t="str">
        <f t="shared" si="12"/>
        <v>Work-Work</v>
      </c>
      <c r="W198" s="29">
        <v>13000</v>
      </c>
      <c r="X198" s="34"/>
      <c r="Y198" s="50" t="str">
        <f t="shared" si="13"/>
        <v>0-10</v>
      </c>
      <c r="Z198" s="34">
        <v>4</v>
      </c>
      <c r="AA198" s="50" t="str">
        <f t="shared" si="14"/>
        <v>Over 3.5</v>
      </c>
      <c r="AB198" s="29">
        <v>4</v>
      </c>
      <c r="AC198" s="30" t="str">
        <f>VLOOKUP(AB198,Key!$C$20:$D$29,2,FALSE)</f>
        <v>Office Worker</v>
      </c>
      <c r="AD198" s="29">
        <v>3</v>
      </c>
      <c r="AE198" s="30" t="str">
        <f>VLOOKUP(AD198,Key!$E$20:$F$24,2,FALSE)</f>
        <v>500,000-750,000</v>
      </c>
      <c r="AF198" s="29">
        <v>3</v>
      </c>
      <c r="AG198" s="34">
        <v>2</v>
      </c>
      <c r="AH198" s="34">
        <v>1</v>
      </c>
      <c r="AI198" s="34">
        <v>5</v>
      </c>
      <c r="AJ198" s="34">
        <v>4</v>
      </c>
      <c r="AK198" s="35" t="s">
        <v>94</v>
      </c>
      <c r="AL198" s="36">
        <v>5000</v>
      </c>
      <c r="AM198" t="str">
        <f t="shared" si="15"/>
        <v>5000-10000</v>
      </c>
    </row>
    <row r="199" spans="1:39" x14ac:dyDescent="0.2">
      <c r="A199" s="44">
        <v>43764</v>
      </c>
      <c r="B199" s="31">
        <v>0.56527777777777777</v>
      </c>
      <c r="C199" s="31"/>
      <c r="D199" s="31" t="s">
        <v>150</v>
      </c>
      <c r="E199" s="33">
        <v>2</v>
      </c>
      <c r="F199" s="38" t="str">
        <f>VLOOKUP(E199,Key!$A$17:$B$21,2,FALSE)</f>
        <v>Road Vehicle</v>
      </c>
      <c r="G199" s="32">
        <v>4</v>
      </c>
      <c r="H199" s="39" t="str">
        <f>VLOOKUP(G199,Key!$A$2:$B$13,2,FALSE)</f>
        <v>Minibus</v>
      </c>
      <c r="I199" s="33" t="s">
        <v>109</v>
      </c>
      <c r="J199" s="33">
        <v>2</v>
      </c>
      <c r="K199" s="40" t="str">
        <f>VLOOKUP(J199,Key!$A$24:$B$29,2,FALSE)</f>
        <v>30-39</v>
      </c>
      <c r="L199" s="33" t="s">
        <v>151</v>
      </c>
      <c r="M199" s="29" t="s">
        <v>151</v>
      </c>
      <c r="N199" s="33" t="s">
        <v>152</v>
      </c>
      <c r="O199" s="35">
        <v>1</v>
      </c>
      <c r="P199" s="30" t="str">
        <f>VLOOKUP(O199,Key!$E$2:$F$9,2,FALSE)</f>
        <v>Home</v>
      </c>
      <c r="Q199" s="33" t="s">
        <v>153</v>
      </c>
      <c r="R199" s="29" t="s">
        <v>153</v>
      </c>
      <c r="S199" s="33" t="s">
        <v>152</v>
      </c>
      <c r="T199" s="29">
        <v>8</v>
      </c>
      <c r="U199" s="30" t="str">
        <f>VLOOKUP(T199,Key!$E$2:$F$9,2,FALSE)</f>
        <v>Others</v>
      </c>
      <c r="V199" s="30" t="str">
        <f t="shared" si="12"/>
        <v>Home-Others</v>
      </c>
      <c r="W199" s="29">
        <v>13000</v>
      </c>
      <c r="X199" s="34"/>
      <c r="Y199" s="50" t="str">
        <f t="shared" si="13"/>
        <v>0-10</v>
      </c>
      <c r="Z199" s="34">
        <v>2</v>
      </c>
      <c r="AA199" s="50" t="str">
        <f t="shared" si="14"/>
        <v>2.0-3.5</v>
      </c>
      <c r="AB199" s="29">
        <v>5</v>
      </c>
      <c r="AC199" s="30" t="str">
        <f>VLOOKUP(AB199,Key!$C$20:$D$29,2,FALSE)</f>
        <v>Professional</v>
      </c>
      <c r="AD199" s="29">
        <v>2</v>
      </c>
      <c r="AE199" s="30" t="str">
        <f>VLOOKUP(AD199,Key!$E$20:$F$24,2,FALSE)</f>
        <v>300,000-500,000</v>
      </c>
      <c r="AF199" s="29">
        <v>1</v>
      </c>
      <c r="AG199" s="34">
        <v>5</v>
      </c>
      <c r="AH199" s="34">
        <v>2</v>
      </c>
      <c r="AI199" s="34">
        <v>3</v>
      </c>
      <c r="AJ199" s="34">
        <v>4</v>
      </c>
      <c r="AK199" s="35" t="s">
        <v>94</v>
      </c>
      <c r="AL199" s="36"/>
      <c r="AM199" t="str">
        <f t="shared" si="15"/>
        <v>0-1000</v>
      </c>
    </row>
    <row r="200" spans="1:39" x14ac:dyDescent="0.2">
      <c r="A200" s="44">
        <v>43764</v>
      </c>
      <c r="B200" s="31">
        <v>0.58819444444444446</v>
      </c>
      <c r="C200" s="31"/>
      <c r="D200" s="31" t="s">
        <v>150</v>
      </c>
      <c r="E200" s="33">
        <v>2</v>
      </c>
      <c r="F200" s="38" t="str">
        <f>VLOOKUP(E200,Key!$A$17:$B$21,2,FALSE)</f>
        <v>Road Vehicle</v>
      </c>
      <c r="G200" s="32">
        <v>4</v>
      </c>
      <c r="H200" s="39" t="str">
        <f>VLOOKUP(G200,Key!$A$2:$B$13,2,FALSE)</f>
        <v>Minibus</v>
      </c>
      <c r="I200" s="33" t="s">
        <v>109</v>
      </c>
      <c r="J200" s="33">
        <v>2</v>
      </c>
      <c r="K200" s="40" t="str">
        <f>VLOOKUP(J200,Key!$A$24:$B$29,2,FALSE)</f>
        <v>30-39</v>
      </c>
      <c r="L200" s="33" t="s">
        <v>151</v>
      </c>
      <c r="M200" s="29" t="s">
        <v>151</v>
      </c>
      <c r="N200" s="33" t="s">
        <v>152</v>
      </c>
      <c r="O200" s="35">
        <v>1</v>
      </c>
      <c r="P200" s="30" t="str">
        <f>VLOOKUP(O200,Key!$E$2:$F$9,2,FALSE)</f>
        <v>Home</v>
      </c>
      <c r="Q200" s="33" t="s">
        <v>153</v>
      </c>
      <c r="R200" s="29" t="s">
        <v>153</v>
      </c>
      <c r="S200" s="33" t="s">
        <v>152</v>
      </c>
      <c r="T200" s="29">
        <v>1</v>
      </c>
      <c r="U200" s="30" t="str">
        <f>VLOOKUP(T200,Key!$E$2:$F$9,2,FALSE)</f>
        <v>Home</v>
      </c>
      <c r="V200" s="30" t="str">
        <f t="shared" si="12"/>
        <v>Home-Home</v>
      </c>
      <c r="W200" s="29">
        <v>13000</v>
      </c>
      <c r="X200" s="34"/>
      <c r="Y200" s="50" t="str">
        <f t="shared" si="13"/>
        <v>0-10</v>
      </c>
      <c r="Z200" s="34">
        <v>4</v>
      </c>
      <c r="AA200" s="50" t="str">
        <f t="shared" si="14"/>
        <v>Over 3.5</v>
      </c>
      <c r="AB200" s="29">
        <v>2</v>
      </c>
      <c r="AC200" s="30" t="str">
        <f>VLOOKUP(AB200,Key!$C$20:$D$29,2,FALSE)</f>
        <v>Manual Labour</v>
      </c>
      <c r="AD200" s="29">
        <v>1</v>
      </c>
      <c r="AE200" s="30" t="str">
        <f>VLOOKUP(AD200,Key!$E$20:$F$24,2,FALSE)</f>
        <v>&lt;300,000</v>
      </c>
      <c r="AF200" s="29">
        <v>1</v>
      </c>
      <c r="AG200" s="34">
        <v>2</v>
      </c>
      <c r="AH200" s="34">
        <v>5</v>
      </c>
      <c r="AI200" s="34">
        <v>4</v>
      </c>
      <c r="AJ200" s="34">
        <v>3</v>
      </c>
      <c r="AK200" s="35" t="s">
        <v>94</v>
      </c>
      <c r="AL200" s="36">
        <v>5000</v>
      </c>
      <c r="AM200" t="str">
        <f t="shared" si="15"/>
        <v>5000-10000</v>
      </c>
    </row>
    <row r="201" spans="1:39" x14ac:dyDescent="0.2">
      <c r="A201" s="44">
        <v>43764</v>
      </c>
      <c r="B201" s="31">
        <v>0.58611111111111114</v>
      </c>
      <c r="C201" s="31"/>
      <c r="D201" s="31" t="s">
        <v>150</v>
      </c>
      <c r="E201" s="33">
        <v>2</v>
      </c>
      <c r="F201" s="38" t="str">
        <f>VLOOKUP(E201,Key!$A$17:$B$21,2,FALSE)</f>
        <v>Road Vehicle</v>
      </c>
      <c r="G201" s="32">
        <v>4</v>
      </c>
      <c r="H201" s="39" t="str">
        <f>VLOOKUP(G201,Key!$A$2:$B$13,2,FALSE)</f>
        <v>Minibus</v>
      </c>
      <c r="I201" s="33" t="s">
        <v>109</v>
      </c>
      <c r="J201" s="33">
        <v>2</v>
      </c>
      <c r="K201" s="40" t="str">
        <f>VLOOKUP(J201,Key!$A$24:$B$29,2,FALSE)</f>
        <v>30-39</v>
      </c>
      <c r="L201" s="33" t="s">
        <v>151</v>
      </c>
      <c r="M201" s="29" t="s">
        <v>151</v>
      </c>
      <c r="N201" s="33" t="s">
        <v>152</v>
      </c>
      <c r="O201" s="35">
        <v>2</v>
      </c>
      <c r="P201" s="30" t="str">
        <f>VLOOKUP(O201,Key!$E$2:$F$9,2,FALSE)</f>
        <v>Work</v>
      </c>
      <c r="Q201" s="33" t="s">
        <v>153</v>
      </c>
      <c r="R201" s="29" t="s">
        <v>153</v>
      </c>
      <c r="S201" s="33" t="s">
        <v>152</v>
      </c>
      <c r="T201" s="29">
        <v>4</v>
      </c>
      <c r="U201" s="30" t="str">
        <f>VLOOKUP(T201,Key!$E$2:$F$9,2,FALSE)</f>
        <v>Commercial</v>
      </c>
      <c r="V201" s="30" t="str">
        <f t="shared" si="12"/>
        <v>Work-Commercial</v>
      </c>
      <c r="W201" s="29">
        <v>13000</v>
      </c>
      <c r="X201" s="34"/>
      <c r="Y201" s="50" t="str">
        <f t="shared" si="13"/>
        <v>0-10</v>
      </c>
      <c r="Z201" s="34">
        <v>4</v>
      </c>
      <c r="AA201" s="50" t="str">
        <f t="shared" si="14"/>
        <v>Over 3.5</v>
      </c>
      <c r="AB201" s="29">
        <v>3</v>
      </c>
      <c r="AC201" s="30" t="str">
        <f>VLOOKUP(AB201,Key!$C$20:$D$29,2,FALSE)</f>
        <v>Artisan/Domestic</v>
      </c>
      <c r="AD201" s="29">
        <v>1</v>
      </c>
      <c r="AE201" s="30" t="str">
        <f>VLOOKUP(AD201,Key!$E$20:$F$24,2,FALSE)</f>
        <v>&lt;300,000</v>
      </c>
      <c r="AF201" s="29">
        <v>5</v>
      </c>
      <c r="AG201" s="34">
        <v>1</v>
      </c>
      <c r="AH201" s="34">
        <v>3</v>
      </c>
      <c r="AI201" s="34">
        <v>2</v>
      </c>
      <c r="AJ201" s="34">
        <v>4</v>
      </c>
      <c r="AK201" s="35" t="s">
        <v>94</v>
      </c>
      <c r="AL201" s="36"/>
      <c r="AM201" t="str">
        <f t="shared" si="15"/>
        <v>0-1000</v>
      </c>
    </row>
    <row r="202" spans="1:39" x14ac:dyDescent="0.2">
      <c r="A202" s="44">
        <v>43764</v>
      </c>
      <c r="B202" s="31">
        <v>0.56319444444444444</v>
      </c>
      <c r="C202" s="31"/>
      <c r="D202" s="31" t="s">
        <v>150</v>
      </c>
      <c r="E202" s="33">
        <v>2</v>
      </c>
      <c r="F202" s="38" t="str">
        <f>VLOOKUP(E202,Key!$A$17:$B$21,2,FALSE)</f>
        <v>Road Vehicle</v>
      </c>
      <c r="G202" s="32">
        <v>4</v>
      </c>
      <c r="H202" s="39" t="str">
        <f>VLOOKUP(G202,Key!$A$2:$B$13,2,FALSE)</f>
        <v>Minibus</v>
      </c>
      <c r="I202" s="33" t="s">
        <v>109</v>
      </c>
      <c r="J202" s="33">
        <v>2</v>
      </c>
      <c r="K202" s="40" t="str">
        <f>VLOOKUP(J202,Key!$A$24:$B$29,2,FALSE)</f>
        <v>30-39</v>
      </c>
      <c r="L202" s="33" t="s">
        <v>151</v>
      </c>
      <c r="M202" s="29" t="s">
        <v>151</v>
      </c>
      <c r="N202" s="33" t="s">
        <v>152</v>
      </c>
      <c r="O202" s="35">
        <v>2</v>
      </c>
      <c r="P202" s="30" t="str">
        <f>VLOOKUP(O202,Key!$E$2:$F$9,2,FALSE)</f>
        <v>Work</v>
      </c>
      <c r="Q202" s="33" t="s">
        <v>153</v>
      </c>
      <c r="R202" s="29" t="s">
        <v>153</v>
      </c>
      <c r="S202" s="33" t="s">
        <v>152</v>
      </c>
      <c r="T202" s="29">
        <v>8</v>
      </c>
      <c r="U202" s="30" t="str">
        <f>VLOOKUP(T202,Key!$E$2:$F$9,2,FALSE)</f>
        <v>Others</v>
      </c>
      <c r="V202" s="30" t="str">
        <f t="shared" si="12"/>
        <v>Work-Others</v>
      </c>
      <c r="W202" s="29">
        <v>13000</v>
      </c>
      <c r="X202" s="34"/>
      <c r="Y202" s="50" t="str">
        <f t="shared" si="13"/>
        <v>0-10</v>
      </c>
      <c r="Z202" s="34">
        <v>4</v>
      </c>
      <c r="AA202" s="50" t="str">
        <f t="shared" si="14"/>
        <v>Over 3.5</v>
      </c>
      <c r="AB202" s="29">
        <v>5</v>
      </c>
      <c r="AC202" s="30" t="str">
        <f>VLOOKUP(AB202,Key!$C$20:$D$29,2,FALSE)</f>
        <v>Professional</v>
      </c>
      <c r="AD202" s="29">
        <v>4</v>
      </c>
      <c r="AE202" s="30" t="str">
        <f>VLOOKUP(AD202,Key!$E$20:$F$24,2,FALSE)</f>
        <v>750,000-1,000,000</v>
      </c>
      <c r="AF202" s="29">
        <v>1</v>
      </c>
      <c r="AG202" s="34">
        <v>4</v>
      </c>
      <c r="AH202" s="34">
        <v>5</v>
      </c>
      <c r="AI202" s="34">
        <v>3</v>
      </c>
      <c r="AJ202" s="34">
        <v>2</v>
      </c>
      <c r="AK202" s="35" t="s">
        <v>94</v>
      </c>
      <c r="AL202" s="36">
        <v>4000</v>
      </c>
      <c r="AM202" t="str">
        <f t="shared" si="15"/>
        <v>3000-5000</v>
      </c>
    </row>
    <row r="203" spans="1:39" x14ac:dyDescent="0.2">
      <c r="A203" s="44">
        <v>43764</v>
      </c>
      <c r="B203" s="31">
        <v>0.47916666666666669</v>
      </c>
      <c r="C203" s="31"/>
      <c r="D203" s="31" t="s">
        <v>150</v>
      </c>
      <c r="E203" s="33">
        <v>2</v>
      </c>
      <c r="F203" s="38" t="str">
        <f>VLOOKUP(E203,Key!$A$17:$B$21,2,FALSE)</f>
        <v>Road Vehicle</v>
      </c>
      <c r="G203" s="32">
        <v>4</v>
      </c>
      <c r="H203" s="39" t="str">
        <f>VLOOKUP(G203,Key!$A$2:$B$13,2,FALSE)</f>
        <v>Minibus</v>
      </c>
      <c r="I203" s="33" t="s">
        <v>109</v>
      </c>
      <c r="J203" s="33">
        <v>2</v>
      </c>
      <c r="K203" s="40" t="str">
        <f>VLOOKUP(J203,Key!$A$24:$B$29,2,FALSE)</f>
        <v>30-39</v>
      </c>
      <c r="L203" s="33" t="s">
        <v>151</v>
      </c>
      <c r="M203" s="29" t="s">
        <v>151</v>
      </c>
      <c r="N203" s="33" t="s">
        <v>152</v>
      </c>
      <c r="O203" s="35">
        <v>2</v>
      </c>
      <c r="P203" s="30" t="str">
        <f>VLOOKUP(O203,Key!$E$2:$F$9,2,FALSE)</f>
        <v>Work</v>
      </c>
      <c r="Q203" s="33" t="s">
        <v>154</v>
      </c>
      <c r="R203" s="29" t="s">
        <v>177</v>
      </c>
      <c r="S203" s="33" t="s">
        <v>152</v>
      </c>
      <c r="T203" s="29">
        <v>8</v>
      </c>
      <c r="U203" s="30" t="str">
        <f>VLOOKUP(T203,Key!$E$2:$F$9,2,FALSE)</f>
        <v>Others</v>
      </c>
      <c r="V203" s="30" t="str">
        <f t="shared" si="12"/>
        <v>Work-Others</v>
      </c>
      <c r="W203" s="29">
        <v>8000</v>
      </c>
      <c r="X203" s="34"/>
      <c r="Y203" s="50" t="str">
        <f t="shared" si="13"/>
        <v>0-10</v>
      </c>
      <c r="Z203" s="34">
        <v>2</v>
      </c>
      <c r="AA203" s="50" t="str">
        <f t="shared" si="14"/>
        <v>2.0-3.5</v>
      </c>
      <c r="AB203" s="29">
        <v>5</v>
      </c>
      <c r="AC203" s="30" t="str">
        <f>VLOOKUP(AB203,Key!$C$20:$D$29,2,FALSE)</f>
        <v>Professional</v>
      </c>
      <c r="AD203" s="29">
        <v>4</v>
      </c>
      <c r="AE203" s="30" t="str">
        <f>VLOOKUP(AD203,Key!$E$20:$F$24,2,FALSE)</f>
        <v>750,000-1,000,000</v>
      </c>
      <c r="AF203" s="29">
        <v>3</v>
      </c>
      <c r="AG203" s="34">
        <v>1</v>
      </c>
      <c r="AH203" s="34">
        <v>4</v>
      </c>
      <c r="AI203" s="34">
        <v>5</v>
      </c>
      <c r="AJ203" s="34">
        <v>2</v>
      </c>
      <c r="AK203" s="35" t="s">
        <v>94</v>
      </c>
      <c r="AL203" s="36">
        <v>2000</v>
      </c>
      <c r="AM203" t="str">
        <f t="shared" si="15"/>
        <v>2000-3000</v>
      </c>
    </row>
    <row r="204" spans="1:39" x14ac:dyDescent="0.2">
      <c r="A204" s="44">
        <v>43764</v>
      </c>
      <c r="B204" s="31">
        <v>0.47847222222222219</v>
      </c>
      <c r="C204" s="31"/>
      <c r="D204" s="31" t="s">
        <v>150</v>
      </c>
      <c r="E204" s="33">
        <v>2</v>
      </c>
      <c r="F204" s="38" t="str">
        <f>VLOOKUP(E204,Key!$A$17:$B$21,2,FALSE)</f>
        <v>Road Vehicle</v>
      </c>
      <c r="G204" s="32">
        <v>4</v>
      </c>
      <c r="H204" s="39" t="str">
        <f>VLOOKUP(G204,Key!$A$2:$B$13,2,FALSE)</f>
        <v>Minibus</v>
      </c>
      <c r="I204" s="33" t="s">
        <v>109</v>
      </c>
      <c r="J204" s="33">
        <v>2</v>
      </c>
      <c r="K204" s="40" t="str">
        <f>VLOOKUP(J204,Key!$A$24:$B$29,2,FALSE)</f>
        <v>30-39</v>
      </c>
      <c r="L204" s="33" t="s">
        <v>151</v>
      </c>
      <c r="M204" s="29" t="s">
        <v>151</v>
      </c>
      <c r="N204" s="33" t="s">
        <v>152</v>
      </c>
      <c r="O204" s="35">
        <v>1</v>
      </c>
      <c r="P204" s="30" t="str">
        <f>VLOOKUP(O204,Key!$E$2:$F$9,2,FALSE)</f>
        <v>Home</v>
      </c>
      <c r="Q204" s="33" t="s">
        <v>153</v>
      </c>
      <c r="R204" s="29" t="s">
        <v>153</v>
      </c>
      <c r="S204" s="33" t="s">
        <v>152</v>
      </c>
      <c r="T204" s="29">
        <v>2</v>
      </c>
      <c r="U204" s="30" t="str">
        <f>VLOOKUP(T204,Key!$E$2:$F$9,2,FALSE)</f>
        <v>Work</v>
      </c>
      <c r="V204" s="30" t="str">
        <f t="shared" si="12"/>
        <v>Home-Work</v>
      </c>
      <c r="W204" s="29">
        <v>13000</v>
      </c>
      <c r="X204" s="34"/>
      <c r="Y204" s="50" t="str">
        <f t="shared" si="13"/>
        <v>0-10</v>
      </c>
      <c r="Z204" s="34">
        <v>3</v>
      </c>
      <c r="AA204" s="50" t="str">
        <f t="shared" si="14"/>
        <v>2.0-3.5</v>
      </c>
      <c r="AB204" s="29">
        <v>5</v>
      </c>
      <c r="AC204" s="30" t="str">
        <f>VLOOKUP(AB204,Key!$C$20:$D$29,2,FALSE)</f>
        <v>Professional</v>
      </c>
      <c r="AD204" s="29">
        <v>4</v>
      </c>
      <c r="AE204" s="30" t="str">
        <f>VLOOKUP(AD204,Key!$E$20:$F$24,2,FALSE)</f>
        <v>750,000-1,000,000</v>
      </c>
      <c r="AF204" s="29">
        <v>5</v>
      </c>
      <c r="AG204" s="34">
        <v>1</v>
      </c>
      <c r="AH204" s="34">
        <v>4</v>
      </c>
      <c r="AI204" s="34">
        <v>2</v>
      </c>
      <c r="AJ204" s="34">
        <v>3</v>
      </c>
      <c r="AK204" s="35" t="s">
        <v>94</v>
      </c>
      <c r="AL204" s="36">
        <v>5000</v>
      </c>
      <c r="AM204" t="str">
        <f t="shared" si="15"/>
        <v>5000-10000</v>
      </c>
    </row>
    <row r="205" spans="1:39" x14ac:dyDescent="0.2">
      <c r="A205" s="44">
        <v>43764</v>
      </c>
      <c r="B205" s="31">
        <v>0.46388888888888885</v>
      </c>
      <c r="C205" s="31"/>
      <c r="D205" s="31" t="s">
        <v>150</v>
      </c>
      <c r="E205" s="33">
        <v>2</v>
      </c>
      <c r="F205" s="38" t="str">
        <f>VLOOKUP(E205,Key!$A$17:$B$21,2,FALSE)</f>
        <v>Road Vehicle</v>
      </c>
      <c r="G205" s="32">
        <v>4</v>
      </c>
      <c r="H205" s="39" t="str">
        <f>VLOOKUP(G205,Key!$A$2:$B$13,2,FALSE)</f>
        <v>Minibus</v>
      </c>
      <c r="I205" s="33" t="s">
        <v>109</v>
      </c>
      <c r="J205" s="33">
        <v>2</v>
      </c>
      <c r="K205" s="40" t="str">
        <f>VLOOKUP(J205,Key!$A$24:$B$29,2,FALSE)</f>
        <v>30-39</v>
      </c>
      <c r="L205" s="33" t="s">
        <v>151</v>
      </c>
      <c r="M205" s="29" t="s">
        <v>151</v>
      </c>
      <c r="N205" s="33" t="s">
        <v>152</v>
      </c>
      <c r="O205" s="35">
        <v>2</v>
      </c>
      <c r="P205" s="30" t="str">
        <f>VLOOKUP(O205,Key!$E$2:$F$9,2,FALSE)</f>
        <v>Work</v>
      </c>
      <c r="Q205" s="33" t="s">
        <v>151</v>
      </c>
      <c r="R205" s="29" t="s">
        <v>151</v>
      </c>
      <c r="S205" s="33" t="s">
        <v>152</v>
      </c>
      <c r="T205" s="29">
        <v>4</v>
      </c>
      <c r="U205" s="30" t="str">
        <f>VLOOKUP(T205,Key!$E$2:$F$9,2,FALSE)</f>
        <v>Commercial</v>
      </c>
      <c r="V205" s="30" t="str">
        <f t="shared" si="12"/>
        <v>Work-Commercial</v>
      </c>
      <c r="W205" s="29">
        <v>13000</v>
      </c>
      <c r="X205" s="34"/>
      <c r="Y205" s="50" t="str">
        <f t="shared" si="13"/>
        <v>0-10</v>
      </c>
      <c r="Z205" s="34">
        <v>4</v>
      </c>
      <c r="AA205" s="50" t="str">
        <f t="shared" si="14"/>
        <v>Over 3.5</v>
      </c>
      <c r="AB205" s="29">
        <v>5</v>
      </c>
      <c r="AC205" s="30" t="str">
        <f>VLOOKUP(AB205,Key!$C$20:$D$29,2,FALSE)</f>
        <v>Professional</v>
      </c>
      <c r="AD205" s="29">
        <v>5</v>
      </c>
      <c r="AE205" s="30" t="str">
        <f>VLOOKUP(AD205,Key!$E$20:$F$24,2,FALSE)</f>
        <v>&gt;1,000,000</v>
      </c>
      <c r="AF205" s="29">
        <v>2</v>
      </c>
      <c r="AG205" s="34">
        <v>4</v>
      </c>
      <c r="AH205" s="34">
        <v>5</v>
      </c>
      <c r="AI205" s="34">
        <v>1</v>
      </c>
      <c r="AJ205" s="34">
        <v>3</v>
      </c>
      <c r="AK205" s="35" t="s">
        <v>94</v>
      </c>
      <c r="AL205" s="36"/>
      <c r="AM205" t="str">
        <f t="shared" si="15"/>
        <v>0-1000</v>
      </c>
    </row>
    <row r="206" spans="1:39" x14ac:dyDescent="0.2">
      <c r="A206" s="44">
        <v>43764</v>
      </c>
      <c r="B206" s="31">
        <v>0.50208333333333333</v>
      </c>
      <c r="C206" s="31"/>
      <c r="D206" s="31" t="s">
        <v>150</v>
      </c>
      <c r="E206" s="33">
        <v>2</v>
      </c>
      <c r="F206" s="38" t="str">
        <f>VLOOKUP(E206,Key!$A$17:$B$21,2,FALSE)</f>
        <v>Road Vehicle</v>
      </c>
      <c r="G206" s="32">
        <v>4</v>
      </c>
      <c r="H206" s="39" t="str">
        <f>VLOOKUP(G206,Key!$A$2:$B$13,2,FALSE)</f>
        <v>Minibus</v>
      </c>
      <c r="I206" s="33" t="s">
        <v>109</v>
      </c>
      <c r="J206" s="33">
        <v>2</v>
      </c>
      <c r="K206" s="40" t="str">
        <f>VLOOKUP(J206,Key!$A$24:$B$29,2,FALSE)</f>
        <v>30-39</v>
      </c>
      <c r="L206" s="33" t="s">
        <v>151</v>
      </c>
      <c r="M206" s="29" t="s">
        <v>151</v>
      </c>
      <c r="N206" s="33" t="s">
        <v>152</v>
      </c>
      <c r="O206" s="35">
        <v>2</v>
      </c>
      <c r="P206" s="30" t="str">
        <f>VLOOKUP(O206,Key!$E$2:$F$9,2,FALSE)</f>
        <v>Work</v>
      </c>
      <c r="Q206" s="33" t="s">
        <v>151</v>
      </c>
      <c r="R206" s="29" t="s">
        <v>151</v>
      </c>
      <c r="S206" s="33" t="s">
        <v>152</v>
      </c>
      <c r="T206" s="29">
        <v>8</v>
      </c>
      <c r="U206" s="30" t="str">
        <f>VLOOKUP(T206,Key!$E$2:$F$9,2,FALSE)</f>
        <v>Others</v>
      </c>
      <c r="V206" s="30" t="str">
        <f t="shared" si="12"/>
        <v>Work-Others</v>
      </c>
      <c r="W206" s="29">
        <v>13000</v>
      </c>
      <c r="X206" s="34"/>
      <c r="Y206" s="50" t="str">
        <f t="shared" si="13"/>
        <v>0-10</v>
      </c>
      <c r="Z206" s="34">
        <v>4</v>
      </c>
      <c r="AA206" s="50" t="str">
        <f t="shared" si="14"/>
        <v>Over 3.5</v>
      </c>
      <c r="AB206" s="29">
        <v>5</v>
      </c>
      <c r="AC206" s="30" t="str">
        <f>VLOOKUP(AB206,Key!$C$20:$D$29,2,FALSE)</f>
        <v>Professional</v>
      </c>
      <c r="AD206" s="29">
        <v>5</v>
      </c>
      <c r="AE206" s="30" t="str">
        <f>VLOOKUP(AD206,Key!$E$20:$F$24,2,FALSE)</f>
        <v>&gt;1,000,000</v>
      </c>
      <c r="AF206" s="29">
        <v>3</v>
      </c>
      <c r="AG206" s="34">
        <v>5</v>
      </c>
      <c r="AH206" s="34">
        <v>4</v>
      </c>
      <c r="AI206" s="34">
        <v>1</v>
      </c>
      <c r="AJ206" s="34">
        <v>2</v>
      </c>
      <c r="AK206" s="35" t="s">
        <v>94</v>
      </c>
      <c r="AL206" s="36"/>
      <c r="AM206" t="str">
        <f t="shared" si="15"/>
        <v>0-1000</v>
      </c>
    </row>
    <row r="207" spans="1:39" x14ac:dyDescent="0.2">
      <c r="A207" s="44">
        <v>43764</v>
      </c>
      <c r="B207" s="31">
        <v>0.46388888888888885</v>
      </c>
      <c r="C207" s="31"/>
      <c r="D207" s="31" t="s">
        <v>150</v>
      </c>
      <c r="E207" s="33">
        <v>2</v>
      </c>
      <c r="F207" s="38" t="str">
        <f>VLOOKUP(E207,Key!$A$17:$B$21,2,FALSE)</f>
        <v>Road Vehicle</v>
      </c>
      <c r="G207" s="32">
        <v>4</v>
      </c>
      <c r="H207" s="39" t="str">
        <f>VLOOKUP(G207,Key!$A$2:$B$13,2,FALSE)</f>
        <v>Minibus</v>
      </c>
      <c r="I207" s="33" t="s">
        <v>109</v>
      </c>
      <c r="J207" s="33">
        <v>2</v>
      </c>
      <c r="K207" s="40" t="str">
        <f>VLOOKUP(J207,Key!$A$24:$B$29,2,FALSE)</f>
        <v>30-39</v>
      </c>
      <c r="L207" s="33" t="s">
        <v>151</v>
      </c>
      <c r="M207" s="29" t="s">
        <v>151</v>
      </c>
      <c r="N207" s="33" t="s">
        <v>152</v>
      </c>
      <c r="O207" s="35">
        <v>1</v>
      </c>
      <c r="P207" s="30" t="str">
        <f>VLOOKUP(O207,Key!$E$2:$F$9,2,FALSE)</f>
        <v>Home</v>
      </c>
      <c r="Q207" s="33" t="s">
        <v>154</v>
      </c>
      <c r="R207" s="29" t="s">
        <v>177</v>
      </c>
      <c r="S207" s="33" t="s">
        <v>152</v>
      </c>
      <c r="T207" s="29">
        <v>2</v>
      </c>
      <c r="U207" s="30" t="str">
        <f>VLOOKUP(T207,Key!$E$2:$F$9,2,FALSE)</f>
        <v>Work</v>
      </c>
      <c r="V207" s="30" t="str">
        <f t="shared" si="12"/>
        <v>Home-Work</v>
      </c>
      <c r="W207" s="29">
        <v>8000</v>
      </c>
      <c r="X207" s="34"/>
      <c r="Y207" s="50" t="str">
        <f t="shared" si="13"/>
        <v>0-10</v>
      </c>
      <c r="Z207" s="34">
        <v>2</v>
      </c>
      <c r="AA207" s="50" t="str">
        <f t="shared" si="14"/>
        <v>2.0-3.5</v>
      </c>
      <c r="AB207" s="29">
        <v>4</v>
      </c>
      <c r="AC207" s="30" t="str">
        <f>VLOOKUP(AB207,Key!$C$20:$D$29,2,FALSE)</f>
        <v>Office Worker</v>
      </c>
      <c r="AD207" s="29">
        <v>2</v>
      </c>
      <c r="AE207" s="30" t="str">
        <f>VLOOKUP(AD207,Key!$E$20:$F$24,2,FALSE)</f>
        <v>300,000-500,000</v>
      </c>
      <c r="AF207" s="29">
        <v>3</v>
      </c>
      <c r="AG207" s="34">
        <v>5</v>
      </c>
      <c r="AH207" s="34">
        <v>4</v>
      </c>
      <c r="AI207" s="34">
        <v>1</v>
      </c>
      <c r="AJ207" s="34">
        <v>2</v>
      </c>
      <c r="AK207" s="35" t="s">
        <v>94</v>
      </c>
      <c r="AL207" s="36">
        <v>1000</v>
      </c>
      <c r="AM207" t="str">
        <f t="shared" si="15"/>
        <v>1000-2000</v>
      </c>
    </row>
    <row r="208" spans="1:39" x14ac:dyDescent="0.2">
      <c r="A208" s="44">
        <v>43764</v>
      </c>
      <c r="B208" s="31">
        <v>0.4513888888888889</v>
      </c>
      <c r="C208" s="31"/>
      <c r="D208" s="31" t="s">
        <v>150</v>
      </c>
      <c r="E208" s="33">
        <v>2</v>
      </c>
      <c r="F208" s="38" t="str">
        <f>VLOOKUP(E208,Key!$A$17:$B$21,2,FALSE)</f>
        <v>Road Vehicle</v>
      </c>
      <c r="G208" s="32">
        <v>4</v>
      </c>
      <c r="H208" s="39" t="str">
        <f>VLOOKUP(G208,Key!$A$2:$B$13,2,FALSE)</f>
        <v>Minibus</v>
      </c>
      <c r="I208" s="33" t="s">
        <v>109</v>
      </c>
      <c r="J208" s="33">
        <v>2</v>
      </c>
      <c r="K208" s="40" t="str">
        <f>VLOOKUP(J208,Key!$A$24:$B$29,2,FALSE)</f>
        <v>30-39</v>
      </c>
      <c r="L208" s="33" t="s">
        <v>151</v>
      </c>
      <c r="M208" s="29" t="s">
        <v>151</v>
      </c>
      <c r="N208" s="33" t="s">
        <v>152</v>
      </c>
      <c r="O208" s="35">
        <v>1</v>
      </c>
      <c r="P208" s="30" t="str">
        <f>VLOOKUP(O208,Key!$E$2:$F$9,2,FALSE)</f>
        <v>Home</v>
      </c>
      <c r="Q208" s="33" t="s">
        <v>204</v>
      </c>
      <c r="R208" s="29" t="s">
        <v>165</v>
      </c>
      <c r="S208" s="33" t="s">
        <v>152</v>
      </c>
      <c r="T208" s="29">
        <v>8</v>
      </c>
      <c r="U208" s="30" t="str">
        <f>VLOOKUP(T208,Key!$E$2:$F$9,2,FALSE)</f>
        <v>Others</v>
      </c>
      <c r="V208" s="30" t="str">
        <f t="shared" si="12"/>
        <v>Home-Others</v>
      </c>
      <c r="W208" s="29">
        <v>15000</v>
      </c>
      <c r="X208" s="34"/>
      <c r="Y208" s="50" t="str">
        <f t="shared" si="13"/>
        <v>0-10</v>
      </c>
      <c r="Z208" s="34">
        <v>3</v>
      </c>
      <c r="AA208" s="50" t="str">
        <f t="shared" si="14"/>
        <v>2.0-3.5</v>
      </c>
      <c r="AB208" s="29">
        <v>7</v>
      </c>
      <c r="AC208" s="30" t="str">
        <f>VLOOKUP(AB208,Key!$C$20:$D$29,2,FALSE)</f>
        <v>Farmer</v>
      </c>
      <c r="AD208" s="29">
        <v>4</v>
      </c>
      <c r="AE208" s="30" t="str">
        <f>VLOOKUP(AD208,Key!$E$20:$F$24,2,FALSE)</f>
        <v>750,000-1,000,000</v>
      </c>
      <c r="AF208" s="29">
        <v>3</v>
      </c>
      <c r="AG208" s="34">
        <v>2</v>
      </c>
      <c r="AH208" s="34">
        <v>1</v>
      </c>
      <c r="AI208" s="34">
        <v>5</v>
      </c>
      <c r="AJ208" s="34">
        <v>4</v>
      </c>
      <c r="AK208" s="35" t="s">
        <v>94</v>
      </c>
      <c r="AL208" s="36"/>
      <c r="AM208" t="str">
        <f t="shared" si="15"/>
        <v>0-1000</v>
      </c>
    </row>
    <row r="209" spans="1:39" x14ac:dyDescent="0.2">
      <c r="A209" s="44">
        <v>43764</v>
      </c>
      <c r="B209" s="31">
        <v>0.47500000000000003</v>
      </c>
      <c r="C209" s="31"/>
      <c r="D209" s="31" t="s">
        <v>150</v>
      </c>
      <c r="E209" s="33">
        <v>2</v>
      </c>
      <c r="F209" s="38" t="str">
        <f>VLOOKUP(E209,Key!$A$17:$B$21,2,FALSE)</f>
        <v>Road Vehicle</v>
      </c>
      <c r="G209" s="32">
        <v>4</v>
      </c>
      <c r="H209" s="39" t="str">
        <f>VLOOKUP(G209,Key!$A$2:$B$13,2,FALSE)</f>
        <v>Minibus</v>
      </c>
      <c r="I209" s="33" t="s">
        <v>109</v>
      </c>
      <c r="J209" s="33">
        <v>2</v>
      </c>
      <c r="K209" s="40" t="str">
        <f>VLOOKUP(J209,Key!$A$24:$B$29,2,FALSE)</f>
        <v>30-39</v>
      </c>
      <c r="L209" s="33" t="s">
        <v>151</v>
      </c>
      <c r="M209" s="29" t="s">
        <v>151</v>
      </c>
      <c r="N209" s="33" t="s">
        <v>152</v>
      </c>
      <c r="O209" s="35">
        <v>1</v>
      </c>
      <c r="P209" s="30" t="str">
        <f>VLOOKUP(O209,Key!$E$2:$F$9,2,FALSE)</f>
        <v>Home</v>
      </c>
      <c r="Q209" s="33" t="s">
        <v>153</v>
      </c>
      <c r="R209" s="29" t="s">
        <v>153</v>
      </c>
      <c r="S209" s="33" t="s">
        <v>152</v>
      </c>
      <c r="T209" s="29">
        <v>2</v>
      </c>
      <c r="U209" s="30" t="str">
        <f>VLOOKUP(T209,Key!$E$2:$F$9,2,FALSE)</f>
        <v>Work</v>
      </c>
      <c r="V209" s="30" t="str">
        <f t="shared" si="12"/>
        <v>Home-Work</v>
      </c>
      <c r="W209" s="29">
        <v>13000</v>
      </c>
      <c r="X209" s="34"/>
      <c r="Y209" s="50" t="str">
        <f t="shared" si="13"/>
        <v>0-10</v>
      </c>
      <c r="Z209" s="34">
        <v>3</v>
      </c>
      <c r="AA209" s="50" t="str">
        <f t="shared" si="14"/>
        <v>2.0-3.5</v>
      </c>
      <c r="AB209" s="29">
        <v>5</v>
      </c>
      <c r="AC209" s="30" t="str">
        <f>VLOOKUP(AB209,Key!$C$20:$D$29,2,FALSE)</f>
        <v>Professional</v>
      </c>
      <c r="AD209" s="29">
        <v>2</v>
      </c>
      <c r="AE209" s="30" t="str">
        <f>VLOOKUP(AD209,Key!$E$20:$F$24,2,FALSE)</f>
        <v>300,000-500,000</v>
      </c>
      <c r="AF209" s="29">
        <v>3</v>
      </c>
      <c r="AG209" s="34">
        <v>1</v>
      </c>
      <c r="AH209" s="34">
        <v>2</v>
      </c>
      <c r="AI209" s="34">
        <v>5</v>
      </c>
      <c r="AJ209" s="34">
        <v>4</v>
      </c>
      <c r="AK209" s="35" t="s">
        <v>94</v>
      </c>
      <c r="AL209" s="36"/>
      <c r="AM209" t="str">
        <f t="shared" si="15"/>
        <v>0-1000</v>
      </c>
    </row>
    <row r="210" spans="1:39" x14ac:dyDescent="0.2">
      <c r="A210" s="44">
        <v>43764</v>
      </c>
      <c r="B210" s="31">
        <v>0.49791666666666662</v>
      </c>
      <c r="C210" s="31"/>
      <c r="D210" s="31" t="s">
        <v>150</v>
      </c>
      <c r="E210" s="33">
        <v>2</v>
      </c>
      <c r="F210" s="38" t="str">
        <f>VLOOKUP(E210,Key!$A$17:$B$21,2,FALSE)</f>
        <v>Road Vehicle</v>
      </c>
      <c r="G210" s="32">
        <v>4</v>
      </c>
      <c r="H210" s="39" t="str">
        <f>VLOOKUP(G210,Key!$A$2:$B$13,2,FALSE)</f>
        <v>Minibus</v>
      </c>
      <c r="I210" s="33" t="s">
        <v>109</v>
      </c>
      <c r="J210" s="33">
        <v>2</v>
      </c>
      <c r="K210" s="40" t="str">
        <f>VLOOKUP(J210,Key!$A$24:$B$29,2,FALSE)</f>
        <v>30-39</v>
      </c>
      <c r="L210" s="33" t="s">
        <v>151</v>
      </c>
      <c r="M210" s="29" t="s">
        <v>151</v>
      </c>
      <c r="N210" s="33" t="s">
        <v>152</v>
      </c>
      <c r="O210" s="35">
        <v>4</v>
      </c>
      <c r="P210" s="30" t="str">
        <f>VLOOKUP(O210,Key!$E$2:$F$9,2,FALSE)</f>
        <v>Commercial</v>
      </c>
      <c r="Q210" s="33" t="s">
        <v>153</v>
      </c>
      <c r="R210" s="29" t="s">
        <v>153</v>
      </c>
      <c r="S210" s="33" t="s">
        <v>152</v>
      </c>
      <c r="T210" s="29">
        <v>4</v>
      </c>
      <c r="U210" s="30" t="str">
        <f>VLOOKUP(T210,Key!$E$2:$F$9,2,FALSE)</f>
        <v>Commercial</v>
      </c>
      <c r="V210" s="30" t="str">
        <f t="shared" si="12"/>
        <v>Commercial-Commercial</v>
      </c>
      <c r="W210" s="29">
        <v>700000</v>
      </c>
      <c r="X210" s="34"/>
      <c r="Y210" s="50" t="str">
        <f t="shared" si="13"/>
        <v>0-10</v>
      </c>
      <c r="Z210" s="34">
        <v>3</v>
      </c>
      <c r="AA210" s="50" t="str">
        <f t="shared" si="14"/>
        <v>2.0-3.5</v>
      </c>
      <c r="AB210" s="29">
        <v>10</v>
      </c>
      <c r="AC210" s="30" t="str">
        <f>VLOOKUP(AB210,Key!$C$20:$D$29,2,FALSE)</f>
        <v>Other</v>
      </c>
      <c r="AD210" s="29">
        <v>5</v>
      </c>
      <c r="AE210" s="30" t="str">
        <f>VLOOKUP(AD210,Key!$E$20:$F$24,2,FALSE)</f>
        <v>&gt;1,000,000</v>
      </c>
      <c r="AF210" s="29">
        <v>2</v>
      </c>
      <c r="AG210" s="34">
        <v>5</v>
      </c>
      <c r="AH210" s="34">
        <v>3</v>
      </c>
      <c r="AI210" s="34">
        <v>4</v>
      </c>
      <c r="AJ210" s="34">
        <v>1</v>
      </c>
      <c r="AK210" s="35" t="s">
        <v>94</v>
      </c>
      <c r="AL210" s="36">
        <v>3000</v>
      </c>
      <c r="AM210" t="str">
        <f t="shared" si="15"/>
        <v>3000-5000</v>
      </c>
    </row>
    <row r="211" spans="1:39" x14ac:dyDescent="0.2">
      <c r="A211" s="44">
        <v>43764</v>
      </c>
      <c r="B211" s="31">
        <v>0.5395833333333333</v>
      </c>
      <c r="C211" s="31"/>
      <c r="D211" s="31" t="s">
        <v>97</v>
      </c>
      <c r="E211" s="33">
        <v>2</v>
      </c>
      <c r="F211" s="38" t="str">
        <f>VLOOKUP(E211,Key!$A$17:$B$21,2,FALSE)</f>
        <v>Road Vehicle</v>
      </c>
      <c r="G211" s="32">
        <v>4</v>
      </c>
      <c r="H211" s="39" t="str">
        <f>VLOOKUP(G211,Key!$A$2:$B$13,2,FALSE)</f>
        <v>Minibus</v>
      </c>
      <c r="I211" s="33" t="s">
        <v>109</v>
      </c>
      <c r="J211" s="33">
        <v>2</v>
      </c>
      <c r="K211" s="40" t="str">
        <f>VLOOKUP(J211,Key!$A$24:$B$29,2,FALSE)</f>
        <v>30-39</v>
      </c>
      <c r="L211" s="33" t="s">
        <v>151</v>
      </c>
      <c r="M211" s="29" t="s">
        <v>151</v>
      </c>
      <c r="N211" s="33" t="s">
        <v>152</v>
      </c>
      <c r="O211" s="35">
        <v>1</v>
      </c>
      <c r="P211" s="30" t="str">
        <f>VLOOKUP(O211,Key!$E$2:$F$9,2,FALSE)</f>
        <v>Home</v>
      </c>
      <c r="Q211" s="33" t="s">
        <v>165</v>
      </c>
      <c r="R211" s="29" t="s">
        <v>165</v>
      </c>
      <c r="S211" s="33" t="s">
        <v>152</v>
      </c>
      <c r="T211" s="29">
        <v>5</v>
      </c>
      <c r="U211" s="30" t="str">
        <f>VLOOKUP(T211,Key!$E$2:$F$9,2,FALSE)</f>
        <v>Tourism</v>
      </c>
      <c r="V211" s="30" t="str">
        <f t="shared" si="12"/>
        <v>Home-Tourism</v>
      </c>
      <c r="W211" s="29">
        <v>15000</v>
      </c>
      <c r="X211" s="34">
        <v>160</v>
      </c>
      <c r="Y211" s="50" t="str">
        <f t="shared" si="13"/>
        <v>100-200</v>
      </c>
      <c r="Z211" s="34">
        <v>3</v>
      </c>
      <c r="AA211" s="50" t="str">
        <f t="shared" si="14"/>
        <v>2.0-3.5</v>
      </c>
      <c r="AB211" s="29">
        <v>6</v>
      </c>
      <c r="AC211" s="30" t="str">
        <f>VLOOKUP(AB211,Key!$C$20:$D$29,2,FALSE)</f>
        <v>Businessman</v>
      </c>
      <c r="AD211" s="29">
        <v>4</v>
      </c>
      <c r="AE211" s="30" t="str">
        <f>VLOOKUP(AD211,Key!$E$20:$F$24,2,FALSE)</f>
        <v>750,000-1,000,000</v>
      </c>
      <c r="AF211" s="29">
        <v>2</v>
      </c>
      <c r="AG211" s="34">
        <v>5</v>
      </c>
      <c r="AH211" s="34">
        <v>3</v>
      </c>
      <c r="AI211" s="34">
        <v>4</v>
      </c>
      <c r="AJ211" s="34">
        <v>1</v>
      </c>
      <c r="AK211" s="35" t="s">
        <v>94</v>
      </c>
      <c r="AL211" s="36">
        <v>1000</v>
      </c>
      <c r="AM211" t="str">
        <f t="shared" si="15"/>
        <v>1000-2000</v>
      </c>
    </row>
    <row r="212" spans="1:39" x14ac:dyDescent="0.2">
      <c r="A212" s="44">
        <v>43764</v>
      </c>
      <c r="B212" s="31">
        <v>0.52361111111111114</v>
      </c>
      <c r="C212" s="31"/>
      <c r="D212" s="31" t="s">
        <v>97</v>
      </c>
      <c r="E212" s="33">
        <v>2</v>
      </c>
      <c r="F212" s="38" t="str">
        <f>VLOOKUP(E212,Key!$A$17:$B$21,2,FALSE)</f>
        <v>Road Vehicle</v>
      </c>
      <c r="G212" s="32">
        <v>4</v>
      </c>
      <c r="H212" s="39" t="str">
        <f>VLOOKUP(G212,Key!$A$2:$B$13,2,FALSE)</f>
        <v>Minibus</v>
      </c>
      <c r="I212" s="33" t="s">
        <v>109</v>
      </c>
      <c r="J212" s="33">
        <v>2</v>
      </c>
      <c r="K212" s="40" t="str">
        <f>VLOOKUP(J212,Key!$A$24:$B$29,2,FALSE)</f>
        <v>30-39</v>
      </c>
      <c r="L212" s="33" t="s">
        <v>151</v>
      </c>
      <c r="M212" s="29" t="s">
        <v>151</v>
      </c>
      <c r="N212" s="33" t="s">
        <v>152</v>
      </c>
      <c r="O212" s="35">
        <v>1</v>
      </c>
      <c r="P212" s="30" t="str">
        <f>VLOOKUP(O212,Key!$E$2:$F$9,2,FALSE)</f>
        <v>Home</v>
      </c>
      <c r="Q212" s="33" t="s">
        <v>181</v>
      </c>
      <c r="R212" s="29" t="s">
        <v>180</v>
      </c>
      <c r="S212" s="33" t="s">
        <v>152</v>
      </c>
      <c r="T212" s="29">
        <v>2</v>
      </c>
      <c r="U212" s="30" t="str">
        <f>VLOOKUP(T212,Key!$E$2:$F$9,2,FALSE)</f>
        <v>Work</v>
      </c>
      <c r="V212" s="30" t="str">
        <f t="shared" si="12"/>
        <v>Home-Work</v>
      </c>
      <c r="W212" s="29">
        <v>10000</v>
      </c>
      <c r="X212" s="34">
        <v>15</v>
      </c>
      <c r="Y212" s="50" t="str">
        <f t="shared" si="13"/>
        <v>10-20</v>
      </c>
      <c r="Z212" s="34">
        <v>2</v>
      </c>
      <c r="AA212" s="50" t="str">
        <f t="shared" si="14"/>
        <v>2.0-3.5</v>
      </c>
      <c r="AB212" s="29">
        <v>5</v>
      </c>
      <c r="AC212" s="30" t="str">
        <f>VLOOKUP(AB212,Key!$C$20:$D$29,2,FALSE)</f>
        <v>Professional</v>
      </c>
      <c r="AD212" s="29">
        <v>3</v>
      </c>
      <c r="AE212" s="30" t="str">
        <f>VLOOKUP(AD212,Key!$E$20:$F$24,2,FALSE)</f>
        <v>500,000-750,000</v>
      </c>
      <c r="AF212" s="29">
        <v>1</v>
      </c>
      <c r="AG212" s="34">
        <v>4</v>
      </c>
      <c r="AH212" s="34">
        <v>5</v>
      </c>
      <c r="AI212" s="34">
        <v>1</v>
      </c>
      <c r="AJ212" s="34">
        <v>2</v>
      </c>
      <c r="AK212" s="35" t="s">
        <v>94</v>
      </c>
      <c r="AL212" s="36">
        <v>200</v>
      </c>
      <c r="AM212" t="str">
        <f t="shared" si="15"/>
        <v>0-1000</v>
      </c>
    </row>
    <row r="213" spans="1:39" x14ac:dyDescent="0.2">
      <c r="A213" s="44">
        <v>43764</v>
      </c>
      <c r="B213" s="31">
        <v>0.50208333333333333</v>
      </c>
      <c r="C213" s="31"/>
      <c r="D213" s="31" t="s">
        <v>97</v>
      </c>
      <c r="E213" s="33">
        <v>2</v>
      </c>
      <c r="F213" s="38" t="str">
        <f>VLOOKUP(E213,Key!$A$17:$B$21,2,FALSE)</f>
        <v>Road Vehicle</v>
      </c>
      <c r="G213" s="32">
        <v>4</v>
      </c>
      <c r="H213" s="39" t="str">
        <f>VLOOKUP(G213,Key!$A$2:$B$13,2,FALSE)</f>
        <v>Minibus</v>
      </c>
      <c r="I213" s="33" t="s">
        <v>109</v>
      </c>
      <c r="J213" s="33">
        <v>2</v>
      </c>
      <c r="K213" s="40" t="str">
        <f>VLOOKUP(J213,Key!$A$24:$B$29,2,FALSE)</f>
        <v>30-39</v>
      </c>
      <c r="L213" s="33" t="s">
        <v>151</v>
      </c>
      <c r="M213" s="29" t="s">
        <v>151</v>
      </c>
      <c r="N213" s="33" t="s">
        <v>152</v>
      </c>
      <c r="O213" s="35">
        <v>1</v>
      </c>
      <c r="P213" s="30" t="str">
        <f>VLOOKUP(O213,Key!$E$2:$F$9,2,FALSE)</f>
        <v>Home</v>
      </c>
      <c r="Q213" s="33" t="s">
        <v>160</v>
      </c>
      <c r="R213" s="29" t="s">
        <v>160</v>
      </c>
      <c r="S213" s="33" t="s">
        <v>152</v>
      </c>
      <c r="T213" s="29">
        <v>2</v>
      </c>
      <c r="U213" s="30" t="str">
        <f>VLOOKUP(T213,Key!$E$2:$F$9,2,FALSE)</f>
        <v>Work</v>
      </c>
      <c r="V213" s="30" t="str">
        <f t="shared" si="12"/>
        <v>Home-Work</v>
      </c>
      <c r="W213" s="29">
        <v>100000</v>
      </c>
      <c r="X213" s="34">
        <v>50</v>
      </c>
      <c r="Y213" s="50" t="str">
        <f t="shared" si="13"/>
        <v>40-70</v>
      </c>
      <c r="Z213" s="34">
        <v>2</v>
      </c>
      <c r="AA213" s="50" t="str">
        <f t="shared" si="14"/>
        <v>2.0-3.5</v>
      </c>
      <c r="AB213" s="29">
        <v>5</v>
      </c>
      <c r="AC213" s="30" t="str">
        <f>VLOOKUP(AB213,Key!$C$20:$D$29,2,FALSE)</f>
        <v>Professional</v>
      </c>
      <c r="AD213" s="29">
        <v>5</v>
      </c>
      <c r="AE213" s="30" t="str">
        <f>VLOOKUP(AD213,Key!$E$20:$F$24,2,FALSE)</f>
        <v>&gt;1,000,000</v>
      </c>
      <c r="AF213" s="29">
        <v>2</v>
      </c>
      <c r="AG213" s="34">
        <v>1</v>
      </c>
      <c r="AH213" s="34">
        <v>4</v>
      </c>
      <c r="AI213" s="34">
        <v>5</v>
      </c>
      <c r="AJ213" s="34">
        <v>3</v>
      </c>
      <c r="AK213" s="35" t="s">
        <v>94</v>
      </c>
      <c r="AL213" s="36"/>
      <c r="AM213" t="str">
        <f t="shared" si="15"/>
        <v>0-1000</v>
      </c>
    </row>
    <row r="214" spans="1:39" x14ac:dyDescent="0.2">
      <c r="A214" s="44">
        <v>43764</v>
      </c>
      <c r="B214" s="31">
        <v>0.49652777777777773</v>
      </c>
      <c r="C214" s="31"/>
      <c r="D214" s="31" t="s">
        <v>97</v>
      </c>
      <c r="E214" s="33">
        <v>2</v>
      </c>
      <c r="F214" s="38" t="str">
        <f>VLOOKUP(E214,Key!$A$17:$B$21,2,FALSE)</f>
        <v>Road Vehicle</v>
      </c>
      <c r="G214" s="32">
        <v>4</v>
      </c>
      <c r="H214" s="39" t="str">
        <f>VLOOKUP(G214,Key!$A$2:$B$13,2,FALSE)</f>
        <v>Minibus</v>
      </c>
      <c r="I214" s="33" t="s">
        <v>109</v>
      </c>
      <c r="J214" s="33">
        <v>2</v>
      </c>
      <c r="K214" s="40" t="str">
        <f>VLOOKUP(J214,Key!$A$24:$B$29,2,FALSE)</f>
        <v>30-39</v>
      </c>
      <c r="L214" s="33" t="s">
        <v>151</v>
      </c>
      <c r="M214" s="29" t="s">
        <v>151</v>
      </c>
      <c r="N214" s="33" t="s">
        <v>152</v>
      </c>
      <c r="O214" s="35">
        <v>1</v>
      </c>
      <c r="P214" s="30" t="str">
        <f>VLOOKUP(O214,Key!$E$2:$F$9,2,FALSE)</f>
        <v>Home</v>
      </c>
      <c r="Q214" s="33" t="s">
        <v>160</v>
      </c>
      <c r="R214" s="29" t="s">
        <v>160</v>
      </c>
      <c r="S214" s="33" t="s">
        <v>152</v>
      </c>
      <c r="T214" s="29">
        <v>2</v>
      </c>
      <c r="U214" s="30" t="str">
        <f>VLOOKUP(T214,Key!$E$2:$F$9,2,FALSE)</f>
        <v>Work</v>
      </c>
      <c r="V214" s="30" t="str">
        <f t="shared" si="12"/>
        <v>Home-Work</v>
      </c>
      <c r="W214" s="29">
        <v>100000</v>
      </c>
      <c r="X214" s="34">
        <v>45</v>
      </c>
      <c r="Y214" s="50" t="str">
        <f t="shared" si="13"/>
        <v>40-70</v>
      </c>
      <c r="Z214" s="34">
        <v>3</v>
      </c>
      <c r="AA214" s="50" t="str">
        <f t="shared" si="14"/>
        <v>2.0-3.5</v>
      </c>
      <c r="AB214" s="29">
        <v>5</v>
      </c>
      <c r="AC214" s="30" t="str">
        <f>VLOOKUP(AB214,Key!$C$20:$D$29,2,FALSE)</f>
        <v>Professional</v>
      </c>
      <c r="AD214" s="29">
        <v>4</v>
      </c>
      <c r="AE214" s="30" t="str">
        <f>VLOOKUP(AD214,Key!$E$20:$F$24,2,FALSE)</f>
        <v>750,000-1,000,000</v>
      </c>
      <c r="AF214" s="29">
        <v>3</v>
      </c>
      <c r="AG214" s="34">
        <v>1</v>
      </c>
      <c r="AH214" s="34">
        <v>2</v>
      </c>
      <c r="AI214" s="34">
        <v>5</v>
      </c>
      <c r="AJ214" s="34">
        <v>4</v>
      </c>
      <c r="AK214" s="35" t="s">
        <v>94</v>
      </c>
      <c r="AL214" s="36"/>
      <c r="AM214" t="str">
        <f t="shared" si="15"/>
        <v>0-1000</v>
      </c>
    </row>
    <row r="215" spans="1:39" x14ac:dyDescent="0.2">
      <c r="A215" s="44">
        <v>43764</v>
      </c>
      <c r="B215" s="31">
        <v>0.48055555555555557</v>
      </c>
      <c r="C215" s="31"/>
      <c r="D215" s="31" t="s">
        <v>97</v>
      </c>
      <c r="E215" s="33">
        <v>2</v>
      </c>
      <c r="F215" s="38" t="str">
        <f>VLOOKUP(E215,Key!$A$17:$B$21,2,FALSE)</f>
        <v>Road Vehicle</v>
      </c>
      <c r="G215" s="32">
        <v>4</v>
      </c>
      <c r="H215" s="39" t="str">
        <f>VLOOKUP(G215,Key!$A$2:$B$13,2,FALSE)</f>
        <v>Minibus</v>
      </c>
      <c r="I215" s="33" t="s">
        <v>109</v>
      </c>
      <c r="J215" s="33">
        <v>2</v>
      </c>
      <c r="K215" s="40" t="str">
        <f>VLOOKUP(J215,Key!$A$24:$B$29,2,FALSE)</f>
        <v>30-39</v>
      </c>
      <c r="L215" s="33" t="s">
        <v>151</v>
      </c>
      <c r="M215" s="29" t="s">
        <v>151</v>
      </c>
      <c r="N215" s="33" t="s">
        <v>152</v>
      </c>
      <c r="O215" s="35">
        <v>1</v>
      </c>
      <c r="P215" s="30" t="str">
        <f>VLOOKUP(O215,Key!$E$2:$F$9,2,FALSE)</f>
        <v>Home</v>
      </c>
      <c r="Q215" s="33" t="s">
        <v>165</v>
      </c>
      <c r="R215" s="29" t="s">
        <v>165</v>
      </c>
      <c r="S215" s="33" t="s">
        <v>152</v>
      </c>
      <c r="T215" s="29">
        <v>2</v>
      </c>
      <c r="U215" s="30" t="str">
        <f>VLOOKUP(T215,Key!$E$2:$F$9,2,FALSE)</f>
        <v>Work</v>
      </c>
      <c r="V215" s="30" t="str">
        <f t="shared" si="12"/>
        <v>Home-Work</v>
      </c>
      <c r="W215" s="29">
        <v>10000</v>
      </c>
      <c r="X215" s="34">
        <v>175</v>
      </c>
      <c r="Y215" s="50" t="str">
        <f t="shared" si="13"/>
        <v>100-200</v>
      </c>
      <c r="Z215" s="34">
        <v>3</v>
      </c>
      <c r="AA215" s="50" t="str">
        <f t="shared" si="14"/>
        <v>2.0-3.5</v>
      </c>
      <c r="AB215" s="29">
        <v>6</v>
      </c>
      <c r="AC215" s="30" t="str">
        <f>VLOOKUP(AB215,Key!$C$20:$D$29,2,FALSE)</f>
        <v>Businessman</v>
      </c>
      <c r="AD215" s="29">
        <v>3</v>
      </c>
      <c r="AE215" s="30" t="str">
        <f>VLOOKUP(AD215,Key!$E$20:$F$24,2,FALSE)</f>
        <v>500,000-750,000</v>
      </c>
      <c r="AF215" s="29">
        <v>2</v>
      </c>
      <c r="AG215" s="34">
        <v>3</v>
      </c>
      <c r="AH215" s="34">
        <v>5</v>
      </c>
      <c r="AI215" s="34">
        <v>1</v>
      </c>
      <c r="AJ215" s="34">
        <v>4</v>
      </c>
      <c r="AK215" s="35" t="s">
        <v>94</v>
      </c>
      <c r="AL215" s="36">
        <v>1000</v>
      </c>
      <c r="AM215" t="str">
        <f t="shared" si="15"/>
        <v>1000-2000</v>
      </c>
    </row>
    <row r="216" spans="1:39" x14ac:dyDescent="0.2">
      <c r="A216" s="44">
        <v>43764</v>
      </c>
      <c r="B216" s="31">
        <v>0.49027777777777781</v>
      </c>
      <c r="C216" s="31"/>
      <c r="D216" s="31" t="s">
        <v>97</v>
      </c>
      <c r="E216" s="33">
        <v>2</v>
      </c>
      <c r="F216" s="38" t="str">
        <f>VLOOKUP(E216,Key!$A$17:$B$21,2,FALSE)</f>
        <v>Road Vehicle</v>
      </c>
      <c r="G216" s="32">
        <v>4</v>
      </c>
      <c r="H216" s="39" t="str">
        <f>VLOOKUP(G216,Key!$A$2:$B$13,2,FALSE)</f>
        <v>Minibus</v>
      </c>
      <c r="I216" s="33" t="s">
        <v>109</v>
      </c>
      <c r="J216" s="33">
        <v>2</v>
      </c>
      <c r="K216" s="40" t="str">
        <f>VLOOKUP(J216,Key!$A$24:$B$29,2,FALSE)</f>
        <v>30-39</v>
      </c>
      <c r="L216" s="33" t="s">
        <v>151</v>
      </c>
      <c r="M216" s="29" t="s">
        <v>151</v>
      </c>
      <c r="N216" s="33" t="s">
        <v>152</v>
      </c>
      <c r="O216" s="35">
        <v>1</v>
      </c>
      <c r="P216" s="30" t="str">
        <f>VLOOKUP(O216,Key!$E$2:$F$9,2,FALSE)</f>
        <v>Home</v>
      </c>
      <c r="Q216" s="33" t="s">
        <v>166</v>
      </c>
      <c r="R216" s="29" t="s">
        <v>166</v>
      </c>
      <c r="S216" s="33" t="s">
        <v>152</v>
      </c>
      <c r="T216" s="29">
        <v>2</v>
      </c>
      <c r="U216" s="30" t="str">
        <f>VLOOKUP(T216,Key!$E$2:$F$9,2,FALSE)</f>
        <v>Work</v>
      </c>
      <c r="V216" s="30" t="str">
        <f t="shared" si="12"/>
        <v>Home-Work</v>
      </c>
      <c r="W216" s="29">
        <v>90000</v>
      </c>
      <c r="X216" s="34"/>
      <c r="Y216" s="50" t="str">
        <f t="shared" si="13"/>
        <v>0-10</v>
      </c>
      <c r="Z216" s="34">
        <v>1</v>
      </c>
      <c r="AA216" s="50" t="str">
        <f t="shared" si="14"/>
        <v>1.0-2.0</v>
      </c>
      <c r="AB216" s="29">
        <v>5</v>
      </c>
      <c r="AC216" s="30" t="str">
        <f>VLOOKUP(AB216,Key!$C$20:$D$29,2,FALSE)</f>
        <v>Professional</v>
      </c>
      <c r="AD216" s="29">
        <v>3</v>
      </c>
      <c r="AE216" s="30" t="str">
        <f>VLOOKUP(AD216,Key!$E$20:$F$24,2,FALSE)</f>
        <v>500,000-750,000</v>
      </c>
      <c r="AF216" s="29">
        <v>2</v>
      </c>
      <c r="AG216" s="34">
        <v>3</v>
      </c>
      <c r="AH216" s="34">
        <v>1</v>
      </c>
      <c r="AI216" s="34">
        <v>5</v>
      </c>
      <c r="AJ216" s="34">
        <v>4</v>
      </c>
      <c r="AK216" s="35" t="s">
        <v>94</v>
      </c>
      <c r="AL216" s="36">
        <v>2000</v>
      </c>
      <c r="AM216" t="str">
        <f t="shared" si="15"/>
        <v>2000-3000</v>
      </c>
    </row>
    <row r="217" spans="1:39" x14ac:dyDescent="0.2">
      <c r="A217" s="44">
        <v>43764</v>
      </c>
      <c r="B217" s="31">
        <v>0.6</v>
      </c>
      <c r="C217" s="31"/>
      <c r="D217" s="31" t="s">
        <v>97</v>
      </c>
      <c r="E217" s="33">
        <v>2</v>
      </c>
      <c r="F217" s="38" t="str">
        <f>VLOOKUP(E217,Key!$A$17:$B$21,2,FALSE)</f>
        <v>Road Vehicle</v>
      </c>
      <c r="G217" s="32">
        <v>4</v>
      </c>
      <c r="H217" s="39" t="str">
        <f>VLOOKUP(G217,Key!$A$2:$B$13,2,FALSE)</f>
        <v>Minibus</v>
      </c>
      <c r="I217" s="33" t="s">
        <v>109</v>
      </c>
      <c r="J217" s="33">
        <v>2</v>
      </c>
      <c r="K217" s="40" t="str">
        <f>VLOOKUP(J217,Key!$A$24:$B$29,2,FALSE)</f>
        <v>30-39</v>
      </c>
      <c r="L217" s="33" t="s">
        <v>151</v>
      </c>
      <c r="M217" s="29" t="s">
        <v>151</v>
      </c>
      <c r="N217" s="33" t="s">
        <v>152</v>
      </c>
      <c r="O217" s="35">
        <v>1</v>
      </c>
      <c r="P217" s="30" t="str">
        <f>VLOOKUP(O217,Key!$E$2:$F$9,2,FALSE)</f>
        <v>Home</v>
      </c>
      <c r="Q217" s="33" t="s">
        <v>151</v>
      </c>
      <c r="R217" s="29" t="s">
        <v>151</v>
      </c>
      <c r="S217" s="33" t="s">
        <v>152</v>
      </c>
      <c r="T217" s="29">
        <v>6</v>
      </c>
      <c r="U217" s="30" t="str">
        <f>VLOOKUP(T217,Key!$E$2:$F$9,2,FALSE)</f>
        <v>Leisure/Social</v>
      </c>
      <c r="V217" s="30" t="str">
        <f t="shared" si="12"/>
        <v>Home-Leisure/Social</v>
      </c>
      <c r="W217" s="29">
        <v>5000</v>
      </c>
      <c r="X217" s="34">
        <v>30</v>
      </c>
      <c r="Y217" s="50" t="str">
        <f t="shared" si="13"/>
        <v>20-40</v>
      </c>
      <c r="Z217" s="34">
        <v>1</v>
      </c>
      <c r="AA217" s="50" t="str">
        <f t="shared" si="14"/>
        <v>1.0-2.0</v>
      </c>
      <c r="AB217" s="29">
        <v>8</v>
      </c>
      <c r="AC217" s="30" t="str">
        <f>VLOOKUP(AB217,Key!$C$20:$D$29,2,FALSE)</f>
        <v>Student</v>
      </c>
      <c r="AD217" s="29">
        <v>2</v>
      </c>
      <c r="AE217" s="30" t="str">
        <f>VLOOKUP(AD217,Key!$E$20:$F$24,2,FALSE)</f>
        <v>300,000-500,000</v>
      </c>
      <c r="AF217" s="29">
        <v>3</v>
      </c>
      <c r="AG217" s="34">
        <v>5</v>
      </c>
      <c r="AH217" s="34">
        <v>1</v>
      </c>
      <c r="AI217" s="34">
        <v>4</v>
      </c>
      <c r="AJ217" s="34">
        <v>2</v>
      </c>
      <c r="AK217" s="35" t="s">
        <v>94</v>
      </c>
      <c r="AL217" s="36"/>
      <c r="AM217" t="str">
        <f t="shared" si="15"/>
        <v>0-1000</v>
      </c>
    </row>
    <row r="218" spans="1:39" x14ac:dyDescent="0.2">
      <c r="A218" s="44">
        <v>43764</v>
      </c>
      <c r="B218" s="31">
        <v>0.64166666666666672</v>
      </c>
      <c r="C218" s="31"/>
      <c r="D218" s="31" t="s">
        <v>150</v>
      </c>
      <c r="E218" s="33">
        <v>2</v>
      </c>
      <c r="F218" s="38" t="str">
        <f>VLOOKUP(E218,Key!$A$17:$B$21,2,FALSE)</f>
        <v>Road Vehicle</v>
      </c>
      <c r="G218" s="32">
        <v>4</v>
      </c>
      <c r="H218" s="39" t="str">
        <f>VLOOKUP(G218,Key!$A$2:$B$13,2,FALSE)</f>
        <v>Minibus</v>
      </c>
      <c r="I218" s="33" t="s">
        <v>109</v>
      </c>
      <c r="J218" s="33">
        <v>2</v>
      </c>
      <c r="K218" s="40" t="str">
        <f>VLOOKUP(J218,Key!$A$24:$B$29,2,FALSE)</f>
        <v>30-39</v>
      </c>
      <c r="L218" s="33" t="s">
        <v>151</v>
      </c>
      <c r="M218" s="29" t="s">
        <v>151</v>
      </c>
      <c r="N218" s="33" t="s">
        <v>152</v>
      </c>
      <c r="O218" s="35">
        <v>1</v>
      </c>
      <c r="P218" s="30" t="str">
        <f>VLOOKUP(O218,Key!$E$2:$F$9,2,FALSE)</f>
        <v>Home</v>
      </c>
      <c r="Q218" s="33" t="s">
        <v>153</v>
      </c>
      <c r="R218" s="29" t="s">
        <v>153</v>
      </c>
      <c r="S218" s="33" t="s">
        <v>152</v>
      </c>
      <c r="T218" s="29">
        <v>5</v>
      </c>
      <c r="U218" s="30" t="str">
        <f>VLOOKUP(T218,Key!$E$2:$F$9,2,FALSE)</f>
        <v>Tourism</v>
      </c>
      <c r="V218" s="30" t="str">
        <f t="shared" si="12"/>
        <v>Home-Tourism</v>
      </c>
      <c r="W218" s="29">
        <v>15000</v>
      </c>
      <c r="X218" s="34">
        <v>200</v>
      </c>
      <c r="Y218" s="50" t="str">
        <f t="shared" si="13"/>
        <v>Over 200</v>
      </c>
      <c r="Z218" s="34">
        <v>3</v>
      </c>
      <c r="AA218" s="50" t="str">
        <f t="shared" si="14"/>
        <v>2.0-3.5</v>
      </c>
      <c r="AB218" s="29">
        <v>2</v>
      </c>
      <c r="AC218" s="30" t="str">
        <f>VLOOKUP(AB218,Key!$C$20:$D$29,2,FALSE)</f>
        <v>Manual Labour</v>
      </c>
      <c r="AD218" s="29">
        <v>2</v>
      </c>
      <c r="AE218" s="30" t="str">
        <f>VLOOKUP(AD218,Key!$E$20:$F$24,2,FALSE)</f>
        <v>300,000-500,000</v>
      </c>
      <c r="AF218" s="29">
        <v>3</v>
      </c>
      <c r="AG218" s="34">
        <v>4</v>
      </c>
      <c r="AH218" s="34">
        <v>1</v>
      </c>
      <c r="AI218" s="34">
        <v>5</v>
      </c>
      <c r="AJ218" s="34">
        <v>3</v>
      </c>
      <c r="AK218" s="35" t="s">
        <v>94</v>
      </c>
      <c r="AL218" s="36"/>
      <c r="AM218" t="str">
        <f t="shared" si="15"/>
        <v>0-1000</v>
      </c>
    </row>
    <row r="219" spans="1:39" x14ac:dyDescent="0.2">
      <c r="A219" s="44">
        <v>43764</v>
      </c>
      <c r="B219" s="31">
        <v>0.65069444444444446</v>
      </c>
      <c r="C219" s="31"/>
      <c r="D219" s="31" t="s">
        <v>150</v>
      </c>
      <c r="E219" s="33">
        <v>2</v>
      </c>
      <c r="F219" s="38" t="str">
        <f>VLOOKUP(E219,Key!$A$17:$B$21,2,FALSE)</f>
        <v>Road Vehicle</v>
      </c>
      <c r="G219" s="32">
        <v>4</v>
      </c>
      <c r="H219" s="39" t="str">
        <f>VLOOKUP(G219,Key!$A$2:$B$13,2,FALSE)</f>
        <v>Minibus</v>
      </c>
      <c r="I219" s="33" t="s">
        <v>109</v>
      </c>
      <c r="J219" s="33">
        <v>2</v>
      </c>
      <c r="K219" s="40" t="str">
        <f>VLOOKUP(J219,Key!$A$24:$B$29,2,FALSE)</f>
        <v>30-39</v>
      </c>
      <c r="L219" s="33" t="s">
        <v>151</v>
      </c>
      <c r="M219" s="29" t="s">
        <v>151</v>
      </c>
      <c r="N219" s="33" t="s">
        <v>152</v>
      </c>
      <c r="O219" s="35">
        <v>4</v>
      </c>
      <c r="P219" s="30" t="str">
        <f>VLOOKUP(O219,Key!$E$2:$F$9,2,FALSE)</f>
        <v>Commercial</v>
      </c>
      <c r="Q219" s="33" t="s">
        <v>153</v>
      </c>
      <c r="R219" s="29" t="s">
        <v>153</v>
      </c>
      <c r="S219" s="33" t="s">
        <v>152</v>
      </c>
      <c r="T219" s="29">
        <v>1</v>
      </c>
      <c r="U219" s="30" t="str">
        <f>VLOOKUP(T219,Key!$E$2:$F$9,2,FALSE)</f>
        <v>Home</v>
      </c>
      <c r="V219" s="30" t="str">
        <f t="shared" si="12"/>
        <v>Commercial-Home</v>
      </c>
      <c r="W219" s="29">
        <v>15000</v>
      </c>
      <c r="X219" s="34">
        <v>200</v>
      </c>
      <c r="Y219" s="50" t="str">
        <f t="shared" si="13"/>
        <v>Over 200</v>
      </c>
      <c r="Z219" s="34">
        <v>4</v>
      </c>
      <c r="AA219" s="50" t="str">
        <f t="shared" si="14"/>
        <v>Over 3.5</v>
      </c>
      <c r="AB219" s="29">
        <v>2</v>
      </c>
      <c r="AC219" s="30" t="str">
        <f>VLOOKUP(AB219,Key!$C$20:$D$29,2,FALSE)</f>
        <v>Manual Labour</v>
      </c>
      <c r="AD219" s="29">
        <v>3</v>
      </c>
      <c r="AE219" s="30" t="str">
        <f>VLOOKUP(AD219,Key!$E$20:$F$24,2,FALSE)</f>
        <v>500,000-750,000</v>
      </c>
      <c r="AF219" s="29">
        <v>3</v>
      </c>
      <c r="AG219" s="34">
        <v>1</v>
      </c>
      <c r="AH219" s="34">
        <v>2</v>
      </c>
      <c r="AI219" s="34">
        <v>5</v>
      </c>
      <c r="AJ219" s="34">
        <v>4</v>
      </c>
      <c r="AK219" s="35" t="s">
        <v>94</v>
      </c>
      <c r="AL219" s="36">
        <v>5000</v>
      </c>
      <c r="AM219" t="str">
        <f t="shared" si="15"/>
        <v>5000-10000</v>
      </c>
    </row>
    <row r="220" spans="1:39" x14ac:dyDescent="0.2">
      <c r="A220" s="44">
        <v>43764</v>
      </c>
      <c r="B220" s="31">
        <v>0.61319444444444449</v>
      </c>
      <c r="C220" s="31"/>
      <c r="D220" s="31" t="s">
        <v>97</v>
      </c>
      <c r="E220" s="33">
        <v>2</v>
      </c>
      <c r="F220" s="38" t="str">
        <f>VLOOKUP(E220,Key!$A$17:$B$21,2,FALSE)</f>
        <v>Road Vehicle</v>
      </c>
      <c r="G220" s="32">
        <v>4</v>
      </c>
      <c r="H220" s="39" t="str">
        <f>VLOOKUP(G220,Key!$A$2:$B$13,2,FALSE)</f>
        <v>Minibus</v>
      </c>
      <c r="I220" s="33" t="s">
        <v>109</v>
      </c>
      <c r="J220" s="33">
        <v>2</v>
      </c>
      <c r="K220" s="40" t="str">
        <f>VLOOKUP(J220,Key!$A$24:$B$29,2,FALSE)</f>
        <v>30-39</v>
      </c>
      <c r="L220" s="33" t="s">
        <v>151</v>
      </c>
      <c r="M220" s="29" t="s">
        <v>151</v>
      </c>
      <c r="N220" s="33" t="s">
        <v>152</v>
      </c>
      <c r="O220" s="35">
        <v>2</v>
      </c>
      <c r="P220" s="30" t="str">
        <f>VLOOKUP(O220,Key!$E$2:$F$9,2,FALSE)</f>
        <v>Work</v>
      </c>
      <c r="Q220" s="33" t="s">
        <v>211</v>
      </c>
      <c r="R220" s="29" t="s">
        <v>211</v>
      </c>
      <c r="S220" s="33" t="s">
        <v>152</v>
      </c>
      <c r="T220" s="29">
        <v>2</v>
      </c>
      <c r="U220" s="30" t="str">
        <f>VLOOKUP(T220,Key!$E$2:$F$9,2,FALSE)</f>
        <v>Work</v>
      </c>
      <c r="V220" s="30" t="str">
        <f t="shared" si="12"/>
        <v>Work-Work</v>
      </c>
      <c r="W220" s="29">
        <v>10000</v>
      </c>
      <c r="X220" s="34">
        <v>20</v>
      </c>
      <c r="Y220" s="50" t="str">
        <f t="shared" si="13"/>
        <v>20-40</v>
      </c>
      <c r="Z220" s="34">
        <v>40</v>
      </c>
      <c r="AA220" s="50" t="str">
        <f t="shared" si="14"/>
        <v>Over 3.5</v>
      </c>
      <c r="AB220" s="29">
        <v>2</v>
      </c>
      <c r="AC220" s="30" t="str">
        <f>VLOOKUP(AB220,Key!$C$20:$D$29,2,FALSE)</f>
        <v>Manual Labour</v>
      </c>
      <c r="AD220" s="29">
        <v>3</v>
      </c>
      <c r="AE220" s="30" t="str">
        <f>VLOOKUP(AD220,Key!$E$20:$F$24,2,FALSE)</f>
        <v>500,000-750,000</v>
      </c>
      <c r="AF220" s="29">
        <v>5</v>
      </c>
      <c r="AG220" s="34">
        <v>4</v>
      </c>
      <c r="AH220" s="34">
        <v>3</v>
      </c>
      <c r="AI220" s="34">
        <v>2</v>
      </c>
      <c r="AJ220" s="34">
        <v>1</v>
      </c>
      <c r="AK220" s="35" t="s">
        <v>94</v>
      </c>
      <c r="AL220" s="36">
        <v>2000</v>
      </c>
      <c r="AM220" t="str">
        <f t="shared" si="15"/>
        <v>2000-3000</v>
      </c>
    </row>
    <row r="221" spans="1:39" x14ac:dyDescent="0.2">
      <c r="A221" s="44">
        <v>43764</v>
      </c>
      <c r="B221" s="31">
        <v>0.59444444444444444</v>
      </c>
      <c r="C221" s="31"/>
      <c r="D221" s="31" t="s">
        <v>97</v>
      </c>
      <c r="E221" s="33">
        <v>2</v>
      </c>
      <c r="F221" s="38" t="str">
        <f>VLOOKUP(E221,Key!$A$17:$B$21,2,FALSE)</f>
        <v>Road Vehicle</v>
      </c>
      <c r="G221" s="32">
        <v>4</v>
      </c>
      <c r="H221" s="39" t="str">
        <f>VLOOKUP(G221,Key!$A$2:$B$13,2,FALSE)</f>
        <v>Minibus</v>
      </c>
      <c r="I221" s="33" t="s">
        <v>109</v>
      </c>
      <c r="J221" s="33">
        <v>2</v>
      </c>
      <c r="K221" s="40" t="str">
        <f>VLOOKUP(J221,Key!$A$24:$B$29,2,FALSE)</f>
        <v>30-39</v>
      </c>
      <c r="L221" s="33" t="s">
        <v>151</v>
      </c>
      <c r="M221" s="29" t="s">
        <v>151</v>
      </c>
      <c r="N221" s="33" t="s">
        <v>152</v>
      </c>
      <c r="O221" s="35">
        <v>2</v>
      </c>
      <c r="P221" s="30" t="str">
        <f>VLOOKUP(O221,Key!$E$2:$F$9,2,FALSE)</f>
        <v>Work</v>
      </c>
      <c r="Q221" s="33" t="s">
        <v>165</v>
      </c>
      <c r="R221" s="29" t="s">
        <v>165</v>
      </c>
      <c r="S221" s="33" t="s">
        <v>152</v>
      </c>
      <c r="T221" s="29">
        <v>1</v>
      </c>
      <c r="U221" s="30" t="str">
        <f>VLOOKUP(T221,Key!$E$2:$F$9,2,FALSE)</f>
        <v>Home</v>
      </c>
      <c r="V221" s="30" t="str">
        <f t="shared" si="12"/>
        <v>Work-Home</v>
      </c>
      <c r="W221" s="29">
        <v>200000</v>
      </c>
      <c r="X221" s="34">
        <v>72</v>
      </c>
      <c r="Y221" s="50" t="str">
        <f t="shared" si="13"/>
        <v>70-100</v>
      </c>
      <c r="Z221" s="34">
        <v>1</v>
      </c>
      <c r="AA221" s="50" t="str">
        <f t="shared" si="14"/>
        <v>1.0-2.0</v>
      </c>
      <c r="AB221" s="29">
        <v>5</v>
      </c>
      <c r="AC221" s="30" t="str">
        <f>VLOOKUP(AB221,Key!$C$20:$D$29,2,FALSE)</f>
        <v>Professional</v>
      </c>
      <c r="AD221" s="29">
        <v>3</v>
      </c>
      <c r="AE221" s="30" t="str">
        <f>VLOOKUP(AD221,Key!$E$20:$F$24,2,FALSE)</f>
        <v>500,000-750,000</v>
      </c>
      <c r="AF221" s="29">
        <v>2</v>
      </c>
      <c r="AG221" s="34">
        <v>1</v>
      </c>
      <c r="AH221" s="34">
        <v>3</v>
      </c>
      <c r="AI221" s="34">
        <v>4</v>
      </c>
      <c r="AJ221" s="34">
        <v>5</v>
      </c>
      <c r="AK221" s="35" t="s">
        <v>94</v>
      </c>
      <c r="AL221" s="36">
        <v>4000</v>
      </c>
      <c r="AM221" t="str">
        <f t="shared" si="15"/>
        <v>3000-5000</v>
      </c>
    </row>
    <row r="222" spans="1:39" x14ac:dyDescent="0.2">
      <c r="A222" s="44">
        <v>43764</v>
      </c>
      <c r="B222" s="31">
        <v>0.58888888888888891</v>
      </c>
      <c r="C222" s="31"/>
      <c r="D222" s="31" t="s">
        <v>97</v>
      </c>
      <c r="E222" s="33">
        <v>2</v>
      </c>
      <c r="F222" s="38" t="str">
        <f>VLOOKUP(E222,Key!$A$17:$B$21,2,FALSE)</f>
        <v>Road Vehicle</v>
      </c>
      <c r="G222" s="32">
        <v>4</v>
      </c>
      <c r="H222" s="39" t="str">
        <f>VLOOKUP(G222,Key!$A$2:$B$13,2,FALSE)</f>
        <v>Minibus</v>
      </c>
      <c r="I222" s="33" t="s">
        <v>109</v>
      </c>
      <c r="J222" s="33">
        <v>2</v>
      </c>
      <c r="K222" s="40" t="str">
        <f>VLOOKUP(J222,Key!$A$24:$B$29,2,FALSE)</f>
        <v>30-39</v>
      </c>
      <c r="L222" s="33" t="s">
        <v>151</v>
      </c>
      <c r="M222" s="29" t="s">
        <v>151</v>
      </c>
      <c r="N222" s="33" t="s">
        <v>152</v>
      </c>
      <c r="O222" s="35">
        <v>1</v>
      </c>
      <c r="P222" s="30" t="str">
        <f>VLOOKUP(O222,Key!$E$2:$F$9,2,FALSE)</f>
        <v>Home</v>
      </c>
      <c r="Q222" s="33" t="s">
        <v>153</v>
      </c>
      <c r="R222" s="29" t="s">
        <v>153</v>
      </c>
      <c r="S222" s="33" t="s">
        <v>152</v>
      </c>
      <c r="T222" s="29">
        <v>2</v>
      </c>
      <c r="U222" s="30" t="str">
        <f>VLOOKUP(T222,Key!$E$2:$F$9,2,FALSE)</f>
        <v>Work</v>
      </c>
      <c r="V222" s="30" t="str">
        <f t="shared" si="12"/>
        <v>Home-Work</v>
      </c>
      <c r="W222" s="29">
        <v>1750000</v>
      </c>
      <c r="X222" s="34">
        <v>190</v>
      </c>
      <c r="Y222" s="50" t="str">
        <f t="shared" si="13"/>
        <v>100-200</v>
      </c>
      <c r="Z222" s="34">
        <v>3</v>
      </c>
      <c r="AA222" s="50" t="str">
        <f t="shared" si="14"/>
        <v>2.0-3.5</v>
      </c>
      <c r="AB222" s="29">
        <v>10</v>
      </c>
      <c r="AC222" s="30" t="str">
        <f>VLOOKUP(AB222,Key!$C$20:$D$29,2,FALSE)</f>
        <v>Other</v>
      </c>
      <c r="AD222" s="29">
        <v>2</v>
      </c>
      <c r="AE222" s="30" t="str">
        <f>VLOOKUP(AD222,Key!$E$20:$F$24,2,FALSE)</f>
        <v>300,000-500,000</v>
      </c>
      <c r="AF222" s="29">
        <v>3</v>
      </c>
      <c r="AG222" s="34">
        <v>5</v>
      </c>
      <c r="AH222" s="34">
        <v>4</v>
      </c>
      <c r="AI222" s="34">
        <v>2</v>
      </c>
      <c r="AJ222" s="34">
        <v>1</v>
      </c>
      <c r="AK222" s="35" t="s">
        <v>94</v>
      </c>
      <c r="AL222" s="36"/>
      <c r="AM222" t="str">
        <f t="shared" si="15"/>
        <v>0-1000</v>
      </c>
    </row>
    <row r="223" spans="1:39" x14ac:dyDescent="0.2">
      <c r="A223" s="44">
        <v>43764</v>
      </c>
      <c r="B223" s="31">
        <v>0.65416666666666667</v>
      </c>
      <c r="C223" s="31"/>
      <c r="D223" s="31" t="s">
        <v>97</v>
      </c>
      <c r="E223" s="33">
        <v>2</v>
      </c>
      <c r="F223" s="38" t="str">
        <f>VLOOKUP(E223,Key!$A$17:$B$21,2,FALSE)</f>
        <v>Road Vehicle</v>
      </c>
      <c r="G223" s="32">
        <v>4</v>
      </c>
      <c r="H223" s="39" t="str">
        <f>VLOOKUP(G223,Key!$A$2:$B$13,2,FALSE)</f>
        <v>Minibus</v>
      </c>
      <c r="I223" s="33" t="s">
        <v>109</v>
      </c>
      <c r="J223" s="33">
        <v>2</v>
      </c>
      <c r="K223" s="40" t="str">
        <f>VLOOKUP(J223,Key!$A$24:$B$29,2,FALSE)</f>
        <v>30-39</v>
      </c>
      <c r="L223" s="33" t="s">
        <v>151</v>
      </c>
      <c r="M223" s="29" t="s">
        <v>151</v>
      </c>
      <c r="N223" s="33" t="s">
        <v>152</v>
      </c>
      <c r="O223" s="35">
        <v>2</v>
      </c>
      <c r="P223" s="30" t="str">
        <f>VLOOKUP(O223,Key!$E$2:$F$9,2,FALSE)</f>
        <v>Work</v>
      </c>
      <c r="Q223" s="33" t="s">
        <v>201</v>
      </c>
      <c r="R223" s="29" t="s">
        <v>162</v>
      </c>
      <c r="S223" s="33" t="s">
        <v>152</v>
      </c>
      <c r="T223" s="29">
        <v>2</v>
      </c>
      <c r="U223" s="30" t="str">
        <f>VLOOKUP(T223,Key!$E$2:$F$9,2,FALSE)</f>
        <v>Work</v>
      </c>
      <c r="V223" s="30" t="str">
        <f t="shared" si="12"/>
        <v>Work-Work</v>
      </c>
      <c r="W223" s="29">
        <v>120000</v>
      </c>
      <c r="X223" s="34">
        <v>111</v>
      </c>
      <c r="Y223" s="50" t="str">
        <f t="shared" si="13"/>
        <v>100-200</v>
      </c>
      <c r="Z223" s="34">
        <v>3</v>
      </c>
      <c r="AA223" s="50" t="str">
        <f t="shared" si="14"/>
        <v>2.0-3.5</v>
      </c>
      <c r="AB223" s="29">
        <v>6</v>
      </c>
      <c r="AC223" s="30" t="str">
        <f>VLOOKUP(AB223,Key!$C$20:$D$29,2,FALSE)</f>
        <v>Businessman</v>
      </c>
      <c r="AD223" s="29">
        <v>4</v>
      </c>
      <c r="AE223" s="30" t="str">
        <f>VLOOKUP(AD223,Key!$E$20:$F$24,2,FALSE)</f>
        <v>750,000-1,000,000</v>
      </c>
      <c r="AF223" s="29">
        <v>5</v>
      </c>
      <c r="AG223" s="34">
        <v>4</v>
      </c>
      <c r="AH223" s="34">
        <v>3</v>
      </c>
      <c r="AI223" s="34">
        <v>2</v>
      </c>
      <c r="AJ223" s="34">
        <v>5</v>
      </c>
      <c r="AK223" s="35" t="s">
        <v>94</v>
      </c>
      <c r="AL223" s="36">
        <v>1000</v>
      </c>
      <c r="AM223" t="str">
        <f t="shared" si="15"/>
        <v>1000-2000</v>
      </c>
    </row>
    <row r="224" spans="1:39" x14ac:dyDescent="0.2">
      <c r="A224" s="44">
        <v>43764</v>
      </c>
      <c r="B224" s="31">
        <v>0.52708333333333335</v>
      </c>
      <c r="C224" s="31"/>
      <c r="D224" s="31" t="s">
        <v>150</v>
      </c>
      <c r="E224" s="33">
        <v>2</v>
      </c>
      <c r="F224" s="38" t="str">
        <f>VLOOKUP(E224,Key!$A$17:$B$21,2,FALSE)</f>
        <v>Road Vehicle</v>
      </c>
      <c r="G224" s="32">
        <v>4</v>
      </c>
      <c r="H224" s="39" t="str">
        <f>VLOOKUP(G224,Key!$A$2:$B$13,2,FALSE)</f>
        <v>Minibus</v>
      </c>
      <c r="I224" s="33" t="s">
        <v>109</v>
      </c>
      <c r="J224" s="33">
        <v>2</v>
      </c>
      <c r="K224" s="40" t="str">
        <f>VLOOKUP(J224,Key!$A$24:$B$29,2,FALSE)</f>
        <v>30-39</v>
      </c>
      <c r="L224" s="33" t="s">
        <v>151</v>
      </c>
      <c r="M224" s="29" t="s">
        <v>151</v>
      </c>
      <c r="N224" s="33" t="s">
        <v>152</v>
      </c>
      <c r="O224" s="35">
        <v>4</v>
      </c>
      <c r="P224" s="30" t="str">
        <f>VLOOKUP(O224,Key!$E$2:$F$9,2,FALSE)</f>
        <v>Commercial</v>
      </c>
      <c r="Q224" s="33" t="s">
        <v>153</v>
      </c>
      <c r="R224" s="29" t="s">
        <v>153</v>
      </c>
      <c r="S224" s="33" t="s">
        <v>152</v>
      </c>
      <c r="T224" s="29">
        <v>1</v>
      </c>
      <c r="U224" s="30" t="str">
        <f>VLOOKUP(T224,Key!$E$2:$F$9,2,FALSE)</f>
        <v>Home</v>
      </c>
      <c r="V224" s="30" t="str">
        <f t="shared" si="12"/>
        <v>Commercial-Home</v>
      </c>
      <c r="W224" s="29">
        <v>13000</v>
      </c>
      <c r="X224" s="34">
        <v>190</v>
      </c>
      <c r="Y224" s="50" t="str">
        <f t="shared" si="13"/>
        <v>100-200</v>
      </c>
      <c r="Z224" s="34">
        <v>3</v>
      </c>
      <c r="AA224" s="50" t="str">
        <f t="shared" si="14"/>
        <v>2.0-3.5</v>
      </c>
      <c r="AB224" s="29">
        <v>5</v>
      </c>
      <c r="AC224" s="30" t="str">
        <f>VLOOKUP(AB224,Key!$C$20:$D$29,2,FALSE)</f>
        <v>Professional</v>
      </c>
      <c r="AD224" s="29">
        <v>3</v>
      </c>
      <c r="AE224" s="30" t="str">
        <f>VLOOKUP(AD224,Key!$E$20:$F$24,2,FALSE)</f>
        <v>500,000-750,000</v>
      </c>
      <c r="AF224" s="29">
        <v>2</v>
      </c>
      <c r="AG224" s="34">
        <v>1</v>
      </c>
      <c r="AH224" s="34">
        <v>3</v>
      </c>
      <c r="AI224" s="34">
        <v>5</v>
      </c>
      <c r="AJ224" s="34">
        <v>4</v>
      </c>
      <c r="AK224" s="35" t="s">
        <v>94</v>
      </c>
      <c r="AL224" s="36">
        <v>10000</v>
      </c>
      <c r="AM224" t="str">
        <f t="shared" si="15"/>
        <v>Over 10000</v>
      </c>
    </row>
    <row r="225" spans="1:39" x14ac:dyDescent="0.2">
      <c r="A225" s="44">
        <v>43764</v>
      </c>
      <c r="B225" s="31">
        <v>0.51388888888888895</v>
      </c>
      <c r="C225" s="31"/>
      <c r="D225" s="31" t="s">
        <v>97</v>
      </c>
      <c r="E225" s="33">
        <v>2</v>
      </c>
      <c r="F225" s="38" t="str">
        <f>VLOOKUP(E225,Key!$A$17:$B$21,2,FALSE)</f>
        <v>Road Vehicle</v>
      </c>
      <c r="G225" s="32">
        <v>4</v>
      </c>
      <c r="H225" s="39" t="str">
        <f>VLOOKUP(G225,Key!$A$2:$B$13,2,FALSE)</f>
        <v>Minibus</v>
      </c>
      <c r="I225" s="33" t="s">
        <v>109</v>
      </c>
      <c r="J225" s="33">
        <v>2</v>
      </c>
      <c r="K225" s="40" t="str">
        <f>VLOOKUP(J225,Key!$A$24:$B$29,2,FALSE)</f>
        <v>30-39</v>
      </c>
      <c r="L225" s="33" t="s">
        <v>151</v>
      </c>
      <c r="M225" s="29" t="s">
        <v>151</v>
      </c>
      <c r="N225" s="33" t="s">
        <v>152</v>
      </c>
      <c r="O225" s="35">
        <v>2</v>
      </c>
      <c r="P225" s="30" t="str">
        <f>VLOOKUP(O225,Key!$E$2:$F$9,2,FALSE)</f>
        <v>Work</v>
      </c>
      <c r="Q225" s="33" t="s">
        <v>153</v>
      </c>
      <c r="R225" s="29" t="s">
        <v>153</v>
      </c>
      <c r="S225" s="33" t="s">
        <v>152</v>
      </c>
      <c r="T225" s="29">
        <v>2</v>
      </c>
      <c r="U225" s="30" t="str">
        <f>VLOOKUP(T225,Key!$E$2:$F$9,2,FALSE)</f>
        <v>Work</v>
      </c>
      <c r="V225" s="30" t="str">
        <f t="shared" si="12"/>
        <v>Work-Work</v>
      </c>
      <c r="W225" s="29">
        <v>700000</v>
      </c>
      <c r="X225" s="34">
        <v>195</v>
      </c>
      <c r="Y225" s="50" t="str">
        <f t="shared" si="13"/>
        <v>100-200</v>
      </c>
      <c r="Z225" s="34">
        <v>3</v>
      </c>
      <c r="AA225" s="50" t="str">
        <f t="shared" si="14"/>
        <v>2.0-3.5</v>
      </c>
      <c r="AB225" s="29">
        <v>2</v>
      </c>
      <c r="AC225" s="30" t="str">
        <f>VLOOKUP(AB225,Key!$C$20:$D$29,2,FALSE)</f>
        <v>Manual Labour</v>
      </c>
      <c r="AD225" s="29">
        <v>4</v>
      </c>
      <c r="AE225" s="30" t="str">
        <f>VLOOKUP(AD225,Key!$E$20:$F$24,2,FALSE)</f>
        <v>750,000-1,000,000</v>
      </c>
      <c r="AF225" s="29">
        <v>1</v>
      </c>
      <c r="AG225" s="34">
        <v>2</v>
      </c>
      <c r="AH225" s="34">
        <v>5</v>
      </c>
      <c r="AI225" s="34">
        <v>3</v>
      </c>
      <c r="AJ225" s="34">
        <v>4</v>
      </c>
      <c r="AK225" s="35" t="s">
        <v>94</v>
      </c>
      <c r="AL225" s="36">
        <v>1000</v>
      </c>
      <c r="AM225" t="str">
        <f t="shared" si="15"/>
        <v>1000-2000</v>
      </c>
    </row>
    <row r="226" spans="1:39" x14ac:dyDescent="0.2">
      <c r="A226" s="44">
        <v>43764</v>
      </c>
      <c r="B226" s="31">
        <v>0.58194444444444449</v>
      </c>
      <c r="C226" s="31"/>
      <c r="D226" s="31" t="s">
        <v>97</v>
      </c>
      <c r="E226" s="33">
        <v>2</v>
      </c>
      <c r="F226" s="38" t="str">
        <f>VLOOKUP(E226,Key!$A$17:$B$21,2,FALSE)</f>
        <v>Road Vehicle</v>
      </c>
      <c r="G226" s="32">
        <v>4</v>
      </c>
      <c r="H226" s="39" t="str">
        <f>VLOOKUP(G226,Key!$A$2:$B$13,2,FALSE)</f>
        <v>Minibus</v>
      </c>
      <c r="I226" s="33" t="s">
        <v>109</v>
      </c>
      <c r="J226" s="33">
        <v>2</v>
      </c>
      <c r="K226" s="40" t="str">
        <f>VLOOKUP(J226,Key!$A$24:$B$29,2,FALSE)</f>
        <v>30-39</v>
      </c>
      <c r="L226" s="33" t="s">
        <v>151</v>
      </c>
      <c r="M226" s="29" t="s">
        <v>151</v>
      </c>
      <c r="N226" s="33" t="s">
        <v>152</v>
      </c>
      <c r="O226" s="35">
        <v>4</v>
      </c>
      <c r="P226" s="30" t="str">
        <f>VLOOKUP(O226,Key!$E$2:$F$9,2,FALSE)</f>
        <v>Commercial</v>
      </c>
      <c r="Q226" s="33" t="s">
        <v>154</v>
      </c>
      <c r="R226" s="29" t="s">
        <v>157</v>
      </c>
      <c r="S226" s="33" t="s">
        <v>152</v>
      </c>
      <c r="T226" s="29">
        <v>2</v>
      </c>
      <c r="U226" s="30" t="str">
        <f>VLOOKUP(T226,Key!$E$2:$F$9,2,FALSE)</f>
        <v>Work</v>
      </c>
      <c r="V226" s="30" t="str">
        <f t="shared" si="12"/>
        <v>Commercial-Work</v>
      </c>
      <c r="W226" s="29">
        <v>70000</v>
      </c>
      <c r="X226" s="34">
        <v>200</v>
      </c>
      <c r="Y226" s="50" t="str">
        <f t="shared" si="13"/>
        <v>Over 200</v>
      </c>
      <c r="Z226" s="34">
        <v>3</v>
      </c>
      <c r="AA226" s="50" t="str">
        <f t="shared" si="14"/>
        <v>2.0-3.5</v>
      </c>
      <c r="AB226" s="29">
        <v>10</v>
      </c>
      <c r="AC226" s="30" t="str">
        <f>VLOOKUP(AB226,Key!$C$20:$D$29,2,FALSE)</f>
        <v>Other</v>
      </c>
      <c r="AD226" s="29">
        <v>4</v>
      </c>
      <c r="AE226" s="30" t="str">
        <f>VLOOKUP(AD226,Key!$E$20:$F$24,2,FALSE)</f>
        <v>750,000-1,000,000</v>
      </c>
      <c r="AF226" s="29">
        <v>5</v>
      </c>
      <c r="AG226" s="34">
        <v>4</v>
      </c>
      <c r="AH226" s="34">
        <v>3</v>
      </c>
      <c r="AI226" s="34">
        <v>2</v>
      </c>
      <c r="AJ226" s="34">
        <v>1</v>
      </c>
      <c r="AK226" s="35" t="s">
        <v>94</v>
      </c>
      <c r="AL226" s="36">
        <v>2000</v>
      </c>
      <c r="AM226" t="str">
        <f t="shared" si="15"/>
        <v>2000-3000</v>
      </c>
    </row>
    <row r="227" spans="1:39" x14ac:dyDescent="0.2">
      <c r="A227" s="44">
        <v>43764</v>
      </c>
      <c r="B227" s="31">
        <v>0.29722222222222222</v>
      </c>
      <c r="C227" s="31"/>
      <c r="D227" s="31" t="s">
        <v>150</v>
      </c>
      <c r="E227" s="33">
        <v>2</v>
      </c>
      <c r="F227" s="38" t="str">
        <f>VLOOKUP(E227,Key!$A$17:$B$21,2,FALSE)</f>
        <v>Road Vehicle</v>
      </c>
      <c r="G227" s="32">
        <v>4</v>
      </c>
      <c r="H227" s="39" t="str">
        <f>VLOOKUP(G227,Key!$A$2:$B$13,2,FALSE)</f>
        <v>Minibus</v>
      </c>
      <c r="I227" s="33" t="s">
        <v>109</v>
      </c>
      <c r="J227" s="33">
        <v>2</v>
      </c>
      <c r="K227" s="40" t="str">
        <f>VLOOKUP(J227,Key!$A$24:$B$29,2,FALSE)</f>
        <v>30-39</v>
      </c>
      <c r="L227" s="33" t="s">
        <v>151</v>
      </c>
      <c r="M227" s="29" t="s">
        <v>151</v>
      </c>
      <c r="N227" s="33" t="s">
        <v>152</v>
      </c>
      <c r="O227" s="35">
        <v>1</v>
      </c>
      <c r="P227" s="30" t="str">
        <f>VLOOKUP(O227,Key!$E$2:$F$9,2,FALSE)</f>
        <v>Home</v>
      </c>
      <c r="Q227" s="33" t="s">
        <v>153</v>
      </c>
      <c r="R227" s="29" t="s">
        <v>153</v>
      </c>
      <c r="S227" s="33" t="s">
        <v>152</v>
      </c>
      <c r="T227" s="29">
        <v>3</v>
      </c>
      <c r="U227" s="30" t="str">
        <f>VLOOKUP(T227,Key!$E$2:$F$9,2,FALSE)</f>
        <v>Study</v>
      </c>
      <c r="V227" s="30" t="str">
        <f t="shared" si="12"/>
        <v>Home-Study</v>
      </c>
      <c r="W227" s="29">
        <v>15000</v>
      </c>
      <c r="X227" s="34">
        <v>450</v>
      </c>
      <c r="Y227" s="50" t="str">
        <f t="shared" si="13"/>
        <v>Over 200</v>
      </c>
      <c r="Z227" s="34">
        <v>3</v>
      </c>
      <c r="AA227" s="50" t="str">
        <f t="shared" si="14"/>
        <v>2.0-3.5</v>
      </c>
      <c r="AB227" s="29">
        <v>6</v>
      </c>
      <c r="AC227" s="30" t="str">
        <f>VLOOKUP(AB227,Key!$C$20:$D$29,2,FALSE)</f>
        <v>Businessman</v>
      </c>
      <c r="AD227" s="29">
        <v>4</v>
      </c>
      <c r="AE227" s="30" t="str">
        <f>VLOOKUP(AD227,Key!$E$20:$F$24,2,FALSE)</f>
        <v>750,000-1,000,000</v>
      </c>
      <c r="AF227" s="29">
        <v>1</v>
      </c>
      <c r="AG227" s="34">
        <v>2</v>
      </c>
      <c r="AH227" s="34">
        <v>5</v>
      </c>
      <c r="AI227" s="34">
        <v>3</v>
      </c>
      <c r="AJ227" s="34">
        <v>4</v>
      </c>
      <c r="AK227" s="35" t="s">
        <v>94</v>
      </c>
      <c r="AL227" s="36">
        <v>1000</v>
      </c>
      <c r="AM227" t="str">
        <f t="shared" si="15"/>
        <v>1000-2000</v>
      </c>
    </row>
    <row r="228" spans="1:39" x14ac:dyDescent="0.2">
      <c r="A228" s="44">
        <v>43764</v>
      </c>
      <c r="B228" s="31">
        <v>0.63402777777777775</v>
      </c>
      <c r="C228" s="31"/>
      <c r="D228" s="31" t="s">
        <v>97</v>
      </c>
      <c r="E228" s="33">
        <v>2</v>
      </c>
      <c r="F228" s="38" t="str">
        <f>VLOOKUP(E228,Key!$A$17:$B$21,2,FALSE)</f>
        <v>Road Vehicle</v>
      </c>
      <c r="G228" s="32">
        <v>4</v>
      </c>
      <c r="H228" s="39" t="str">
        <f>VLOOKUP(G228,Key!$A$2:$B$13,2,FALSE)</f>
        <v>Minibus</v>
      </c>
      <c r="I228" s="33" t="s">
        <v>109</v>
      </c>
      <c r="J228" s="33">
        <v>2</v>
      </c>
      <c r="K228" s="40" t="str">
        <f>VLOOKUP(J228,Key!$A$24:$B$29,2,FALSE)</f>
        <v>30-39</v>
      </c>
      <c r="L228" s="33" t="s">
        <v>151</v>
      </c>
      <c r="M228" s="29" t="s">
        <v>151</v>
      </c>
      <c r="N228" s="33" t="s">
        <v>152</v>
      </c>
      <c r="O228" s="35">
        <v>2</v>
      </c>
      <c r="P228" s="30" t="str">
        <f>VLOOKUP(O228,Key!$E$2:$F$9,2,FALSE)</f>
        <v>Work</v>
      </c>
      <c r="Q228" s="33" t="s">
        <v>153</v>
      </c>
      <c r="R228" s="29" t="s">
        <v>153</v>
      </c>
      <c r="S228" s="33" t="s">
        <v>152</v>
      </c>
      <c r="T228" s="29">
        <v>1</v>
      </c>
      <c r="U228" s="30" t="str">
        <f>VLOOKUP(T228,Key!$E$2:$F$9,2,FALSE)</f>
        <v>Home</v>
      </c>
      <c r="V228" s="30" t="str">
        <f t="shared" si="12"/>
        <v>Work-Home</v>
      </c>
      <c r="W228" s="29">
        <v>13000</v>
      </c>
      <c r="X228" s="34">
        <v>195</v>
      </c>
      <c r="Y228" s="50" t="str">
        <f t="shared" si="13"/>
        <v>100-200</v>
      </c>
      <c r="Z228" s="34">
        <v>2</v>
      </c>
      <c r="AA228" s="50" t="str">
        <f t="shared" si="14"/>
        <v>2.0-3.5</v>
      </c>
      <c r="AB228" s="29">
        <v>3</v>
      </c>
      <c r="AC228" s="30" t="str">
        <f>VLOOKUP(AB228,Key!$C$20:$D$29,2,FALSE)</f>
        <v>Artisan/Domestic</v>
      </c>
      <c r="AD228" s="29">
        <v>4</v>
      </c>
      <c r="AE228" s="30" t="str">
        <f>VLOOKUP(AD228,Key!$E$20:$F$24,2,FALSE)</f>
        <v>750,000-1,000,000</v>
      </c>
      <c r="AF228" s="29">
        <v>2</v>
      </c>
      <c r="AG228" s="34">
        <v>1</v>
      </c>
      <c r="AH228" s="34">
        <v>5</v>
      </c>
      <c r="AI228" s="34">
        <v>3</v>
      </c>
      <c r="AJ228" s="34">
        <v>4</v>
      </c>
      <c r="AK228" s="35" t="s">
        <v>94</v>
      </c>
      <c r="AL228" s="36">
        <v>4000</v>
      </c>
      <c r="AM228" t="str">
        <f t="shared" si="15"/>
        <v>3000-5000</v>
      </c>
    </row>
    <row r="229" spans="1:39" x14ac:dyDescent="0.2">
      <c r="A229" s="44">
        <v>43764</v>
      </c>
      <c r="B229" s="31">
        <v>0.31666666666666665</v>
      </c>
      <c r="C229" s="31"/>
      <c r="D229" s="31" t="s">
        <v>150</v>
      </c>
      <c r="E229" s="33">
        <v>2</v>
      </c>
      <c r="F229" s="38" t="str">
        <f>VLOOKUP(E229,Key!$A$17:$B$21,2,FALSE)</f>
        <v>Road Vehicle</v>
      </c>
      <c r="G229" s="32">
        <v>4</v>
      </c>
      <c r="H229" s="39" t="str">
        <f>VLOOKUP(G229,Key!$A$2:$B$13,2,FALSE)</f>
        <v>Minibus</v>
      </c>
      <c r="I229" s="33" t="s">
        <v>109</v>
      </c>
      <c r="J229" s="33">
        <v>2</v>
      </c>
      <c r="K229" s="40" t="str">
        <f>VLOOKUP(J229,Key!$A$24:$B$29,2,FALSE)</f>
        <v>30-39</v>
      </c>
      <c r="L229" s="33" t="s">
        <v>151</v>
      </c>
      <c r="M229" s="29" t="s">
        <v>151</v>
      </c>
      <c r="N229" s="33" t="s">
        <v>152</v>
      </c>
      <c r="O229" s="35">
        <v>2</v>
      </c>
      <c r="P229" s="30" t="str">
        <f>VLOOKUP(O229,Key!$E$2:$F$9,2,FALSE)</f>
        <v>Work</v>
      </c>
      <c r="Q229" s="33" t="s">
        <v>201</v>
      </c>
      <c r="R229" s="29" t="s">
        <v>162</v>
      </c>
      <c r="S229" s="33" t="s">
        <v>152</v>
      </c>
      <c r="T229" s="29">
        <v>1</v>
      </c>
      <c r="U229" s="30" t="str">
        <f>VLOOKUP(T229,Key!$E$2:$F$9,2,FALSE)</f>
        <v>Home</v>
      </c>
      <c r="V229" s="30" t="str">
        <f t="shared" si="12"/>
        <v>Work-Home</v>
      </c>
      <c r="W229" s="29">
        <v>15000</v>
      </c>
      <c r="X229" s="34">
        <v>160</v>
      </c>
      <c r="Y229" s="50" t="str">
        <f t="shared" si="13"/>
        <v>100-200</v>
      </c>
      <c r="Z229" s="34">
        <v>2</v>
      </c>
      <c r="AA229" s="50" t="str">
        <f t="shared" si="14"/>
        <v>2.0-3.5</v>
      </c>
      <c r="AB229" s="29">
        <v>7</v>
      </c>
      <c r="AC229" s="30" t="str">
        <f>VLOOKUP(AB229,Key!$C$20:$D$29,2,FALSE)</f>
        <v>Farmer</v>
      </c>
      <c r="AD229" s="29">
        <v>2</v>
      </c>
      <c r="AE229" s="30" t="str">
        <f>VLOOKUP(AD229,Key!$E$20:$F$24,2,FALSE)</f>
        <v>300,000-500,000</v>
      </c>
      <c r="AF229" s="29">
        <v>4</v>
      </c>
      <c r="AG229" s="34">
        <v>3</v>
      </c>
      <c r="AH229" s="34">
        <v>2</v>
      </c>
      <c r="AI229" s="34">
        <v>1</v>
      </c>
      <c r="AJ229" s="34">
        <v>5</v>
      </c>
      <c r="AK229" s="35" t="s">
        <v>94</v>
      </c>
      <c r="AL229" s="36"/>
      <c r="AM229" t="str">
        <f t="shared" si="15"/>
        <v>0-1000</v>
      </c>
    </row>
    <row r="230" spans="1:39" x14ac:dyDescent="0.2">
      <c r="A230" s="44">
        <v>43764</v>
      </c>
      <c r="B230" s="31">
        <v>0.35833333333333334</v>
      </c>
      <c r="C230" s="31"/>
      <c r="D230" s="31" t="s">
        <v>97</v>
      </c>
      <c r="E230" s="33">
        <v>2</v>
      </c>
      <c r="F230" s="38" t="str">
        <f>VLOOKUP(E230,Key!$A$17:$B$21,2,FALSE)</f>
        <v>Road Vehicle</v>
      </c>
      <c r="G230" s="32">
        <v>4</v>
      </c>
      <c r="H230" s="39" t="str">
        <f>VLOOKUP(G230,Key!$A$2:$B$13,2,FALSE)</f>
        <v>Minibus</v>
      </c>
      <c r="I230" s="33" t="s">
        <v>109</v>
      </c>
      <c r="J230" s="33">
        <v>2</v>
      </c>
      <c r="K230" s="40" t="str">
        <f>VLOOKUP(J230,Key!$A$24:$B$29,2,FALSE)</f>
        <v>30-39</v>
      </c>
      <c r="L230" s="33" t="s">
        <v>151</v>
      </c>
      <c r="M230" s="29" t="s">
        <v>151</v>
      </c>
      <c r="N230" s="33" t="s">
        <v>152</v>
      </c>
      <c r="O230" s="35">
        <v>2</v>
      </c>
      <c r="P230" s="30" t="str">
        <f>VLOOKUP(O230,Key!$E$2:$F$9,2,FALSE)</f>
        <v>Work</v>
      </c>
      <c r="Q230" s="33" t="s">
        <v>154</v>
      </c>
      <c r="R230" s="29" t="s">
        <v>157</v>
      </c>
      <c r="S230" s="33" t="s">
        <v>152</v>
      </c>
      <c r="T230" s="29">
        <v>1</v>
      </c>
      <c r="U230" s="30" t="str">
        <f>VLOOKUP(T230,Key!$E$2:$F$9,2,FALSE)</f>
        <v>Home</v>
      </c>
      <c r="V230" s="30" t="str">
        <f t="shared" si="12"/>
        <v>Work-Home</v>
      </c>
      <c r="W230" s="29">
        <v>250000</v>
      </c>
      <c r="X230" s="34">
        <v>114</v>
      </c>
      <c r="Y230" s="50" t="str">
        <f t="shared" si="13"/>
        <v>100-200</v>
      </c>
      <c r="Z230" s="34">
        <v>3</v>
      </c>
      <c r="AA230" s="50" t="str">
        <f t="shared" si="14"/>
        <v>2.0-3.5</v>
      </c>
      <c r="AB230" s="29">
        <v>10</v>
      </c>
      <c r="AC230" s="30" t="str">
        <f>VLOOKUP(AB230,Key!$C$20:$D$29,2,FALSE)</f>
        <v>Other</v>
      </c>
      <c r="AD230" s="29">
        <v>3</v>
      </c>
      <c r="AE230" s="30" t="str">
        <f>VLOOKUP(AD230,Key!$E$20:$F$24,2,FALSE)</f>
        <v>500,000-750,000</v>
      </c>
      <c r="AF230" s="29">
        <v>1</v>
      </c>
      <c r="AG230" s="34">
        <v>2</v>
      </c>
      <c r="AH230" s="34">
        <v>3</v>
      </c>
      <c r="AI230" s="34">
        <v>4</v>
      </c>
      <c r="AJ230" s="34">
        <v>2</v>
      </c>
      <c r="AK230" s="35" t="s">
        <v>94</v>
      </c>
      <c r="AL230" s="36">
        <v>1000</v>
      </c>
      <c r="AM230" t="str">
        <f t="shared" si="15"/>
        <v>1000-2000</v>
      </c>
    </row>
    <row r="231" spans="1:39" x14ac:dyDescent="0.2">
      <c r="A231" s="44">
        <v>43764</v>
      </c>
      <c r="B231" s="31">
        <v>0.35347222222222219</v>
      </c>
      <c r="C231" s="31"/>
      <c r="D231" s="31" t="s">
        <v>150</v>
      </c>
      <c r="E231" s="33">
        <v>2</v>
      </c>
      <c r="F231" s="38" t="str">
        <f>VLOOKUP(E231,Key!$A$17:$B$21,2,FALSE)</f>
        <v>Road Vehicle</v>
      </c>
      <c r="G231" s="32">
        <v>4</v>
      </c>
      <c r="H231" s="39" t="str">
        <f>VLOOKUP(G231,Key!$A$2:$B$13,2,FALSE)</f>
        <v>Minibus</v>
      </c>
      <c r="I231" s="33" t="s">
        <v>109</v>
      </c>
      <c r="J231" s="33">
        <v>2</v>
      </c>
      <c r="K231" s="40" t="str">
        <f>VLOOKUP(J231,Key!$A$24:$B$29,2,FALSE)</f>
        <v>30-39</v>
      </c>
      <c r="L231" s="33" t="s">
        <v>151</v>
      </c>
      <c r="M231" s="29" t="s">
        <v>151</v>
      </c>
      <c r="N231" s="33" t="s">
        <v>152</v>
      </c>
      <c r="O231" s="35">
        <v>3</v>
      </c>
      <c r="P231" s="30" t="str">
        <f>VLOOKUP(O231,Key!$E$2:$F$9,2,FALSE)</f>
        <v>Study</v>
      </c>
      <c r="Q231" s="33" t="s">
        <v>154</v>
      </c>
      <c r="R231" s="29" t="s">
        <v>157</v>
      </c>
      <c r="S231" s="33" t="s">
        <v>152</v>
      </c>
      <c r="T231" s="29">
        <v>1</v>
      </c>
      <c r="U231" s="30" t="str">
        <f>VLOOKUP(T231,Key!$E$2:$F$9,2,FALSE)</f>
        <v>Home</v>
      </c>
      <c r="V231" s="30" t="str">
        <f t="shared" si="12"/>
        <v>Study-Home</v>
      </c>
      <c r="W231" s="29">
        <v>150000</v>
      </c>
      <c r="X231" s="34">
        <v>110</v>
      </c>
      <c r="Y231" s="50" t="str">
        <f t="shared" si="13"/>
        <v>100-200</v>
      </c>
      <c r="Z231" s="34">
        <v>2</v>
      </c>
      <c r="AA231" s="50" t="str">
        <f t="shared" si="14"/>
        <v>2.0-3.5</v>
      </c>
      <c r="AB231" s="29">
        <v>6</v>
      </c>
      <c r="AC231" s="30" t="str">
        <f>VLOOKUP(AB231,Key!$C$20:$D$29,2,FALSE)</f>
        <v>Businessman</v>
      </c>
      <c r="AD231" s="29">
        <v>2</v>
      </c>
      <c r="AE231" s="30" t="str">
        <f>VLOOKUP(AD231,Key!$E$20:$F$24,2,FALSE)</f>
        <v>300,000-500,000</v>
      </c>
      <c r="AF231" s="29">
        <v>1</v>
      </c>
      <c r="AG231" s="34">
        <v>2</v>
      </c>
      <c r="AH231" s="34">
        <v>5</v>
      </c>
      <c r="AI231" s="34">
        <v>1</v>
      </c>
      <c r="AJ231" s="34">
        <v>3</v>
      </c>
      <c r="AK231" s="35" t="s">
        <v>94</v>
      </c>
      <c r="AL231" s="36"/>
      <c r="AM231" t="str">
        <f t="shared" si="15"/>
        <v>0-1000</v>
      </c>
    </row>
    <row r="232" spans="1:39" x14ac:dyDescent="0.2">
      <c r="A232" s="44">
        <v>43764</v>
      </c>
      <c r="B232" s="31">
        <v>0.71944444444444444</v>
      </c>
      <c r="C232" s="31"/>
      <c r="D232" s="31" t="s">
        <v>150</v>
      </c>
      <c r="E232" s="33">
        <v>2</v>
      </c>
      <c r="F232" s="38" t="str">
        <f>VLOOKUP(E232,Key!$A$17:$B$21,2,FALSE)</f>
        <v>Road Vehicle</v>
      </c>
      <c r="G232" s="32">
        <v>4</v>
      </c>
      <c r="H232" s="39" t="str">
        <f>VLOOKUP(G232,Key!$A$2:$B$13,2,FALSE)</f>
        <v>Minibus</v>
      </c>
      <c r="I232" s="33" t="s">
        <v>109</v>
      </c>
      <c r="J232" s="33">
        <v>2</v>
      </c>
      <c r="K232" s="40" t="str">
        <f>VLOOKUP(J232,Key!$A$24:$B$29,2,FALSE)</f>
        <v>30-39</v>
      </c>
      <c r="L232" s="33" t="s">
        <v>151</v>
      </c>
      <c r="M232" s="29" t="s">
        <v>151</v>
      </c>
      <c r="N232" s="33" t="s">
        <v>152</v>
      </c>
      <c r="O232" s="35">
        <v>4</v>
      </c>
      <c r="P232" s="30" t="str">
        <f>VLOOKUP(O232,Key!$E$2:$F$9,2,FALSE)</f>
        <v>Commercial</v>
      </c>
      <c r="Q232" s="33" t="s">
        <v>153</v>
      </c>
      <c r="R232" s="29" t="s">
        <v>153</v>
      </c>
      <c r="S232" s="33" t="s">
        <v>152</v>
      </c>
      <c r="T232" s="29">
        <v>1</v>
      </c>
      <c r="U232" s="30" t="str">
        <f>VLOOKUP(T232,Key!$E$2:$F$9,2,FALSE)</f>
        <v>Home</v>
      </c>
      <c r="V232" s="30" t="str">
        <f t="shared" si="12"/>
        <v>Commercial-Home</v>
      </c>
      <c r="W232" s="29">
        <v>150000</v>
      </c>
      <c r="X232" s="34">
        <v>210</v>
      </c>
      <c r="Y232" s="50" t="str">
        <f t="shared" si="13"/>
        <v>Over 200</v>
      </c>
      <c r="Z232" s="34">
        <v>4</v>
      </c>
      <c r="AA232" s="50" t="str">
        <f t="shared" si="14"/>
        <v>Over 3.5</v>
      </c>
      <c r="AB232" s="29">
        <v>6</v>
      </c>
      <c r="AC232" s="30" t="str">
        <f>VLOOKUP(AB232,Key!$C$20:$D$29,2,FALSE)</f>
        <v>Businessman</v>
      </c>
      <c r="AD232" s="29">
        <v>1</v>
      </c>
      <c r="AE232" s="30" t="str">
        <f>VLOOKUP(AD232,Key!$E$20:$F$24,2,FALSE)</f>
        <v>&lt;300,000</v>
      </c>
      <c r="AF232" s="29">
        <v>1</v>
      </c>
      <c r="AG232" s="34">
        <v>1</v>
      </c>
      <c r="AH232" s="34">
        <v>1</v>
      </c>
      <c r="AI232" s="34">
        <v>1</v>
      </c>
      <c r="AJ232" s="34">
        <v>1</v>
      </c>
      <c r="AK232" s="35" t="s">
        <v>94</v>
      </c>
      <c r="AL232" s="36">
        <v>2500</v>
      </c>
      <c r="AM232" t="str">
        <f t="shared" si="15"/>
        <v>2000-3000</v>
      </c>
    </row>
    <row r="233" spans="1:39" x14ac:dyDescent="0.2">
      <c r="A233" s="44">
        <v>43764</v>
      </c>
      <c r="B233" s="31">
        <v>0.67361111111111116</v>
      </c>
      <c r="C233" s="31"/>
      <c r="D233" s="31" t="s">
        <v>97</v>
      </c>
      <c r="E233" s="33">
        <v>2</v>
      </c>
      <c r="F233" s="38" t="str">
        <f>VLOOKUP(E233,Key!$A$17:$B$21,2,FALSE)</f>
        <v>Road Vehicle</v>
      </c>
      <c r="G233" s="32">
        <v>4</v>
      </c>
      <c r="H233" s="39" t="str">
        <f>VLOOKUP(G233,Key!$A$2:$B$13,2,FALSE)</f>
        <v>Minibus</v>
      </c>
      <c r="I233" s="33" t="s">
        <v>109</v>
      </c>
      <c r="J233" s="33">
        <v>2</v>
      </c>
      <c r="K233" s="40" t="str">
        <f>VLOOKUP(J233,Key!$A$24:$B$29,2,FALSE)</f>
        <v>30-39</v>
      </c>
      <c r="L233" s="33" t="s">
        <v>151</v>
      </c>
      <c r="M233" s="29" t="s">
        <v>151</v>
      </c>
      <c r="N233" s="33" t="s">
        <v>152</v>
      </c>
      <c r="O233" s="35">
        <v>8</v>
      </c>
      <c r="P233" s="30" t="str">
        <f>VLOOKUP(O233,Key!$E$2:$F$9,2,FALSE)</f>
        <v>Others</v>
      </c>
      <c r="Q233" s="33" t="s">
        <v>153</v>
      </c>
      <c r="R233" s="29" t="s">
        <v>153</v>
      </c>
      <c r="S233" s="33" t="s">
        <v>152</v>
      </c>
      <c r="T233" s="29">
        <v>2</v>
      </c>
      <c r="U233" s="30" t="str">
        <f>VLOOKUP(T233,Key!$E$2:$F$9,2,FALSE)</f>
        <v>Work</v>
      </c>
      <c r="V233" s="30" t="str">
        <f t="shared" si="12"/>
        <v>Others-Work</v>
      </c>
      <c r="W233" s="29">
        <v>150000</v>
      </c>
      <c r="X233" s="34">
        <v>180</v>
      </c>
      <c r="Y233" s="50" t="str">
        <f t="shared" si="13"/>
        <v>100-200</v>
      </c>
      <c r="Z233" s="34">
        <v>4</v>
      </c>
      <c r="AA233" s="50" t="str">
        <f t="shared" si="14"/>
        <v>Over 3.5</v>
      </c>
      <c r="AB233" s="29">
        <v>5</v>
      </c>
      <c r="AC233" s="30" t="str">
        <f>VLOOKUP(AB233,Key!$C$20:$D$29,2,FALSE)</f>
        <v>Professional</v>
      </c>
      <c r="AD233" s="29">
        <v>4</v>
      </c>
      <c r="AE233" s="30" t="str">
        <f>VLOOKUP(AD233,Key!$E$20:$F$24,2,FALSE)</f>
        <v>750,000-1,000,000</v>
      </c>
      <c r="AF233" s="29">
        <v>2</v>
      </c>
      <c r="AG233" s="34">
        <v>5</v>
      </c>
      <c r="AH233" s="34">
        <v>1</v>
      </c>
      <c r="AI233" s="34">
        <v>3</v>
      </c>
      <c r="AJ233" s="34">
        <v>4</v>
      </c>
      <c r="AK233" s="35" t="s">
        <v>94</v>
      </c>
      <c r="AL233" s="36">
        <v>3000</v>
      </c>
      <c r="AM233" t="str">
        <f t="shared" si="15"/>
        <v>3000-5000</v>
      </c>
    </row>
    <row r="234" spans="1:39" x14ac:dyDescent="0.2">
      <c r="A234" s="44">
        <v>43764</v>
      </c>
      <c r="B234" s="31">
        <v>0.66666666666666663</v>
      </c>
      <c r="C234" s="31"/>
      <c r="D234" s="31" t="s">
        <v>97</v>
      </c>
      <c r="E234" s="33">
        <v>2</v>
      </c>
      <c r="F234" s="38" t="str">
        <f>VLOOKUP(E234,Key!$A$17:$B$21,2,FALSE)</f>
        <v>Road Vehicle</v>
      </c>
      <c r="G234" s="32">
        <v>4</v>
      </c>
      <c r="H234" s="39" t="str">
        <f>VLOOKUP(G234,Key!$A$2:$B$13,2,FALSE)</f>
        <v>Minibus</v>
      </c>
      <c r="I234" s="33" t="s">
        <v>109</v>
      </c>
      <c r="J234" s="33">
        <v>2</v>
      </c>
      <c r="K234" s="40" t="str">
        <f>VLOOKUP(J234,Key!$A$24:$B$29,2,FALSE)</f>
        <v>30-39</v>
      </c>
      <c r="L234" s="33" t="s">
        <v>151</v>
      </c>
      <c r="M234" s="29" t="s">
        <v>151</v>
      </c>
      <c r="N234" s="33" t="s">
        <v>152</v>
      </c>
      <c r="O234" s="35">
        <v>2</v>
      </c>
      <c r="P234" s="30" t="str">
        <f>VLOOKUP(O234,Key!$E$2:$F$9,2,FALSE)</f>
        <v>Work</v>
      </c>
      <c r="Q234" s="33" t="s">
        <v>153</v>
      </c>
      <c r="R234" s="29" t="s">
        <v>153</v>
      </c>
      <c r="S234" s="33" t="s">
        <v>152</v>
      </c>
      <c r="T234" s="29">
        <v>2</v>
      </c>
      <c r="U234" s="30" t="str">
        <f>VLOOKUP(T234,Key!$E$2:$F$9,2,FALSE)</f>
        <v>Work</v>
      </c>
      <c r="V234" s="30" t="str">
        <f t="shared" si="12"/>
        <v>Work-Work</v>
      </c>
      <c r="W234" s="29">
        <v>250000</v>
      </c>
      <c r="X234" s="34">
        <v>210</v>
      </c>
      <c r="Y234" s="50" t="str">
        <f t="shared" si="13"/>
        <v>Over 200</v>
      </c>
      <c r="Z234" s="34">
        <v>3</v>
      </c>
      <c r="AA234" s="50" t="str">
        <f t="shared" si="14"/>
        <v>2.0-3.5</v>
      </c>
      <c r="AB234" s="29">
        <v>10</v>
      </c>
      <c r="AC234" s="30" t="str">
        <f>VLOOKUP(AB234,Key!$C$20:$D$29,2,FALSE)</f>
        <v>Other</v>
      </c>
      <c r="AD234" s="29">
        <v>2</v>
      </c>
      <c r="AE234" s="30" t="str">
        <f>VLOOKUP(AD234,Key!$E$20:$F$24,2,FALSE)</f>
        <v>300,000-500,000</v>
      </c>
      <c r="AF234" s="29">
        <v>3</v>
      </c>
      <c r="AG234" s="34">
        <v>1</v>
      </c>
      <c r="AH234" s="34">
        <v>5</v>
      </c>
      <c r="AI234" s="34">
        <v>4</v>
      </c>
      <c r="AJ234" s="34">
        <v>3</v>
      </c>
      <c r="AK234" s="35" t="s">
        <v>94</v>
      </c>
      <c r="AL234" s="36">
        <v>4000</v>
      </c>
      <c r="AM234" t="str">
        <f t="shared" si="15"/>
        <v>3000-5000</v>
      </c>
    </row>
    <row r="235" spans="1:39" x14ac:dyDescent="0.2">
      <c r="A235" s="44">
        <v>43764</v>
      </c>
      <c r="B235" s="31">
        <v>0.4284722222222222</v>
      </c>
      <c r="C235" s="31"/>
      <c r="D235" s="31" t="s">
        <v>150</v>
      </c>
      <c r="E235" s="33">
        <v>2</v>
      </c>
      <c r="F235" s="38" t="str">
        <f>VLOOKUP(E235,Key!$A$17:$B$21,2,FALSE)</f>
        <v>Road Vehicle</v>
      </c>
      <c r="G235" s="32">
        <v>4</v>
      </c>
      <c r="H235" s="39" t="str">
        <f>VLOOKUP(G235,Key!$A$2:$B$13,2,FALSE)</f>
        <v>Minibus</v>
      </c>
      <c r="I235" s="33" t="s">
        <v>109</v>
      </c>
      <c r="J235" s="33">
        <v>2</v>
      </c>
      <c r="K235" s="40" t="str">
        <f>VLOOKUP(J235,Key!$A$24:$B$29,2,FALSE)</f>
        <v>30-39</v>
      </c>
      <c r="L235" s="33" t="s">
        <v>151</v>
      </c>
      <c r="M235" s="29" t="s">
        <v>151</v>
      </c>
      <c r="N235" s="33" t="s">
        <v>152</v>
      </c>
      <c r="O235" s="35">
        <v>2</v>
      </c>
      <c r="P235" s="30" t="str">
        <f>VLOOKUP(O235,Key!$E$2:$F$9,2,FALSE)</f>
        <v>Work</v>
      </c>
      <c r="Q235" s="33" t="s">
        <v>163</v>
      </c>
      <c r="R235" s="29" t="s">
        <v>163</v>
      </c>
      <c r="S235" s="33" t="s">
        <v>152</v>
      </c>
      <c r="T235" s="29">
        <v>1</v>
      </c>
      <c r="U235" s="30" t="str">
        <f>VLOOKUP(T235,Key!$E$2:$F$9,2,FALSE)</f>
        <v>Home</v>
      </c>
      <c r="V235" s="30" t="str">
        <f t="shared" si="12"/>
        <v>Work-Home</v>
      </c>
      <c r="W235" s="29">
        <v>350000</v>
      </c>
      <c r="X235" s="34">
        <v>390</v>
      </c>
      <c r="Y235" s="50" t="str">
        <f t="shared" si="13"/>
        <v>Over 200</v>
      </c>
      <c r="Z235" s="34">
        <v>8</v>
      </c>
      <c r="AA235" s="50" t="str">
        <f t="shared" si="14"/>
        <v>Over 3.5</v>
      </c>
      <c r="AB235" s="29">
        <v>4</v>
      </c>
      <c r="AC235" s="30" t="str">
        <f>VLOOKUP(AB235,Key!$C$20:$D$29,2,FALSE)</f>
        <v>Office Worker</v>
      </c>
      <c r="AD235" s="29">
        <v>3</v>
      </c>
      <c r="AE235" s="30" t="str">
        <f>VLOOKUP(AD235,Key!$E$20:$F$24,2,FALSE)</f>
        <v>500,000-750,000</v>
      </c>
      <c r="AF235" s="29">
        <v>3</v>
      </c>
      <c r="AG235" s="34">
        <v>4</v>
      </c>
      <c r="AH235" s="34">
        <v>5</v>
      </c>
      <c r="AI235" s="34">
        <v>2</v>
      </c>
      <c r="AJ235" s="34">
        <v>1</v>
      </c>
      <c r="AK235" s="35" t="s">
        <v>94</v>
      </c>
      <c r="AL235" s="36">
        <v>3000</v>
      </c>
      <c r="AM235" t="str">
        <f t="shared" si="15"/>
        <v>3000-5000</v>
      </c>
    </row>
    <row r="236" spans="1:39" x14ac:dyDescent="0.2">
      <c r="A236" s="44">
        <v>43764</v>
      </c>
      <c r="B236" s="31">
        <v>0.42222222222222222</v>
      </c>
      <c r="C236" s="31"/>
      <c r="D236" s="31" t="s">
        <v>97</v>
      </c>
      <c r="E236" s="33">
        <v>2</v>
      </c>
      <c r="F236" s="38" t="str">
        <f>VLOOKUP(E236,Key!$A$17:$B$21,2,FALSE)</f>
        <v>Road Vehicle</v>
      </c>
      <c r="G236" s="32">
        <v>4</v>
      </c>
      <c r="H236" s="39" t="str">
        <f>VLOOKUP(G236,Key!$A$2:$B$13,2,FALSE)</f>
        <v>Minibus</v>
      </c>
      <c r="I236" s="33" t="s">
        <v>109</v>
      </c>
      <c r="J236" s="33">
        <v>2</v>
      </c>
      <c r="K236" s="40" t="str">
        <f>VLOOKUP(J236,Key!$A$24:$B$29,2,FALSE)</f>
        <v>30-39</v>
      </c>
      <c r="L236" s="33" t="s">
        <v>151</v>
      </c>
      <c r="M236" s="29" t="s">
        <v>151</v>
      </c>
      <c r="N236" s="33" t="s">
        <v>152</v>
      </c>
      <c r="O236" s="35">
        <v>4</v>
      </c>
      <c r="P236" s="30" t="str">
        <f>VLOOKUP(O236,Key!$E$2:$F$9,2,FALSE)</f>
        <v>Commercial</v>
      </c>
      <c r="Q236" s="33" t="s">
        <v>163</v>
      </c>
      <c r="R236" s="29" t="s">
        <v>163</v>
      </c>
      <c r="S236" s="33" t="s">
        <v>152</v>
      </c>
      <c r="T236" s="29">
        <v>1</v>
      </c>
      <c r="U236" s="30" t="str">
        <f>VLOOKUP(T236,Key!$E$2:$F$9,2,FALSE)</f>
        <v>Home</v>
      </c>
      <c r="V236" s="30" t="str">
        <f t="shared" si="12"/>
        <v>Commercial-Home</v>
      </c>
      <c r="W236" s="29">
        <v>700000</v>
      </c>
      <c r="X236" s="34">
        <v>390</v>
      </c>
      <c r="Y236" s="50" t="str">
        <f t="shared" si="13"/>
        <v>Over 200</v>
      </c>
      <c r="Z236" s="34">
        <v>8</v>
      </c>
      <c r="AA236" s="50" t="str">
        <f t="shared" si="14"/>
        <v>Over 3.5</v>
      </c>
      <c r="AB236" s="29">
        <v>10</v>
      </c>
      <c r="AC236" s="30" t="str">
        <f>VLOOKUP(AB236,Key!$C$20:$D$29,2,FALSE)</f>
        <v>Other</v>
      </c>
      <c r="AD236" s="29">
        <v>4</v>
      </c>
      <c r="AE236" s="30" t="str">
        <f>VLOOKUP(AD236,Key!$E$20:$F$24,2,FALSE)</f>
        <v>750,000-1,000,000</v>
      </c>
      <c r="AF236" s="29">
        <v>2</v>
      </c>
      <c r="AG236" s="34">
        <v>1</v>
      </c>
      <c r="AH236" s="34">
        <v>5</v>
      </c>
      <c r="AI236" s="34">
        <v>4</v>
      </c>
      <c r="AJ236" s="34">
        <v>3</v>
      </c>
      <c r="AK236" s="35" t="s">
        <v>94</v>
      </c>
      <c r="AL236" s="36">
        <v>5000</v>
      </c>
      <c r="AM236" t="str">
        <f t="shared" si="15"/>
        <v>5000-10000</v>
      </c>
    </row>
    <row r="237" spans="1:39" x14ac:dyDescent="0.2">
      <c r="A237" s="44">
        <v>43764</v>
      </c>
      <c r="B237" s="31">
        <v>0.41180555555555554</v>
      </c>
      <c r="C237" s="31"/>
      <c r="D237" s="31" t="s">
        <v>97</v>
      </c>
      <c r="E237" s="33">
        <v>2</v>
      </c>
      <c r="F237" s="38" t="str">
        <f>VLOOKUP(E237,Key!$A$17:$B$21,2,FALSE)</f>
        <v>Road Vehicle</v>
      </c>
      <c r="G237" s="32">
        <v>4</v>
      </c>
      <c r="H237" s="39" t="str">
        <f>VLOOKUP(G237,Key!$A$2:$B$13,2,FALSE)</f>
        <v>Minibus</v>
      </c>
      <c r="I237" s="33" t="s">
        <v>109</v>
      </c>
      <c r="J237" s="33">
        <v>2</v>
      </c>
      <c r="K237" s="40" t="str">
        <f>VLOOKUP(J237,Key!$A$24:$B$29,2,FALSE)</f>
        <v>30-39</v>
      </c>
      <c r="L237" s="33" t="s">
        <v>151</v>
      </c>
      <c r="M237" s="29" t="s">
        <v>151</v>
      </c>
      <c r="N237" s="33" t="s">
        <v>152</v>
      </c>
      <c r="O237" s="35">
        <v>2</v>
      </c>
      <c r="P237" s="30" t="str">
        <f>VLOOKUP(O237,Key!$E$2:$F$9,2,FALSE)</f>
        <v>Work</v>
      </c>
      <c r="Q237" s="33" t="s">
        <v>153</v>
      </c>
      <c r="R237" s="29" t="s">
        <v>153</v>
      </c>
      <c r="S237" s="33" t="s">
        <v>152</v>
      </c>
      <c r="T237" s="29">
        <v>1</v>
      </c>
      <c r="U237" s="30" t="str">
        <f>VLOOKUP(T237,Key!$E$2:$F$9,2,FALSE)</f>
        <v>Home</v>
      </c>
      <c r="V237" s="30" t="str">
        <f t="shared" si="12"/>
        <v>Work-Home</v>
      </c>
      <c r="W237" s="29">
        <v>200000</v>
      </c>
      <c r="X237" s="34">
        <v>200</v>
      </c>
      <c r="Y237" s="50" t="str">
        <f t="shared" si="13"/>
        <v>Over 200</v>
      </c>
      <c r="Z237" s="34">
        <v>4</v>
      </c>
      <c r="AA237" s="50" t="str">
        <f t="shared" si="14"/>
        <v>Over 3.5</v>
      </c>
      <c r="AB237" s="29">
        <v>10</v>
      </c>
      <c r="AC237" s="30" t="str">
        <f>VLOOKUP(AB237,Key!$C$20:$D$29,2,FALSE)</f>
        <v>Other</v>
      </c>
      <c r="AD237" s="29">
        <v>3</v>
      </c>
      <c r="AE237" s="30" t="str">
        <f>VLOOKUP(AD237,Key!$E$20:$F$24,2,FALSE)</f>
        <v>500,000-750,000</v>
      </c>
      <c r="AF237" s="29">
        <v>5</v>
      </c>
      <c r="AG237" s="34">
        <v>1</v>
      </c>
      <c r="AH237" s="34">
        <v>2</v>
      </c>
      <c r="AI237" s="34">
        <v>4</v>
      </c>
      <c r="AJ237" s="34">
        <v>3</v>
      </c>
      <c r="AK237" s="35" t="s">
        <v>94</v>
      </c>
      <c r="AL237" s="36">
        <v>1000</v>
      </c>
      <c r="AM237" t="str">
        <f t="shared" si="15"/>
        <v>1000-2000</v>
      </c>
    </row>
    <row r="238" spans="1:39" x14ac:dyDescent="0.2">
      <c r="A238" s="44">
        <v>43764</v>
      </c>
      <c r="B238" s="31">
        <v>0.40486111111111112</v>
      </c>
      <c r="C238" s="31"/>
      <c r="D238" s="31" t="s">
        <v>97</v>
      </c>
      <c r="E238" s="33">
        <v>2</v>
      </c>
      <c r="F238" s="38" t="str">
        <f>VLOOKUP(E238,Key!$A$17:$B$21,2,FALSE)</f>
        <v>Road Vehicle</v>
      </c>
      <c r="G238" s="32">
        <v>4</v>
      </c>
      <c r="H238" s="39" t="str">
        <f>VLOOKUP(G238,Key!$A$2:$B$13,2,FALSE)</f>
        <v>Minibus</v>
      </c>
      <c r="I238" s="33" t="s">
        <v>109</v>
      </c>
      <c r="J238" s="33">
        <v>2</v>
      </c>
      <c r="K238" s="40" t="str">
        <f>VLOOKUP(J238,Key!$A$24:$B$29,2,FALSE)</f>
        <v>30-39</v>
      </c>
      <c r="L238" s="33" t="s">
        <v>151</v>
      </c>
      <c r="M238" s="29" t="s">
        <v>151</v>
      </c>
      <c r="N238" s="33" t="s">
        <v>152</v>
      </c>
      <c r="O238" s="35">
        <v>2</v>
      </c>
      <c r="P238" s="30" t="str">
        <f>VLOOKUP(O238,Key!$E$2:$F$9,2,FALSE)</f>
        <v>Work</v>
      </c>
      <c r="Q238" s="33" t="s">
        <v>201</v>
      </c>
      <c r="R238" s="29" t="s">
        <v>162</v>
      </c>
      <c r="S238" s="33" t="s">
        <v>152</v>
      </c>
      <c r="T238" s="29">
        <v>2</v>
      </c>
      <c r="U238" s="30" t="str">
        <f>VLOOKUP(T238,Key!$E$2:$F$9,2,FALSE)</f>
        <v>Work</v>
      </c>
      <c r="V238" s="30" t="str">
        <f t="shared" si="12"/>
        <v>Work-Work</v>
      </c>
      <c r="W238" s="29">
        <v>200000</v>
      </c>
      <c r="X238" s="34">
        <v>80</v>
      </c>
      <c r="Y238" s="50" t="str">
        <f t="shared" si="13"/>
        <v>70-100</v>
      </c>
      <c r="Z238" s="34">
        <v>3</v>
      </c>
      <c r="AA238" s="50" t="str">
        <f t="shared" si="14"/>
        <v>2.0-3.5</v>
      </c>
      <c r="AB238" s="29">
        <v>10</v>
      </c>
      <c r="AC238" s="30" t="str">
        <f>VLOOKUP(AB238,Key!$C$20:$D$29,2,FALSE)</f>
        <v>Other</v>
      </c>
      <c r="AD238" s="29">
        <v>2</v>
      </c>
      <c r="AE238" s="30" t="str">
        <f>VLOOKUP(AD238,Key!$E$20:$F$24,2,FALSE)</f>
        <v>300,000-500,000</v>
      </c>
      <c r="AF238" s="29">
        <v>1</v>
      </c>
      <c r="AG238" s="34">
        <v>2</v>
      </c>
      <c r="AH238" s="34">
        <v>5</v>
      </c>
      <c r="AI238" s="34">
        <v>4</v>
      </c>
      <c r="AJ238" s="34">
        <v>3</v>
      </c>
      <c r="AK238" s="35" t="s">
        <v>94</v>
      </c>
      <c r="AL238" s="36">
        <v>2000</v>
      </c>
      <c r="AM238" t="str">
        <f t="shared" si="15"/>
        <v>2000-3000</v>
      </c>
    </row>
    <row r="239" spans="1:39" x14ac:dyDescent="0.2">
      <c r="A239" s="44">
        <v>43764</v>
      </c>
      <c r="B239" s="31">
        <v>0.39444444444444443</v>
      </c>
      <c r="C239" s="31"/>
      <c r="D239" s="31" t="s">
        <v>97</v>
      </c>
      <c r="E239" s="33">
        <v>2</v>
      </c>
      <c r="F239" s="38" t="str">
        <f>VLOOKUP(E239,Key!$A$17:$B$21,2,FALSE)</f>
        <v>Road Vehicle</v>
      </c>
      <c r="G239" s="32">
        <v>4</v>
      </c>
      <c r="H239" s="39" t="str">
        <f>VLOOKUP(G239,Key!$A$2:$B$13,2,FALSE)</f>
        <v>Minibus</v>
      </c>
      <c r="I239" s="33" t="s">
        <v>109</v>
      </c>
      <c r="J239" s="33">
        <v>2</v>
      </c>
      <c r="K239" s="40" t="str">
        <f>VLOOKUP(J239,Key!$A$24:$B$29,2,FALSE)</f>
        <v>30-39</v>
      </c>
      <c r="L239" s="33" t="s">
        <v>151</v>
      </c>
      <c r="M239" s="29" t="s">
        <v>151</v>
      </c>
      <c r="N239" s="33" t="s">
        <v>152</v>
      </c>
      <c r="O239" s="35">
        <v>1</v>
      </c>
      <c r="P239" s="30" t="str">
        <f>VLOOKUP(O239,Key!$E$2:$F$9,2,FALSE)</f>
        <v>Home</v>
      </c>
      <c r="Q239" s="33" t="s">
        <v>213</v>
      </c>
      <c r="R239" s="29" t="s">
        <v>160</v>
      </c>
      <c r="S239" s="33" t="s">
        <v>152</v>
      </c>
      <c r="T239" s="29">
        <v>2</v>
      </c>
      <c r="U239" s="30" t="str">
        <f>VLOOKUP(T239,Key!$E$2:$F$9,2,FALSE)</f>
        <v>Work</v>
      </c>
      <c r="V239" s="30" t="str">
        <f t="shared" si="12"/>
        <v>Home-Work</v>
      </c>
      <c r="W239" s="29">
        <v>190000</v>
      </c>
      <c r="X239" s="34">
        <v>73</v>
      </c>
      <c r="Y239" s="50" t="str">
        <f t="shared" si="13"/>
        <v>70-100</v>
      </c>
      <c r="Z239" s="34">
        <v>2</v>
      </c>
      <c r="AA239" s="50" t="str">
        <f t="shared" si="14"/>
        <v>2.0-3.5</v>
      </c>
      <c r="AB239" s="29">
        <v>10</v>
      </c>
      <c r="AC239" s="30" t="str">
        <f>VLOOKUP(AB239,Key!$C$20:$D$29,2,FALSE)</f>
        <v>Other</v>
      </c>
      <c r="AD239" s="29">
        <v>3</v>
      </c>
      <c r="AE239" s="30" t="str">
        <f>VLOOKUP(AD239,Key!$E$20:$F$24,2,FALSE)</f>
        <v>500,000-750,000</v>
      </c>
      <c r="AF239" s="29">
        <v>5</v>
      </c>
      <c r="AG239" s="34">
        <v>1</v>
      </c>
      <c r="AH239" s="34">
        <v>2</v>
      </c>
      <c r="AI239" s="34">
        <v>3</v>
      </c>
      <c r="AJ239" s="34">
        <v>2</v>
      </c>
      <c r="AK239" s="35" t="s">
        <v>94</v>
      </c>
      <c r="AL239" s="36"/>
      <c r="AM239" t="str">
        <f t="shared" si="15"/>
        <v>0-1000</v>
      </c>
    </row>
    <row r="240" spans="1:39" x14ac:dyDescent="0.2">
      <c r="A240" s="44">
        <v>43764</v>
      </c>
      <c r="B240" s="31">
        <v>0.39583333333333331</v>
      </c>
      <c r="C240" s="31"/>
      <c r="D240" s="31" t="s">
        <v>97</v>
      </c>
      <c r="E240" s="33">
        <v>2</v>
      </c>
      <c r="F240" s="38" t="str">
        <f>VLOOKUP(E240,Key!$A$17:$B$21,2,FALSE)</f>
        <v>Road Vehicle</v>
      </c>
      <c r="G240" s="32">
        <v>4</v>
      </c>
      <c r="H240" s="39" t="str">
        <f>VLOOKUP(G240,Key!$A$2:$B$13,2,FALSE)</f>
        <v>Minibus</v>
      </c>
      <c r="I240" s="33" t="s">
        <v>109</v>
      </c>
      <c r="J240" s="33">
        <v>2</v>
      </c>
      <c r="K240" s="40" t="str">
        <f>VLOOKUP(J240,Key!$A$24:$B$29,2,FALSE)</f>
        <v>30-39</v>
      </c>
      <c r="L240" s="33" t="s">
        <v>151</v>
      </c>
      <c r="M240" s="29" t="s">
        <v>151</v>
      </c>
      <c r="N240" s="33" t="s">
        <v>152</v>
      </c>
      <c r="O240" s="35">
        <v>2</v>
      </c>
      <c r="P240" s="30" t="str">
        <f>VLOOKUP(O240,Key!$E$2:$F$9,2,FALSE)</f>
        <v>Work</v>
      </c>
      <c r="Q240" s="33" t="s">
        <v>153</v>
      </c>
      <c r="R240" s="29" t="s">
        <v>153</v>
      </c>
      <c r="S240" s="33" t="s">
        <v>152</v>
      </c>
      <c r="T240" s="29">
        <v>2</v>
      </c>
      <c r="U240" s="30" t="str">
        <f>VLOOKUP(T240,Key!$E$2:$F$9,2,FALSE)</f>
        <v>Work</v>
      </c>
      <c r="V240" s="30" t="str">
        <f t="shared" si="12"/>
        <v>Work-Work</v>
      </c>
      <c r="W240" s="29">
        <v>13000</v>
      </c>
      <c r="X240" s="34">
        <v>190</v>
      </c>
      <c r="Y240" s="50" t="str">
        <f t="shared" si="13"/>
        <v>100-200</v>
      </c>
      <c r="Z240" s="34">
        <v>3</v>
      </c>
      <c r="AA240" s="50" t="str">
        <f t="shared" si="14"/>
        <v>2.0-3.5</v>
      </c>
      <c r="AB240" s="29">
        <v>5</v>
      </c>
      <c r="AC240" s="30" t="str">
        <f>VLOOKUP(AB240,Key!$C$20:$D$29,2,FALSE)</f>
        <v>Professional</v>
      </c>
      <c r="AD240" s="29">
        <v>4</v>
      </c>
      <c r="AE240" s="30" t="str">
        <f>VLOOKUP(AD240,Key!$E$20:$F$24,2,FALSE)</f>
        <v>750,000-1,000,000</v>
      </c>
      <c r="AF240" s="29">
        <v>1</v>
      </c>
      <c r="AG240" s="34">
        <v>2</v>
      </c>
      <c r="AH240" s="34">
        <v>3</v>
      </c>
      <c r="AI240" s="34">
        <v>5</v>
      </c>
      <c r="AJ240" s="34">
        <v>4</v>
      </c>
      <c r="AK240" s="35" t="s">
        <v>94</v>
      </c>
      <c r="AL240" s="36">
        <v>5000</v>
      </c>
      <c r="AM240" t="str">
        <f t="shared" si="15"/>
        <v>5000-10000</v>
      </c>
    </row>
    <row r="241" spans="1:39" x14ac:dyDescent="0.2">
      <c r="A241" s="44">
        <v>43764</v>
      </c>
      <c r="B241" s="31">
        <v>0.56111111111111112</v>
      </c>
      <c r="C241" s="31"/>
      <c r="D241" s="31" t="s">
        <v>97</v>
      </c>
      <c r="E241" s="33">
        <v>2</v>
      </c>
      <c r="F241" s="38" t="str">
        <f>VLOOKUP(E241,Key!$A$17:$B$21,2,FALSE)</f>
        <v>Road Vehicle</v>
      </c>
      <c r="G241" s="32">
        <v>4</v>
      </c>
      <c r="H241" s="39" t="str">
        <f>VLOOKUP(G241,Key!$A$2:$B$13,2,FALSE)</f>
        <v>Minibus</v>
      </c>
      <c r="I241" s="33" t="s">
        <v>109</v>
      </c>
      <c r="J241" s="33">
        <v>2</v>
      </c>
      <c r="K241" s="40" t="str">
        <f>VLOOKUP(J241,Key!$A$24:$B$29,2,FALSE)</f>
        <v>30-39</v>
      </c>
      <c r="L241" s="33" t="s">
        <v>151</v>
      </c>
      <c r="M241" s="29" t="s">
        <v>151</v>
      </c>
      <c r="N241" s="33" t="s">
        <v>152</v>
      </c>
      <c r="O241" s="35">
        <v>2</v>
      </c>
      <c r="P241" s="30" t="str">
        <f>VLOOKUP(O241,Key!$E$2:$F$9,2,FALSE)</f>
        <v>Work</v>
      </c>
      <c r="Q241" s="33" t="s">
        <v>153</v>
      </c>
      <c r="R241" s="29" t="s">
        <v>153</v>
      </c>
      <c r="S241" s="33" t="s">
        <v>152</v>
      </c>
      <c r="T241" s="29">
        <v>1</v>
      </c>
      <c r="U241" s="30" t="str">
        <f>VLOOKUP(T241,Key!$E$2:$F$9,2,FALSE)</f>
        <v>Home</v>
      </c>
      <c r="V241" s="30" t="str">
        <f t="shared" si="12"/>
        <v>Work-Home</v>
      </c>
      <c r="W241" s="29">
        <v>700000</v>
      </c>
      <c r="X241" s="34">
        <v>190</v>
      </c>
      <c r="Y241" s="50" t="str">
        <f t="shared" si="13"/>
        <v>100-200</v>
      </c>
      <c r="Z241" s="34">
        <v>4</v>
      </c>
      <c r="AA241" s="50" t="str">
        <f t="shared" si="14"/>
        <v>Over 3.5</v>
      </c>
      <c r="AB241" s="29">
        <v>10</v>
      </c>
      <c r="AC241" s="30" t="str">
        <f>VLOOKUP(AB241,Key!$C$20:$D$29,2,FALSE)</f>
        <v>Other</v>
      </c>
      <c r="AD241" s="29">
        <v>4</v>
      </c>
      <c r="AE241" s="30" t="str">
        <f>VLOOKUP(AD241,Key!$E$20:$F$24,2,FALSE)</f>
        <v>750,000-1,000,000</v>
      </c>
      <c r="AF241" s="29">
        <v>2</v>
      </c>
      <c r="AG241" s="34">
        <v>1</v>
      </c>
      <c r="AH241" s="34">
        <v>3</v>
      </c>
      <c r="AI241" s="34">
        <v>5</v>
      </c>
      <c r="AJ241" s="34">
        <v>4</v>
      </c>
      <c r="AK241" s="35" t="s">
        <v>94</v>
      </c>
      <c r="AL241" s="36">
        <v>1000</v>
      </c>
      <c r="AM241" t="str">
        <f t="shared" si="15"/>
        <v>1000-2000</v>
      </c>
    </row>
    <row r="242" spans="1:39" x14ac:dyDescent="0.2">
      <c r="A242" s="44">
        <v>43764</v>
      </c>
      <c r="B242" s="31">
        <v>0.3756944444444445</v>
      </c>
      <c r="C242" s="31"/>
      <c r="D242" s="31" t="s">
        <v>97</v>
      </c>
      <c r="E242" s="33">
        <v>2</v>
      </c>
      <c r="F242" s="38" t="str">
        <f>VLOOKUP(E242,Key!$A$17:$B$21,2,FALSE)</f>
        <v>Road Vehicle</v>
      </c>
      <c r="G242" s="32">
        <v>4</v>
      </c>
      <c r="H242" s="39" t="str">
        <f>VLOOKUP(G242,Key!$A$2:$B$13,2,FALSE)</f>
        <v>Minibus</v>
      </c>
      <c r="I242" s="33" t="s">
        <v>109</v>
      </c>
      <c r="J242" s="33">
        <v>2</v>
      </c>
      <c r="K242" s="40" t="str">
        <f>VLOOKUP(J242,Key!$A$24:$B$29,2,FALSE)</f>
        <v>30-39</v>
      </c>
      <c r="L242" s="33" t="s">
        <v>151</v>
      </c>
      <c r="M242" s="29" t="s">
        <v>151</v>
      </c>
      <c r="N242" s="33" t="s">
        <v>152</v>
      </c>
      <c r="O242" s="35">
        <v>2</v>
      </c>
      <c r="P242" s="30" t="str">
        <f>VLOOKUP(O242,Key!$E$2:$F$9,2,FALSE)</f>
        <v>Work</v>
      </c>
      <c r="Q242" s="33" t="s">
        <v>153</v>
      </c>
      <c r="R242" s="29" t="s">
        <v>153</v>
      </c>
      <c r="S242" s="33" t="s">
        <v>152</v>
      </c>
      <c r="T242" s="29">
        <v>1</v>
      </c>
      <c r="U242" s="30" t="str">
        <f>VLOOKUP(T242,Key!$E$2:$F$9,2,FALSE)</f>
        <v>Home</v>
      </c>
      <c r="V242" s="30" t="str">
        <f t="shared" si="12"/>
        <v>Work-Home</v>
      </c>
      <c r="W242" s="29">
        <v>180000</v>
      </c>
      <c r="X242" s="34">
        <v>190</v>
      </c>
      <c r="Y242" s="50" t="str">
        <f t="shared" si="13"/>
        <v>100-200</v>
      </c>
      <c r="Z242" s="34">
        <v>4</v>
      </c>
      <c r="AA242" s="50" t="str">
        <f t="shared" si="14"/>
        <v>Over 3.5</v>
      </c>
      <c r="AB242" s="29">
        <v>10</v>
      </c>
      <c r="AC242" s="30" t="str">
        <f>VLOOKUP(AB242,Key!$C$20:$D$29,2,FALSE)</f>
        <v>Other</v>
      </c>
      <c r="AD242" s="29">
        <v>3</v>
      </c>
      <c r="AE242" s="30" t="str">
        <f>VLOOKUP(AD242,Key!$E$20:$F$24,2,FALSE)</f>
        <v>500,000-750,000</v>
      </c>
      <c r="AF242" s="29">
        <v>3</v>
      </c>
      <c r="AG242" s="34">
        <v>1</v>
      </c>
      <c r="AH242" s="34">
        <v>2</v>
      </c>
      <c r="AI242" s="34">
        <v>4</v>
      </c>
      <c r="AJ242" s="34">
        <v>3</v>
      </c>
      <c r="AK242" s="35" t="s">
        <v>94</v>
      </c>
      <c r="AL242" s="36">
        <v>3000</v>
      </c>
      <c r="AM242" t="str">
        <f t="shared" si="15"/>
        <v>3000-5000</v>
      </c>
    </row>
    <row r="243" spans="1:39" x14ac:dyDescent="0.2">
      <c r="A243" s="44">
        <v>43764</v>
      </c>
      <c r="B243" s="31">
        <v>0.33263888888888887</v>
      </c>
      <c r="C243" s="31"/>
      <c r="D243" s="31" t="s">
        <v>97</v>
      </c>
      <c r="E243" s="33">
        <v>2</v>
      </c>
      <c r="F243" s="38" t="str">
        <f>VLOOKUP(E243,Key!$A$17:$B$21,2,FALSE)</f>
        <v>Road Vehicle</v>
      </c>
      <c r="G243" s="32">
        <v>4</v>
      </c>
      <c r="H243" s="39" t="str">
        <f>VLOOKUP(G243,Key!$A$2:$B$13,2,FALSE)</f>
        <v>Minibus</v>
      </c>
      <c r="I243" s="33" t="s">
        <v>109</v>
      </c>
      <c r="J243" s="33">
        <v>2</v>
      </c>
      <c r="K243" s="40" t="str">
        <f>VLOOKUP(J243,Key!$A$24:$B$29,2,FALSE)</f>
        <v>30-39</v>
      </c>
      <c r="L243" s="33" t="s">
        <v>151</v>
      </c>
      <c r="M243" s="29" t="s">
        <v>151</v>
      </c>
      <c r="N243" s="33" t="s">
        <v>152</v>
      </c>
      <c r="O243" s="35">
        <v>2</v>
      </c>
      <c r="P243" s="30" t="str">
        <f>VLOOKUP(O243,Key!$E$2:$F$9,2,FALSE)</f>
        <v>Work</v>
      </c>
      <c r="Q243" s="33" t="s">
        <v>153</v>
      </c>
      <c r="R243" s="29" t="s">
        <v>153</v>
      </c>
      <c r="S243" s="33" t="s">
        <v>152</v>
      </c>
      <c r="T243" s="29">
        <v>1</v>
      </c>
      <c r="U243" s="30" t="str">
        <f>VLOOKUP(T243,Key!$E$2:$F$9,2,FALSE)</f>
        <v>Home</v>
      </c>
      <c r="V243" s="30" t="str">
        <f t="shared" si="12"/>
        <v>Work-Home</v>
      </c>
      <c r="W243" s="29">
        <v>200000</v>
      </c>
      <c r="X243" s="34">
        <v>220</v>
      </c>
      <c r="Y243" s="50" t="str">
        <f t="shared" si="13"/>
        <v>Over 200</v>
      </c>
      <c r="Z243" s="34">
        <v>3</v>
      </c>
      <c r="AA243" s="50" t="str">
        <f t="shared" si="14"/>
        <v>2.0-3.5</v>
      </c>
      <c r="AB243" s="29">
        <v>10</v>
      </c>
      <c r="AC243" s="30" t="str">
        <f>VLOOKUP(AB243,Key!$C$20:$D$29,2,FALSE)</f>
        <v>Other</v>
      </c>
      <c r="AD243" s="29">
        <v>4</v>
      </c>
      <c r="AE243" s="30" t="str">
        <f>VLOOKUP(AD243,Key!$E$20:$F$24,2,FALSE)</f>
        <v>750,000-1,000,000</v>
      </c>
      <c r="AF243" s="29">
        <v>1</v>
      </c>
      <c r="AG243" s="34">
        <v>2</v>
      </c>
      <c r="AH243" s="34">
        <v>5</v>
      </c>
      <c r="AI243" s="34">
        <v>4</v>
      </c>
      <c r="AJ243" s="34">
        <v>3</v>
      </c>
      <c r="AK243" s="35" t="s">
        <v>94</v>
      </c>
      <c r="AL243" s="36"/>
      <c r="AM243" t="str">
        <f t="shared" si="15"/>
        <v>0-1000</v>
      </c>
    </row>
    <row r="244" spans="1:39" x14ac:dyDescent="0.2">
      <c r="A244" s="44">
        <v>43764</v>
      </c>
      <c r="B244" s="31">
        <v>0.32847222222222222</v>
      </c>
      <c r="C244" s="31"/>
      <c r="D244" s="31" t="s">
        <v>97</v>
      </c>
      <c r="E244" s="33">
        <v>2</v>
      </c>
      <c r="F244" s="38" t="str">
        <f>VLOOKUP(E244,Key!$A$17:$B$21,2,FALSE)</f>
        <v>Road Vehicle</v>
      </c>
      <c r="G244" s="32">
        <v>4</v>
      </c>
      <c r="H244" s="39" t="str">
        <f>VLOOKUP(G244,Key!$A$2:$B$13,2,FALSE)</f>
        <v>Minibus</v>
      </c>
      <c r="I244" s="33" t="s">
        <v>109</v>
      </c>
      <c r="J244" s="33">
        <v>2</v>
      </c>
      <c r="K244" s="40" t="str">
        <f>VLOOKUP(J244,Key!$A$24:$B$29,2,FALSE)</f>
        <v>30-39</v>
      </c>
      <c r="L244" s="33" t="s">
        <v>151</v>
      </c>
      <c r="M244" s="29" t="s">
        <v>151</v>
      </c>
      <c r="N244" s="33" t="s">
        <v>152</v>
      </c>
      <c r="O244" s="35">
        <v>2</v>
      </c>
      <c r="P244" s="30" t="str">
        <f>VLOOKUP(O244,Key!$E$2:$F$9,2,FALSE)</f>
        <v>Work</v>
      </c>
      <c r="Q244" s="33" t="s">
        <v>183</v>
      </c>
      <c r="R244" s="29" t="s">
        <v>183</v>
      </c>
      <c r="S244" s="33" t="s">
        <v>152</v>
      </c>
      <c r="T244" s="29">
        <v>1</v>
      </c>
      <c r="U244" s="30" t="str">
        <f>VLOOKUP(T244,Key!$E$2:$F$9,2,FALSE)</f>
        <v>Home</v>
      </c>
      <c r="V244" s="30" t="str">
        <f t="shared" si="12"/>
        <v>Work-Home</v>
      </c>
      <c r="W244" s="29">
        <v>180000</v>
      </c>
      <c r="X244" s="34">
        <v>115</v>
      </c>
      <c r="Y244" s="50" t="str">
        <f t="shared" si="13"/>
        <v>100-200</v>
      </c>
      <c r="Z244" s="34">
        <v>3</v>
      </c>
      <c r="AA244" s="50" t="str">
        <f t="shared" si="14"/>
        <v>2.0-3.5</v>
      </c>
      <c r="AB244" s="29">
        <v>10</v>
      </c>
      <c r="AC244" s="30" t="str">
        <f>VLOOKUP(AB244,Key!$C$20:$D$29,2,FALSE)</f>
        <v>Other</v>
      </c>
      <c r="AD244" s="29">
        <v>2</v>
      </c>
      <c r="AE244" s="30" t="str">
        <f>VLOOKUP(AD244,Key!$E$20:$F$24,2,FALSE)</f>
        <v>300,000-500,000</v>
      </c>
      <c r="AF244" s="29">
        <v>2</v>
      </c>
      <c r="AG244" s="34">
        <v>3</v>
      </c>
      <c r="AH244" s="34">
        <v>1</v>
      </c>
      <c r="AI244" s="34">
        <v>4</v>
      </c>
      <c r="AJ244" s="34">
        <v>5</v>
      </c>
      <c r="AK244" s="35" t="s">
        <v>94</v>
      </c>
      <c r="AL244" s="36"/>
      <c r="AM244" t="str">
        <f t="shared" si="15"/>
        <v>0-1000</v>
      </c>
    </row>
    <row r="245" spans="1:39" x14ac:dyDescent="0.2">
      <c r="A245" s="44">
        <v>43762</v>
      </c>
      <c r="B245" s="31">
        <v>0.37083333333333335</v>
      </c>
      <c r="C245" s="31"/>
      <c r="D245" s="31" t="s">
        <v>150</v>
      </c>
      <c r="E245" s="33">
        <v>2</v>
      </c>
      <c r="F245" s="38" t="str">
        <f>VLOOKUP(E245,Key!$A$17:$B$21,2,FALSE)</f>
        <v>Road Vehicle</v>
      </c>
      <c r="G245" s="32">
        <v>1</v>
      </c>
      <c r="H245" s="39" t="str">
        <f>VLOOKUP(G245,Key!$A$2:$B$13,2,FALSE)</f>
        <v>Car</v>
      </c>
      <c r="I245" s="33" t="s">
        <v>109</v>
      </c>
      <c r="J245" s="33">
        <v>3</v>
      </c>
      <c r="K245" s="40" t="str">
        <f>VLOOKUP(J245,Key!$A$24:$B$29,2,FALSE)</f>
        <v>40-49</v>
      </c>
      <c r="L245" s="33" t="s">
        <v>151</v>
      </c>
      <c r="M245" s="29" t="s">
        <v>151</v>
      </c>
      <c r="N245" s="33" t="s">
        <v>152</v>
      </c>
      <c r="O245" s="35">
        <v>1</v>
      </c>
      <c r="P245" s="30" t="str">
        <f>VLOOKUP(O245,Key!$E$2:$F$9,2,FALSE)</f>
        <v>Home</v>
      </c>
      <c r="Q245" s="33" t="s">
        <v>182</v>
      </c>
      <c r="R245" s="29" t="s">
        <v>177</v>
      </c>
      <c r="S245" s="33" t="s">
        <v>152</v>
      </c>
      <c r="T245" s="29">
        <v>2</v>
      </c>
      <c r="U245" s="30" t="str">
        <f>VLOOKUP(T245,Key!$E$2:$F$9,2,FALSE)</f>
        <v>Work</v>
      </c>
      <c r="V245" s="30" t="str">
        <f t="shared" si="12"/>
        <v>Home-Work</v>
      </c>
      <c r="W245" s="29">
        <v>7000</v>
      </c>
      <c r="X245" s="34">
        <v>30</v>
      </c>
      <c r="Y245" s="50" t="str">
        <f t="shared" si="13"/>
        <v>20-40</v>
      </c>
      <c r="Z245" s="34">
        <v>1</v>
      </c>
      <c r="AA245" s="50" t="str">
        <f t="shared" si="14"/>
        <v>1.0-2.0</v>
      </c>
      <c r="AB245" s="29">
        <v>4</v>
      </c>
      <c r="AC245" s="30" t="str">
        <f>VLOOKUP(AB245,Key!$C$20:$D$29,2,FALSE)</f>
        <v>Office Worker</v>
      </c>
      <c r="AD245" s="29">
        <v>4</v>
      </c>
      <c r="AE245" s="30" t="str">
        <f>VLOOKUP(AD245,Key!$E$20:$F$24,2,FALSE)</f>
        <v>750,000-1,000,000</v>
      </c>
      <c r="AF245" s="29">
        <v>3</v>
      </c>
      <c r="AG245" s="34">
        <v>5</v>
      </c>
      <c r="AH245" s="34">
        <v>2</v>
      </c>
      <c r="AI245" s="34">
        <v>1</v>
      </c>
      <c r="AJ245" s="34">
        <v>4</v>
      </c>
      <c r="AK245" s="35" t="s">
        <v>94</v>
      </c>
      <c r="AL245" s="36">
        <v>1000</v>
      </c>
      <c r="AM245" t="str">
        <f t="shared" si="15"/>
        <v>1000-2000</v>
      </c>
    </row>
    <row r="246" spans="1:39" x14ac:dyDescent="0.2">
      <c r="A246" s="44">
        <v>43763</v>
      </c>
      <c r="B246" s="31">
        <v>0.41666666666666669</v>
      </c>
      <c r="C246" s="31"/>
      <c r="D246" s="31" t="s">
        <v>97</v>
      </c>
      <c r="E246" s="33">
        <v>2</v>
      </c>
      <c r="F246" s="38" t="str">
        <f>VLOOKUP(E246,Key!$A$17:$B$21,2,FALSE)</f>
        <v>Road Vehicle</v>
      </c>
      <c r="G246" s="32">
        <v>1</v>
      </c>
      <c r="H246" s="39" t="str">
        <f>VLOOKUP(G246,Key!$A$2:$B$13,2,FALSE)</f>
        <v>Car</v>
      </c>
      <c r="I246" s="33" t="s">
        <v>109</v>
      </c>
      <c r="J246" s="33">
        <v>3</v>
      </c>
      <c r="K246" s="40" t="str">
        <f>VLOOKUP(J246,Key!$A$24:$B$29,2,FALSE)</f>
        <v>40-49</v>
      </c>
      <c r="L246" s="33" t="s">
        <v>151</v>
      </c>
      <c r="M246" s="29" t="s">
        <v>151</v>
      </c>
      <c r="N246" s="33" t="s">
        <v>152</v>
      </c>
      <c r="O246" s="35">
        <v>2</v>
      </c>
      <c r="P246" s="30" t="str">
        <f>VLOOKUP(O246,Key!$E$2:$F$9,2,FALSE)</f>
        <v>Work</v>
      </c>
      <c r="Q246" s="33" t="s">
        <v>160</v>
      </c>
      <c r="R246" s="29" t="s">
        <v>160</v>
      </c>
      <c r="S246" s="33" t="s">
        <v>152</v>
      </c>
      <c r="T246" s="29">
        <v>1</v>
      </c>
      <c r="U246" s="30" t="str">
        <f>VLOOKUP(T246,Key!$E$2:$F$9,2,FALSE)</f>
        <v>Home</v>
      </c>
      <c r="V246" s="30" t="str">
        <f t="shared" si="12"/>
        <v>Work-Home</v>
      </c>
      <c r="W246" s="29">
        <v>5000</v>
      </c>
      <c r="X246" s="34">
        <v>40</v>
      </c>
      <c r="Y246" s="50" t="str">
        <f t="shared" si="13"/>
        <v>40-70</v>
      </c>
      <c r="Z246" s="34">
        <v>3</v>
      </c>
      <c r="AA246" s="50" t="str">
        <f t="shared" si="14"/>
        <v>2.0-3.5</v>
      </c>
      <c r="AB246" s="29">
        <v>5</v>
      </c>
      <c r="AC246" s="30" t="str">
        <f>VLOOKUP(AB246,Key!$C$20:$D$29,2,FALSE)</f>
        <v>Professional</v>
      </c>
      <c r="AD246" s="29">
        <v>3</v>
      </c>
      <c r="AE246" s="30" t="str">
        <f>VLOOKUP(AD246,Key!$E$20:$F$24,2,FALSE)</f>
        <v>500,000-750,000</v>
      </c>
      <c r="AF246" s="29">
        <v>2</v>
      </c>
      <c r="AG246" s="34">
        <v>3</v>
      </c>
      <c r="AH246" s="34">
        <v>5</v>
      </c>
      <c r="AI246" s="34">
        <v>4</v>
      </c>
      <c r="AJ246" s="34">
        <v>1</v>
      </c>
      <c r="AK246" s="35" t="s">
        <v>94</v>
      </c>
      <c r="AL246" s="36"/>
      <c r="AM246" t="str">
        <f t="shared" si="15"/>
        <v>0-1000</v>
      </c>
    </row>
    <row r="247" spans="1:39" x14ac:dyDescent="0.2">
      <c r="A247" s="44">
        <v>43763</v>
      </c>
      <c r="B247" s="31">
        <v>0.42152777777777778</v>
      </c>
      <c r="C247" s="31"/>
      <c r="D247" s="31" t="s">
        <v>97</v>
      </c>
      <c r="E247" s="33">
        <v>2</v>
      </c>
      <c r="F247" s="38" t="str">
        <f>VLOOKUP(E247,Key!$A$17:$B$21,2,FALSE)</f>
        <v>Road Vehicle</v>
      </c>
      <c r="G247" s="32">
        <v>1</v>
      </c>
      <c r="H247" s="39" t="str">
        <f>VLOOKUP(G247,Key!$A$2:$B$13,2,FALSE)</f>
        <v>Car</v>
      </c>
      <c r="I247" s="33" t="s">
        <v>109</v>
      </c>
      <c r="J247" s="33">
        <v>3</v>
      </c>
      <c r="K247" s="40" t="str">
        <f>VLOOKUP(J247,Key!$A$24:$B$29,2,FALSE)</f>
        <v>40-49</v>
      </c>
      <c r="L247" s="33" t="s">
        <v>151</v>
      </c>
      <c r="M247" s="29" t="s">
        <v>151</v>
      </c>
      <c r="N247" s="33" t="s">
        <v>152</v>
      </c>
      <c r="O247" s="35">
        <v>1</v>
      </c>
      <c r="P247" s="30" t="str">
        <f>VLOOKUP(O247,Key!$E$2:$F$9,2,FALSE)</f>
        <v>Home</v>
      </c>
      <c r="Q247" s="33" t="s">
        <v>160</v>
      </c>
      <c r="R247" s="29" t="s">
        <v>160</v>
      </c>
      <c r="S247" s="33" t="s">
        <v>152</v>
      </c>
      <c r="T247" s="29">
        <v>2</v>
      </c>
      <c r="U247" s="30" t="str">
        <f>VLOOKUP(T247,Key!$E$2:$F$9,2,FALSE)</f>
        <v>Work</v>
      </c>
      <c r="V247" s="30" t="str">
        <f t="shared" si="12"/>
        <v>Home-Work</v>
      </c>
      <c r="W247" s="29">
        <v>50000</v>
      </c>
      <c r="X247" s="34">
        <v>40</v>
      </c>
      <c r="Y247" s="50" t="str">
        <f t="shared" si="13"/>
        <v>40-70</v>
      </c>
      <c r="Z247" s="34">
        <v>2</v>
      </c>
      <c r="AA247" s="50" t="str">
        <f t="shared" si="14"/>
        <v>2.0-3.5</v>
      </c>
      <c r="AB247" s="29">
        <v>6</v>
      </c>
      <c r="AC247" s="30" t="str">
        <f>VLOOKUP(AB247,Key!$C$20:$D$29,2,FALSE)</f>
        <v>Businessman</v>
      </c>
      <c r="AD247" s="29">
        <v>3</v>
      </c>
      <c r="AE247" s="30" t="str">
        <f>VLOOKUP(AD247,Key!$E$20:$F$24,2,FALSE)</f>
        <v>500,000-750,000</v>
      </c>
      <c r="AF247" s="29">
        <v>3</v>
      </c>
      <c r="AG247" s="34">
        <v>4</v>
      </c>
      <c r="AH247" s="34">
        <v>5</v>
      </c>
      <c r="AI247" s="34">
        <v>1</v>
      </c>
      <c r="AJ247" s="34">
        <v>2</v>
      </c>
      <c r="AK247" s="35" t="s">
        <v>94</v>
      </c>
      <c r="AL247" s="36">
        <v>1000</v>
      </c>
      <c r="AM247" t="str">
        <f t="shared" si="15"/>
        <v>1000-2000</v>
      </c>
    </row>
    <row r="248" spans="1:39" x14ac:dyDescent="0.2">
      <c r="A248" s="44">
        <v>43762</v>
      </c>
      <c r="B248" s="31">
        <v>0.63958333333333328</v>
      </c>
      <c r="C248" s="31"/>
      <c r="D248" s="31" t="s">
        <v>150</v>
      </c>
      <c r="E248" s="33">
        <v>2</v>
      </c>
      <c r="F248" s="38" t="str">
        <f>VLOOKUP(E248,Key!$A$17:$B$21,2,FALSE)</f>
        <v>Road Vehicle</v>
      </c>
      <c r="G248" s="32">
        <v>6</v>
      </c>
      <c r="H248" s="39" t="str">
        <f>VLOOKUP(G248,Key!$A$2:$B$13,2,FALSE)</f>
        <v>Large Bus</v>
      </c>
      <c r="I248" s="33" t="s">
        <v>156</v>
      </c>
      <c r="J248" s="33">
        <v>3</v>
      </c>
      <c r="K248" s="40" t="str">
        <f>VLOOKUP(J248,Key!$A$24:$B$29,2,FALSE)</f>
        <v>40-49</v>
      </c>
      <c r="L248" s="33" t="s">
        <v>151</v>
      </c>
      <c r="M248" s="29" t="s">
        <v>151</v>
      </c>
      <c r="N248" s="33" t="s">
        <v>152</v>
      </c>
      <c r="O248" s="35">
        <v>2</v>
      </c>
      <c r="P248" s="30" t="str">
        <f>VLOOKUP(O248,Key!$E$2:$F$9,2,FALSE)</f>
        <v>Work</v>
      </c>
      <c r="Q248" s="33" t="s">
        <v>163</v>
      </c>
      <c r="R248" s="29" t="s">
        <v>163</v>
      </c>
      <c r="S248" s="33" t="s">
        <v>152</v>
      </c>
      <c r="T248" s="29">
        <v>2</v>
      </c>
      <c r="U248" s="30" t="str">
        <f>VLOOKUP(T248,Key!$E$2:$F$9,2,FALSE)</f>
        <v>Work</v>
      </c>
      <c r="V248" s="30" t="str">
        <f t="shared" si="12"/>
        <v>Work-Work</v>
      </c>
      <c r="W248" s="41">
        <v>35000</v>
      </c>
      <c r="X248" s="34">
        <v>200</v>
      </c>
      <c r="Y248" s="50" t="str">
        <f t="shared" si="13"/>
        <v>Over 200</v>
      </c>
      <c r="Z248" s="34">
        <v>8</v>
      </c>
      <c r="AA248" s="50" t="str">
        <f t="shared" si="14"/>
        <v>Over 3.5</v>
      </c>
      <c r="AB248" s="29">
        <v>10</v>
      </c>
      <c r="AC248" s="30" t="str">
        <f>VLOOKUP(AB248,Key!$C$20:$D$29,2,FALSE)</f>
        <v>Other</v>
      </c>
      <c r="AD248" s="29">
        <v>3</v>
      </c>
      <c r="AE248" s="30" t="str">
        <f>VLOOKUP(AD248,Key!$E$20:$F$24,2,FALSE)</f>
        <v>500,000-750,000</v>
      </c>
      <c r="AF248" s="29">
        <v>2</v>
      </c>
      <c r="AG248" s="34">
        <v>1</v>
      </c>
      <c r="AH248" s="34">
        <v>3</v>
      </c>
      <c r="AI248" s="34">
        <v>4</v>
      </c>
      <c r="AJ248" s="34">
        <v>5</v>
      </c>
      <c r="AK248" s="35" t="s">
        <v>94</v>
      </c>
      <c r="AL248" s="36">
        <v>2000</v>
      </c>
      <c r="AM248" t="str">
        <f t="shared" si="15"/>
        <v>2000-3000</v>
      </c>
    </row>
    <row r="249" spans="1:39" x14ac:dyDescent="0.2">
      <c r="A249" s="44">
        <v>43762</v>
      </c>
      <c r="B249" s="31" t="s">
        <v>155</v>
      </c>
      <c r="C249" s="31"/>
      <c r="D249" s="31" t="s">
        <v>97</v>
      </c>
      <c r="E249" s="33">
        <v>2</v>
      </c>
      <c r="F249" s="38" t="str">
        <f>VLOOKUP(E249,Key!$A$17:$B$21,2,FALSE)</f>
        <v>Road Vehicle</v>
      </c>
      <c r="G249" s="32">
        <v>6</v>
      </c>
      <c r="H249" s="39" t="str">
        <f>VLOOKUP(G249,Key!$A$2:$B$13,2,FALSE)</f>
        <v>Large Bus</v>
      </c>
      <c r="I249" s="33" t="s">
        <v>109</v>
      </c>
      <c r="J249" s="33">
        <v>3</v>
      </c>
      <c r="K249" s="40" t="str">
        <f>VLOOKUP(J249,Key!$A$24:$B$29,2,FALSE)</f>
        <v>40-49</v>
      </c>
      <c r="L249" s="33" t="s">
        <v>151</v>
      </c>
      <c r="M249" s="29" t="s">
        <v>151</v>
      </c>
      <c r="N249" s="33" t="s">
        <v>152</v>
      </c>
      <c r="O249" s="35">
        <v>1</v>
      </c>
      <c r="P249" s="30" t="str">
        <f>VLOOKUP(O249,Key!$E$2:$F$9,2,FALSE)</f>
        <v>Home</v>
      </c>
      <c r="Q249" s="33" t="s">
        <v>154</v>
      </c>
      <c r="R249" s="29" t="s">
        <v>154</v>
      </c>
      <c r="S249" s="33" t="s">
        <v>152</v>
      </c>
      <c r="T249" s="29">
        <v>2</v>
      </c>
      <c r="U249" s="30" t="str">
        <f>VLOOKUP(T249,Key!$E$2:$F$9,2,FALSE)</f>
        <v>Work</v>
      </c>
      <c r="V249" s="30" t="str">
        <f t="shared" si="12"/>
        <v>Home-Work</v>
      </c>
      <c r="W249" s="41">
        <v>600000</v>
      </c>
      <c r="X249" s="34">
        <v>120</v>
      </c>
      <c r="Y249" s="50" t="str">
        <f t="shared" si="13"/>
        <v>100-200</v>
      </c>
      <c r="Z249" s="34">
        <v>2</v>
      </c>
      <c r="AA249" s="50" t="str">
        <f t="shared" si="14"/>
        <v>2.0-3.5</v>
      </c>
      <c r="AB249" s="29">
        <v>10</v>
      </c>
      <c r="AC249" s="30" t="str">
        <f>VLOOKUP(AB249,Key!$C$20:$D$29,2,FALSE)</f>
        <v>Other</v>
      </c>
      <c r="AD249" s="29">
        <v>3</v>
      </c>
      <c r="AE249" s="30" t="str">
        <f>VLOOKUP(AD249,Key!$E$20:$F$24,2,FALSE)</f>
        <v>500,000-750,000</v>
      </c>
      <c r="AF249" s="29">
        <v>2</v>
      </c>
      <c r="AG249" s="34">
        <v>3</v>
      </c>
      <c r="AH249" s="34">
        <v>1</v>
      </c>
      <c r="AI249" s="34">
        <v>5</v>
      </c>
      <c r="AJ249" s="34">
        <v>4</v>
      </c>
      <c r="AK249" s="35" t="s">
        <v>94</v>
      </c>
      <c r="AL249" s="36"/>
      <c r="AM249" t="str">
        <f t="shared" si="15"/>
        <v>0-1000</v>
      </c>
    </row>
    <row r="250" spans="1:39" x14ac:dyDescent="0.2">
      <c r="A250" s="44">
        <v>43762</v>
      </c>
      <c r="B250" s="31">
        <v>0.74444444444444446</v>
      </c>
      <c r="C250" s="31"/>
      <c r="D250" s="31" t="s">
        <v>97</v>
      </c>
      <c r="E250" s="33">
        <v>2</v>
      </c>
      <c r="F250" s="38" t="str">
        <f>VLOOKUP(E250,Key!$A$17:$B$21,2,FALSE)</f>
        <v>Road Vehicle</v>
      </c>
      <c r="G250" s="32">
        <v>6</v>
      </c>
      <c r="H250" s="39" t="str">
        <f>VLOOKUP(G250,Key!$A$2:$B$13,2,FALSE)</f>
        <v>Large Bus</v>
      </c>
      <c r="I250" s="33" t="s">
        <v>109</v>
      </c>
      <c r="J250" s="33">
        <v>3</v>
      </c>
      <c r="K250" s="40" t="str">
        <f>VLOOKUP(J250,Key!$A$24:$B$29,2,FALSE)</f>
        <v>40-49</v>
      </c>
      <c r="L250" s="33" t="s">
        <v>151</v>
      </c>
      <c r="M250" s="29" t="s">
        <v>151</v>
      </c>
      <c r="N250" s="33" t="s">
        <v>152</v>
      </c>
      <c r="O250" s="35">
        <v>2</v>
      </c>
      <c r="P250" s="30" t="str">
        <f>VLOOKUP(O250,Key!$E$2:$F$9,2,FALSE)</f>
        <v>Work</v>
      </c>
      <c r="Q250" s="33" t="s">
        <v>157</v>
      </c>
      <c r="R250" s="29" t="s">
        <v>157</v>
      </c>
      <c r="S250" s="33" t="s">
        <v>152</v>
      </c>
      <c r="T250" s="29">
        <v>1</v>
      </c>
      <c r="U250" s="30" t="str">
        <f>VLOOKUP(T250,Key!$E$2:$F$9,2,FALSE)</f>
        <v>Home</v>
      </c>
      <c r="V250" s="30" t="str">
        <f t="shared" si="12"/>
        <v>Work-Home</v>
      </c>
      <c r="W250" s="41">
        <v>700000</v>
      </c>
      <c r="X250" s="34">
        <v>120</v>
      </c>
      <c r="Y250" s="50" t="str">
        <f t="shared" si="13"/>
        <v>100-200</v>
      </c>
      <c r="Z250" s="34">
        <v>2</v>
      </c>
      <c r="AA250" s="50" t="str">
        <f t="shared" si="14"/>
        <v>2.0-3.5</v>
      </c>
      <c r="AB250" s="29">
        <v>10</v>
      </c>
      <c r="AC250" s="30" t="str">
        <f>VLOOKUP(AB250,Key!$C$20:$D$29,2,FALSE)</f>
        <v>Other</v>
      </c>
      <c r="AD250" s="29">
        <v>4</v>
      </c>
      <c r="AE250" s="30" t="str">
        <f>VLOOKUP(AD250,Key!$E$20:$F$24,2,FALSE)</f>
        <v>750,000-1,000,000</v>
      </c>
      <c r="AF250" s="29">
        <v>2</v>
      </c>
      <c r="AG250" s="34">
        <v>1</v>
      </c>
      <c r="AH250" s="34">
        <v>3</v>
      </c>
      <c r="AI250" s="34">
        <v>4</v>
      </c>
      <c r="AJ250" s="34">
        <v>5</v>
      </c>
      <c r="AK250" s="35" t="s">
        <v>94</v>
      </c>
      <c r="AL250" s="36">
        <v>2000</v>
      </c>
      <c r="AM250" t="str">
        <f t="shared" si="15"/>
        <v>2000-3000</v>
      </c>
    </row>
    <row r="251" spans="1:39" x14ac:dyDescent="0.2">
      <c r="A251" s="44">
        <v>43762</v>
      </c>
      <c r="B251" s="31">
        <v>0.68402777777777779</v>
      </c>
      <c r="C251" s="31"/>
      <c r="D251" s="31" t="s">
        <v>97</v>
      </c>
      <c r="E251" s="33">
        <v>2</v>
      </c>
      <c r="F251" s="38" t="str">
        <f>VLOOKUP(E251,Key!$A$17:$B$21,2,FALSE)</f>
        <v>Road Vehicle</v>
      </c>
      <c r="G251" s="32">
        <v>6</v>
      </c>
      <c r="H251" s="39" t="str">
        <f>VLOOKUP(G251,Key!$A$2:$B$13,2,FALSE)</f>
        <v>Large Bus</v>
      </c>
      <c r="I251" s="33" t="s">
        <v>109</v>
      </c>
      <c r="J251" s="33">
        <v>3</v>
      </c>
      <c r="K251" s="40" t="str">
        <f>VLOOKUP(J251,Key!$A$24:$B$29,2,FALSE)</f>
        <v>40-49</v>
      </c>
      <c r="L251" s="33" t="s">
        <v>151</v>
      </c>
      <c r="M251" s="29" t="s">
        <v>151</v>
      </c>
      <c r="N251" s="33" t="s">
        <v>152</v>
      </c>
      <c r="O251" s="35">
        <v>1</v>
      </c>
      <c r="P251" s="30" t="str">
        <f>VLOOKUP(O251,Key!$E$2:$F$9,2,FALSE)</f>
        <v>Home</v>
      </c>
      <c r="Q251" s="33" t="s">
        <v>153</v>
      </c>
      <c r="R251" s="29" t="s">
        <v>153</v>
      </c>
      <c r="S251" s="33" t="s">
        <v>152</v>
      </c>
      <c r="T251" s="29">
        <v>2</v>
      </c>
      <c r="U251" s="30" t="str">
        <f>VLOOKUP(T251,Key!$E$2:$F$9,2,FALSE)</f>
        <v>Work</v>
      </c>
      <c r="V251" s="30" t="str">
        <f t="shared" si="12"/>
        <v>Home-Work</v>
      </c>
      <c r="W251" s="41">
        <v>700000</v>
      </c>
      <c r="X251" s="34">
        <v>200</v>
      </c>
      <c r="Y251" s="50" t="str">
        <f t="shared" si="13"/>
        <v>Over 200</v>
      </c>
      <c r="Z251" s="34">
        <v>4</v>
      </c>
      <c r="AA251" s="50" t="str">
        <f t="shared" si="14"/>
        <v>Over 3.5</v>
      </c>
      <c r="AB251" s="29">
        <v>10</v>
      </c>
      <c r="AC251" s="30" t="str">
        <f>VLOOKUP(AB251,Key!$C$20:$D$29,2,FALSE)</f>
        <v>Other</v>
      </c>
      <c r="AD251" s="29">
        <v>2</v>
      </c>
      <c r="AE251" s="30" t="str">
        <f>VLOOKUP(AD251,Key!$E$20:$F$24,2,FALSE)</f>
        <v>300,000-500,000</v>
      </c>
      <c r="AF251" s="29">
        <v>2</v>
      </c>
      <c r="AG251" s="34">
        <v>1</v>
      </c>
      <c r="AH251" s="34">
        <v>3</v>
      </c>
      <c r="AI251" s="34">
        <v>4</v>
      </c>
      <c r="AJ251" s="34">
        <v>5</v>
      </c>
      <c r="AK251" s="35" t="s">
        <v>94</v>
      </c>
      <c r="AL251" s="36">
        <v>1000</v>
      </c>
      <c r="AM251" t="str">
        <f t="shared" si="15"/>
        <v>1000-2000</v>
      </c>
    </row>
    <row r="252" spans="1:39" x14ac:dyDescent="0.2">
      <c r="A252" s="44">
        <v>43762</v>
      </c>
      <c r="B252" s="31">
        <v>0.67708333333333337</v>
      </c>
      <c r="C252" s="31"/>
      <c r="D252" s="31" t="s">
        <v>97</v>
      </c>
      <c r="E252" s="33">
        <v>2</v>
      </c>
      <c r="F252" s="38" t="str">
        <f>VLOOKUP(E252,Key!$A$17:$B$21,2,FALSE)</f>
        <v>Road Vehicle</v>
      </c>
      <c r="G252" s="32">
        <v>6</v>
      </c>
      <c r="H252" s="39" t="str">
        <f>VLOOKUP(G252,Key!$A$2:$B$13,2,FALSE)</f>
        <v>Large Bus</v>
      </c>
      <c r="I252" s="33" t="s">
        <v>109</v>
      </c>
      <c r="J252" s="33">
        <v>3</v>
      </c>
      <c r="K252" s="40" t="str">
        <f>VLOOKUP(J252,Key!$A$24:$B$29,2,FALSE)</f>
        <v>40-49</v>
      </c>
      <c r="L252" s="33" t="s">
        <v>151</v>
      </c>
      <c r="M252" s="29" t="s">
        <v>151</v>
      </c>
      <c r="N252" s="33" t="s">
        <v>152</v>
      </c>
      <c r="O252" s="35">
        <v>2</v>
      </c>
      <c r="P252" s="30" t="str">
        <f>VLOOKUP(O252,Key!$E$2:$F$9,2,FALSE)</f>
        <v>Work</v>
      </c>
      <c r="Q252" s="33" t="s">
        <v>153</v>
      </c>
      <c r="R252" s="29" t="s">
        <v>153</v>
      </c>
      <c r="S252" s="33" t="s">
        <v>152</v>
      </c>
      <c r="T252" s="29">
        <v>1</v>
      </c>
      <c r="U252" s="30" t="str">
        <f>VLOOKUP(T252,Key!$E$2:$F$9,2,FALSE)</f>
        <v>Home</v>
      </c>
      <c r="V252" s="30" t="str">
        <f t="shared" si="12"/>
        <v>Work-Home</v>
      </c>
      <c r="W252" s="41">
        <v>700000</v>
      </c>
      <c r="X252" s="34">
        <v>200</v>
      </c>
      <c r="Y252" s="50" t="str">
        <f t="shared" si="13"/>
        <v>Over 200</v>
      </c>
      <c r="Z252" s="34">
        <v>4</v>
      </c>
      <c r="AA252" s="50" t="str">
        <f t="shared" si="14"/>
        <v>Over 3.5</v>
      </c>
      <c r="AB252" s="29">
        <v>10</v>
      </c>
      <c r="AC252" s="30" t="str">
        <f>VLOOKUP(AB252,Key!$C$20:$D$29,2,FALSE)</f>
        <v>Other</v>
      </c>
      <c r="AD252" s="29">
        <v>4</v>
      </c>
      <c r="AE252" s="30" t="str">
        <f>VLOOKUP(AD252,Key!$E$20:$F$24,2,FALSE)</f>
        <v>750,000-1,000,000</v>
      </c>
      <c r="AF252" s="29">
        <v>1</v>
      </c>
      <c r="AG252" s="34">
        <v>5</v>
      </c>
      <c r="AH252" s="34">
        <v>4</v>
      </c>
      <c r="AI252" s="34">
        <v>3</v>
      </c>
      <c r="AJ252" s="34">
        <v>2</v>
      </c>
      <c r="AK252" s="35" t="s">
        <v>94</v>
      </c>
      <c r="AL252" s="36"/>
      <c r="AM252" t="str">
        <f t="shared" si="15"/>
        <v>0-1000</v>
      </c>
    </row>
    <row r="253" spans="1:39" x14ac:dyDescent="0.2">
      <c r="A253" s="44">
        <v>43762</v>
      </c>
      <c r="B253" s="31">
        <v>0.63402777777777775</v>
      </c>
      <c r="C253" s="31"/>
      <c r="D253" s="31" t="s">
        <v>97</v>
      </c>
      <c r="E253" s="33">
        <v>2</v>
      </c>
      <c r="F253" s="38" t="str">
        <f>VLOOKUP(E253,Key!$A$17:$B$21,2,FALSE)</f>
        <v>Road Vehicle</v>
      </c>
      <c r="G253" s="32">
        <v>6</v>
      </c>
      <c r="H253" s="39" t="str">
        <f>VLOOKUP(G253,Key!$A$2:$B$13,2,FALSE)</f>
        <v>Large Bus</v>
      </c>
      <c r="I253" s="33" t="s">
        <v>109</v>
      </c>
      <c r="J253" s="33">
        <v>3</v>
      </c>
      <c r="K253" s="40" t="str">
        <f>VLOOKUP(J253,Key!$A$24:$B$29,2,FALSE)</f>
        <v>40-49</v>
      </c>
      <c r="L253" s="33" t="s">
        <v>151</v>
      </c>
      <c r="M253" s="29" t="s">
        <v>151</v>
      </c>
      <c r="N253" s="33" t="s">
        <v>152</v>
      </c>
      <c r="O253" s="35">
        <v>2</v>
      </c>
      <c r="P253" s="30" t="str">
        <f>VLOOKUP(O253,Key!$E$2:$F$9,2,FALSE)</f>
        <v>Work</v>
      </c>
      <c r="Q253" s="33" t="s">
        <v>163</v>
      </c>
      <c r="R253" s="29" t="s">
        <v>163</v>
      </c>
      <c r="S253" s="33" t="s">
        <v>152</v>
      </c>
      <c r="T253" s="29">
        <v>1</v>
      </c>
      <c r="U253" s="30" t="str">
        <f>VLOOKUP(T253,Key!$E$2:$F$9,2,FALSE)</f>
        <v>Home</v>
      </c>
      <c r="V253" s="30" t="str">
        <f t="shared" si="12"/>
        <v>Work-Home</v>
      </c>
      <c r="W253" s="41">
        <v>700000</v>
      </c>
      <c r="X253" s="34">
        <v>190</v>
      </c>
      <c r="Y253" s="50" t="str">
        <f t="shared" si="13"/>
        <v>100-200</v>
      </c>
      <c r="Z253" s="34">
        <v>3</v>
      </c>
      <c r="AA253" s="50" t="str">
        <f t="shared" si="14"/>
        <v>2.0-3.5</v>
      </c>
      <c r="AB253" s="29">
        <v>10</v>
      </c>
      <c r="AC253" s="30" t="str">
        <f>VLOOKUP(AB253,Key!$C$20:$D$29,2,FALSE)</f>
        <v>Other</v>
      </c>
      <c r="AD253" s="29">
        <v>4</v>
      </c>
      <c r="AE253" s="30" t="str">
        <f>VLOOKUP(AD253,Key!$E$20:$F$24,2,FALSE)</f>
        <v>750,000-1,000,000</v>
      </c>
      <c r="AF253" s="29">
        <v>1</v>
      </c>
      <c r="AG253" s="34">
        <v>1</v>
      </c>
      <c r="AH253" s="34">
        <v>5</v>
      </c>
      <c r="AI253" s="34">
        <v>2</v>
      </c>
      <c r="AJ253" s="34">
        <v>4</v>
      </c>
      <c r="AK253" s="35" t="s">
        <v>94</v>
      </c>
      <c r="AL253" s="36">
        <v>1000</v>
      </c>
      <c r="AM253" t="str">
        <f t="shared" si="15"/>
        <v>1000-2000</v>
      </c>
    </row>
    <row r="254" spans="1:39" x14ac:dyDescent="0.2">
      <c r="A254" s="44">
        <v>43762</v>
      </c>
      <c r="B254" s="31">
        <v>0.62152777777777779</v>
      </c>
      <c r="C254" s="31"/>
      <c r="D254" s="31" t="s">
        <v>97</v>
      </c>
      <c r="E254" s="33">
        <v>2</v>
      </c>
      <c r="F254" s="38" t="str">
        <f>VLOOKUP(E254,Key!$A$17:$B$21,2,FALSE)</f>
        <v>Road Vehicle</v>
      </c>
      <c r="G254" s="32">
        <v>6</v>
      </c>
      <c r="H254" s="39" t="str">
        <f>VLOOKUP(G254,Key!$A$2:$B$13,2,FALSE)</f>
        <v>Large Bus</v>
      </c>
      <c r="I254" s="33" t="s">
        <v>109</v>
      </c>
      <c r="J254" s="33">
        <v>3</v>
      </c>
      <c r="K254" s="40" t="str">
        <f>VLOOKUP(J254,Key!$A$24:$B$29,2,FALSE)</f>
        <v>40-49</v>
      </c>
      <c r="L254" s="33" t="s">
        <v>151</v>
      </c>
      <c r="M254" s="29" t="s">
        <v>151</v>
      </c>
      <c r="N254" s="33" t="s">
        <v>152</v>
      </c>
      <c r="O254" s="35">
        <v>2</v>
      </c>
      <c r="P254" s="30" t="str">
        <f>VLOOKUP(O254,Key!$E$2:$F$9,2,FALSE)</f>
        <v>Work</v>
      </c>
      <c r="Q254" s="33" t="s">
        <v>153</v>
      </c>
      <c r="R254" s="29" t="s">
        <v>153</v>
      </c>
      <c r="S254" s="33" t="s">
        <v>152</v>
      </c>
      <c r="T254" s="29">
        <v>2</v>
      </c>
      <c r="U254" s="30" t="str">
        <f>VLOOKUP(T254,Key!$E$2:$F$9,2,FALSE)</f>
        <v>Work</v>
      </c>
      <c r="V254" s="30" t="str">
        <f t="shared" si="12"/>
        <v>Work-Work</v>
      </c>
      <c r="W254" s="41">
        <v>700000</v>
      </c>
      <c r="X254" s="34">
        <v>190</v>
      </c>
      <c r="Y254" s="50" t="str">
        <f t="shared" si="13"/>
        <v>100-200</v>
      </c>
      <c r="Z254" s="34">
        <v>3</v>
      </c>
      <c r="AA254" s="50" t="str">
        <f t="shared" si="14"/>
        <v>2.0-3.5</v>
      </c>
      <c r="AB254" s="29">
        <v>10</v>
      </c>
      <c r="AC254" s="30" t="str">
        <f>VLOOKUP(AB254,Key!$C$20:$D$29,2,FALSE)</f>
        <v>Other</v>
      </c>
      <c r="AD254" s="29">
        <v>4</v>
      </c>
      <c r="AE254" s="30" t="str">
        <f>VLOOKUP(AD254,Key!$E$20:$F$24,2,FALSE)</f>
        <v>750,000-1,000,000</v>
      </c>
      <c r="AF254" s="29">
        <v>3</v>
      </c>
      <c r="AG254" s="34">
        <v>2</v>
      </c>
      <c r="AH254" s="34">
        <v>1</v>
      </c>
      <c r="AI254" s="34">
        <v>5</v>
      </c>
      <c r="AJ254" s="34">
        <v>4</v>
      </c>
      <c r="AK254" s="35" t="s">
        <v>94</v>
      </c>
      <c r="AL254" s="36"/>
      <c r="AM254" t="str">
        <f t="shared" si="15"/>
        <v>0-1000</v>
      </c>
    </row>
    <row r="255" spans="1:39" x14ac:dyDescent="0.2">
      <c r="A255" s="44">
        <v>43762</v>
      </c>
      <c r="B255" s="31">
        <v>0.60486111111111118</v>
      </c>
      <c r="C255" s="31"/>
      <c r="D255" s="31" t="s">
        <v>150</v>
      </c>
      <c r="E255" s="33">
        <v>2</v>
      </c>
      <c r="F255" s="38" t="str">
        <f>VLOOKUP(E255,Key!$A$17:$B$21,2,FALSE)</f>
        <v>Road Vehicle</v>
      </c>
      <c r="G255" s="32">
        <v>6</v>
      </c>
      <c r="H255" s="39" t="str">
        <f>VLOOKUP(G255,Key!$A$2:$B$13,2,FALSE)</f>
        <v>Large Bus</v>
      </c>
      <c r="I255" s="33" t="s">
        <v>109</v>
      </c>
      <c r="J255" s="33">
        <v>3</v>
      </c>
      <c r="K255" s="40" t="str">
        <f>VLOOKUP(J255,Key!$A$24:$B$29,2,FALSE)</f>
        <v>40-49</v>
      </c>
      <c r="L255" s="33" t="s">
        <v>151</v>
      </c>
      <c r="M255" s="29" t="s">
        <v>151</v>
      </c>
      <c r="N255" s="33" t="s">
        <v>152</v>
      </c>
      <c r="O255" s="35">
        <v>4</v>
      </c>
      <c r="P255" s="30" t="str">
        <f>VLOOKUP(O255,Key!$E$2:$F$9,2,FALSE)</f>
        <v>Commercial</v>
      </c>
      <c r="Q255" s="33" t="s">
        <v>153</v>
      </c>
      <c r="R255" s="29" t="s">
        <v>153</v>
      </c>
      <c r="S255" s="33" t="s">
        <v>152</v>
      </c>
      <c r="T255" s="29">
        <v>3</v>
      </c>
      <c r="U255" s="30" t="str">
        <f>VLOOKUP(T255,Key!$E$2:$F$9,2,FALSE)</f>
        <v>Study</v>
      </c>
      <c r="V255" s="30" t="str">
        <f t="shared" si="12"/>
        <v>Commercial-Study</v>
      </c>
      <c r="W255" s="41">
        <v>13000</v>
      </c>
      <c r="X255" s="34">
        <v>190</v>
      </c>
      <c r="Y255" s="50" t="str">
        <f t="shared" si="13"/>
        <v>100-200</v>
      </c>
      <c r="Z255" s="34">
        <v>3</v>
      </c>
      <c r="AA255" s="50" t="str">
        <f t="shared" si="14"/>
        <v>2.0-3.5</v>
      </c>
      <c r="AB255" s="29">
        <v>2</v>
      </c>
      <c r="AC255" s="30" t="str">
        <f>VLOOKUP(AB255,Key!$C$20:$D$29,2,FALSE)</f>
        <v>Manual Labour</v>
      </c>
      <c r="AD255" s="29">
        <v>1</v>
      </c>
      <c r="AE255" s="30" t="str">
        <f>VLOOKUP(AD255,Key!$E$20:$F$24,2,FALSE)</f>
        <v>&lt;300,000</v>
      </c>
      <c r="AF255" s="29">
        <v>3</v>
      </c>
      <c r="AG255" s="34">
        <v>2</v>
      </c>
      <c r="AH255" s="34">
        <v>1</v>
      </c>
      <c r="AI255" s="34">
        <v>5</v>
      </c>
      <c r="AJ255" s="34">
        <v>4</v>
      </c>
      <c r="AK255" s="35" t="s">
        <v>94</v>
      </c>
      <c r="AL255" s="36">
        <v>5000</v>
      </c>
      <c r="AM255" t="str">
        <f t="shared" si="15"/>
        <v>5000-10000</v>
      </c>
    </row>
    <row r="256" spans="1:39" x14ac:dyDescent="0.2">
      <c r="A256" s="44">
        <v>43762</v>
      </c>
      <c r="B256" s="31">
        <v>0.99305555555555547</v>
      </c>
      <c r="C256" s="31"/>
      <c r="D256" s="31" t="s">
        <v>97</v>
      </c>
      <c r="E256" s="33">
        <v>2</v>
      </c>
      <c r="F256" s="38" t="str">
        <f>VLOOKUP(E256,Key!$A$17:$B$21,2,FALSE)</f>
        <v>Road Vehicle</v>
      </c>
      <c r="G256" s="32">
        <v>6</v>
      </c>
      <c r="H256" s="39" t="str">
        <f>VLOOKUP(G256,Key!$A$2:$B$13,2,FALSE)</f>
        <v>Large Bus</v>
      </c>
      <c r="I256" s="33" t="s">
        <v>109</v>
      </c>
      <c r="J256" s="33">
        <v>3</v>
      </c>
      <c r="K256" s="40" t="str">
        <f>VLOOKUP(J256,Key!$A$24:$B$29,2,FALSE)</f>
        <v>40-49</v>
      </c>
      <c r="L256" s="33" t="s">
        <v>151</v>
      </c>
      <c r="M256" s="29" t="s">
        <v>151</v>
      </c>
      <c r="N256" s="33" t="s">
        <v>152</v>
      </c>
      <c r="O256" s="35">
        <v>2</v>
      </c>
      <c r="P256" s="30" t="str">
        <f>VLOOKUP(O256,Key!$E$2:$F$9,2,FALSE)</f>
        <v>Work</v>
      </c>
      <c r="Q256" s="33" t="s">
        <v>153</v>
      </c>
      <c r="R256" s="29" t="s">
        <v>153</v>
      </c>
      <c r="S256" s="33" t="s">
        <v>152</v>
      </c>
      <c r="T256" s="29">
        <v>1</v>
      </c>
      <c r="U256" s="30" t="str">
        <f>VLOOKUP(T256,Key!$E$2:$F$9,2,FALSE)</f>
        <v>Home</v>
      </c>
      <c r="V256" s="30" t="str">
        <f t="shared" si="12"/>
        <v>Work-Home</v>
      </c>
      <c r="W256" s="29">
        <v>700000</v>
      </c>
      <c r="X256" s="34">
        <v>200</v>
      </c>
      <c r="Y256" s="50" t="str">
        <f t="shared" si="13"/>
        <v>Over 200</v>
      </c>
      <c r="Z256" s="34">
        <v>4</v>
      </c>
      <c r="AA256" s="50" t="str">
        <f t="shared" si="14"/>
        <v>Over 3.5</v>
      </c>
      <c r="AB256" s="29">
        <v>10</v>
      </c>
      <c r="AC256" s="30" t="str">
        <f>VLOOKUP(AB256,Key!$C$20:$D$29,2,FALSE)</f>
        <v>Other</v>
      </c>
      <c r="AD256" s="29">
        <v>4</v>
      </c>
      <c r="AE256" s="30" t="str">
        <f>VLOOKUP(AD256,Key!$E$20:$F$24,2,FALSE)</f>
        <v>750,000-1,000,000</v>
      </c>
      <c r="AF256" s="29">
        <v>1</v>
      </c>
      <c r="AG256" s="34">
        <v>2</v>
      </c>
      <c r="AH256" s="34">
        <v>3</v>
      </c>
      <c r="AI256" s="34">
        <v>4</v>
      </c>
      <c r="AJ256" s="34">
        <v>5</v>
      </c>
      <c r="AK256" s="35" t="s">
        <v>94</v>
      </c>
      <c r="AL256" s="36"/>
      <c r="AM256" t="str">
        <f t="shared" si="15"/>
        <v>0-1000</v>
      </c>
    </row>
    <row r="257" spans="1:39" x14ac:dyDescent="0.2">
      <c r="A257" s="44">
        <v>43762</v>
      </c>
      <c r="B257" s="31">
        <v>0.56597222222222221</v>
      </c>
      <c r="C257" s="31"/>
      <c r="D257" s="31" t="s">
        <v>97</v>
      </c>
      <c r="E257" s="33">
        <v>2</v>
      </c>
      <c r="F257" s="38" t="str">
        <f>VLOOKUP(E257,Key!$A$17:$B$21,2,FALSE)</f>
        <v>Road Vehicle</v>
      </c>
      <c r="G257" s="32">
        <v>6</v>
      </c>
      <c r="H257" s="39" t="str">
        <f>VLOOKUP(G257,Key!$A$2:$B$13,2,FALSE)</f>
        <v>Large Bus</v>
      </c>
      <c r="I257" s="33" t="s">
        <v>109</v>
      </c>
      <c r="J257" s="33">
        <v>3</v>
      </c>
      <c r="K257" s="40" t="str">
        <f>VLOOKUP(J257,Key!$A$24:$B$29,2,FALSE)</f>
        <v>40-49</v>
      </c>
      <c r="L257" s="33" t="s">
        <v>151</v>
      </c>
      <c r="M257" s="29" t="s">
        <v>151</v>
      </c>
      <c r="N257" s="33" t="s">
        <v>152</v>
      </c>
      <c r="O257" s="35">
        <v>2</v>
      </c>
      <c r="P257" s="30" t="str">
        <f>VLOOKUP(O257,Key!$E$2:$F$9,2,FALSE)</f>
        <v>Work</v>
      </c>
      <c r="Q257" s="33" t="s">
        <v>153</v>
      </c>
      <c r="R257" s="29" t="s">
        <v>153</v>
      </c>
      <c r="S257" s="33" t="s">
        <v>152</v>
      </c>
      <c r="T257" s="29">
        <v>1</v>
      </c>
      <c r="U257" s="30" t="str">
        <f>VLOOKUP(T257,Key!$E$2:$F$9,2,FALSE)</f>
        <v>Home</v>
      </c>
      <c r="V257" s="30" t="str">
        <f t="shared" si="12"/>
        <v>Work-Home</v>
      </c>
      <c r="W257" s="29">
        <v>700000</v>
      </c>
      <c r="X257" s="34">
        <v>195</v>
      </c>
      <c r="Y257" s="50" t="str">
        <f t="shared" si="13"/>
        <v>100-200</v>
      </c>
      <c r="Z257" s="34">
        <v>4</v>
      </c>
      <c r="AA257" s="50" t="str">
        <f t="shared" si="14"/>
        <v>Over 3.5</v>
      </c>
      <c r="AB257" s="29">
        <v>10</v>
      </c>
      <c r="AC257" s="30" t="str">
        <f>VLOOKUP(AB257,Key!$C$20:$D$29,2,FALSE)</f>
        <v>Other</v>
      </c>
      <c r="AD257" s="29">
        <v>4</v>
      </c>
      <c r="AE257" s="30" t="str">
        <f>VLOOKUP(AD257,Key!$E$20:$F$24,2,FALSE)</f>
        <v>750,000-1,000,000</v>
      </c>
      <c r="AF257" s="29">
        <v>4</v>
      </c>
      <c r="AG257" s="34">
        <v>2</v>
      </c>
      <c r="AH257" s="34">
        <v>1</v>
      </c>
      <c r="AI257" s="34">
        <v>3</v>
      </c>
      <c r="AJ257" s="34">
        <v>5</v>
      </c>
      <c r="AK257" s="35" t="s">
        <v>94</v>
      </c>
      <c r="AL257" s="36">
        <v>1000</v>
      </c>
      <c r="AM257" t="str">
        <f t="shared" si="15"/>
        <v>1000-2000</v>
      </c>
    </row>
    <row r="258" spans="1:39" x14ac:dyDescent="0.2">
      <c r="A258" s="44">
        <v>43762</v>
      </c>
      <c r="B258" s="31">
        <v>0.53611111111111109</v>
      </c>
      <c r="C258" s="31"/>
      <c r="D258" s="31" t="s">
        <v>97</v>
      </c>
      <c r="E258" s="33">
        <v>2</v>
      </c>
      <c r="F258" s="38" t="str">
        <f>VLOOKUP(E258,Key!$A$17:$B$21,2,FALSE)</f>
        <v>Road Vehicle</v>
      </c>
      <c r="G258" s="32">
        <v>6</v>
      </c>
      <c r="H258" s="39" t="str">
        <f>VLOOKUP(G258,Key!$A$2:$B$13,2,FALSE)</f>
        <v>Large Bus</v>
      </c>
      <c r="I258" s="33" t="s">
        <v>109</v>
      </c>
      <c r="J258" s="33">
        <v>3</v>
      </c>
      <c r="K258" s="40" t="str">
        <f>VLOOKUP(J258,Key!$A$24:$B$29,2,FALSE)</f>
        <v>40-49</v>
      </c>
      <c r="L258" s="33" t="s">
        <v>151</v>
      </c>
      <c r="M258" s="29" t="s">
        <v>151</v>
      </c>
      <c r="N258" s="33" t="s">
        <v>152</v>
      </c>
      <c r="O258" s="35">
        <v>1</v>
      </c>
      <c r="P258" s="30" t="str">
        <f>VLOOKUP(O258,Key!$E$2:$F$9,2,FALSE)</f>
        <v>Home</v>
      </c>
      <c r="Q258" s="33" t="s">
        <v>154</v>
      </c>
      <c r="R258" s="29" t="s">
        <v>154</v>
      </c>
      <c r="S258" s="33" t="s">
        <v>152</v>
      </c>
      <c r="T258" s="29">
        <v>2</v>
      </c>
      <c r="U258" s="30" t="str">
        <f>VLOOKUP(T258,Key!$E$2:$F$9,2,FALSE)</f>
        <v>Work</v>
      </c>
      <c r="V258" s="30" t="str">
        <f t="shared" ref="V258:V321" si="16">P258&amp;"-"&amp;U258</f>
        <v>Home-Work</v>
      </c>
      <c r="W258" s="29">
        <v>600000</v>
      </c>
      <c r="X258" s="34">
        <v>150</v>
      </c>
      <c r="Y258" s="50" t="str">
        <f t="shared" si="13"/>
        <v>100-200</v>
      </c>
      <c r="Z258" s="34">
        <v>2</v>
      </c>
      <c r="AA258" s="50" t="str">
        <f t="shared" si="14"/>
        <v>2.0-3.5</v>
      </c>
      <c r="AB258" s="29">
        <v>10</v>
      </c>
      <c r="AC258" s="30" t="str">
        <f>VLOOKUP(AB258,Key!$C$20:$D$29,2,FALSE)</f>
        <v>Other</v>
      </c>
      <c r="AD258" s="29">
        <v>3</v>
      </c>
      <c r="AE258" s="30" t="str">
        <f>VLOOKUP(AD258,Key!$E$20:$F$24,2,FALSE)</f>
        <v>500,000-750,000</v>
      </c>
      <c r="AF258" s="29">
        <v>2</v>
      </c>
      <c r="AG258" s="34">
        <v>3</v>
      </c>
      <c r="AH258" s="34">
        <v>1</v>
      </c>
      <c r="AI258" s="34">
        <v>9</v>
      </c>
      <c r="AJ258" s="34">
        <v>5</v>
      </c>
      <c r="AK258" s="35" t="s">
        <v>94</v>
      </c>
      <c r="AL258" s="36">
        <v>2000</v>
      </c>
      <c r="AM258" t="str">
        <f t="shared" si="15"/>
        <v>2000-3000</v>
      </c>
    </row>
    <row r="259" spans="1:39" x14ac:dyDescent="0.2">
      <c r="A259" s="44">
        <v>43762</v>
      </c>
      <c r="B259" s="31">
        <v>0.53263888888888888</v>
      </c>
      <c r="C259" s="31"/>
      <c r="D259" s="31" t="s">
        <v>97</v>
      </c>
      <c r="E259" s="33">
        <v>2</v>
      </c>
      <c r="F259" s="38" t="str">
        <f>VLOOKUP(E259,Key!$A$17:$B$21,2,FALSE)</f>
        <v>Road Vehicle</v>
      </c>
      <c r="G259" s="32">
        <v>6</v>
      </c>
      <c r="H259" s="39" t="str">
        <f>VLOOKUP(G259,Key!$A$2:$B$13,2,FALSE)</f>
        <v>Large Bus</v>
      </c>
      <c r="I259" s="33" t="s">
        <v>109</v>
      </c>
      <c r="J259" s="33">
        <v>3</v>
      </c>
      <c r="K259" s="40" t="str">
        <f>VLOOKUP(J259,Key!$A$24:$B$29,2,FALSE)</f>
        <v>40-49</v>
      </c>
      <c r="L259" s="33" t="s">
        <v>151</v>
      </c>
      <c r="M259" s="29" t="s">
        <v>151</v>
      </c>
      <c r="N259" s="33" t="s">
        <v>152</v>
      </c>
      <c r="O259" s="35">
        <v>1</v>
      </c>
      <c r="P259" s="30" t="str">
        <f>VLOOKUP(O259,Key!$E$2:$F$9,2,FALSE)</f>
        <v>Home</v>
      </c>
      <c r="Q259" s="33" t="s">
        <v>153</v>
      </c>
      <c r="R259" s="29" t="s">
        <v>153</v>
      </c>
      <c r="S259" s="33" t="s">
        <v>152</v>
      </c>
      <c r="T259" s="29">
        <v>2</v>
      </c>
      <c r="U259" s="30" t="str">
        <f>VLOOKUP(T259,Key!$E$2:$F$9,2,FALSE)</f>
        <v>Work</v>
      </c>
      <c r="V259" s="30" t="str">
        <f t="shared" si="16"/>
        <v>Home-Work</v>
      </c>
      <c r="W259" s="29">
        <v>650000</v>
      </c>
      <c r="X259" s="34">
        <v>198</v>
      </c>
      <c r="Y259" s="50" t="str">
        <f t="shared" ref="Y259:Y322" si="17">IF(X259&lt;10,"0-10",IF(X259&lt;20,"10-20",IF(X259&lt;40,"20-40",IF(X259&lt;70,"40-70",IF(X259&lt;100,"70-100",IF(X259&lt;200,"100-200","Over 200"))))))</f>
        <v>100-200</v>
      </c>
      <c r="Z259" s="34">
        <v>4</v>
      </c>
      <c r="AA259" s="50" t="str">
        <f t="shared" ref="AA259:AA322" si="18">IF(Z259&lt;0.5,"0-0.5",IF(Z259&lt;1,"0.5-1.0",IF(Z259&lt;2,"1.0-2.0",IF(Z259&lt;3.5,"2.0-3.5","Over 3.5"))))</f>
        <v>Over 3.5</v>
      </c>
      <c r="AB259" s="29">
        <v>10</v>
      </c>
      <c r="AC259" s="30" t="str">
        <f>VLOOKUP(AB259,Key!$C$20:$D$29,2,FALSE)</f>
        <v>Other</v>
      </c>
      <c r="AD259" s="29">
        <v>3</v>
      </c>
      <c r="AE259" s="30" t="str">
        <f>VLOOKUP(AD259,Key!$E$20:$F$24,2,FALSE)</f>
        <v>500,000-750,000</v>
      </c>
      <c r="AF259" s="29">
        <v>2</v>
      </c>
      <c r="AG259" s="34">
        <v>3</v>
      </c>
      <c r="AH259" s="34">
        <v>1</v>
      </c>
      <c r="AI259" s="34">
        <v>5</v>
      </c>
      <c r="AJ259" s="34">
        <v>4</v>
      </c>
      <c r="AK259" s="35" t="s">
        <v>94</v>
      </c>
      <c r="AL259" s="36">
        <v>1000</v>
      </c>
      <c r="AM259" t="str">
        <f t="shared" ref="AM259:AM322" si="19">IF(AL259&lt;1000,"0-1000",IF(AL259&lt;2000,"1000-2000",IF(AL259&lt;3000,"2000-3000",IF(AL259&lt;5000,"3000-5000",IF(AL259&lt;10000,"5000-10000","Over 10000")))))</f>
        <v>1000-2000</v>
      </c>
    </row>
    <row r="260" spans="1:39" x14ac:dyDescent="0.2">
      <c r="A260" s="44">
        <v>43763</v>
      </c>
      <c r="B260" s="31">
        <v>0.75624999999999998</v>
      </c>
      <c r="C260" s="31"/>
      <c r="D260" s="31" t="s">
        <v>97</v>
      </c>
      <c r="E260" s="33">
        <v>2</v>
      </c>
      <c r="F260" s="38" t="str">
        <f>VLOOKUP(E260,Key!$A$17:$B$21,2,FALSE)</f>
        <v>Road Vehicle</v>
      </c>
      <c r="G260" s="32">
        <v>6</v>
      </c>
      <c r="H260" s="39" t="str">
        <f>VLOOKUP(G260,Key!$A$2:$B$13,2,FALSE)</f>
        <v>Large Bus</v>
      </c>
      <c r="I260" s="33" t="s">
        <v>109</v>
      </c>
      <c r="J260" s="33">
        <v>3</v>
      </c>
      <c r="K260" s="40" t="str">
        <f>VLOOKUP(J260,Key!$A$24:$B$29,2,FALSE)</f>
        <v>40-49</v>
      </c>
      <c r="L260" s="33" t="s">
        <v>151</v>
      </c>
      <c r="M260" s="29" t="s">
        <v>151</v>
      </c>
      <c r="N260" s="33" t="s">
        <v>152</v>
      </c>
      <c r="O260" s="35">
        <v>1</v>
      </c>
      <c r="P260" s="30" t="str">
        <f>VLOOKUP(O260,Key!$E$2:$F$9,2,FALSE)</f>
        <v>Home</v>
      </c>
      <c r="Q260" s="33" t="s">
        <v>151</v>
      </c>
      <c r="R260" s="29" t="s">
        <v>151</v>
      </c>
      <c r="S260" s="33" t="s">
        <v>152</v>
      </c>
      <c r="T260" s="29">
        <v>2</v>
      </c>
      <c r="U260" s="30" t="str">
        <f>VLOOKUP(T260,Key!$E$2:$F$9,2,FALSE)</f>
        <v>Work</v>
      </c>
      <c r="V260" s="30" t="str">
        <f t="shared" si="16"/>
        <v>Home-Work</v>
      </c>
      <c r="W260" s="29">
        <v>10000</v>
      </c>
      <c r="X260" s="34">
        <v>130</v>
      </c>
      <c r="Y260" s="50" t="str">
        <f t="shared" si="17"/>
        <v>100-200</v>
      </c>
      <c r="Z260" s="34">
        <v>3</v>
      </c>
      <c r="AA260" s="50" t="str">
        <f t="shared" si="18"/>
        <v>2.0-3.5</v>
      </c>
      <c r="AB260" s="29">
        <v>10</v>
      </c>
      <c r="AC260" s="30" t="str">
        <f>VLOOKUP(AB260,Key!$C$20:$D$29,2,FALSE)</f>
        <v>Other</v>
      </c>
      <c r="AD260" s="29">
        <v>5</v>
      </c>
      <c r="AE260" s="30" t="str">
        <f>VLOOKUP(AD260,Key!$E$20:$F$24,2,FALSE)</f>
        <v>&gt;1,000,000</v>
      </c>
      <c r="AF260" s="29">
        <v>2</v>
      </c>
      <c r="AG260" s="34">
        <v>1</v>
      </c>
      <c r="AH260" s="34">
        <v>3</v>
      </c>
      <c r="AI260" s="34">
        <v>4</v>
      </c>
      <c r="AJ260" s="34">
        <v>5</v>
      </c>
      <c r="AK260" s="35" t="s">
        <v>94</v>
      </c>
      <c r="AL260" s="36">
        <v>3000</v>
      </c>
      <c r="AM260" t="str">
        <f t="shared" si="19"/>
        <v>3000-5000</v>
      </c>
    </row>
    <row r="261" spans="1:39" x14ac:dyDescent="0.2">
      <c r="A261" s="44">
        <v>43763</v>
      </c>
      <c r="B261" s="31">
        <v>0.74513888888888891</v>
      </c>
      <c r="C261" s="31"/>
      <c r="D261" s="31" t="s">
        <v>97</v>
      </c>
      <c r="E261" s="33">
        <v>2</v>
      </c>
      <c r="F261" s="38" t="str">
        <f>VLOOKUP(E261,Key!$A$17:$B$21,2,FALSE)</f>
        <v>Road Vehicle</v>
      </c>
      <c r="G261" s="32">
        <v>6</v>
      </c>
      <c r="H261" s="39" t="str">
        <f>VLOOKUP(G261,Key!$A$2:$B$13,2,FALSE)</f>
        <v>Large Bus</v>
      </c>
      <c r="I261" s="33" t="s">
        <v>109</v>
      </c>
      <c r="J261" s="33">
        <v>3</v>
      </c>
      <c r="K261" s="40" t="str">
        <f>VLOOKUP(J261,Key!$A$24:$B$29,2,FALSE)</f>
        <v>40-49</v>
      </c>
      <c r="L261" s="33" t="s">
        <v>151</v>
      </c>
      <c r="M261" s="29" t="s">
        <v>151</v>
      </c>
      <c r="N261" s="33" t="s">
        <v>152</v>
      </c>
      <c r="O261" s="35">
        <v>2</v>
      </c>
      <c r="P261" s="30" t="str">
        <f>VLOOKUP(O261,Key!$E$2:$F$9,2,FALSE)</f>
        <v>Work</v>
      </c>
      <c r="Q261" s="33" t="s">
        <v>163</v>
      </c>
      <c r="R261" s="29" t="s">
        <v>163</v>
      </c>
      <c r="S261" s="33" t="s">
        <v>152</v>
      </c>
      <c r="T261" s="29">
        <v>1</v>
      </c>
      <c r="U261" s="30" t="str">
        <f>VLOOKUP(T261,Key!$E$2:$F$9,2,FALSE)</f>
        <v>Home</v>
      </c>
      <c r="V261" s="30" t="str">
        <f t="shared" si="16"/>
        <v>Work-Home</v>
      </c>
      <c r="W261" s="29">
        <v>750000</v>
      </c>
      <c r="X261" s="34">
        <v>400</v>
      </c>
      <c r="Y261" s="50" t="str">
        <f t="shared" si="17"/>
        <v>Over 200</v>
      </c>
      <c r="Z261" s="34">
        <v>8</v>
      </c>
      <c r="AA261" s="50" t="str">
        <f t="shared" si="18"/>
        <v>Over 3.5</v>
      </c>
      <c r="AB261" s="29">
        <v>10</v>
      </c>
      <c r="AC261" s="30" t="str">
        <f>VLOOKUP(AB261,Key!$C$20:$D$29,2,FALSE)</f>
        <v>Other</v>
      </c>
      <c r="AD261" s="29">
        <v>5</v>
      </c>
      <c r="AE261" s="30" t="str">
        <f>VLOOKUP(AD261,Key!$E$20:$F$24,2,FALSE)</f>
        <v>&gt;1,000,000</v>
      </c>
      <c r="AF261" s="29">
        <v>1</v>
      </c>
      <c r="AG261" s="34">
        <v>2</v>
      </c>
      <c r="AH261" s="34">
        <v>5</v>
      </c>
      <c r="AI261" s="34">
        <v>3</v>
      </c>
      <c r="AJ261" s="34">
        <v>4</v>
      </c>
      <c r="AK261" s="35" t="s">
        <v>94</v>
      </c>
      <c r="AL261" s="36">
        <v>3000</v>
      </c>
      <c r="AM261" t="str">
        <f t="shared" si="19"/>
        <v>3000-5000</v>
      </c>
    </row>
    <row r="262" spans="1:39" x14ac:dyDescent="0.2">
      <c r="A262" s="44">
        <v>43763</v>
      </c>
      <c r="B262" s="31">
        <v>0.73958333333333337</v>
      </c>
      <c r="C262" s="31"/>
      <c r="D262" s="31" t="s">
        <v>97</v>
      </c>
      <c r="E262" s="33">
        <v>2</v>
      </c>
      <c r="F262" s="38" t="str">
        <f>VLOOKUP(E262,Key!$A$17:$B$21,2,FALSE)</f>
        <v>Road Vehicle</v>
      </c>
      <c r="G262" s="32">
        <v>6</v>
      </c>
      <c r="H262" s="39" t="str">
        <f>VLOOKUP(G262,Key!$A$2:$B$13,2,FALSE)</f>
        <v>Large Bus</v>
      </c>
      <c r="I262" s="33" t="s">
        <v>109</v>
      </c>
      <c r="J262" s="33">
        <v>3</v>
      </c>
      <c r="K262" s="40" t="str">
        <f>VLOOKUP(J262,Key!$A$24:$B$29,2,FALSE)</f>
        <v>40-49</v>
      </c>
      <c r="L262" s="33" t="s">
        <v>151</v>
      </c>
      <c r="M262" s="29" t="s">
        <v>151</v>
      </c>
      <c r="N262" s="33" t="s">
        <v>152</v>
      </c>
      <c r="O262" s="35">
        <v>2</v>
      </c>
      <c r="P262" s="30" t="str">
        <f>VLOOKUP(O262,Key!$E$2:$F$9,2,FALSE)</f>
        <v>Work</v>
      </c>
      <c r="Q262" s="33" t="s">
        <v>154</v>
      </c>
      <c r="R262" s="29" t="s">
        <v>154</v>
      </c>
      <c r="S262" s="33" t="s">
        <v>152</v>
      </c>
      <c r="T262" s="29">
        <v>1</v>
      </c>
      <c r="U262" s="30" t="str">
        <f>VLOOKUP(T262,Key!$E$2:$F$9,2,FALSE)</f>
        <v>Home</v>
      </c>
      <c r="V262" s="30" t="str">
        <f t="shared" si="16"/>
        <v>Work-Home</v>
      </c>
      <c r="W262" s="29">
        <v>500000</v>
      </c>
      <c r="X262" s="34">
        <v>75</v>
      </c>
      <c r="Y262" s="50" t="str">
        <f t="shared" si="17"/>
        <v>70-100</v>
      </c>
      <c r="Z262" s="34">
        <v>2</v>
      </c>
      <c r="AA262" s="50" t="str">
        <f t="shared" si="18"/>
        <v>2.0-3.5</v>
      </c>
      <c r="AB262" s="29">
        <v>10</v>
      </c>
      <c r="AC262" s="30" t="str">
        <f>VLOOKUP(AB262,Key!$C$20:$D$29,2,FALSE)</f>
        <v>Other</v>
      </c>
      <c r="AD262" s="29">
        <v>4</v>
      </c>
      <c r="AE262" s="30" t="str">
        <f>VLOOKUP(AD262,Key!$E$20:$F$24,2,FALSE)</f>
        <v>750,000-1,000,000</v>
      </c>
      <c r="AF262" s="29">
        <v>2</v>
      </c>
      <c r="AG262" s="34">
        <v>1</v>
      </c>
      <c r="AH262" s="34">
        <v>5</v>
      </c>
      <c r="AI262" s="34">
        <v>2</v>
      </c>
      <c r="AJ262" s="34">
        <v>4</v>
      </c>
      <c r="AK262" s="35" t="s">
        <v>94</v>
      </c>
      <c r="AL262" s="36">
        <v>1000</v>
      </c>
      <c r="AM262" t="str">
        <f t="shared" si="19"/>
        <v>1000-2000</v>
      </c>
    </row>
    <row r="263" spans="1:39" x14ac:dyDescent="0.2">
      <c r="A263" s="44">
        <v>43763</v>
      </c>
      <c r="B263" s="31">
        <v>0.73055555555555562</v>
      </c>
      <c r="C263" s="31"/>
      <c r="D263" s="31" t="s">
        <v>97</v>
      </c>
      <c r="E263" s="33">
        <v>2</v>
      </c>
      <c r="F263" s="38" t="str">
        <f>VLOOKUP(E263,Key!$A$17:$B$21,2,FALSE)</f>
        <v>Road Vehicle</v>
      </c>
      <c r="G263" s="32">
        <v>6</v>
      </c>
      <c r="H263" s="39" t="str">
        <f>VLOOKUP(G263,Key!$A$2:$B$13,2,FALSE)</f>
        <v>Large Bus</v>
      </c>
      <c r="I263" s="33" t="s">
        <v>109</v>
      </c>
      <c r="J263" s="33">
        <v>3</v>
      </c>
      <c r="K263" s="40" t="str">
        <f>VLOOKUP(J263,Key!$A$24:$B$29,2,FALSE)</f>
        <v>40-49</v>
      </c>
      <c r="L263" s="33" t="s">
        <v>151</v>
      </c>
      <c r="M263" s="29" t="s">
        <v>151</v>
      </c>
      <c r="N263" s="33" t="s">
        <v>152</v>
      </c>
      <c r="O263" s="35">
        <v>2</v>
      </c>
      <c r="P263" s="30" t="str">
        <f>VLOOKUP(O263,Key!$E$2:$F$9,2,FALSE)</f>
        <v>Work</v>
      </c>
      <c r="Q263" s="33" t="s">
        <v>153</v>
      </c>
      <c r="R263" s="29" t="s">
        <v>153</v>
      </c>
      <c r="S263" s="33" t="s">
        <v>152</v>
      </c>
      <c r="T263" s="29">
        <v>1</v>
      </c>
      <c r="U263" s="30" t="str">
        <f>VLOOKUP(T263,Key!$E$2:$F$9,2,FALSE)</f>
        <v>Home</v>
      </c>
      <c r="V263" s="30" t="str">
        <f t="shared" si="16"/>
        <v>Work-Home</v>
      </c>
      <c r="W263" s="29">
        <v>700000</v>
      </c>
      <c r="X263" s="34">
        <v>190</v>
      </c>
      <c r="Y263" s="50" t="str">
        <f t="shared" si="17"/>
        <v>100-200</v>
      </c>
      <c r="Z263" s="34">
        <v>4</v>
      </c>
      <c r="AA263" s="50" t="str">
        <f t="shared" si="18"/>
        <v>Over 3.5</v>
      </c>
      <c r="AB263" s="29">
        <v>10</v>
      </c>
      <c r="AC263" s="30" t="s">
        <v>133</v>
      </c>
      <c r="AD263" s="29">
        <v>3</v>
      </c>
      <c r="AE263" s="30" t="str">
        <f>VLOOKUP(AD263,Key!$E$20:$F$24,2,FALSE)</f>
        <v>500,000-750,000</v>
      </c>
      <c r="AF263" s="29">
        <v>2</v>
      </c>
      <c r="AG263" s="34">
        <v>1</v>
      </c>
      <c r="AH263" s="34">
        <v>3</v>
      </c>
      <c r="AI263" s="34">
        <v>2</v>
      </c>
      <c r="AJ263" s="34">
        <v>1</v>
      </c>
      <c r="AK263" s="35" t="s">
        <v>94</v>
      </c>
      <c r="AL263" s="36"/>
      <c r="AM263" t="str">
        <f t="shared" si="19"/>
        <v>0-1000</v>
      </c>
    </row>
    <row r="264" spans="1:39" x14ac:dyDescent="0.2">
      <c r="A264" s="44">
        <v>43763</v>
      </c>
      <c r="B264" s="31">
        <v>0.63888888888888895</v>
      </c>
      <c r="C264" s="31"/>
      <c r="D264" s="31" t="s">
        <v>150</v>
      </c>
      <c r="E264" s="33">
        <v>2</v>
      </c>
      <c r="F264" s="38" t="str">
        <f>VLOOKUP(E264,Key!$A$17:$B$21,2,FALSE)</f>
        <v>Road Vehicle</v>
      </c>
      <c r="G264" s="32">
        <v>6</v>
      </c>
      <c r="H264" s="39" t="str">
        <f>VLOOKUP(G264,Key!$A$2:$B$13,2,FALSE)</f>
        <v>Large Bus</v>
      </c>
      <c r="I264" s="33" t="s">
        <v>109</v>
      </c>
      <c r="J264" s="33">
        <v>3</v>
      </c>
      <c r="K264" s="40" t="str">
        <f>VLOOKUP(J264,Key!$A$24:$B$29,2,FALSE)</f>
        <v>40-49</v>
      </c>
      <c r="L264" s="33" t="s">
        <v>151</v>
      </c>
      <c r="M264" s="29" t="s">
        <v>151</v>
      </c>
      <c r="N264" s="33" t="s">
        <v>152</v>
      </c>
      <c r="O264" s="35">
        <v>2</v>
      </c>
      <c r="P264" s="30" t="str">
        <f>VLOOKUP(O264,Key!$E$2:$F$9,2,FALSE)</f>
        <v>Work</v>
      </c>
      <c r="Q264" s="33" t="s">
        <v>153</v>
      </c>
      <c r="R264" s="29" t="s">
        <v>153</v>
      </c>
      <c r="S264" s="33" t="s">
        <v>152</v>
      </c>
      <c r="T264" s="29">
        <v>1</v>
      </c>
      <c r="U264" s="30" t="str">
        <f>VLOOKUP(T264,Key!$E$2:$F$9,2,FALSE)</f>
        <v>Home</v>
      </c>
      <c r="V264" s="30" t="str">
        <f t="shared" si="16"/>
        <v>Work-Home</v>
      </c>
      <c r="W264" s="29">
        <v>130000</v>
      </c>
      <c r="X264" s="34">
        <v>200</v>
      </c>
      <c r="Y264" s="50" t="str">
        <f t="shared" si="17"/>
        <v>Over 200</v>
      </c>
      <c r="Z264" s="34">
        <v>5</v>
      </c>
      <c r="AA264" s="50" t="str">
        <f t="shared" si="18"/>
        <v>Over 3.5</v>
      </c>
      <c r="AB264" s="29">
        <v>5</v>
      </c>
      <c r="AC264" s="30" t="str">
        <f>VLOOKUP(AB264,Key!$C$20:$D$29,2,FALSE)</f>
        <v>Professional</v>
      </c>
      <c r="AD264" s="29">
        <v>4</v>
      </c>
      <c r="AE264" s="30" t="str">
        <f>VLOOKUP(AD264,Key!$E$20:$F$24,2,FALSE)</f>
        <v>750,000-1,000,000</v>
      </c>
      <c r="AF264" s="29">
        <v>2</v>
      </c>
      <c r="AG264" s="34">
        <v>2</v>
      </c>
      <c r="AH264" s="34">
        <v>4</v>
      </c>
      <c r="AI264" s="34">
        <v>2</v>
      </c>
      <c r="AJ264" s="34">
        <v>5</v>
      </c>
      <c r="AK264" s="35" t="s">
        <v>94</v>
      </c>
      <c r="AL264" s="36"/>
      <c r="AM264" t="str">
        <f t="shared" si="19"/>
        <v>0-1000</v>
      </c>
    </row>
    <row r="265" spans="1:39" x14ac:dyDescent="0.2">
      <c r="A265" s="44">
        <v>43763</v>
      </c>
      <c r="B265" s="31">
        <v>0.62916666666666665</v>
      </c>
      <c r="C265" s="31"/>
      <c r="D265" s="31" t="s">
        <v>150</v>
      </c>
      <c r="E265" s="33">
        <v>2</v>
      </c>
      <c r="F265" s="38" t="str">
        <f>VLOOKUP(E265,Key!$A$17:$B$21,2,FALSE)</f>
        <v>Road Vehicle</v>
      </c>
      <c r="G265" s="32">
        <v>6</v>
      </c>
      <c r="H265" s="39" t="str">
        <f>VLOOKUP(G265,Key!$A$2:$B$13,2,FALSE)</f>
        <v>Large Bus</v>
      </c>
      <c r="I265" s="33" t="s">
        <v>109</v>
      </c>
      <c r="J265" s="33">
        <v>3</v>
      </c>
      <c r="K265" s="40" t="str">
        <f>VLOOKUP(J265,Key!$A$24:$B$29,2,FALSE)</f>
        <v>40-49</v>
      </c>
      <c r="L265" s="33" t="s">
        <v>151</v>
      </c>
      <c r="M265" s="29" t="s">
        <v>151</v>
      </c>
      <c r="N265" s="33" t="s">
        <v>152</v>
      </c>
      <c r="O265" s="35">
        <v>4</v>
      </c>
      <c r="P265" s="30" t="str">
        <f>VLOOKUP(O265,Key!$E$2:$F$9,2,FALSE)</f>
        <v>Commercial</v>
      </c>
      <c r="Q265" s="33" t="s">
        <v>153</v>
      </c>
      <c r="R265" s="29" t="s">
        <v>153</v>
      </c>
      <c r="S265" s="33" t="s">
        <v>152</v>
      </c>
      <c r="T265" s="29">
        <v>2</v>
      </c>
      <c r="U265" s="30" t="str">
        <f>VLOOKUP(T265,Key!$E$2:$F$9,2,FALSE)</f>
        <v>Work</v>
      </c>
      <c r="V265" s="30" t="str">
        <f t="shared" si="16"/>
        <v>Commercial-Work</v>
      </c>
      <c r="W265" s="29">
        <v>130000</v>
      </c>
      <c r="X265" s="34">
        <v>190</v>
      </c>
      <c r="Y265" s="50" t="str">
        <f t="shared" si="17"/>
        <v>100-200</v>
      </c>
      <c r="Z265" s="34">
        <v>4</v>
      </c>
      <c r="AA265" s="50" t="str">
        <f t="shared" si="18"/>
        <v>Over 3.5</v>
      </c>
      <c r="AB265" s="29">
        <v>6</v>
      </c>
      <c r="AC265" s="30" t="str">
        <f>VLOOKUP(AB265,Key!$C$20:$D$29,2,FALSE)</f>
        <v>Businessman</v>
      </c>
      <c r="AD265" s="29">
        <v>3</v>
      </c>
      <c r="AE265" s="30" t="str">
        <f>VLOOKUP(AD265,Key!$E$20:$F$24,2,FALSE)</f>
        <v>500,000-750,000</v>
      </c>
      <c r="AF265" s="29">
        <v>1</v>
      </c>
      <c r="AG265" s="34">
        <v>2</v>
      </c>
      <c r="AH265" s="34">
        <v>3</v>
      </c>
      <c r="AI265" s="34">
        <v>1</v>
      </c>
      <c r="AJ265" s="34">
        <v>2</v>
      </c>
      <c r="AK265" s="35" t="s">
        <v>94</v>
      </c>
      <c r="AL265" s="36">
        <v>3000</v>
      </c>
      <c r="AM265" t="str">
        <f t="shared" si="19"/>
        <v>3000-5000</v>
      </c>
    </row>
    <row r="266" spans="1:39" x14ac:dyDescent="0.2">
      <c r="A266" s="44">
        <v>43763</v>
      </c>
      <c r="B266" s="31">
        <v>0.59861111111111109</v>
      </c>
      <c r="C266" s="31"/>
      <c r="D266" s="31" t="s">
        <v>97</v>
      </c>
      <c r="E266" s="33">
        <v>2</v>
      </c>
      <c r="F266" s="38" t="str">
        <f>VLOOKUP(E266,Key!$A$17:$B$21,2,FALSE)</f>
        <v>Road Vehicle</v>
      </c>
      <c r="G266" s="32">
        <v>6</v>
      </c>
      <c r="H266" s="39" t="str">
        <f>VLOOKUP(G266,Key!$A$2:$B$13,2,FALSE)</f>
        <v>Large Bus</v>
      </c>
      <c r="I266" s="33" t="s">
        <v>109</v>
      </c>
      <c r="J266" s="33">
        <v>3</v>
      </c>
      <c r="K266" s="40" t="str">
        <f>VLOOKUP(J266,Key!$A$24:$B$29,2,FALSE)</f>
        <v>40-49</v>
      </c>
      <c r="L266" s="33" t="s">
        <v>151</v>
      </c>
      <c r="M266" s="29" t="s">
        <v>151</v>
      </c>
      <c r="N266" s="33" t="s">
        <v>152</v>
      </c>
      <c r="O266" s="35">
        <v>2</v>
      </c>
      <c r="P266" s="30" t="str">
        <f>VLOOKUP(O266,Key!$E$2:$F$9,2,FALSE)</f>
        <v>Work</v>
      </c>
      <c r="Q266" s="33" t="s">
        <v>153</v>
      </c>
      <c r="R266" s="29" t="s">
        <v>153</v>
      </c>
      <c r="S266" s="33" t="s">
        <v>152</v>
      </c>
      <c r="T266" s="29">
        <v>1</v>
      </c>
      <c r="U266" s="30" t="str">
        <f>VLOOKUP(T266,Key!$E$2:$F$9,2,FALSE)</f>
        <v>Home</v>
      </c>
      <c r="V266" s="30" t="str">
        <f t="shared" si="16"/>
        <v>Work-Home</v>
      </c>
      <c r="W266" s="29">
        <v>700000</v>
      </c>
      <c r="X266" s="34">
        <v>190</v>
      </c>
      <c r="Y266" s="50" t="str">
        <f t="shared" si="17"/>
        <v>100-200</v>
      </c>
      <c r="Z266" s="34">
        <v>4</v>
      </c>
      <c r="AA266" s="50" t="str">
        <f t="shared" si="18"/>
        <v>Over 3.5</v>
      </c>
      <c r="AB266" s="29">
        <v>10</v>
      </c>
      <c r="AC266" s="30" t="str">
        <f>VLOOKUP(AB266,Key!$C$20:$D$29,2,FALSE)</f>
        <v>Other</v>
      </c>
      <c r="AD266" s="29">
        <v>2</v>
      </c>
      <c r="AE266" s="30" t="str">
        <f>VLOOKUP(AD266,Key!$E$20:$F$24,2,FALSE)</f>
        <v>300,000-500,000</v>
      </c>
      <c r="AF266" s="29">
        <v>1</v>
      </c>
      <c r="AG266" s="34">
        <v>3</v>
      </c>
      <c r="AH266" s="34">
        <v>2</v>
      </c>
      <c r="AI266" s="34">
        <v>4</v>
      </c>
      <c r="AJ266" s="34">
        <v>5</v>
      </c>
      <c r="AK266" s="35" t="s">
        <v>94</v>
      </c>
      <c r="AL266" s="36">
        <v>1000</v>
      </c>
      <c r="AM266" t="str">
        <f t="shared" si="19"/>
        <v>1000-2000</v>
      </c>
    </row>
    <row r="267" spans="1:39" x14ac:dyDescent="0.2">
      <c r="A267" s="44">
        <v>43763</v>
      </c>
      <c r="B267" s="31">
        <v>0.59444444444444444</v>
      </c>
      <c r="C267" s="31"/>
      <c r="D267" s="31" t="s">
        <v>97</v>
      </c>
      <c r="E267" s="33">
        <v>2</v>
      </c>
      <c r="F267" s="38" t="str">
        <f>VLOOKUP(E267,Key!$A$17:$B$21,2,FALSE)</f>
        <v>Road Vehicle</v>
      </c>
      <c r="G267" s="32">
        <v>6</v>
      </c>
      <c r="H267" s="39" t="str">
        <f>VLOOKUP(G267,Key!$A$2:$B$13,2,FALSE)</f>
        <v>Large Bus</v>
      </c>
      <c r="I267" s="33" t="s">
        <v>109</v>
      </c>
      <c r="J267" s="33">
        <v>3</v>
      </c>
      <c r="K267" s="40" t="str">
        <f>VLOOKUP(J267,Key!$A$24:$B$29,2,FALSE)</f>
        <v>40-49</v>
      </c>
      <c r="L267" s="33" t="s">
        <v>151</v>
      </c>
      <c r="M267" s="29" t="s">
        <v>151</v>
      </c>
      <c r="N267" s="33" t="s">
        <v>152</v>
      </c>
      <c r="O267" s="35">
        <v>1</v>
      </c>
      <c r="P267" s="30" t="str">
        <f>VLOOKUP(O267,Key!$E$2:$F$9,2,FALSE)</f>
        <v>Home</v>
      </c>
      <c r="Q267" s="33" t="s">
        <v>153</v>
      </c>
      <c r="R267" s="29" t="s">
        <v>153</v>
      </c>
      <c r="S267" s="33" t="s">
        <v>152</v>
      </c>
      <c r="T267" s="29">
        <v>2</v>
      </c>
      <c r="U267" s="30" t="str">
        <f>VLOOKUP(T267,Key!$E$2:$F$9,2,FALSE)</f>
        <v>Work</v>
      </c>
      <c r="V267" s="30" t="str">
        <f t="shared" si="16"/>
        <v>Home-Work</v>
      </c>
      <c r="W267" s="29">
        <v>400000</v>
      </c>
      <c r="X267" s="34">
        <v>200</v>
      </c>
      <c r="Y267" s="50" t="str">
        <f t="shared" si="17"/>
        <v>Over 200</v>
      </c>
      <c r="Z267" s="34">
        <v>4</v>
      </c>
      <c r="AA267" s="50" t="str">
        <f t="shared" si="18"/>
        <v>Over 3.5</v>
      </c>
      <c r="AB267" s="29">
        <v>10</v>
      </c>
      <c r="AC267" s="30" t="str">
        <f>VLOOKUP(AB267,Key!$C$20:$D$29,2,FALSE)</f>
        <v>Other</v>
      </c>
      <c r="AD267" s="29">
        <v>4</v>
      </c>
      <c r="AE267" s="30" t="str">
        <f>VLOOKUP(AD267,Key!$E$20:$F$24,2,FALSE)</f>
        <v>750,000-1,000,000</v>
      </c>
      <c r="AF267" s="29">
        <v>1</v>
      </c>
      <c r="AG267" s="34">
        <v>5</v>
      </c>
      <c r="AH267" s="34">
        <v>4</v>
      </c>
      <c r="AI267" s="34">
        <v>2</v>
      </c>
      <c r="AJ267" s="34">
        <v>3</v>
      </c>
      <c r="AK267" s="35" t="s">
        <v>94</v>
      </c>
      <c r="AL267" s="36">
        <v>1000</v>
      </c>
      <c r="AM267" t="str">
        <f t="shared" si="19"/>
        <v>1000-2000</v>
      </c>
    </row>
    <row r="268" spans="1:39" x14ac:dyDescent="0.2">
      <c r="A268" s="44">
        <v>43763</v>
      </c>
      <c r="B268" s="31">
        <v>0.58472222222222225</v>
      </c>
      <c r="C268" s="31"/>
      <c r="D268" s="31" t="s">
        <v>97</v>
      </c>
      <c r="E268" s="33">
        <v>2</v>
      </c>
      <c r="F268" s="38" t="str">
        <f>VLOOKUP(E268,Key!$A$17:$B$21,2,FALSE)</f>
        <v>Road Vehicle</v>
      </c>
      <c r="G268" s="32">
        <v>6</v>
      </c>
      <c r="H268" s="39" t="str">
        <f>VLOOKUP(G268,Key!$A$2:$B$13,2,FALSE)</f>
        <v>Large Bus</v>
      </c>
      <c r="I268" s="33" t="s">
        <v>109</v>
      </c>
      <c r="J268" s="33">
        <v>3</v>
      </c>
      <c r="K268" s="40" t="str">
        <f>VLOOKUP(J268,Key!$A$24:$B$29,2,FALSE)</f>
        <v>40-49</v>
      </c>
      <c r="L268" s="33" t="s">
        <v>151</v>
      </c>
      <c r="M268" s="29" t="s">
        <v>151</v>
      </c>
      <c r="N268" s="33" t="s">
        <v>152</v>
      </c>
      <c r="O268" s="35">
        <v>2</v>
      </c>
      <c r="P268" s="30" t="str">
        <f>VLOOKUP(O268,Key!$E$2:$F$9,2,FALSE)</f>
        <v>Work</v>
      </c>
      <c r="Q268" s="33" t="s">
        <v>153</v>
      </c>
      <c r="R268" s="29" t="s">
        <v>153</v>
      </c>
      <c r="S268" s="33" t="s">
        <v>152</v>
      </c>
      <c r="T268" s="29">
        <v>1</v>
      </c>
      <c r="U268" s="30" t="str">
        <f>VLOOKUP(T268,Key!$E$2:$F$9,2,FALSE)</f>
        <v>Home</v>
      </c>
      <c r="V268" s="30" t="str">
        <f t="shared" si="16"/>
        <v>Work-Home</v>
      </c>
      <c r="W268" s="29">
        <v>700000</v>
      </c>
      <c r="X268" s="34">
        <v>225</v>
      </c>
      <c r="Y268" s="50" t="str">
        <f t="shared" si="17"/>
        <v>Over 200</v>
      </c>
      <c r="Z268" s="34">
        <v>5</v>
      </c>
      <c r="AA268" s="50" t="str">
        <f t="shared" si="18"/>
        <v>Over 3.5</v>
      </c>
      <c r="AB268" s="29">
        <v>10</v>
      </c>
      <c r="AC268" s="30" t="str">
        <f>VLOOKUP(AB268,Key!$C$20:$D$29,2,FALSE)</f>
        <v>Other</v>
      </c>
      <c r="AD268" s="29">
        <v>3</v>
      </c>
      <c r="AE268" s="30" t="str">
        <f>VLOOKUP(AD268,Key!$E$20:$F$24,2,FALSE)</f>
        <v>500,000-750,000</v>
      </c>
      <c r="AF268" s="29">
        <v>1</v>
      </c>
      <c r="AG268" s="34">
        <v>2</v>
      </c>
      <c r="AH268" s="34">
        <v>3</v>
      </c>
      <c r="AI268" s="34">
        <v>5</v>
      </c>
      <c r="AJ268" s="34">
        <v>4</v>
      </c>
      <c r="AK268" s="35" t="s">
        <v>94</v>
      </c>
      <c r="AL268" s="36">
        <v>5000</v>
      </c>
      <c r="AM268" t="str">
        <f t="shared" si="19"/>
        <v>5000-10000</v>
      </c>
    </row>
    <row r="269" spans="1:39" x14ac:dyDescent="0.2">
      <c r="A269" s="44">
        <v>43763</v>
      </c>
      <c r="B269" s="31">
        <v>0.58194444444444449</v>
      </c>
      <c r="C269" s="31"/>
      <c r="D269" s="31" t="s">
        <v>97</v>
      </c>
      <c r="E269" s="33">
        <v>2</v>
      </c>
      <c r="F269" s="38" t="str">
        <f>VLOOKUP(E269,Key!$A$17:$B$21,2,FALSE)</f>
        <v>Road Vehicle</v>
      </c>
      <c r="G269" s="32">
        <v>6</v>
      </c>
      <c r="H269" s="39" t="str">
        <f>VLOOKUP(G269,Key!$A$2:$B$13,2,FALSE)</f>
        <v>Large Bus</v>
      </c>
      <c r="I269" s="33" t="s">
        <v>109</v>
      </c>
      <c r="J269" s="33">
        <v>3</v>
      </c>
      <c r="K269" s="40" t="str">
        <f>VLOOKUP(J269,Key!$A$24:$B$29,2,FALSE)</f>
        <v>40-49</v>
      </c>
      <c r="L269" s="33" t="s">
        <v>151</v>
      </c>
      <c r="M269" s="29" t="s">
        <v>151</v>
      </c>
      <c r="N269" s="33" t="s">
        <v>152</v>
      </c>
      <c r="O269" s="35">
        <v>2</v>
      </c>
      <c r="P269" s="30" t="str">
        <f>VLOOKUP(O269,Key!$E$2:$F$9,2,FALSE)</f>
        <v>Work</v>
      </c>
      <c r="Q269" s="33" t="s">
        <v>153</v>
      </c>
      <c r="R269" s="29" t="s">
        <v>153</v>
      </c>
      <c r="S269" s="33" t="s">
        <v>152</v>
      </c>
      <c r="T269" s="29">
        <v>1</v>
      </c>
      <c r="U269" s="30" t="str">
        <f>VLOOKUP(T269,Key!$E$2:$F$9,2,FALSE)</f>
        <v>Home</v>
      </c>
      <c r="V269" s="30" t="str">
        <f t="shared" si="16"/>
        <v>Work-Home</v>
      </c>
      <c r="W269" s="29">
        <v>600000</v>
      </c>
      <c r="X269" s="34">
        <v>200</v>
      </c>
      <c r="Y269" s="50" t="str">
        <f t="shared" si="17"/>
        <v>Over 200</v>
      </c>
      <c r="Z269" s="34">
        <v>4</v>
      </c>
      <c r="AA269" s="50" t="str">
        <f t="shared" si="18"/>
        <v>Over 3.5</v>
      </c>
      <c r="AB269" s="29">
        <v>10</v>
      </c>
      <c r="AC269" s="30" t="str">
        <f>VLOOKUP(AB269,Key!$C$20:$D$29,2,FALSE)</f>
        <v>Other</v>
      </c>
      <c r="AD269" s="29">
        <v>4</v>
      </c>
      <c r="AE269" s="30" t="str">
        <f>VLOOKUP(AD269,Key!$E$20:$F$24,2,FALSE)</f>
        <v>750,000-1,000,000</v>
      </c>
      <c r="AF269" s="29">
        <v>1</v>
      </c>
      <c r="AG269" s="34">
        <v>3</v>
      </c>
      <c r="AH269" s="34">
        <v>2</v>
      </c>
      <c r="AI269" s="34">
        <v>5</v>
      </c>
      <c r="AJ269" s="34">
        <v>4</v>
      </c>
      <c r="AK269" s="35" t="s">
        <v>94</v>
      </c>
      <c r="AL269" s="36">
        <v>10000</v>
      </c>
      <c r="AM269" t="str">
        <f t="shared" si="19"/>
        <v>Over 10000</v>
      </c>
    </row>
    <row r="270" spans="1:39" x14ac:dyDescent="0.2">
      <c r="A270" s="44">
        <v>43763</v>
      </c>
      <c r="B270" s="31">
        <v>0.57708333333333328</v>
      </c>
      <c r="C270" s="31"/>
      <c r="D270" s="31" t="s">
        <v>97</v>
      </c>
      <c r="E270" s="33">
        <v>2</v>
      </c>
      <c r="F270" s="38" t="str">
        <f>VLOOKUP(E270,Key!$A$17:$B$21,2,FALSE)</f>
        <v>Road Vehicle</v>
      </c>
      <c r="G270" s="32">
        <v>6</v>
      </c>
      <c r="H270" s="39" t="str">
        <f>VLOOKUP(G270,Key!$A$2:$B$13,2,FALSE)</f>
        <v>Large Bus</v>
      </c>
      <c r="I270" s="33" t="s">
        <v>109</v>
      </c>
      <c r="J270" s="33">
        <v>3</v>
      </c>
      <c r="K270" s="40" t="str">
        <f>VLOOKUP(J270,Key!$A$24:$B$29,2,FALSE)</f>
        <v>40-49</v>
      </c>
      <c r="L270" s="33" t="s">
        <v>151</v>
      </c>
      <c r="M270" s="29" t="s">
        <v>151</v>
      </c>
      <c r="N270" s="33" t="s">
        <v>152</v>
      </c>
      <c r="O270" s="35">
        <v>2</v>
      </c>
      <c r="P270" s="30" t="str">
        <f>VLOOKUP(O270,Key!$E$2:$F$9,2,FALSE)</f>
        <v>Work</v>
      </c>
      <c r="Q270" s="33" t="s">
        <v>153</v>
      </c>
      <c r="R270" s="29" t="s">
        <v>153</v>
      </c>
      <c r="S270" s="33" t="s">
        <v>152</v>
      </c>
      <c r="T270" s="29">
        <v>1</v>
      </c>
      <c r="U270" s="30" t="str">
        <f>VLOOKUP(T270,Key!$E$2:$F$9,2,FALSE)</f>
        <v>Home</v>
      </c>
      <c r="V270" s="30" t="str">
        <f t="shared" si="16"/>
        <v>Work-Home</v>
      </c>
      <c r="W270" s="29">
        <v>700000</v>
      </c>
      <c r="X270" s="34">
        <v>220</v>
      </c>
      <c r="Y270" s="50" t="str">
        <f t="shared" si="17"/>
        <v>Over 200</v>
      </c>
      <c r="Z270" s="34">
        <v>4</v>
      </c>
      <c r="AA270" s="50" t="str">
        <f t="shared" si="18"/>
        <v>Over 3.5</v>
      </c>
      <c r="AB270" s="29">
        <v>10</v>
      </c>
      <c r="AC270" s="30" t="str">
        <f>VLOOKUP(AB270,Key!$C$20:$D$29,2,FALSE)</f>
        <v>Other</v>
      </c>
      <c r="AD270" s="29">
        <v>4</v>
      </c>
      <c r="AE270" s="30" t="str">
        <f>VLOOKUP(AD270,Key!$E$20:$F$24,2,FALSE)</f>
        <v>750,000-1,000,000</v>
      </c>
      <c r="AF270" s="29">
        <v>4</v>
      </c>
      <c r="AG270" s="34">
        <v>1</v>
      </c>
      <c r="AH270" s="34">
        <v>2</v>
      </c>
      <c r="AI270" s="34">
        <v>3</v>
      </c>
      <c r="AJ270" s="34">
        <v>5</v>
      </c>
      <c r="AK270" s="35" t="s">
        <v>94</v>
      </c>
      <c r="AL270" s="36">
        <v>5000</v>
      </c>
      <c r="AM270" t="str">
        <f t="shared" si="19"/>
        <v>5000-10000</v>
      </c>
    </row>
    <row r="271" spans="1:39" x14ac:dyDescent="0.2">
      <c r="A271" s="44">
        <v>43763</v>
      </c>
      <c r="B271" s="31">
        <v>0.55763888888888891</v>
      </c>
      <c r="C271" s="31"/>
      <c r="D271" s="31" t="s">
        <v>97</v>
      </c>
      <c r="E271" s="33">
        <v>2</v>
      </c>
      <c r="F271" s="38" t="str">
        <f>VLOOKUP(E271,Key!$A$17:$B$21,2,FALSE)</f>
        <v>Road Vehicle</v>
      </c>
      <c r="G271" s="32">
        <v>6</v>
      </c>
      <c r="H271" s="39" t="str">
        <f>VLOOKUP(G271,Key!$A$2:$B$13,2,FALSE)</f>
        <v>Large Bus</v>
      </c>
      <c r="I271" s="33" t="s">
        <v>109</v>
      </c>
      <c r="J271" s="33">
        <v>3</v>
      </c>
      <c r="K271" s="40" t="str">
        <f>VLOOKUP(J271,Key!$A$24:$B$29,2,FALSE)</f>
        <v>40-49</v>
      </c>
      <c r="L271" s="33" t="s">
        <v>151</v>
      </c>
      <c r="M271" s="29" t="s">
        <v>151</v>
      </c>
      <c r="N271" s="33" t="s">
        <v>152</v>
      </c>
      <c r="O271" s="35">
        <v>2</v>
      </c>
      <c r="P271" s="30" t="str">
        <f>VLOOKUP(O271,Key!$E$2:$F$9,2,FALSE)</f>
        <v>Work</v>
      </c>
      <c r="Q271" s="33" t="s">
        <v>153</v>
      </c>
      <c r="R271" s="29" t="s">
        <v>153</v>
      </c>
      <c r="S271" s="33" t="s">
        <v>152</v>
      </c>
      <c r="T271" s="29">
        <v>1</v>
      </c>
      <c r="U271" s="30" t="str">
        <f>VLOOKUP(T271,Key!$E$2:$F$9,2,FALSE)</f>
        <v>Home</v>
      </c>
      <c r="V271" s="30" t="str">
        <f t="shared" si="16"/>
        <v>Work-Home</v>
      </c>
      <c r="W271" s="29">
        <v>700000</v>
      </c>
      <c r="X271" s="34">
        <v>215</v>
      </c>
      <c r="Y271" s="50" t="str">
        <f t="shared" si="17"/>
        <v>Over 200</v>
      </c>
      <c r="Z271" s="34">
        <v>1</v>
      </c>
      <c r="AA271" s="50" t="str">
        <f t="shared" si="18"/>
        <v>1.0-2.0</v>
      </c>
      <c r="AB271" s="29">
        <v>10</v>
      </c>
      <c r="AC271" s="30" t="str">
        <f>VLOOKUP(AB271,Key!$C$20:$D$29,2,FALSE)</f>
        <v>Other</v>
      </c>
      <c r="AD271" s="29">
        <v>2</v>
      </c>
      <c r="AE271" s="30" t="str">
        <f>VLOOKUP(AD271,Key!$E$20:$F$24,2,FALSE)</f>
        <v>300,000-500,000</v>
      </c>
      <c r="AF271" s="29">
        <v>2</v>
      </c>
      <c r="AG271" s="34">
        <v>3</v>
      </c>
      <c r="AH271" s="34">
        <v>4</v>
      </c>
      <c r="AI271" s="34">
        <v>5</v>
      </c>
      <c r="AJ271" s="34">
        <v>1</v>
      </c>
      <c r="AK271" s="35" t="s">
        <v>94</v>
      </c>
      <c r="AL271" s="36">
        <v>1000</v>
      </c>
      <c r="AM271" t="str">
        <f t="shared" si="19"/>
        <v>1000-2000</v>
      </c>
    </row>
    <row r="272" spans="1:39" x14ac:dyDescent="0.2">
      <c r="A272" s="44">
        <v>43763</v>
      </c>
      <c r="B272" s="31">
        <v>0.5493055555555556</v>
      </c>
      <c r="C272" s="31"/>
      <c r="D272" s="31" t="s">
        <v>97</v>
      </c>
      <c r="E272" s="33">
        <v>2</v>
      </c>
      <c r="F272" s="38" t="str">
        <f>VLOOKUP(E272,Key!$A$17:$B$21,2,FALSE)</f>
        <v>Road Vehicle</v>
      </c>
      <c r="G272" s="32">
        <v>6</v>
      </c>
      <c r="H272" s="39" t="str">
        <f>VLOOKUP(G272,Key!$A$2:$B$13,2,FALSE)</f>
        <v>Large Bus</v>
      </c>
      <c r="I272" s="33" t="s">
        <v>109</v>
      </c>
      <c r="J272" s="33">
        <v>3</v>
      </c>
      <c r="K272" s="40" t="str">
        <f>VLOOKUP(J272,Key!$A$24:$B$29,2,FALSE)</f>
        <v>40-49</v>
      </c>
      <c r="L272" s="33" t="s">
        <v>151</v>
      </c>
      <c r="M272" s="29" t="s">
        <v>151</v>
      </c>
      <c r="N272" s="33" t="s">
        <v>152</v>
      </c>
      <c r="O272" s="35">
        <v>2</v>
      </c>
      <c r="P272" s="30" t="str">
        <f>VLOOKUP(O272,Key!$E$2:$F$9,2,FALSE)</f>
        <v>Work</v>
      </c>
      <c r="Q272" s="33" t="s">
        <v>193</v>
      </c>
      <c r="R272" s="29" t="s">
        <v>153</v>
      </c>
      <c r="S272" s="33" t="s">
        <v>152</v>
      </c>
      <c r="T272" s="29">
        <v>2</v>
      </c>
      <c r="U272" s="30" t="str">
        <f>VLOOKUP(T272,Key!$E$2:$F$9,2,FALSE)</f>
        <v>Work</v>
      </c>
      <c r="V272" s="30" t="str">
        <f t="shared" si="16"/>
        <v>Work-Work</v>
      </c>
      <c r="W272" s="29">
        <v>400000</v>
      </c>
      <c r="X272" s="34">
        <v>200</v>
      </c>
      <c r="Y272" s="50" t="str">
        <f t="shared" si="17"/>
        <v>Over 200</v>
      </c>
      <c r="Z272" s="34">
        <v>4</v>
      </c>
      <c r="AA272" s="50" t="str">
        <f t="shared" si="18"/>
        <v>Over 3.5</v>
      </c>
      <c r="AB272" s="29">
        <v>10</v>
      </c>
      <c r="AC272" s="30" t="str">
        <f>VLOOKUP(AB272,Key!$C$20:$D$29,2,FALSE)</f>
        <v>Other</v>
      </c>
      <c r="AD272" s="29">
        <v>4</v>
      </c>
      <c r="AE272" s="30" t="str">
        <f>VLOOKUP(AD272,Key!$E$20:$F$24,2,FALSE)</f>
        <v>750,000-1,000,000</v>
      </c>
      <c r="AF272" s="29">
        <v>2</v>
      </c>
      <c r="AG272" s="34">
        <v>3</v>
      </c>
      <c r="AH272" s="34">
        <v>5</v>
      </c>
      <c r="AI272" s="34">
        <v>4</v>
      </c>
      <c r="AJ272" s="34">
        <v>1</v>
      </c>
      <c r="AK272" s="35" t="s">
        <v>94</v>
      </c>
      <c r="AL272" s="36">
        <v>2000</v>
      </c>
      <c r="AM272" t="str">
        <f t="shared" si="19"/>
        <v>2000-3000</v>
      </c>
    </row>
    <row r="273" spans="1:39" x14ac:dyDescent="0.2">
      <c r="A273" s="44">
        <v>43763</v>
      </c>
      <c r="B273" s="31">
        <v>0.96250000000000002</v>
      </c>
      <c r="C273" s="31"/>
      <c r="D273" s="31" t="s">
        <v>97</v>
      </c>
      <c r="E273" s="33">
        <v>2</v>
      </c>
      <c r="F273" s="38" t="str">
        <f>VLOOKUP(E273,Key!$A$17:$B$21,2,FALSE)</f>
        <v>Road Vehicle</v>
      </c>
      <c r="G273" s="32">
        <v>6</v>
      </c>
      <c r="H273" s="39" t="str">
        <f>VLOOKUP(G273,Key!$A$2:$B$13,2,FALSE)</f>
        <v>Large Bus</v>
      </c>
      <c r="I273" s="33" t="s">
        <v>109</v>
      </c>
      <c r="J273" s="33">
        <v>3</v>
      </c>
      <c r="K273" s="40" t="str">
        <f>VLOOKUP(J273,Key!$A$24:$B$29,2,FALSE)</f>
        <v>40-49</v>
      </c>
      <c r="L273" s="33" t="s">
        <v>151</v>
      </c>
      <c r="M273" s="29" t="s">
        <v>151</v>
      </c>
      <c r="N273" s="33" t="s">
        <v>152</v>
      </c>
      <c r="O273" s="35">
        <v>2</v>
      </c>
      <c r="P273" s="30" t="str">
        <f>VLOOKUP(O273,Key!$E$2:$F$9,2,FALSE)</f>
        <v>Work</v>
      </c>
      <c r="Q273" s="33" t="s">
        <v>153</v>
      </c>
      <c r="R273" s="29" t="s">
        <v>153</v>
      </c>
      <c r="S273" s="33" t="s">
        <v>152</v>
      </c>
      <c r="T273" s="29">
        <v>1</v>
      </c>
      <c r="U273" s="30" t="str">
        <f>VLOOKUP(T273,Key!$E$2:$F$9,2,FALSE)</f>
        <v>Home</v>
      </c>
      <c r="V273" s="30" t="str">
        <f t="shared" si="16"/>
        <v>Work-Home</v>
      </c>
      <c r="W273" s="29">
        <v>700000</v>
      </c>
      <c r="X273" s="34">
        <v>190</v>
      </c>
      <c r="Y273" s="50" t="str">
        <f t="shared" si="17"/>
        <v>100-200</v>
      </c>
      <c r="Z273" s="34">
        <v>4</v>
      </c>
      <c r="AA273" s="50" t="str">
        <f t="shared" si="18"/>
        <v>Over 3.5</v>
      </c>
      <c r="AB273" s="29">
        <v>10</v>
      </c>
      <c r="AC273" s="30" t="str">
        <f>VLOOKUP(AB273,Key!$C$20:$D$29,2,FALSE)</f>
        <v>Other</v>
      </c>
      <c r="AD273" s="29">
        <v>3</v>
      </c>
      <c r="AE273" s="30" t="str">
        <f>VLOOKUP(AD273,Key!$E$20:$F$24,2,FALSE)</f>
        <v>500,000-750,000</v>
      </c>
      <c r="AF273" s="29">
        <v>4</v>
      </c>
      <c r="AG273" s="34">
        <v>2</v>
      </c>
      <c r="AH273" s="34">
        <v>3</v>
      </c>
      <c r="AI273" s="34">
        <v>1</v>
      </c>
      <c r="AJ273" s="34">
        <v>5</v>
      </c>
      <c r="AK273" s="35" t="s">
        <v>94</v>
      </c>
      <c r="AL273" s="36">
        <v>5000</v>
      </c>
      <c r="AM273" t="str">
        <f t="shared" si="19"/>
        <v>5000-10000</v>
      </c>
    </row>
    <row r="274" spans="1:39" x14ac:dyDescent="0.2">
      <c r="A274" s="44">
        <v>43763</v>
      </c>
      <c r="B274" s="31">
        <v>0.96250000000000002</v>
      </c>
      <c r="C274" s="31"/>
      <c r="D274" s="31" t="s">
        <v>97</v>
      </c>
      <c r="E274" s="33">
        <v>2</v>
      </c>
      <c r="F274" s="38" t="str">
        <f>VLOOKUP(E274,Key!$A$17:$B$21,2,FALSE)</f>
        <v>Road Vehicle</v>
      </c>
      <c r="G274" s="32">
        <v>6</v>
      </c>
      <c r="H274" s="39" t="str">
        <f>VLOOKUP(G274,Key!$A$2:$B$13,2,FALSE)</f>
        <v>Large Bus</v>
      </c>
      <c r="I274" s="33" t="s">
        <v>109</v>
      </c>
      <c r="J274" s="33">
        <v>3</v>
      </c>
      <c r="K274" s="40" t="str">
        <f>VLOOKUP(J274,Key!$A$24:$B$29,2,FALSE)</f>
        <v>40-49</v>
      </c>
      <c r="L274" s="33" t="s">
        <v>151</v>
      </c>
      <c r="M274" s="29" t="s">
        <v>151</v>
      </c>
      <c r="N274" s="33" t="s">
        <v>152</v>
      </c>
      <c r="O274" s="35">
        <v>2</v>
      </c>
      <c r="P274" s="30" t="str">
        <f>VLOOKUP(O274,Key!$E$2:$F$9,2,FALSE)</f>
        <v>Work</v>
      </c>
      <c r="Q274" s="33" t="s">
        <v>153</v>
      </c>
      <c r="R274" s="29" t="s">
        <v>153</v>
      </c>
      <c r="S274" s="33" t="s">
        <v>152</v>
      </c>
      <c r="T274" s="29">
        <v>1</v>
      </c>
      <c r="U274" s="30" t="str">
        <f>VLOOKUP(T274,Key!$E$2:$F$9,2,FALSE)</f>
        <v>Home</v>
      </c>
      <c r="V274" s="30" t="str">
        <f t="shared" si="16"/>
        <v>Work-Home</v>
      </c>
      <c r="W274" s="29">
        <v>700000</v>
      </c>
      <c r="X274" s="34">
        <v>190</v>
      </c>
      <c r="Y274" s="50" t="str">
        <f t="shared" si="17"/>
        <v>100-200</v>
      </c>
      <c r="Z274" s="34">
        <v>4</v>
      </c>
      <c r="AA274" s="50" t="str">
        <f t="shared" si="18"/>
        <v>Over 3.5</v>
      </c>
      <c r="AB274" s="29">
        <v>10</v>
      </c>
      <c r="AC274" s="30" t="str">
        <f>VLOOKUP(AB274,Key!$C$20:$D$29,2,FALSE)</f>
        <v>Other</v>
      </c>
      <c r="AD274" s="29">
        <v>4</v>
      </c>
      <c r="AE274" s="30" t="str">
        <f>VLOOKUP(AD274,Key!$E$20:$F$24,2,FALSE)</f>
        <v>750,000-1,000,000</v>
      </c>
      <c r="AF274" s="29">
        <v>5</v>
      </c>
      <c r="AG274" s="34">
        <v>2</v>
      </c>
      <c r="AH274" s="34">
        <v>1</v>
      </c>
      <c r="AI274" s="34">
        <v>3</v>
      </c>
      <c r="AJ274" s="34">
        <v>4</v>
      </c>
      <c r="AK274" s="35" t="s">
        <v>94</v>
      </c>
      <c r="AL274" s="36">
        <v>2000</v>
      </c>
      <c r="AM274" t="str">
        <f t="shared" si="19"/>
        <v>2000-3000</v>
      </c>
    </row>
    <row r="275" spans="1:39" x14ac:dyDescent="0.2">
      <c r="A275" s="44">
        <v>43763</v>
      </c>
      <c r="B275" s="31">
        <v>0.95624999999999993</v>
      </c>
      <c r="C275" s="31"/>
      <c r="D275" s="31" t="s">
        <v>97</v>
      </c>
      <c r="E275" s="33">
        <v>2</v>
      </c>
      <c r="F275" s="38" t="str">
        <f>VLOOKUP(E275,Key!$A$17:$B$21,2,FALSE)</f>
        <v>Road Vehicle</v>
      </c>
      <c r="G275" s="32">
        <v>6</v>
      </c>
      <c r="H275" s="39" t="str">
        <f>VLOOKUP(G275,Key!$A$2:$B$13,2,FALSE)</f>
        <v>Large Bus</v>
      </c>
      <c r="I275" s="33" t="s">
        <v>109</v>
      </c>
      <c r="J275" s="33">
        <v>3</v>
      </c>
      <c r="K275" s="40" t="str">
        <f>VLOOKUP(J275,Key!$A$24:$B$29,2,FALSE)</f>
        <v>40-49</v>
      </c>
      <c r="L275" s="33" t="s">
        <v>151</v>
      </c>
      <c r="M275" s="29" t="s">
        <v>151</v>
      </c>
      <c r="N275" s="33" t="s">
        <v>152</v>
      </c>
      <c r="O275" s="35">
        <v>2</v>
      </c>
      <c r="P275" s="30" t="str">
        <f>VLOOKUP(O275,Key!$E$2:$F$9,2,FALSE)</f>
        <v>Work</v>
      </c>
      <c r="Q275" s="33" t="s">
        <v>153</v>
      </c>
      <c r="R275" s="29" t="s">
        <v>153</v>
      </c>
      <c r="S275" s="33" t="s">
        <v>152</v>
      </c>
      <c r="T275" s="29">
        <v>1</v>
      </c>
      <c r="U275" s="30" t="str">
        <f>VLOOKUP(T275,Key!$E$2:$F$9,2,FALSE)</f>
        <v>Home</v>
      </c>
      <c r="V275" s="30" t="str">
        <f t="shared" si="16"/>
        <v>Work-Home</v>
      </c>
      <c r="W275" s="29">
        <v>700000</v>
      </c>
      <c r="X275" s="34">
        <v>190</v>
      </c>
      <c r="Y275" s="50" t="str">
        <f t="shared" si="17"/>
        <v>100-200</v>
      </c>
      <c r="Z275" s="34">
        <v>4</v>
      </c>
      <c r="AA275" s="50" t="str">
        <f t="shared" si="18"/>
        <v>Over 3.5</v>
      </c>
      <c r="AB275" s="29">
        <v>10</v>
      </c>
      <c r="AC275" s="30" t="str">
        <f>VLOOKUP(AB275,Key!$C$20:$D$29,2,FALSE)</f>
        <v>Other</v>
      </c>
      <c r="AD275" s="29">
        <v>4</v>
      </c>
      <c r="AE275" s="30" t="str">
        <f>VLOOKUP(AD275,Key!$E$20:$F$24,2,FALSE)</f>
        <v>750,000-1,000,000</v>
      </c>
      <c r="AF275" s="29">
        <v>3</v>
      </c>
      <c r="AG275" s="34">
        <v>4</v>
      </c>
      <c r="AH275" s="34">
        <v>1</v>
      </c>
      <c r="AI275" s="34">
        <v>2</v>
      </c>
      <c r="AJ275" s="34">
        <v>3</v>
      </c>
      <c r="AK275" s="35" t="s">
        <v>94</v>
      </c>
      <c r="AL275" s="36">
        <v>1000</v>
      </c>
      <c r="AM275" t="str">
        <f t="shared" si="19"/>
        <v>1000-2000</v>
      </c>
    </row>
    <row r="276" spans="1:39" x14ac:dyDescent="0.2">
      <c r="A276" s="44">
        <v>43763</v>
      </c>
      <c r="B276" s="31">
        <v>0.9506944444444444</v>
      </c>
      <c r="C276" s="31"/>
      <c r="D276" s="31" t="s">
        <v>97</v>
      </c>
      <c r="E276" s="33">
        <v>2</v>
      </c>
      <c r="F276" s="38" t="str">
        <f>VLOOKUP(E276,Key!$A$17:$B$21,2,FALSE)</f>
        <v>Road Vehicle</v>
      </c>
      <c r="G276" s="32">
        <v>6</v>
      </c>
      <c r="H276" s="39" t="str">
        <f>VLOOKUP(G276,Key!$A$2:$B$13,2,FALSE)</f>
        <v>Large Bus</v>
      </c>
      <c r="I276" s="33" t="s">
        <v>109</v>
      </c>
      <c r="J276" s="33">
        <v>3</v>
      </c>
      <c r="K276" s="40" t="str">
        <f>VLOOKUP(J276,Key!$A$24:$B$29,2,FALSE)</f>
        <v>40-49</v>
      </c>
      <c r="L276" s="33" t="s">
        <v>151</v>
      </c>
      <c r="M276" s="29" t="s">
        <v>151</v>
      </c>
      <c r="N276" s="33" t="s">
        <v>152</v>
      </c>
      <c r="O276" s="35">
        <v>2</v>
      </c>
      <c r="P276" s="30" t="str">
        <f>VLOOKUP(O276,Key!$E$2:$F$9,2,FALSE)</f>
        <v>Work</v>
      </c>
      <c r="Q276" s="33" t="s">
        <v>153</v>
      </c>
      <c r="R276" s="29" t="s">
        <v>153</v>
      </c>
      <c r="S276" s="33" t="s">
        <v>152</v>
      </c>
      <c r="T276" s="29">
        <v>1</v>
      </c>
      <c r="U276" s="30" t="str">
        <f>VLOOKUP(T276,Key!$E$2:$F$9,2,FALSE)</f>
        <v>Home</v>
      </c>
      <c r="V276" s="30" t="str">
        <f t="shared" si="16"/>
        <v>Work-Home</v>
      </c>
      <c r="W276" s="29">
        <v>700000</v>
      </c>
      <c r="X276" s="34">
        <v>160</v>
      </c>
      <c r="Y276" s="50" t="str">
        <f t="shared" si="17"/>
        <v>100-200</v>
      </c>
      <c r="Z276" s="34">
        <v>4</v>
      </c>
      <c r="AA276" s="50" t="str">
        <f t="shared" si="18"/>
        <v>Over 3.5</v>
      </c>
      <c r="AB276" s="29">
        <v>10</v>
      </c>
      <c r="AC276" s="30" t="str">
        <f>VLOOKUP(AB276,Key!$C$20:$D$29,2,FALSE)</f>
        <v>Other</v>
      </c>
      <c r="AD276" s="29">
        <v>4</v>
      </c>
      <c r="AE276" s="30" t="str">
        <f>VLOOKUP(AD276,Key!$E$20:$F$24,2,FALSE)</f>
        <v>750,000-1,000,000</v>
      </c>
      <c r="AF276" s="29">
        <v>1</v>
      </c>
      <c r="AG276" s="34">
        <v>2</v>
      </c>
      <c r="AH276" s="34">
        <v>3</v>
      </c>
      <c r="AI276" s="34">
        <v>5</v>
      </c>
      <c r="AJ276" s="34">
        <v>4</v>
      </c>
      <c r="AK276" s="35" t="s">
        <v>94</v>
      </c>
      <c r="AL276" s="36">
        <v>6000</v>
      </c>
      <c r="AM276" t="str">
        <f t="shared" si="19"/>
        <v>5000-10000</v>
      </c>
    </row>
    <row r="277" spans="1:39" x14ac:dyDescent="0.2">
      <c r="A277" s="44">
        <v>43763</v>
      </c>
      <c r="B277" s="31">
        <v>0.9458333333333333</v>
      </c>
      <c r="C277" s="31"/>
      <c r="D277" s="31" t="s">
        <v>97</v>
      </c>
      <c r="E277" s="33">
        <v>2</v>
      </c>
      <c r="F277" s="38" t="str">
        <f>VLOOKUP(E277,Key!$A$17:$B$21,2,FALSE)</f>
        <v>Road Vehicle</v>
      </c>
      <c r="G277" s="32">
        <v>6</v>
      </c>
      <c r="H277" s="39" t="str">
        <f>VLOOKUP(G277,Key!$A$2:$B$13,2,FALSE)</f>
        <v>Large Bus</v>
      </c>
      <c r="I277" s="33" t="s">
        <v>109</v>
      </c>
      <c r="J277" s="33">
        <v>3</v>
      </c>
      <c r="K277" s="40" t="str">
        <f>VLOOKUP(J277,Key!$A$24:$B$29,2,FALSE)</f>
        <v>40-49</v>
      </c>
      <c r="L277" s="33" t="s">
        <v>151</v>
      </c>
      <c r="M277" s="29" t="s">
        <v>151</v>
      </c>
      <c r="N277" s="33" t="s">
        <v>152</v>
      </c>
      <c r="O277" s="35">
        <v>2</v>
      </c>
      <c r="P277" s="30" t="str">
        <f>VLOOKUP(O277,Key!$E$2:$F$9,2,FALSE)</f>
        <v>Work</v>
      </c>
      <c r="Q277" s="33" t="s">
        <v>195</v>
      </c>
      <c r="R277" s="29" t="s">
        <v>153</v>
      </c>
      <c r="S277" s="33" t="s">
        <v>152</v>
      </c>
      <c r="T277" s="29">
        <v>2</v>
      </c>
      <c r="U277" s="30" t="str">
        <f>VLOOKUP(T277,Key!$E$2:$F$9,2,FALSE)</f>
        <v>Work</v>
      </c>
      <c r="V277" s="30" t="str">
        <f t="shared" si="16"/>
        <v>Work-Work</v>
      </c>
      <c r="W277" s="29">
        <v>650000</v>
      </c>
      <c r="X277" s="34">
        <v>190</v>
      </c>
      <c r="Y277" s="50" t="str">
        <f t="shared" si="17"/>
        <v>100-200</v>
      </c>
      <c r="Z277" s="34">
        <v>4</v>
      </c>
      <c r="AA277" s="50" t="str">
        <f t="shared" si="18"/>
        <v>Over 3.5</v>
      </c>
      <c r="AB277" s="29">
        <v>10</v>
      </c>
      <c r="AC277" s="30" t="str">
        <f>VLOOKUP(AB277,Key!$C$20:$D$29,2,FALSE)</f>
        <v>Other</v>
      </c>
      <c r="AD277" s="29">
        <v>4</v>
      </c>
      <c r="AE277" s="30" t="str">
        <f>VLOOKUP(AD277,Key!$E$20:$F$24,2,FALSE)</f>
        <v>750,000-1,000,000</v>
      </c>
      <c r="AF277" s="29">
        <v>1</v>
      </c>
      <c r="AG277" s="34">
        <v>2</v>
      </c>
      <c r="AH277" s="34">
        <v>5</v>
      </c>
      <c r="AI277" s="34">
        <v>3</v>
      </c>
      <c r="AJ277" s="34">
        <v>4</v>
      </c>
      <c r="AK277" s="35" t="s">
        <v>94</v>
      </c>
      <c r="AL277" s="36">
        <v>3000</v>
      </c>
      <c r="AM277" t="str">
        <f t="shared" si="19"/>
        <v>3000-5000</v>
      </c>
    </row>
    <row r="278" spans="1:39" x14ac:dyDescent="0.2">
      <c r="A278" s="44">
        <v>43763</v>
      </c>
      <c r="B278" s="31">
        <v>0.93819444444444444</v>
      </c>
      <c r="C278" s="31"/>
      <c r="D278" s="31" t="s">
        <v>97</v>
      </c>
      <c r="E278" s="33">
        <v>2</v>
      </c>
      <c r="F278" s="38" t="str">
        <f>VLOOKUP(E278,Key!$A$17:$B$21,2,FALSE)</f>
        <v>Road Vehicle</v>
      </c>
      <c r="G278" s="32">
        <v>6</v>
      </c>
      <c r="H278" s="39" t="str">
        <f>VLOOKUP(G278,Key!$A$2:$B$13,2,FALSE)</f>
        <v>Large Bus</v>
      </c>
      <c r="I278" s="33" t="s">
        <v>109</v>
      </c>
      <c r="J278" s="33">
        <v>3</v>
      </c>
      <c r="K278" s="40" t="str">
        <f>VLOOKUP(J278,Key!$A$24:$B$29,2,FALSE)</f>
        <v>40-49</v>
      </c>
      <c r="L278" s="33" t="s">
        <v>151</v>
      </c>
      <c r="M278" s="29" t="s">
        <v>151</v>
      </c>
      <c r="N278" s="33" t="s">
        <v>152</v>
      </c>
      <c r="O278" s="35">
        <v>2</v>
      </c>
      <c r="P278" s="30" t="str">
        <f>VLOOKUP(O278,Key!$E$2:$F$9,2,FALSE)</f>
        <v>Work</v>
      </c>
      <c r="Q278" s="33" t="s">
        <v>153</v>
      </c>
      <c r="R278" s="29" t="s">
        <v>153</v>
      </c>
      <c r="S278" s="33" t="s">
        <v>152</v>
      </c>
      <c r="T278" s="29">
        <v>1</v>
      </c>
      <c r="U278" s="30" t="str">
        <f>VLOOKUP(T278,Key!$E$2:$F$9,2,FALSE)</f>
        <v>Home</v>
      </c>
      <c r="V278" s="30" t="str">
        <f t="shared" si="16"/>
        <v>Work-Home</v>
      </c>
      <c r="W278" s="29">
        <v>750000</v>
      </c>
      <c r="X278" s="34">
        <v>195</v>
      </c>
      <c r="Y278" s="50" t="str">
        <f t="shared" si="17"/>
        <v>100-200</v>
      </c>
      <c r="Z278" s="34">
        <v>5</v>
      </c>
      <c r="AA278" s="50" t="str">
        <f t="shared" si="18"/>
        <v>Over 3.5</v>
      </c>
      <c r="AB278" s="29">
        <v>10</v>
      </c>
      <c r="AC278" s="30" t="str">
        <f>VLOOKUP(AB278,Key!$C$20:$D$29,2,FALSE)</f>
        <v>Other</v>
      </c>
      <c r="AD278" s="29">
        <v>4</v>
      </c>
      <c r="AE278" s="30" t="str">
        <f>VLOOKUP(AD278,Key!$E$20:$F$24,2,FALSE)</f>
        <v>750,000-1,000,000</v>
      </c>
      <c r="AF278" s="29">
        <v>1</v>
      </c>
      <c r="AG278" s="34">
        <v>2</v>
      </c>
      <c r="AH278" s="34">
        <v>3</v>
      </c>
      <c r="AI278" s="34">
        <v>4</v>
      </c>
      <c r="AJ278" s="34">
        <v>5</v>
      </c>
      <c r="AK278" s="35" t="s">
        <v>94</v>
      </c>
      <c r="AL278" s="36">
        <v>1000</v>
      </c>
      <c r="AM278" t="str">
        <f t="shared" si="19"/>
        <v>1000-2000</v>
      </c>
    </row>
    <row r="279" spans="1:39" x14ac:dyDescent="0.2">
      <c r="A279" s="44">
        <v>43763</v>
      </c>
      <c r="B279" s="31">
        <v>0.91666666666666663</v>
      </c>
      <c r="C279" s="31"/>
      <c r="D279" s="31" t="s">
        <v>97</v>
      </c>
      <c r="E279" s="33">
        <v>2</v>
      </c>
      <c r="F279" s="38" t="str">
        <f>VLOOKUP(E279,Key!$A$17:$B$21,2,FALSE)</f>
        <v>Road Vehicle</v>
      </c>
      <c r="G279" s="32">
        <v>6</v>
      </c>
      <c r="H279" s="39" t="str">
        <f>VLOOKUP(G279,Key!$A$2:$B$13,2,FALSE)</f>
        <v>Large Bus</v>
      </c>
      <c r="I279" s="33" t="s">
        <v>109</v>
      </c>
      <c r="J279" s="33">
        <v>3</v>
      </c>
      <c r="K279" s="40" t="str">
        <f>VLOOKUP(J279,Key!$A$24:$B$29,2,FALSE)</f>
        <v>40-49</v>
      </c>
      <c r="L279" s="33" t="s">
        <v>151</v>
      </c>
      <c r="M279" s="29" t="s">
        <v>151</v>
      </c>
      <c r="N279" s="33" t="s">
        <v>152</v>
      </c>
      <c r="O279" s="35">
        <v>2</v>
      </c>
      <c r="P279" s="30" t="str">
        <f>VLOOKUP(O279,Key!$E$2:$F$9,2,FALSE)</f>
        <v>Work</v>
      </c>
      <c r="Q279" s="33" t="s">
        <v>196</v>
      </c>
      <c r="R279" s="29" t="s">
        <v>153</v>
      </c>
      <c r="S279" s="33" t="s">
        <v>152</v>
      </c>
      <c r="T279" s="29">
        <v>2</v>
      </c>
      <c r="U279" s="30" t="str">
        <f>VLOOKUP(T279,Key!$E$2:$F$9,2,FALSE)</f>
        <v>Work</v>
      </c>
      <c r="V279" s="30" t="str">
        <f t="shared" si="16"/>
        <v>Work-Work</v>
      </c>
      <c r="W279" s="29">
        <v>700000</v>
      </c>
      <c r="X279" s="34">
        <v>190</v>
      </c>
      <c r="Y279" s="50" t="str">
        <f t="shared" si="17"/>
        <v>100-200</v>
      </c>
      <c r="Z279" s="34">
        <v>4</v>
      </c>
      <c r="AA279" s="50" t="str">
        <f t="shared" si="18"/>
        <v>Over 3.5</v>
      </c>
      <c r="AB279" s="29">
        <v>10</v>
      </c>
      <c r="AC279" s="30" t="str">
        <f>VLOOKUP(AB279,Key!$C$20:$D$29,2,FALSE)</f>
        <v>Other</v>
      </c>
      <c r="AD279" s="29">
        <v>3</v>
      </c>
      <c r="AE279" s="30" t="str">
        <f>VLOOKUP(AD279,Key!$E$20:$F$24,2,FALSE)</f>
        <v>500,000-750,000</v>
      </c>
      <c r="AF279" s="29">
        <v>1</v>
      </c>
      <c r="AG279" s="34">
        <v>3</v>
      </c>
      <c r="AH279" s="34">
        <v>2</v>
      </c>
      <c r="AI279" s="34">
        <v>4</v>
      </c>
      <c r="AJ279" s="34">
        <v>5</v>
      </c>
      <c r="AK279" s="35" t="s">
        <v>94</v>
      </c>
      <c r="AL279" s="36">
        <v>5000</v>
      </c>
      <c r="AM279" t="str">
        <f t="shared" si="19"/>
        <v>5000-10000</v>
      </c>
    </row>
    <row r="280" spans="1:39" x14ac:dyDescent="0.2">
      <c r="A280" s="44">
        <v>43763</v>
      </c>
      <c r="B280" s="31">
        <v>0.93194444444444446</v>
      </c>
      <c r="C280" s="31"/>
      <c r="D280" s="31" t="s">
        <v>97</v>
      </c>
      <c r="E280" s="33">
        <v>2</v>
      </c>
      <c r="F280" s="38" t="str">
        <f>VLOOKUP(E280,Key!$A$17:$B$21,2,FALSE)</f>
        <v>Road Vehicle</v>
      </c>
      <c r="G280" s="32">
        <v>6</v>
      </c>
      <c r="H280" s="39" t="str">
        <f>VLOOKUP(G280,Key!$A$2:$B$13,2,FALSE)</f>
        <v>Large Bus</v>
      </c>
      <c r="I280" s="33" t="s">
        <v>109</v>
      </c>
      <c r="J280" s="33">
        <v>3</v>
      </c>
      <c r="K280" s="40" t="str">
        <f>VLOOKUP(J280,Key!$A$24:$B$29,2,FALSE)</f>
        <v>40-49</v>
      </c>
      <c r="L280" s="33" t="s">
        <v>151</v>
      </c>
      <c r="M280" s="29" t="s">
        <v>151</v>
      </c>
      <c r="N280" s="33" t="s">
        <v>152</v>
      </c>
      <c r="O280" s="35">
        <v>2</v>
      </c>
      <c r="P280" s="30" t="str">
        <f>VLOOKUP(O280,Key!$E$2:$F$9,2,FALSE)</f>
        <v>Work</v>
      </c>
      <c r="Q280" s="33" t="s">
        <v>153</v>
      </c>
      <c r="R280" s="29" t="s">
        <v>153</v>
      </c>
      <c r="S280" s="33" t="s">
        <v>152</v>
      </c>
      <c r="T280" s="29">
        <v>1</v>
      </c>
      <c r="U280" s="30" t="str">
        <f>VLOOKUP(T280,Key!$E$2:$F$9,2,FALSE)</f>
        <v>Home</v>
      </c>
      <c r="V280" s="30" t="str">
        <f t="shared" si="16"/>
        <v>Work-Home</v>
      </c>
      <c r="W280" s="29">
        <v>700000</v>
      </c>
      <c r="X280" s="34">
        <v>200</v>
      </c>
      <c r="Y280" s="50" t="str">
        <f t="shared" si="17"/>
        <v>Over 200</v>
      </c>
      <c r="Z280" s="34">
        <v>4</v>
      </c>
      <c r="AA280" s="50" t="str">
        <f t="shared" si="18"/>
        <v>Over 3.5</v>
      </c>
      <c r="AB280" s="29">
        <v>10</v>
      </c>
      <c r="AC280" s="30" t="str">
        <f>VLOOKUP(AB280,Key!$C$20:$D$29,2,FALSE)</f>
        <v>Other</v>
      </c>
      <c r="AD280" s="29">
        <v>3</v>
      </c>
      <c r="AE280" s="30" t="str">
        <f>VLOOKUP(AD280,Key!$E$20:$F$24,2,FALSE)</f>
        <v>500,000-750,000</v>
      </c>
      <c r="AF280" s="29">
        <v>2</v>
      </c>
      <c r="AG280" s="34">
        <v>1</v>
      </c>
      <c r="AH280" s="34">
        <v>1</v>
      </c>
      <c r="AI280" s="34">
        <v>1</v>
      </c>
      <c r="AJ280" s="34">
        <v>2</v>
      </c>
      <c r="AK280" s="35" t="s">
        <v>94</v>
      </c>
      <c r="AL280" s="36">
        <v>1000</v>
      </c>
      <c r="AM280" t="str">
        <f t="shared" si="19"/>
        <v>1000-2000</v>
      </c>
    </row>
    <row r="281" spans="1:39" x14ac:dyDescent="0.2">
      <c r="A281" s="44">
        <v>43763</v>
      </c>
      <c r="B281" s="31">
        <v>0.49236111111111108</v>
      </c>
      <c r="C281" s="31"/>
      <c r="D281" s="31" t="s">
        <v>97</v>
      </c>
      <c r="E281" s="33">
        <v>2</v>
      </c>
      <c r="F281" s="38" t="str">
        <f>VLOOKUP(E281,Key!$A$17:$B$21,2,FALSE)</f>
        <v>Road Vehicle</v>
      </c>
      <c r="G281" s="32">
        <v>6</v>
      </c>
      <c r="H281" s="39" t="str">
        <f>VLOOKUP(G281,Key!$A$2:$B$13,2,FALSE)</f>
        <v>Large Bus</v>
      </c>
      <c r="I281" s="33" t="s">
        <v>109</v>
      </c>
      <c r="J281" s="33">
        <v>3</v>
      </c>
      <c r="K281" s="40" t="str">
        <f>VLOOKUP(J281,Key!$A$24:$B$29,2,FALSE)</f>
        <v>40-49</v>
      </c>
      <c r="L281" s="33" t="s">
        <v>151</v>
      </c>
      <c r="M281" s="29" t="s">
        <v>151</v>
      </c>
      <c r="N281" s="33" t="s">
        <v>152</v>
      </c>
      <c r="O281" s="35">
        <v>2</v>
      </c>
      <c r="P281" s="30" t="str">
        <f>VLOOKUP(O281,Key!$E$2:$F$9,2,FALSE)</f>
        <v>Work</v>
      </c>
      <c r="Q281" s="33" t="s">
        <v>165</v>
      </c>
      <c r="R281" s="29" t="s">
        <v>165</v>
      </c>
      <c r="S281" s="33" t="s">
        <v>152</v>
      </c>
      <c r="T281" s="29">
        <v>1</v>
      </c>
      <c r="U281" s="30" t="str">
        <f>VLOOKUP(T281,Key!$E$2:$F$9,2,FALSE)</f>
        <v>Home</v>
      </c>
      <c r="V281" s="30" t="str">
        <f t="shared" si="16"/>
        <v>Work-Home</v>
      </c>
      <c r="W281" s="29">
        <v>700000</v>
      </c>
      <c r="X281" s="34">
        <v>200</v>
      </c>
      <c r="Y281" s="50" t="str">
        <f t="shared" si="17"/>
        <v>Over 200</v>
      </c>
      <c r="Z281" s="34">
        <v>2</v>
      </c>
      <c r="AA281" s="50" t="str">
        <f t="shared" si="18"/>
        <v>2.0-3.5</v>
      </c>
      <c r="AB281" s="29">
        <v>10</v>
      </c>
      <c r="AC281" s="30" t="str">
        <f>VLOOKUP(AB281,Key!$C$20:$D$29,2,FALSE)</f>
        <v>Other</v>
      </c>
      <c r="AD281" s="29">
        <v>4</v>
      </c>
      <c r="AE281" s="30" t="str">
        <f>VLOOKUP(AD281,Key!$E$20:$F$24,2,FALSE)</f>
        <v>750,000-1,000,000</v>
      </c>
      <c r="AF281" s="29">
        <v>3</v>
      </c>
      <c r="AG281" s="34">
        <v>2</v>
      </c>
      <c r="AH281" s="34">
        <v>1</v>
      </c>
      <c r="AI281" s="34">
        <v>4</v>
      </c>
      <c r="AJ281" s="34">
        <v>5</v>
      </c>
      <c r="AK281" s="35" t="s">
        <v>94</v>
      </c>
      <c r="AL281" s="36"/>
      <c r="AM281" t="str">
        <f t="shared" si="19"/>
        <v>0-1000</v>
      </c>
    </row>
    <row r="282" spans="1:39" x14ac:dyDescent="0.2">
      <c r="A282" s="44">
        <v>43763</v>
      </c>
      <c r="B282" s="31">
        <v>0.48749999999999999</v>
      </c>
      <c r="C282" s="31"/>
      <c r="D282" s="31" t="s">
        <v>97</v>
      </c>
      <c r="E282" s="33">
        <v>2</v>
      </c>
      <c r="F282" s="38" t="str">
        <f>VLOOKUP(E282,Key!$A$17:$B$21,2,FALSE)</f>
        <v>Road Vehicle</v>
      </c>
      <c r="G282" s="32">
        <v>6</v>
      </c>
      <c r="H282" s="39" t="str">
        <f>VLOOKUP(G282,Key!$A$2:$B$13,2,FALSE)</f>
        <v>Large Bus</v>
      </c>
      <c r="I282" s="33" t="s">
        <v>109</v>
      </c>
      <c r="J282" s="33">
        <v>3</v>
      </c>
      <c r="K282" s="40" t="str">
        <f>VLOOKUP(J282,Key!$A$24:$B$29,2,FALSE)</f>
        <v>40-49</v>
      </c>
      <c r="L282" s="33" t="s">
        <v>151</v>
      </c>
      <c r="M282" s="29" t="s">
        <v>151</v>
      </c>
      <c r="N282" s="33" t="s">
        <v>152</v>
      </c>
      <c r="O282" s="35">
        <v>2</v>
      </c>
      <c r="P282" s="30" t="str">
        <f>VLOOKUP(O282,Key!$E$2:$F$9,2,FALSE)</f>
        <v>Work</v>
      </c>
      <c r="Q282" s="33" t="s">
        <v>165</v>
      </c>
      <c r="R282" s="29" t="s">
        <v>165</v>
      </c>
      <c r="S282" s="33" t="s">
        <v>152</v>
      </c>
      <c r="T282" s="29">
        <v>1</v>
      </c>
      <c r="U282" s="30" t="str">
        <f>VLOOKUP(T282,Key!$E$2:$F$9,2,FALSE)</f>
        <v>Home</v>
      </c>
      <c r="V282" s="30" t="str">
        <f t="shared" si="16"/>
        <v>Work-Home</v>
      </c>
      <c r="W282" s="29">
        <v>650000</v>
      </c>
      <c r="X282" s="34">
        <v>210</v>
      </c>
      <c r="Y282" s="50" t="str">
        <f t="shared" si="17"/>
        <v>Over 200</v>
      </c>
      <c r="Z282" s="34">
        <v>2</v>
      </c>
      <c r="AA282" s="50" t="str">
        <f t="shared" si="18"/>
        <v>2.0-3.5</v>
      </c>
      <c r="AB282" s="29">
        <v>10</v>
      </c>
      <c r="AC282" s="30" t="str">
        <f>VLOOKUP(AB282,Key!$C$20:$D$29,2,FALSE)</f>
        <v>Other</v>
      </c>
      <c r="AD282" s="29">
        <v>3</v>
      </c>
      <c r="AE282" s="30" t="str">
        <f>VLOOKUP(AD282,Key!$E$20:$F$24,2,FALSE)</f>
        <v>500,000-750,000</v>
      </c>
      <c r="AF282" s="29">
        <v>1</v>
      </c>
      <c r="AG282" s="34">
        <v>2</v>
      </c>
      <c r="AH282" s="34">
        <v>3</v>
      </c>
      <c r="AI282" s="34">
        <v>4</v>
      </c>
      <c r="AJ282" s="34">
        <v>5</v>
      </c>
      <c r="AK282" s="35" t="s">
        <v>94</v>
      </c>
      <c r="AL282" s="36">
        <v>10000</v>
      </c>
      <c r="AM282" t="str">
        <f t="shared" si="19"/>
        <v>Over 10000</v>
      </c>
    </row>
    <row r="283" spans="1:39" x14ac:dyDescent="0.2">
      <c r="A283" s="44">
        <v>43763</v>
      </c>
      <c r="B283" s="31">
        <v>0.35416666666666669</v>
      </c>
      <c r="C283" s="31"/>
      <c r="D283" s="31" t="s">
        <v>97</v>
      </c>
      <c r="E283" s="33">
        <v>2</v>
      </c>
      <c r="F283" s="38" t="str">
        <f>VLOOKUP(E283,Key!$A$17:$B$21,2,FALSE)</f>
        <v>Road Vehicle</v>
      </c>
      <c r="G283" s="32">
        <v>8</v>
      </c>
      <c r="H283" s="39" t="str">
        <f>VLOOKUP(G283,Key!$A$2:$B$13,2,FALSE)</f>
        <v xml:space="preserve">Medium Truck </v>
      </c>
      <c r="I283" s="33" t="s">
        <v>109</v>
      </c>
      <c r="J283" s="33">
        <v>3</v>
      </c>
      <c r="K283" s="40" t="str">
        <f>VLOOKUP(J283,Key!$A$24:$B$29,2,FALSE)</f>
        <v>40-49</v>
      </c>
      <c r="L283" s="33" t="s">
        <v>151</v>
      </c>
      <c r="M283" s="29" t="s">
        <v>151</v>
      </c>
      <c r="N283" s="33" t="s">
        <v>152</v>
      </c>
      <c r="O283" s="35">
        <v>1</v>
      </c>
      <c r="P283" s="30" t="str">
        <f>VLOOKUP(O283,Key!$E$2:$F$9,2,FALSE)</f>
        <v>Home</v>
      </c>
      <c r="Q283" s="33" t="s">
        <v>160</v>
      </c>
      <c r="R283" s="29" t="s">
        <v>160</v>
      </c>
      <c r="S283" s="33" t="s">
        <v>152</v>
      </c>
      <c r="T283" s="29">
        <v>2</v>
      </c>
      <c r="U283" s="30" t="str">
        <f>VLOOKUP(T283,Key!$E$2:$F$9,2,FALSE)</f>
        <v>Work</v>
      </c>
      <c r="V283" s="30" t="str">
        <f t="shared" si="16"/>
        <v>Home-Work</v>
      </c>
      <c r="W283" s="29">
        <v>15000</v>
      </c>
      <c r="X283" s="34">
        <v>45</v>
      </c>
      <c r="Y283" s="50" t="str">
        <f t="shared" si="17"/>
        <v>40-70</v>
      </c>
      <c r="Z283" s="34">
        <v>2</v>
      </c>
      <c r="AA283" s="50" t="str">
        <f t="shared" si="18"/>
        <v>2.0-3.5</v>
      </c>
      <c r="AB283" s="29">
        <v>2</v>
      </c>
      <c r="AC283" s="30" t="str">
        <f>VLOOKUP(AB283,Key!$C$20:$D$29,2,FALSE)</f>
        <v>Manual Labour</v>
      </c>
      <c r="AD283" s="29">
        <v>3</v>
      </c>
      <c r="AE283" s="30" t="str">
        <f>VLOOKUP(AD283,Key!$E$20:$F$24,2,FALSE)</f>
        <v>500,000-750,000</v>
      </c>
      <c r="AF283" s="29">
        <v>1</v>
      </c>
      <c r="AG283" s="34">
        <v>3</v>
      </c>
      <c r="AH283" s="34">
        <v>5</v>
      </c>
      <c r="AI283" s="34">
        <v>4</v>
      </c>
      <c r="AJ283" s="34">
        <v>2</v>
      </c>
      <c r="AK283" s="35" t="s">
        <v>94</v>
      </c>
      <c r="AL283" s="36">
        <v>5000</v>
      </c>
      <c r="AM283" t="str">
        <f t="shared" si="19"/>
        <v>5000-10000</v>
      </c>
    </row>
    <row r="284" spans="1:39" x14ac:dyDescent="0.2">
      <c r="A284" s="44">
        <v>43762</v>
      </c>
      <c r="B284" s="31">
        <v>0.54375000000000007</v>
      </c>
      <c r="C284" s="31"/>
      <c r="D284" s="31" t="s">
        <v>97</v>
      </c>
      <c r="E284" s="33">
        <v>2</v>
      </c>
      <c r="F284" s="38" t="str">
        <f>VLOOKUP(E284,Key!$A$17:$B$21,2,FALSE)</f>
        <v>Road Vehicle</v>
      </c>
      <c r="G284" s="32">
        <v>4</v>
      </c>
      <c r="H284" s="39" t="str">
        <f>VLOOKUP(G284,Key!$A$2:$B$13,2,FALSE)</f>
        <v>Minibus</v>
      </c>
      <c r="I284" s="33" t="s">
        <v>109</v>
      </c>
      <c r="J284" s="33">
        <v>3</v>
      </c>
      <c r="K284" s="40" t="str">
        <f>VLOOKUP(J284,Key!$A$24:$B$29,2,FALSE)</f>
        <v>40-49</v>
      </c>
      <c r="L284" s="33" t="s">
        <v>151</v>
      </c>
      <c r="M284" s="29" t="s">
        <v>151</v>
      </c>
      <c r="N284" s="33" t="s">
        <v>152</v>
      </c>
      <c r="O284" s="35">
        <v>2</v>
      </c>
      <c r="P284" s="30" t="str">
        <f>VLOOKUP(O284,Key!$E$2:$F$9,2,FALSE)</f>
        <v>Work</v>
      </c>
      <c r="Q284" s="33" t="s">
        <v>160</v>
      </c>
      <c r="R284" s="29" t="s">
        <v>160</v>
      </c>
      <c r="S284" s="33" t="s">
        <v>152</v>
      </c>
      <c r="T284" s="29">
        <v>1</v>
      </c>
      <c r="U284" s="30" t="str">
        <f>VLOOKUP(T284,Key!$E$2:$F$9,2,FALSE)</f>
        <v>Home</v>
      </c>
      <c r="V284" s="30" t="str">
        <f t="shared" si="16"/>
        <v>Work-Home</v>
      </c>
      <c r="W284" s="29">
        <v>160000</v>
      </c>
      <c r="X284" s="34">
        <v>115</v>
      </c>
      <c r="Y284" s="50" t="str">
        <f t="shared" si="17"/>
        <v>100-200</v>
      </c>
      <c r="Z284" s="34">
        <v>2</v>
      </c>
      <c r="AA284" s="50" t="str">
        <f t="shared" si="18"/>
        <v>2.0-3.5</v>
      </c>
      <c r="AB284" s="29">
        <v>6</v>
      </c>
      <c r="AC284" s="30" t="str">
        <f>VLOOKUP(AB284,Key!$C$20:$D$29,2,FALSE)</f>
        <v>Businessman</v>
      </c>
      <c r="AD284" s="29">
        <v>3</v>
      </c>
      <c r="AE284" s="30" t="str">
        <f>VLOOKUP(AD284,Key!$E$20:$F$24,2,FALSE)</f>
        <v>500,000-750,000</v>
      </c>
      <c r="AF284" s="29">
        <v>1</v>
      </c>
      <c r="AG284" s="34">
        <v>3</v>
      </c>
      <c r="AH284" s="34">
        <v>2</v>
      </c>
      <c r="AI284" s="34">
        <v>4</v>
      </c>
      <c r="AJ284" s="34">
        <v>2</v>
      </c>
      <c r="AK284" s="35" t="s">
        <v>94</v>
      </c>
      <c r="AL284" s="36"/>
      <c r="AM284" t="str">
        <f t="shared" si="19"/>
        <v>0-1000</v>
      </c>
    </row>
    <row r="285" spans="1:39" x14ac:dyDescent="0.2">
      <c r="A285" s="44">
        <v>43762</v>
      </c>
      <c r="B285" s="31">
        <v>0.69027777777777777</v>
      </c>
      <c r="C285" s="31"/>
      <c r="D285" s="31" t="s">
        <v>150</v>
      </c>
      <c r="E285" s="33">
        <v>2</v>
      </c>
      <c r="F285" s="38" t="str">
        <f>VLOOKUP(E285,Key!$A$17:$B$21,2,FALSE)</f>
        <v>Road Vehicle</v>
      </c>
      <c r="G285" s="32">
        <v>4</v>
      </c>
      <c r="H285" s="39" t="str">
        <f>VLOOKUP(G285,Key!$A$2:$B$13,2,FALSE)</f>
        <v>Minibus</v>
      </c>
      <c r="I285" s="33" t="s">
        <v>109</v>
      </c>
      <c r="J285" s="33">
        <v>3</v>
      </c>
      <c r="K285" s="40" t="str">
        <f>VLOOKUP(J285,Key!$A$24:$B$29,2,FALSE)</f>
        <v>40-49</v>
      </c>
      <c r="L285" s="33" t="s">
        <v>151</v>
      </c>
      <c r="M285" s="29" t="s">
        <v>151</v>
      </c>
      <c r="N285" s="33" t="s">
        <v>152</v>
      </c>
      <c r="O285" s="35">
        <v>4</v>
      </c>
      <c r="P285" s="30" t="str">
        <f>VLOOKUP(O285,Key!$E$2:$F$9,2,FALSE)</f>
        <v>Commercial</v>
      </c>
      <c r="Q285" s="33" t="s">
        <v>172</v>
      </c>
      <c r="R285" s="29" t="s">
        <v>173</v>
      </c>
      <c r="S285" s="33" t="s">
        <v>152</v>
      </c>
      <c r="T285" s="29">
        <v>4</v>
      </c>
      <c r="U285" s="30" t="str">
        <f>VLOOKUP(T285,Key!$E$2:$F$9,2,FALSE)</f>
        <v>Commercial</v>
      </c>
      <c r="V285" s="30" t="str">
        <f t="shared" si="16"/>
        <v>Commercial-Commercial</v>
      </c>
      <c r="W285" s="29">
        <v>80000</v>
      </c>
      <c r="X285" s="34"/>
      <c r="Y285" s="50" t="str">
        <f t="shared" si="17"/>
        <v>0-10</v>
      </c>
      <c r="Z285" s="34">
        <v>4</v>
      </c>
      <c r="AA285" s="50" t="str">
        <f t="shared" si="18"/>
        <v>Over 3.5</v>
      </c>
      <c r="AB285" s="29">
        <v>10</v>
      </c>
      <c r="AC285" s="30" t="str">
        <f>VLOOKUP(AB285,Key!$C$20:$D$29,2,FALSE)</f>
        <v>Other</v>
      </c>
      <c r="AD285" s="29">
        <v>4</v>
      </c>
      <c r="AE285" s="30" t="str">
        <f>VLOOKUP(AD285,Key!$E$20:$F$24,2,FALSE)</f>
        <v>750,000-1,000,000</v>
      </c>
      <c r="AF285" s="29">
        <v>3</v>
      </c>
      <c r="AG285" s="34">
        <v>1</v>
      </c>
      <c r="AH285" s="34">
        <v>2</v>
      </c>
      <c r="AI285" s="34">
        <v>5</v>
      </c>
      <c r="AJ285" s="34">
        <v>4</v>
      </c>
      <c r="AK285" s="35" t="s">
        <v>94</v>
      </c>
      <c r="AL285" s="36">
        <v>2000</v>
      </c>
      <c r="AM285" t="str">
        <f t="shared" si="19"/>
        <v>2000-3000</v>
      </c>
    </row>
    <row r="286" spans="1:39" x14ac:dyDescent="0.2">
      <c r="A286" s="44">
        <v>43762</v>
      </c>
      <c r="B286" s="31">
        <v>0.7055555555555556</v>
      </c>
      <c r="C286" s="31"/>
      <c r="D286" s="31" t="s">
        <v>150</v>
      </c>
      <c r="E286" s="33">
        <v>2</v>
      </c>
      <c r="F286" s="38" t="str">
        <f>VLOOKUP(E286,Key!$A$17:$B$21,2,FALSE)</f>
        <v>Road Vehicle</v>
      </c>
      <c r="G286" s="32">
        <v>4</v>
      </c>
      <c r="H286" s="39" t="str">
        <f>VLOOKUP(G286,Key!$A$2:$B$13,2,FALSE)</f>
        <v>Minibus</v>
      </c>
      <c r="I286" s="33" t="s">
        <v>109</v>
      </c>
      <c r="J286" s="33">
        <v>3</v>
      </c>
      <c r="K286" s="40" t="str">
        <f>VLOOKUP(J286,Key!$A$24:$B$29,2,FALSE)</f>
        <v>40-49</v>
      </c>
      <c r="L286" s="33" t="s">
        <v>151</v>
      </c>
      <c r="M286" s="29" t="s">
        <v>151</v>
      </c>
      <c r="N286" s="33" t="s">
        <v>152</v>
      </c>
      <c r="O286" s="35">
        <v>1</v>
      </c>
      <c r="P286" s="30" t="str">
        <f>VLOOKUP(O286,Key!$E$2:$F$9,2,FALSE)</f>
        <v>Home</v>
      </c>
      <c r="Q286" s="33" t="s">
        <v>151</v>
      </c>
      <c r="R286" s="29" t="s">
        <v>151</v>
      </c>
      <c r="S286" s="33" t="s">
        <v>152</v>
      </c>
      <c r="T286" s="29">
        <v>4</v>
      </c>
      <c r="U286" s="30" t="str">
        <f>VLOOKUP(T286,Key!$E$2:$F$9,2,FALSE)</f>
        <v>Commercial</v>
      </c>
      <c r="V286" s="30" t="str">
        <f t="shared" si="16"/>
        <v>Home-Commercial</v>
      </c>
      <c r="W286" s="29">
        <v>12000</v>
      </c>
      <c r="X286" s="34"/>
      <c r="Y286" s="50" t="str">
        <f t="shared" si="17"/>
        <v>0-10</v>
      </c>
      <c r="Z286" s="34">
        <v>4</v>
      </c>
      <c r="AA286" s="50" t="str">
        <f t="shared" si="18"/>
        <v>Over 3.5</v>
      </c>
      <c r="AB286" s="29">
        <v>7</v>
      </c>
      <c r="AC286" s="30" t="str">
        <f>VLOOKUP(AB286,Key!$C$20:$D$29,2,FALSE)</f>
        <v>Farmer</v>
      </c>
      <c r="AD286" s="29">
        <v>3</v>
      </c>
      <c r="AE286" s="30" t="str">
        <f>VLOOKUP(AD286,Key!$E$20:$F$24,2,FALSE)</f>
        <v>500,000-750,000</v>
      </c>
      <c r="AF286" s="29">
        <v>4</v>
      </c>
      <c r="AG286" s="34">
        <v>3</v>
      </c>
      <c r="AH286" s="34">
        <v>1</v>
      </c>
      <c r="AI286" s="34">
        <v>2</v>
      </c>
      <c r="AJ286" s="34">
        <v>5</v>
      </c>
      <c r="AK286" s="35" t="s">
        <v>94</v>
      </c>
      <c r="AL286" s="36">
        <v>10000</v>
      </c>
      <c r="AM286" t="str">
        <f t="shared" si="19"/>
        <v>Over 10000</v>
      </c>
    </row>
    <row r="287" spans="1:39" x14ac:dyDescent="0.2">
      <c r="A287" s="44">
        <v>43762</v>
      </c>
      <c r="B287" s="31">
        <v>0.3666666666666667</v>
      </c>
      <c r="C287" s="31"/>
      <c r="D287" s="31" t="s">
        <v>97</v>
      </c>
      <c r="E287" s="33">
        <v>2</v>
      </c>
      <c r="F287" s="38" t="str">
        <f>VLOOKUP(E287,Key!$A$17:$B$21,2,FALSE)</f>
        <v>Road Vehicle</v>
      </c>
      <c r="G287" s="32">
        <v>4</v>
      </c>
      <c r="H287" s="39" t="str">
        <f>VLOOKUP(G287,Key!$A$2:$B$13,2,FALSE)</f>
        <v>Minibus</v>
      </c>
      <c r="I287" s="33" t="s">
        <v>109</v>
      </c>
      <c r="J287" s="33">
        <v>3</v>
      </c>
      <c r="K287" s="40" t="str">
        <f>VLOOKUP(J287,Key!$A$24:$B$29,2,FALSE)</f>
        <v>40-49</v>
      </c>
      <c r="L287" s="33" t="s">
        <v>151</v>
      </c>
      <c r="M287" s="29" t="s">
        <v>151</v>
      </c>
      <c r="N287" s="33" t="s">
        <v>152</v>
      </c>
      <c r="O287" s="35">
        <v>1</v>
      </c>
      <c r="P287" s="30" t="str">
        <f>VLOOKUP(O287,Key!$E$2:$F$9,2,FALSE)</f>
        <v>Home</v>
      </c>
      <c r="Q287" s="33" t="s">
        <v>181</v>
      </c>
      <c r="R287" s="29" t="s">
        <v>180</v>
      </c>
      <c r="S287" s="33" t="s">
        <v>152</v>
      </c>
      <c r="T287" s="29">
        <v>2</v>
      </c>
      <c r="U287" s="30" t="str">
        <f>VLOOKUP(T287,Key!$E$2:$F$9,2,FALSE)</f>
        <v>Work</v>
      </c>
      <c r="V287" s="30" t="str">
        <f t="shared" si="16"/>
        <v>Home-Work</v>
      </c>
      <c r="W287" s="29">
        <v>100000</v>
      </c>
      <c r="X287" s="34">
        <v>15</v>
      </c>
      <c r="Y287" s="50" t="str">
        <f t="shared" si="17"/>
        <v>10-20</v>
      </c>
      <c r="Z287" s="34">
        <v>2</v>
      </c>
      <c r="AA287" s="50" t="str">
        <f t="shared" si="18"/>
        <v>2.0-3.5</v>
      </c>
      <c r="AB287" s="29">
        <v>2</v>
      </c>
      <c r="AC287" s="30" t="str">
        <f>VLOOKUP(AB287,Key!$C$20:$D$29,2,FALSE)</f>
        <v>Manual Labour</v>
      </c>
      <c r="AD287" s="29">
        <v>3</v>
      </c>
      <c r="AE287" s="30" t="str">
        <f>VLOOKUP(AD287,Key!$E$20:$F$24,2,FALSE)</f>
        <v>500,000-750,000</v>
      </c>
      <c r="AF287" s="29">
        <v>1</v>
      </c>
      <c r="AG287" s="34">
        <v>3</v>
      </c>
      <c r="AH287" s="34">
        <v>4</v>
      </c>
      <c r="AI287" s="34">
        <v>2</v>
      </c>
      <c r="AJ287" s="34">
        <v>1</v>
      </c>
      <c r="AK287" s="35" t="s">
        <v>94</v>
      </c>
      <c r="AL287" s="36">
        <v>2000</v>
      </c>
      <c r="AM287" t="str">
        <f t="shared" si="19"/>
        <v>2000-3000</v>
      </c>
    </row>
    <row r="288" spans="1:39" x14ac:dyDescent="0.2">
      <c r="A288" s="44">
        <v>43763</v>
      </c>
      <c r="B288" s="31">
        <v>0.3520833333333333</v>
      </c>
      <c r="C288" s="31"/>
      <c r="D288" s="31" t="s">
        <v>97</v>
      </c>
      <c r="E288" s="33">
        <v>2</v>
      </c>
      <c r="F288" s="38" t="str">
        <f>VLOOKUP(E288,Key!$A$17:$B$21,2,FALSE)</f>
        <v>Road Vehicle</v>
      </c>
      <c r="G288" s="32">
        <v>4</v>
      </c>
      <c r="H288" s="39" t="str">
        <f>VLOOKUP(G288,Key!$A$2:$B$13,2,FALSE)</f>
        <v>Minibus</v>
      </c>
      <c r="I288" s="33" t="s">
        <v>109</v>
      </c>
      <c r="J288" s="33">
        <v>3</v>
      </c>
      <c r="K288" s="40" t="str">
        <f>VLOOKUP(J288,Key!$A$24:$B$29,2,FALSE)</f>
        <v>40-49</v>
      </c>
      <c r="L288" s="33" t="s">
        <v>151</v>
      </c>
      <c r="M288" s="29" t="s">
        <v>151</v>
      </c>
      <c r="N288" s="33" t="s">
        <v>152</v>
      </c>
      <c r="O288" s="35">
        <v>1</v>
      </c>
      <c r="P288" s="30" t="str">
        <f>VLOOKUP(O288,Key!$E$2:$F$9,2,FALSE)</f>
        <v>Home</v>
      </c>
      <c r="Q288" s="33" t="s">
        <v>160</v>
      </c>
      <c r="R288" s="29" t="s">
        <v>160</v>
      </c>
      <c r="S288" s="33" t="s">
        <v>152</v>
      </c>
      <c r="T288" s="29">
        <v>2</v>
      </c>
      <c r="U288" s="30" t="str">
        <f>VLOOKUP(T288,Key!$E$2:$F$9,2,FALSE)</f>
        <v>Work</v>
      </c>
      <c r="V288" s="30" t="str">
        <f t="shared" si="16"/>
        <v>Home-Work</v>
      </c>
      <c r="W288" s="29">
        <v>100000</v>
      </c>
      <c r="X288" s="34">
        <v>45</v>
      </c>
      <c r="Y288" s="50" t="str">
        <f t="shared" si="17"/>
        <v>40-70</v>
      </c>
      <c r="Z288" s="34">
        <v>2</v>
      </c>
      <c r="AA288" s="50" t="str">
        <f t="shared" si="18"/>
        <v>2.0-3.5</v>
      </c>
      <c r="AB288" s="29">
        <v>5</v>
      </c>
      <c r="AC288" s="30" t="str">
        <f>VLOOKUP(AB288,Key!$C$20:$D$29,2,FALSE)</f>
        <v>Professional</v>
      </c>
      <c r="AD288" s="29">
        <v>3</v>
      </c>
      <c r="AE288" s="30" t="str">
        <f>VLOOKUP(AD288,Key!$E$20:$F$24,2,FALSE)</f>
        <v>500,000-750,000</v>
      </c>
      <c r="AF288" s="29">
        <v>2</v>
      </c>
      <c r="AG288" s="34">
        <v>1</v>
      </c>
      <c r="AH288" s="34">
        <v>4</v>
      </c>
      <c r="AI288" s="34">
        <v>5</v>
      </c>
      <c r="AJ288" s="34">
        <v>3</v>
      </c>
      <c r="AK288" s="35" t="s">
        <v>94</v>
      </c>
      <c r="AL288" s="36"/>
      <c r="AM288" t="str">
        <f t="shared" si="19"/>
        <v>0-1000</v>
      </c>
    </row>
    <row r="289" spans="1:39" x14ac:dyDescent="0.2">
      <c r="A289" s="44">
        <v>43763</v>
      </c>
      <c r="B289" s="31">
        <v>0.65833333333333333</v>
      </c>
      <c r="C289" s="31"/>
      <c r="D289" s="31" t="s">
        <v>150</v>
      </c>
      <c r="E289" s="33">
        <v>2</v>
      </c>
      <c r="F289" s="38" t="str">
        <f>VLOOKUP(E289,Key!$A$17:$B$21,2,FALSE)</f>
        <v>Road Vehicle</v>
      </c>
      <c r="G289" s="32">
        <v>4</v>
      </c>
      <c r="H289" s="39" t="str">
        <f>VLOOKUP(G289,Key!$A$2:$B$13,2,FALSE)</f>
        <v>Minibus</v>
      </c>
      <c r="I289" s="33" t="s">
        <v>109</v>
      </c>
      <c r="J289" s="33">
        <v>3</v>
      </c>
      <c r="K289" s="40" t="str">
        <f>VLOOKUP(J289,Key!$A$24:$B$29,2,FALSE)</f>
        <v>40-49</v>
      </c>
      <c r="L289" s="33" t="s">
        <v>151</v>
      </c>
      <c r="M289" s="29" t="s">
        <v>151</v>
      </c>
      <c r="N289" s="33" t="s">
        <v>152</v>
      </c>
      <c r="O289" s="35">
        <v>1</v>
      </c>
      <c r="P289" s="30" t="str">
        <f>VLOOKUP(O289,Key!$E$2:$F$9,2,FALSE)</f>
        <v>Home</v>
      </c>
      <c r="Q289" s="33" t="s">
        <v>151</v>
      </c>
      <c r="R289" s="29" t="s">
        <v>151</v>
      </c>
      <c r="S289" s="33" t="s">
        <v>152</v>
      </c>
      <c r="T289" s="29">
        <v>6</v>
      </c>
      <c r="U289" s="30" t="str">
        <f>VLOOKUP(T289,Key!$E$2:$F$9,2,FALSE)</f>
        <v>Leisure/Social</v>
      </c>
      <c r="V289" s="30" t="str">
        <f t="shared" si="16"/>
        <v>Home-Leisure/Social</v>
      </c>
      <c r="W289" s="29">
        <v>7000</v>
      </c>
      <c r="X289" s="34">
        <v>75</v>
      </c>
      <c r="Y289" s="50" t="str">
        <f t="shared" si="17"/>
        <v>70-100</v>
      </c>
      <c r="Z289" s="34">
        <v>4</v>
      </c>
      <c r="AA289" s="50" t="str">
        <f t="shared" si="18"/>
        <v>Over 3.5</v>
      </c>
      <c r="AB289" s="29">
        <v>3</v>
      </c>
      <c r="AC289" s="30" t="str">
        <f>VLOOKUP(AB289,Key!$C$20:$D$29,2,FALSE)</f>
        <v>Artisan/Domestic</v>
      </c>
      <c r="AD289" s="29">
        <v>1</v>
      </c>
      <c r="AE289" s="30" t="str">
        <f>VLOOKUP(AD289,Key!$E$20:$F$24,2,FALSE)</f>
        <v>&lt;300,000</v>
      </c>
      <c r="AF289" s="29">
        <v>1</v>
      </c>
      <c r="AG289" s="34">
        <v>3</v>
      </c>
      <c r="AH289" s="34">
        <v>5</v>
      </c>
      <c r="AI289" s="34">
        <v>2</v>
      </c>
      <c r="AJ289" s="34">
        <v>4</v>
      </c>
      <c r="AK289" s="35" t="s">
        <v>94</v>
      </c>
      <c r="AL289" s="36"/>
      <c r="AM289" t="str">
        <f t="shared" si="19"/>
        <v>0-1000</v>
      </c>
    </row>
    <row r="290" spans="1:39" x14ac:dyDescent="0.2">
      <c r="A290" s="44">
        <v>43763</v>
      </c>
      <c r="B290" s="31">
        <v>0.65</v>
      </c>
      <c r="C290" s="31"/>
      <c r="D290" s="31" t="s">
        <v>97</v>
      </c>
      <c r="E290" s="33">
        <v>2</v>
      </c>
      <c r="F290" s="38" t="str">
        <f>VLOOKUP(E290,Key!$A$17:$B$21,2,FALSE)</f>
        <v>Road Vehicle</v>
      </c>
      <c r="G290" s="32">
        <v>4</v>
      </c>
      <c r="H290" s="39" t="str">
        <f>VLOOKUP(G290,Key!$A$2:$B$13,2,FALSE)</f>
        <v>Minibus</v>
      </c>
      <c r="I290" s="33" t="s">
        <v>109</v>
      </c>
      <c r="J290" s="33">
        <v>3</v>
      </c>
      <c r="K290" s="40" t="str">
        <f>VLOOKUP(J290,Key!$A$24:$B$29,2,FALSE)</f>
        <v>40-49</v>
      </c>
      <c r="L290" s="33" t="s">
        <v>151</v>
      </c>
      <c r="M290" s="29" t="s">
        <v>151</v>
      </c>
      <c r="N290" s="33" t="s">
        <v>152</v>
      </c>
      <c r="O290" s="35">
        <v>1</v>
      </c>
      <c r="P290" s="30" t="str">
        <f>VLOOKUP(O290,Key!$E$2:$F$9,2,FALSE)</f>
        <v>Home</v>
      </c>
      <c r="Q290" s="33" t="s">
        <v>165</v>
      </c>
      <c r="R290" s="29" t="s">
        <v>168</v>
      </c>
      <c r="S290" s="33" t="s">
        <v>152</v>
      </c>
      <c r="T290" s="29">
        <v>2</v>
      </c>
      <c r="U290" s="30" t="str">
        <f>VLOOKUP(T290,Key!$E$2:$F$9,2,FALSE)</f>
        <v>Work</v>
      </c>
      <c r="V290" s="30" t="str">
        <f t="shared" si="16"/>
        <v>Home-Work</v>
      </c>
      <c r="W290" s="29">
        <v>10000</v>
      </c>
      <c r="X290" s="34">
        <v>90</v>
      </c>
      <c r="Y290" s="50" t="str">
        <f t="shared" si="17"/>
        <v>70-100</v>
      </c>
      <c r="Z290" s="34">
        <v>2</v>
      </c>
      <c r="AA290" s="50" t="str">
        <f t="shared" si="18"/>
        <v>2.0-3.5</v>
      </c>
      <c r="AB290" s="29">
        <v>5</v>
      </c>
      <c r="AC290" s="30" t="str">
        <f>VLOOKUP(AB290,Key!$C$20:$D$29,2,FALSE)</f>
        <v>Professional</v>
      </c>
      <c r="AD290" s="29">
        <v>2</v>
      </c>
      <c r="AE290" s="30" t="str">
        <f>VLOOKUP(AD290,Key!$E$20:$F$24,2,FALSE)</f>
        <v>300,000-500,000</v>
      </c>
      <c r="AF290" s="29">
        <v>3</v>
      </c>
      <c r="AG290" s="34">
        <v>2</v>
      </c>
      <c r="AH290" s="34">
        <v>5</v>
      </c>
      <c r="AI290" s="34">
        <v>1</v>
      </c>
      <c r="AJ290" s="34">
        <v>4</v>
      </c>
      <c r="AK290" s="35" t="s">
        <v>94</v>
      </c>
      <c r="AL290" s="36"/>
      <c r="AM290" t="str">
        <f t="shared" si="19"/>
        <v>0-1000</v>
      </c>
    </row>
    <row r="291" spans="1:39" x14ac:dyDescent="0.2">
      <c r="A291" s="44">
        <v>43763</v>
      </c>
      <c r="B291" s="31">
        <v>0.6</v>
      </c>
      <c r="C291" s="31"/>
      <c r="D291" s="31" t="s">
        <v>97</v>
      </c>
      <c r="E291" s="33">
        <v>2</v>
      </c>
      <c r="F291" s="38" t="str">
        <f>VLOOKUP(E291,Key!$A$17:$B$21,2,FALSE)</f>
        <v>Road Vehicle</v>
      </c>
      <c r="G291" s="32">
        <v>4</v>
      </c>
      <c r="H291" s="39" t="str">
        <f>VLOOKUP(G291,Key!$A$2:$B$13,2,FALSE)</f>
        <v>Minibus</v>
      </c>
      <c r="I291" s="33" t="s">
        <v>109</v>
      </c>
      <c r="J291" s="33">
        <v>3</v>
      </c>
      <c r="K291" s="40" t="str">
        <f>VLOOKUP(J291,Key!$A$24:$B$29,2,FALSE)</f>
        <v>40-49</v>
      </c>
      <c r="L291" s="33" t="s">
        <v>151</v>
      </c>
      <c r="M291" s="29" t="s">
        <v>151</v>
      </c>
      <c r="N291" s="33" t="s">
        <v>152</v>
      </c>
      <c r="O291" s="35">
        <v>1</v>
      </c>
      <c r="P291" s="30" t="str">
        <f>VLOOKUP(O291,Key!$E$2:$F$9,2,FALSE)</f>
        <v>Home</v>
      </c>
      <c r="Q291" s="33" t="s">
        <v>188</v>
      </c>
      <c r="R291" s="29" t="s">
        <v>165</v>
      </c>
      <c r="S291" s="33" t="s">
        <v>152</v>
      </c>
      <c r="T291" s="29">
        <v>2</v>
      </c>
      <c r="U291" s="30" t="str">
        <f>VLOOKUP(T291,Key!$E$2:$F$9,2,FALSE)</f>
        <v>Work</v>
      </c>
      <c r="V291" s="30" t="str">
        <f t="shared" si="16"/>
        <v>Home-Work</v>
      </c>
      <c r="W291" s="29">
        <v>100000</v>
      </c>
      <c r="X291" s="34">
        <v>90</v>
      </c>
      <c r="Y291" s="50" t="str">
        <f t="shared" si="17"/>
        <v>70-100</v>
      </c>
      <c r="Z291" s="34">
        <v>1</v>
      </c>
      <c r="AA291" s="50" t="str">
        <f t="shared" si="18"/>
        <v>1.0-2.0</v>
      </c>
      <c r="AB291" s="29">
        <v>5</v>
      </c>
      <c r="AC291" s="30" t="str">
        <f>VLOOKUP(AB291,Key!$C$20:$D$29,2,FALSE)</f>
        <v>Professional</v>
      </c>
      <c r="AD291" s="29">
        <v>3</v>
      </c>
      <c r="AE291" s="30" t="str">
        <f>VLOOKUP(AD291,Key!$E$20:$F$24,2,FALSE)</f>
        <v>500,000-750,000</v>
      </c>
      <c r="AF291" s="29">
        <v>3</v>
      </c>
      <c r="AG291" s="34">
        <v>5</v>
      </c>
      <c r="AH291" s="34">
        <v>4</v>
      </c>
      <c r="AI291" s="34">
        <v>1</v>
      </c>
      <c r="AJ291" s="34">
        <v>2</v>
      </c>
      <c r="AK291" s="35" t="s">
        <v>94</v>
      </c>
      <c r="AL291" s="36">
        <v>5000</v>
      </c>
      <c r="AM291" t="str">
        <f t="shared" si="19"/>
        <v>5000-10000</v>
      </c>
    </row>
    <row r="292" spans="1:39" x14ac:dyDescent="0.2">
      <c r="A292" s="44">
        <v>43763</v>
      </c>
      <c r="B292" s="31">
        <v>0.3833333333333333</v>
      </c>
      <c r="C292" s="31"/>
      <c r="D292" s="31" t="s">
        <v>97</v>
      </c>
      <c r="E292" s="33">
        <v>2</v>
      </c>
      <c r="F292" s="38" t="str">
        <f>VLOOKUP(E292,Key!$A$17:$B$21,2,FALSE)</f>
        <v>Road Vehicle</v>
      </c>
      <c r="G292" s="32">
        <v>4</v>
      </c>
      <c r="H292" s="39" t="str">
        <f>VLOOKUP(G292,Key!$A$2:$B$13,2,FALSE)</f>
        <v>Minibus</v>
      </c>
      <c r="I292" s="33" t="s">
        <v>109</v>
      </c>
      <c r="J292" s="33">
        <v>3</v>
      </c>
      <c r="K292" s="40" t="str">
        <f>VLOOKUP(J292,Key!$A$24:$B$29,2,FALSE)</f>
        <v>40-49</v>
      </c>
      <c r="L292" s="33" t="s">
        <v>151</v>
      </c>
      <c r="M292" s="29" t="s">
        <v>151</v>
      </c>
      <c r="N292" s="33" t="s">
        <v>152</v>
      </c>
      <c r="O292" s="35">
        <v>1</v>
      </c>
      <c r="P292" s="30" t="str">
        <f>VLOOKUP(O292,Key!$E$2:$F$9,2,FALSE)</f>
        <v>Home</v>
      </c>
      <c r="Q292" s="33" t="s">
        <v>160</v>
      </c>
      <c r="R292" s="29" t="s">
        <v>160</v>
      </c>
      <c r="S292" s="33" t="s">
        <v>152</v>
      </c>
      <c r="T292" s="29">
        <v>2</v>
      </c>
      <c r="U292" s="30" t="str">
        <f>VLOOKUP(T292,Key!$E$2:$F$9,2,FALSE)</f>
        <v>Work</v>
      </c>
      <c r="V292" s="30" t="str">
        <f t="shared" si="16"/>
        <v>Home-Work</v>
      </c>
      <c r="W292" s="29">
        <v>15000</v>
      </c>
      <c r="X292" s="34"/>
      <c r="Y292" s="50" t="str">
        <f t="shared" si="17"/>
        <v>0-10</v>
      </c>
      <c r="Z292" s="34">
        <v>3</v>
      </c>
      <c r="AA292" s="50" t="str">
        <f t="shared" si="18"/>
        <v>2.0-3.5</v>
      </c>
      <c r="AB292" s="29">
        <v>5</v>
      </c>
      <c r="AC292" s="30" t="str">
        <f>VLOOKUP(AB292,Key!$C$20:$D$29,2,FALSE)</f>
        <v>Professional</v>
      </c>
      <c r="AD292" s="29">
        <v>3</v>
      </c>
      <c r="AE292" s="30" t="str">
        <f>VLOOKUP(AD292,Key!$E$20:$F$24,2,FALSE)</f>
        <v>500,000-750,000</v>
      </c>
      <c r="AF292" s="29">
        <v>1</v>
      </c>
      <c r="AG292" s="34">
        <v>2</v>
      </c>
      <c r="AH292" s="34">
        <v>3</v>
      </c>
      <c r="AI292" s="34">
        <v>4</v>
      </c>
      <c r="AJ292" s="34">
        <v>5</v>
      </c>
      <c r="AK292" s="35" t="s">
        <v>94</v>
      </c>
      <c r="AL292" s="36">
        <v>5000</v>
      </c>
      <c r="AM292" t="str">
        <f t="shared" si="19"/>
        <v>5000-10000</v>
      </c>
    </row>
    <row r="293" spans="1:39" x14ac:dyDescent="0.2">
      <c r="A293" s="44">
        <v>43763</v>
      </c>
      <c r="B293" s="31">
        <v>0.42499999999999999</v>
      </c>
      <c r="C293" s="31"/>
      <c r="D293" s="31" t="s">
        <v>150</v>
      </c>
      <c r="E293" s="33">
        <v>2</v>
      </c>
      <c r="F293" s="38" t="str">
        <f>VLOOKUP(E293,Key!$A$17:$B$21,2,FALSE)</f>
        <v>Road Vehicle</v>
      </c>
      <c r="G293" s="32">
        <v>4</v>
      </c>
      <c r="H293" s="39" t="str">
        <f>VLOOKUP(G293,Key!$A$2:$B$13,2,FALSE)</f>
        <v>Minibus</v>
      </c>
      <c r="I293" s="33" t="s">
        <v>109</v>
      </c>
      <c r="J293" s="33">
        <v>3</v>
      </c>
      <c r="K293" s="40" t="str">
        <f>VLOOKUP(J293,Key!$A$24:$B$29,2,FALSE)</f>
        <v>40-49</v>
      </c>
      <c r="L293" s="33" t="s">
        <v>151</v>
      </c>
      <c r="M293" s="29" t="s">
        <v>151</v>
      </c>
      <c r="N293" s="33" t="s">
        <v>152</v>
      </c>
      <c r="O293" s="35">
        <v>1</v>
      </c>
      <c r="P293" s="30" t="str">
        <f>VLOOKUP(O293,Key!$E$2:$F$9,2,FALSE)</f>
        <v>Home</v>
      </c>
      <c r="Q293" s="33" t="s">
        <v>160</v>
      </c>
      <c r="R293" s="29" t="s">
        <v>160</v>
      </c>
      <c r="S293" s="33" t="s">
        <v>152</v>
      </c>
      <c r="T293" s="29">
        <v>2</v>
      </c>
      <c r="U293" s="30" t="str">
        <f>VLOOKUP(T293,Key!$E$2:$F$9,2,FALSE)</f>
        <v>Work</v>
      </c>
      <c r="V293" s="30" t="str">
        <f t="shared" si="16"/>
        <v>Home-Work</v>
      </c>
      <c r="W293" s="29">
        <v>10000</v>
      </c>
      <c r="X293" s="34">
        <v>35</v>
      </c>
      <c r="Y293" s="50" t="str">
        <f t="shared" si="17"/>
        <v>20-40</v>
      </c>
      <c r="Z293" s="34">
        <v>3</v>
      </c>
      <c r="AA293" s="50" t="str">
        <f t="shared" si="18"/>
        <v>2.0-3.5</v>
      </c>
      <c r="AB293" s="29">
        <v>5</v>
      </c>
      <c r="AC293" s="30" t="str">
        <f>VLOOKUP(AB293,Key!$C$20:$D$29,2,FALSE)</f>
        <v>Professional</v>
      </c>
      <c r="AD293" s="29">
        <v>3</v>
      </c>
      <c r="AE293" s="30" t="str">
        <f>VLOOKUP(AD293,Key!$E$20:$F$24,2,FALSE)</f>
        <v>500,000-750,000</v>
      </c>
      <c r="AF293" s="29">
        <v>3</v>
      </c>
      <c r="AG293" s="34">
        <v>4</v>
      </c>
      <c r="AH293" s="34">
        <v>5</v>
      </c>
      <c r="AI293" s="34">
        <v>1</v>
      </c>
      <c r="AJ293" s="34">
        <v>2</v>
      </c>
      <c r="AK293" s="35" t="s">
        <v>94</v>
      </c>
      <c r="AL293" s="36">
        <v>5000</v>
      </c>
      <c r="AM293" t="str">
        <f t="shared" si="19"/>
        <v>5000-10000</v>
      </c>
    </row>
    <row r="294" spans="1:39" x14ac:dyDescent="0.2">
      <c r="A294" s="44">
        <v>43763</v>
      </c>
      <c r="B294" s="31">
        <v>0.43124999999999997</v>
      </c>
      <c r="C294" s="31"/>
      <c r="D294" s="31" t="s">
        <v>150</v>
      </c>
      <c r="E294" s="33">
        <v>2</v>
      </c>
      <c r="F294" s="38" t="str">
        <f>VLOOKUP(E294,Key!$A$17:$B$21,2,FALSE)</f>
        <v>Road Vehicle</v>
      </c>
      <c r="G294" s="32">
        <v>4</v>
      </c>
      <c r="H294" s="39" t="str">
        <f>VLOOKUP(G294,Key!$A$2:$B$13,2,FALSE)</f>
        <v>Minibus</v>
      </c>
      <c r="I294" s="33" t="s">
        <v>109</v>
      </c>
      <c r="J294" s="33">
        <v>3</v>
      </c>
      <c r="K294" s="40" t="str">
        <f>VLOOKUP(J294,Key!$A$24:$B$29,2,FALSE)</f>
        <v>40-49</v>
      </c>
      <c r="L294" s="33" t="s">
        <v>151</v>
      </c>
      <c r="M294" s="29" t="s">
        <v>151</v>
      </c>
      <c r="N294" s="33" t="s">
        <v>152</v>
      </c>
      <c r="O294" s="35">
        <v>1</v>
      </c>
      <c r="P294" s="30" t="str">
        <f>VLOOKUP(O294,Key!$E$2:$F$9,2,FALSE)</f>
        <v>Home</v>
      </c>
      <c r="Q294" s="33" t="s">
        <v>191</v>
      </c>
      <c r="R294" s="29" t="s">
        <v>151</v>
      </c>
      <c r="S294" s="33" t="s">
        <v>152</v>
      </c>
      <c r="T294" s="29">
        <v>4</v>
      </c>
      <c r="U294" s="30" t="str">
        <f>VLOOKUP(T294,Key!$E$2:$F$9,2,FALSE)</f>
        <v>Commercial</v>
      </c>
      <c r="V294" s="30" t="str">
        <f t="shared" si="16"/>
        <v>Home-Commercial</v>
      </c>
      <c r="W294" s="29">
        <v>5000</v>
      </c>
      <c r="X294" s="34">
        <v>15</v>
      </c>
      <c r="Y294" s="50" t="str">
        <f t="shared" si="17"/>
        <v>10-20</v>
      </c>
      <c r="Z294" s="34">
        <v>1</v>
      </c>
      <c r="AA294" s="50" t="str">
        <f t="shared" si="18"/>
        <v>1.0-2.0</v>
      </c>
      <c r="AB294" s="29">
        <v>6</v>
      </c>
      <c r="AC294" s="30" t="str">
        <f>VLOOKUP(AB294,Key!$C$20:$D$29,2,FALSE)</f>
        <v>Businessman</v>
      </c>
      <c r="AD294" s="29">
        <v>2</v>
      </c>
      <c r="AE294" s="30" t="str">
        <f>VLOOKUP(AD294,Key!$E$20:$F$24,2,FALSE)</f>
        <v>300,000-500,000</v>
      </c>
      <c r="AF294" s="29">
        <v>1</v>
      </c>
      <c r="AG294" s="34">
        <v>5</v>
      </c>
      <c r="AH294" s="34">
        <v>4</v>
      </c>
      <c r="AI294" s="34">
        <v>2</v>
      </c>
      <c r="AJ294" s="34">
        <v>3</v>
      </c>
      <c r="AK294" s="35" t="s">
        <v>94</v>
      </c>
      <c r="AL294" s="36">
        <v>5000</v>
      </c>
      <c r="AM294" t="str">
        <f t="shared" si="19"/>
        <v>5000-10000</v>
      </c>
    </row>
    <row r="295" spans="1:39" x14ac:dyDescent="0.2">
      <c r="A295" s="44">
        <v>43763</v>
      </c>
      <c r="B295" s="31">
        <v>0.50972222222222219</v>
      </c>
      <c r="C295" s="31"/>
      <c r="D295" s="31" t="s">
        <v>97</v>
      </c>
      <c r="E295" s="33">
        <v>2</v>
      </c>
      <c r="F295" s="38" t="str">
        <f>VLOOKUP(E295,Key!$A$17:$B$21,2,FALSE)</f>
        <v>Road Vehicle</v>
      </c>
      <c r="G295" s="32">
        <v>4</v>
      </c>
      <c r="H295" s="39" t="str">
        <f>VLOOKUP(G295,Key!$A$2:$B$13,2,FALSE)</f>
        <v>Minibus</v>
      </c>
      <c r="I295" s="33" t="s">
        <v>109</v>
      </c>
      <c r="J295" s="33">
        <v>3</v>
      </c>
      <c r="K295" s="40" t="str">
        <f>VLOOKUP(J295,Key!$A$24:$B$29,2,FALSE)</f>
        <v>40-49</v>
      </c>
      <c r="L295" s="33" t="s">
        <v>151</v>
      </c>
      <c r="M295" s="29" t="s">
        <v>151</v>
      </c>
      <c r="N295" s="33" t="s">
        <v>152</v>
      </c>
      <c r="O295" s="35">
        <v>1</v>
      </c>
      <c r="P295" s="30" t="str">
        <f>VLOOKUP(O295,Key!$E$2:$F$9,2,FALSE)</f>
        <v>Home</v>
      </c>
      <c r="Q295" s="33" t="s">
        <v>165</v>
      </c>
      <c r="R295" s="29" t="s">
        <v>165</v>
      </c>
      <c r="S295" s="33" t="s">
        <v>152</v>
      </c>
      <c r="T295" s="29">
        <v>2</v>
      </c>
      <c r="U295" s="30" t="str">
        <f>VLOOKUP(T295,Key!$E$2:$F$9,2,FALSE)</f>
        <v>Work</v>
      </c>
      <c r="V295" s="30" t="str">
        <f t="shared" si="16"/>
        <v>Home-Work</v>
      </c>
      <c r="W295" s="29">
        <v>120000</v>
      </c>
      <c r="X295" s="34">
        <v>75</v>
      </c>
      <c r="Y295" s="50" t="str">
        <f t="shared" si="17"/>
        <v>70-100</v>
      </c>
      <c r="Z295" s="34">
        <v>3</v>
      </c>
      <c r="AA295" s="50" t="str">
        <f t="shared" si="18"/>
        <v>2.0-3.5</v>
      </c>
      <c r="AB295" s="29">
        <v>5</v>
      </c>
      <c r="AC295" s="30" t="str">
        <f>VLOOKUP(AB295,Key!$C$20:$D$29,2,FALSE)</f>
        <v>Professional</v>
      </c>
      <c r="AD295" s="29">
        <v>3</v>
      </c>
      <c r="AE295" s="30" t="str">
        <f>VLOOKUP(AD295,Key!$E$20:$F$24,2,FALSE)</f>
        <v>500,000-750,000</v>
      </c>
      <c r="AF295" s="29">
        <v>3</v>
      </c>
      <c r="AG295" s="34">
        <v>4</v>
      </c>
      <c r="AH295" s="34">
        <v>5</v>
      </c>
      <c r="AI295" s="34">
        <v>1</v>
      </c>
      <c r="AJ295" s="34">
        <v>2</v>
      </c>
      <c r="AK295" s="35" t="s">
        <v>94</v>
      </c>
      <c r="AL295" s="36">
        <v>5000</v>
      </c>
      <c r="AM295" t="str">
        <f t="shared" si="19"/>
        <v>5000-10000</v>
      </c>
    </row>
    <row r="296" spans="1:39" x14ac:dyDescent="0.2">
      <c r="A296" s="44">
        <v>43763</v>
      </c>
      <c r="B296" s="31">
        <v>0.57361111111111118</v>
      </c>
      <c r="C296" s="31"/>
      <c r="D296" s="31" t="s">
        <v>97</v>
      </c>
      <c r="E296" s="33">
        <v>2</v>
      </c>
      <c r="F296" s="38" t="str">
        <f>VLOOKUP(E296,Key!$A$17:$B$21,2,FALSE)</f>
        <v>Road Vehicle</v>
      </c>
      <c r="G296" s="32">
        <v>4</v>
      </c>
      <c r="H296" s="39" t="str">
        <f>VLOOKUP(G296,Key!$A$2:$B$13,2,FALSE)</f>
        <v>Minibus</v>
      </c>
      <c r="I296" s="33" t="s">
        <v>109</v>
      </c>
      <c r="J296" s="33">
        <v>3</v>
      </c>
      <c r="K296" s="40" t="str">
        <f>VLOOKUP(J296,Key!$A$24:$B$29,2,FALSE)</f>
        <v>40-49</v>
      </c>
      <c r="L296" s="33" t="s">
        <v>151</v>
      </c>
      <c r="M296" s="29" t="s">
        <v>151</v>
      </c>
      <c r="N296" s="33" t="s">
        <v>152</v>
      </c>
      <c r="O296" s="35">
        <v>1</v>
      </c>
      <c r="P296" s="30" t="str">
        <f>VLOOKUP(O296,Key!$E$2:$F$9,2,FALSE)</f>
        <v>Home</v>
      </c>
      <c r="Q296" s="33" t="s">
        <v>165</v>
      </c>
      <c r="R296" s="29" t="s">
        <v>165</v>
      </c>
      <c r="S296" s="33" t="s">
        <v>152</v>
      </c>
      <c r="T296" s="29">
        <v>2</v>
      </c>
      <c r="U296" s="30" t="str">
        <f>VLOOKUP(T296,Key!$E$2:$F$9,2,FALSE)</f>
        <v>Work</v>
      </c>
      <c r="V296" s="30" t="str">
        <f t="shared" si="16"/>
        <v>Home-Work</v>
      </c>
      <c r="W296" s="29">
        <v>10000</v>
      </c>
      <c r="X296" s="34">
        <v>175</v>
      </c>
      <c r="Y296" s="50" t="str">
        <f t="shared" si="17"/>
        <v>100-200</v>
      </c>
      <c r="Z296" s="34">
        <v>3</v>
      </c>
      <c r="AA296" s="50" t="str">
        <f t="shared" si="18"/>
        <v>2.0-3.5</v>
      </c>
      <c r="AB296" s="29">
        <v>5</v>
      </c>
      <c r="AC296" s="30" t="str">
        <f>VLOOKUP(AB296,Key!$C$20:$D$29,2,FALSE)</f>
        <v>Professional</v>
      </c>
      <c r="AD296" s="29">
        <v>3</v>
      </c>
      <c r="AE296" s="30" t="str">
        <f>VLOOKUP(AD296,Key!$E$20:$F$24,2,FALSE)</f>
        <v>500,000-750,000</v>
      </c>
      <c r="AF296" s="29">
        <v>3</v>
      </c>
      <c r="AG296" s="34">
        <v>4</v>
      </c>
      <c r="AH296" s="34">
        <v>5</v>
      </c>
      <c r="AI296" s="34">
        <v>2</v>
      </c>
      <c r="AJ296" s="34">
        <v>1</v>
      </c>
      <c r="AK296" s="35" t="s">
        <v>94</v>
      </c>
      <c r="AL296" s="36"/>
      <c r="AM296" t="str">
        <f t="shared" si="19"/>
        <v>0-1000</v>
      </c>
    </row>
    <row r="297" spans="1:39" x14ac:dyDescent="0.2">
      <c r="A297" s="44">
        <v>43763</v>
      </c>
      <c r="B297" s="31">
        <v>0.78611111111111109</v>
      </c>
      <c r="C297" s="31"/>
      <c r="D297" s="31" t="s">
        <v>150</v>
      </c>
      <c r="E297" s="33">
        <v>2</v>
      </c>
      <c r="F297" s="38" t="str">
        <f>VLOOKUP(E297,Key!$A$17:$B$21,2,FALSE)</f>
        <v>Road Vehicle</v>
      </c>
      <c r="G297" s="32">
        <v>4</v>
      </c>
      <c r="H297" s="39" t="str">
        <f>VLOOKUP(G297,Key!$A$2:$B$13,2,FALSE)</f>
        <v>Minibus</v>
      </c>
      <c r="I297" s="33" t="s">
        <v>109</v>
      </c>
      <c r="J297" s="33">
        <v>3</v>
      </c>
      <c r="K297" s="40" t="str">
        <f>VLOOKUP(J297,Key!$A$24:$B$29,2,FALSE)</f>
        <v>40-49</v>
      </c>
      <c r="L297" s="33" t="s">
        <v>151</v>
      </c>
      <c r="M297" s="29" t="s">
        <v>151</v>
      </c>
      <c r="N297" s="33" t="s">
        <v>152</v>
      </c>
      <c r="O297" s="35">
        <v>7</v>
      </c>
      <c r="P297" s="30" t="str">
        <f>VLOOKUP(O297,Key!$E$2:$F$9,2,FALSE)</f>
        <v>Hospital</v>
      </c>
      <c r="Q297" s="33" t="s">
        <v>153</v>
      </c>
      <c r="R297" s="29" t="s">
        <v>153</v>
      </c>
      <c r="S297" s="33" t="s">
        <v>152</v>
      </c>
      <c r="T297" s="29">
        <v>1</v>
      </c>
      <c r="U297" s="30" t="str">
        <f>VLOOKUP(T297,Key!$E$2:$F$9,2,FALSE)</f>
        <v>Home</v>
      </c>
      <c r="V297" s="30" t="str">
        <f t="shared" si="16"/>
        <v>Hospital-Home</v>
      </c>
      <c r="W297" s="29">
        <v>150000</v>
      </c>
      <c r="X297" s="34">
        <v>190</v>
      </c>
      <c r="Y297" s="50" t="str">
        <f t="shared" si="17"/>
        <v>100-200</v>
      </c>
      <c r="Z297" s="34">
        <v>4</v>
      </c>
      <c r="AA297" s="50" t="str">
        <f t="shared" si="18"/>
        <v>Over 3.5</v>
      </c>
      <c r="AB297" s="29">
        <v>3</v>
      </c>
      <c r="AC297" s="30" t="str">
        <f>VLOOKUP(AB297,Key!$C$20:$D$29,2,FALSE)</f>
        <v>Artisan/Domestic</v>
      </c>
      <c r="AD297" s="29">
        <v>3</v>
      </c>
      <c r="AE297" s="30" t="str">
        <f>VLOOKUP(AD297,Key!$E$20:$F$24,2,FALSE)</f>
        <v>500,000-750,000</v>
      </c>
      <c r="AF297" s="29">
        <v>1</v>
      </c>
      <c r="AG297" s="34">
        <v>2</v>
      </c>
      <c r="AH297" s="34">
        <v>5</v>
      </c>
      <c r="AI297" s="34">
        <v>4</v>
      </c>
      <c r="AJ297" s="34">
        <v>3</v>
      </c>
      <c r="AK297" s="35" t="s">
        <v>94</v>
      </c>
      <c r="AL297" s="36">
        <v>1000</v>
      </c>
      <c r="AM297" t="str">
        <f t="shared" si="19"/>
        <v>1000-2000</v>
      </c>
    </row>
    <row r="298" spans="1:39" x14ac:dyDescent="0.2">
      <c r="A298" s="45">
        <v>43764</v>
      </c>
      <c r="B298" s="31">
        <v>0.30208333333333331</v>
      </c>
      <c r="C298" s="31"/>
      <c r="D298" s="31" t="s">
        <v>150</v>
      </c>
      <c r="E298" s="33">
        <v>2</v>
      </c>
      <c r="F298" s="38" t="str">
        <f>VLOOKUP(E298,Key!$A$17:$B$21,2,FALSE)</f>
        <v>Road Vehicle</v>
      </c>
      <c r="G298" s="32">
        <v>4</v>
      </c>
      <c r="H298" s="39" t="str">
        <f>VLOOKUP(G298,Key!$A$2:$B$13,2,FALSE)</f>
        <v>Minibus</v>
      </c>
      <c r="I298" s="33" t="s">
        <v>109</v>
      </c>
      <c r="J298" s="33">
        <v>3</v>
      </c>
      <c r="K298" s="40" t="str">
        <f>VLOOKUP(J298,Key!$A$24:$B$29,2,FALSE)</f>
        <v>40-49</v>
      </c>
      <c r="L298" s="33" t="s">
        <v>151</v>
      </c>
      <c r="M298" s="29" t="s">
        <v>151</v>
      </c>
      <c r="N298" s="33" t="s">
        <v>152</v>
      </c>
      <c r="O298" s="35">
        <v>8</v>
      </c>
      <c r="P298" s="30" t="str">
        <f>VLOOKUP(O298,Key!$E$2:$F$9,2,FALSE)</f>
        <v>Others</v>
      </c>
      <c r="Q298" s="33" t="s">
        <v>197</v>
      </c>
      <c r="R298" s="29" t="s">
        <v>198</v>
      </c>
      <c r="S298" s="33" t="s">
        <v>152</v>
      </c>
      <c r="T298" s="29">
        <v>1</v>
      </c>
      <c r="U298" s="30" t="str">
        <f>VLOOKUP(T298,Key!$E$2:$F$9,2,FALSE)</f>
        <v>Home</v>
      </c>
      <c r="V298" s="30" t="str">
        <f t="shared" si="16"/>
        <v>Others-Home</v>
      </c>
      <c r="W298" s="29">
        <v>10000</v>
      </c>
      <c r="X298" s="34"/>
      <c r="Y298" s="50" t="str">
        <f t="shared" si="17"/>
        <v>0-10</v>
      </c>
      <c r="Z298" s="34">
        <v>2</v>
      </c>
      <c r="AA298" s="50" t="str">
        <f t="shared" si="18"/>
        <v>2.0-3.5</v>
      </c>
      <c r="AB298" s="29">
        <v>1</v>
      </c>
      <c r="AC298" s="30" t="str">
        <f>VLOOKUP(AB298,Key!$C$20:$D$29,2,FALSE)</f>
        <v>Unemployed</v>
      </c>
      <c r="AD298" s="29">
        <v>1</v>
      </c>
      <c r="AE298" s="30" t="str">
        <f>VLOOKUP(AD298,Key!$E$20:$F$24,2,FALSE)</f>
        <v>&lt;300,000</v>
      </c>
      <c r="AF298" s="29">
        <v>5</v>
      </c>
      <c r="AG298" s="34">
        <v>2</v>
      </c>
      <c r="AH298" s="34">
        <v>1</v>
      </c>
      <c r="AI298" s="34">
        <v>3</v>
      </c>
      <c r="AJ298" s="34">
        <v>4</v>
      </c>
      <c r="AK298" s="35" t="s">
        <v>94</v>
      </c>
      <c r="AL298" s="36">
        <v>1000</v>
      </c>
      <c r="AM298" t="str">
        <f t="shared" si="19"/>
        <v>1000-2000</v>
      </c>
    </row>
    <row r="299" spans="1:39" x14ac:dyDescent="0.2">
      <c r="A299" s="44">
        <v>43764</v>
      </c>
      <c r="B299" s="31">
        <v>0.32013888888888892</v>
      </c>
      <c r="C299" s="31"/>
      <c r="D299" s="31" t="s">
        <v>150</v>
      </c>
      <c r="E299" s="33">
        <v>2</v>
      </c>
      <c r="F299" s="38" t="str">
        <f>VLOOKUP(E299,Key!$A$17:$B$21,2,FALSE)</f>
        <v>Road Vehicle</v>
      </c>
      <c r="G299" s="32">
        <v>4</v>
      </c>
      <c r="H299" s="39" t="str">
        <f>VLOOKUP(G299,Key!$A$2:$B$13,2,FALSE)</f>
        <v>Minibus</v>
      </c>
      <c r="I299" s="33" t="s">
        <v>109</v>
      </c>
      <c r="J299" s="33">
        <v>3</v>
      </c>
      <c r="K299" s="40" t="str">
        <f>VLOOKUP(J299,Key!$A$24:$B$29,2,FALSE)</f>
        <v>40-49</v>
      </c>
      <c r="L299" s="33" t="s">
        <v>151</v>
      </c>
      <c r="M299" s="29" t="s">
        <v>151</v>
      </c>
      <c r="N299" s="33" t="s">
        <v>152</v>
      </c>
      <c r="O299" s="35">
        <v>1</v>
      </c>
      <c r="P299" s="30" t="str">
        <f>VLOOKUP(O299,Key!$E$2:$F$9,2,FALSE)</f>
        <v>Home</v>
      </c>
      <c r="Q299" s="33" t="s">
        <v>199</v>
      </c>
      <c r="R299" s="29" t="s">
        <v>199</v>
      </c>
      <c r="S299" s="33" t="s">
        <v>152</v>
      </c>
      <c r="T299" s="29">
        <v>4</v>
      </c>
      <c r="U299" s="30" t="str">
        <f>VLOOKUP(T299,Key!$E$2:$F$9,2,FALSE)</f>
        <v>Commercial</v>
      </c>
      <c r="V299" s="30" t="str">
        <f t="shared" si="16"/>
        <v>Home-Commercial</v>
      </c>
      <c r="W299" s="29">
        <v>30000</v>
      </c>
      <c r="X299" s="34"/>
      <c r="Y299" s="50" t="str">
        <f t="shared" si="17"/>
        <v>0-10</v>
      </c>
      <c r="Z299" s="34">
        <v>7</v>
      </c>
      <c r="AA299" s="50" t="str">
        <f t="shared" si="18"/>
        <v>Over 3.5</v>
      </c>
      <c r="AB299" s="29">
        <v>6</v>
      </c>
      <c r="AC299" s="30" t="str">
        <f>VLOOKUP(AB299,Key!$C$20:$D$29,2,FALSE)</f>
        <v>Businessman</v>
      </c>
      <c r="AD299" s="29">
        <v>5</v>
      </c>
      <c r="AE299" s="30" t="str">
        <f>VLOOKUP(AD299,Key!$E$20:$F$24,2,FALSE)</f>
        <v>&gt;1,000,000</v>
      </c>
      <c r="AF299" s="29">
        <v>1</v>
      </c>
      <c r="AG299" s="34">
        <v>2</v>
      </c>
      <c r="AH299" s="34">
        <v>5</v>
      </c>
      <c r="AI299" s="34">
        <v>4</v>
      </c>
      <c r="AJ299" s="34">
        <v>4</v>
      </c>
      <c r="AK299" s="35" t="s">
        <v>94</v>
      </c>
      <c r="AL299" s="36">
        <v>10000</v>
      </c>
      <c r="AM299" t="str">
        <f t="shared" si="19"/>
        <v>Over 10000</v>
      </c>
    </row>
    <row r="300" spans="1:39" x14ac:dyDescent="0.2">
      <c r="A300" s="44">
        <v>43764</v>
      </c>
      <c r="B300" s="31">
        <v>0.33055555555555555</v>
      </c>
      <c r="C300" s="31"/>
      <c r="D300" s="31" t="s">
        <v>150</v>
      </c>
      <c r="E300" s="33">
        <v>2</v>
      </c>
      <c r="F300" s="38" t="str">
        <f>VLOOKUP(E300,Key!$A$17:$B$21,2,FALSE)</f>
        <v>Road Vehicle</v>
      </c>
      <c r="G300" s="32">
        <v>4</v>
      </c>
      <c r="H300" s="39" t="str">
        <f>VLOOKUP(G300,Key!$A$2:$B$13,2,FALSE)</f>
        <v>Minibus</v>
      </c>
      <c r="I300" s="33" t="s">
        <v>109</v>
      </c>
      <c r="J300" s="33">
        <v>3</v>
      </c>
      <c r="K300" s="40" t="str">
        <f>VLOOKUP(J300,Key!$A$24:$B$29,2,FALSE)</f>
        <v>40-49</v>
      </c>
      <c r="L300" s="33" t="s">
        <v>154</v>
      </c>
      <c r="M300" s="29" t="s">
        <v>177</v>
      </c>
      <c r="N300" s="33" t="s">
        <v>152</v>
      </c>
      <c r="O300" s="35">
        <v>1</v>
      </c>
      <c r="P300" s="30" t="str">
        <f>VLOOKUP(O300,Key!$E$2:$F$9,2,FALSE)</f>
        <v>Home</v>
      </c>
      <c r="Q300" s="33" t="s">
        <v>153</v>
      </c>
      <c r="R300" s="29" t="s">
        <v>153</v>
      </c>
      <c r="S300" s="33" t="s">
        <v>152</v>
      </c>
      <c r="T300" s="29">
        <v>8</v>
      </c>
      <c r="U300" s="30" t="str">
        <f>VLOOKUP(T300,Key!$E$2:$F$9,2,FALSE)</f>
        <v>Others</v>
      </c>
      <c r="V300" s="30" t="str">
        <f t="shared" si="16"/>
        <v>Home-Others</v>
      </c>
      <c r="W300" s="29">
        <v>22000</v>
      </c>
      <c r="X300" s="34"/>
      <c r="Y300" s="50" t="str">
        <f t="shared" si="17"/>
        <v>0-10</v>
      </c>
      <c r="Z300" s="34">
        <v>6</v>
      </c>
      <c r="AA300" s="50" t="str">
        <f t="shared" si="18"/>
        <v>Over 3.5</v>
      </c>
      <c r="AB300" s="29">
        <v>5</v>
      </c>
      <c r="AC300" s="30" t="str">
        <f>VLOOKUP(AB300,Key!$C$20:$D$29,2,FALSE)</f>
        <v>Professional</v>
      </c>
      <c r="AD300" s="29">
        <v>4</v>
      </c>
      <c r="AE300" s="30" t="str">
        <f>VLOOKUP(AD300,Key!$E$20:$F$24,2,FALSE)</f>
        <v>750,000-1,000,000</v>
      </c>
      <c r="AF300" s="29">
        <v>1</v>
      </c>
      <c r="AG300" s="34">
        <v>2</v>
      </c>
      <c r="AH300" s="34">
        <v>5</v>
      </c>
      <c r="AI300" s="34">
        <v>3</v>
      </c>
      <c r="AJ300" s="34">
        <v>4</v>
      </c>
      <c r="AK300" s="35" t="s">
        <v>94</v>
      </c>
      <c r="AL300" s="36">
        <v>5000</v>
      </c>
      <c r="AM300" t="str">
        <f t="shared" si="19"/>
        <v>5000-10000</v>
      </c>
    </row>
    <row r="301" spans="1:39" x14ac:dyDescent="0.2">
      <c r="A301" s="44">
        <v>43764</v>
      </c>
      <c r="B301" s="31">
        <v>0.35416666666666669</v>
      </c>
      <c r="C301" s="31"/>
      <c r="D301" s="31" t="s">
        <v>150</v>
      </c>
      <c r="E301" s="33">
        <v>2</v>
      </c>
      <c r="F301" s="38" t="str">
        <f>VLOOKUP(E301,Key!$A$17:$B$21,2,FALSE)</f>
        <v>Road Vehicle</v>
      </c>
      <c r="G301" s="32">
        <v>4</v>
      </c>
      <c r="H301" s="39" t="str">
        <f>VLOOKUP(G301,Key!$A$2:$B$13,2,FALSE)</f>
        <v>Minibus</v>
      </c>
      <c r="I301" s="33" t="s">
        <v>109</v>
      </c>
      <c r="J301" s="33">
        <v>3</v>
      </c>
      <c r="K301" s="40" t="str">
        <f>VLOOKUP(J301,Key!$A$24:$B$29,2,FALSE)</f>
        <v>40-49</v>
      </c>
      <c r="L301" s="33" t="s">
        <v>151</v>
      </c>
      <c r="M301" s="29" t="s">
        <v>151</v>
      </c>
      <c r="N301" s="33" t="s">
        <v>152</v>
      </c>
      <c r="O301" s="35">
        <v>1</v>
      </c>
      <c r="P301" s="30" t="str">
        <f>VLOOKUP(O301,Key!$E$2:$F$9,2,FALSE)</f>
        <v>Home</v>
      </c>
      <c r="Q301" s="33" t="s">
        <v>200</v>
      </c>
      <c r="R301" s="29" t="s">
        <v>200</v>
      </c>
      <c r="S301" s="33" t="s">
        <v>152</v>
      </c>
      <c r="T301" s="29">
        <v>8</v>
      </c>
      <c r="U301" s="30" t="str">
        <f>VLOOKUP(T301,Key!$E$2:$F$9,2,FALSE)</f>
        <v>Others</v>
      </c>
      <c r="V301" s="30" t="str">
        <f t="shared" si="16"/>
        <v>Home-Others</v>
      </c>
      <c r="W301" s="29">
        <v>30000</v>
      </c>
      <c r="X301" s="34"/>
      <c r="Y301" s="50" t="str">
        <f t="shared" si="17"/>
        <v>0-10</v>
      </c>
      <c r="Z301" s="34">
        <v>8</v>
      </c>
      <c r="AA301" s="50" t="str">
        <f t="shared" si="18"/>
        <v>Over 3.5</v>
      </c>
      <c r="AB301" s="29">
        <v>4</v>
      </c>
      <c r="AC301" s="30" t="str">
        <f>VLOOKUP(AB301,Key!$C$20:$D$29,2,FALSE)</f>
        <v>Office Worker</v>
      </c>
      <c r="AD301" s="29">
        <v>2</v>
      </c>
      <c r="AE301" s="30" t="str">
        <f>VLOOKUP(AD301,Key!$E$20:$F$24,2,FALSE)</f>
        <v>300,000-500,000</v>
      </c>
      <c r="AF301" s="29">
        <v>1</v>
      </c>
      <c r="AG301" s="34">
        <v>2</v>
      </c>
      <c r="AH301" s="34">
        <v>4</v>
      </c>
      <c r="AI301" s="34">
        <v>3</v>
      </c>
      <c r="AJ301" s="34">
        <v>5</v>
      </c>
      <c r="AK301" s="35" t="s">
        <v>94</v>
      </c>
      <c r="AL301" s="36">
        <v>2000</v>
      </c>
      <c r="AM301" t="str">
        <f t="shared" si="19"/>
        <v>2000-3000</v>
      </c>
    </row>
    <row r="302" spans="1:39" x14ac:dyDescent="0.2">
      <c r="A302" s="44">
        <v>43764</v>
      </c>
      <c r="B302" s="31">
        <v>0.31666666666666665</v>
      </c>
      <c r="C302" s="31"/>
      <c r="D302" s="31" t="s">
        <v>150</v>
      </c>
      <c r="E302" s="33">
        <v>2</v>
      </c>
      <c r="F302" s="38" t="str">
        <f>VLOOKUP(E302,Key!$A$17:$B$21,2,FALSE)</f>
        <v>Road Vehicle</v>
      </c>
      <c r="G302" s="32">
        <v>4</v>
      </c>
      <c r="H302" s="39" t="str">
        <f>VLOOKUP(G302,Key!$A$2:$B$13,2,FALSE)</f>
        <v>Minibus</v>
      </c>
      <c r="I302" s="33" t="s">
        <v>109</v>
      </c>
      <c r="J302" s="33">
        <v>3</v>
      </c>
      <c r="K302" s="40" t="str">
        <f>VLOOKUP(J302,Key!$A$24:$B$29,2,FALSE)</f>
        <v>40-49</v>
      </c>
      <c r="L302" s="33" t="s">
        <v>151</v>
      </c>
      <c r="M302" s="29" t="s">
        <v>151</v>
      </c>
      <c r="N302" s="33" t="s">
        <v>152</v>
      </c>
      <c r="O302" s="35">
        <v>4</v>
      </c>
      <c r="P302" s="30" t="str">
        <f>VLOOKUP(O302,Key!$E$2:$F$9,2,FALSE)</f>
        <v>Commercial</v>
      </c>
      <c r="Q302" s="33" t="s">
        <v>200</v>
      </c>
      <c r="R302" s="29" t="s">
        <v>200</v>
      </c>
      <c r="S302" s="33" t="s">
        <v>152</v>
      </c>
      <c r="T302" s="29">
        <v>1</v>
      </c>
      <c r="U302" s="30" t="str">
        <f>VLOOKUP(T302,Key!$E$2:$F$9,2,FALSE)</f>
        <v>Home</v>
      </c>
      <c r="V302" s="30" t="str">
        <f t="shared" si="16"/>
        <v>Commercial-Home</v>
      </c>
      <c r="W302" s="29">
        <v>30000</v>
      </c>
      <c r="X302" s="34"/>
      <c r="Y302" s="50" t="str">
        <f t="shared" si="17"/>
        <v>0-10</v>
      </c>
      <c r="Z302" s="34">
        <v>7</v>
      </c>
      <c r="AA302" s="50" t="str">
        <f t="shared" si="18"/>
        <v>Over 3.5</v>
      </c>
      <c r="AB302" s="29">
        <v>6</v>
      </c>
      <c r="AC302" s="30" t="str">
        <f>VLOOKUP(AB302,Key!$C$20:$D$29,2,FALSE)</f>
        <v>Businessman</v>
      </c>
      <c r="AD302" s="29">
        <v>5</v>
      </c>
      <c r="AE302" s="30" t="str">
        <f>VLOOKUP(AD302,Key!$E$20:$F$24,2,FALSE)</f>
        <v>&gt;1,000,000</v>
      </c>
      <c r="AF302" s="29">
        <v>2</v>
      </c>
      <c r="AG302" s="34">
        <v>3</v>
      </c>
      <c r="AH302" s="34">
        <v>3</v>
      </c>
      <c r="AI302" s="34">
        <v>4</v>
      </c>
      <c r="AJ302" s="34">
        <v>5</v>
      </c>
      <c r="AK302" s="35" t="s">
        <v>94</v>
      </c>
      <c r="AL302" s="36">
        <v>10000</v>
      </c>
      <c r="AM302" t="str">
        <f t="shared" si="19"/>
        <v>Over 10000</v>
      </c>
    </row>
    <row r="303" spans="1:39" x14ac:dyDescent="0.2">
      <c r="A303" s="44">
        <v>43764</v>
      </c>
      <c r="B303" s="31">
        <v>0.6694444444444444</v>
      </c>
      <c r="C303" s="31"/>
      <c r="D303" s="31" t="s">
        <v>150</v>
      </c>
      <c r="E303" s="33">
        <v>2</v>
      </c>
      <c r="F303" s="38" t="str">
        <f>VLOOKUP(E303,Key!$A$17:$B$21,2,FALSE)</f>
        <v>Road Vehicle</v>
      </c>
      <c r="G303" s="32">
        <v>4</v>
      </c>
      <c r="H303" s="39" t="str">
        <f>VLOOKUP(G303,Key!$A$2:$B$13,2,FALSE)</f>
        <v>Minibus</v>
      </c>
      <c r="I303" s="33" t="s">
        <v>109</v>
      </c>
      <c r="J303" s="33">
        <v>3</v>
      </c>
      <c r="K303" s="40" t="str">
        <f>VLOOKUP(J303,Key!$A$24:$B$29,2,FALSE)</f>
        <v>40-49</v>
      </c>
      <c r="L303" s="33" t="s">
        <v>151</v>
      </c>
      <c r="M303" s="29" t="s">
        <v>151</v>
      </c>
      <c r="N303" s="33" t="s">
        <v>152</v>
      </c>
      <c r="O303" s="35">
        <v>4</v>
      </c>
      <c r="P303" s="30" t="str">
        <f>VLOOKUP(O303,Key!$E$2:$F$9,2,FALSE)</f>
        <v>Commercial</v>
      </c>
      <c r="Q303" s="33" t="s">
        <v>153</v>
      </c>
      <c r="R303" s="29" t="s">
        <v>153</v>
      </c>
      <c r="S303" s="33" t="s">
        <v>152</v>
      </c>
      <c r="T303" s="29">
        <v>4</v>
      </c>
      <c r="U303" s="30" t="str">
        <f>VLOOKUP(T303,Key!$E$2:$F$9,2,FALSE)</f>
        <v>Commercial</v>
      </c>
      <c r="V303" s="30" t="str">
        <f t="shared" si="16"/>
        <v>Commercial-Commercial</v>
      </c>
      <c r="W303" s="29">
        <v>13000</v>
      </c>
      <c r="X303" s="34"/>
      <c r="Y303" s="50" t="str">
        <f t="shared" si="17"/>
        <v>0-10</v>
      </c>
      <c r="Z303" s="34">
        <v>4</v>
      </c>
      <c r="AA303" s="50" t="str">
        <f t="shared" si="18"/>
        <v>Over 3.5</v>
      </c>
      <c r="AB303" s="29">
        <v>6</v>
      </c>
      <c r="AC303" s="30" t="str">
        <f>VLOOKUP(AB303,Key!$C$20:$D$29,2,FALSE)</f>
        <v>Businessman</v>
      </c>
      <c r="AD303" s="29">
        <v>4</v>
      </c>
      <c r="AE303" s="30" t="str">
        <f>VLOOKUP(AD303,Key!$E$20:$F$24,2,FALSE)</f>
        <v>750,000-1,000,000</v>
      </c>
      <c r="AF303" s="29">
        <v>1</v>
      </c>
      <c r="AG303" s="34">
        <v>5</v>
      </c>
      <c r="AH303" s="34">
        <v>2</v>
      </c>
      <c r="AI303" s="34">
        <v>3</v>
      </c>
      <c r="AJ303" s="34">
        <v>4</v>
      </c>
      <c r="AK303" s="35" t="s">
        <v>94</v>
      </c>
      <c r="AL303" s="36">
        <v>20000</v>
      </c>
      <c r="AM303" t="str">
        <f t="shared" si="19"/>
        <v>Over 10000</v>
      </c>
    </row>
    <row r="304" spans="1:39" x14ac:dyDescent="0.2">
      <c r="A304" s="44">
        <v>43764</v>
      </c>
      <c r="B304" s="31">
        <v>0.64444444444444449</v>
      </c>
      <c r="C304" s="31"/>
      <c r="D304" s="31" t="s">
        <v>150</v>
      </c>
      <c r="E304" s="33">
        <v>2</v>
      </c>
      <c r="F304" s="38" t="str">
        <f>VLOOKUP(E304,Key!$A$17:$B$21,2,FALSE)</f>
        <v>Road Vehicle</v>
      </c>
      <c r="G304" s="32">
        <v>4</v>
      </c>
      <c r="H304" s="39" t="str">
        <f>VLOOKUP(G304,Key!$A$2:$B$13,2,FALSE)</f>
        <v>Minibus</v>
      </c>
      <c r="I304" s="33" t="s">
        <v>109</v>
      </c>
      <c r="J304" s="33">
        <v>3</v>
      </c>
      <c r="K304" s="40" t="str">
        <f>VLOOKUP(J304,Key!$A$24:$B$29,2,FALSE)</f>
        <v>40-49</v>
      </c>
      <c r="L304" s="33" t="s">
        <v>151</v>
      </c>
      <c r="M304" s="29" t="s">
        <v>151</v>
      </c>
      <c r="N304" s="33" t="s">
        <v>152</v>
      </c>
      <c r="O304" s="35">
        <v>1</v>
      </c>
      <c r="P304" s="30" t="str">
        <f>VLOOKUP(O304,Key!$E$2:$F$9,2,FALSE)</f>
        <v>Home</v>
      </c>
      <c r="Q304" s="33" t="s">
        <v>166</v>
      </c>
      <c r="R304" s="29" t="s">
        <v>166</v>
      </c>
      <c r="S304" s="33" t="s">
        <v>152</v>
      </c>
      <c r="T304" s="29">
        <v>8</v>
      </c>
      <c r="U304" s="30" t="str">
        <f>VLOOKUP(T304,Key!$E$2:$F$9,2,FALSE)</f>
        <v>Others</v>
      </c>
      <c r="V304" s="30" t="str">
        <f t="shared" si="16"/>
        <v>Home-Others</v>
      </c>
      <c r="W304" s="29">
        <v>8000</v>
      </c>
      <c r="X304" s="34"/>
      <c r="Y304" s="50" t="str">
        <f t="shared" si="17"/>
        <v>0-10</v>
      </c>
      <c r="Z304" s="34">
        <v>2</v>
      </c>
      <c r="AA304" s="50" t="str">
        <f t="shared" si="18"/>
        <v>2.0-3.5</v>
      </c>
      <c r="AB304" s="29">
        <v>1</v>
      </c>
      <c r="AC304" s="30" t="str">
        <f>VLOOKUP(AB304,Key!$C$20:$D$29,2,FALSE)</f>
        <v>Unemployed</v>
      </c>
      <c r="AD304" s="29">
        <v>1</v>
      </c>
      <c r="AE304" s="30" t="str">
        <f>VLOOKUP(AD304,Key!$E$20:$F$24,2,FALSE)</f>
        <v>&lt;300,000</v>
      </c>
      <c r="AF304" s="29">
        <v>2</v>
      </c>
      <c r="AG304" s="34">
        <v>1</v>
      </c>
      <c r="AH304" s="34">
        <v>5</v>
      </c>
      <c r="AI304" s="34">
        <v>4</v>
      </c>
      <c r="AJ304" s="34">
        <v>3</v>
      </c>
      <c r="AK304" s="35" t="s">
        <v>94</v>
      </c>
      <c r="AL304" s="36">
        <v>1000</v>
      </c>
      <c r="AM304" t="str">
        <f t="shared" si="19"/>
        <v>1000-2000</v>
      </c>
    </row>
    <row r="305" spans="1:39" x14ac:dyDescent="0.2">
      <c r="A305" s="44">
        <v>43764</v>
      </c>
      <c r="B305" s="31">
        <v>0.5708333333333333</v>
      </c>
      <c r="C305" s="31"/>
      <c r="D305" s="31" t="s">
        <v>150</v>
      </c>
      <c r="E305" s="33">
        <v>2</v>
      </c>
      <c r="F305" s="38" t="str">
        <f>VLOOKUP(E305,Key!$A$17:$B$21,2,FALSE)</f>
        <v>Road Vehicle</v>
      </c>
      <c r="G305" s="32">
        <v>4</v>
      </c>
      <c r="H305" s="39" t="str">
        <f>VLOOKUP(G305,Key!$A$2:$B$13,2,FALSE)</f>
        <v>Minibus</v>
      </c>
      <c r="I305" s="33" t="s">
        <v>109</v>
      </c>
      <c r="J305" s="33">
        <v>3</v>
      </c>
      <c r="K305" s="40" t="str">
        <f>VLOOKUP(J305,Key!$A$24:$B$29,2,FALSE)</f>
        <v>40-49</v>
      </c>
      <c r="L305" s="33" t="s">
        <v>151</v>
      </c>
      <c r="M305" s="29" t="s">
        <v>151</v>
      </c>
      <c r="N305" s="33" t="s">
        <v>152</v>
      </c>
      <c r="O305" s="35">
        <v>8</v>
      </c>
      <c r="P305" s="30" t="str">
        <f>VLOOKUP(O305,Key!$E$2:$F$9,2,FALSE)</f>
        <v>Others</v>
      </c>
      <c r="Q305" s="33" t="s">
        <v>153</v>
      </c>
      <c r="R305" s="29" t="s">
        <v>153</v>
      </c>
      <c r="S305" s="33" t="s">
        <v>152</v>
      </c>
      <c r="T305" s="29">
        <v>2</v>
      </c>
      <c r="U305" s="30" t="str">
        <f>VLOOKUP(T305,Key!$E$2:$F$9,2,FALSE)</f>
        <v>Work</v>
      </c>
      <c r="V305" s="30" t="str">
        <f t="shared" si="16"/>
        <v>Others-Work</v>
      </c>
      <c r="W305" s="29">
        <v>13000</v>
      </c>
      <c r="X305" s="34"/>
      <c r="Y305" s="50" t="str">
        <f t="shared" si="17"/>
        <v>0-10</v>
      </c>
      <c r="Z305" s="34">
        <v>4</v>
      </c>
      <c r="AA305" s="50" t="str">
        <f t="shared" si="18"/>
        <v>Over 3.5</v>
      </c>
      <c r="AB305" s="29">
        <v>6</v>
      </c>
      <c r="AC305" s="30" t="str">
        <f>VLOOKUP(AB305,Key!$C$20:$D$29,2,FALSE)</f>
        <v>Businessman</v>
      </c>
      <c r="AD305" s="29">
        <v>4</v>
      </c>
      <c r="AE305" s="30" t="str">
        <f>VLOOKUP(AD305,Key!$E$20:$F$24,2,FALSE)</f>
        <v>750,000-1,000,000</v>
      </c>
      <c r="AF305" s="29">
        <v>5</v>
      </c>
      <c r="AG305" s="34">
        <v>3</v>
      </c>
      <c r="AH305" s="34">
        <v>1</v>
      </c>
      <c r="AI305" s="34">
        <v>2</v>
      </c>
      <c r="AJ305" s="34">
        <v>1</v>
      </c>
      <c r="AK305" s="35" t="s">
        <v>94</v>
      </c>
      <c r="AL305" s="36">
        <v>5000</v>
      </c>
      <c r="AM305" t="str">
        <f t="shared" si="19"/>
        <v>5000-10000</v>
      </c>
    </row>
    <row r="306" spans="1:39" x14ac:dyDescent="0.2">
      <c r="A306" s="44">
        <v>43764</v>
      </c>
      <c r="B306" s="31">
        <v>0.58472222222222225</v>
      </c>
      <c r="C306" s="31"/>
      <c r="D306" s="31" t="s">
        <v>150</v>
      </c>
      <c r="E306" s="33">
        <v>2</v>
      </c>
      <c r="F306" s="38" t="str">
        <f>VLOOKUP(E306,Key!$A$17:$B$21,2,FALSE)</f>
        <v>Road Vehicle</v>
      </c>
      <c r="G306" s="32">
        <v>4</v>
      </c>
      <c r="H306" s="39" t="str">
        <f>VLOOKUP(G306,Key!$A$2:$B$13,2,FALSE)</f>
        <v>Minibus</v>
      </c>
      <c r="I306" s="33" t="s">
        <v>109</v>
      </c>
      <c r="J306" s="33">
        <v>3</v>
      </c>
      <c r="K306" s="40" t="str">
        <f>VLOOKUP(J306,Key!$A$24:$B$29,2,FALSE)</f>
        <v>40-49</v>
      </c>
      <c r="L306" s="33" t="s">
        <v>151</v>
      </c>
      <c r="M306" s="29" t="s">
        <v>151</v>
      </c>
      <c r="N306" s="33" t="s">
        <v>152</v>
      </c>
      <c r="O306" s="35">
        <v>1</v>
      </c>
      <c r="P306" s="30" t="str">
        <f>VLOOKUP(O306,Key!$E$2:$F$9,2,FALSE)</f>
        <v>Home</v>
      </c>
      <c r="Q306" s="33" t="s">
        <v>153</v>
      </c>
      <c r="R306" s="29" t="s">
        <v>153</v>
      </c>
      <c r="S306" s="33" t="s">
        <v>152</v>
      </c>
      <c r="T306" s="29">
        <v>2</v>
      </c>
      <c r="U306" s="30" t="str">
        <f>VLOOKUP(T306,Key!$E$2:$F$9,2,FALSE)</f>
        <v>Work</v>
      </c>
      <c r="V306" s="30" t="str">
        <f t="shared" si="16"/>
        <v>Home-Work</v>
      </c>
      <c r="W306" s="29">
        <v>13000</v>
      </c>
      <c r="X306" s="34"/>
      <c r="Y306" s="50" t="str">
        <f t="shared" si="17"/>
        <v>0-10</v>
      </c>
      <c r="Z306" s="34">
        <v>4</v>
      </c>
      <c r="AA306" s="50" t="str">
        <f t="shared" si="18"/>
        <v>Over 3.5</v>
      </c>
      <c r="AB306" s="29">
        <v>4</v>
      </c>
      <c r="AC306" s="30" t="str">
        <f>VLOOKUP(AB306,Key!$C$20:$D$29,2,FALSE)</f>
        <v>Office Worker</v>
      </c>
      <c r="AD306" s="29">
        <v>3</v>
      </c>
      <c r="AE306" s="30" t="str">
        <f>VLOOKUP(AD306,Key!$E$20:$F$24,2,FALSE)</f>
        <v>500,000-750,000</v>
      </c>
      <c r="AF306" s="29">
        <v>5</v>
      </c>
      <c r="AG306" s="34">
        <v>4</v>
      </c>
      <c r="AH306" s="34">
        <v>1</v>
      </c>
      <c r="AI306" s="34">
        <v>2</v>
      </c>
      <c r="AJ306" s="34">
        <v>3</v>
      </c>
      <c r="AK306" s="35" t="s">
        <v>94</v>
      </c>
      <c r="AL306" s="36"/>
      <c r="AM306" t="str">
        <f t="shared" si="19"/>
        <v>0-1000</v>
      </c>
    </row>
    <row r="307" spans="1:39" x14ac:dyDescent="0.2">
      <c r="A307" s="44">
        <v>43764</v>
      </c>
      <c r="B307" s="31">
        <v>0.46875</v>
      </c>
      <c r="C307" s="31"/>
      <c r="D307" s="31" t="s">
        <v>150</v>
      </c>
      <c r="E307" s="33">
        <v>2</v>
      </c>
      <c r="F307" s="38" t="str">
        <f>VLOOKUP(E307,Key!$A$17:$B$21,2,FALSE)</f>
        <v>Road Vehicle</v>
      </c>
      <c r="G307" s="32">
        <v>4</v>
      </c>
      <c r="H307" s="39" t="str">
        <f>VLOOKUP(G307,Key!$A$2:$B$13,2,FALSE)</f>
        <v>Minibus</v>
      </c>
      <c r="I307" s="33" t="s">
        <v>109</v>
      </c>
      <c r="J307" s="33">
        <v>3</v>
      </c>
      <c r="K307" s="40" t="str">
        <f>VLOOKUP(J307,Key!$A$24:$B$29,2,FALSE)</f>
        <v>40-49</v>
      </c>
      <c r="L307" s="33" t="s">
        <v>151</v>
      </c>
      <c r="M307" s="29" t="s">
        <v>151</v>
      </c>
      <c r="N307" s="33" t="s">
        <v>152</v>
      </c>
      <c r="O307" s="35">
        <v>4</v>
      </c>
      <c r="P307" s="30" t="str">
        <f>VLOOKUP(O307,Key!$E$2:$F$9,2,FALSE)</f>
        <v>Commercial</v>
      </c>
      <c r="Q307" s="33" t="s">
        <v>153</v>
      </c>
      <c r="R307" s="29" t="s">
        <v>153</v>
      </c>
      <c r="S307" s="33" t="s">
        <v>152</v>
      </c>
      <c r="T307" s="29">
        <v>4</v>
      </c>
      <c r="U307" s="30" t="str">
        <f>VLOOKUP(T307,Key!$E$2:$F$9,2,FALSE)</f>
        <v>Commercial</v>
      </c>
      <c r="V307" s="30" t="str">
        <f t="shared" si="16"/>
        <v>Commercial-Commercial</v>
      </c>
      <c r="W307" s="29">
        <v>650000</v>
      </c>
      <c r="X307" s="34"/>
      <c r="Y307" s="50" t="str">
        <f t="shared" si="17"/>
        <v>0-10</v>
      </c>
      <c r="Z307" s="34">
        <v>2</v>
      </c>
      <c r="AA307" s="50" t="str">
        <f t="shared" si="18"/>
        <v>2.0-3.5</v>
      </c>
      <c r="AB307" s="29">
        <v>10</v>
      </c>
      <c r="AC307" s="30" t="str">
        <f>VLOOKUP(AB307,Key!$C$20:$D$29,2,FALSE)</f>
        <v>Other</v>
      </c>
      <c r="AD307" s="29">
        <v>5</v>
      </c>
      <c r="AE307" s="30" t="str">
        <f>VLOOKUP(AD307,Key!$E$20:$F$24,2,FALSE)</f>
        <v>&gt;1,000,000</v>
      </c>
      <c r="AF307" s="29">
        <v>3</v>
      </c>
      <c r="AG307" s="34">
        <v>2</v>
      </c>
      <c r="AH307" s="34">
        <v>1</v>
      </c>
      <c r="AI307" s="34">
        <v>5</v>
      </c>
      <c r="AJ307" s="34">
        <v>4</v>
      </c>
      <c r="AK307" s="35" t="s">
        <v>94</v>
      </c>
      <c r="AL307" s="36"/>
      <c r="AM307" t="str">
        <f t="shared" si="19"/>
        <v>0-1000</v>
      </c>
    </row>
    <row r="308" spans="1:39" x14ac:dyDescent="0.2">
      <c r="A308" s="44">
        <v>43764</v>
      </c>
      <c r="B308" s="31">
        <v>0.48958333333333331</v>
      </c>
      <c r="C308" s="31"/>
      <c r="D308" s="31" t="s">
        <v>150</v>
      </c>
      <c r="E308" s="33">
        <v>2</v>
      </c>
      <c r="F308" s="38" t="str">
        <f>VLOOKUP(E308,Key!$A$17:$B$21,2,FALSE)</f>
        <v>Road Vehicle</v>
      </c>
      <c r="G308" s="32">
        <v>4</v>
      </c>
      <c r="H308" s="39" t="str">
        <f>VLOOKUP(G308,Key!$A$2:$B$13,2,FALSE)</f>
        <v>Minibus</v>
      </c>
      <c r="I308" s="33" t="s">
        <v>109</v>
      </c>
      <c r="J308" s="33">
        <v>3</v>
      </c>
      <c r="K308" s="40" t="str">
        <f>VLOOKUP(J308,Key!$A$24:$B$29,2,FALSE)</f>
        <v>40-49</v>
      </c>
      <c r="L308" s="33" t="s">
        <v>151</v>
      </c>
      <c r="M308" s="29" t="s">
        <v>151</v>
      </c>
      <c r="N308" s="33" t="s">
        <v>152</v>
      </c>
      <c r="O308" s="35">
        <v>1</v>
      </c>
      <c r="P308" s="30" t="str">
        <f>VLOOKUP(O308,Key!$E$2:$F$9,2,FALSE)</f>
        <v>Home</v>
      </c>
      <c r="Q308" s="33" t="s">
        <v>153</v>
      </c>
      <c r="R308" s="29" t="s">
        <v>153</v>
      </c>
      <c r="S308" s="33" t="s">
        <v>152</v>
      </c>
      <c r="T308" s="29">
        <v>2</v>
      </c>
      <c r="U308" s="30" t="str">
        <f>VLOOKUP(T308,Key!$E$2:$F$9,2,FALSE)</f>
        <v>Work</v>
      </c>
      <c r="V308" s="30" t="str">
        <f t="shared" si="16"/>
        <v>Home-Work</v>
      </c>
      <c r="W308" s="29">
        <v>13000</v>
      </c>
      <c r="X308" s="34"/>
      <c r="Y308" s="50" t="str">
        <f t="shared" si="17"/>
        <v>0-10</v>
      </c>
      <c r="Z308" s="34">
        <v>4</v>
      </c>
      <c r="AA308" s="50" t="str">
        <f t="shared" si="18"/>
        <v>Over 3.5</v>
      </c>
      <c r="AB308" s="29">
        <v>5</v>
      </c>
      <c r="AC308" s="30" t="str">
        <f>VLOOKUP(AB308,Key!$C$20:$D$29,2,FALSE)</f>
        <v>Professional</v>
      </c>
      <c r="AD308" s="29">
        <v>5</v>
      </c>
      <c r="AE308" s="30" t="str">
        <f>VLOOKUP(AD308,Key!$E$20:$F$24,2,FALSE)</f>
        <v>&gt;1,000,000</v>
      </c>
      <c r="AF308" s="29">
        <v>1</v>
      </c>
      <c r="AG308" s="34">
        <v>1</v>
      </c>
      <c r="AH308" s="34">
        <v>1</v>
      </c>
      <c r="AI308" s="34">
        <v>1</v>
      </c>
      <c r="AJ308" s="34">
        <v>1</v>
      </c>
      <c r="AK308" s="35" t="s">
        <v>94</v>
      </c>
      <c r="AL308" s="36">
        <v>2000</v>
      </c>
      <c r="AM308" t="str">
        <f t="shared" si="19"/>
        <v>2000-3000</v>
      </c>
    </row>
    <row r="309" spans="1:39" x14ac:dyDescent="0.2">
      <c r="A309" s="44">
        <v>43764</v>
      </c>
      <c r="B309" s="31">
        <v>0.56041666666666667</v>
      </c>
      <c r="C309" s="31"/>
      <c r="D309" s="31" t="s">
        <v>97</v>
      </c>
      <c r="E309" s="33">
        <v>2</v>
      </c>
      <c r="F309" s="38" t="str">
        <f>VLOOKUP(E309,Key!$A$17:$B$21,2,FALSE)</f>
        <v>Road Vehicle</v>
      </c>
      <c r="G309" s="32">
        <v>4</v>
      </c>
      <c r="H309" s="39" t="str">
        <f>VLOOKUP(G309,Key!$A$2:$B$13,2,FALSE)</f>
        <v>Minibus</v>
      </c>
      <c r="I309" s="33" t="s">
        <v>109</v>
      </c>
      <c r="J309" s="33">
        <v>3</v>
      </c>
      <c r="K309" s="40" t="str">
        <f>VLOOKUP(J309,Key!$A$24:$B$29,2,FALSE)</f>
        <v>40-49</v>
      </c>
      <c r="L309" s="33" t="s">
        <v>151</v>
      </c>
      <c r="M309" s="29" t="s">
        <v>151</v>
      </c>
      <c r="N309" s="33" t="s">
        <v>152</v>
      </c>
      <c r="O309" s="35">
        <v>1</v>
      </c>
      <c r="P309" s="30" t="str">
        <f>VLOOKUP(O309,Key!$E$2:$F$9,2,FALSE)</f>
        <v>Home</v>
      </c>
      <c r="Q309" s="33" t="s">
        <v>151</v>
      </c>
      <c r="R309" s="29" t="s">
        <v>151</v>
      </c>
      <c r="S309" s="33" t="s">
        <v>152</v>
      </c>
      <c r="T309" s="29">
        <v>2</v>
      </c>
      <c r="U309" s="30" t="str">
        <f>VLOOKUP(T309,Key!$E$2:$F$9,2,FALSE)</f>
        <v>Work</v>
      </c>
      <c r="V309" s="30" t="str">
        <f t="shared" si="16"/>
        <v>Home-Work</v>
      </c>
      <c r="W309" s="29">
        <v>50000</v>
      </c>
      <c r="X309" s="34"/>
      <c r="Y309" s="50" t="str">
        <f t="shared" si="17"/>
        <v>0-10</v>
      </c>
      <c r="Z309" s="34">
        <v>2</v>
      </c>
      <c r="AA309" s="50" t="str">
        <f t="shared" si="18"/>
        <v>2.0-3.5</v>
      </c>
      <c r="AB309" s="29">
        <v>5</v>
      </c>
      <c r="AC309" s="30" t="str">
        <f>VLOOKUP(AB309,Key!$C$20:$D$29,2,FALSE)</f>
        <v>Professional</v>
      </c>
      <c r="AD309" s="29">
        <v>4</v>
      </c>
      <c r="AE309" s="30" t="str">
        <f>VLOOKUP(AD309,Key!$E$20:$F$24,2,FALSE)</f>
        <v>750,000-1,000,000</v>
      </c>
      <c r="AF309" s="29">
        <v>2</v>
      </c>
      <c r="AG309" s="34">
        <v>3</v>
      </c>
      <c r="AH309" s="34">
        <v>5</v>
      </c>
      <c r="AI309" s="34">
        <v>1</v>
      </c>
      <c r="AJ309" s="34">
        <v>4</v>
      </c>
      <c r="AK309" s="35" t="s">
        <v>94</v>
      </c>
      <c r="AL309" s="36"/>
      <c r="AM309" t="str">
        <f t="shared" si="19"/>
        <v>0-1000</v>
      </c>
    </row>
    <row r="310" spans="1:39" x14ac:dyDescent="0.2">
      <c r="A310" s="44">
        <v>43764</v>
      </c>
      <c r="B310" s="31">
        <v>0.52847222222222223</v>
      </c>
      <c r="C310" s="31"/>
      <c r="D310" s="31" t="s">
        <v>97</v>
      </c>
      <c r="E310" s="33">
        <v>2</v>
      </c>
      <c r="F310" s="38" t="str">
        <f>VLOOKUP(E310,Key!$A$17:$B$21,2,FALSE)</f>
        <v>Road Vehicle</v>
      </c>
      <c r="G310" s="32">
        <v>4</v>
      </c>
      <c r="H310" s="39" t="str">
        <f>VLOOKUP(G310,Key!$A$2:$B$13,2,FALSE)</f>
        <v>Minibus</v>
      </c>
      <c r="I310" s="33" t="s">
        <v>109</v>
      </c>
      <c r="J310" s="33">
        <v>3</v>
      </c>
      <c r="K310" s="40" t="str">
        <f>VLOOKUP(J310,Key!$A$24:$B$29,2,FALSE)</f>
        <v>40-49</v>
      </c>
      <c r="L310" s="33" t="s">
        <v>151</v>
      </c>
      <c r="M310" s="29" t="s">
        <v>151</v>
      </c>
      <c r="N310" s="33" t="s">
        <v>152</v>
      </c>
      <c r="O310" s="35">
        <v>1</v>
      </c>
      <c r="P310" s="30" t="str">
        <f>VLOOKUP(O310,Key!$E$2:$F$9,2,FALSE)</f>
        <v>Home</v>
      </c>
      <c r="Q310" s="33" t="s">
        <v>189</v>
      </c>
      <c r="R310" s="29" t="s">
        <v>177</v>
      </c>
      <c r="S310" s="33" t="s">
        <v>152</v>
      </c>
      <c r="T310" s="29">
        <v>6</v>
      </c>
      <c r="U310" s="30" t="str">
        <f>VLOOKUP(T310,Key!$E$2:$F$9,2,FALSE)</f>
        <v>Leisure/Social</v>
      </c>
      <c r="V310" s="30" t="str">
        <f t="shared" si="16"/>
        <v>Home-Leisure/Social</v>
      </c>
      <c r="W310" s="29">
        <v>7000</v>
      </c>
      <c r="X310" s="34">
        <v>30</v>
      </c>
      <c r="Y310" s="50" t="str">
        <f t="shared" si="17"/>
        <v>20-40</v>
      </c>
      <c r="Z310" s="34">
        <v>1</v>
      </c>
      <c r="AA310" s="50" t="str">
        <f t="shared" si="18"/>
        <v>1.0-2.0</v>
      </c>
      <c r="AB310" s="29">
        <v>6</v>
      </c>
      <c r="AC310" s="30" t="str">
        <f>VLOOKUP(AB310,Key!$C$20:$D$29,2,FALSE)</f>
        <v>Businessman</v>
      </c>
      <c r="AD310" s="29">
        <v>3</v>
      </c>
      <c r="AE310" s="30" t="str">
        <f>VLOOKUP(AD310,Key!$E$20:$F$24,2,FALSE)</f>
        <v>500,000-750,000</v>
      </c>
      <c r="AF310" s="29">
        <v>3</v>
      </c>
      <c r="AG310" s="34">
        <v>4</v>
      </c>
      <c r="AH310" s="34">
        <v>1</v>
      </c>
      <c r="AI310" s="34">
        <v>5</v>
      </c>
      <c r="AJ310" s="34">
        <v>2</v>
      </c>
      <c r="AK310" s="35" t="s">
        <v>94</v>
      </c>
      <c r="AL310" s="36"/>
      <c r="AM310" t="str">
        <f t="shared" si="19"/>
        <v>0-1000</v>
      </c>
    </row>
    <row r="311" spans="1:39" x14ac:dyDescent="0.2">
      <c r="A311" s="44">
        <v>43764</v>
      </c>
      <c r="B311" s="31">
        <v>0.49652777777777773</v>
      </c>
      <c r="C311" s="31"/>
      <c r="D311" s="31" t="s">
        <v>97</v>
      </c>
      <c r="E311" s="33">
        <v>2</v>
      </c>
      <c r="F311" s="38" t="str">
        <f>VLOOKUP(E311,Key!$A$17:$B$21,2,FALSE)</f>
        <v>Road Vehicle</v>
      </c>
      <c r="G311" s="32">
        <v>4</v>
      </c>
      <c r="H311" s="39" t="str">
        <f>VLOOKUP(G311,Key!$A$2:$B$13,2,FALSE)</f>
        <v>Minibus</v>
      </c>
      <c r="I311" s="33" t="s">
        <v>109</v>
      </c>
      <c r="J311" s="33">
        <v>3</v>
      </c>
      <c r="K311" s="40" t="str">
        <f>VLOOKUP(J311,Key!$A$24:$B$29,2,FALSE)</f>
        <v>40-49</v>
      </c>
      <c r="L311" s="33" t="s">
        <v>151</v>
      </c>
      <c r="M311" s="29" t="s">
        <v>151</v>
      </c>
      <c r="N311" s="33" t="s">
        <v>152</v>
      </c>
      <c r="O311" s="35">
        <v>1</v>
      </c>
      <c r="P311" s="30" t="str">
        <f>VLOOKUP(O311,Key!$E$2:$F$9,2,FALSE)</f>
        <v>Home</v>
      </c>
      <c r="Q311" s="33" t="s">
        <v>206</v>
      </c>
      <c r="R311" s="29" t="s">
        <v>177</v>
      </c>
      <c r="S311" s="33" t="s">
        <v>152</v>
      </c>
      <c r="T311" s="29">
        <v>2</v>
      </c>
      <c r="U311" s="30" t="str">
        <f>VLOOKUP(T311,Key!$E$2:$F$9,2,FALSE)</f>
        <v>Work</v>
      </c>
      <c r="V311" s="30" t="str">
        <f t="shared" si="16"/>
        <v>Home-Work</v>
      </c>
      <c r="W311" s="29">
        <v>10000</v>
      </c>
      <c r="X311" s="34">
        <v>125</v>
      </c>
      <c r="Y311" s="50" t="str">
        <f t="shared" si="17"/>
        <v>100-200</v>
      </c>
      <c r="Z311" s="34">
        <v>2</v>
      </c>
      <c r="AA311" s="50" t="str">
        <f t="shared" si="18"/>
        <v>2.0-3.5</v>
      </c>
      <c r="AB311" s="29">
        <v>2</v>
      </c>
      <c r="AC311" s="30" t="str">
        <f>VLOOKUP(AB311,Key!$C$20:$D$29,2,FALSE)</f>
        <v>Manual Labour</v>
      </c>
      <c r="AD311" s="29">
        <v>2</v>
      </c>
      <c r="AE311" s="30" t="str">
        <f>VLOOKUP(AD311,Key!$E$20:$F$24,2,FALSE)</f>
        <v>300,000-500,000</v>
      </c>
      <c r="AF311" s="29">
        <v>2</v>
      </c>
      <c r="AG311" s="34">
        <v>3</v>
      </c>
      <c r="AH311" s="34">
        <v>5</v>
      </c>
      <c r="AI311" s="34">
        <v>4</v>
      </c>
      <c r="AJ311" s="34">
        <v>1</v>
      </c>
      <c r="AK311" s="35" t="s">
        <v>94</v>
      </c>
      <c r="AL311" s="36">
        <v>3000</v>
      </c>
      <c r="AM311" t="str">
        <f t="shared" si="19"/>
        <v>3000-5000</v>
      </c>
    </row>
    <row r="312" spans="1:39" x14ac:dyDescent="0.2">
      <c r="A312" s="44">
        <v>43764</v>
      </c>
      <c r="B312" s="31">
        <v>0.47361111111111115</v>
      </c>
      <c r="C312" s="31"/>
      <c r="D312" s="31" t="s">
        <v>97</v>
      </c>
      <c r="E312" s="33">
        <v>2</v>
      </c>
      <c r="F312" s="38" t="str">
        <f>VLOOKUP(E312,Key!$A$17:$B$21,2,FALSE)</f>
        <v>Road Vehicle</v>
      </c>
      <c r="G312" s="32">
        <v>4</v>
      </c>
      <c r="H312" s="39" t="str">
        <f>VLOOKUP(G312,Key!$A$2:$B$13,2,FALSE)</f>
        <v>Minibus</v>
      </c>
      <c r="I312" s="33" t="s">
        <v>109</v>
      </c>
      <c r="J312" s="33">
        <v>3</v>
      </c>
      <c r="K312" s="40" t="str">
        <f>VLOOKUP(J312,Key!$A$24:$B$29,2,FALSE)</f>
        <v>40-49</v>
      </c>
      <c r="L312" s="33" t="s">
        <v>151</v>
      </c>
      <c r="M312" s="29" t="s">
        <v>151</v>
      </c>
      <c r="N312" s="33" t="s">
        <v>152</v>
      </c>
      <c r="O312" s="35">
        <v>1</v>
      </c>
      <c r="P312" s="30" t="str">
        <f>VLOOKUP(O312,Key!$E$2:$F$9,2,FALSE)</f>
        <v>Home</v>
      </c>
      <c r="Q312" s="33" t="s">
        <v>207</v>
      </c>
      <c r="R312" s="29" t="s">
        <v>165</v>
      </c>
      <c r="S312" s="33" t="s">
        <v>152</v>
      </c>
      <c r="T312" s="29">
        <v>2</v>
      </c>
      <c r="U312" s="30" t="str">
        <f>VLOOKUP(T312,Key!$E$2:$F$9,2,FALSE)</f>
        <v>Work</v>
      </c>
      <c r="V312" s="30" t="str">
        <f t="shared" si="16"/>
        <v>Home-Work</v>
      </c>
      <c r="W312" s="29">
        <v>120000</v>
      </c>
      <c r="X312" s="34">
        <v>90</v>
      </c>
      <c r="Y312" s="50" t="str">
        <f t="shared" si="17"/>
        <v>70-100</v>
      </c>
      <c r="Z312" s="34">
        <v>2</v>
      </c>
      <c r="AA312" s="50" t="str">
        <f t="shared" si="18"/>
        <v>2.0-3.5</v>
      </c>
      <c r="AB312" s="29">
        <v>2</v>
      </c>
      <c r="AC312" s="30" t="str">
        <f>VLOOKUP(AB312,Key!$C$20:$D$29,2,FALSE)</f>
        <v>Manual Labour</v>
      </c>
      <c r="AD312" s="29">
        <v>4</v>
      </c>
      <c r="AE312" s="30" t="str">
        <f>VLOOKUP(AD312,Key!$E$20:$F$24,2,FALSE)</f>
        <v>750,000-1,000,000</v>
      </c>
      <c r="AF312" s="29">
        <v>3</v>
      </c>
      <c r="AG312" s="34">
        <v>4</v>
      </c>
      <c r="AH312" s="34">
        <v>1</v>
      </c>
      <c r="AI312" s="34">
        <v>2</v>
      </c>
      <c r="AJ312" s="34">
        <v>5</v>
      </c>
      <c r="AK312" s="35" t="s">
        <v>94</v>
      </c>
      <c r="AL312" s="36">
        <v>5000</v>
      </c>
      <c r="AM312" t="str">
        <f t="shared" si="19"/>
        <v>5000-10000</v>
      </c>
    </row>
    <row r="313" spans="1:39" x14ac:dyDescent="0.2">
      <c r="A313" s="44">
        <v>43764</v>
      </c>
      <c r="B313" s="31">
        <v>0.62916666666666665</v>
      </c>
      <c r="C313" s="31"/>
      <c r="D313" s="31" t="s">
        <v>97</v>
      </c>
      <c r="E313" s="33">
        <v>2</v>
      </c>
      <c r="F313" s="38" t="str">
        <f>VLOOKUP(E313,Key!$A$17:$B$21,2,FALSE)</f>
        <v>Road Vehicle</v>
      </c>
      <c r="G313" s="32">
        <v>4</v>
      </c>
      <c r="H313" s="39" t="str">
        <f>VLOOKUP(G313,Key!$A$2:$B$13,2,FALSE)</f>
        <v>Minibus</v>
      </c>
      <c r="I313" s="33" t="s">
        <v>109</v>
      </c>
      <c r="J313" s="33">
        <v>3</v>
      </c>
      <c r="K313" s="40" t="str">
        <f>VLOOKUP(J313,Key!$A$24:$B$29,2,FALSE)</f>
        <v>40-49</v>
      </c>
      <c r="L313" s="33" t="s">
        <v>151</v>
      </c>
      <c r="M313" s="29" t="s">
        <v>151</v>
      </c>
      <c r="N313" s="33" t="s">
        <v>152</v>
      </c>
      <c r="O313" s="35">
        <v>1</v>
      </c>
      <c r="P313" s="30" t="str">
        <f>VLOOKUP(O313,Key!$E$2:$F$9,2,FALSE)</f>
        <v>Home</v>
      </c>
      <c r="Q313" s="33" t="s">
        <v>189</v>
      </c>
      <c r="R313" s="29" t="s">
        <v>177</v>
      </c>
      <c r="S313" s="33" t="s">
        <v>152</v>
      </c>
      <c r="T313" s="29">
        <v>6</v>
      </c>
      <c r="U313" s="30" t="str">
        <f>VLOOKUP(T313,Key!$E$2:$F$9,2,FALSE)</f>
        <v>Leisure/Social</v>
      </c>
      <c r="V313" s="30" t="str">
        <f t="shared" si="16"/>
        <v>Home-Leisure/Social</v>
      </c>
      <c r="W313" s="29">
        <v>7000</v>
      </c>
      <c r="X313" s="34">
        <v>30</v>
      </c>
      <c r="Y313" s="50" t="str">
        <f t="shared" si="17"/>
        <v>20-40</v>
      </c>
      <c r="Z313" s="34">
        <v>1</v>
      </c>
      <c r="AA313" s="50" t="str">
        <f t="shared" si="18"/>
        <v>1.0-2.0</v>
      </c>
      <c r="AB313" s="29">
        <v>7</v>
      </c>
      <c r="AC313" s="30" t="str">
        <f>VLOOKUP(AB313,Key!$C$20:$D$29,2,FALSE)</f>
        <v>Farmer</v>
      </c>
      <c r="AD313" s="29">
        <v>3</v>
      </c>
      <c r="AE313" s="30" t="str">
        <f>VLOOKUP(AD313,Key!$E$20:$F$24,2,FALSE)</f>
        <v>500,000-750,000</v>
      </c>
      <c r="AF313" s="29">
        <v>3</v>
      </c>
      <c r="AG313" s="34">
        <v>4</v>
      </c>
      <c r="AH313" s="34">
        <v>1</v>
      </c>
      <c r="AI313" s="34">
        <v>5</v>
      </c>
      <c r="AJ313" s="34">
        <v>2</v>
      </c>
      <c r="AK313" s="35" t="s">
        <v>94</v>
      </c>
      <c r="AL313" s="36"/>
      <c r="AM313" t="str">
        <f t="shared" si="19"/>
        <v>0-1000</v>
      </c>
    </row>
    <row r="314" spans="1:39" x14ac:dyDescent="0.2">
      <c r="A314" s="44">
        <v>43764</v>
      </c>
      <c r="B314" s="31">
        <v>0.65416666666666667</v>
      </c>
      <c r="C314" s="31"/>
      <c r="D314" s="31" t="s">
        <v>97</v>
      </c>
      <c r="E314" s="33">
        <v>2</v>
      </c>
      <c r="F314" s="38" t="str">
        <f>VLOOKUP(E314,Key!$A$17:$B$21,2,FALSE)</f>
        <v>Road Vehicle</v>
      </c>
      <c r="G314" s="32">
        <v>4</v>
      </c>
      <c r="H314" s="39" t="str">
        <f>VLOOKUP(G314,Key!$A$2:$B$13,2,FALSE)</f>
        <v>Minibus</v>
      </c>
      <c r="I314" s="33" t="s">
        <v>109</v>
      </c>
      <c r="J314" s="33">
        <v>3</v>
      </c>
      <c r="K314" s="40" t="str">
        <f>VLOOKUP(J314,Key!$A$24:$B$29,2,FALSE)</f>
        <v>40-49</v>
      </c>
      <c r="L314" s="33" t="s">
        <v>151</v>
      </c>
      <c r="M314" s="29" t="s">
        <v>151</v>
      </c>
      <c r="N314" s="33" t="s">
        <v>152</v>
      </c>
      <c r="O314" s="35">
        <v>1</v>
      </c>
      <c r="P314" s="30" t="str">
        <f>VLOOKUP(O314,Key!$E$2:$F$9,2,FALSE)</f>
        <v>Home</v>
      </c>
      <c r="Q314" s="33" t="s">
        <v>165</v>
      </c>
      <c r="R314" s="29" t="s">
        <v>165</v>
      </c>
      <c r="S314" s="33" t="s">
        <v>152</v>
      </c>
      <c r="T314" s="29">
        <v>2</v>
      </c>
      <c r="U314" s="30" t="str">
        <f>VLOOKUP(T314,Key!$E$2:$F$9,2,FALSE)</f>
        <v>Work</v>
      </c>
      <c r="V314" s="30" t="str">
        <f t="shared" si="16"/>
        <v>Home-Work</v>
      </c>
      <c r="W314" s="29">
        <v>100000</v>
      </c>
      <c r="X314" s="34">
        <v>90</v>
      </c>
      <c r="Y314" s="50" t="str">
        <f t="shared" si="17"/>
        <v>70-100</v>
      </c>
      <c r="Z314" s="34">
        <v>2</v>
      </c>
      <c r="AA314" s="50" t="str">
        <f t="shared" si="18"/>
        <v>2.0-3.5</v>
      </c>
      <c r="AB314" s="29">
        <v>5</v>
      </c>
      <c r="AC314" s="30" t="str">
        <f>VLOOKUP(AB314,Key!$C$20:$D$29,2,FALSE)</f>
        <v>Professional</v>
      </c>
      <c r="AD314" s="29">
        <v>4</v>
      </c>
      <c r="AE314" s="30" t="str">
        <f>VLOOKUP(AD314,Key!$E$20:$F$24,2,FALSE)</f>
        <v>750,000-1,000,000</v>
      </c>
      <c r="AF314" s="29">
        <v>2</v>
      </c>
      <c r="AG314" s="34">
        <v>3</v>
      </c>
      <c r="AH314" s="34">
        <v>5</v>
      </c>
      <c r="AI314" s="34">
        <v>4</v>
      </c>
      <c r="AJ314" s="34">
        <v>1</v>
      </c>
      <c r="AK314" s="35" t="s">
        <v>94</v>
      </c>
      <c r="AL314" s="36"/>
      <c r="AM314" t="str">
        <f t="shared" si="19"/>
        <v>0-1000</v>
      </c>
    </row>
    <row r="315" spans="1:39" x14ac:dyDescent="0.2">
      <c r="A315" s="44">
        <v>43764</v>
      </c>
      <c r="B315" s="31">
        <v>0.60833333333333328</v>
      </c>
      <c r="C315" s="31"/>
      <c r="D315" s="31" t="s">
        <v>97</v>
      </c>
      <c r="E315" s="33">
        <v>2</v>
      </c>
      <c r="F315" s="38" t="str">
        <f>VLOOKUP(E315,Key!$A$17:$B$21,2,FALSE)</f>
        <v>Road Vehicle</v>
      </c>
      <c r="G315" s="32">
        <v>4</v>
      </c>
      <c r="H315" s="39" t="str">
        <f>VLOOKUP(G315,Key!$A$2:$B$13,2,FALSE)</f>
        <v>Minibus</v>
      </c>
      <c r="I315" s="33" t="s">
        <v>109</v>
      </c>
      <c r="J315" s="33">
        <v>3</v>
      </c>
      <c r="K315" s="40" t="str">
        <f>VLOOKUP(J315,Key!$A$24:$B$29,2,FALSE)</f>
        <v>40-49</v>
      </c>
      <c r="L315" s="33" t="s">
        <v>151</v>
      </c>
      <c r="M315" s="29" t="s">
        <v>151</v>
      </c>
      <c r="N315" s="33" t="s">
        <v>152</v>
      </c>
      <c r="O315" s="35">
        <v>2</v>
      </c>
      <c r="P315" s="30" t="str">
        <f>VLOOKUP(O315,Key!$E$2:$F$9,2,FALSE)</f>
        <v>Work</v>
      </c>
      <c r="Q315" s="33" t="s">
        <v>183</v>
      </c>
      <c r="R315" s="29" t="s">
        <v>183</v>
      </c>
      <c r="S315" s="33" t="s">
        <v>152</v>
      </c>
      <c r="T315" s="29">
        <v>1</v>
      </c>
      <c r="U315" s="30" t="str">
        <f>VLOOKUP(T315,Key!$E$2:$F$9,2,FALSE)</f>
        <v>Home</v>
      </c>
      <c r="V315" s="30" t="str">
        <f t="shared" si="16"/>
        <v>Work-Home</v>
      </c>
      <c r="W315" s="29">
        <v>15000</v>
      </c>
      <c r="X315" s="34">
        <v>200</v>
      </c>
      <c r="Y315" s="50" t="str">
        <f t="shared" si="17"/>
        <v>Over 200</v>
      </c>
      <c r="Z315" s="34">
        <v>3</v>
      </c>
      <c r="AA315" s="50" t="str">
        <f t="shared" si="18"/>
        <v>2.0-3.5</v>
      </c>
      <c r="AB315" s="29">
        <v>7</v>
      </c>
      <c r="AC315" s="30" t="str">
        <f>VLOOKUP(AB315,Key!$C$20:$D$29,2,FALSE)</f>
        <v>Farmer</v>
      </c>
      <c r="AD315" s="29">
        <v>3</v>
      </c>
      <c r="AE315" s="30" t="str">
        <f>VLOOKUP(AD315,Key!$E$20:$F$24,2,FALSE)</f>
        <v>500,000-750,000</v>
      </c>
      <c r="AF315" s="29">
        <v>1</v>
      </c>
      <c r="AG315" s="34">
        <v>2</v>
      </c>
      <c r="AH315" s="34">
        <v>5</v>
      </c>
      <c r="AI315" s="34">
        <v>3</v>
      </c>
      <c r="AJ315" s="34">
        <v>4</v>
      </c>
      <c r="AK315" s="35" t="s">
        <v>94</v>
      </c>
      <c r="AL315" s="36">
        <v>1000</v>
      </c>
      <c r="AM315" t="str">
        <f t="shared" si="19"/>
        <v>1000-2000</v>
      </c>
    </row>
    <row r="316" spans="1:39" x14ac:dyDescent="0.2">
      <c r="A316" s="44">
        <v>43764</v>
      </c>
      <c r="B316" s="31">
        <v>0.6479166666666667</v>
      </c>
      <c r="C316" s="31"/>
      <c r="D316" s="31" t="s">
        <v>97</v>
      </c>
      <c r="E316" s="33">
        <v>2</v>
      </c>
      <c r="F316" s="38" t="str">
        <f>VLOOKUP(E316,Key!$A$17:$B$21,2,FALSE)</f>
        <v>Road Vehicle</v>
      </c>
      <c r="G316" s="32">
        <v>4</v>
      </c>
      <c r="H316" s="39" t="str">
        <f>VLOOKUP(G316,Key!$A$2:$B$13,2,FALSE)</f>
        <v>Minibus</v>
      </c>
      <c r="I316" s="33" t="s">
        <v>109</v>
      </c>
      <c r="J316" s="33">
        <v>3</v>
      </c>
      <c r="K316" s="40" t="str">
        <f>VLOOKUP(J316,Key!$A$24:$B$29,2,FALSE)</f>
        <v>40-49</v>
      </c>
      <c r="L316" s="33" t="s">
        <v>151</v>
      </c>
      <c r="M316" s="29" t="s">
        <v>151</v>
      </c>
      <c r="N316" s="33" t="s">
        <v>152</v>
      </c>
      <c r="O316" s="35">
        <v>2</v>
      </c>
      <c r="P316" s="30" t="str">
        <f>VLOOKUP(O316,Key!$E$2:$F$9,2,FALSE)</f>
        <v>Work</v>
      </c>
      <c r="Q316" s="33" t="s">
        <v>153</v>
      </c>
      <c r="R316" s="29" t="s">
        <v>153</v>
      </c>
      <c r="S316" s="33" t="s">
        <v>152</v>
      </c>
      <c r="T316" s="29">
        <v>2</v>
      </c>
      <c r="U316" s="30" t="str">
        <f>VLOOKUP(T316,Key!$E$2:$F$9,2,FALSE)</f>
        <v>Work</v>
      </c>
      <c r="V316" s="30" t="str">
        <f t="shared" si="16"/>
        <v>Work-Work</v>
      </c>
      <c r="W316" s="29">
        <v>700000</v>
      </c>
      <c r="X316" s="34">
        <v>195</v>
      </c>
      <c r="Y316" s="50" t="str">
        <f t="shared" si="17"/>
        <v>100-200</v>
      </c>
      <c r="Z316" s="34">
        <v>4</v>
      </c>
      <c r="AA316" s="50" t="str">
        <f t="shared" si="18"/>
        <v>Over 3.5</v>
      </c>
      <c r="AB316" s="29">
        <v>4</v>
      </c>
      <c r="AC316" s="30" t="str">
        <f>VLOOKUP(AB316,Key!$C$20:$D$29,2,FALSE)</f>
        <v>Office Worker</v>
      </c>
      <c r="AD316" s="29">
        <v>2</v>
      </c>
      <c r="AE316" s="30" t="str">
        <f>VLOOKUP(AD316,Key!$E$20:$F$24,2,FALSE)</f>
        <v>300,000-500,000</v>
      </c>
      <c r="AF316" s="29">
        <v>2</v>
      </c>
      <c r="AG316" s="34">
        <v>1</v>
      </c>
      <c r="AH316" s="34">
        <v>5</v>
      </c>
      <c r="AI316" s="34">
        <v>4</v>
      </c>
      <c r="AJ316" s="34">
        <v>3</v>
      </c>
      <c r="AK316" s="35" t="s">
        <v>94</v>
      </c>
      <c r="AL316" s="36">
        <v>3000</v>
      </c>
      <c r="AM316" t="str">
        <f t="shared" si="19"/>
        <v>3000-5000</v>
      </c>
    </row>
    <row r="317" spans="1:39" x14ac:dyDescent="0.2">
      <c r="A317" s="44">
        <v>43764</v>
      </c>
      <c r="B317" s="31">
        <v>0.64027777777777783</v>
      </c>
      <c r="C317" s="31"/>
      <c r="D317" s="31" t="s">
        <v>97</v>
      </c>
      <c r="E317" s="33">
        <v>2</v>
      </c>
      <c r="F317" s="38" t="str">
        <f>VLOOKUP(E317,Key!$A$17:$B$21,2,FALSE)</f>
        <v>Road Vehicle</v>
      </c>
      <c r="G317" s="32">
        <v>4</v>
      </c>
      <c r="H317" s="39" t="str">
        <f>VLOOKUP(G317,Key!$A$2:$B$13,2,FALSE)</f>
        <v>Minibus</v>
      </c>
      <c r="I317" s="33" t="s">
        <v>109</v>
      </c>
      <c r="J317" s="33">
        <v>3</v>
      </c>
      <c r="K317" s="40" t="str">
        <f>VLOOKUP(J317,Key!$A$24:$B$29,2,FALSE)</f>
        <v>40-49</v>
      </c>
      <c r="L317" s="33" t="s">
        <v>151</v>
      </c>
      <c r="M317" s="29" t="s">
        <v>151</v>
      </c>
      <c r="N317" s="33" t="s">
        <v>152</v>
      </c>
      <c r="O317" s="35">
        <v>2</v>
      </c>
      <c r="P317" s="30" t="str">
        <f>VLOOKUP(O317,Key!$E$2:$F$9,2,FALSE)</f>
        <v>Work</v>
      </c>
      <c r="Q317" s="33" t="s">
        <v>153</v>
      </c>
      <c r="R317" s="29" t="s">
        <v>153</v>
      </c>
      <c r="S317" s="33" t="s">
        <v>152</v>
      </c>
      <c r="T317" s="29">
        <v>2</v>
      </c>
      <c r="U317" s="30" t="str">
        <f>VLOOKUP(T317,Key!$E$2:$F$9,2,FALSE)</f>
        <v>Work</v>
      </c>
      <c r="V317" s="30" t="str">
        <f t="shared" si="16"/>
        <v>Work-Work</v>
      </c>
      <c r="W317" s="29">
        <v>13000</v>
      </c>
      <c r="X317" s="34">
        <v>190</v>
      </c>
      <c r="Y317" s="50" t="str">
        <f t="shared" si="17"/>
        <v>100-200</v>
      </c>
      <c r="Z317" s="34">
        <v>3</v>
      </c>
      <c r="AA317" s="50" t="str">
        <f t="shared" si="18"/>
        <v>2.0-3.5</v>
      </c>
      <c r="AB317" s="29">
        <v>5</v>
      </c>
      <c r="AC317" s="30" t="str">
        <f>VLOOKUP(AB317,Key!$C$20:$D$29,2,FALSE)</f>
        <v>Professional</v>
      </c>
      <c r="AD317" s="29">
        <v>4</v>
      </c>
      <c r="AE317" s="30" t="str">
        <f>VLOOKUP(AD317,Key!$E$20:$F$24,2,FALSE)</f>
        <v>750,000-1,000,000</v>
      </c>
      <c r="AF317" s="29">
        <v>2</v>
      </c>
      <c r="AG317" s="34">
        <v>5</v>
      </c>
      <c r="AH317" s="34">
        <v>4</v>
      </c>
      <c r="AI317" s="34">
        <v>1</v>
      </c>
      <c r="AJ317" s="34">
        <v>3</v>
      </c>
      <c r="AK317" s="35" t="s">
        <v>94</v>
      </c>
      <c r="AL317" s="36">
        <v>3000</v>
      </c>
      <c r="AM317" t="str">
        <f t="shared" si="19"/>
        <v>3000-5000</v>
      </c>
    </row>
    <row r="318" spans="1:39" x14ac:dyDescent="0.2">
      <c r="A318" s="44">
        <v>43764</v>
      </c>
      <c r="B318" s="31">
        <v>0.57152777777777775</v>
      </c>
      <c r="C318" s="31"/>
      <c r="D318" s="31" t="s">
        <v>97</v>
      </c>
      <c r="E318" s="33">
        <v>2</v>
      </c>
      <c r="F318" s="38" t="str">
        <f>VLOOKUP(E318,Key!$A$17:$B$21,2,FALSE)</f>
        <v>Road Vehicle</v>
      </c>
      <c r="G318" s="32">
        <v>4</v>
      </c>
      <c r="H318" s="39" t="str">
        <f>VLOOKUP(G318,Key!$A$2:$B$13,2,FALSE)</f>
        <v>Minibus</v>
      </c>
      <c r="I318" s="33" t="s">
        <v>109</v>
      </c>
      <c r="J318" s="33">
        <v>3</v>
      </c>
      <c r="K318" s="40" t="str">
        <f>VLOOKUP(J318,Key!$A$24:$B$29,2,FALSE)</f>
        <v>40-49</v>
      </c>
      <c r="L318" s="33" t="s">
        <v>151</v>
      </c>
      <c r="M318" s="29" t="s">
        <v>151</v>
      </c>
      <c r="N318" s="33" t="s">
        <v>152</v>
      </c>
      <c r="O318" s="35">
        <v>8</v>
      </c>
      <c r="P318" s="30" t="str">
        <f>VLOOKUP(O318,Key!$E$2:$F$9,2,FALSE)</f>
        <v>Others</v>
      </c>
      <c r="Q318" s="33" t="s">
        <v>153</v>
      </c>
      <c r="R318" s="29" t="s">
        <v>153</v>
      </c>
      <c r="S318" s="33" t="s">
        <v>152</v>
      </c>
      <c r="T318" s="29">
        <v>2</v>
      </c>
      <c r="U318" s="30" t="str">
        <f>VLOOKUP(T318,Key!$E$2:$F$9,2,FALSE)</f>
        <v>Work</v>
      </c>
      <c r="V318" s="30" t="str">
        <f t="shared" si="16"/>
        <v>Others-Work</v>
      </c>
      <c r="W318" s="29">
        <v>13000</v>
      </c>
      <c r="X318" s="34">
        <v>190</v>
      </c>
      <c r="Y318" s="50" t="str">
        <f t="shared" si="17"/>
        <v>100-200</v>
      </c>
      <c r="Z318" s="34">
        <v>3</v>
      </c>
      <c r="AA318" s="50" t="str">
        <f t="shared" si="18"/>
        <v>2.0-3.5</v>
      </c>
      <c r="AB318" s="29">
        <v>4</v>
      </c>
      <c r="AC318" s="30" t="str">
        <f>VLOOKUP(AB318,Key!$C$20:$D$29,2,FALSE)</f>
        <v>Office Worker</v>
      </c>
      <c r="AD318" s="29">
        <v>4</v>
      </c>
      <c r="AE318" s="30" t="str">
        <f>VLOOKUP(AD318,Key!$E$20:$F$24,2,FALSE)</f>
        <v>750,000-1,000,000</v>
      </c>
      <c r="AF318" s="29">
        <v>2</v>
      </c>
      <c r="AG318" s="34">
        <v>1</v>
      </c>
      <c r="AH318" s="34">
        <v>3</v>
      </c>
      <c r="AI318" s="34">
        <v>5</v>
      </c>
      <c r="AJ318" s="34">
        <v>4</v>
      </c>
      <c r="AK318" s="35" t="s">
        <v>94</v>
      </c>
      <c r="AL318" s="36">
        <v>1000</v>
      </c>
      <c r="AM318" t="str">
        <f t="shared" si="19"/>
        <v>1000-2000</v>
      </c>
    </row>
    <row r="319" spans="1:39" x14ac:dyDescent="0.2">
      <c r="A319" s="44">
        <v>43764</v>
      </c>
      <c r="B319" s="31">
        <v>0.56666666666666665</v>
      </c>
      <c r="C319" s="31"/>
      <c r="D319" s="31" t="s">
        <v>97</v>
      </c>
      <c r="E319" s="33">
        <v>2</v>
      </c>
      <c r="F319" s="38" t="str">
        <f>VLOOKUP(E319,Key!$A$17:$B$21,2,FALSE)</f>
        <v>Road Vehicle</v>
      </c>
      <c r="G319" s="32">
        <v>4</v>
      </c>
      <c r="H319" s="39" t="str">
        <f>VLOOKUP(G319,Key!$A$2:$B$13,2,FALSE)</f>
        <v>Minibus</v>
      </c>
      <c r="I319" s="33" t="s">
        <v>109</v>
      </c>
      <c r="J319" s="33">
        <v>3</v>
      </c>
      <c r="K319" s="40" t="str">
        <f>VLOOKUP(J319,Key!$A$24:$B$29,2,FALSE)</f>
        <v>40-49</v>
      </c>
      <c r="L319" s="33" t="s">
        <v>151</v>
      </c>
      <c r="M319" s="29" t="s">
        <v>151</v>
      </c>
      <c r="N319" s="33" t="s">
        <v>152</v>
      </c>
      <c r="O319" s="35">
        <v>6</v>
      </c>
      <c r="P319" s="30" t="str">
        <f>VLOOKUP(O319,Key!$E$2:$F$9,2,FALSE)</f>
        <v>Leisure/Social</v>
      </c>
      <c r="Q319" s="33" t="s">
        <v>153</v>
      </c>
      <c r="R319" s="29" t="s">
        <v>153</v>
      </c>
      <c r="S319" s="33" t="s">
        <v>152</v>
      </c>
      <c r="T319" s="29">
        <v>1</v>
      </c>
      <c r="U319" s="30" t="str">
        <f>VLOOKUP(T319,Key!$E$2:$F$9,2,FALSE)</f>
        <v>Home</v>
      </c>
      <c r="V319" s="30" t="str">
        <f t="shared" si="16"/>
        <v>Leisure/Social-Home</v>
      </c>
      <c r="W319" s="29">
        <v>130000</v>
      </c>
      <c r="X319" s="34">
        <v>190</v>
      </c>
      <c r="Y319" s="50" t="str">
        <f t="shared" si="17"/>
        <v>100-200</v>
      </c>
      <c r="Z319" s="34">
        <v>3</v>
      </c>
      <c r="AA319" s="50" t="str">
        <f t="shared" si="18"/>
        <v>2.0-3.5</v>
      </c>
      <c r="AB319" s="29">
        <v>6</v>
      </c>
      <c r="AC319" s="30" t="str">
        <f>VLOOKUP(AB319,Key!$C$20:$D$29,2,FALSE)</f>
        <v>Businessman</v>
      </c>
      <c r="AD319" s="29">
        <v>4</v>
      </c>
      <c r="AE319" s="30" t="str">
        <f>VLOOKUP(AD319,Key!$E$20:$F$24,2,FALSE)</f>
        <v>750,000-1,000,000</v>
      </c>
      <c r="AF319" s="29">
        <v>2</v>
      </c>
      <c r="AG319" s="34">
        <v>5</v>
      </c>
      <c r="AH319" s="34">
        <v>3</v>
      </c>
      <c r="AI319" s="34">
        <v>4</v>
      </c>
      <c r="AJ319" s="34">
        <v>1</v>
      </c>
      <c r="AK319" s="35" t="s">
        <v>94</v>
      </c>
      <c r="AL319" s="36">
        <v>1000</v>
      </c>
      <c r="AM319" t="str">
        <f t="shared" si="19"/>
        <v>1000-2000</v>
      </c>
    </row>
    <row r="320" spans="1:39" x14ac:dyDescent="0.2">
      <c r="A320" s="44">
        <v>43764</v>
      </c>
      <c r="B320" s="31">
        <v>0.30277777777777776</v>
      </c>
      <c r="C320" s="31"/>
      <c r="D320" s="31" t="s">
        <v>97</v>
      </c>
      <c r="E320" s="33">
        <v>2</v>
      </c>
      <c r="F320" s="38" t="str">
        <f>VLOOKUP(E320,Key!$A$17:$B$21,2,FALSE)</f>
        <v>Road Vehicle</v>
      </c>
      <c r="G320" s="32">
        <v>4</v>
      </c>
      <c r="H320" s="39" t="str">
        <f>VLOOKUP(G320,Key!$A$2:$B$13,2,FALSE)</f>
        <v>Minibus</v>
      </c>
      <c r="I320" s="33" t="s">
        <v>109</v>
      </c>
      <c r="J320" s="33">
        <v>3</v>
      </c>
      <c r="K320" s="40" t="str">
        <f>VLOOKUP(J320,Key!$A$24:$B$29,2,FALSE)</f>
        <v>40-49</v>
      </c>
      <c r="L320" s="33" t="s">
        <v>151</v>
      </c>
      <c r="M320" s="29" t="s">
        <v>151</v>
      </c>
      <c r="N320" s="33" t="s">
        <v>152</v>
      </c>
      <c r="O320" s="35">
        <v>2</v>
      </c>
      <c r="P320" s="30" t="str">
        <f>VLOOKUP(O320,Key!$E$2:$F$9,2,FALSE)</f>
        <v>Work</v>
      </c>
      <c r="Q320" s="33" t="s">
        <v>212</v>
      </c>
      <c r="R320" s="29" t="s">
        <v>153</v>
      </c>
      <c r="S320" s="33" t="s">
        <v>152</v>
      </c>
      <c r="T320" s="29">
        <v>1</v>
      </c>
      <c r="U320" s="30" t="str">
        <f>VLOOKUP(T320,Key!$E$2:$F$9,2,FALSE)</f>
        <v>Home</v>
      </c>
      <c r="V320" s="30" t="str">
        <f t="shared" si="16"/>
        <v>Work-Home</v>
      </c>
      <c r="W320" s="29">
        <v>700000</v>
      </c>
      <c r="X320" s="34">
        <v>225</v>
      </c>
      <c r="Y320" s="50" t="str">
        <f t="shared" si="17"/>
        <v>Over 200</v>
      </c>
      <c r="Z320" s="34">
        <v>3</v>
      </c>
      <c r="AA320" s="50" t="str">
        <f t="shared" si="18"/>
        <v>2.0-3.5</v>
      </c>
      <c r="AB320" s="29">
        <v>10</v>
      </c>
      <c r="AC320" s="30" t="str">
        <f>VLOOKUP(AB320,Key!$C$20:$D$29,2,FALSE)</f>
        <v>Other</v>
      </c>
      <c r="AD320" s="29">
        <v>4</v>
      </c>
      <c r="AE320" s="30" t="str">
        <f>VLOOKUP(AD320,Key!$E$20:$F$24,2,FALSE)</f>
        <v>750,000-1,000,000</v>
      </c>
      <c r="AF320" s="29">
        <v>1</v>
      </c>
      <c r="AG320" s="34">
        <v>2</v>
      </c>
      <c r="AH320" s="34">
        <v>3</v>
      </c>
      <c r="AI320" s="34">
        <v>4</v>
      </c>
      <c r="AJ320" s="34">
        <v>5</v>
      </c>
      <c r="AK320" s="35" t="s">
        <v>94</v>
      </c>
      <c r="AL320" s="36">
        <v>1000</v>
      </c>
      <c r="AM320" t="str">
        <f t="shared" si="19"/>
        <v>1000-2000</v>
      </c>
    </row>
    <row r="321" spans="1:39" x14ac:dyDescent="0.2">
      <c r="A321" s="44">
        <v>43764</v>
      </c>
      <c r="B321" s="31">
        <v>0.63055555555555554</v>
      </c>
      <c r="C321" s="31"/>
      <c r="D321" s="31" t="s">
        <v>97</v>
      </c>
      <c r="E321" s="33">
        <v>2</v>
      </c>
      <c r="F321" s="38" t="str">
        <f>VLOOKUP(E321,Key!$A$17:$B$21,2,FALSE)</f>
        <v>Road Vehicle</v>
      </c>
      <c r="G321" s="32">
        <v>4</v>
      </c>
      <c r="H321" s="39" t="str">
        <f>VLOOKUP(G321,Key!$A$2:$B$13,2,FALSE)</f>
        <v>Minibus</v>
      </c>
      <c r="I321" s="33" t="s">
        <v>109</v>
      </c>
      <c r="J321" s="33">
        <v>3</v>
      </c>
      <c r="K321" s="40" t="str">
        <f>VLOOKUP(J321,Key!$A$24:$B$29,2,FALSE)</f>
        <v>40-49</v>
      </c>
      <c r="L321" s="33" t="s">
        <v>151</v>
      </c>
      <c r="M321" s="29" t="s">
        <v>151</v>
      </c>
      <c r="N321" s="33" t="s">
        <v>152</v>
      </c>
      <c r="O321" s="35">
        <v>2</v>
      </c>
      <c r="P321" s="30" t="str">
        <f>VLOOKUP(O321,Key!$E$2:$F$9,2,FALSE)</f>
        <v>Work</v>
      </c>
      <c r="Q321" s="33" t="s">
        <v>153</v>
      </c>
      <c r="R321" s="29" t="s">
        <v>153</v>
      </c>
      <c r="S321" s="33" t="s">
        <v>152</v>
      </c>
      <c r="T321" s="29">
        <v>1</v>
      </c>
      <c r="U321" s="30" t="str">
        <f>VLOOKUP(T321,Key!$E$2:$F$9,2,FALSE)</f>
        <v>Home</v>
      </c>
      <c r="V321" s="30" t="str">
        <f t="shared" si="16"/>
        <v>Work-Home</v>
      </c>
      <c r="W321" s="29">
        <v>180000</v>
      </c>
      <c r="X321" s="34">
        <v>290</v>
      </c>
      <c r="Y321" s="50" t="str">
        <f t="shared" si="17"/>
        <v>Over 200</v>
      </c>
      <c r="Z321" s="34">
        <v>3</v>
      </c>
      <c r="AA321" s="50" t="str">
        <f t="shared" si="18"/>
        <v>2.0-3.5</v>
      </c>
      <c r="AB321" s="29">
        <v>10</v>
      </c>
      <c r="AC321" s="30" t="str">
        <f>VLOOKUP(AB321,Key!$C$20:$D$29,2,FALSE)</f>
        <v>Other</v>
      </c>
      <c r="AD321" s="29">
        <v>3</v>
      </c>
      <c r="AE321" s="30" t="str">
        <f>VLOOKUP(AD321,Key!$E$20:$F$24,2,FALSE)</f>
        <v>500,000-750,000</v>
      </c>
      <c r="AF321" s="29">
        <v>1</v>
      </c>
      <c r="AG321" s="34">
        <v>2</v>
      </c>
      <c r="AH321" s="34">
        <v>3</v>
      </c>
      <c r="AI321" s="34">
        <v>4</v>
      </c>
      <c r="AJ321" s="34">
        <v>5</v>
      </c>
      <c r="AK321" s="35" t="s">
        <v>94</v>
      </c>
      <c r="AL321" s="36">
        <v>100</v>
      </c>
      <c r="AM321" t="str">
        <f t="shared" si="19"/>
        <v>0-1000</v>
      </c>
    </row>
    <row r="322" spans="1:39" x14ac:dyDescent="0.2">
      <c r="A322" s="44">
        <v>43764</v>
      </c>
      <c r="B322" s="31">
        <v>0.33958333333333335</v>
      </c>
      <c r="C322" s="31"/>
      <c r="D322" s="31" t="s">
        <v>150</v>
      </c>
      <c r="E322" s="33">
        <v>2</v>
      </c>
      <c r="F322" s="38" t="str">
        <f>VLOOKUP(E322,Key!$A$17:$B$21,2,FALSE)</f>
        <v>Road Vehicle</v>
      </c>
      <c r="G322" s="32">
        <v>4</v>
      </c>
      <c r="H322" s="39" t="str">
        <f>VLOOKUP(G322,Key!$A$2:$B$13,2,FALSE)</f>
        <v>Minibus</v>
      </c>
      <c r="I322" s="33" t="s">
        <v>109</v>
      </c>
      <c r="J322" s="33">
        <v>3</v>
      </c>
      <c r="K322" s="40" t="str">
        <f>VLOOKUP(J322,Key!$A$24:$B$29,2,FALSE)</f>
        <v>40-49</v>
      </c>
      <c r="L322" s="33" t="s">
        <v>151</v>
      </c>
      <c r="M322" s="29" t="s">
        <v>151</v>
      </c>
      <c r="N322" s="33" t="s">
        <v>152</v>
      </c>
      <c r="O322" s="35">
        <v>2</v>
      </c>
      <c r="P322" s="30" t="str">
        <f>VLOOKUP(O322,Key!$E$2:$F$9,2,FALSE)</f>
        <v>Work</v>
      </c>
      <c r="Q322" s="33" t="s">
        <v>153</v>
      </c>
      <c r="R322" s="29" t="s">
        <v>153</v>
      </c>
      <c r="S322" s="33" t="s">
        <v>152</v>
      </c>
      <c r="T322" s="29">
        <v>1</v>
      </c>
      <c r="U322" s="30" t="str">
        <f>VLOOKUP(T322,Key!$E$2:$F$9,2,FALSE)</f>
        <v>Home</v>
      </c>
      <c r="V322" s="30" t="str">
        <f t="shared" ref="V322:V385" si="20">P322&amp;"-"&amp;U322</f>
        <v>Work-Home</v>
      </c>
      <c r="W322" s="29">
        <v>150000</v>
      </c>
      <c r="X322" s="34">
        <v>500</v>
      </c>
      <c r="Y322" s="50" t="str">
        <f t="shared" si="17"/>
        <v>Over 200</v>
      </c>
      <c r="Z322" s="34">
        <v>3</v>
      </c>
      <c r="AA322" s="50" t="str">
        <f t="shared" si="18"/>
        <v>2.0-3.5</v>
      </c>
      <c r="AB322" s="29">
        <v>9</v>
      </c>
      <c r="AC322" s="30" t="str">
        <f>VLOOKUP(AB322,Key!$C$20:$D$29,2,FALSE)</f>
        <v>Retired</v>
      </c>
      <c r="AD322" s="29">
        <v>1</v>
      </c>
      <c r="AE322" s="30" t="str">
        <f>VLOOKUP(AD322,Key!$E$20:$F$24,2,FALSE)</f>
        <v>&lt;300,000</v>
      </c>
      <c r="AF322" s="29">
        <v>1</v>
      </c>
      <c r="AG322" s="34">
        <v>1</v>
      </c>
      <c r="AH322" s="34">
        <v>4</v>
      </c>
      <c r="AI322" s="34">
        <v>2</v>
      </c>
      <c r="AJ322" s="34">
        <v>5</v>
      </c>
      <c r="AK322" s="35" t="s">
        <v>94</v>
      </c>
      <c r="AL322" s="36">
        <v>1000</v>
      </c>
      <c r="AM322" t="str">
        <f t="shared" si="19"/>
        <v>1000-2000</v>
      </c>
    </row>
    <row r="323" spans="1:39" x14ac:dyDescent="0.2">
      <c r="A323" s="44">
        <v>43764</v>
      </c>
      <c r="B323" s="31">
        <v>0.3979166666666667</v>
      </c>
      <c r="C323" s="31"/>
      <c r="D323" s="31" t="s">
        <v>97</v>
      </c>
      <c r="E323" s="33">
        <v>2</v>
      </c>
      <c r="F323" s="38" t="str">
        <f>VLOOKUP(E323,Key!$A$17:$B$21,2,FALSE)</f>
        <v>Road Vehicle</v>
      </c>
      <c r="G323" s="32">
        <v>4</v>
      </c>
      <c r="H323" s="39" t="str">
        <f>VLOOKUP(G323,Key!$A$2:$B$13,2,FALSE)</f>
        <v>Minibus</v>
      </c>
      <c r="I323" s="33" t="s">
        <v>109</v>
      </c>
      <c r="J323" s="33">
        <v>3</v>
      </c>
      <c r="K323" s="40" t="str">
        <f>VLOOKUP(J323,Key!$A$24:$B$29,2,FALSE)</f>
        <v>40-49</v>
      </c>
      <c r="L323" s="33" t="s">
        <v>151</v>
      </c>
      <c r="M323" s="29" t="s">
        <v>151</v>
      </c>
      <c r="N323" s="33" t="s">
        <v>152</v>
      </c>
      <c r="O323" s="35">
        <v>2</v>
      </c>
      <c r="P323" s="30" t="str">
        <f>VLOOKUP(O323,Key!$E$2:$F$9,2,FALSE)</f>
        <v>Work</v>
      </c>
      <c r="Q323" s="33" t="s">
        <v>153</v>
      </c>
      <c r="R323" s="29" t="s">
        <v>153</v>
      </c>
      <c r="S323" s="33" t="s">
        <v>152</v>
      </c>
      <c r="T323" s="29">
        <v>1</v>
      </c>
      <c r="U323" s="30" t="str">
        <f>VLOOKUP(T323,Key!$E$2:$F$9,2,FALSE)</f>
        <v>Home</v>
      </c>
      <c r="V323" s="30" t="str">
        <f t="shared" si="20"/>
        <v>Work-Home</v>
      </c>
      <c r="W323" s="29">
        <v>180000</v>
      </c>
      <c r="X323" s="34">
        <v>190</v>
      </c>
      <c r="Y323" s="50" t="str">
        <f t="shared" ref="Y323:Y386" si="21">IF(X323&lt;10,"0-10",IF(X323&lt;20,"10-20",IF(X323&lt;40,"20-40",IF(X323&lt;70,"40-70",IF(X323&lt;100,"70-100",IF(X323&lt;200,"100-200","Over 200"))))))</f>
        <v>100-200</v>
      </c>
      <c r="Z323" s="34">
        <v>3</v>
      </c>
      <c r="AA323" s="50" t="str">
        <f t="shared" ref="AA323:AA386" si="22">IF(Z323&lt;0.5,"0-0.5",IF(Z323&lt;1,"0.5-1.0",IF(Z323&lt;2,"1.0-2.0",IF(Z323&lt;3.5,"2.0-3.5","Over 3.5"))))</f>
        <v>2.0-3.5</v>
      </c>
      <c r="AB323" s="29">
        <v>10</v>
      </c>
      <c r="AC323" s="30" t="str">
        <f>VLOOKUP(AB323,Key!$C$20:$D$29,2,FALSE)</f>
        <v>Other</v>
      </c>
      <c r="AD323" s="29">
        <v>3</v>
      </c>
      <c r="AE323" s="30" t="str">
        <f>VLOOKUP(AD323,Key!$E$20:$F$24,2,FALSE)</f>
        <v>500,000-750,000</v>
      </c>
      <c r="AF323" s="29">
        <v>5</v>
      </c>
      <c r="AG323" s="34">
        <v>4</v>
      </c>
      <c r="AH323" s="34">
        <v>3</v>
      </c>
      <c r="AI323" s="34">
        <v>2</v>
      </c>
      <c r="AJ323" s="34">
        <v>1</v>
      </c>
      <c r="AK323" s="35" t="s">
        <v>94</v>
      </c>
      <c r="AL323" s="36">
        <v>1000</v>
      </c>
      <c r="AM323" t="str">
        <f t="shared" ref="AM323:AM386" si="23">IF(AL323&lt;1000,"0-1000",IF(AL323&lt;2000,"1000-2000",IF(AL323&lt;3000,"2000-3000",IF(AL323&lt;5000,"3000-5000",IF(AL323&lt;10000,"5000-10000","Over 10000")))))</f>
        <v>1000-2000</v>
      </c>
    </row>
    <row r="324" spans="1:39" x14ac:dyDescent="0.2">
      <c r="A324" s="44">
        <v>43764</v>
      </c>
      <c r="B324" s="31">
        <v>0.3833333333333333</v>
      </c>
      <c r="C324" s="31"/>
      <c r="D324" s="31" t="s">
        <v>150</v>
      </c>
      <c r="E324" s="33">
        <v>2</v>
      </c>
      <c r="F324" s="38" t="str">
        <f>VLOOKUP(E324,Key!$A$17:$B$21,2,FALSE)</f>
        <v>Road Vehicle</v>
      </c>
      <c r="G324" s="32">
        <v>4</v>
      </c>
      <c r="H324" s="39" t="str">
        <f>VLOOKUP(G324,Key!$A$2:$B$13,2,FALSE)</f>
        <v>Minibus</v>
      </c>
      <c r="I324" s="33" t="s">
        <v>109</v>
      </c>
      <c r="J324" s="33">
        <v>3</v>
      </c>
      <c r="K324" s="40" t="str">
        <f>VLOOKUP(J324,Key!$A$24:$B$29,2,FALSE)</f>
        <v>40-49</v>
      </c>
      <c r="L324" s="33" t="s">
        <v>151</v>
      </c>
      <c r="M324" s="29" t="s">
        <v>151</v>
      </c>
      <c r="N324" s="33" t="s">
        <v>152</v>
      </c>
      <c r="O324" s="35">
        <v>2</v>
      </c>
      <c r="P324" s="30" t="str">
        <f>VLOOKUP(O324,Key!$E$2:$F$9,2,FALSE)</f>
        <v>Work</v>
      </c>
      <c r="Q324" s="33" t="s">
        <v>213</v>
      </c>
      <c r="R324" s="29" t="s">
        <v>160</v>
      </c>
      <c r="S324" s="33" t="s">
        <v>152</v>
      </c>
      <c r="T324" s="29">
        <v>2</v>
      </c>
      <c r="U324" s="30" t="str">
        <f>VLOOKUP(T324,Key!$E$2:$F$9,2,FALSE)</f>
        <v>Work</v>
      </c>
      <c r="V324" s="30" t="str">
        <f t="shared" si="20"/>
        <v>Work-Work</v>
      </c>
      <c r="W324" s="29">
        <v>100000</v>
      </c>
      <c r="X324" s="34">
        <v>70</v>
      </c>
      <c r="Y324" s="50" t="str">
        <f t="shared" si="21"/>
        <v>70-100</v>
      </c>
      <c r="Z324" s="34">
        <v>2</v>
      </c>
      <c r="AA324" s="50" t="str">
        <f t="shared" si="22"/>
        <v>2.0-3.5</v>
      </c>
      <c r="AB324" s="29">
        <v>5</v>
      </c>
      <c r="AC324" s="30" t="str">
        <f>VLOOKUP(AB324,Key!$C$20:$D$29,2,FALSE)</f>
        <v>Professional</v>
      </c>
      <c r="AD324" s="29">
        <v>2</v>
      </c>
      <c r="AE324" s="30" t="str">
        <f>VLOOKUP(AD324,Key!$E$20:$F$24,2,FALSE)</f>
        <v>300,000-500,000</v>
      </c>
      <c r="AF324" s="29">
        <v>2</v>
      </c>
      <c r="AG324" s="34">
        <v>1</v>
      </c>
      <c r="AH324" s="34">
        <v>3</v>
      </c>
      <c r="AI324" s="34">
        <v>4</v>
      </c>
      <c r="AJ324" s="34">
        <v>5</v>
      </c>
      <c r="AK324" s="35" t="s">
        <v>94</v>
      </c>
      <c r="AL324" s="36">
        <v>3000</v>
      </c>
      <c r="AM324" t="str">
        <f t="shared" si="23"/>
        <v>3000-5000</v>
      </c>
    </row>
    <row r="325" spans="1:39" x14ac:dyDescent="0.2">
      <c r="A325" s="44">
        <v>43764</v>
      </c>
      <c r="B325" s="31">
        <v>0.36805555555555558</v>
      </c>
      <c r="C325" s="31"/>
      <c r="D325" s="31" t="s">
        <v>150</v>
      </c>
      <c r="E325" s="33">
        <v>2</v>
      </c>
      <c r="F325" s="38" t="str">
        <f>VLOOKUP(E325,Key!$A$17:$B$21,2,FALSE)</f>
        <v>Road Vehicle</v>
      </c>
      <c r="G325" s="32">
        <v>4</v>
      </c>
      <c r="H325" s="39" t="str">
        <f>VLOOKUP(G325,Key!$A$2:$B$13,2,FALSE)</f>
        <v>Minibus</v>
      </c>
      <c r="I325" s="33" t="s">
        <v>109</v>
      </c>
      <c r="J325" s="33">
        <v>3</v>
      </c>
      <c r="K325" s="40" t="str">
        <f>VLOOKUP(J325,Key!$A$24:$B$29,2,FALSE)</f>
        <v>40-49</v>
      </c>
      <c r="L325" s="33" t="s">
        <v>151</v>
      </c>
      <c r="M325" s="29" t="s">
        <v>151</v>
      </c>
      <c r="N325" s="33" t="s">
        <v>152</v>
      </c>
      <c r="O325" s="35">
        <v>3</v>
      </c>
      <c r="P325" s="30" t="str">
        <f>VLOOKUP(O325,Key!$E$2:$F$9,2,FALSE)</f>
        <v>Study</v>
      </c>
      <c r="Q325" s="33" t="s">
        <v>153</v>
      </c>
      <c r="R325" s="29" t="s">
        <v>153</v>
      </c>
      <c r="S325" s="33" t="s">
        <v>152</v>
      </c>
      <c r="T325" s="29">
        <v>2</v>
      </c>
      <c r="U325" s="30" t="str">
        <f>VLOOKUP(T325,Key!$E$2:$F$9,2,FALSE)</f>
        <v>Work</v>
      </c>
      <c r="V325" s="30" t="str">
        <f t="shared" si="20"/>
        <v>Study-Work</v>
      </c>
      <c r="W325" s="29">
        <v>150000</v>
      </c>
      <c r="X325" s="34">
        <v>190</v>
      </c>
      <c r="Y325" s="50" t="str">
        <f t="shared" si="21"/>
        <v>100-200</v>
      </c>
      <c r="Z325" s="34">
        <v>4</v>
      </c>
      <c r="AA325" s="50" t="str">
        <f t="shared" si="22"/>
        <v>Over 3.5</v>
      </c>
      <c r="AB325" s="29">
        <v>4</v>
      </c>
      <c r="AC325" s="30" t="str">
        <f>VLOOKUP(AB325,Key!$C$20:$D$29,2,FALSE)</f>
        <v>Office Worker</v>
      </c>
      <c r="AD325" s="29">
        <v>3</v>
      </c>
      <c r="AE325" s="30" t="str">
        <f>VLOOKUP(AD325,Key!$E$20:$F$24,2,FALSE)</f>
        <v>500,000-750,000</v>
      </c>
      <c r="AF325" s="29">
        <v>2</v>
      </c>
      <c r="AG325" s="34">
        <v>4</v>
      </c>
      <c r="AH325" s="34">
        <v>5</v>
      </c>
      <c r="AI325" s="34">
        <v>1</v>
      </c>
      <c r="AJ325" s="34">
        <v>3</v>
      </c>
      <c r="AK325" s="35" t="s">
        <v>94</v>
      </c>
      <c r="AL325" s="36">
        <v>2000</v>
      </c>
      <c r="AM325" t="str">
        <f t="shared" si="23"/>
        <v>2000-3000</v>
      </c>
    </row>
    <row r="326" spans="1:39" x14ac:dyDescent="0.2">
      <c r="A326" s="44">
        <v>43762</v>
      </c>
      <c r="B326" s="31">
        <v>0.34652777777777777</v>
      </c>
      <c r="C326" s="31"/>
      <c r="D326" s="31" t="s">
        <v>97</v>
      </c>
      <c r="E326" s="33">
        <v>2</v>
      </c>
      <c r="F326" s="38" t="str">
        <f>VLOOKUP(E326,Key!$A$17:$B$21,2,FALSE)</f>
        <v>Road Vehicle</v>
      </c>
      <c r="G326" s="32">
        <v>1</v>
      </c>
      <c r="H326" s="39" t="str">
        <f>VLOOKUP(G326,Key!$A$2:$B$13,2,FALSE)</f>
        <v>Car</v>
      </c>
      <c r="I326" s="33" t="s">
        <v>109</v>
      </c>
      <c r="J326" s="33">
        <v>4</v>
      </c>
      <c r="K326" s="40" t="str">
        <f>VLOOKUP(J326,Key!$A$24:$B$29,2,FALSE)</f>
        <v>50-59</v>
      </c>
      <c r="L326" s="33" t="s">
        <v>151</v>
      </c>
      <c r="M326" s="29" t="s">
        <v>151</v>
      </c>
      <c r="N326" s="33" t="s">
        <v>152</v>
      </c>
      <c r="O326" s="35">
        <v>1</v>
      </c>
      <c r="P326" s="30" t="str">
        <f>VLOOKUP(O326,Key!$E$2:$F$9,2,FALSE)</f>
        <v>Home</v>
      </c>
      <c r="Q326" s="33" t="s">
        <v>153</v>
      </c>
      <c r="R326" s="29" t="s">
        <v>153</v>
      </c>
      <c r="S326" s="33" t="s">
        <v>152</v>
      </c>
      <c r="T326" s="29">
        <v>2</v>
      </c>
      <c r="U326" s="30" t="str">
        <f>VLOOKUP(T326,Key!$E$2:$F$9,2,FALSE)</f>
        <v>Work</v>
      </c>
      <c r="V326" s="30" t="str">
        <f t="shared" si="20"/>
        <v>Home-Work</v>
      </c>
      <c r="W326" s="29">
        <v>100000</v>
      </c>
      <c r="X326" s="34">
        <v>175</v>
      </c>
      <c r="Y326" s="50" t="str">
        <f t="shared" si="21"/>
        <v>100-200</v>
      </c>
      <c r="Z326" s="34">
        <v>3</v>
      </c>
      <c r="AA326" s="50" t="str">
        <f t="shared" si="22"/>
        <v>2.0-3.5</v>
      </c>
      <c r="AB326" s="29">
        <v>5</v>
      </c>
      <c r="AC326" s="30" t="str">
        <f>VLOOKUP(AB326,Key!$C$20:$D$29,2,FALSE)</f>
        <v>Professional</v>
      </c>
      <c r="AD326" s="29">
        <v>4</v>
      </c>
      <c r="AE326" s="30" t="str">
        <f>VLOOKUP(AD326,Key!$E$20:$F$24,2,FALSE)</f>
        <v>750,000-1,000,000</v>
      </c>
      <c r="AF326" s="29">
        <v>1</v>
      </c>
      <c r="AG326" s="34">
        <v>5</v>
      </c>
      <c r="AH326" s="34">
        <v>4</v>
      </c>
      <c r="AI326" s="34">
        <v>2</v>
      </c>
      <c r="AJ326" s="34">
        <v>3</v>
      </c>
      <c r="AK326" s="35" t="s">
        <v>94</v>
      </c>
      <c r="AL326" s="36">
        <v>5000</v>
      </c>
      <c r="AM326" t="str">
        <f t="shared" si="23"/>
        <v>5000-10000</v>
      </c>
    </row>
    <row r="327" spans="1:39" x14ac:dyDescent="0.2">
      <c r="A327" s="45">
        <v>43763</v>
      </c>
      <c r="B327" s="31">
        <v>0.33333333333333331</v>
      </c>
      <c r="C327" s="31"/>
      <c r="D327" s="31" t="s">
        <v>97</v>
      </c>
      <c r="E327" s="33">
        <v>2</v>
      </c>
      <c r="F327" s="38" t="str">
        <f>VLOOKUP(E327,Key!$A$17:$B$21,2,FALSE)</f>
        <v>Road Vehicle</v>
      </c>
      <c r="G327" s="32">
        <v>1</v>
      </c>
      <c r="H327" s="39" t="str">
        <f>VLOOKUP(G327,Key!$A$2:$B$13,2,FALSE)</f>
        <v>Car</v>
      </c>
      <c r="I327" s="33" t="s">
        <v>109</v>
      </c>
      <c r="J327" s="33">
        <v>4</v>
      </c>
      <c r="K327" s="40" t="str">
        <f>VLOOKUP(J327,Key!$A$24:$B$29,2,FALSE)</f>
        <v>50-59</v>
      </c>
      <c r="L327" s="33" t="s">
        <v>151</v>
      </c>
      <c r="M327" s="29" t="s">
        <v>151</v>
      </c>
      <c r="N327" s="33" t="s">
        <v>152</v>
      </c>
      <c r="O327" s="35">
        <v>1</v>
      </c>
      <c r="P327" s="30" t="str">
        <f>VLOOKUP(O327,Key!$E$2:$F$9,2,FALSE)</f>
        <v>Home</v>
      </c>
      <c r="Q327" s="33" t="s">
        <v>166</v>
      </c>
      <c r="R327" s="29" t="s">
        <v>166</v>
      </c>
      <c r="S327" s="33" t="s">
        <v>152</v>
      </c>
      <c r="T327" s="29">
        <v>2</v>
      </c>
      <c r="U327" s="30" t="str">
        <f>VLOOKUP(T327,Key!$E$2:$F$9,2,FALSE)</f>
        <v>Work</v>
      </c>
      <c r="V327" s="30" t="str">
        <f t="shared" si="20"/>
        <v>Home-Work</v>
      </c>
      <c r="W327" s="29">
        <v>80000</v>
      </c>
      <c r="X327" s="34"/>
      <c r="Y327" s="50" t="str">
        <f t="shared" si="21"/>
        <v>0-10</v>
      </c>
      <c r="Z327" s="34">
        <v>3</v>
      </c>
      <c r="AA327" s="50" t="str">
        <f t="shared" si="22"/>
        <v>2.0-3.5</v>
      </c>
      <c r="AB327" s="29">
        <v>5</v>
      </c>
      <c r="AC327" s="30" t="str">
        <f>VLOOKUP(AB327,Key!$C$20:$D$29,2,FALSE)</f>
        <v>Professional</v>
      </c>
      <c r="AD327" s="29">
        <v>2</v>
      </c>
      <c r="AE327" s="30" t="str">
        <f>VLOOKUP(AD327,Key!$E$20:$F$24,2,FALSE)</f>
        <v>300,000-500,000</v>
      </c>
      <c r="AF327" s="29">
        <v>3</v>
      </c>
      <c r="AG327" s="34">
        <v>2</v>
      </c>
      <c r="AH327" s="34">
        <v>4</v>
      </c>
      <c r="AI327" s="34">
        <v>5</v>
      </c>
      <c r="AJ327" s="34">
        <v>1</v>
      </c>
      <c r="AK327" s="35" t="s">
        <v>94</v>
      </c>
      <c r="AL327" s="36">
        <v>3000</v>
      </c>
      <c r="AM327" t="str">
        <f t="shared" si="23"/>
        <v>3000-5000</v>
      </c>
    </row>
    <row r="328" spans="1:39" x14ac:dyDescent="0.2">
      <c r="A328" s="44">
        <v>43763</v>
      </c>
      <c r="B328" s="31">
        <v>0.46736111111111112</v>
      </c>
      <c r="C328" s="31"/>
      <c r="D328" s="31" t="s">
        <v>97</v>
      </c>
      <c r="E328" s="33">
        <v>2</v>
      </c>
      <c r="F328" s="38" t="str">
        <f>VLOOKUP(E328,Key!$A$17:$B$21,2,FALSE)</f>
        <v>Road Vehicle</v>
      </c>
      <c r="G328" s="32">
        <v>1</v>
      </c>
      <c r="H328" s="39" t="str">
        <f>VLOOKUP(G328,Key!$A$2:$B$13,2,FALSE)</f>
        <v>Car</v>
      </c>
      <c r="I328" s="33" t="s">
        <v>109</v>
      </c>
      <c r="J328" s="33">
        <v>4</v>
      </c>
      <c r="K328" s="40" t="str">
        <f>VLOOKUP(J328,Key!$A$24:$B$29,2,FALSE)</f>
        <v>50-59</v>
      </c>
      <c r="L328" s="33" t="s">
        <v>151</v>
      </c>
      <c r="M328" s="29" t="s">
        <v>151</v>
      </c>
      <c r="N328" s="33" t="s">
        <v>152</v>
      </c>
      <c r="O328" s="35">
        <v>3</v>
      </c>
      <c r="P328" s="30" t="str">
        <f>VLOOKUP(O328,Key!$E$2:$F$9,2,FALSE)</f>
        <v>Study</v>
      </c>
      <c r="Q328" s="33" t="s">
        <v>158</v>
      </c>
      <c r="R328" s="29" t="s">
        <v>151</v>
      </c>
      <c r="S328" s="33" t="s">
        <v>152</v>
      </c>
      <c r="T328" s="29">
        <v>5</v>
      </c>
      <c r="U328" s="30" t="str">
        <f>VLOOKUP(T328,Key!$E$2:$F$9,2,FALSE)</f>
        <v>Tourism</v>
      </c>
      <c r="V328" s="30" t="str">
        <f t="shared" si="20"/>
        <v>Study-Tourism</v>
      </c>
      <c r="W328" s="29">
        <v>50000</v>
      </c>
      <c r="X328" s="34">
        <v>50</v>
      </c>
      <c r="Y328" s="50" t="str">
        <f t="shared" si="21"/>
        <v>40-70</v>
      </c>
      <c r="Z328" s="34">
        <v>2</v>
      </c>
      <c r="AA328" s="50" t="str">
        <f t="shared" si="22"/>
        <v>2.0-3.5</v>
      </c>
      <c r="AB328" s="29">
        <v>5</v>
      </c>
      <c r="AC328" s="30" t="str">
        <f>VLOOKUP(AB328,Key!$C$20:$D$29,2,FALSE)</f>
        <v>Professional</v>
      </c>
      <c r="AD328" s="29">
        <v>3</v>
      </c>
      <c r="AE328" s="30" t="str">
        <f>VLOOKUP(AD328,Key!$E$20:$F$24,2,FALSE)</f>
        <v>500,000-750,000</v>
      </c>
      <c r="AF328" s="29">
        <v>4</v>
      </c>
      <c r="AG328" s="34">
        <v>5</v>
      </c>
      <c r="AH328" s="34">
        <v>1</v>
      </c>
      <c r="AI328" s="34">
        <v>2</v>
      </c>
      <c r="AJ328" s="34">
        <v>3</v>
      </c>
      <c r="AK328" s="35" t="s">
        <v>94</v>
      </c>
      <c r="AL328" s="36"/>
      <c r="AM328" t="str">
        <f t="shared" si="23"/>
        <v>0-1000</v>
      </c>
    </row>
    <row r="329" spans="1:39" x14ac:dyDescent="0.2">
      <c r="A329" s="44">
        <v>43763</v>
      </c>
      <c r="B329" s="31">
        <v>0.34027777777777773</v>
      </c>
      <c r="C329" s="31"/>
      <c r="D329" s="31" t="s">
        <v>97</v>
      </c>
      <c r="E329" s="33">
        <v>2</v>
      </c>
      <c r="F329" s="38" t="str">
        <f>VLOOKUP(E329,Key!$A$17:$B$21,2,FALSE)</f>
        <v>Road Vehicle</v>
      </c>
      <c r="G329" s="32">
        <v>1</v>
      </c>
      <c r="H329" s="39" t="str">
        <f>VLOOKUP(G329,Key!$A$2:$B$13,2,FALSE)</f>
        <v>Car</v>
      </c>
      <c r="I329" s="33" t="s">
        <v>109</v>
      </c>
      <c r="J329" s="33">
        <v>4</v>
      </c>
      <c r="K329" s="40" t="str">
        <f>VLOOKUP(J329,Key!$A$24:$B$29,2,FALSE)</f>
        <v>50-59</v>
      </c>
      <c r="L329" s="33" t="s">
        <v>151</v>
      </c>
      <c r="M329" s="29" t="s">
        <v>151</v>
      </c>
      <c r="N329" s="33" t="s">
        <v>152</v>
      </c>
      <c r="O329" s="35">
        <v>1</v>
      </c>
      <c r="P329" s="30" t="str">
        <f>VLOOKUP(O329,Key!$E$2:$F$9,2,FALSE)</f>
        <v>Home</v>
      </c>
      <c r="Q329" s="33" t="s">
        <v>166</v>
      </c>
      <c r="R329" s="29" t="s">
        <v>166</v>
      </c>
      <c r="S329" s="33" t="s">
        <v>152</v>
      </c>
      <c r="T329" s="29">
        <v>2</v>
      </c>
      <c r="U329" s="30" t="str">
        <f>VLOOKUP(T329,Key!$E$2:$F$9,2,FALSE)</f>
        <v>Work</v>
      </c>
      <c r="V329" s="30" t="str">
        <f t="shared" si="20"/>
        <v>Home-Work</v>
      </c>
      <c r="W329" s="29">
        <v>80000</v>
      </c>
      <c r="X329" s="34"/>
      <c r="Y329" s="50" t="str">
        <f t="shared" si="21"/>
        <v>0-10</v>
      </c>
      <c r="Z329" s="34">
        <v>3</v>
      </c>
      <c r="AA329" s="50" t="str">
        <f t="shared" si="22"/>
        <v>2.0-3.5</v>
      </c>
      <c r="AB329" s="29">
        <v>5</v>
      </c>
      <c r="AC329" s="30" t="str">
        <f>VLOOKUP(AB329,Key!$C$20:$D$29,2,FALSE)</f>
        <v>Professional</v>
      </c>
      <c r="AD329" s="29">
        <v>2</v>
      </c>
      <c r="AE329" s="30" t="str">
        <f>VLOOKUP(AD329,Key!$E$20:$F$24,2,FALSE)</f>
        <v>300,000-500,000</v>
      </c>
      <c r="AF329" s="29">
        <v>3</v>
      </c>
      <c r="AG329" s="34">
        <v>2</v>
      </c>
      <c r="AH329" s="34">
        <v>4</v>
      </c>
      <c r="AI329" s="34">
        <v>5</v>
      </c>
      <c r="AJ329" s="34">
        <v>1</v>
      </c>
      <c r="AK329" s="35" t="s">
        <v>94</v>
      </c>
      <c r="AL329" s="36">
        <v>2000</v>
      </c>
      <c r="AM329" t="str">
        <f t="shared" si="23"/>
        <v>2000-3000</v>
      </c>
    </row>
    <row r="330" spans="1:39" x14ac:dyDescent="0.2">
      <c r="A330" s="44">
        <v>43762</v>
      </c>
      <c r="B330" s="31">
        <v>0.61597222222222225</v>
      </c>
      <c r="C330" s="31"/>
      <c r="D330" s="31" t="s">
        <v>150</v>
      </c>
      <c r="E330" s="33">
        <v>2</v>
      </c>
      <c r="F330" s="38" t="str">
        <f>VLOOKUP(E330,Key!$A$17:$B$21,2,FALSE)</f>
        <v>Road Vehicle</v>
      </c>
      <c r="G330" s="32">
        <v>6</v>
      </c>
      <c r="H330" s="39" t="str">
        <f>VLOOKUP(G330,Key!$A$2:$B$13,2,FALSE)</f>
        <v>Large Bus</v>
      </c>
      <c r="I330" s="33" t="s">
        <v>156</v>
      </c>
      <c r="J330" s="33">
        <v>4</v>
      </c>
      <c r="K330" s="40" t="str">
        <f>VLOOKUP(J330,Key!$A$24:$B$29,2,FALSE)</f>
        <v>50-59</v>
      </c>
      <c r="L330" s="33" t="s">
        <v>151</v>
      </c>
      <c r="M330" s="29" t="s">
        <v>151</v>
      </c>
      <c r="N330" s="33" t="s">
        <v>152</v>
      </c>
      <c r="O330" s="35">
        <v>2</v>
      </c>
      <c r="P330" s="30" t="str">
        <f>VLOOKUP(O330,Key!$E$2:$F$9,2,FALSE)</f>
        <v>Work</v>
      </c>
      <c r="Q330" s="33" t="s">
        <v>153</v>
      </c>
      <c r="R330" s="29" t="s">
        <v>153</v>
      </c>
      <c r="S330" s="33" t="s">
        <v>152</v>
      </c>
      <c r="T330" s="29">
        <v>1</v>
      </c>
      <c r="U330" s="30" t="str">
        <f>VLOOKUP(T330,Key!$E$2:$F$9,2,FALSE)</f>
        <v>Home</v>
      </c>
      <c r="V330" s="30" t="str">
        <f t="shared" si="20"/>
        <v>Work-Home</v>
      </c>
      <c r="W330" s="41">
        <v>13000</v>
      </c>
      <c r="X330" s="34">
        <v>195</v>
      </c>
      <c r="Y330" s="50" t="str">
        <f t="shared" si="21"/>
        <v>100-200</v>
      </c>
      <c r="Z330" s="34">
        <v>3</v>
      </c>
      <c r="AA330" s="50" t="str">
        <f t="shared" si="22"/>
        <v>2.0-3.5</v>
      </c>
      <c r="AB330" s="29">
        <v>5</v>
      </c>
      <c r="AC330" s="30" t="str">
        <f>VLOOKUP(AB330,Key!$C$20:$D$29,2,FALSE)</f>
        <v>Professional</v>
      </c>
      <c r="AD330" s="29">
        <v>3</v>
      </c>
      <c r="AE330" s="30" t="str">
        <f>VLOOKUP(AD330,Key!$E$20:$F$24,2,FALSE)</f>
        <v>500,000-750,000</v>
      </c>
      <c r="AF330" s="29">
        <v>1</v>
      </c>
      <c r="AG330" s="34">
        <v>2</v>
      </c>
      <c r="AH330" s="34">
        <v>3</v>
      </c>
      <c r="AI330" s="34">
        <v>4</v>
      </c>
      <c r="AJ330" s="34">
        <v>5</v>
      </c>
      <c r="AK330" s="35" t="s">
        <v>94</v>
      </c>
      <c r="AL330" s="36"/>
      <c r="AM330" t="str">
        <f t="shared" si="23"/>
        <v>0-1000</v>
      </c>
    </row>
    <row r="331" spans="1:39" x14ac:dyDescent="0.2">
      <c r="A331" s="44">
        <v>43763</v>
      </c>
      <c r="B331" s="31">
        <v>0.52986111111111112</v>
      </c>
      <c r="C331" s="31"/>
      <c r="D331" s="31" t="s">
        <v>150</v>
      </c>
      <c r="E331" s="33">
        <v>2</v>
      </c>
      <c r="F331" s="38" t="str">
        <f>VLOOKUP(E331,Key!$A$17:$B$21,2,FALSE)</f>
        <v>Road Vehicle</v>
      </c>
      <c r="G331" s="32">
        <v>6</v>
      </c>
      <c r="H331" s="39" t="str">
        <f>VLOOKUP(G331,Key!$A$2:$B$13,2,FALSE)</f>
        <v>Large Bus</v>
      </c>
      <c r="I331" s="33" t="s">
        <v>109</v>
      </c>
      <c r="J331" s="33">
        <v>4</v>
      </c>
      <c r="K331" s="40" t="str">
        <f>VLOOKUP(J331,Key!$A$24:$B$29,2,FALSE)</f>
        <v>50-59</v>
      </c>
      <c r="L331" s="33" t="s">
        <v>151</v>
      </c>
      <c r="M331" s="29" t="s">
        <v>151</v>
      </c>
      <c r="N331" s="33" t="s">
        <v>152</v>
      </c>
      <c r="O331" s="35">
        <v>1</v>
      </c>
      <c r="P331" s="30" t="str">
        <f>VLOOKUP(O331,Key!$E$2:$F$9,2,FALSE)</f>
        <v>Home</v>
      </c>
      <c r="Q331" s="33" t="s">
        <v>151</v>
      </c>
      <c r="R331" s="29" t="s">
        <v>151</v>
      </c>
      <c r="S331" s="33" t="s">
        <v>152</v>
      </c>
      <c r="T331" s="29">
        <v>5</v>
      </c>
      <c r="U331" s="30" t="str">
        <f>VLOOKUP(T331,Key!$E$2:$F$9,2,FALSE)</f>
        <v>Tourism</v>
      </c>
      <c r="V331" s="30" t="str">
        <f t="shared" si="20"/>
        <v>Home-Tourism</v>
      </c>
      <c r="W331" s="29">
        <v>100000</v>
      </c>
      <c r="X331" s="34">
        <v>72</v>
      </c>
      <c r="Y331" s="50" t="str">
        <f t="shared" si="21"/>
        <v>70-100</v>
      </c>
      <c r="Z331" s="34">
        <v>4</v>
      </c>
      <c r="AA331" s="50" t="str">
        <f t="shared" si="22"/>
        <v>Over 3.5</v>
      </c>
      <c r="AB331" s="29">
        <v>5</v>
      </c>
      <c r="AC331" s="30" t="str">
        <f>VLOOKUP(AB331,Key!$C$20:$D$29,2,FALSE)</f>
        <v>Professional</v>
      </c>
      <c r="AD331" s="29">
        <v>4</v>
      </c>
      <c r="AE331" s="30" t="str">
        <f>VLOOKUP(AD331,Key!$E$20:$F$24,2,FALSE)</f>
        <v>750,000-1,000,000</v>
      </c>
      <c r="AF331" s="29">
        <v>1</v>
      </c>
      <c r="AG331" s="34">
        <v>2</v>
      </c>
      <c r="AH331" s="34">
        <v>3</v>
      </c>
      <c r="AI331" s="34">
        <v>4</v>
      </c>
      <c r="AJ331" s="34">
        <v>5</v>
      </c>
      <c r="AK331" s="35" t="s">
        <v>94</v>
      </c>
      <c r="AL331" s="36">
        <v>5000</v>
      </c>
      <c r="AM331" t="str">
        <f t="shared" si="23"/>
        <v>5000-10000</v>
      </c>
    </row>
    <row r="332" spans="1:39" x14ac:dyDescent="0.2">
      <c r="A332" s="44">
        <v>43762</v>
      </c>
      <c r="B332" s="31">
        <v>0.55069444444444449</v>
      </c>
      <c r="C332" s="31"/>
      <c r="D332" s="31" t="s">
        <v>150</v>
      </c>
      <c r="E332" s="33">
        <v>2</v>
      </c>
      <c r="F332" s="38" t="str">
        <f>VLOOKUP(E332,Key!$A$17:$B$21,2,FALSE)</f>
        <v>Road Vehicle</v>
      </c>
      <c r="G332" s="32">
        <v>4</v>
      </c>
      <c r="H332" s="39" t="str">
        <f>VLOOKUP(G332,Key!$A$2:$B$13,2,FALSE)</f>
        <v>Minibus</v>
      </c>
      <c r="I332" s="33" t="s">
        <v>109</v>
      </c>
      <c r="J332" s="33">
        <v>4</v>
      </c>
      <c r="K332" s="40" t="str">
        <f>VLOOKUP(J332,Key!$A$24:$B$29,2,FALSE)</f>
        <v>50-59</v>
      </c>
      <c r="L332" s="33" t="s">
        <v>151</v>
      </c>
      <c r="M332" s="29" t="s">
        <v>151</v>
      </c>
      <c r="N332" s="33" t="s">
        <v>152</v>
      </c>
      <c r="O332" s="35">
        <v>2</v>
      </c>
      <c r="P332" s="30" t="str">
        <f>VLOOKUP(O332,Key!$E$2:$F$9,2,FALSE)</f>
        <v>Work</v>
      </c>
      <c r="Q332" s="33" t="s">
        <v>153</v>
      </c>
      <c r="R332" s="29" t="s">
        <v>153</v>
      </c>
      <c r="S332" s="33" t="s">
        <v>152</v>
      </c>
      <c r="T332" s="29">
        <v>1</v>
      </c>
      <c r="U332" s="30" t="str">
        <f>VLOOKUP(T332,Key!$E$2:$F$9,2,FALSE)</f>
        <v>Home</v>
      </c>
      <c r="V332" s="30" t="str">
        <f t="shared" si="20"/>
        <v>Work-Home</v>
      </c>
      <c r="W332" s="29">
        <v>15000</v>
      </c>
      <c r="X332" s="34">
        <v>200</v>
      </c>
      <c r="Y332" s="50" t="str">
        <f t="shared" si="21"/>
        <v>Over 200</v>
      </c>
      <c r="Z332" s="34">
        <v>3</v>
      </c>
      <c r="AA332" s="50" t="str">
        <f t="shared" si="22"/>
        <v>2.0-3.5</v>
      </c>
      <c r="AB332" s="29">
        <v>5</v>
      </c>
      <c r="AC332" s="30" t="str">
        <f>VLOOKUP(AB332,Key!$C$20:$D$29,2,FALSE)</f>
        <v>Professional</v>
      </c>
      <c r="AD332" s="29">
        <v>4</v>
      </c>
      <c r="AE332" s="30" t="str">
        <f>VLOOKUP(AD332,Key!$E$20:$F$24,2,FALSE)</f>
        <v>750,000-1,000,000</v>
      </c>
      <c r="AF332" s="29">
        <v>3</v>
      </c>
      <c r="AG332" s="34">
        <v>2</v>
      </c>
      <c r="AH332" s="34">
        <v>4</v>
      </c>
      <c r="AI332" s="34">
        <v>5</v>
      </c>
      <c r="AJ332" s="34">
        <v>1</v>
      </c>
      <c r="AK332" s="35" t="s">
        <v>94</v>
      </c>
      <c r="AL332" s="36"/>
      <c r="AM332" t="str">
        <f t="shared" si="23"/>
        <v>0-1000</v>
      </c>
    </row>
    <row r="333" spans="1:39" x14ac:dyDescent="0.2">
      <c r="A333" s="44">
        <v>43762</v>
      </c>
      <c r="B333" s="31">
        <v>0.3527777777777778</v>
      </c>
      <c r="C333" s="31"/>
      <c r="D333" s="31" t="s">
        <v>97</v>
      </c>
      <c r="E333" s="33">
        <v>2</v>
      </c>
      <c r="F333" s="38" t="str">
        <f>VLOOKUP(E333,Key!$A$17:$B$21,2,FALSE)</f>
        <v>Road Vehicle</v>
      </c>
      <c r="G333" s="32">
        <v>4</v>
      </c>
      <c r="H333" s="39" t="str">
        <f>VLOOKUP(G333,Key!$A$2:$B$13,2,FALSE)</f>
        <v>Minibus</v>
      </c>
      <c r="I333" s="33" t="s">
        <v>109</v>
      </c>
      <c r="J333" s="33">
        <v>4</v>
      </c>
      <c r="K333" s="40" t="str">
        <f>VLOOKUP(J333,Key!$A$24:$B$29,2,FALSE)</f>
        <v>50-59</v>
      </c>
      <c r="L333" s="33" t="s">
        <v>151</v>
      </c>
      <c r="M333" s="29" t="s">
        <v>151</v>
      </c>
      <c r="N333" s="33" t="s">
        <v>152</v>
      </c>
      <c r="O333" s="35">
        <v>1</v>
      </c>
      <c r="P333" s="30" t="str">
        <f>VLOOKUP(O333,Key!$E$2:$F$9,2,FALSE)</f>
        <v>Home</v>
      </c>
      <c r="Q333" s="33" t="s">
        <v>160</v>
      </c>
      <c r="R333" s="29" t="s">
        <v>160</v>
      </c>
      <c r="S333" s="33" t="s">
        <v>152</v>
      </c>
      <c r="T333" s="29">
        <v>2</v>
      </c>
      <c r="U333" s="30" t="str">
        <f>VLOOKUP(T333,Key!$E$2:$F$9,2,FALSE)</f>
        <v>Work</v>
      </c>
      <c r="V333" s="30" t="str">
        <f t="shared" si="20"/>
        <v>Home-Work</v>
      </c>
      <c r="W333" s="29">
        <v>100000</v>
      </c>
      <c r="X333" s="34">
        <v>45</v>
      </c>
      <c r="Y333" s="50" t="str">
        <f t="shared" si="21"/>
        <v>40-70</v>
      </c>
      <c r="Z333" s="34">
        <v>2</v>
      </c>
      <c r="AA333" s="50" t="str">
        <f t="shared" si="22"/>
        <v>2.0-3.5</v>
      </c>
      <c r="AB333" s="29">
        <v>5</v>
      </c>
      <c r="AC333" s="30" t="str">
        <f>VLOOKUP(AB333,Key!$C$20:$D$29,2,FALSE)</f>
        <v>Professional</v>
      </c>
      <c r="AD333" s="29">
        <v>4</v>
      </c>
      <c r="AE333" s="30" t="str">
        <f>VLOOKUP(AD333,Key!$E$20:$F$24,2,FALSE)</f>
        <v>750,000-1,000,000</v>
      </c>
      <c r="AF333" s="29">
        <v>3</v>
      </c>
      <c r="AG333" s="34">
        <v>4</v>
      </c>
      <c r="AH333" s="34">
        <v>5</v>
      </c>
      <c r="AI333" s="34">
        <v>2</v>
      </c>
      <c r="AJ333" s="34">
        <v>1</v>
      </c>
      <c r="AK333" s="35" t="s">
        <v>94</v>
      </c>
      <c r="AL333" s="36"/>
      <c r="AM333" t="str">
        <f t="shared" si="23"/>
        <v>0-1000</v>
      </c>
    </row>
    <row r="334" spans="1:39" x14ac:dyDescent="0.2">
      <c r="A334" s="44">
        <v>43762</v>
      </c>
      <c r="B334" s="31">
        <v>0.35694444444444445</v>
      </c>
      <c r="C334" s="31"/>
      <c r="D334" s="31" t="s">
        <v>97</v>
      </c>
      <c r="E334" s="33">
        <v>2</v>
      </c>
      <c r="F334" s="38" t="str">
        <f>VLOOKUP(E334,Key!$A$17:$B$21,2,FALSE)</f>
        <v>Road Vehicle</v>
      </c>
      <c r="G334" s="32">
        <v>4</v>
      </c>
      <c r="H334" s="39" t="str">
        <f>VLOOKUP(G334,Key!$A$2:$B$13,2,FALSE)</f>
        <v>Minibus</v>
      </c>
      <c r="I334" s="33" t="s">
        <v>109</v>
      </c>
      <c r="J334" s="33">
        <v>4</v>
      </c>
      <c r="K334" s="40" t="str">
        <f>VLOOKUP(J334,Key!$A$24:$B$29,2,FALSE)</f>
        <v>50-59</v>
      </c>
      <c r="L334" s="33" t="s">
        <v>151</v>
      </c>
      <c r="M334" s="29" t="s">
        <v>151</v>
      </c>
      <c r="N334" s="33" t="s">
        <v>152</v>
      </c>
      <c r="O334" s="35">
        <v>1</v>
      </c>
      <c r="P334" s="30" t="str">
        <f>VLOOKUP(O334,Key!$E$2:$F$9,2,FALSE)</f>
        <v>Home</v>
      </c>
      <c r="Q334" s="33" t="s">
        <v>151</v>
      </c>
      <c r="R334" s="29" t="s">
        <v>151</v>
      </c>
      <c r="S334" s="33" t="s">
        <v>152</v>
      </c>
      <c r="T334" s="29">
        <v>2</v>
      </c>
      <c r="U334" s="30" t="str">
        <f>VLOOKUP(T334,Key!$E$2:$F$9,2,FALSE)</f>
        <v>Work</v>
      </c>
      <c r="V334" s="30" t="str">
        <f t="shared" si="20"/>
        <v>Home-Work</v>
      </c>
      <c r="W334" s="29">
        <v>100000</v>
      </c>
      <c r="X334" s="34">
        <v>45</v>
      </c>
      <c r="Y334" s="50" t="str">
        <f t="shared" si="21"/>
        <v>40-70</v>
      </c>
      <c r="Z334" s="34">
        <v>3</v>
      </c>
      <c r="AA334" s="50" t="str">
        <f t="shared" si="22"/>
        <v>2.0-3.5</v>
      </c>
      <c r="AB334" s="29">
        <v>5</v>
      </c>
      <c r="AC334" s="30" t="str">
        <f>VLOOKUP(AB334,Key!$C$20:$D$29,2,FALSE)</f>
        <v>Professional</v>
      </c>
      <c r="AD334" s="29">
        <v>3</v>
      </c>
      <c r="AE334" s="30" t="str">
        <f>VLOOKUP(AD334,Key!$E$20:$F$24,2,FALSE)</f>
        <v>500,000-750,000</v>
      </c>
      <c r="AF334" s="29">
        <v>3</v>
      </c>
      <c r="AG334" s="34">
        <v>2</v>
      </c>
      <c r="AH334" s="34">
        <v>1</v>
      </c>
      <c r="AI334" s="34">
        <v>5</v>
      </c>
      <c r="AJ334" s="34">
        <v>4</v>
      </c>
      <c r="AK334" s="35" t="s">
        <v>94</v>
      </c>
      <c r="AL334" s="36">
        <v>2000</v>
      </c>
      <c r="AM334" t="str">
        <f t="shared" si="23"/>
        <v>2000-3000</v>
      </c>
    </row>
    <row r="335" spans="1:39" x14ac:dyDescent="0.2">
      <c r="A335" s="44">
        <v>43762</v>
      </c>
      <c r="B335" s="31">
        <v>0.38125000000000003</v>
      </c>
      <c r="C335" s="31"/>
      <c r="D335" s="31" t="s">
        <v>150</v>
      </c>
      <c r="E335" s="33">
        <v>2</v>
      </c>
      <c r="F335" s="38" t="str">
        <f>VLOOKUP(E335,Key!$A$17:$B$21,2,FALSE)</f>
        <v>Road Vehicle</v>
      </c>
      <c r="G335" s="32">
        <v>4</v>
      </c>
      <c r="H335" s="39" t="str">
        <f>VLOOKUP(G335,Key!$A$2:$B$13,2,FALSE)</f>
        <v>Minibus</v>
      </c>
      <c r="I335" s="33" t="s">
        <v>109</v>
      </c>
      <c r="J335" s="33">
        <v>4</v>
      </c>
      <c r="K335" s="40" t="str">
        <f>VLOOKUP(J335,Key!$A$24:$B$29,2,FALSE)</f>
        <v>50-59</v>
      </c>
      <c r="L335" s="33" t="s">
        <v>151</v>
      </c>
      <c r="M335" s="29" t="s">
        <v>151</v>
      </c>
      <c r="N335" s="33" t="s">
        <v>152</v>
      </c>
      <c r="O335" s="35">
        <v>1</v>
      </c>
      <c r="P335" s="30" t="str">
        <f>VLOOKUP(O335,Key!$E$2:$F$9,2,FALSE)</f>
        <v>Home</v>
      </c>
      <c r="Q335" s="33" t="s">
        <v>181</v>
      </c>
      <c r="R335" s="29" t="s">
        <v>180</v>
      </c>
      <c r="S335" s="33" t="s">
        <v>152</v>
      </c>
      <c r="T335" s="29">
        <v>2</v>
      </c>
      <c r="U335" s="30" t="str">
        <f>VLOOKUP(T335,Key!$E$2:$F$9,2,FALSE)</f>
        <v>Work</v>
      </c>
      <c r="V335" s="30" t="str">
        <f t="shared" si="20"/>
        <v>Home-Work</v>
      </c>
      <c r="W335" s="29">
        <v>80000</v>
      </c>
      <c r="X335" s="34">
        <v>15</v>
      </c>
      <c r="Y335" s="50" t="str">
        <f t="shared" si="21"/>
        <v>10-20</v>
      </c>
      <c r="Z335" s="34">
        <v>3</v>
      </c>
      <c r="AA335" s="50" t="str">
        <f t="shared" si="22"/>
        <v>2.0-3.5</v>
      </c>
      <c r="AB335" s="29">
        <v>4</v>
      </c>
      <c r="AC335" s="30" t="str">
        <f>VLOOKUP(AB335,Key!$C$20:$D$29,2,FALSE)</f>
        <v>Office Worker</v>
      </c>
      <c r="AD335" s="29">
        <v>3</v>
      </c>
      <c r="AE335" s="30" t="str">
        <f>VLOOKUP(AD335,Key!$E$20:$F$24,2,FALSE)</f>
        <v>500,000-750,000</v>
      </c>
      <c r="AF335" s="29">
        <v>3</v>
      </c>
      <c r="AG335" s="34">
        <v>4</v>
      </c>
      <c r="AH335" s="34">
        <v>1</v>
      </c>
      <c r="AI335" s="34">
        <v>4</v>
      </c>
      <c r="AJ335" s="34">
        <v>2</v>
      </c>
      <c r="AK335" s="35" t="s">
        <v>94</v>
      </c>
      <c r="AL335" s="36">
        <v>5000</v>
      </c>
      <c r="AM335" t="str">
        <f t="shared" si="23"/>
        <v>5000-10000</v>
      </c>
    </row>
    <row r="336" spans="1:39" x14ac:dyDescent="0.2">
      <c r="A336" s="44">
        <v>43762</v>
      </c>
      <c r="B336" s="31">
        <v>0.38680555555555557</v>
      </c>
      <c r="C336" s="31"/>
      <c r="D336" s="31" t="s">
        <v>97</v>
      </c>
      <c r="E336" s="33">
        <v>2</v>
      </c>
      <c r="F336" s="38" t="str">
        <f>VLOOKUP(E336,Key!$A$17:$B$21,2,FALSE)</f>
        <v>Road Vehicle</v>
      </c>
      <c r="G336" s="32">
        <v>4</v>
      </c>
      <c r="H336" s="39" t="str">
        <f>VLOOKUP(G336,Key!$A$2:$B$13,2,FALSE)</f>
        <v>Minibus</v>
      </c>
      <c r="I336" s="33" t="s">
        <v>109</v>
      </c>
      <c r="J336" s="33">
        <v>4</v>
      </c>
      <c r="K336" s="40" t="str">
        <f>VLOOKUP(J336,Key!$A$24:$B$29,2,FALSE)</f>
        <v>50-59</v>
      </c>
      <c r="L336" s="33" t="s">
        <v>151</v>
      </c>
      <c r="M336" s="29" t="s">
        <v>151</v>
      </c>
      <c r="N336" s="33" t="s">
        <v>152</v>
      </c>
      <c r="O336" s="35">
        <v>1</v>
      </c>
      <c r="P336" s="30" t="str">
        <f>VLOOKUP(O336,Key!$E$2:$F$9,2,FALSE)</f>
        <v>Home</v>
      </c>
      <c r="Q336" s="33" t="s">
        <v>165</v>
      </c>
      <c r="R336" s="29" t="s">
        <v>165</v>
      </c>
      <c r="S336" s="33" t="s">
        <v>152</v>
      </c>
      <c r="T336" s="29">
        <v>2</v>
      </c>
      <c r="U336" s="30" t="str">
        <f>VLOOKUP(T336,Key!$E$2:$F$9,2,FALSE)</f>
        <v>Work</v>
      </c>
      <c r="V336" s="30" t="str">
        <f t="shared" si="20"/>
        <v>Home-Work</v>
      </c>
      <c r="W336" s="29">
        <v>100000</v>
      </c>
      <c r="X336" s="34">
        <v>175</v>
      </c>
      <c r="Y336" s="50" t="str">
        <f t="shared" si="21"/>
        <v>100-200</v>
      </c>
      <c r="Z336" s="34">
        <v>3</v>
      </c>
      <c r="AA336" s="50" t="str">
        <f t="shared" si="22"/>
        <v>2.0-3.5</v>
      </c>
      <c r="AB336" s="29">
        <v>2</v>
      </c>
      <c r="AC336" s="30" t="str">
        <f>VLOOKUP(AB336,Key!$C$20:$D$29,2,FALSE)</f>
        <v>Manual Labour</v>
      </c>
      <c r="AD336" s="29">
        <v>3</v>
      </c>
      <c r="AE336" s="30" t="str">
        <f>VLOOKUP(AD336,Key!$E$20:$F$24,2,FALSE)</f>
        <v>500,000-750,000</v>
      </c>
      <c r="AF336" s="29">
        <v>4</v>
      </c>
      <c r="AG336" s="34">
        <v>3</v>
      </c>
      <c r="AH336" s="34">
        <v>5</v>
      </c>
      <c r="AI336" s="34">
        <v>1</v>
      </c>
      <c r="AJ336" s="34">
        <v>2</v>
      </c>
      <c r="AK336" s="35" t="s">
        <v>94</v>
      </c>
      <c r="AL336" s="36">
        <v>2000</v>
      </c>
      <c r="AM336" t="str">
        <f t="shared" si="23"/>
        <v>2000-3000</v>
      </c>
    </row>
    <row r="337" spans="1:46" x14ac:dyDescent="0.2">
      <c r="A337" s="44">
        <v>43763</v>
      </c>
      <c r="B337" s="31">
        <v>0.62083333333333335</v>
      </c>
      <c r="C337" s="31"/>
      <c r="D337" s="31" t="s">
        <v>97</v>
      </c>
      <c r="E337" s="33">
        <v>2</v>
      </c>
      <c r="F337" s="38" t="str">
        <f>VLOOKUP(E337,Key!$A$17:$B$21,2,FALSE)</f>
        <v>Road Vehicle</v>
      </c>
      <c r="G337" s="32">
        <v>4</v>
      </c>
      <c r="H337" s="39" t="str">
        <f>VLOOKUP(G337,Key!$A$2:$B$13,2,FALSE)</f>
        <v>Minibus</v>
      </c>
      <c r="I337" s="33" t="s">
        <v>109</v>
      </c>
      <c r="J337" s="33">
        <v>4</v>
      </c>
      <c r="K337" s="40" t="str">
        <f>VLOOKUP(J337,Key!$A$24:$B$29,2,FALSE)</f>
        <v>50-59</v>
      </c>
      <c r="L337" s="33" t="s">
        <v>151</v>
      </c>
      <c r="M337" s="29" t="s">
        <v>151</v>
      </c>
      <c r="N337" s="33" t="s">
        <v>152</v>
      </c>
      <c r="O337" s="35">
        <v>1</v>
      </c>
      <c r="P337" s="30" t="str">
        <f>VLOOKUP(O337,Key!$E$2:$F$9,2,FALSE)</f>
        <v>Home</v>
      </c>
      <c r="Q337" s="33" t="s">
        <v>165</v>
      </c>
      <c r="R337" s="29" t="s">
        <v>168</v>
      </c>
      <c r="S337" s="33" t="s">
        <v>152</v>
      </c>
      <c r="T337" s="29">
        <v>2</v>
      </c>
      <c r="U337" s="30" t="str">
        <f>VLOOKUP(T337,Key!$E$2:$F$9,2,FALSE)</f>
        <v>Work</v>
      </c>
      <c r="V337" s="30" t="str">
        <f t="shared" si="20"/>
        <v>Home-Work</v>
      </c>
      <c r="W337" s="29">
        <v>100000</v>
      </c>
      <c r="X337" s="34">
        <v>95</v>
      </c>
      <c r="Y337" s="50" t="str">
        <f t="shared" si="21"/>
        <v>70-100</v>
      </c>
      <c r="Z337" s="34">
        <v>2</v>
      </c>
      <c r="AA337" s="50" t="str">
        <f t="shared" si="22"/>
        <v>2.0-3.5</v>
      </c>
      <c r="AB337" s="29">
        <v>3</v>
      </c>
      <c r="AC337" s="30" t="str">
        <f>VLOOKUP(AB337,Key!$C$20:$D$29,2,FALSE)</f>
        <v>Artisan/Domestic</v>
      </c>
      <c r="AD337" s="29">
        <v>3</v>
      </c>
      <c r="AE337" s="30" t="str">
        <f>VLOOKUP(AD337,Key!$E$20:$F$24,2,FALSE)</f>
        <v>500,000-750,000</v>
      </c>
      <c r="AF337" s="29">
        <v>2</v>
      </c>
      <c r="AG337" s="34">
        <v>1</v>
      </c>
      <c r="AH337" s="34">
        <v>3</v>
      </c>
      <c r="AI337" s="34">
        <v>4</v>
      </c>
      <c r="AJ337" s="34">
        <v>5</v>
      </c>
      <c r="AK337" s="35" t="s">
        <v>94</v>
      </c>
      <c r="AL337" s="36">
        <v>5000</v>
      </c>
      <c r="AM337" t="str">
        <f t="shared" si="23"/>
        <v>5000-10000</v>
      </c>
    </row>
    <row r="338" spans="1:46" x14ac:dyDescent="0.2">
      <c r="A338" s="44">
        <v>43763</v>
      </c>
      <c r="B338" s="31">
        <v>0.625</v>
      </c>
      <c r="C338" s="31"/>
      <c r="D338" s="31" t="s">
        <v>97</v>
      </c>
      <c r="E338" s="33">
        <v>2</v>
      </c>
      <c r="F338" s="38" t="str">
        <f>VLOOKUP(E338,Key!$A$17:$B$21,2,FALSE)</f>
        <v>Road Vehicle</v>
      </c>
      <c r="G338" s="32">
        <v>4</v>
      </c>
      <c r="H338" s="39" t="str">
        <f>VLOOKUP(G338,Key!$A$2:$B$13,2,FALSE)</f>
        <v>Minibus</v>
      </c>
      <c r="I338" s="33" t="s">
        <v>109</v>
      </c>
      <c r="J338" s="33">
        <v>4</v>
      </c>
      <c r="K338" s="40" t="str">
        <f>VLOOKUP(J338,Key!$A$24:$B$29,2,FALSE)</f>
        <v>50-59</v>
      </c>
      <c r="L338" s="33" t="s">
        <v>151</v>
      </c>
      <c r="M338" s="29" t="s">
        <v>151</v>
      </c>
      <c r="N338" s="33" t="s">
        <v>152</v>
      </c>
      <c r="O338" s="35">
        <v>1</v>
      </c>
      <c r="P338" s="30" t="str">
        <f>VLOOKUP(O338,Key!$E$2:$F$9,2,FALSE)</f>
        <v>Home</v>
      </c>
      <c r="Q338" s="33" t="s">
        <v>183</v>
      </c>
      <c r="R338" s="29" t="s">
        <v>183</v>
      </c>
      <c r="S338" s="33" t="s">
        <v>152</v>
      </c>
      <c r="T338" s="29">
        <v>2</v>
      </c>
      <c r="U338" s="30" t="str">
        <f>VLOOKUP(T338,Key!$E$2:$F$9,2,FALSE)</f>
        <v>Work</v>
      </c>
      <c r="V338" s="30" t="str">
        <f t="shared" si="20"/>
        <v>Home-Work</v>
      </c>
      <c r="W338" s="29">
        <v>120000</v>
      </c>
      <c r="X338" s="34">
        <v>65</v>
      </c>
      <c r="Y338" s="50" t="str">
        <f t="shared" si="21"/>
        <v>40-70</v>
      </c>
      <c r="Z338" s="34">
        <v>2</v>
      </c>
      <c r="AA338" s="50" t="str">
        <f t="shared" si="22"/>
        <v>2.0-3.5</v>
      </c>
      <c r="AB338" s="29">
        <v>3</v>
      </c>
      <c r="AC338" s="30" t="str">
        <f>VLOOKUP(AB338,Key!$C$20:$D$29,2,FALSE)</f>
        <v>Artisan/Domestic</v>
      </c>
      <c r="AD338" s="29">
        <v>2</v>
      </c>
      <c r="AE338" s="30" t="str">
        <f>VLOOKUP(AD338,Key!$E$20:$F$24,2,FALSE)</f>
        <v>300,000-500,000</v>
      </c>
      <c r="AF338" s="29">
        <v>1</v>
      </c>
      <c r="AG338" s="34">
        <v>5</v>
      </c>
      <c r="AH338" s="34">
        <v>2</v>
      </c>
      <c r="AI338" s="34">
        <v>3</v>
      </c>
      <c r="AJ338" s="34">
        <v>4</v>
      </c>
      <c r="AK338" s="35" t="s">
        <v>94</v>
      </c>
      <c r="AL338" s="36">
        <v>3000</v>
      </c>
      <c r="AM338" t="str">
        <f t="shared" si="23"/>
        <v>3000-5000</v>
      </c>
    </row>
    <row r="339" spans="1:46" x14ac:dyDescent="0.2">
      <c r="A339" s="44">
        <v>43763</v>
      </c>
      <c r="B339" s="31">
        <v>0.63958333333333328</v>
      </c>
      <c r="C339" s="31"/>
      <c r="D339" s="31" t="s">
        <v>150</v>
      </c>
      <c r="E339" s="33">
        <v>2</v>
      </c>
      <c r="F339" s="38" t="str">
        <f>VLOOKUP(E339,Key!$A$17:$B$21,2,FALSE)</f>
        <v>Road Vehicle</v>
      </c>
      <c r="G339" s="32">
        <v>4</v>
      </c>
      <c r="H339" s="39" t="str">
        <f>VLOOKUP(G339,Key!$A$2:$B$13,2,FALSE)</f>
        <v>Minibus</v>
      </c>
      <c r="I339" s="33" t="s">
        <v>109</v>
      </c>
      <c r="J339" s="33">
        <v>4</v>
      </c>
      <c r="K339" s="40" t="str">
        <f>VLOOKUP(J339,Key!$A$24:$B$29,2,FALSE)</f>
        <v>50-59</v>
      </c>
      <c r="L339" s="33" t="s">
        <v>151</v>
      </c>
      <c r="M339" s="29" t="s">
        <v>151</v>
      </c>
      <c r="N339" s="33" t="s">
        <v>152</v>
      </c>
      <c r="O339" s="35">
        <v>1</v>
      </c>
      <c r="P339" s="30" t="str">
        <f>VLOOKUP(O339,Key!$E$2:$F$9,2,FALSE)</f>
        <v>Home</v>
      </c>
      <c r="Q339" s="33" t="s">
        <v>188</v>
      </c>
      <c r="R339" s="29" t="s">
        <v>165</v>
      </c>
      <c r="S339" s="33" t="s">
        <v>152</v>
      </c>
      <c r="T339" s="29">
        <v>6</v>
      </c>
      <c r="U339" s="30" t="str">
        <f>VLOOKUP(T339,Key!$E$2:$F$9,2,FALSE)</f>
        <v>Leisure/Social</v>
      </c>
      <c r="V339" s="30" t="str">
        <f t="shared" si="20"/>
        <v>Home-Leisure/Social</v>
      </c>
      <c r="W339" s="29">
        <v>15000</v>
      </c>
      <c r="X339" s="34">
        <v>90</v>
      </c>
      <c r="Y339" s="50" t="str">
        <f t="shared" si="21"/>
        <v>70-100</v>
      </c>
      <c r="Z339" s="34">
        <v>2</v>
      </c>
      <c r="AA339" s="50" t="str">
        <f t="shared" si="22"/>
        <v>2.0-3.5</v>
      </c>
      <c r="AB339" s="29">
        <v>6</v>
      </c>
      <c r="AC339" s="30" t="str">
        <f>VLOOKUP(AB339,Key!$C$20:$D$29,2,FALSE)</f>
        <v>Businessman</v>
      </c>
      <c r="AD339" s="29">
        <v>3</v>
      </c>
      <c r="AE339" s="30" t="str">
        <f>VLOOKUP(AD339,Key!$E$20:$F$24,2,FALSE)</f>
        <v>500,000-750,000</v>
      </c>
      <c r="AF339" s="29">
        <v>3</v>
      </c>
      <c r="AG339" s="34">
        <v>4</v>
      </c>
      <c r="AH339" s="34">
        <v>2</v>
      </c>
      <c r="AI339" s="34">
        <v>5</v>
      </c>
      <c r="AJ339" s="34">
        <v>1</v>
      </c>
      <c r="AK339" s="35" t="s">
        <v>94</v>
      </c>
      <c r="AL339" s="36"/>
      <c r="AM339" t="str">
        <f t="shared" si="23"/>
        <v>0-1000</v>
      </c>
    </row>
    <row r="340" spans="1:46" x14ac:dyDescent="0.2">
      <c r="A340" s="44">
        <v>43763</v>
      </c>
      <c r="B340" s="31">
        <v>0.43402777777777773</v>
      </c>
      <c r="C340" s="31"/>
      <c r="D340" s="31" t="s">
        <v>150</v>
      </c>
      <c r="E340" s="33">
        <v>2</v>
      </c>
      <c r="F340" s="38" t="str">
        <f>VLOOKUP(E340,Key!$A$17:$B$21,2,FALSE)</f>
        <v>Road Vehicle</v>
      </c>
      <c r="G340" s="32">
        <v>4</v>
      </c>
      <c r="H340" s="39" t="str">
        <f>VLOOKUP(G340,Key!$A$2:$B$13,2,FALSE)</f>
        <v>Minibus</v>
      </c>
      <c r="I340" s="33" t="s">
        <v>109</v>
      </c>
      <c r="J340" s="33">
        <v>4</v>
      </c>
      <c r="K340" s="40" t="str">
        <f>VLOOKUP(J340,Key!$A$24:$B$29,2,FALSE)</f>
        <v>50-59</v>
      </c>
      <c r="L340" s="33" t="s">
        <v>151</v>
      </c>
      <c r="M340" s="29" t="s">
        <v>151</v>
      </c>
      <c r="N340" s="33" t="s">
        <v>152</v>
      </c>
      <c r="O340" s="35">
        <v>5</v>
      </c>
      <c r="P340" s="30" t="str">
        <f>VLOOKUP(O340,Key!$E$2:$F$9,2,FALSE)</f>
        <v>Tourism</v>
      </c>
      <c r="Q340" s="33" t="s">
        <v>191</v>
      </c>
      <c r="R340" s="29" t="s">
        <v>151</v>
      </c>
      <c r="S340" s="33" t="s">
        <v>152</v>
      </c>
      <c r="T340" s="29">
        <v>1</v>
      </c>
      <c r="U340" s="30" t="str">
        <f>VLOOKUP(T340,Key!$E$2:$F$9,2,FALSE)</f>
        <v>Home</v>
      </c>
      <c r="V340" s="30" t="str">
        <f t="shared" si="20"/>
        <v>Tourism-Home</v>
      </c>
      <c r="W340" s="29">
        <v>5000</v>
      </c>
      <c r="X340" s="34">
        <v>15</v>
      </c>
      <c r="Y340" s="50" t="str">
        <f t="shared" si="21"/>
        <v>10-20</v>
      </c>
      <c r="Z340" s="34">
        <v>4</v>
      </c>
      <c r="AA340" s="50" t="str">
        <f t="shared" si="22"/>
        <v>Over 3.5</v>
      </c>
      <c r="AB340" s="29">
        <v>6</v>
      </c>
      <c r="AC340" s="30" t="str">
        <f>VLOOKUP(AB340,Key!$C$20:$D$29,2,FALSE)</f>
        <v>Businessman</v>
      </c>
      <c r="AD340" s="29">
        <v>4</v>
      </c>
      <c r="AE340" s="30" t="str">
        <f>VLOOKUP(AD340,Key!$E$20:$F$24,2,FALSE)</f>
        <v>750,000-1,000,000</v>
      </c>
      <c r="AF340" s="29">
        <v>2</v>
      </c>
      <c r="AG340" s="34">
        <v>4</v>
      </c>
      <c r="AH340" s="34">
        <v>1</v>
      </c>
      <c r="AI340" s="34">
        <v>2</v>
      </c>
      <c r="AJ340" s="34">
        <v>5</v>
      </c>
      <c r="AK340" s="35" t="s">
        <v>94</v>
      </c>
      <c r="AL340" s="36">
        <v>2000</v>
      </c>
      <c r="AM340" t="str">
        <f t="shared" si="23"/>
        <v>2000-3000</v>
      </c>
    </row>
    <row r="341" spans="1:46" x14ac:dyDescent="0.2">
      <c r="A341" s="44">
        <v>43764</v>
      </c>
      <c r="B341" s="31">
        <v>0.65347222222222223</v>
      </c>
      <c r="C341" s="31"/>
      <c r="D341" s="31" t="s">
        <v>150</v>
      </c>
      <c r="E341" s="33">
        <v>2</v>
      </c>
      <c r="F341" s="38" t="str">
        <f>VLOOKUP(E341,Key!$A$17:$B$21,2,FALSE)</f>
        <v>Road Vehicle</v>
      </c>
      <c r="G341" s="32">
        <v>4</v>
      </c>
      <c r="H341" s="39" t="str">
        <f>VLOOKUP(G341,Key!$A$2:$B$13,2,FALSE)</f>
        <v>Minibus</v>
      </c>
      <c r="I341" s="33" t="s">
        <v>109</v>
      </c>
      <c r="J341" s="33">
        <v>4</v>
      </c>
      <c r="K341" s="40" t="str">
        <f>VLOOKUP(J341,Key!$A$24:$B$29,2,FALSE)</f>
        <v>50-59</v>
      </c>
      <c r="L341" s="33" t="s">
        <v>151</v>
      </c>
      <c r="M341" s="29" t="s">
        <v>151</v>
      </c>
      <c r="N341" s="33" t="s">
        <v>152</v>
      </c>
      <c r="O341" s="35">
        <v>8</v>
      </c>
      <c r="P341" s="30" t="str">
        <f>VLOOKUP(O341,Key!$E$2:$F$9,2,FALSE)</f>
        <v>Others</v>
      </c>
      <c r="Q341" s="33" t="s">
        <v>151</v>
      </c>
      <c r="R341" s="29" t="s">
        <v>151</v>
      </c>
      <c r="S341" s="33" t="s">
        <v>152</v>
      </c>
      <c r="T341" s="29">
        <v>1</v>
      </c>
      <c r="U341" s="30" t="str">
        <f>VLOOKUP(T341,Key!$E$2:$F$9,2,FALSE)</f>
        <v>Home</v>
      </c>
      <c r="V341" s="30" t="str">
        <f t="shared" si="20"/>
        <v>Others-Home</v>
      </c>
      <c r="W341" s="29">
        <v>5000</v>
      </c>
      <c r="X341" s="34"/>
      <c r="Y341" s="50" t="str">
        <f t="shared" si="21"/>
        <v>0-10</v>
      </c>
      <c r="Z341" s="34">
        <v>5</v>
      </c>
      <c r="AA341" s="50" t="str">
        <f t="shared" si="22"/>
        <v>Over 3.5</v>
      </c>
      <c r="AB341" s="29">
        <v>9</v>
      </c>
      <c r="AC341" s="30" t="str">
        <f>VLOOKUP(AB341,Key!$C$20:$D$29,2,FALSE)</f>
        <v>Retired</v>
      </c>
      <c r="AD341" s="29">
        <v>4</v>
      </c>
      <c r="AE341" s="30" t="str">
        <f>VLOOKUP(AD341,Key!$E$20:$F$24,2,FALSE)</f>
        <v>750,000-1,000,000</v>
      </c>
      <c r="AF341" s="29">
        <v>2</v>
      </c>
      <c r="AG341" s="34">
        <v>4</v>
      </c>
      <c r="AH341" s="34">
        <v>5</v>
      </c>
      <c r="AI341" s="34">
        <v>1</v>
      </c>
      <c r="AJ341" s="34">
        <v>3</v>
      </c>
      <c r="AK341" s="35" t="s">
        <v>94</v>
      </c>
      <c r="AL341" s="36"/>
      <c r="AM341" t="str">
        <f t="shared" si="23"/>
        <v>0-1000</v>
      </c>
    </row>
    <row r="342" spans="1:46" x14ac:dyDescent="0.2">
      <c r="A342" s="44">
        <v>43764</v>
      </c>
      <c r="B342" s="31">
        <v>0.4770833333333333</v>
      </c>
      <c r="C342" s="31"/>
      <c r="D342" s="31" t="s">
        <v>150</v>
      </c>
      <c r="E342" s="33">
        <v>2</v>
      </c>
      <c r="F342" s="38" t="str">
        <f>VLOOKUP(E342,Key!$A$17:$B$21,2,FALSE)</f>
        <v>Road Vehicle</v>
      </c>
      <c r="G342" s="32">
        <v>4</v>
      </c>
      <c r="H342" s="39" t="str">
        <f>VLOOKUP(G342,Key!$A$2:$B$13,2,FALSE)</f>
        <v>Minibus</v>
      </c>
      <c r="I342" s="33" t="s">
        <v>109</v>
      </c>
      <c r="J342" s="33">
        <v>4</v>
      </c>
      <c r="K342" s="40" t="str">
        <f>VLOOKUP(J342,Key!$A$24:$B$29,2,FALSE)</f>
        <v>50-59</v>
      </c>
      <c r="L342" s="33" t="s">
        <v>151</v>
      </c>
      <c r="M342" s="29" t="s">
        <v>151</v>
      </c>
      <c r="N342" s="33" t="s">
        <v>152</v>
      </c>
      <c r="O342" s="35">
        <v>1</v>
      </c>
      <c r="P342" s="30" t="str">
        <f>VLOOKUP(O342,Key!$E$2:$F$9,2,FALSE)</f>
        <v>Home</v>
      </c>
      <c r="Q342" s="33" t="s">
        <v>153</v>
      </c>
      <c r="R342" s="29" t="s">
        <v>153</v>
      </c>
      <c r="S342" s="33" t="s">
        <v>152</v>
      </c>
      <c r="T342" s="29">
        <v>2</v>
      </c>
      <c r="U342" s="30" t="str">
        <f>VLOOKUP(T342,Key!$E$2:$F$9,2,FALSE)</f>
        <v>Work</v>
      </c>
      <c r="V342" s="30" t="str">
        <f t="shared" si="20"/>
        <v>Home-Work</v>
      </c>
      <c r="W342" s="29">
        <v>13000</v>
      </c>
      <c r="X342" s="34"/>
      <c r="Y342" s="50" t="str">
        <f t="shared" si="21"/>
        <v>0-10</v>
      </c>
      <c r="Z342" s="34">
        <v>4</v>
      </c>
      <c r="AA342" s="50" t="str">
        <f t="shared" si="22"/>
        <v>Over 3.5</v>
      </c>
      <c r="AB342" s="29">
        <v>5</v>
      </c>
      <c r="AC342" s="30" t="str">
        <f>VLOOKUP(AB342,Key!$C$20:$D$29,2,FALSE)</f>
        <v>Professional</v>
      </c>
      <c r="AD342" s="29">
        <v>5</v>
      </c>
      <c r="AE342" s="30" t="str">
        <f>VLOOKUP(AD342,Key!$E$20:$F$24,2,FALSE)</f>
        <v>&gt;1,000,000</v>
      </c>
      <c r="AF342" s="29">
        <v>4</v>
      </c>
      <c r="AG342" s="34">
        <v>5</v>
      </c>
      <c r="AH342" s="34">
        <v>2</v>
      </c>
      <c r="AI342" s="34">
        <v>3</v>
      </c>
      <c r="AJ342" s="34">
        <v>1</v>
      </c>
      <c r="AK342" s="35" t="s">
        <v>94</v>
      </c>
      <c r="AL342" s="36">
        <v>10000</v>
      </c>
      <c r="AM342" t="str">
        <f t="shared" si="23"/>
        <v>Over 10000</v>
      </c>
    </row>
    <row r="343" spans="1:46" x14ac:dyDescent="0.2">
      <c r="A343" s="44">
        <v>43764</v>
      </c>
      <c r="B343" s="31">
        <v>0.52430555555555558</v>
      </c>
      <c r="C343" s="31"/>
      <c r="D343" s="31" t="s">
        <v>97</v>
      </c>
      <c r="E343" s="33">
        <v>2</v>
      </c>
      <c r="F343" s="38" t="str">
        <f>VLOOKUP(E343,Key!$A$17:$B$21,2,FALSE)</f>
        <v>Road Vehicle</v>
      </c>
      <c r="G343" s="32">
        <v>4</v>
      </c>
      <c r="H343" s="39" t="str">
        <f>VLOOKUP(G343,Key!$A$2:$B$13,2,FALSE)</f>
        <v>Minibus</v>
      </c>
      <c r="I343" s="33" t="s">
        <v>109</v>
      </c>
      <c r="J343" s="33">
        <v>4</v>
      </c>
      <c r="K343" s="40" t="str">
        <f>VLOOKUP(J343,Key!$A$24:$B$29,2,FALSE)</f>
        <v>50-59</v>
      </c>
      <c r="L343" s="33" t="s">
        <v>153</v>
      </c>
      <c r="M343" s="29" t="s">
        <v>153</v>
      </c>
      <c r="N343" s="33" t="s">
        <v>152</v>
      </c>
      <c r="O343" s="35">
        <v>2</v>
      </c>
      <c r="P343" s="30" t="str">
        <f>VLOOKUP(O343,Key!$E$2:$F$9,2,FALSE)</f>
        <v>Work</v>
      </c>
      <c r="Q343" s="33" t="s">
        <v>151</v>
      </c>
      <c r="R343" s="29" t="s">
        <v>151</v>
      </c>
      <c r="S343" s="33" t="s">
        <v>152</v>
      </c>
      <c r="T343" s="29">
        <v>1</v>
      </c>
      <c r="U343" s="30" t="str">
        <f>VLOOKUP(T343,Key!$E$2:$F$9,2,FALSE)</f>
        <v>Home</v>
      </c>
      <c r="V343" s="30" t="str">
        <f t="shared" si="20"/>
        <v>Work-Home</v>
      </c>
      <c r="W343" s="29">
        <v>13000</v>
      </c>
      <c r="X343" s="34"/>
      <c r="Y343" s="50" t="str">
        <f t="shared" si="21"/>
        <v>0-10</v>
      </c>
      <c r="Z343" s="34">
        <v>4</v>
      </c>
      <c r="AA343" s="50" t="str">
        <f t="shared" si="22"/>
        <v>Over 3.5</v>
      </c>
      <c r="AB343" s="29">
        <v>6</v>
      </c>
      <c r="AC343" s="30" t="str">
        <f>VLOOKUP(AB343,Key!$C$20:$D$29,2,FALSE)</f>
        <v>Businessman</v>
      </c>
      <c r="AD343" s="29">
        <v>4</v>
      </c>
      <c r="AE343" s="30" t="str">
        <f>VLOOKUP(AD343,Key!$E$20:$F$24,2,FALSE)</f>
        <v>750,000-1,000,000</v>
      </c>
      <c r="AF343" s="29">
        <v>3</v>
      </c>
      <c r="AG343" s="34">
        <v>2</v>
      </c>
      <c r="AH343" s="34">
        <v>1</v>
      </c>
      <c r="AI343" s="34">
        <v>4</v>
      </c>
      <c r="AJ343" s="34">
        <v>5</v>
      </c>
      <c r="AK343" s="35" t="s">
        <v>94</v>
      </c>
      <c r="AL343" s="36">
        <v>1000</v>
      </c>
      <c r="AM343" t="str">
        <f t="shared" si="23"/>
        <v>1000-2000</v>
      </c>
    </row>
    <row r="344" spans="1:46" x14ac:dyDescent="0.2">
      <c r="A344" s="44">
        <v>43764</v>
      </c>
      <c r="B344" s="31">
        <v>0.53611111111111109</v>
      </c>
      <c r="C344" s="31"/>
      <c r="D344" s="31" t="s">
        <v>97</v>
      </c>
      <c r="E344" s="33">
        <v>2</v>
      </c>
      <c r="F344" s="38" t="str">
        <f>VLOOKUP(E344,Key!$A$17:$B$21,2,FALSE)</f>
        <v>Road Vehicle</v>
      </c>
      <c r="G344" s="32">
        <v>4</v>
      </c>
      <c r="H344" s="39" t="str">
        <f>VLOOKUP(G344,Key!$A$2:$B$13,2,FALSE)</f>
        <v>Minibus</v>
      </c>
      <c r="I344" s="33" t="s">
        <v>109</v>
      </c>
      <c r="J344" s="33">
        <v>4</v>
      </c>
      <c r="K344" s="40" t="str">
        <f>VLOOKUP(J344,Key!$A$24:$B$29,2,FALSE)</f>
        <v>50-59</v>
      </c>
      <c r="L344" s="33" t="s">
        <v>151</v>
      </c>
      <c r="M344" s="29" t="s">
        <v>151</v>
      </c>
      <c r="N344" s="33" t="s">
        <v>152</v>
      </c>
      <c r="O344" s="35">
        <v>2</v>
      </c>
      <c r="P344" s="30" t="str">
        <f>VLOOKUP(O344,Key!$E$2:$F$9,2,FALSE)</f>
        <v>Work</v>
      </c>
      <c r="Q344" s="33" t="s">
        <v>181</v>
      </c>
      <c r="R344" s="29" t="s">
        <v>180</v>
      </c>
      <c r="S344" s="33" t="s">
        <v>152</v>
      </c>
      <c r="T344" s="29">
        <v>2</v>
      </c>
      <c r="U344" s="30" t="str">
        <f>VLOOKUP(T344,Key!$E$2:$F$9,2,FALSE)</f>
        <v>Work</v>
      </c>
      <c r="V344" s="30" t="str">
        <f t="shared" si="20"/>
        <v>Work-Work</v>
      </c>
      <c r="W344" s="29">
        <v>100000</v>
      </c>
      <c r="X344" s="34">
        <v>15</v>
      </c>
      <c r="Y344" s="50" t="str">
        <f t="shared" si="21"/>
        <v>10-20</v>
      </c>
      <c r="Z344" s="34">
        <v>2</v>
      </c>
      <c r="AA344" s="50" t="str">
        <f t="shared" si="22"/>
        <v>2.0-3.5</v>
      </c>
      <c r="AB344" s="29">
        <v>2</v>
      </c>
      <c r="AC344" s="30" t="str">
        <f>VLOOKUP(AB344,Key!$C$20:$D$29,2,FALSE)</f>
        <v>Manual Labour</v>
      </c>
      <c r="AD344" s="29">
        <v>3</v>
      </c>
      <c r="AE344" s="30" t="str">
        <f>VLOOKUP(AD344,Key!$E$20:$F$24,2,FALSE)</f>
        <v>500,000-750,000</v>
      </c>
      <c r="AF344" s="29">
        <v>2</v>
      </c>
      <c r="AG344" s="34">
        <v>3</v>
      </c>
      <c r="AH344" s="34">
        <v>4</v>
      </c>
      <c r="AI344" s="34">
        <v>1</v>
      </c>
      <c r="AJ344" s="34">
        <v>5</v>
      </c>
      <c r="AK344" s="35" t="s">
        <v>94</v>
      </c>
      <c r="AL344" s="36">
        <v>2000</v>
      </c>
      <c r="AM344" t="str">
        <f t="shared" si="23"/>
        <v>2000-3000</v>
      </c>
    </row>
    <row r="345" spans="1:46" x14ac:dyDescent="0.2">
      <c r="A345" s="44">
        <v>43764</v>
      </c>
      <c r="B345" s="31">
        <v>0.53125</v>
      </c>
      <c r="C345" s="31"/>
      <c r="D345" s="31" t="s">
        <v>97</v>
      </c>
      <c r="E345" s="33">
        <v>2</v>
      </c>
      <c r="F345" s="38" t="str">
        <f>VLOOKUP(E345,Key!$A$17:$B$21,2,FALSE)</f>
        <v>Road Vehicle</v>
      </c>
      <c r="G345" s="32">
        <v>4</v>
      </c>
      <c r="H345" s="39" t="str">
        <f>VLOOKUP(G345,Key!$A$2:$B$13,2,FALSE)</f>
        <v>Minibus</v>
      </c>
      <c r="I345" s="33" t="s">
        <v>109</v>
      </c>
      <c r="J345" s="33">
        <v>4</v>
      </c>
      <c r="K345" s="40" t="str">
        <f>VLOOKUP(J345,Key!$A$24:$B$29,2,FALSE)</f>
        <v>50-59</v>
      </c>
      <c r="L345" s="33" t="s">
        <v>151</v>
      </c>
      <c r="M345" s="29" t="s">
        <v>151</v>
      </c>
      <c r="N345" s="33" t="s">
        <v>152</v>
      </c>
      <c r="O345" s="35">
        <v>1</v>
      </c>
      <c r="P345" s="30" t="str">
        <f>VLOOKUP(O345,Key!$E$2:$F$9,2,FALSE)</f>
        <v>Home</v>
      </c>
      <c r="Q345" s="33" t="s">
        <v>181</v>
      </c>
      <c r="R345" s="29" t="s">
        <v>180</v>
      </c>
      <c r="S345" s="33" t="s">
        <v>152</v>
      </c>
      <c r="T345" s="29">
        <v>2</v>
      </c>
      <c r="U345" s="30" t="str">
        <f>VLOOKUP(T345,Key!$E$2:$F$9,2,FALSE)</f>
        <v>Work</v>
      </c>
      <c r="V345" s="30" t="str">
        <f t="shared" si="20"/>
        <v>Home-Work</v>
      </c>
      <c r="W345" s="29">
        <v>8000</v>
      </c>
      <c r="X345" s="34">
        <v>15</v>
      </c>
      <c r="Y345" s="50" t="str">
        <f t="shared" si="21"/>
        <v>10-20</v>
      </c>
      <c r="Z345" s="34">
        <v>3</v>
      </c>
      <c r="AA345" s="50" t="str">
        <f t="shared" si="22"/>
        <v>2.0-3.5</v>
      </c>
      <c r="AB345" s="29">
        <v>5</v>
      </c>
      <c r="AC345" s="30" t="str">
        <f>VLOOKUP(AB345,Key!$C$20:$D$29,2,FALSE)</f>
        <v>Professional</v>
      </c>
      <c r="AD345" s="29">
        <v>4</v>
      </c>
      <c r="AE345" s="30" t="str">
        <f>VLOOKUP(AD345,Key!$E$20:$F$24,2,FALSE)</f>
        <v>750,000-1,000,000</v>
      </c>
      <c r="AF345" s="29">
        <v>1</v>
      </c>
      <c r="AG345" s="34">
        <v>1</v>
      </c>
      <c r="AH345" s="34">
        <v>1</v>
      </c>
      <c r="AI345" s="34">
        <v>1</v>
      </c>
      <c r="AJ345" s="34">
        <v>1</v>
      </c>
      <c r="AK345" s="35" t="s">
        <v>94</v>
      </c>
      <c r="AL345" s="36">
        <v>3000</v>
      </c>
      <c r="AM345" t="str">
        <f t="shared" si="23"/>
        <v>3000-5000</v>
      </c>
    </row>
    <row r="346" spans="1:46" x14ac:dyDescent="0.2">
      <c r="A346" s="44">
        <v>43764</v>
      </c>
      <c r="B346" s="31">
        <v>0.51944444444444449</v>
      </c>
      <c r="C346" s="31"/>
      <c r="D346" s="31" t="s">
        <v>97</v>
      </c>
      <c r="E346" s="33">
        <v>2</v>
      </c>
      <c r="F346" s="38" t="str">
        <f>VLOOKUP(E346,Key!$A$17:$B$21,2,FALSE)</f>
        <v>Road Vehicle</v>
      </c>
      <c r="G346" s="32">
        <v>4</v>
      </c>
      <c r="H346" s="39" t="str">
        <f>VLOOKUP(G346,Key!$A$2:$B$13,2,FALSE)</f>
        <v>Minibus</v>
      </c>
      <c r="I346" s="33" t="s">
        <v>109</v>
      </c>
      <c r="J346" s="33">
        <v>4</v>
      </c>
      <c r="K346" s="40" t="str">
        <f>VLOOKUP(J346,Key!$A$24:$B$29,2,FALSE)</f>
        <v>50-59</v>
      </c>
      <c r="L346" s="33" t="s">
        <v>151</v>
      </c>
      <c r="M346" s="29" t="s">
        <v>151</v>
      </c>
      <c r="N346" s="33" t="s">
        <v>152</v>
      </c>
      <c r="O346" s="35">
        <v>1</v>
      </c>
      <c r="P346" s="30" t="str">
        <f>VLOOKUP(O346,Key!$E$2:$F$9,2,FALSE)</f>
        <v>Home</v>
      </c>
      <c r="Q346" s="33" t="s">
        <v>160</v>
      </c>
      <c r="R346" s="29" t="s">
        <v>160</v>
      </c>
      <c r="S346" s="33" t="s">
        <v>152</v>
      </c>
      <c r="T346" s="29">
        <v>2</v>
      </c>
      <c r="U346" s="30" t="str">
        <f>VLOOKUP(T346,Key!$E$2:$F$9,2,FALSE)</f>
        <v>Work</v>
      </c>
      <c r="V346" s="30" t="str">
        <f t="shared" si="20"/>
        <v>Home-Work</v>
      </c>
      <c r="W346" s="29">
        <v>100000</v>
      </c>
      <c r="X346" s="34">
        <v>50</v>
      </c>
      <c r="Y346" s="50" t="str">
        <f t="shared" si="21"/>
        <v>40-70</v>
      </c>
      <c r="Z346" s="34">
        <v>2</v>
      </c>
      <c r="AA346" s="50" t="str">
        <f t="shared" si="22"/>
        <v>2.0-3.5</v>
      </c>
      <c r="AB346" s="29">
        <v>5</v>
      </c>
      <c r="AC346" s="30" t="str">
        <f>VLOOKUP(AB346,Key!$C$20:$D$29,2,FALSE)</f>
        <v>Professional</v>
      </c>
      <c r="AD346" s="29">
        <v>4</v>
      </c>
      <c r="AE346" s="30" t="str">
        <f>VLOOKUP(AD346,Key!$E$20:$F$24,2,FALSE)</f>
        <v>750,000-1,000,000</v>
      </c>
      <c r="AF346" s="29">
        <v>3</v>
      </c>
      <c r="AG346" s="34">
        <v>5</v>
      </c>
      <c r="AH346" s="34">
        <v>1</v>
      </c>
      <c r="AI346" s="34">
        <v>4</v>
      </c>
      <c r="AJ346" s="34">
        <v>2</v>
      </c>
      <c r="AK346" s="35" t="s">
        <v>94</v>
      </c>
      <c r="AL346" s="36">
        <v>1000</v>
      </c>
      <c r="AM346" t="str">
        <f t="shared" si="23"/>
        <v>1000-2000</v>
      </c>
    </row>
    <row r="347" spans="1:46" x14ac:dyDescent="0.2">
      <c r="A347" s="44">
        <v>43764</v>
      </c>
      <c r="B347" s="31">
        <v>0.51666666666666672</v>
      </c>
      <c r="C347" s="31"/>
      <c r="D347" s="31" t="s">
        <v>97</v>
      </c>
      <c r="E347" s="33">
        <v>2</v>
      </c>
      <c r="F347" s="38" t="str">
        <f>VLOOKUP(E347,Key!$A$17:$B$21,2,FALSE)</f>
        <v>Road Vehicle</v>
      </c>
      <c r="G347" s="32">
        <v>4</v>
      </c>
      <c r="H347" s="39" t="str">
        <f>VLOOKUP(G347,Key!$A$2:$B$13,2,FALSE)</f>
        <v>Minibus</v>
      </c>
      <c r="I347" s="33" t="s">
        <v>109</v>
      </c>
      <c r="J347" s="33">
        <v>4</v>
      </c>
      <c r="K347" s="40" t="str">
        <f>VLOOKUP(J347,Key!$A$24:$B$29,2,FALSE)</f>
        <v>50-59</v>
      </c>
      <c r="L347" s="33" t="s">
        <v>151</v>
      </c>
      <c r="M347" s="29" t="s">
        <v>151</v>
      </c>
      <c r="N347" s="33" t="s">
        <v>152</v>
      </c>
      <c r="O347" s="35">
        <v>1</v>
      </c>
      <c r="P347" s="30" t="str">
        <f>VLOOKUP(O347,Key!$E$2:$F$9,2,FALSE)</f>
        <v>Home</v>
      </c>
      <c r="Q347" s="33" t="s">
        <v>183</v>
      </c>
      <c r="R347" s="29" t="s">
        <v>183</v>
      </c>
      <c r="S347" s="33" t="s">
        <v>152</v>
      </c>
      <c r="T347" s="29">
        <v>2</v>
      </c>
      <c r="U347" s="30" t="str">
        <f>VLOOKUP(T347,Key!$E$2:$F$9,2,FALSE)</f>
        <v>Work</v>
      </c>
      <c r="V347" s="30" t="str">
        <f t="shared" si="20"/>
        <v>Home-Work</v>
      </c>
      <c r="W347" s="29">
        <v>120000</v>
      </c>
      <c r="X347" s="34">
        <v>65</v>
      </c>
      <c r="Y347" s="50" t="str">
        <f t="shared" si="21"/>
        <v>40-70</v>
      </c>
      <c r="Z347" s="34">
        <v>3</v>
      </c>
      <c r="AA347" s="50" t="str">
        <f t="shared" si="22"/>
        <v>2.0-3.5</v>
      </c>
      <c r="AB347" s="29">
        <v>2</v>
      </c>
      <c r="AC347" s="30" t="str">
        <f>VLOOKUP(AB347,Key!$C$20:$D$29,2,FALSE)</f>
        <v>Manual Labour</v>
      </c>
      <c r="AD347" s="29">
        <v>5</v>
      </c>
      <c r="AE347" s="30" t="str">
        <f>VLOOKUP(AD347,Key!$E$20:$F$24,2,FALSE)</f>
        <v>&gt;1,000,000</v>
      </c>
      <c r="AF347" s="29">
        <v>2</v>
      </c>
      <c r="AG347" s="34">
        <v>4</v>
      </c>
      <c r="AH347" s="34">
        <v>1</v>
      </c>
      <c r="AI347" s="34">
        <v>5</v>
      </c>
      <c r="AJ347" s="34">
        <v>4</v>
      </c>
      <c r="AK347" s="35" t="s">
        <v>94</v>
      </c>
      <c r="AL347" s="36">
        <v>3000</v>
      </c>
      <c r="AM347" t="str">
        <f t="shared" si="23"/>
        <v>3000-5000</v>
      </c>
    </row>
    <row r="348" spans="1:46" x14ac:dyDescent="0.2">
      <c r="A348" s="44">
        <v>43764</v>
      </c>
      <c r="B348" s="31">
        <v>0.4770833333333333</v>
      </c>
      <c r="C348" s="31"/>
      <c r="D348" s="31" t="s">
        <v>97</v>
      </c>
      <c r="E348" s="33">
        <v>2</v>
      </c>
      <c r="F348" s="38" t="str">
        <f>VLOOKUP(E348,Key!$A$17:$B$21,2,FALSE)</f>
        <v>Road Vehicle</v>
      </c>
      <c r="G348" s="32">
        <v>4</v>
      </c>
      <c r="H348" s="39" t="str">
        <f>VLOOKUP(G348,Key!$A$2:$B$13,2,FALSE)</f>
        <v>Minibus</v>
      </c>
      <c r="I348" s="33" t="s">
        <v>109</v>
      </c>
      <c r="J348" s="33">
        <v>4</v>
      </c>
      <c r="K348" s="40" t="str">
        <f>VLOOKUP(J348,Key!$A$24:$B$29,2,FALSE)</f>
        <v>50-59</v>
      </c>
      <c r="L348" s="33" t="s">
        <v>151</v>
      </c>
      <c r="M348" s="29" t="s">
        <v>151</v>
      </c>
      <c r="N348" s="33" t="s">
        <v>152</v>
      </c>
      <c r="O348" s="35">
        <v>1</v>
      </c>
      <c r="P348" s="30" t="str">
        <f>VLOOKUP(O348,Key!$E$2:$F$9,2,FALSE)</f>
        <v>Home</v>
      </c>
      <c r="Q348" s="33" t="s">
        <v>165</v>
      </c>
      <c r="R348" s="29" t="s">
        <v>165</v>
      </c>
      <c r="S348" s="33" t="s">
        <v>152</v>
      </c>
      <c r="T348" s="29">
        <v>2</v>
      </c>
      <c r="U348" s="30" t="str">
        <f>VLOOKUP(T348,Key!$E$2:$F$9,2,FALSE)</f>
        <v>Work</v>
      </c>
      <c r="V348" s="30" t="str">
        <f t="shared" si="20"/>
        <v>Home-Work</v>
      </c>
      <c r="W348" s="29">
        <v>100000</v>
      </c>
      <c r="X348" s="34">
        <v>180</v>
      </c>
      <c r="Y348" s="50" t="str">
        <f t="shared" si="21"/>
        <v>100-200</v>
      </c>
      <c r="Z348" s="34">
        <v>3</v>
      </c>
      <c r="AA348" s="50" t="str">
        <f t="shared" si="22"/>
        <v>2.0-3.5</v>
      </c>
      <c r="AB348" s="29">
        <v>5</v>
      </c>
      <c r="AC348" s="30" t="str">
        <f>VLOOKUP(AB348,Key!$C$20:$D$29,2,FALSE)</f>
        <v>Professional</v>
      </c>
      <c r="AD348" s="29">
        <v>3</v>
      </c>
      <c r="AE348" s="30" t="str">
        <f>VLOOKUP(AD348,Key!$E$20:$F$24,2,FALSE)</f>
        <v>500,000-750,000</v>
      </c>
      <c r="AF348" s="29">
        <v>3</v>
      </c>
      <c r="AG348" s="34">
        <v>1</v>
      </c>
      <c r="AH348" s="34">
        <v>5</v>
      </c>
      <c r="AI348" s="34">
        <v>2</v>
      </c>
      <c r="AJ348" s="34">
        <v>4</v>
      </c>
      <c r="AK348" s="35" t="s">
        <v>94</v>
      </c>
      <c r="AL348" s="36"/>
      <c r="AM348" t="str">
        <f t="shared" si="23"/>
        <v>0-1000</v>
      </c>
    </row>
    <row r="349" spans="1:46" s="19" customFormat="1" x14ac:dyDescent="0.2">
      <c r="A349" s="44">
        <v>43759</v>
      </c>
      <c r="B349" s="48">
        <v>0.25</v>
      </c>
      <c r="C349" s="48"/>
      <c r="D349" s="48"/>
      <c r="E349" s="13">
        <v>1</v>
      </c>
      <c r="F349" s="38" t="str">
        <f>VLOOKUP(E349,[1]Key!$A$17:$B$21,2,FALSE)</f>
        <v>Walking/Cycling</v>
      </c>
      <c r="G349" s="49">
        <v>13</v>
      </c>
      <c r="H349" s="39" t="str">
        <f>VLOOKUP(G349,[2]Key!$A$2:$B$14,2,FALSE)</f>
        <v>Bicycles</v>
      </c>
      <c r="I349" s="13" t="s">
        <v>156</v>
      </c>
      <c r="J349" s="13">
        <v>1</v>
      </c>
      <c r="K349" s="40" t="str">
        <f>VLOOKUP(J349,[1]Key!$A$24:$B$29,2,FALSE)</f>
        <v>20-29</v>
      </c>
      <c r="L349" s="11" t="s">
        <v>219</v>
      </c>
      <c r="M349" s="23" t="s">
        <v>220</v>
      </c>
      <c r="N349" s="13" t="s">
        <v>221</v>
      </c>
      <c r="O349" s="46">
        <v>3</v>
      </c>
      <c r="P349" s="30" t="str">
        <f>VLOOKUP(O349,[1]Key!$E$2:$F$9,2,FALSE)</f>
        <v>Study</v>
      </c>
      <c r="Q349" s="13" t="s">
        <v>222</v>
      </c>
      <c r="R349" s="23" t="s">
        <v>223</v>
      </c>
      <c r="S349" s="13" t="s">
        <v>221</v>
      </c>
      <c r="T349" s="23">
        <v>1</v>
      </c>
      <c r="U349" s="30" t="str">
        <f>VLOOKUP(T349,[1]Key!$E$2:$F$9,2,FALSE)</f>
        <v>Home</v>
      </c>
      <c r="V349" s="30" t="str">
        <f t="shared" si="20"/>
        <v>Study-Home</v>
      </c>
      <c r="W349" s="41">
        <v>500</v>
      </c>
      <c r="X349" s="50">
        <v>0.25</v>
      </c>
      <c r="Y349" s="50" t="str">
        <f t="shared" si="21"/>
        <v>0-10</v>
      </c>
      <c r="Z349" s="50">
        <v>8.3000000000000004E-2</v>
      </c>
      <c r="AA349" s="50" t="str">
        <f t="shared" si="22"/>
        <v>0-0.5</v>
      </c>
      <c r="AB349" s="23">
        <v>8</v>
      </c>
      <c r="AC349" s="30" t="str">
        <f>VLOOKUP(AB349,[1]Key!$C$20:$D$29,2,FALSE)</f>
        <v>Student</v>
      </c>
      <c r="AD349" s="23">
        <v>1</v>
      </c>
      <c r="AE349" s="30" t="str">
        <f>VLOOKUP(AD349,[1]Key!$E$20:$F$24,2,FALSE)</f>
        <v>&lt;300,000</v>
      </c>
      <c r="AF349" s="23">
        <v>1</v>
      </c>
      <c r="AG349" s="50">
        <v>2</v>
      </c>
      <c r="AH349" s="50">
        <v>5</v>
      </c>
      <c r="AI349" s="50">
        <v>3</v>
      </c>
      <c r="AJ349" s="50">
        <v>4</v>
      </c>
      <c r="AK349" s="46" t="s">
        <v>94</v>
      </c>
      <c r="AL349" s="36">
        <v>500</v>
      </c>
      <c r="AM349" t="str">
        <f t="shared" si="23"/>
        <v>0-1000</v>
      </c>
      <c r="AN349"/>
      <c r="AO349"/>
      <c r="AP349"/>
      <c r="AQ349"/>
      <c r="AR349"/>
      <c r="AS349"/>
      <c r="AT349"/>
    </row>
    <row r="350" spans="1:46" x14ac:dyDescent="0.2">
      <c r="A350" s="44">
        <v>43760</v>
      </c>
      <c r="B350" s="48">
        <v>0.31944444444444448</v>
      </c>
      <c r="C350" s="48"/>
      <c r="D350" s="48"/>
      <c r="E350" s="13">
        <v>1</v>
      </c>
      <c r="F350" s="38" t="str">
        <f>VLOOKUP(E350,[2]Key!$A$17:$B$21,2,FALSE)</f>
        <v>Walking/Cycling</v>
      </c>
      <c r="G350" s="49">
        <v>13</v>
      </c>
      <c r="H350" s="39" t="str">
        <f>VLOOKUP(G350,[2]Key!$A$2:$B$14,2,FALSE)</f>
        <v>Bicycles</v>
      </c>
      <c r="I350" s="13" t="s">
        <v>156</v>
      </c>
      <c r="J350" s="13">
        <v>1</v>
      </c>
      <c r="K350" s="40" t="str">
        <f>VLOOKUP(J350,[2]Key!$A$24:$B$29,2,FALSE)</f>
        <v>20-29</v>
      </c>
      <c r="L350" s="11" t="s">
        <v>224</v>
      </c>
      <c r="M350" s="23" t="s">
        <v>223</v>
      </c>
      <c r="N350" s="13" t="s">
        <v>221</v>
      </c>
      <c r="O350" s="46">
        <v>1</v>
      </c>
      <c r="P350" s="30" t="str">
        <f>VLOOKUP(O350,[2]Key!$E$2:$F$9,2,FALSE)</f>
        <v>Home</v>
      </c>
      <c r="Q350" s="13" t="s">
        <v>219</v>
      </c>
      <c r="R350" s="23" t="s">
        <v>223</v>
      </c>
      <c r="S350" s="13" t="s">
        <v>221</v>
      </c>
      <c r="T350" s="23">
        <v>3</v>
      </c>
      <c r="U350" s="30" t="str">
        <f>VLOOKUP(T350,[2]Key!$E$2:$F$9,2,FALSE)</f>
        <v>Study</v>
      </c>
      <c r="V350" s="30" t="str">
        <f t="shared" si="20"/>
        <v>Home-Study</v>
      </c>
      <c r="W350" s="41">
        <v>2000</v>
      </c>
      <c r="X350" s="50">
        <v>11</v>
      </c>
      <c r="Y350" s="50" t="str">
        <f t="shared" si="21"/>
        <v>10-20</v>
      </c>
      <c r="Z350" s="50">
        <v>0.16666600000000001</v>
      </c>
      <c r="AA350" s="50" t="str">
        <f t="shared" si="22"/>
        <v>0-0.5</v>
      </c>
      <c r="AB350" s="23">
        <v>8</v>
      </c>
      <c r="AC350" s="30" t="str">
        <f>VLOOKUP(AB350,[2]Key!$C$20:$D$29,2,FALSE)</f>
        <v>Student</v>
      </c>
      <c r="AD350" s="23">
        <v>1</v>
      </c>
      <c r="AE350" s="30" t="str">
        <f>VLOOKUP(AD350,[2]Key!$E$20:$F$24,2,FALSE)</f>
        <v>&lt;300,000</v>
      </c>
      <c r="AF350" s="23"/>
      <c r="AG350" s="50"/>
      <c r="AH350" s="50"/>
      <c r="AI350" s="50"/>
      <c r="AJ350" s="50"/>
      <c r="AK350" s="46"/>
      <c r="AL350" s="36">
        <v>500</v>
      </c>
      <c r="AM350" t="str">
        <f t="shared" si="23"/>
        <v>0-1000</v>
      </c>
    </row>
    <row r="351" spans="1:46" x14ac:dyDescent="0.2">
      <c r="A351" s="44">
        <v>43760</v>
      </c>
      <c r="B351" s="48">
        <v>0.33333333333333331</v>
      </c>
      <c r="C351" s="48"/>
      <c r="D351" s="48"/>
      <c r="E351" s="13">
        <v>1</v>
      </c>
      <c r="F351" s="38" t="str">
        <f>VLOOKUP(E351,[2]Key!$A$17:$B$21,2,FALSE)</f>
        <v>Walking/Cycling</v>
      </c>
      <c r="G351" s="49">
        <v>13</v>
      </c>
      <c r="H351" s="39" t="str">
        <f>VLOOKUP(G351,[2]Key!$A$2:$B$14,2,FALSE)</f>
        <v>Bicycles</v>
      </c>
      <c r="I351" s="13" t="s">
        <v>156</v>
      </c>
      <c r="J351" s="13">
        <v>1</v>
      </c>
      <c r="K351" s="40" t="str">
        <f>VLOOKUP(J351,[2]Key!$A$24:$B$29,2,FALSE)</f>
        <v>20-29</v>
      </c>
      <c r="L351" s="11" t="s">
        <v>225</v>
      </c>
      <c r="M351" s="23" t="s">
        <v>223</v>
      </c>
      <c r="N351" s="13" t="s">
        <v>221</v>
      </c>
      <c r="O351" s="46">
        <v>1</v>
      </c>
      <c r="P351" s="30" t="str">
        <f>VLOOKUP(O351,[2]Key!$E$2:$F$9,2,FALSE)</f>
        <v>Home</v>
      </c>
      <c r="Q351" s="13" t="s">
        <v>226</v>
      </c>
      <c r="R351" s="23" t="s">
        <v>223</v>
      </c>
      <c r="S351" s="13" t="s">
        <v>221</v>
      </c>
      <c r="T351" s="23">
        <v>3</v>
      </c>
      <c r="U351" s="30" t="str">
        <f>VLOOKUP(T351,[2]Key!$E$2:$F$9,2,FALSE)</f>
        <v>Study</v>
      </c>
      <c r="V351" s="30" t="str">
        <f t="shared" si="20"/>
        <v>Home-Study</v>
      </c>
      <c r="W351" s="41">
        <v>1000</v>
      </c>
      <c r="X351" s="50">
        <v>2</v>
      </c>
      <c r="Y351" s="50" t="str">
        <f t="shared" si="21"/>
        <v>0-10</v>
      </c>
      <c r="Z351" s="50">
        <v>0.1333</v>
      </c>
      <c r="AA351" s="50" t="str">
        <f t="shared" si="22"/>
        <v>0-0.5</v>
      </c>
      <c r="AB351" s="23">
        <v>8</v>
      </c>
      <c r="AC351" s="30" t="str">
        <f>VLOOKUP(AB351,[2]Key!$C$20:$D$29,2,FALSE)</f>
        <v>Student</v>
      </c>
      <c r="AD351" s="23">
        <v>1</v>
      </c>
      <c r="AE351" s="30" t="str">
        <f>VLOOKUP(AD351,[2]Key!$E$20:$F$24,2,FALSE)</f>
        <v>&lt;300,000</v>
      </c>
      <c r="AF351" s="23">
        <v>3</v>
      </c>
      <c r="AG351" s="50">
        <v>2</v>
      </c>
      <c r="AH351" s="50">
        <v>4</v>
      </c>
      <c r="AI351" s="50">
        <v>2</v>
      </c>
      <c r="AJ351" s="50">
        <v>5</v>
      </c>
      <c r="AK351" s="46" t="s">
        <v>94</v>
      </c>
      <c r="AL351" s="36">
        <v>1000</v>
      </c>
      <c r="AM351" t="str">
        <f t="shared" si="23"/>
        <v>1000-2000</v>
      </c>
    </row>
    <row r="352" spans="1:46" x14ac:dyDescent="0.2">
      <c r="A352" s="44">
        <v>43760</v>
      </c>
      <c r="B352" s="48">
        <v>0.3298611111111111</v>
      </c>
      <c r="C352" s="48"/>
      <c r="D352" s="48"/>
      <c r="E352" s="13">
        <v>1</v>
      </c>
      <c r="F352" s="38" t="str">
        <f>VLOOKUP(E352,[2]Key!$A$17:$B$21,2,FALSE)</f>
        <v>Walking/Cycling</v>
      </c>
      <c r="G352" s="49">
        <v>13</v>
      </c>
      <c r="H352" s="39" t="str">
        <f>VLOOKUP(G352,[2]Key!$A$2:$B$14,2,FALSE)</f>
        <v>Bicycles</v>
      </c>
      <c r="I352" s="13" t="s">
        <v>156</v>
      </c>
      <c r="J352" s="13">
        <v>1</v>
      </c>
      <c r="K352" s="40" t="str">
        <f>VLOOKUP(J352,[2]Key!$A$24:$B$29,2,FALSE)</f>
        <v>20-29</v>
      </c>
      <c r="L352" s="11" t="s">
        <v>225</v>
      </c>
      <c r="M352" s="23" t="s">
        <v>223</v>
      </c>
      <c r="N352" s="13" t="s">
        <v>221</v>
      </c>
      <c r="O352" s="46">
        <v>1</v>
      </c>
      <c r="P352" s="30" t="str">
        <f>VLOOKUP(O352,[2]Key!$E$2:$F$9,2,FALSE)</f>
        <v>Home</v>
      </c>
      <c r="Q352" s="13" t="s">
        <v>227</v>
      </c>
      <c r="R352" s="23" t="s">
        <v>223</v>
      </c>
      <c r="S352" s="13" t="s">
        <v>221</v>
      </c>
      <c r="T352" s="23">
        <v>3</v>
      </c>
      <c r="U352" s="30" t="str">
        <f>VLOOKUP(T352,[2]Key!$E$2:$F$9,2,FALSE)</f>
        <v>Study</v>
      </c>
      <c r="V352" s="30" t="str">
        <f t="shared" si="20"/>
        <v>Home-Study</v>
      </c>
      <c r="W352" s="41">
        <v>1000</v>
      </c>
      <c r="X352" s="50">
        <v>2</v>
      </c>
      <c r="Y352" s="50" t="str">
        <f t="shared" si="21"/>
        <v>0-10</v>
      </c>
      <c r="Z352" s="50">
        <v>8.3333299999999999E-2</v>
      </c>
      <c r="AA352" s="50" t="str">
        <f t="shared" si="22"/>
        <v>0-0.5</v>
      </c>
      <c r="AB352" s="23">
        <v>8</v>
      </c>
      <c r="AC352" s="30" t="str">
        <f>VLOOKUP(AB352,[2]Key!$C$20:$D$29,2,FALSE)</f>
        <v>Student</v>
      </c>
      <c r="AD352" s="23">
        <v>1</v>
      </c>
      <c r="AE352" s="30" t="str">
        <f>VLOOKUP(AD352,[2]Key!$E$20:$F$24,2,FALSE)</f>
        <v>&lt;300,000</v>
      </c>
      <c r="AF352" s="23">
        <v>1</v>
      </c>
      <c r="AG352" s="50">
        <v>2</v>
      </c>
      <c r="AH352" s="50">
        <v>4</v>
      </c>
      <c r="AI352" s="50">
        <v>3</v>
      </c>
      <c r="AJ352" s="50">
        <v>5</v>
      </c>
      <c r="AK352" s="46" t="s">
        <v>94</v>
      </c>
      <c r="AL352" s="36"/>
      <c r="AM352" t="str">
        <f t="shared" si="23"/>
        <v>0-1000</v>
      </c>
    </row>
    <row r="353" spans="1:39" x14ac:dyDescent="0.2">
      <c r="A353" s="44">
        <v>43760</v>
      </c>
      <c r="B353" s="48">
        <v>0.39027777777777778</v>
      </c>
      <c r="C353" s="48"/>
      <c r="D353" s="48"/>
      <c r="E353" s="13">
        <v>1</v>
      </c>
      <c r="F353" s="38" t="str">
        <f>VLOOKUP(E353,[2]Key!$A$17:$B$21,2,FALSE)</f>
        <v>Walking/Cycling</v>
      </c>
      <c r="G353" s="49">
        <v>13</v>
      </c>
      <c r="H353" s="39" t="str">
        <f>VLOOKUP(G353,[2]Key!$A$2:$B$14,2,FALSE)</f>
        <v>Bicycles</v>
      </c>
      <c r="I353" s="13" t="s">
        <v>156</v>
      </c>
      <c r="J353" s="13">
        <v>1</v>
      </c>
      <c r="K353" s="40" t="str">
        <f>VLOOKUP(J353,[2]Key!$A$24:$B$29,2,FALSE)</f>
        <v>20-29</v>
      </c>
      <c r="L353" s="11" t="s">
        <v>228</v>
      </c>
      <c r="M353" s="23" t="s">
        <v>220</v>
      </c>
      <c r="N353" s="13" t="s">
        <v>221</v>
      </c>
      <c r="O353" s="46">
        <v>1</v>
      </c>
      <c r="P353" s="30" t="str">
        <f>VLOOKUP(O353,[2]Key!$E$2:$F$9,2,FALSE)</f>
        <v>Home</v>
      </c>
      <c r="Q353" s="13" t="s">
        <v>229</v>
      </c>
      <c r="R353" s="23" t="s">
        <v>223</v>
      </c>
      <c r="S353" s="13" t="s">
        <v>221</v>
      </c>
      <c r="T353" s="23">
        <v>4</v>
      </c>
      <c r="U353" s="30" t="str">
        <f>VLOOKUP(T353,[2]Key!$E$2:$F$9,2,FALSE)</f>
        <v>Commercial</v>
      </c>
      <c r="V353" s="30" t="str">
        <f t="shared" si="20"/>
        <v>Home-Commercial</v>
      </c>
      <c r="W353" s="23">
        <v>500</v>
      </c>
      <c r="X353" s="50">
        <v>0.5</v>
      </c>
      <c r="Y353" s="50" t="str">
        <f t="shared" si="21"/>
        <v>0-10</v>
      </c>
      <c r="Z353" s="50">
        <v>0.1</v>
      </c>
      <c r="AA353" s="50" t="str">
        <f t="shared" si="22"/>
        <v>0-0.5</v>
      </c>
      <c r="AB353" s="23">
        <v>6</v>
      </c>
      <c r="AC353" s="30" t="str">
        <f>VLOOKUP(AB353,[2]Key!$C$20:$D$29,2,FALSE)</f>
        <v>Businessman</v>
      </c>
      <c r="AD353" s="23">
        <v>2</v>
      </c>
      <c r="AE353" s="30" t="str">
        <f>VLOOKUP(AD353,[2]Key!$E$20:$F$24,2,FALSE)</f>
        <v>300,000-500,000</v>
      </c>
      <c r="AF353" s="23">
        <v>1</v>
      </c>
      <c r="AG353" s="50">
        <v>4</v>
      </c>
      <c r="AH353" s="50">
        <v>5</v>
      </c>
      <c r="AI353" s="50">
        <v>2</v>
      </c>
      <c r="AJ353" s="50">
        <v>3</v>
      </c>
      <c r="AK353" s="46" t="s">
        <v>94</v>
      </c>
      <c r="AL353" s="36">
        <v>500</v>
      </c>
      <c r="AM353" t="str">
        <f t="shared" si="23"/>
        <v>0-1000</v>
      </c>
    </row>
    <row r="354" spans="1:39" x14ac:dyDescent="0.2">
      <c r="A354" s="44">
        <v>43760</v>
      </c>
      <c r="B354" s="48">
        <v>0.41666666666666669</v>
      </c>
      <c r="C354" s="48"/>
      <c r="D354" s="48"/>
      <c r="E354" s="13">
        <v>1</v>
      </c>
      <c r="F354" s="38" t="str">
        <f>VLOOKUP(E354,[2]Key!$A$17:$B$21,2,FALSE)</f>
        <v>Walking/Cycling</v>
      </c>
      <c r="G354" s="49">
        <v>13</v>
      </c>
      <c r="H354" s="39" t="str">
        <f>VLOOKUP(G354,[2]Key!$A$2:$B$14,2,FALSE)</f>
        <v>Bicycles</v>
      </c>
      <c r="I354" s="13" t="s">
        <v>156</v>
      </c>
      <c r="J354" s="13">
        <v>1</v>
      </c>
      <c r="K354" s="40" t="str">
        <f>VLOOKUP(J354,[2]Key!$A$24:$B$29,2,FALSE)</f>
        <v>20-29</v>
      </c>
      <c r="L354" s="11" t="s">
        <v>230</v>
      </c>
      <c r="M354" s="23" t="s">
        <v>220</v>
      </c>
      <c r="N354" s="13" t="s">
        <v>221</v>
      </c>
      <c r="O354" s="46">
        <v>1</v>
      </c>
      <c r="P354" s="30" t="str">
        <f>VLOOKUP(O354,[2]Key!$E$2:$F$9,2,FALSE)</f>
        <v>Home</v>
      </c>
      <c r="Q354" s="13" t="s">
        <v>231</v>
      </c>
      <c r="R354" s="23" t="s">
        <v>223</v>
      </c>
      <c r="S354" s="13" t="s">
        <v>221</v>
      </c>
      <c r="T354" s="23">
        <v>4</v>
      </c>
      <c r="U354" s="30" t="str">
        <f>VLOOKUP(T354,[2]Key!$E$2:$F$9,2,FALSE)</f>
        <v>Commercial</v>
      </c>
      <c r="V354" s="30" t="str">
        <f t="shared" si="20"/>
        <v>Home-Commercial</v>
      </c>
      <c r="W354" s="23">
        <v>1000</v>
      </c>
      <c r="X354" s="50">
        <v>0.5</v>
      </c>
      <c r="Y354" s="50" t="str">
        <f t="shared" si="21"/>
        <v>0-10</v>
      </c>
      <c r="Z354" s="50">
        <v>0.1</v>
      </c>
      <c r="AA354" s="50" t="str">
        <f t="shared" si="22"/>
        <v>0-0.5</v>
      </c>
      <c r="AB354" s="23">
        <v>10</v>
      </c>
      <c r="AC354" s="30" t="str">
        <f>VLOOKUP(AB354,[2]Key!$C$20:$D$29,2,FALSE)</f>
        <v>Other</v>
      </c>
      <c r="AD354" s="23">
        <v>2</v>
      </c>
      <c r="AE354" s="30" t="str">
        <f>VLOOKUP(AD354,[2]Key!$E$20:$F$24,2,FALSE)</f>
        <v>300,000-500,000</v>
      </c>
      <c r="AF354" s="23">
        <v>1</v>
      </c>
      <c r="AG354" s="50">
        <v>2</v>
      </c>
      <c r="AH354" s="50">
        <v>4</v>
      </c>
      <c r="AI354" s="50">
        <v>3</v>
      </c>
      <c r="AJ354" s="50">
        <v>5</v>
      </c>
      <c r="AK354" s="46" t="s">
        <v>94</v>
      </c>
      <c r="AL354" s="36"/>
      <c r="AM354" t="str">
        <f t="shared" si="23"/>
        <v>0-1000</v>
      </c>
    </row>
    <row r="355" spans="1:39" x14ac:dyDescent="0.2">
      <c r="A355" s="44">
        <v>43760</v>
      </c>
      <c r="B355" s="48">
        <v>0.21875</v>
      </c>
      <c r="C355" s="48"/>
      <c r="D355" s="48"/>
      <c r="E355" s="13">
        <v>1</v>
      </c>
      <c r="F355" s="38" t="str">
        <f>VLOOKUP(E355,[2]Key!$A$17:$B$21,2,FALSE)</f>
        <v>Walking/Cycling</v>
      </c>
      <c r="G355" s="49">
        <v>13</v>
      </c>
      <c r="H355" s="39" t="str">
        <f>VLOOKUP(G355,[2]Key!$A$2:$B$14,2,FALSE)</f>
        <v>Bicycles</v>
      </c>
      <c r="I355" s="13" t="s">
        <v>156</v>
      </c>
      <c r="J355" s="13">
        <v>1</v>
      </c>
      <c r="K355" s="40" t="str">
        <f>VLOOKUP(J355,[2]Key!$A$24:$B$29,2,FALSE)</f>
        <v>20-29</v>
      </c>
      <c r="L355" s="11" t="s">
        <v>227</v>
      </c>
      <c r="M355" s="23" t="s">
        <v>223</v>
      </c>
      <c r="N355" s="13" t="s">
        <v>221</v>
      </c>
      <c r="O355" s="46">
        <v>3</v>
      </c>
      <c r="P355" s="30" t="str">
        <f>VLOOKUP(O355,[2]Key!$E$2:$F$9,2,FALSE)</f>
        <v>Study</v>
      </c>
      <c r="Q355" s="13" t="s">
        <v>232</v>
      </c>
      <c r="R355" s="23" t="s">
        <v>223</v>
      </c>
      <c r="S355" s="13" t="s">
        <v>221</v>
      </c>
      <c r="T355" s="23">
        <v>1</v>
      </c>
      <c r="U355" s="30" t="str">
        <f>VLOOKUP(T355,[2]Key!$E$2:$F$9,2,FALSE)</f>
        <v>Home</v>
      </c>
      <c r="V355" s="30" t="str">
        <f t="shared" si="20"/>
        <v>Study-Home</v>
      </c>
      <c r="W355" s="51">
        <v>1000</v>
      </c>
      <c r="X355" s="50"/>
      <c r="Y355" s="50" t="str">
        <f t="shared" si="21"/>
        <v>0-10</v>
      </c>
      <c r="Z355" s="50">
        <v>0.1</v>
      </c>
      <c r="AA355" s="50" t="str">
        <f t="shared" si="22"/>
        <v>0-0.5</v>
      </c>
      <c r="AB355" s="23">
        <v>8</v>
      </c>
      <c r="AC355" s="30" t="str">
        <f>VLOOKUP(AB355,[2]Key!$C$20:$D$29,2,FALSE)</f>
        <v>Student</v>
      </c>
      <c r="AD355" s="23">
        <v>1</v>
      </c>
      <c r="AE355" s="30" t="str">
        <f>VLOOKUP(AD355,[2]Key!$E$20:$F$24,2,FALSE)</f>
        <v>&lt;300,000</v>
      </c>
      <c r="AF355" s="23">
        <v>2</v>
      </c>
      <c r="AG355" s="50">
        <v>1</v>
      </c>
      <c r="AH355" s="50">
        <v>4</v>
      </c>
      <c r="AI355" s="50">
        <v>3</v>
      </c>
      <c r="AJ355" s="50">
        <v>5</v>
      </c>
      <c r="AK355" s="46" t="s">
        <v>94</v>
      </c>
      <c r="AL355" s="36">
        <v>500</v>
      </c>
      <c r="AM355" t="str">
        <f t="shared" si="23"/>
        <v>0-1000</v>
      </c>
    </row>
    <row r="356" spans="1:39" x14ac:dyDescent="0.2">
      <c r="A356" s="44">
        <v>43760</v>
      </c>
      <c r="B356" s="48">
        <v>0.20833333333333334</v>
      </c>
      <c r="C356" s="48"/>
      <c r="D356" s="48"/>
      <c r="E356" s="13">
        <v>1</v>
      </c>
      <c r="F356" s="38" t="str">
        <f>VLOOKUP(E356,[2]Key!$A$17:$B$21,2,FALSE)</f>
        <v>Walking/Cycling</v>
      </c>
      <c r="G356" s="49">
        <v>13</v>
      </c>
      <c r="H356" s="39" t="str">
        <f>VLOOKUP(G356,[2]Key!$A$2:$B$14,2,FALSE)</f>
        <v>Bicycles</v>
      </c>
      <c r="I356" s="13" t="s">
        <v>156</v>
      </c>
      <c r="J356" s="13">
        <v>1</v>
      </c>
      <c r="K356" s="40" t="str">
        <f>VLOOKUP(J356,[2]Key!$A$24:$B$29,2,FALSE)</f>
        <v>20-29</v>
      </c>
      <c r="L356" s="11" t="s">
        <v>233</v>
      </c>
      <c r="M356" s="23" t="s">
        <v>223</v>
      </c>
      <c r="N356" s="13" t="s">
        <v>221</v>
      </c>
      <c r="O356" s="46">
        <v>3</v>
      </c>
      <c r="P356" s="30" t="str">
        <f>VLOOKUP(O356,[2]Key!$E$2:$F$9,2,FALSE)</f>
        <v>Study</v>
      </c>
      <c r="Q356" s="13" t="s">
        <v>225</v>
      </c>
      <c r="R356" s="23" t="s">
        <v>223</v>
      </c>
      <c r="S356" s="13" t="s">
        <v>221</v>
      </c>
      <c r="T356" s="23">
        <v>1</v>
      </c>
      <c r="U356" s="30" t="str">
        <f>VLOOKUP(T356,[2]Key!$E$2:$F$9,2,FALSE)</f>
        <v>Home</v>
      </c>
      <c r="V356" s="30" t="str">
        <f t="shared" si="20"/>
        <v>Study-Home</v>
      </c>
      <c r="W356" s="23"/>
      <c r="X356" s="50"/>
      <c r="Y356" s="50" t="str">
        <f t="shared" si="21"/>
        <v>0-10</v>
      </c>
      <c r="Z356" s="50"/>
      <c r="AA356" s="50" t="str">
        <f t="shared" si="22"/>
        <v>0-0.5</v>
      </c>
      <c r="AB356" s="23">
        <v>8</v>
      </c>
      <c r="AC356" s="30" t="str">
        <f>VLOOKUP(AB356,[2]Key!$C$20:$D$29,2,FALSE)</f>
        <v>Student</v>
      </c>
      <c r="AD356" s="23">
        <v>1</v>
      </c>
      <c r="AE356" s="30" t="str">
        <f>VLOOKUP(AD356,[2]Key!$E$20:$F$24,2,FALSE)</f>
        <v>&lt;300,000</v>
      </c>
      <c r="AF356" s="23">
        <v>1</v>
      </c>
      <c r="AG356" s="50">
        <v>2</v>
      </c>
      <c r="AH356" s="50">
        <v>4</v>
      </c>
      <c r="AI356" s="50">
        <v>3</v>
      </c>
      <c r="AJ356" s="50">
        <v>5</v>
      </c>
      <c r="AK356" s="46" t="s">
        <v>94</v>
      </c>
      <c r="AL356" s="36"/>
      <c r="AM356" t="str">
        <f t="shared" si="23"/>
        <v>0-1000</v>
      </c>
    </row>
    <row r="357" spans="1:39" x14ac:dyDescent="0.2">
      <c r="A357" s="44">
        <v>43760</v>
      </c>
      <c r="B357" s="48">
        <v>0.2388888888888889</v>
      </c>
      <c r="C357" s="48"/>
      <c r="D357" s="48"/>
      <c r="E357" s="13">
        <v>1</v>
      </c>
      <c r="F357" s="38" t="str">
        <f>VLOOKUP(E357,[2]Key!$A$17:$B$21,2,FALSE)</f>
        <v>Walking/Cycling</v>
      </c>
      <c r="G357" s="49">
        <v>13</v>
      </c>
      <c r="H357" s="39" t="str">
        <f>VLOOKUP(G357,[2]Key!$A$2:$B$14,2,FALSE)</f>
        <v>Bicycles</v>
      </c>
      <c r="I357" s="13" t="s">
        <v>156</v>
      </c>
      <c r="J357" s="13">
        <v>1</v>
      </c>
      <c r="K357" s="40" t="str">
        <f>VLOOKUP(J357,[2]Key!$A$24:$B$29,2,FALSE)</f>
        <v>20-29</v>
      </c>
      <c r="L357" s="11" t="s">
        <v>233</v>
      </c>
      <c r="M357" s="23" t="s">
        <v>220</v>
      </c>
      <c r="N357" s="13" t="s">
        <v>221</v>
      </c>
      <c r="O357" s="46">
        <v>3</v>
      </c>
      <c r="P357" s="30" t="str">
        <f>VLOOKUP(O357,[2]Key!$E$2:$F$9,2,FALSE)</f>
        <v>Study</v>
      </c>
      <c r="Q357" s="13" t="s">
        <v>225</v>
      </c>
      <c r="R357" s="23" t="s">
        <v>223</v>
      </c>
      <c r="S357" s="13" t="s">
        <v>221</v>
      </c>
      <c r="T357" s="23">
        <v>1</v>
      </c>
      <c r="U357" s="30" t="str">
        <f>VLOOKUP(T357,[2]Key!$E$2:$F$9,2,FALSE)</f>
        <v>Home</v>
      </c>
      <c r="V357" s="30" t="str">
        <f t="shared" si="20"/>
        <v>Study-Home</v>
      </c>
      <c r="W357" s="51">
        <v>1000</v>
      </c>
      <c r="X357" s="50"/>
      <c r="Y357" s="50" t="str">
        <f t="shared" si="21"/>
        <v>0-10</v>
      </c>
      <c r="Z357" s="50">
        <v>0.05</v>
      </c>
      <c r="AA357" s="50" t="str">
        <f t="shared" si="22"/>
        <v>0-0.5</v>
      </c>
      <c r="AB357" s="23">
        <v>8</v>
      </c>
      <c r="AC357" s="30" t="str">
        <f>VLOOKUP(AB357,[2]Key!$C$20:$D$29,2,FALSE)</f>
        <v>Student</v>
      </c>
      <c r="AD357" s="23">
        <v>1</v>
      </c>
      <c r="AE357" s="30" t="str">
        <f>VLOOKUP(AD357,[2]Key!$E$20:$F$24,2,FALSE)</f>
        <v>&lt;300,000</v>
      </c>
      <c r="AF357" s="23">
        <v>2</v>
      </c>
      <c r="AG357" s="50">
        <v>3</v>
      </c>
      <c r="AH357" s="50">
        <v>5</v>
      </c>
      <c r="AI357" s="50">
        <v>1</v>
      </c>
      <c r="AJ357" s="50">
        <v>4</v>
      </c>
      <c r="AK357" s="46" t="s">
        <v>94</v>
      </c>
      <c r="AL357" s="36">
        <v>2000</v>
      </c>
      <c r="AM357" t="str">
        <f t="shared" si="23"/>
        <v>2000-3000</v>
      </c>
    </row>
    <row r="358" spans="1:39" x14ac:dyDescent="0.2">
      <c r="A358" s="44">
        <v>43760</v>
      </c>
      <c r="B358" s="48">
        <v>0.24930555555555556</v>
      </c>
      <c r="C358" s="48"/>
      <c r="D358" s="48"/>
      <c r="E358" s="13">
        <v>1</v>
      </c>
      <c r="F358" s="38" t="str">
        <f>VLOOKUP(E358,[2]Key!$A$17:$B$21,2,FALSE)</f>
        <v>Walking/Cycling</v>
      </c>
      <c r="G358" s="49">
        <v>13</v>
      </c>
      <c r="H358" s="39" t="str">
        <f>VLOOKUP(G358,[2]Key!$A$2:$B$14,2,FALSE)</f>
        <v>Bicycles</v>
      </c>
      <c r="I358" s="13" t="s">
        <v>156</v>
      </c>
      <c r="J358" s="13">
        <v>1</v>
      </c>
      <c r="K358" s="40" t="str">
        <f>VLOOKUP(J358,[2]Key!$A$24:$B$29,2,FALSE)</f>
        <v>20-29</v>
      </c>
      <c r="L358" s="11" t="s">
        <v>234</v>
      </c>
      <c r="M358" s="23" t="s">
        <v>220</v>
      </c>
      <c r="N358" s="13" t="s">
        <v>221</v>
      </c>
      <c r="O358" s="46">
        <v>3</v>
      </c>
      <c r="P358" s="30" t="str">
        <f>VLOOKUP(O358,[2]Key!$E$2:$F$9,2,FALSE)</f>
        <v>Study</v>
      </c>
      <c r="Q358" s="13" t="s">
        <v>225</v>
      </c>
      <c r="R358" s="23" t="s">
        <v>223</v>
      </c>
      <c r="S358" s="13" t="s">
        <v>221</v>
      </c>
      <c r="T358" s="23">
        <v>1</v>
      </c>
      <c r="U358" s="30" t="str">
        <f>VLOOKUP(T358,[2]Key!$E$2:$F$9,2,FALSE)</f>
        <v>Home</v>
      </c>
      <c r="V358" s="30" t="str">
        <f t="shared" si="20"/>
        <v>Study-Home</v>
      </c>
      <c r="W358" s="51">
        <v>1000</v>
      </c>
      <c r="X358" s="50"/>
      <c r="Y358" s="50" t="str">
        <f t="shared" si="21"/>
        <v>0-10</v>
      </c>
      <c r="Z358" s="50">
        <v>6.6659999999999997E-2</v>
      </c>
      <c r="AA358" s="50" t="str">
        <f t="shared" si="22"/>
        <v>0-0.5</v>
      </c>
      <c r="AB358" s="23">
        <v>8</v>
      </c>
      <c r="AC358" s="30" t="str">
        <f>VLOOKUP(AB358,[2]Key!$C$20:$D$29,2,FALSE)</f>
        <v>Student</v>
      </c>
      <c r="AD358" s="23">
        <v>1</v>
      </c>
      <c r="AE358" s="30" t="str">
        <f>VLOOKUP(AD358,[2]Key!$E$20:$F$24,2,FALSE)</f>
        <v>&lt;300,000</v>
      </c>
      <c r="AF358" s="23">
        <v>3</v>
      </c>
      <c r="AG358" s="50">
        <v>2</v>
      </c>
      <c r="AH358" s="50">
        <v>5</v>
      </c>
      <c r="AI358" s="50">
        <v>1</v>
      </c>
      <c r="AJ358" s="50">
        <v>4</v>
      </c>
      <c r="AK358" s="46" t="s">
        <v>94</v>
      </c>
      <c r="AL358" s="36"/>
      <c r="AM358" t="str">
        <f t="shared" si="23"/>
        <v>0-1000</v>
      </c>
    </row>
    <row r="359" spans="1:39" x14ac:dyDescent="0.2">
      <c r="A359" s="44">
        <v>43760</v>
      </c>
      <c r="B359" s="48">
        <v>0.25694444444444448</v>
      </c>
      <c r="C359" s="48"/>
      <c r="D359" s="48"/>
      <c r="E359" s="13">
        <v>1</v>
      </c>
      <c r="F359" s="38" t="str">
        <f>VLOOKUP(E359,[2]Key!$A$17:$B$21,2,FALSE)</f>
        <v>Walking/Cycling</v>
      </c>
      <c r="G359" s="49">
        <v>13</v>
      </c>
      <c r="H359" s="39" t="str">
        <f>VLOOKUP(G359,[2]Key!$A$2:$B$14,2,FALSE)</f>
        <v>Bicycles</v>
      </c>
      <c r="I359" s="13" t="s">
        <v>156</v>
      </c>
      <c r="J359" s="13">
        <v>1</v>
      </c>
      <c r="K359" s="40" t="str">
        <f>VLOOKUP(J359,[2]Key!$A$24:$B$29,2,FALSE)</f>
        <v>20-29</v>
      </c>
      <c r="L359" s="11" t="s">
        <v>219</v>
      </c>
      <c r="M359" s="23" t="s">
        <v>220</v>
      </c>
      <c r="N359" s="13" t="s">
        <v>221</v>
      </c>
      <c r="O359" s="46">
        <v>3</v>
      </c>
      <c r="P359" s="30" t="str">
        <f>VLOOKUP(O359,[2]Key!$E$2:$F$9,2,FALSE)</f>
        <v>Study</v>
      </c>
      <c r="Q359" s="13" t="s">
        <v>230</v>
      </c>
      <c r="R359" s="23" t="s">
        <v>223</v>
      </c>
      <c r="S359" s="13" t="s">
        <v>221</v>
      </c>
      <c r="T359" s="23">
        <v>1</v>
      </c>
      <c r="U359" s="30" t="str">
        <f>VLOOKUP(T359,[2]Key!$E$2:$F$9,2,FALSE)</f>
        <v>Home</v>
      </c>
      <c r="V359" s="30" t="str">
        <f t="shared" si="20"/>
        <v>Study-Home</v>
      </c>
      <c r="W359" s="51">
        <v>1000</v>
      </c>
      <c r="X359" s="50">
        <v>0.5</v>
      </c>
      <c r="Y359" s="50" t="str">
        <f t="shared" si="21"/>
        <v>0-10</v>
      </c>
      <c r="Z359" s="50">
        <v>8.3330000000000001E-2</v>
      </c>
      <c r="AA359" s="50" t="str">
        <f t="shared" si="22"/>
        <v>0-0.5</v>
      </c>
      <c r="AB359" s="23">
        <v>8</v>
      </c>
      <c r="AC359" s="30" t="str">
        <f>VLOOKUP(AB359,[2]Key!$C$20:$D$29,2,FALSE)</f>
        <v>Student</v>
      </c>
      <c r="AD359" s="23">
        <v>1</v>
      </c>
      <c r="AE359" s="30" t="str">
        <f>VLOOKUP(AD359,[2]Key!$E$20:$F$24,2,FALSE)</f>
        <v>&lt;300,000</v>
      </c>
      <c r="AF359" s="23">
        <v>3</v>
      </c>
      <c r="AG359" s="50">
        <v>2</v>
      </c>
      <c r="AH359" s="50">
        <v>4</v>
      </c>
      <c r="AI359" s="50">
        <v>1</v>
      </c>
      <c r="AJ359" s="50">
        <v>5</v>
      </c>
      <c r="AK359" s="46" t="s">
        <v>94</v>
      </c>
      <c r="AL359" s="36">
        <v>1000</v>
      </c>
      <c r="AM359" t="str">
        <f t="shared" si="23"/>
        <v>1000-2000</v>
      </c>
    </row>
    <row r="360" spans="1:39" x14ac:dyDescent="0.2">
      <c r="A360" s="44">
        <v>43761</v>
      </c>
      <c r="B360" s="48">
        <v>0.3923611111111111</v>
      </c>
      <c r="C360" s="48"/>
      <c r="D360" s="48"/>
      <c r="E360" s="13">
        <v>1</v>
      </c>
      <c r="F360" s="38" t="str">
        <f>VLOOKUP(E360,[2]Key!$A$17:$B$21,2,FALSE)</f>
        <v>Walking/Cycling</v>
      </c>
      <c r="G360" s="49">
        <v>13</v>
      </c>
      <c r="H360" s="39" t="str">
        <f>VLOOKUP(G360,[2]Key!$A$2:$B$14,2,FALSE)</f>
        <v>Bicycles</v>
      </c>
      <c r="I360" s="13" t="s">
        <v>156</v>
      </c>
      <c r="J360" s="13">
        <v>1</v>
      </c>
      <c r="K360" s="40" t="str">
        <f>VLOOKUP(J360,[2]Key!$A$24:$B$29,2,FALSE)</f>
        <v>20-29</v>
      </c>
      <c r="L360" s="11" t="s">
        <v>235</v>
      </c>
      <c r="M360" s="23" t="s">
        <v>220</v>
      </c>
      <c r="N360" s="13" t="s">
        <v>221</v>
      </c>
      <c r="O360" s="46">
        <v>3</v>
      </c>
      <c r="P360" s="30" t="str">
        <f>VLOOKUP(O360,[2]Key!$E$2:$F$9,2,FALSE)</f>
        <v>Study</v>
      </c>
      <c r="Q360" s="13" t="s">
        <v>225</v>
      </c>
      <c r="R360" s="23" t="s">
        <v>223</v>
      </c>
      <c r="S360" s="13" t="s">
        <v>221</v>
      </c>
      <c r="T360" s="23">
        <v>1</v>
      </c>
      <c r="U360" s="30" t="str">
        <f>VLOOKUP(T360,[2]Key!$E$2:$F$9,2,FALSE)</f>
        <v>Home</v>
      </c>
      <c r="V360" s="30" t="str">
        <f t="shared" si="20"/>
        <v>Study-Home</v>
      </c>
      <c r="W360" s="51">
        <v>1000</v>
      </c>
      <c r="X360" s="50"/>
      <c r="Y360" s="50" t="str">
        <f t="shared" si="21"/>
        <v>0-10</v>
      </c>
      <c r="Z360" s="50">
        <v>0.1</v>
      </c>
      <c r="AA360" s="50" t="str">
        <f t="shared" si="22"/>
        <v>0-0.5</v>
      </c>
      <c r="AB360" s="23">
        <v>8</v>
      </c>
      <c r="AC360" s="30" t="str">
        <f>VLOOKUP(AB360,[2]Key!$C$20:$D$29,2,FALSE)</f>
        <v>Student</v>
      </c>
      <c r="AD360" s="23">
        <v>1</v>
      </c>
      <c r="AE360" s="30" t="str">
        <f>VLOOKUP(AD360,[2]Key!$E$20:$F$24,2,FALSE)</f>
        <v>&lt;300,000</v>
      </c>
      <c r="AF360" s="23">
        <v>1</v>
      </c>
      <c r="AG360" s="50">
        <v>4</v>
      </c>
      <c r="AH360" s="50">
        <v>5</v>
      </c>
      <c r="AI360" s="50">
        <v>1</v>
      </c>
      <c r="AJ360" s="50">
        <v>3</v>
      </c>
      <c r="AK360" s="46" t="s">
        <v>94</v>
      </c>
      <c r="AL360" s="36"/>
      <c r="AM360" t="str">
        <f t="shared" si="23"/>
        <v>0-1000</v>
      </c>
    </row>
    <row r="361" spans="1:39" x14ac:dyDescent="0.2">
      <c r="A361" s="44">
        <v>43761</v>
      </c>
      <c r="B361" s="48">
        <v>0.1111111111111111</v>
      </c>
      <c r="C361" s="48"/>
      <c r="D361" s="48"/>
      <c r="E361" s="13">
        <v>1</v>
      </c>
      <c r="F361" s="38" t="str">
        <f>VLOOKUP(E361,[2]Key!$A$17:$B$21,2,FALSE)</f>
        <v>Walking/Cycling</v>
      </c>
      <c r="G361" s="49">
        <v>13</v>
      </c>
      <c r="H361" s="39" t="str">
        <f>VLOOKUP(G361,[2]Key!$A$2:$B$14,2,FALSE)</f>
        <v>Bicycles</v>
      </c>
      <c r="I361" s="13" t="s">
        <v>156</v>
      </c>
      <c r="J361" s="13">
        <v>1</v>
      </c>
      <c r="K361" s="40" t="str">
        <f>VLOOKUP(J361,[2]Key!$A$24:$B$29,2,FALSE)</f>
        <v>20-29</v>
      </c>
      <c r="L361" s="11" t="s">
        <v>236</v>
      </c>
      <c r="M361" s="23" t="s">
        <v>223</v>
      </c>
      <c r="N361" s="13" t="s">
        <v>221</v>
      </c>
      <c r="O361" s="46">
        <v>2</v>
      </c>
      <c r="P361" s="30" t="str">
        <f>VLOOKUP(O361,[2]Key!$E$2:$F$9,2,FALSE)</f>
        <v>Work</v>
      </c>
      <c r="Q361" s="13" t="s">
        <v>237</v>
      </c>
      <c r="R361" s="23" t="s">
        <v>223</v>
      </c>
      <c r="S361" s="13" t="s">
        <v>221</v>
      </c>
      <c r="T361" s="23">
        <v>4</v>
      </c>
      <c r="U361" s="30" t="str">
        <f>VLOOKUP(T361,[2]Key!$E$2:$F$9,2,FALSE)</f>
        <v>Commercial</v>
      </c>
      <c r="V361" s="30" t="str">
        <f t="shared" si="20"/>
        <v>Work-Commercial</v>
      </c>
      <c r="W361" s="51">
        <v>4000</v>
      </c>
      <c r="X361" s="50">
        <v>16</v>
      </c>
      <c r="Y361" s="50" t="str">
        <f t="shared" si="21"/>
        <v>10-20</v>
      </c>
      <c r="Z361" s="50">
        <v>0.35</v>
      </c>
      <c r="AA361" s="50" t="str">
        <f t="shared" si="22"/>
        <v>0-0.5</v>
      </c>
      <c r="AB361" s="23">
        <v>6</v>
      </c>
      <c r="AC361" s="30" t="str">
        <f>VLOOKUP(AB361,[2]Key!$C$20:$D$29,2,FALSE)</f>
        <v>Businessman</v>
      </c>
      <c r="AD361" s="23">
        <v>2</v>
      </c>
      <c r="AE361" s="30" t="str">
        <f>VLOOKUP(AD361,[2]Key!$E$20:$F$24,2,FALSE)</f>
        <v>300,000-500,000</v>
      </c>
      <c r="AF361" s="23">
        <v>1</v>
      </c>
      <c r="AG361" s="50">
        <v>2</v>
      </c>
      <c r="AH361" s="50">
        <v>4</v>
      </c>
      <c r="AI361" s="50">
        <v>3</v>
      </c>
      <c r="AJ361" s="50">
        <v>5</v>
      </c>
      <c r="AK361" s="46" t="s">
        <v>94</v>
      </c>
      <c r="AL361" s="36">
        <v>1000</v>
      </c>
      <c r="AM361" t="str">
        <f t="shared" si="23"/>
        <v>1000-2000</v>
      </c>
    </row>
    <row r="362" spans="1:39" x14ac:dyDescent="0.2">
      <c r="A362" s="44">
        <v>43759</v>
      </c>
      <c r="B362" s="48">
        <v>0.25138888888888888</v>
      </c>
      <c r="C362" s="48"/>
      <c r="D362" s="48"/>
      <c r="E362" s="13">
        <v>1</v>
      </c>
      <c r="F362" s="38" t="str">
        <f>VLOOKUP(E362,[1]Key!$A$17:$B$21,2,FALSE)</f>
        <v>Walking/Cycling</v>
      </c>
      <c r="G362" s="49">
        <v>13</v>
      </c>
      <c r="H362" s="39" t="str">
        <f>VLOOKUP(G362,[2]Key!$A$2:$B$14,2,FALSE)</f>
        <v>Bicycles</v>
      </c>
      <c r="I362" s="13" t="s">
        <v>109</v>
      </c>
      <c r="J362" s="13">
        <v>1</v>
      </c>
      <c r="K362" s="40" t="str">
        <f>VLOOKUP(J362,[1]Key!$A$24:$B$29,2,FALSE)</f>
        <v>20-29</v>
      </c>
      <c r="L362" s="11" t="s">
        <v>227</v>
      </c>
      <c r="M362" s="23" t="s">
        <v>220</v>
      </c>
      <c r="N362" s="13" t="s">
        <v>221</v>
      </c>
      <c r="O362" s="46">
        <v>3</v>
      </c>
      <c r="P362" s="30" t="str">
        <f>VLOOKUP(O362,[1]Key!$E$2:$F$9,2,FALSE)</f>
        <v>Study</v>
      </c>
      <c r="Q362" s="13" t="s">
        <v>230</v>
      </c>
      <c r="R362" s="23" t="s">
        <v>223</v>
      </c>
      <c r="S362" s="13" t="s">
        <v>221</v>
      </c>
      <c r="T362" s="23">
        <v>1</v>
      </c>
      <c r="U362" s="30" t="str">
        <f>VLOOKUP(T362,[1]Key!$E$2:$F$9,2,FALSE)</f>
        <v>Home</v>
      </c>
      <c r="V362" s="30" t="str">
        <f t="shared" si="20"/>
        <v>Study-Home</v>
      </c>
      <c r="W362" s="41">
        <v>1000</v>
      </c>
      <c r="X362" s="50">
        <v>0.25</v>
      </c>
      <c r="Y362" s="50" t="str">
        <f t="shared" si="21"/>
        <v>0-10</v>
      </c>
      <c r="Z362" s="50">
        <v>8.3299999999999999E-2</v>
      </c>
      <c r="AA362" s="50" t="str">
        <f t="shared" si="22"/>
        <v>0-0.5</v>
      </c>
      <c r="AB362" s="23">
        <v>8</v>
      </c>
      <c r="AC362" s="30" t="str">
        <f>VLOOKUP(AB362,[1]Key!$C$20:$D$29,2,FALSE)</f>
        <v>Student</v>
      </c>
      <c r="AD362" s="23">
        <v>1</v>
      </c>
      <c r="AE362" s="30" t="str">
        <f>VLOOKUP(AD362,[1]Key!$E$20:$F$24,2,FALSE)</f>
        <v>&lt;300,000</v>
      </c>
      <c r="AF362" s="23">
        <v>2</v>
      </c>
      <c r="AG362" s="50">
        <v>5</v>
      </c>
      <c r="AH362" s="50">
        <v>3</v>
      </c>
      <c r="AI362" s="50">
        <v>1</v>
      </c>
      <c r="AJ362" s="50">
        <v>4</v>
      </c>
      <c r="AK362" s="46" t="s">
        <v>94</v>
      </c>
      <c r="AL362" s="36"/>
      <c r="AM362" t="str">
        <f t="shared" si="23"/>
        <v>0-1000</v>
      </c>
    </row>
    <row r="363" spans="1:39" x14ac:dyDescent="0.2">
      <c r="A363" s="44">
        <v>43759</v>
      </c>
      <c r="B363" s="48">
        <v>0.51458333333333328</v>
      </c>
      <c r="C363" s="48"/>
      <c r="D363" s="48"/>
      <c r="E363" s="13">
        <v>1</v>
      </c>
      <c r="F363" s="38" t="str">
        <f>VLOOKUP(E363,[1]Key!$A$17:$B$21,2,FALSE)</f>
        <v>Walking/Cycling</v>
      </c>
      <c r="G363" s="49">
        <v>13</v>
      </c>
      <c r="H363" s="39" t="str">
        <f>VLOOKUP(G363,[2]Key!$A$2:$B$14,2,FALSE)</f>
        <v>Bicycles</v>
      </c>
      <c r="I363" s="13" t="s">
        <v>109</v>
      </c>
      <c r="J363" s="13">
        <v>1</v>
      </c>
      <c r="K363" s="40" t="str">
        <f>VLOOKUP(J363,[1]Key!$A$24:$B$29,2,FALSE)</f>
        <v>20-29</v>
      </c>
      <c r="L363" s="11" t="s">
        <v>224</v>
      </c>
      <c r="M363" s="23" t="s">
        <v>220</v>
      </c>
      <c r="N363" s="13" t="s">
        <v>221</v>
      </c>
      <c r="O363" s="46">
        <v>1</v>
      </c>
      <c r="P363" s="30" t="str">
        <f>VLOOKUP(O363,[1]Key!$E$2:$F$9,2,FALSE)</f>
        <v>Home</v>
      </c>
      <c r="Q363" s="13" t="s">
        <v>229</v>
      </c>
      <c r="R363" s="23" t="s">
        <v>223</v>
      </c>
      <c r="S363" s="13" t="s">
        <v>221</v>
      </c>
      <c r="T363" s="23">
        <v>2</v>
      </c>
      <c r="U363" s="30" t="str">
        <f>VLOOKUP(T363,[1]Key!$E$2:$F$9,2,FALSE)</f>
        <v>Work</v>
      </c>
      <c r="V363" s="30" t="str">
        <f t="shared" si="20"/>
        <v>Home-Work</v>
      </c>
      <c r="W363" s="51">
        <v>1500</v>
      </c>
      <c r="X363" s="50">
        <v>18</v>
      </c>
      <c r="Y363" s="50" t="str">
        <f t="shared" si="21"/>
        <v>10-20</v>
      </c>
      <c r="Z363" s="50">
        <v>0.16666</v>
      </c>
      <c r="AA363" s="50" t="str">
        <f t="shared" si="22"/>
        <v>0-0.5</v>
      </c>
      <c r="AB363" s="23">
        <v>2</v>
      </c>
      <c r="AC363" s="30" t="str">
        <f>VLOOKUP(AB363,[1]Key!$C$20:$D$29,2,FALSE)</f>
        <v>Manual Labour</v>
      </c>
      <c r="AD363" s="23">
        <v>1</v>
      </c>
      <c r="AE363" s="30" t="str">
        <f>VLOOKUP(AD363,[1]Key!$E$20:$F$24,2,FALSE)</f>
        <v>&lt;300,000</v>
      </c>
      <c r="AF363" s="23">
        <v>1</v>
      </c>
      <c r="AG363" s="50">
        <v>4</v>
      </c>
      <c r="AH363" s="50">
        <v>2</v>
      </c>
      <c r="AI363" s="50">
        <v>5</v>
      </c>
      <c r="AJ363" s="50">
        <v>3</v>
      </c>
      <c r="AK363" s="46" t="s">
        <v>94</v>
      </c>
      <c r="AL363" s="36">
        <v>1000</v>
      </c>
      <c r="AM363" t="str">
        <f t="shared" si="23"/>
        <v>1000-2000</v>
      </c>
    </row>
    <row r="364" spans="1:39" x14ac:dyDescent="0.2">
      <c r="A364" s="44">
        <v>43759</v>
      </c>
      <c r="B364" s="48">
        <v>0.52708333333333335</v>
      </c>
      <c r="C364" s="48"/>
      <c r="D364" s="48"/>
      <c r="E364" s="13">
        <v>1</v>
      </c>
      <c r="F364" s="38" t="str">
        <f>VLOOKUP(E364,[1]Key!$A$17:$B$21,2,FALSE)</f>
        <v>Walking/Cycling</v>
      </c>
      <c r="G364" s="49">
        <v>13</v>
      </c>
      <c r="H364" s="39" t="str">
        <f>VLOOKUP(G364,[2]Key!$A$2:$B$14,2,FALSE)</f>
        <v>Bicycles</v>
      </c>
      <c r="I364" s="13" t="s">
        <v>109</v>
      </c>
      <c r="J364" s="13">
        <v>1</v>
      </c>
      <c r="K364" s="40" t="str">
        <f>VLOOKUP(J364,[1]Key!$A$24:$B$29,2,FALSE)</f>
        <v>20-29</v>
      </c>
      <c r="L364" s="11" t="s">
        <v>238</v>
      </c>
      <c r="M364" s="23" t="s">
        <v>220</v>
      </c>
      <c r="N364" s="13" t="s">
        <v>221</v>
      </c>
      <c r="O364" s="46">
        <v>1</v>
      </c>
      <c r="P364" s="30" t="str">
        <f>VLOOKUP(O364,[1]Key!$E$2:$F$9,2,FALSE)</f>
        <v>Home</v>
      </c>
      <c r="Q364" s="13" t="s">
        <v>223</v>
      </c>
      <c r="R364" s="23" t="s">
        <v>223</v>
      </c>
      <c r="S364" s="13" t="s">
        <v>221</v>
      </c>
      <c r="T364" s="23">
        <v>6</v>
      </c>
      <c r="U364" s="30" t="str">
        <f>VLOOKUP(T364,[1]Key!$E$2:$F$9,2,FALSE)</f>
        <v>Leisure/Social</v>
      </c>
      <c r="V364" s="30" t="str">
        <f t="shared" si="20"/>
        <v>Home-Leisure/Social</v>
      </c>
      <c r="W364" s="51">
        <v>1000</v>
      </c>
      <c r="X364" s="50">
        <v>10</v>
      </c>
      <c r="Y364" s="50" t="str">
        <f t="shared" si="21"/>
        <v>10-20</v>
      </c>
      <c r="Z364" s="50">
        <v>8.3000000000000004E-2</v>
      </c>
      <c r="AA364" s="50" t="str">
        <f t="shared" si="22"/>
        <v>0-0.5</v>
      </c>
      <c r="AB364" s="23">
        <v>7</v>
      </c>
      <c r="AC364" s="30" t="str">
        <f>VLOOKUP(AB364,[1]Key!$C$20:$D$29,2,FALSE)</f>
        <v>Farmer</v>
      </c>
      <c r="AD364" s="23">
        <v>1</v>
      </c>
      <c r="AE364" s="30" t="str">
        <f>VLOOKUP(AD364,[1]Key!$E$20:$F$24,2,FALSE)</f>
        <v>&lt;300,000</v>
      </c>
      <c r="AF364" s="23">
        <v>5</v>
      </c>
      <c r="AG364" s="50">
        <v>2</v>
      </c>
      <c r="AH364" s="50">
        <v>4</v>
      </c>
      <c r="AI364" s="50">
        <v>1</v>
      </c>
      <c r="AJ364" s="50">
        <v>3</v>
      </c>
      <c r="AK364" s="46" t="s">
        <v>94</v>
      </c>
      <c r="AL364" s="36">
        <v>1000</v>
      </c>
      <c r="AM364" t="str">
        <f t="shared" si="23"/>
        <v>1000-2000</v>
      </c>
    </row>
    <row r="365" spans="1:39" x14ac:dyDescent="0.2">
      <c r="A365" s="44">
        <v>43760</v>
      </c>
      <c r="B365" s="48">
        <v>0.37847222222222227</v>
      </c>
      <c r="C365" s="48"/>
      <c r="D365" s="48"/>
      <c r="E365" s="13">
        <v>1</v>
      </c>
      <c r="F365" s="38" t="str">
        <f>VLOOKUP(E365,[2]Key!$A$17:$B$21,2,FALSE)</f>
        <v>Walking/Cycling</v>
      </c>
      <c r="G365" s="49">
        <v>13</v>
      </c>
      <c r="H365" s="39" t="str">
        <f>VLOOKUP(G365,[2]Key!$A$2:$B$14,2,FALSE)</f>
        <v>Bicycles</v>
      </c>
      <c r="I365" s="13" t="s">
        <v>109</v>
      </c>
      <c r="J365" s="13">
        <v>1</v>
      </c>
      <c r="K365" s="40" t="str">
        <f>VLOOKUP(J365,[2]Key!$A$24:$B$29,2,FALSE)</f>
        <v>20-29</v>
      </c>
      <c r="L365" s="11" t="s">
        <v>239</v>
      </c>
      <c r="M365" s="23" t="s">
        <v>220</v>
      </c>
      <c r="N365" s="13" t="s">
        <v>221</v>
      </c>
      <c r="O365" s="46">
        <v>1</v>
      </c>
      <c r="P365" s="30" t="str">
        <f>VLOOKUP(O365,[2]Key!$E$2:$F$9,2,FALSE)</f>
        <v>Home</v>
      </c>
      <c r="Q365" s="13" t="s">
        <v>240</v>
      </c>
      <c r="R365" s="23" t="s">
        <v>223</v>
      </c>
      <c r="S365" s="13" t="s">
        <v>221</v>
      </c>
      <c r="T365" s="23">
        <v>2</v>
      </c>
      <c r="U365" s="30" t="str">
        <f>VLOOKUP(T365,[2]Key!$E$2:$F$9,2,FALSE)</f>
        <v>Work</v>
      </c>
      <c r="V365" s="30" t="str">
        <f t="shared" si="20"/>
        <v>Home-Work</v>
      </c>
      <c r="W365" s="41">
        <v>1000</v>
      </c>
      <c r="X365" s="50">
        <v>5</v>
      </c>
      <c r="Y365" s="50" t="str">
        <f t="shared" si="21"/>
        <v>0-10</v>
      </c>
      <c r="Z365" s="50">
        <v>8.3000000000000004E-2</v>
      </c>
      <c r="AA365" s="50" t="str">
        <f t="shared" si="22"/>
        <v>0-0.5</v>
      </c>
      <c r="AB365" s="23">
        <v>2</v>
      </c>
      <c r="AC365" s="30" t="str">
        <f>VLOOKUP(AB365,[2]Key!$C$20:$D$29,2,FALSE)</f>
        <v>Manual Labour</v>
      </c>
      <c r="AD365" s="23">
        <v>1</v>
      </c>
      <c r="AE365" s="30" t="str">
        <f>VLOOKUP(AD365,[2]Key!$E$20:$F$24,2,FALSE)</f>
        <v>&lt;300,000</v>
      </c>
      <c r="AF365" s="23">
        <v>2</v>
      </c>
      <c r="AG365" s="50">
        <v>1</v>
      </c>
      <c r="AH365" s="50">
        <v>5</v>
      </c>
      <c r="AI365" s="50">
        <v>4</v>
      </c>
      <c r="AJ365" s="50">
        <v>3</v>
      </c>
      <c r="AK365" s="46" t="s">
        <v>94</v>
      </c>
      <c r="AL365" s="36">
        <v>500</v>
      </c>
      <c r="AM365" t="str">
        <f t="shared" si="23"/>
        <v>0-1000</v>
      </c>
    </row>
    <row r="366" spans="1:39" x14ac:dyDescent="0.2">
      <c r="A366" s="44">
        <v>43760</v>
      </c>
      <c r="B366" s="48">
        <v>0.38194444444444442</v>
      </c>
      <c r="C366" s="48"/>
      <c r="D366" s="48"/>
      <c r="E366" s="13">
        <v>1</v>
      </c>
      <c r="F366" s="38" t="str">
        <f>VLOOKUP(E366,[2]Key!$A$17:$B$21,2,FALSE)</f>
        <v>Walking/Cycling</v>
      </c>
      <c r="G366" s="49">
        <v>13</v>
      </c>
      <c r="H366" s="39" t="str">
        <f>VLOOKUP(G366,[2]Key!$A$2:$B$14,2,FALSE)</f>
        <v>Bicycles</v>
      </c>
      <c r="I366" s="13" t="s">
        <v>109</v>
      </c>
      <c r="J366" s="13">
        <v>1</v>
      </c>
      <c r="K366" s="40" t="str">
        <f>VLOOKUP(J366,[2]Key!$A$24:$B$29,2,FALSE)</f>
        <v>20-29</v>
      </c>
      <c r="L366" s="11" t="s">
        <v>239</v>
      </c>
      <c r="M366" s="23" t="s">
        <v>220</v>
      </c>
      <c r="N366" s="13" t="s">
        <v>221</v>
      </c>
      <c r="O366" s="46">
        <v>1</v>
      </c>
      <c r="P366" s="30" t="str">
        <f>VLOOKUP(O366,[2]Key!$E$2:$F$9,2,FALSE)</f>
        <v>Home</v>
      </c>
      <c r="Q366" s="13" t="s">
        <v>225</v>
      </c>
      <c r="R366" s="23" t="s">
        <v>223</v>
      </c>
      <c r="S366" s="13" t="s">
        <v>221</v>
      </c>
      <c r="T366" s="23">
        <v>2</v>
      </c>
      <c r="U366" s="30" t="str">
        <f>VLOOKUP(T366,[2]Key!$E$2:$F$9,2,FALSE)</f>
        <v>Work</v>
      </c>
      <c r="V366" s="30" t="str">
        <f t="shared" si="20"/>
        <v>Home-Work</v>
      </c>
      <c r="W366" s="23">
        <v>1000</v>
      </c>
      <c r="X366" s="50">
        <v>2</v>
      </c>
      <c r="Y366" s="50" t="str">
        <f t="shared" si="21"/>
        <v>0-10</v>
      </c>
      <c r="Z366" s="50">
        <v>0.1</v>
      </c>
      <c r="AA366" s="50" t="str">
        <f t="shared" si="22"/>
        <v>0-0.5</v>
      </c>
      <c r="AB366" s="23">
        <v>2</v>
      </c>
      <c r="AC366" s="30" t="str">
        <f>VLOOKUP(AB366,[2]Key!$C$20:$D$29,2,FALSE)</f>
        <v>Manual Labour</v>
      </c>
      <c r="AD366" s="23">
        <v>1</v>
      </c>
      <c r="AE366" s="30" t="str">
        <f>VLOOKUP(AD366,[2]Key!$E$20:$F$24,2,FALSE)</f>
        <v>&lt;300,000</v>
      </c>
      <c r="AF366" s="23">
        <v>3</v>
      </c>
      <c r="AG366" s="50">
        <v>1</v>
      </c>
      <c r="AH366" s="50">
        <v>4</v>
      </c>
      <c r="AI366" s="50">
        <v>2</v>
      </c>
      <c r="AJ366" s="50">
        <v>5</v>
      </c>
      <c r="AK366" s="46" t="s">
        <v>94</v>
      </c>
      <c r="AL366" s="36"/>
      <c r="AM366" t="str">
        <f t="shared" si="23"/>
        <v>0-1000</v>
      </c>
    </row>
    <row r="367" spans="1:39" x14ac:dyDescent="0.2">
      <c r="A367" s="44">
        <v>43760</v>
      </c>
      <c r="B367" s="48">
        <v>0.41944444444444445</v>
      </c>
      <c r="C367" s="48"/>
      <c r="D367" s="48"/>
      <c r="E367" s="13">
        <v>1</v>
      </c>
      <c r="F367" s="38" t="str">
        <f>VLOOKUP(E367,[2]Key!$A$17:$B$21,2,FALSE)</f>
        <v>Walking/Cycling</v>
      </c>
      <c r="G367" s="49">
        <v>13</v>
      </c>
      <c r="H367" s="39" t="str">
        <f>VLOOKUP(G367,[2]Key!$A$2:$B$14,2,FALSE)</f>
        <v>Bicycles</v>
      </c>
      <c r="I367" s="13" t="s">
        <v>109</v>
      </c>
      <c r="J367" s="13">
        <v>1</v>
      </c>
      <c r="K367" s="40" t="str">
        <f>VLOOKUP(J367,[2]Key!$A$24:$B$29,2,FALSE)</f>
        <v>20-29</v>
      </c>
      <c r="L367" s="11" t="s">
        <v>241</v>
      </c>
      <c r="M367" s="23" t="s">
        <v>220</v>
      </c>
      <c r="N367" s="13" t="s">
        <v>221</v>
      </c>
      <c r="O367" s="46">
        <v>1</v>
      </c>
      <c r="P367" s="30" t="str">
        <f>VLOOKUP(O367,[2]Key!$E$2:$F$9,2,FALSE)</f>
        <v>Home</v>
      </c>
      <c r="Q367" s="13" t="s">
        <v>229</v>
      </c>
      <c r="R367" s="23" t="s">
        <v>223</v>
      </c>
      <c r="S367" s="13" t="s">
        <v>221</v>
      </c>
      <c r="T367" s="23">
        <v>4</v>
      </c>
      <c r="U367" s="30" t="str">
        <f>VLOOKUP(T367,[2]Key!$E$2:$F$9,2,FALSE)</f>
        <v>Commercial</v>
      </c>
      <c r="V367" s="30" t="str">
        <f t="shared" si="20"/>
        <v>Home-Commercial</v>
      </c>
      <c r="W367" s="23">
        <v>2000</v>
      </c>
      <c r="X367" s="50">
        <v>5</v>
      </c>
      <c r="Y367" s="50" t="str">
        <f t="shared" si="21"/>
        <v>0-10</v>
      </c>
      <c r="Z367" s="50">
        <v>0.25</v>
      </c>
      <c r="AA367" s="50" t="str">
        <f t="shared" si="22"/>
        <v>0-0.5</v>
      </c>
      <c r="AB367" s="23">
        <v>6</v>
      </c>
      <c r="AC367" s="30" t="str">
        <f>VLOOKUP(AB367,[2]Key!$C$20:$D$29,2,FALSE)</f>
        <v>Businessman</v>
      </c>
      <c r="AD367" s="23">
        <v>2</v>
      </c>
      <c r="AE367" s="30" t="str">
        <f>VLOOKUP(AD367,[2]Key!$E$20:$F$24,2,FALSE)</f>
        <v>300,000-500,000</v>
      </c>
      <c r="AF367" s="23">
        <v>1</v>
      </c>
      <c r="AG367" s="50">
        <v>2</v>
      </c>
      <c r="AH367" s="50">
        <v>3</v>
      </c>
      <c r="AI367" s="50">
        <v>4</v>
      </c>
      <c r="AJ367" s="50">
        <v>5</v>
      </c>
      <c r="AK367" s="46" t="s">
        <v>94</v>
      </c>
      <c r="AL367" s="36">
        <v>500</v>
      </c>
      <c r="AM367" t="str">
        <f t="shared" si="23"/>
        <v>0-1000</v>
      </c>
    </row>
    <row r="368" spans="1:39" x14ac:dyDescent="0.2">
      <c r="A368" s="44">
        <v>43760</v>
      </c>
      <c r="B368" s="48">
        <v>0.23611111111111113</v>
      </c>
      <c r="C368" s="48"/>
      <c r="D368" s="48"/>
      <c r="E368" s="13">
        <v>1</v>
      </c>
      <c r="F368" s="38" t="str">
        <f>VLOOKUP(E368,[2]Key!$A$17:$B$21,2,FALSE)</f>
        <v>Walking/Cycling</v>
      </c>
      <c r="G368" s="49">
        <v>13</v>
      </c>
      <c r="H368" s="39" t="str">
        <f>VLOOKUP(G368,[2]Key!$A$2:$B$14,2,FALSE)</f>
        <v>Bicycles</v>
      </c>
      <c r="I368" s="13" t="s">
        <v>109</v>
      </c>
      <c r="J368" s="13">
        <v>1</v>
      </c>
      <c r="K368" s="40" t="str">
        <f>VLOOKUP(J368,[2]Key!$A$24:$B$29,2,FALSE)</f>
        <v>20-29</v>
      </c>
      <c r="L368" s="11" t="s">
        <v>235</v>
      </c>
      <c r="M368" s="23" t="s">
        <v>220</v>
      </c>
      <c r="N368" s="13" t="s">
        <v>221</v>
      </c>
      <c r="O368" s="46">
        <v>3</v>
      </c>
      <c r="P368" s="30" t="str">
        <f>VLOOKUP(O368,[2]Key!$E$2:$F$9,2,FALSE)</f>
        <v>Study</v>
      </c>
      <c r="Q368" s="13" t="s">
        <v>242</v>
      </c>
      <c r="R368" s="23" t="s">
        <v>223</v>
      </c>
      <c r="S368" s="13" t="s">
        <v>221</v>
      </c>
      <c r="T368" s="23">
        <v>1</v>
      </c>
      <c r="U368" s="30" t="str">
        <f>VLOOKUP(T368,[2]Key!$E$2:$F$9,2,FALSE)</f>
        <v>Home</v>
      </c>
      <c r="V368" s="30" t="str">
        <f t="shared" si="20"/>
        <v>Study-Home</v>
      </c>
      <c r="W368" s="51">
        <v>2000</v>
      </c>
      <c r="X368" s="50">
        <v>0.5</v>
      </c>
      <c r="Y368" s="50" t="str">
        <f t="shared" si="21"/>
        <v>0-10</v>
      </c>
      <c r="Z368" s="50">
        <v>8.3299999999999999E-2</v>
      </c>
      <c r="AA368" s="50" t="str">
        <f t="shared" si="22"/>
        <v>0-0.5</v>
      </c>
      <c r="AB368" s="23">
        <v>8</v>
      </c>
      <c r="AC368" s="30" t="str">
        <f>VLOOKUP(AB368,[2]Key!$C$20:$D$29,2,FALSE)</f>
        <v>Student</v>
      </c>
      <c r="AD368" s="23">
        <v>1</v>
      </c>
      <c r="AE368" s="30" t="str">
        <f>VLOOKUP(AD368,[2]Key!$E$20:$F$24,2,FALSE)</f>
        <v>&lt;300,000</v>
      </c>
      <c r="AF368" s="23">
        <v>1</v>
      </c>
      <c r="AG368" s="50">
        <v>2</v>
      </c>
      <c r="AH368" s="50">
        <v>4</v>
      </c>
      <c r="AI368" s="50">
        <v>3</v>
      </c>
      <c r="AJ368" s="50">
        <v>5</v>
      </c>
      <c r="AK368" s="46" t="s">
        <v>94</v>
      </c>
      <c r="AL368" s="36">
        <v>1000</v>
      </c>
      <c r="AM368" t="str">
        <f t="shared" si="23"/>
        <v>1000-2000</v>
      </c>
    </row>
    <row r="369" spans="1:46" x14ac:dyDescent="0.2">
      <c r="A369" s="44">
        <v>43760</v>
      </c>
      <c r="B369" s="48">
        <v>0.22430555555555556</v>
      </c>
      <c r="C369" s="48"/>
      <c r="D369" s="48"/>
      <c r="E369" s="13">
        <v>1</v>
      </c>
      <c r="F369" s="38" t="str">
        <f>VLOOKUP(E369,[2]Key!$A$17:$B$21,2,FALSE)</f>
        <v>Walking/Cycling</v>
      </c>
      <c r="G369" s="49">
        <v>13</v>
      </c>
      <c r="H369" s="39" t="str">
        <f>VLOOKUP(G369,[2]Key!$A$2:$B$14,2,FALSE)</f>
        <v>Bicycles</v>
      </c>
      <c r="I369" s="13" t="s">
        <v>109</v>
      </c>
      <c r="J369" s="13">
        <v>1</v>
      </c>
      <c r="K369" s="40" t="str">
        <f>VLOOKUP(J369,[2]Key!$A$24:$B$29,2,FALSE)</f>
        <v>20-29</v>
      </c>
      <c r="L369" s="11" t="s">
        <v>227</v>
      </c>
      <c r="M369" s="23" t="s">
        <v>223</v>
      </c>
      <c r="N369" s="13" t="s">
        <v>221</v>
      </c>
      <c r="O369" s="46">
        <v>3</v>
      </c>
      <c r="P369" s="30" t="str">
        <f>VLOOKUP(O369,[2]Key!$E$2:$F$9,2,FALSE)</f>
        <v>Study</v>
      </c>
      <c r="Q369" s="13" t="s">
        <v>230</v>
      </c>
      <c r="R369" s="23" t="s">
        <v>223</v>
      </c>
      <c r="S369" s="13" t="s">
        <v>221</v>
      </c>
      <c r="T369" s="23">
        <v>1</v>
      </c>
      <c r="U369" s="30" t="str">
        <f>VLOOKUP(T369,[2]Key!$E$2:$F$9,2,FALSE)</f>
        <v>Home</v>
      </c>
      <c r="V369" s="30" t="str">
        <f t="shared" si="20"/>
        <v>Study-Home</v>
      </c>
      <c r="W369" s="51">
        <v>1000</v>
      </c>
      <c r="X369" s="50">
        <v>1</v>
      </c>
      <c r="Y369" s="50" t="str">
        <f t="shared" si="21"/>
        <v>0-10</v>
      </c>
      <c r="Z369" s="50">
        <v>8.3333000000000004E-2</v>
      </c>
      <c r="AA369" s="50" t="str">
        <f t="shared" si="22"/>
        <v>0-0.5</v>
      </c>
      <c r="AB369" s="23">
        <v>8</v>
      </c>
      <c r="AC369" s="30" t="str">
        <f>VLOOKUP(AB369,[2]Key!$C$20:$D$29,2,FALSE)</f>
        <v>Student</v>
      </c>
      <c r="AD369" s="23">
        <v>1</v>
      </c>
      <c r="AE369" s="30" t="str">
        <f>VLOOKUP(AD369,[2]Key!$E$20:$F$24,2,FALSE)</f>
        <v>&lt;300,000</v>
      </c>
      <c r="AF369" s="23">
        <v>2</v>
      </c>
      <c r="AG369" s="50">
        <v>3</v>
      </c>
      <c r="AH369" s="50">
        <v>4</v>
      </c>
      <c r="AI369" s="50">
        <v>1</v>
      </c>
      <c r="AJ369" s="50">
        <v>5</v>
      </c>
      <c r="AK369" s="46" t="s">
        <v>94</v>
      </c>
      <c r="AL369" s="36">
        <v>500</v>
      </c>
      <c r="AM369" t="str">
        <f t="shared" si="23"/>
        <v>0-1000</v>
      </c>
    </row>
    <row r="370" spans="1:46" x14ac:dyDescent="0.2">
      <c r="A370" s="44">
        <v>43760</v>
      </c>
      <c r="B370" s="48">
        <v>0.23263888888888887</v>
      </c>
      <c r="C370" s="48"/>
      <c r="D370" s="48"/>
      <c r="E370" s="13">
        <v>1</v>
      </c>
      <c r="F370" s="38" t="str">
        <f>VLOOKUP(E370,[2]Key!$A$17:$B$21,2,FALSE)</f>
        <v>Walking/Cycling</v>
      </c>
      <c r="G370" s="49">
        <v>13</v>
      </c>
      <c r="H370" s="39" t="str">
        <f>VLOOKUP(G370,[2]Key!$A$2:$B$14,2,FALSE)</f>
        <v>Bicycles</v>
      </c>
      <c r="I370" s="13" t="s">
        <v>109</v>
      </c>
      <c r="J370" s="13">
        <v>1</v>
      </c>
      <c r="K370" s="40" t="str">
        <f>VLOOKUP(J370,[2]Key!$A$24:$B$29,2,FALSE)</f>
        <v>20-29</v>
      </c>
      <c r="L370" s="11" t="s">
        <v>243</v>
      </c>
      <c r="M370" s="23" t="s">
        <v>223</v>
      </c>
      <c r="N370" s="13" t="s">
        <v>221</v>
      </c>
      <c r="O370" s="46">
        <v>3</v>
      </c>
      <c r="P370" s="30" t="str">
        <f>VLOOKUP(O370,[2]Key!$E$2:$F$9,2,FALSE)</f>
        <v>Study</v>
      </c>
      <c r="Q370" s="13" t="s">
        <v>244</v>
      </c>
      <c r="R370" s="23" t="s">
        <v>223</v>
      </c>
      <c r="S370" s="13" t="s">
        <v>221</v>
      </c>
      <c r="T370" s="23">
        <v>1</v>
      </c>
      <c r="U370" s="30" t="str">
        <f>VLOOKUP(T370,[2]Key!$E$2:$F$9,2,FALSE)</f>
        <v>Home</v>
      </c>
      <c r="V370" s="30" t="str">
        <f t="shared" si="20"/>
        <v>Study-Home</v>
      </c>
      <c r="W370" s="51">
        <v>2000</v>
      </c>
      <c r="X370" s="50"/>
      <c r="Y370" s="50" t="str">
        <f t="shared" si="21"/>
        <v>0-10</v>
      </c>
      <c r="Z370" s="50">
        <v>0.1</v>
      </c>
      <c r="AA370" s="50" t="str">
        <f t="shared" si="22"/>
        <v>0-0.5</v>
      </c>
      <c r="AB370" s="23">
        <v>8</v>
      </c>
      <c r="AC370" s="30" t="str">
        <f>VLOOKUP(AB370,[2]Key!$C$20:$D$29,2,FALSE)</f>
        <v>Student</v>
      </c>
      <c r="AD370" s="23">
        <v>1</v>
      </c>
      <c r="AE370" s="30" t="str">
        <f>VLOOKUP(AD370,[2]Key!$E$20:$F$24,2,FALSE)</f>
        <v>&lt;300,000</v>
      </c>
      <c r="AF370" s="23">
        <v>1</v>
      </c>
      <c r="AG370" s="50">
        <v>3</v>
      </c>
      <c r="AH370" s="50">
        <v>4</v>
      </c>
      <c r="AI370" s="50">
        <v>2</v>
      </c>
      <c r="AJ370" s="50">
        <v>5</v>
      </c>
      <c r="AK370" s="46" t="s">
        <v>94</v>
      </c>
      <c r="AL370" s="36"/>
      <c r="AM370" t="str">
        <f t="shared" si="23"/>
        <v>0-1000</v>
      </c>
    </row>
    <row r="371" spans="1:46" x14ac:dyDescent="0.2">
      <c r="A371" s="44">
        <v>43761</v>
      </c>
      <c r="B371" s="48">
        <v>0.41041666666666665</v>
      </c>
      <c r="C371" s="48"/>
      <c r="D371" s="48"/>
      <c r="E371" s="13">
        <v>1</v>
      </c>
      <c r="F371" s="38" t="str">
        <f>VLOOKUP(E371,[2]Key!$A$17:$B$21,2,FALSE)</f>
        <v>Walking/Cycling</v>
      </c>
      <c r="G371" s="49">
        <v>13</v>
      </c>
      <c r="H371" s="39" t="str">
        <f>VLOOKUP(G371,[2]Key!$A$2:$B$14,2,FALSE)</f>
        <v>Bicycles</v>
      </c>
      <c r="I371" s="13" t="s">
        <v>109</v>
      </c>
      <c r="J371" s="13">
        <v>1</v>
      </c>
      <c r="K371" s="40" t="str">
        <f>VLOOKUP(J371,[2]Key!$A$24:$B$29,2,FALSE)</f>
        <v>20-29</v>
      </c>
      <c r="L371" s="11" t="s">
        <v>234</v>
      </c>
      <c r="M371" s="23" t="s">
        <v>220</v>
      </c>
      <c r="N371" s="13" t="s">
        <v>221</v>
      </c>
      <c r="O371" s="46">
        <v>3</v>
      </c>
      <c r="P371" s="30" t="str">
        <f>VLOOKUP(O371,[2]Key!$E$2:$F$9,2,FALSE)</f>
        <v>Study</v>
      </c>
      <c r="Q371" s="13" t="s">
        <v>245</v>
      </c>
      <c r="R371" s="23" t="s">
        <v>223</v>
      </c>
      <c r="S371" s="13" t="s">
        <v>221</v>
      </c>
      <c r="T371" s="23">
        <v>1</v>
      </c>
      <c r="U371" s="30" t="str">
        <f>VLOOKUP(T371,[2]Key!$E$2:$F$9,2,FALSE)</f>
        <v>Home</v>
      </c>
      <c r="V371" s="30" t="str">
        <f t="shared" si="20"/>
        <v>Study-Home</v>
      </c>
      <c r="W371" s="51">
        <v>2000</v>
      </c>
      <c r="X371" s="50"/>
      <c r="Y371" s="50" t="str">
        <f t="shared" si="21"/>
        <v>0-10</v>
      </c>
      <c r="Z371" s="50">
        <v>8.3299999999999999E-2</v>
      </c>
      <c r="AA371" s="50" t="str">
        <f t="shared" si="22"/>
        <v>0-0.5</v>
      </c>
      <c r="AB371" s="23">
        <v>8</v>
      </c>
      <c r="AC371" s="30" t="str">
        <f>VLOOKUP(AB371,[2]Key!$C$20:$D$29,2,FALSE)</f>
        <v>Student</v>
      </c>
      <c r="AD371" s="23">
        <v>1</v>
      </c>
      <c r="AE371" s="30" t="str">
        <f>VLOOKUP(AD371,[2]Key!$E$20:$F$24,2,FALSE)</f>
        <v>&lt;300,000</v>
      </c>
      <c r="AF371" s="23">
        <v>1</v>
      </c>
      <c r="AG371" s="50">
        <v>5</v>
      </c>
      <c r="AH371" s="50">
        <v>3</v>
      </c>
      <c r="AI371" s="50">
        <v>2</v>
      </c>
      <c r="AJ371" s="50">
        <v>4</v>
      </c>
      <c r="AK371" s="46" t="s">
        <v>94</v>
      </c>
      <c r="AL371" s="36">
        <v>500</v>
      </c>
      <c r="AM371" t="str">
        <f t="shared" si="23"/>
        <v>0-1000</v>
      </c>
    </row>
    <row r="372" spans="1:46" x14ac:dyDescent="0.2">
      <c r="A372" s="44">
        <v>43759</v>
      </c>
      <c r="B372" s="48">
        <v>0.46736111111111112</v>
      </c>
      <c r="C372" s="48"/>
      <c r="D372" s="48" t="s">
        <v>150</v>
      </c>
      <c r="E372" s="13">
        <v>2</v>
      </c>
      <c r="F372" s="38" t="str">
        <f>VLOOKUP(E372,[1]Key!$A$17:$B$21,2,FALSE)</f>
        <v>Road Vehicle</v>
      </c>
      <c r="G372" s="49">
        <v>1</v>
      </c>
      <c r="H372" s="39" t="str">
        <f>VLOOKUP(G372,[2]Key!$A$2:$B$14,2,FALSE)</f>
        <v>Car</v>
      </c>
      <c r="I372" s="13" t="s">
        <v>156</v>
      </c>
      <c r="J372" s="13">
        <v>1</v>
      </c>
      <c r="K372" s="40" t="str">
        <f>VLOOKUP(J372,[1]Key!$A$24:$B$29,2,FALSE)</f>
        <v>20-29</v>
      </c>
      <c r="L372" s="11" t="s">
        <v>246</v>
      </c>
      <c r="M372" s="23" t="s">
        <v>247</v>
      </c>
      <c r="N372" s="13" t="s">
        <v>221</v>
      </c>
      <c r="O372" s="46">
        <v>4</v>
      </c>
      <c r="P372" s="30" t="str">
        <f>VLOOKUP(O372,[1]Key!$E$2:$F$9,2,FALSE)</f>
        <v>Commercial</v>
      </c>
      <c r="Q372" s="13" t="s">
        <v>223</v>
      </c>
      <c r="R372" s="23" t="s">
        <v>223</v>
      </c>
      <c r="S372" s="13" t="s">
        <v>221</v>
      </c>
      <c r="T372" s="23">
        <v>4</v>
      </c>
      <c r="U372" s="30" t="str">
        <f>VLOOKUP(T372,[1]Key!$E$2:$F$9,2,FALSE)</f>
        <v>Commercial</v>
      </c>
      <c r="V372" s="30" t="str">
        <f t="shared" si="20"/>
        <v>Commercial-Commercial</v>
      </c>
      <c r="W372" s="41">
        <v>4000</v>
      </c>
      <c r="X372" s="50">
        <v>35</v>
      </c>
      <c r="Y372" s="50" t="str">
        <f t="shared" si="21"/>
        <v>20-40</v>
      </c>
      <c r="Z372" s="50">
        <v>0.06</v>
      </c>
      <c r="AA372" s="50" t="str">
        <f t="shared" si="22"/>
        <v>0-0.5</v>
      </c>
      <c r="AB372" s="23">
        <v>6</v>
      </c>
      <c r="AC372" s="30" t="str">
        <f>VLOOKUP(AB372,[1]Key!$C$20:$D$29,2,FALSE)</f>
        <v>Businessman</v>
      </c>
      <c r="AD372" s="23">
        <v>1</v>
      </c>
      <c r="AE372" s="30" t="str">
        <f>VLOOKUP(AD372,[1]Key!$E$20:$F$24,2,FALSE)</f>
        <v>&lt;300,000</v>
      </c>
      <c r="AF372" s="23">
        <v>3</v>
      </c>
      <c r="AG372" s="50">
        <v>4</v>
      </c>
      <c r="AH372" s="50">
        <v>2</v>
      </c>
      <c r="AI372" s="50">
        <v>1</v>
      </c>
      <c r="AJ372" s="50">
        <v>5</v>
      </c>
      <c r="AK372" s="46" t="s">
        <v>94</v>
      </c>
      <c r="AL372" s="36">
        <v>1000</v>
      </c>
      <c r="AM372" t="str">
        <f t="shared" si="23"/>
        <v>1000-2000</v>
      </c>
    </row>
    <row r="373" spans="1:46" x14ac:dyDescent="0.2">
      <c r="A373" s="44">
        <v>43759</v>
      </c>
      <c r="B373" s="48">
        <v>0.48472222222222222</v>
      </c>
      <c r="C373" s="48"/>
      <c r="D373" s="48" t="s">
        <v>150</v>
      </c>
      <c r="E373" s="13">
        <v>2</v>
      </c>
      <c r="F373" s="38" t="str">
        <f>VLOOKUP(E373,[1]Key!$A$17:$B$21,2,FALSE)</f>
        <v>Road Vehicle</v>
      </c>
      <c r="G373" s="49">
        <v>1</v>
      </c>
      <c r="H373" s="39" t="str">
        <f>VLOOKUP(G373,[2]Key!$A$2:$B$14,2,FALSE)</f>
        <v>Car</v>
      </c>
      <c r="I373" s="13" t="s">
        <v>156</v>
      </c>
      <c r="J373" s="13">
        <v>1</v>
      </c>
      <c r="K373" s="40" t="str">
        <f>VLOOKUP(J373,[1]Key!$A$24:$B$29,2,FALSE)</f>
        <v>20-29</v>
      </c>
      <c r="L373" s="11" t="s">
        <v>238</v>
      </c>
      <c r="M373" s="23" t="s">
        <v>220</v>
      </c>
      <c r="N373" s="13" t="s">
        <v>221</v>
      </c>
      <c r="O373" s="46">
        <v>1</v>
      </c>
      <c r="P373" s="30" t="str">
        <f>VLOOKUP(O373,[1]Key!$E$2:$F$9,2,FALSE)</f>
        <v>Home</v>
      </c>
      <c r="Q373" s="13" t="s">
        <v>223</v>
      </c>
      <c r="R373" s="23" t="s">
        <v>223</v>
      </c>
      <c r="S373" s="13" t="s">
        <v>221</v>
      </c>
      <c r="T373" s="23">
        <v>8</v>
      </c>
      <c r="U373" s="30" t="str">
        <f>VLOOKUP(T373,[1]Key!$E$2:$F$9,2,FALSE)</f>
        <v>Others</v>
      </c>
      <c r="V373" s="30" t="str">
        <f t="shared" si="20"/>
        <v>Home-Others</v>
      </c>
      <c r="W373" s="51">
        <v>1000</v>
      </c>
      <c r="X373" s="50"/>
      <c r="Y373" s="50" t="str">
        <f t="shared" si="21"/>
        <v>0-10</v>
      </c>
      <c r="Z373" s="50">
        <v>8.3000000000000004E-2</v>
      </c>
      <c r="AA373" s="50" t="str">
        <f t="shared" si="22"/>
        <v>0-0.5</v>
      </c>
      <c r="AB373" s="23">
        <v>10</v>
      </c>
      <c r="AC373" s="30" t="str">
        <f>VLOOKUP(AB373,[1]Key!$C$20:$D$29,2,FALSE)</f>
        <v>Other</v>
      </c>
      <c r="AD373" s="23">
        <v>2</v>
      </c>
      <c r="AE373" s="30" t="str">
        <f>VLOOKUP(AD373,[1]Key!$E$20:$F$24,2,FALSE)</f>
        <v>300,000-500,000</v>
      </c>
      <c r="AF373" s="23"/>
      <c r="AG373" s="50"/>
      <c r="AH373" s="50"/>
      <c r="AI373" s="50"/>
      <c r="AJ373" s="50"/>
      <c r="AK373" s="46" t="s">
        <v>94</v>
      </c>
      <c r="AL373" s="36"/>
      <c r="AM373" t="str">
        <f t="shared" si="23"/>
        <v>0-1000</v>
      </c>
    </row>
    <row r="374" spans="1:46" x14ac:dyDescent="0.2">
      <c r="A374" s="44">
        <v>43760</v>
      </c>
      <c r="B374" s="48">
        <v>0.32430555555555557</v>
      </c>
      <c r="C374" s="48"/>
      <c r="D374" s="48" t="s">
        <v>248</v>
      </c>
      <c r="E374" s="13">
        <v>2</v>
      </c>
      <c r="F374" s="38" t="str">
        <f>VLOOKUP(E374,[2]Key!$A$17:$B$21,2,FALSE)</f>
        <v>Road Vehicle</v>
      </c>
      <c r="G374" s="49">
        <v>1</v>
      </c>
      <c r="H374" s="39" t="str">
        <f>VLOOKUP(G374,[2]Key!$A$2:$B$14,2,FALSE)</f>
        <v>Car</v>
      </c>
      <c r="I374" s="13" t="s">
        <v>156</v>
      </c>
      <c r="J374" s="13">
        <v>1</v>
      </c>
      <c r="K374" s="40" t="str">
        <f>VLOOKUP(J374,[2]Key!$A$24:$B$29,2,FALSE)</f>
        <v>20-29</v>
      </c>
      <c r="L374" s="11" t="s">
        <v>230</v>
      </c>
      <c r="M374" s="23" t="s">
        <v>223</v>
      </c>
      <c r="N374" s="13" t="s">
        <v>221</v>
      </c>
      <c r="O374" s="46">
        <v>1</v>
      </c>
      <c r="P374" s="30" t="str">
        <f>VLOOKUP(O374,[2]Key!$E$2:$F$9,2,FALSE)</f>
        <v>Home</v>
      </c>
      <c r="Q374" s="13" t="s">
        <v>219</v>
      </c>
      <c r="R374" s="23" t="s">
        <v>223</v>
      </c>
      <c r="S374" s="13" t="s">
        <v>221</v>
      </c>
      <c r="T374" s="23">
        <v>3</v>
      </c>
      <c r="U374" s="30" t="str">
        <f>VLOOKUP(T374,[2]Key!$E$2:$F$9,2,FALSE)</f>
        <v>Study</v>
      </c>
      <c r="V374" s="30" t="str">
        <f t="shared" si="20"/>
        <v>Home-Study</v>
      </c>
      <c r="W374" s="41">
        <v>2000</v>
      </c>
      <c r="X374" s="50">
        <v>7</v>
      </c>
      <c r="Y374" s="50" t="str">
        <f t="shared" si="21"/>
        <v>0-10</v>
      </c>
      <c r="Z374" s="50">
        <v>0.16666600000000001</v>
      </c>
      <c r="AA374" s="50" t="str">
        <f t="shared" si="22"/>
        <v>0-0.5</v>
      </c>
      <c r="AB374" s="23">
        <v>8</v>
      </c>
      <c r="AC374" s="30" t="str">
        <f>VLOOKUP(AB374,[2]Key!$C$20:$D$29,2,FALSE)</f>
        <v>Student</v>
      </c>
      <c r="AD374" s="23">
        <v>1</v>
      </c>
      <c r="AE374" s="30" t="str">
        <f>VLOOKUP(AD374,[2]Key!$E$20:$F$24,2,FALSE)</f>
        <v>&lt;300,000</v>
      </c>
      <c r="AF374" s="23">
        <v>1</v>
      </c>
      <c r="AG374" s="50">
        <v>2</v>
      </c>
      <c r="AH374" s="50">
        <v>4</v>
      </c>
      <c r="AI374" s="50">
        <v>3</v>
      </c>
      <c r="AJ374" s="50">
        <v>5</v>
      </c>
      <c r="AK374" s="46" t="s">
        <v>94</v>
      </c>
      <c r="AL374" s="36">
        <v>1000</v>
      </c>
      <c r="AM374" t="str">
        <f t="shared" si="23"/>
        <v>1000-2000</v>
      </c>
    </row>
    <row r="375" spans="1:46" s="19" customFormat="1" x14ac:dyDescent="0.2">
      <c r="A375" s="44">
        <v>43761</v>
      </c>
      <c r="B375" s="48">
        <v>0.43888888888888888</v>
      </c>
      <c r="C375" s="48"/>
      <c r="D375" s="48" t="s">
        <v>150</v>
      </c>
      <c r="E375" s="13">
        <v>2</v>
      </c>
      <c r="F375" s="38" t="str">
        <f>VLOOKUP(E375,[2]Key!$A$17:$B$21,2,FALSE)</f>
        <v>Road Vehicle</v>
      </c>
      <c r="G375" s="49">
        <v>1</v>
      </c>
      <c r="H375" s="39" t="str">
        <f>VLOOKUP(G375,[2]Key!$A$2:$B$14,2,FALSE)</f>
        <v>Car</v>
      </c>
      <c r="I375" s="13" t="s">
        <v>156</v>
      </c>
      <c r="J375" s="13">
        <v>1</v>
      </c>
      <c r="K375" s="40" t="str">
        <f>VLOOKUP(J375,[2]Key!$A$24:$B$29,2,FALSE)</f>
        <v>20-29</v>
      </c>
      <c r="L375" s="11" t="s">
        <v>245</v>
      </c>
      <c r="M375" s="23" t="s">
        <v>220</v>
      </c>
      <c r="N375" s="13" t="s">
        <v>221</v>
      </c>
      <c r="O375" s="46">
        <v>4</v>
      </c>
      <c r="P375" s="30" t="str">
        <f>VLOOKUP(O375,[2]Key!$E$2:$F$9,2,FALSE)</f>
        <v>Commercial</v>
      </c>
      <c r="Q375" s="13" t="s">
        <v>223</v>
      </c>
      <c r="R375" s="23" t="s">
        <v>223</v>
      </c>
      <c r="S375" s="13" t="s">
        <v>221</v>
      </c>
      <c r="T375" s="23">
        <v>4</v>
      </c>
      <c r="U375" s="30" t="str">
        <f>VLOOKUP(T375,[2]Key!$E$2:$F$9,2,FALSE)</f>
        <v>Commercial</v>
      </c>
      <c r="V375" s="30" t="str">
        <f t="shared" si="20"/>
        <v>Commercial-Commercial</v>
      </c>
      <c r="W375" s="23">
        <v>2000</v>
      </c>
      <c r="X375" s="50">
        <v>20</v>
      </c>
      <c r="Y375" s="50" t="str">
        <f t="shared" si="21"/>
        <v>20-40</v>
      </c>
      <c r="Z375" s="50">
        <v>0.1666</v>
      </c>
      <c r="AA375" s="50" t="str">
        <f t="shared" si="22"/>
        <v>0-0.5</v>
      </c>
      <c r="AB375" s="23">
        <v>7</v>
      </c>
      <c r="AC375" s="30" t="str">
        <f>VLOOKUP(AB375,[2]Key!$C$20:$D$29,2,FALSE)</f>
        <v>Farmer</v>
      </c>
      <c r="AD375" s="23">
        <v>1</v>
      </c>
      <c r="AE375" s="30" t="str">
        <f>VLOOKUP(AD375,[2]Key!$E$20:$F$24,2,FALSE)</f>
        <v>&lt;300,000</v>
      </c>
      <c r="AF375" s="23">
        <v>4</v>
      </c>
      <c r="AG375" s="50">
        <v>3</v>
      </c>
      <c r="AH375" s="50">
        <v>5</v>
      </c>
      <c r="AI375" s="50">
        <v>1</v>
      </c>
      <c r="AJ375" s="50">
        <v>2</v>
      </c>
      <c r="AK375" s="46" t="s">
        <v>94</v>
      </c>
      <c r="AL375" s="36">
        <v>500</v>
      </c>
      <c r="AM375" t="str">
        <f t="shared" si="23"/>
        <v>0-1000</v>
      </c>
      <c r="AN375"/>
      <c r="AO375"/>
      <c r="AP375"/>
      <c r="AQ375"/>
      <c r="AR375"/>
      <c r="AS375"/>
      <c r="AT375"/>
    </row>
    <row r="376" spans="1:46" x14ac:dyDescent="0.2">
      <c r="A376" s="44">
        <v>43761</v>
      </c>
      <c r="B376" s="48">
        <v>0.18333333333333335</v>
      </c>
      <c r="C376" s="48"/>
      <c r="D376" s="48" t="s">
        <v>248</v>
      </c>
      <c r="E376" s="13">
        <v>2</v>
      </c>
      <c r="F376" s="38" t="str">
        <f>VLOOKUP(E376,[2]Key!$A$17:$B$21,2,FALSE)</f>
        <v>Road Vehicle</v>
      </c>
      <c r="G376" s="49">
        <v>1</v>
      </c>
      <c r="H376" s="39" t="str">
        <f>VLOOKUP(G376,[2]Key!$A$2:$B$14,2,FALSE)</f>
        <v>Car</v>
      </c>
      <c r="I376" s="13" t="s">
        <v>156</v>
      </c>
      <c r="J376" s="13">
        <v>1</v>
      </c>
      <c r="K376" s="40" t="str">
        <f>VLOOKUP(J376,[2]Key!$A$24:$B$29,2,FALSE)</f>
        <v>20-29</v>
      </c>
      <c r="L376" s="11" t="s">
        <v>225</v>
      </c>
      <c r="M376" s="23" t="s">
        <v>220</v>
      </c>
      <c r="N376" s="13" t="s">
        <v>221</v>
      </c>
      <c r="O376" s="46">
        <v>6</v>
      </c>
      <c r="P376" s="30" t="str">
        <f>VLOOKUP(O376,[2]Key!$E$2:$F$9,2,FALSE)</f>
        <v>Leisure/Social</v>
      </c>
      <c r="Q376" s="13" t="s">
        <v>249</v>
      </c>
      <c r="R376" s="23" t="s">
        <v>250</v>
      </c>
      <c r="S376" s="13" t="s">
        <v>221</v>
      </c>
      <c r="T376" s="23">
        <v>1</v>
      </c>
      <c r="U376" s="30" t="str">
        <f>VLOOKUP(T376,[2]Key!$E$2:$F$9,2,FALSE)</f>
        <v>Home</v>
      </c>
      <c r="V376" s="30" t="str">
        <f t="shared" si="20"/>
        <v>Leisure/Social-Home</v>
      </c>
      <c r="W376" s="23">
        <v>7000</v>
      </c>
      <c r="X376" s="50"/>
      <c r="Y376" s="50" t="str">
        <f t="shared" si="21"/>
        <v>0-10</v>
      </c>
      <c r="Z376" s="50">
        <v>3</v>
      </c>
      <c r="AA376" s="50" t="str">
        <f t="shared" si="22"/>
        <v>2.0-3.5</v>
      </c>
      <c r="AB376" s="23">
        <v>8</v>
      </c>
      <c r="AC376" s="30" t="str">
        <f>VLOOKUP(AB376,[2]Key!$C$20:$D$29,2,FALSE)</f>
        <v>Student</v>
      </c>
      <c r="AD376" s="23">
        <v>1</v>
      </c>
      <c r="AE376" s="30" t="str">
        <f>VLOOKUP(AD376,[2]Key!$E$20:$F$24,2,FALSE)</f>
        <v>&lt;300,000</v>
      </c>
      <c r="AF376" s="23">
        <v>5</v>
      </c>
      <c r="AG376" s="50">
        <v>2</v>
      </c>
      <c r="AH376" s="50">
        <v>4</v>
      </c>
      <c r="AI376" s="50">
        <v>1</v>
      </c>
      <c r="AJ376" s="50">
        <v>3</v>
      </c>
      <c r="AK376" s="46" t="s">
        <v>94</v>
      </c>
      <c r="AL376" s="36" t="s">
        <v>251</v>
      </c>
      <c r="AM376" t="str">
        <f t="shared" si="23"/>
        <v>Over 10000</v>
      </c>
    </row>
    <row r="377" spans="1:46" x14ac:dyDescent="0.2">
      <c r="A377" s="44">
        <v>43761</v>
      </c>
      <c r="B377" s="48">
        <v>8.4027777777777771E-2</v>
      </c>
      <c r="C377" s="48"/>
      <c r="D377" s="48" t="s">
        <v>248</v>
      </c>
      <c r="E377" s="13">
        <v>2</v>
      </c>
      <c r="F377" s="38" t="str">
        <f>VLOOKUP(E377,[2]Key!$A$17:$B$21,2,FALSE)</f>
        <v>Road Vehicle</v>
      </c>
      <c r="G377" s="49">
        <v>1</v>
      </c>
      <c r="H377" s="39" t="str">
        <f>VLOOKUP(G377,[2]Key!$A$2:$B$14,2,FALSE)</f>
        <v>Car</v>
      </c>
      <c r="I377" s="13" t="s">
        <v>156</v>
      </c>
      <c r="J377" s="13">
        <v>1</v>
      </c>
      <c r="K377" s="40" t="str">
        <f>VLOOKUP(J377,[2]Key!$A$24:$B$29,2,FALSE)</f>
        <v>20-29</v>
      </c>
      <c r="L377" s="11" t="s">
        <v>252</v>
      </c>
      <c r="M377" s="23" t="s">
        <v>220</v>
      </c>
      <c r="N377" s="13" t="s">
        <v>221</v>
      </c>
      <c r="O377" s="46">
        <v>2</v>
      </c>
      <c r="P377" s="30" t="str">
        <f>VLOOKUP(O377,[2]Key!$E$2:$F$9,2,FALSE)</f>
        <v>Work</v>
      </c>
      <c r="Q377" s="13" t="s">
        <v>253</v>
      </c>
      <c r="R377" s="23" t="s">
        <v>223</v>
      </c>
      <c r="S377" s="13" t="s">
        <v>221</v>
      </c>
      <c r="T377" s="23">
        <v>1</v>
      </c>
      <c r="U377" s="30" t="str">
        <f>VLOOKUP(T377,[2]Key!$E$2:$F$9,2,FALSE)</f>
        <v>Home</v>
      </c>
      <c r="V377" s="30" t="str">
        <f t="shared" si="20"/>
        <v>Work-Home</v>
      </c>
      <c r="W377" s="23">
        <v>6000</v>
      </c>
      <c r="X377" s="50"/>
      <c r="Y377" s="50" t="str">
        <f t="shared" si="21"/>
        <v>0-10</v>
      </c>
      <c r="Z377" s="50">
        <v>1</v>
      </c>
      <c r="AA377" s="50" t="str">
        <f t="shared" si="22"/>
        <v>1.0-2.0</v>
      </c>
      <c r="AB377" s="23">
        <v>5</v>
      </c>
      <c r="AC377" s="30" t="str">
        <f>VLOOKUP(AB377,[2]Key!$C$20:$D$29,2,FALSE)</f>
        <v>Professional</v>
      </c>
      <c r="AD377" s="23">
        <v>3</v>
      </c>
      <c r="AE377" s="30" t="str">
        <f>VLOOKUP(AD377,[2]Key!$E$20:$F$24,2,FALSE)</f>
        <v>500,000-750,000</v>
      </c>
      <c r="AF377" s="23">
        <v>2</v>
      </c>
      <c r="AG377" s="50">
        <v>5</v>
      </c>
      <c r="AH377" s="50">
        <v>4</v>
      </c>
      <c r="AI377" s="50">
        <v>1</v>
      </c>
      <c r="AJ377" s="50">
        <v>3</v>
      </c>
      <c r="AK377" s="46" t="s">
        <v>94</v>
      </c>
      <c r="AL377" s="36">
        <v>1000</v>
      </c>
      <c r="AM377" t="str">
        <f t="shared" si="23"/>
        <v>1000-2000</v>
      </c>
    </row>
    <row r="378" spans="1:46" x14ac:dyDescent="0.2">
      <c r="A378" s="44">
        <v>43761</v>
      </c>
      <c r="B378" s="48">
        <v>5.486111111111111E-2</v>
      </c>
      <c r="C378" s="48"/>
      <c r="D378" s="48" t="s">
        <v>150</v>
      </c>
      <c r="E378" s="13">
        <v>2</v>
      </c>
      <c r="F378" s="38" t="str">
        <f>VLOOKUP(E378,[2]Key!$A$17:$B$21,2,FALSE)</f>
        <v>Road Vehicle</v>
      </c>
      <c r="G378" s="49">
        <v>1</v>
      </c>
      <c r="H378" s="39" t="str">
        <f>VLOOKUP(G378,[2]Key!$A$2:$B$14,2,FALSE)</f>
        <v>Car</v>
      </c>
      <c r="I378" s="13" t="s">
        <v>156</v>
      </c>
      <c r="J378" s="13">
        <v>1</v>
      </c>
      <c r="K378" s="40" t="str">
        <f>VLOOKUP(J378,[2]Key!$A$24:$B$29,2,FALSE)</f>
        <v>20-29</v>
      </c>
      <c r="L378" s="11" t="s">
        <v>254</v>
      </c>
      <c r="M378" s="23" t="s">
        <v>220</v>
      </c>
      <c r="N378" s="13" t="s">
        <v>221</v>
      </c>
      <c r="O378" s="46">
        <v>7</v>
      </c>
      <c r="P378" s="30" t="str">
        <f>VLOOKUP(O378,[2]Key!$E$2:$F$9,2,FALSE)</f>
        <v>Hospital</v>
      </c>
      <c r="Q378" s="13" t="s">
        <v>255</v>
      </c>
      <c r="R378" s="23" t="s">
        <v>256</v>
      </c>
      <c r="S378" s="13" t="s">
        <v>221</v>
      </c>
      <c r="T378" s="23">
        <v>1</v>
      </c>
      <c r="U378" s="30" t="str">
        <f>VLOOKUP(T378,[2]Key!$E$2:$F$9,2,FALSE)</f>
        <v>Home</v>
      </c>
      <c r="V378" s="30" t="str">
        <f t="shared" si="20"/>
        <v>Hospital-Home</v>
      </c>
      <c r="W378" s="51">
        <v>12000</v>
      </c>
      <c r="X378" s="50">
        <v>300</v>
      </c>
      <c r="Y378" s="50" t="str">
        <f t="shared" si="21"/>
        <v>Over 200</v>
      </c>
      <c r="Z378" s="50">
        <v>4</v>
      </c>
      <c r="AA378" s="50" t="str">
        <f t="shared" si="22"/>
        <v>Over 3.5</v>
      </c>
      <c r="AB378" s="23">
        <v>4</v>
      </c>
      <c r="AC378" s="30" t="str">
        <f>VLOOKUP(AB378,[2]Key!$C$20:$D$29,2,FALSE)</f>
        <v>Office Worker</v>
      </c>
      <c r="AD378" s="23">
        <v>1</v>
      </c>
      <c r="AE378" s="30" t="str">
        <f>VLOOKUP(AD378,[2]Key!$E$20:$F$24,2,FALSE)</f>
        <v>&lt;300,000</v>
      </c>
      <c r="AF378" s="23">
        <v>2</v>
      </c>
      <c r="AG378" s="50">
        <v>1</v>
      </c>
      <c r="AH378" s="50">
        <v>5</v>
      </c>
      <c r="AI378" s="50">
        <v>3</v>
      </c>
      <c r="AJ378" s="50">
        <v>4</v>
      </c>
      <c r="AK378" s="46" t="s">
        <v>94</v>
      </c>
      <c r="AL378" s="36">
        <v>600</v>
      </c>
      <c r="AM378" t="str">
        <f t="shared" si="23"/>
        <v>0-1000</v>
      </c>
    </row>
    <row r="379" spans="1:46" x14ac:dyDescent="0.2">
      <c r="A379" s="44">
        <v>43759</v>
      </c>
      <c r="B379" s="48">
        <v>0.26666666666666666</v>
      </c>
      <c r="C379" s="48"/>
      <c r="D379" s="48" t="s">
        <v>97</v>
      </c>
      <c r="E379" s="13">
        <v>2</v>
      </c>
      <c r="F379" s="38" t="str">
        <f>VLOOKUP(E379,[2]Key!$A$17:$B$21,2,FALSE)</f>
        <v>Road Vehicle</v>
      </c>
      <c r="G379" s="49">
        <v>1</v>
      </c>
      <c r="H379" s="39" t="str">
        <f>VLOOKUP(G379,[2]Key!$A$2:$B$14,2,FALSE)</f>
        <v>Car</v>
      </c>
      <c r="I379" s="13" t="s">
        <v>109</v>
      </c>
      <c r="J379" s="13">
        <v>1</v>
      </c>
      <c r="K379" s="40" t="str">
        <f>VLOOKUP(J379,[2]Key!$A$24:$B$29,2,FALSE)</f>
        <v>20-29</v>
      </c>
      <c r="L379" s="11" t="s">
        <v>257</v>
      </c>
      <c r="M379" s="23" t="s">
        <v>223</v>
      </c>
      <c r="N379" s="13" t="s">
        <v>221</v>
      </c>
      <c r="O379" s="46">
        <v>2</v>
      </c>
      <c r="P379" s="30" t="str">
        <f>VLOOKUP(O379,[2]Key!$E$2:$F$9,2,FALSE)</f>
        <v>Work</v>
      </c>
      <c r="Q379" s="13" t="s">
        <v>258</v>
      </c>
      <c r="R379" s="23" t="s">
        <v>223</v>
      </c>
      <c r="S379" s="13" t="s">
        <v>221</v>
      </c>
      <c r="T379" s="23">
        <v>2</v>
      </c>
      <c r="U379" s="30" t="str">
        <f>VLOOKUP(T379,[2]Key!$E$2:$F$9,2,FALSE)</f>
        <v>Work</v>
      </c>
      <c r="V379" s="30" t="str">
        <f t="shared" si="20"/>
        <v>Work-Work</v>
      </c>
      <c r="W379" s="41">
        <v>10000</v>
      </c>
      <c r="X379" s="50"/>
      <c r="Y379" s="50" t="str">
        <f t="shared" si="21"/>
        <v>0-10</v>
      </c>
      <c r="Z379" s="50">
        <v>0.5</v>
      </c>
      <c r="AA379" s="50" t="str">
        <f t="shared" si="22"/>
        <v>0.5-1.0</v>
      </c>
      <c r="AB379" s="23">
        <v>10</v>
      </c>
      <c r="AC379" s="30" t="str">
        <f>VLOOKUP(AB379,[2]Key!$C$20:$D$29,2,FALSE)</f>
        <v>Other</v>
      </c>
      <c r="AD379" s="23">
        <v>1</v>
      </c>
      <c r="AE379" s="30" t="str">
        <f>VLOOKUP(AD379,[2]Key!$E$20:$F$24,2,FALSE)</f>
        <v>&lt;300,000</v>
      </c>
      <c r="AF379" s="23">
        <v>1</v>
      </c>
      <c r="AG379" s="50">
        <v>3</v>
      </c>
      <c r="AH379" s="50">
        <v>5</v>
      </c>
      <c r="AI379" s="50">
        <v>2</v>
      </c>
      <c r="AJ379" s="50">
        <v>4</v>
      </c>
      <c r="AK379" s="46" t="s">
        <v>94</v>
      </c>
      <c r="AL379" s="36"/>
      <c r="AM379" t="str">
        <f t="shared" si="23"/>
        <v>0-1000</v>
      </c>
    </row>
    <row r="380" spans="1:46" x14ac:dyDescent="0.2">
      <c r="A380" s="44">
        <v>43759</v>
      </c>
      <c r="B380" s="48">
        <v>0.27847222222222223</v>
      </c>
      <c r="C380" s="48"/>
      <c r="D380" s="48" t="s">
        <v>150</v>
      </c>
      <c r="E380" s="13">
        <v>2</v>
      </c>
      <c r="F380" s="38" t="str">
        <f>VLOOKUP(E380,[2]Key!$A$17:$B$21,2,FALSE)</f>
        <v>Road Vehicle</v>
      </c>
      <c r="G380" s="49">
        <v>1</v>
      </c>
      <c r="H380" s="39" t="str">
        <f>VLOOKUP(G380,[2]Key!$A$2:$B$14,2,FALSE)</f>
        <v>Car</v>
      </c>
      <c r="I380" s="13" t="s">
        <v>109</v>
      </c>
      <c r="J380" s="13">
        <v>1</v>
      </c>
      <c r="K380" s="40" t="str">
        <f>VLOOKUP(J380,[2]Key!$A$24:$B$29,2,FALSE)</f>
        <v>20-29</v>
      </c>
      <c r="L380" s="11" t="s">
        <v>259</v>
      </c>
      <c r="M380" s="23" t="s">
        <v>223</v>
      </c>
      <c r="N380" s="13" t="s">
        <v>221</v>
      </c>
      <c r="O380" s="46">
        <v>2</v>
      </c>
      <c r="P380" s="30" t="str">
        <f>VLOOKUP(O380,[2]Key!$E$2:$F$9,2,FALSE)</f>
        <v>Work</v>
      </c>
      <c r="Q380" s="13" t="s">
        <v>231</v>
      </c>
      <c r="R380" s="23" t="s">
        <v>260</v>
      </c>
      <c r="S380" s="13" t="s">
        <v>221</v>
      </c>
      <c r="T380" s="23">
        <v>2</v>
      </c>
      <c r="U380" s="30" t="str">
        <f>VLOOKUP(T380,[2]Key!$E$2:$F$9,2,FALSE)</f>
        <v>Work</v>
      </c>
      <c r="V380" s="30" t="str">
        <f t="shared" si="20"/>
        <v>Work-Work</v>
      </c>
      <c r="W380" s="41">
        <v>15000</v>
      </c>
      <c r="X380" s="50">
        <v>184</v>
      </c>
      <c r="Y380" s="50" t="str">
        <f t="shared" si="21"/>
        <v>100-200</v>
      </c>
      <c r="Z380" s="50">
        <v>4</v>
      </c>
      <c r="AA380" s="50" t="str">
        <f t="shared" si="22"/>
        <v>Over 3.5</v>
      </c>
      <c r="AB380" s="23">
        <v>10</v>
      </c>
      <c r="AC380" s="30" t="str">
        <f>VLOOKUP(AB380,[2]Key!$C$20:$D$29,2,FALSE)</f>
        <v>Other</v>
      </c>
      <c r="AD380" s="23">
        <v>1</v>
      </c>
      <c r="AE380" s="30" t="str">
        <f>VLOOKUP(AD380,[2]Key!$E$20:$F$24,2,FALSE)</f>
        <v>&lt;300,000</v>
      </c>
      <c r="AF380" s="23">
        <v>1</v>
      </c>
      <c r="AG380" s="50">
        <v>2</v>
      </c>
      <c r="AH380" s="50">
        <v>5</v>
      </c>
      <c r="AI380" s="50">
        <v>4</v>
      </c>
      <c r="AJ380" s="50">
        <v>3</v>
      </c>
      <c r="AK380" s="46" t="s">
        <v>94</v>
      </c>
      <c r="AL380" s="36">
        <v>1000</v>
      </c>
      <c r="AM380" t="str">
        <f t="shared" si="23"/>
        <v>1000-2000</v>
      </c>
    </row>
    <row r="381" spans="1:46" x14ac:dyDescent="0.2">
      <c r="A381" s="44">
        <v>43760</v>
      </c>
      <c r="B381" s="48">
        <v>0.2986111111111111</v>
      </c>
      <c r="C381" s="48"/>
      <c r="D381" s="48" t="s">
        <v>150</v>
      </c>
      <c r="E381" s="13">
        <v>2</v>
      </c>
      <c r="F381" s="38" t="str">
        <f>VLOOKUP(E381,[2]Key!$A$17:$B$21,2,FALSE)</f>
        <v>Road Vehicle</v>
      </c>
      <c r="G381" s="49">
        <v>1</v>
      </c>
      <c r="H381" s="39" t="str">
        <f>VLOOKUP(G381,[2]Key!$A$2:$B$14,2,FALSE)</f>
        <v>Car</v>
      </c>
      <c r="I381" s="13" t="s">
        <v>109</v>
      </c>
      <c r="J381" s="13">
        <v>1</v>
      </c>
      <c r="K381" s="40" t="str">
        <f>VLOOKUP(J381,[2]Key!$A$24:$B$29,2,FALSE)</f>
        <v>20-29</v>
      </c>
      <c r="L381" s="11" t="s">
        <v>224</v>
      </c>
      <c r="M381" s="23" t="s">
        <v>223</v>
      </c>
      <c r="N381" s="13" t="s">
        <v>221</v>
      </c>
      <c r="O381" s="46">
        <v>1</v>
      </c>
      <c r="P381" s="30" t="str">
        <f>VLOOKUP(O381,[2]Key!$E$2:$F$9,2,FALSE)</f>
        <v>Home</v>
      </c>
      <c r="Q381" s="13" t="s">
        <v>261</v>
      </c>
      <c r="R381" s="23" t="s">
        <v>223</v>
      </c>
      <c r="S381" s="13" t="s">
        <v>221</v>
      </c>
      <c r="T381" s="23">
        <v>2</v>
      </c>
      <c r="U381" s="30" t="str">
        <f>VLOOKUP(T381,[2]Key!$E$2:$F$9,2,FALSE)</f>
        <v>Work</v>
      </c>
      <c r="V381" s="30" t="str">
        <f t="shared" si="20"/>
        <v>Home-Work</v>
      </c>
      <c r="W381" s="41">
        <v>8000</v>
      </c>
      <c r="X381" s="50">
        <v>95</v>
      </c>
      <c r="Y381" s="50" t="str">
        <f t="shared" si="21"/>
        <v>70-100</v>
      </c>
      <c r="Z381" s="50">
        <v>3</v>
      </c>
      <c r="AA381" s="50" t="str">
        <f t="shared" si="22"/>
        <v>2.0-3.5</v>
      </c>
      <c r="AB381" s="23">
        <v>2</v>
      </c>
      <c r="AC381" s="30" t="str">
        <f>VLOOKUP(AB381,[2]Key!$C$20:$D$29,2,FALSE)</f>
        <v>Manual Labour</v>
      </c>
      <c r="AD381" s="23">
        <v>1</v>
      </c>
      <c r="AE381" s="30" t="str">
        <f>VLOOKUP(AD381,[2]Key!$E$20:$F$24,2,FALSE)</f>
        <v>&lt;300,000</v>
      </c>
      <c r="AF381" s="23">
        <v>2</v>
      </c>
      <c r="AG381" s="50">
        <v>5</v>
      </c>
      <c r="AH381" s="50">
        <v>1</v>
      </c>
      <c r="AI381" s="50">
        <v>3</v>
      </c>
      <c r="AJ381" s="50">
        <v>4</v>
      </c>
      <c r="AK381" s="46" t="s">
        <v>94</v>
      </c>
      <c r="AL381" s="36">
        <v>1000</v>
      </c>
      <c r="AM381" t="str">
        <f t="shared" si="23"/>
        <v>1000-2000</v>
      </c>
      <c r="AN381" s="19"/>
      <c r="AO381" s="19"/>
      <c r="AP381" s="19"/>
      <c r="AQ381" s="19"/>
      <c r="AR381" s="19"/>
      <c r="AS381" s="19"/>
      <c r="AT381" s="19"/>
    </row>
    <row r="382" spans="1:46" x14ac:dyDescent="0.2">
      <c r="A382" s="44">
        <v>43760</v>
      </c>
      <c r="B382" s="48">
        <v>0.30555555555555552</v>
      </c>
      <c r="C382" s="48"/>
      <c r="D382" s="48" t="s">
        <v>248</v>
      </c>
      <c r="E382" s="13">
        <v>2</v>
      </c>
      <c r="F382" s="38" t="str">
        <f>VLOOKUP(E382,[2]Key!$A$17:$B$21,2,FALSE)</f>
        <v>Road Vehicle</v>
      </c>
      <c r="G382" s="49">
        <v>1</v>
      </c>
      <c r="H382" s="39" t="str">
        <f>VLOOKUP(G382,[2]Key!$A$2:$B$14,2,FALSE)</f>
        <v>Car</v>
      </c>
      <c r="I382" s="13" t="s">
        <v>109</v>
      </c>
      <c r="J382" s="13">
        <v>1</v>
      </c>
      <c r="K382" s="40" t="str">
        <f>VLOOKUP(J382,[2]Key!$A$24:$B$29,2,FALSE)</f>
        <v>20-29</v>
      </c>
      <c r="L382" s="11" t="s">
        <v>262</v>
      </c>
      <c r="M382" s="23" t="s">
        <v>223</v>
      </c>
      <c r="N382" s="13" t="s">
        <v>221</v>
      </c>
      <c r="O382" s="46">
        <v>1</v>
      </c>
      <c r="P382" s="30" t="str">
        <f>VLOOKUP(O382,[2]Key!$E$2:$F$9,2,FALSE)</f>
        <v>Home</v>
      </c>
      <c r="Q382" s="13" t="s">
        <v>263</v>
      </c>
      <c r="R382" s="23" t="s">
        <v>263</v>
      </c>
      <c r="S382" s="13" t="s">
        <v>221</v>
      </c>
      <c r="T382" s="23">
        <v>4</v>
      </c>
      <c r="U382" s="30" t="str">
        <f>VLOOKUP(T382,[2]Key!$E$2:$F$9,2,FALSE)</f>
        <v>Commercial</v>
      </c>
      <c r="V382" s="30" t="str">
        <f t="shared" si="20"/>
        <v>Home-Commercial</v>
      </c>
      <c r="W382" s="41">
        <v>5000</v>
      </c>
      <c r="X382" s="50">
        <v>65</v>
      </c>
      <c r="Y382" s="50" t="str">
        <f t="shared" si="21"/>
        <v>40-70</v>
      </c>
      <c r="Z382" s="50">
        <v>1.5</v>
      </c>
      <c r="AA382" s="50" t="str">
        <f t="shared" si="22"/>
        <v>1.0-2.0</v>
      </c>
      <c r="AB382" s="23">
        <v>7</v>
      </c>
      <c r="AC382" s="30" t="str">
        <f>VLOOKUP(AB382,[2]Key!$C$20:$D$29,2,FALSE)</f>
        <v>Farmer</v>
      </c>
      <c r="AD382" s="23">
        <v>1</v>
      </c>
      <c r="AE382" s="30" t="str">
        <f>VLOOKUP(AD382,[2]Key!$E$20:$F$24,2,FALSE)</f>
        <v>&lt;300,000</v>
      </c>
      <c r="AF382" s="23">
        <v>1</v>
      </c>
      <c r="AG382" s="50">
        <v>2</v>
      </c>
      <c r="AH382" s="50">
        <v>3</v>
      </c>
      <c r="AI382" s="50">
        <v>4</v>
      </c>
      <c r="AJ382" s="50">
        <v>5</v>
      </c>
      <c r="AK382" s="46" t="s">
        <v>94</v>
      </c>
      <c r="AL382" s="36">
        <v>1000</v>
      </c>
      <c r="AM382" t="str">
        <f t="shared" si="23"/>
        <v>1000-2000</v>
      </c>
    </row>
    <row r="383" spans="1:46" x14ac:dyDescent="0.2">
      <c r="A383" s="44">
        <v>43761</v>
      </c>
      <c r="B383" s="48">
        <v>0.3263888888888889</v>
      </c>
      <c r="C383" s="48"/>
      <c r="D383" s="48" t="s">
        <v>97</v>
      </c>
      <c r="E383" s="13">
        <v>2</v>
      </c>
      <c r="F383" s="38" t="str">
        <f>VLOOKUP(E383,[2]Key!$A$17:$B$21,2,FALSE)</f>
        <v>Road Vehicle</v>
      </c>
      <c r="G383" s="49">
        <v>1</v>
      </c>
      <c r="H383" s="39" t="str">
        <f>VLOOKUP(G383,[2]Key!$A$2:$B$14,2,FALSE)</f>
        <v>Car</v>
      </c>
      <c r="I383" s="13" t="s">
        <v>109</v>
      </c>
      <c r="J383" s="13">
        <v>1</v>
      </c>
      <c r="K383" s="40" t="str">
        <f>VLOOKUP(J383,[2]Key!$A$24:$B$29,2,FALSE)</f>
        <v>20-29</v>
      </c>
      <c r="L383" s="11" t="s">
        <v>258</v>
      </c>
      <c r="M383" s="23" t="s">
        <v>220</v>
      </c>
      <c r="N383" s="13" t="s">
        <v>221</v>
      </c>
      <c r="O383" s="46">
        <v>2</v>
      </c>
      <c r="P383" s="30" t="str">
        <f>VLOOKUP(O383,[2]Key!$E$2:$F$9,2,FALSE)</f>
        <v>Work</v>
      </c>
      <c r="Q383" s="13" t="s">
        <v>264</v>
      </c>
      <c r="R383" s="23" t="s">
        <v>223</v>
      </c>
      <c r="S383" s="13" t="s">
        <v>221</v>
      </c>
      <c r="T383" s="23">
        <v>2</v>
      </c>
      <c r="U383" s="30" t="str">
        <f>VLOOKUP(T383,[2]Key!$E$2:$F$9,2,FALSE)</f>
        <v>Work</v>
      </c>
      <c r="V383" s="30" t="str">
        <f t="shared" si="20"/>
        <v>Work-Work</v>
      </c>
      <c r="W383" s="51">
        <v>150000</v>
      </c>
      <c r="X383" s="50">
        <v>15</v>
      </c>
      <c r="Y383" s="50" t="str">
        <f t="shared" si="21"/>
        <v>10-20</v>
      </c>
      <c r="Z383" s="50">
        <v>0.33300000000000002</v>
      </c>
      <c r="AA383" s="50" t="str">
        <f t="shared" si="22"/>
        <v>0-0.5</v>
      </c>
      <c r="AB383" s="23">
        <v>2</v>
      </c>
      <c r="AC383" s="30" t="str">
        <f>VLOOKUP(AB383,[2]Key!$C$20:$D$29,2,FALSE)</f>
        <v>Manual Labour</v>
      </c>
      <c r="AD383" s="23">
        <v>1</v>
      </c>
      <c r="AE383" s="30" t="str">
        <f>VLOOKUP(AD383,[2]Key!$E$20:$F$24,2,FALSE)</f>
        <v>&lt;300,000</v>
      </c>
      <c r="AF383" s="23">
        <v>5</v>
      </c>
      <c r="AG383" s="50">
        <v>1</v>
      </c>
      <c r="AH383" s="50">
        <v>4</v>
      </c>
      <c r="AI383" s="50">
        <v>2</v>
      </c>
      <c r="AJ383" s="50">
        <v>3</v>
      </c>
      <c r="AK383" s="46" t="s">
        <v>94</v>
      </c>
      <c r="AL383" s="36">
        <v>1000</v>
      </c>
      <c r="AM383" t="str">
        <f t="shared" si="23"/>
        <v>1000-2000</v>
      </c>
    </row>
    <row r="384" spans="1:46" x14ac:dyDescent="0.2">
      <c r="A384" s="44">
        <v>43761</v>
      </c>
      <c r="B384" s="48">
        <v>0.49305555555555558</v>
      </c>
      <c r="C384" s="48"/>
      <c r="D384" s="48" t="s">
        <v>97</v>
      </c>
      <c r="E384" s="13">
        <v>2</v>
      </c>
      <c r="F384" s="38" t="str">
        <f>VLOOKUP(E384,[2]Key!$A$17:$B$21,2,FALSE)</f>
        <v>Road Vehicle</v>
      </c>
      <c r="G384" s="49">
        <v>1</v>
      </c>
      <c r="H384" s="39" t="str">
        <f>VLOOKUP(G384,[2]Key!$A$2:$B$14,2,FALSE)</f>
        <v>Car</v>
      </c>
      <c r="I384" s="13" t="s">
        <v>109</v>
      </c>
      <c r="J384" s="13">
        <v>1</v>
      </c>
      <c r="K384" s="40" t="str">
        <f>VLOOKUP(J384,[2]Key!$A$24:$B$29,2,FALSE)</f>
        <v>20-29</v>
      </c>
      <c r="L384" s="11" t="s">
        <v>220</v>
      </c>
      <c r="M384" s="23" t="s">
        <v>223</v>
      </c>
      <c r="N384" s="13" t="s">
        <v>221</v>
      </c>
      <c r="O384" s="46">
        <v>2</v>
      </c>
      <c r="P384" s="30" t="str">
        <f>VLOOKUP(O384,[2]Key!$E$2:$F$9,2,FALSE)</f>
        <v>Work</v>
      </c>
      <c r="Q384" s="13" t="s">
        <v>245</v>
      </c>
      <c r="R384" s="23" t="s">
        <v>223</v>
      </c>
      <c r="S384" s="13" t="s">
        <v>221</v>
      </c>
      <c r="T384" s="23">
        <v>2</v>
      </c>
      <c r="U384" s="30" t="str">
        <f>VLOOKUP(T384,[2]Key!$E$2:$F$9,2,FALSE)</f>
        <v>Work</v>
      </c>
      <c r="V384" s="30" t="str">
        <f t="shared" si="20"/>
        <v>Work-Work</v>
      </c>
      <c r="W384" s="51">
        <v>20000</v>
      </c>
      <c r="X384" s="50"/>
      <c r="Y384" s="50" t="str">
        <f t="shared" si="21"/>
        <v>0-10</v>
      </c>
      <c r="Z384" s="50">
        <v>0.33</v>
      </c>
      <c r="AA384" s="50" t="str">
        <f t="shared" si="22"/>
        <v>0-0.5</v>
      </c>
      <c r="AB384" s="23">
        <v>2</v>
      </c>
      <c r="AC384" s="30" t="str">
        <f>VLOOKUP(AB384,[2]Key!$C$20:$D$29,2,FALSE)</f>
        <v>Manual Labour</v>
      </c>
      <c r="AD384" s="23">
        <v>1</v>
      </c>
      <c r="AE384" s="30" t="str">
        <f>VLOOKUP(AD384,[2]Key!$E$20:$F$24,2,FALSE)</f>
        <v>&lt;300,000</v>
      </c>
      <c r="AF384" s="23">
        <v>2</v>
      </c>
      <c r="AG384" s="50">
        <v>1</v>
      </c>
      <c r="AH384" s="50">
        <v>3</v>
      </c>
      <c r="AI384" s="50">
        <v>4</v>
      </c>
      <c r="AJ384" s="50">
        <v>5</v>
      </c>
      <c r="AK384" s="46" t="s">
        <v>94</v>
      </c>
      <c r="AL384" s="36"/>
      <c r="AM384" t="str">
        <f t="shared" si="23"/>
        <v>0-1000</v>
      </c>
    </row>
    <row r="385" spans="1:39" x14ac:dyDescent="0.2">
      <c r="A385" s="44">
        <v>43761</v>
      </c>
      <c r="B385" s="48">
        <v>0.52083333333333337</v>
      </c>
      <c r="C385" s="48"/>
      <c r="D385" s="48" t="s">
        <v>97</v>
      </c>
      <c r="E385" s="13">
        <v>2</v>
      </c>
      <c r="F385" s="38" t="str">
        <f>VLOOKUP(E385,[2]Key!$A$17:$B$21,2,FALSE)</f>
        <v>Road Vehicle</v>
      </c>
      <c r="G385" s="49">
        <v>1</v>
      </c>
      <c r="H385" s="39" t="str">
        <f>VLOOKUP(G385,[2]Key!$A$2:$B$14,2,FALSE)</f>
        <v>Car</v>
      </c>
      <c r="I385" s="13" t="s">
        <v>109</v>
      </c>
      <c r="J385" s="13">
        <v>1</v>
      </c>
      <c r="K385" s="40" t="str">
        <f>VLOOKUP(J385,[2]Key!$A$24:$B$29,2,FALSE)</f>
        <v>20-29</v>
      </c>
      <c r="L385" s="11" t="s">
        <v>220</v>
      </c>
      <c r="M385" s="23" t="s">
        <v>220</v>
      </c>
      <c r="N385" s="13" t="s">
        <v>221</v>
      </c>
      <c r="O385" s="46">
        <v>2</v>
      </c>
      <c r="P385" s="30" t="str">
        <f>VLOOKUP(O385,[2]Key!$E$2:$F$9,2,FALSE)</f>
        <v>Work</v>
      </c>
      <c r="Q385" s="13" t="s">
        <v>265</v>
      </c>
      <c r="R385" s="23" t="s">
        <v>223</v>
      </c>
      <c r="S385" s="13" t="s">
        <v>221</v>
      </c>
      <c r="T385" s="23">
        <v>2</v>
      </c>
      <c r="U385" s="30" t="str">
        <f>VLOOKUP(T385,[2]Key!$E$2:$F$9,2,FALSE)</f>
        <v>Work</v>
      </c>
      <c r="V385" s="30" t="str">
        <f t="shared" si="20"/>
        <v>Work-Work</v>
      </c>
      <c r="W385" s="51">
        <v>20000</v>
      </c>
      <c r="X385" s="50">
        <v>45</v>
      </c>
      <c r="Y385" s="50" t="str">
        <f t="shared" si="21"/>
        <v>40-70</v>
      </c>
      <c r="Z385" s="50">
        <v>0.5</v>
      </c>
      <c r="AA385" s="50" t="str">
        <f t="shared" si="22"/>
        <v>0.5-1.0</v>
      </c>
      <c r="AB385" s="23">
        <v>2</v>
      </c>
      <c r="AC385" s="30" t="str">
        <f>VLOOKUP(AB385,[2]Key!$C$20:$D$29,2,FALSE)</f>
        <v>Manual Labour</v>
      </c>
      <c r="AD385" s="23">
        <v>1</v>
      </c>
      <c r="AE385" s="30" t="str">
        <f>VLOOKUP(AD385,[2]Key!$E$20:$F$24,2,FALSE)</f>
        <v>&lt;300,000</v>
      </c>
      <c r="AF385" s="23">
        <v>1</v>
      </c>
      <c r="AG385" s="50">
        <v>2</v>
      </c>
      <c r="AH385" s="50">
        <v>4</v>
      </c>
      <c r="AI385" s="50">
        <v>3</v>
      </c>
      <c r="AJ385" s="50">
        <v>5</v>
      </c>
      <c r="AK385" s="46" t="s">
        <v>94</v>
      </c>
      <c r="AL385" s="36"/>
      <c r="AM385" t="str">
        <f t="shared" si="23"/>
        <v>0-1000</v>
      </c>
    </row>
    <row r="386" spans="1:39" x14ac:dyDescent="0.2">
      <c r="A386" s="44">
        <v>43761</v>
      </c>
      <c r="B386" s="48">
        <v>0.53125</v>
      </c>
      <c r="C386" s="48"/>
      <c r="D386" s="48" t="s">
        <v>97</v>
      </c>
      <c r="E386" s="13">
        <v>2</v>
      </c>
      <c r="F386" s="38" t="str">
        <f>VLOOKUP(E386,[2]Key!$A$17:$B$21,2,FALSE)</f>
        <v>Road Vehicle</v>
      </c>
      <c r="G386" s="49">
        <v>1</v>
      </c>
      <c r="H386" s="39" t="str">
        <f>VLOOKUP(G386,[2]Key!$A$2:$B$14,2,FALSE)</f>
        <v>Car</v>
      </c>
      <c r="I386" s="13" t="s">
        <v>109</v>
      </c>
      <c r="J386" s="13">
        <v>1</v>
      </c>
      <c r="K386" s="40" t="str">
        <f>VLOOKUP(J386,[2]Key!$A$24:$B$29,2,FALSE)</f>
        <v>20-29</v>
      </c>
      <c r="L386" s="11" t="s">
        <v>266</v>
      </c>
      <c r="M386" s="23" t="s">
        <v>220</v>
      </c>
      <c r="N386" s="13" t="s">
        <v>221</v>
      </c>
      <c r="O386" s="46">
        <v>2</v>
      </c>
      <c r="P386" s="30" t="str">
        <f>VLOOKUP(O386,[2]Key!$E$2:$F$9,2,FALSE)</f>
        <v>Work</v>
      </c>
      <c r="Q386" s="13" t="s">
        <v>223</v>
      </c>
      <c r="R386" s="23" t="s">
        <v>223</v>
      </c>
      <c r="S386" s="13" t="s">
        <v>221</v>
      </c>
      <c r="T386" s="23">
        <v>2</v>
      </c>
      <c r="U386" s="30" t="str">
        <f>VLOOKUP(T386,[2]Key!$E$2:$F$9,2,FALSE)</f>
        <v>Work</v>
      </c>
      <c r="V386" s="30" t="str">
        <f t="shared" ref="V386:V449" si="24">P386&amp;"-"&amp;U386</f>
        <v>Work-Work</v>
      </c>
      <c r="W386" s="51">
        <v>15000</v>
      </c>
      <c r="X386" s="50">
        <v>37</v>
      </c>
      <c r="Y386" s="50" t="str">
        <f t="shared" si="21"/>
        <v>20-40</v>
      </c>
      <c r="Z386" s="50">
        <v>0.75</v>
      </c>
      <c r="AA386" s="50" t="str">
        <f t="shared" si="22"/>
        <v>0.5-1.0</v>
      </c>
      <c r="AB386" s="23">
        <v>2</v>
      </c>
      <c r="AC386" s="30" t="str">
        <f>VLOOKUP(AB386,[2]Key!$C$20:$D$29,2,FALSE)</f>
        <v>Manual Labour</v>
      </c>
      <c r="AD386" s="23">
        <v>1</v>
      </c>
      <c r="AE386" s="30" t="str">
        <f>VLOOKUP(AD386,[2]Key!$E$20:$F$24,2,FALSE)</f>
        <v>&lt;300,000</v>
      </c>
      <c r="AF386" s="23">
        <v>1</v>
      </c>
      <c r="AG386" s="50">
        <v>2</v>
      </c>
      <c r="AH386" s="50">
        <v>5</v>
      </c>
      <c r="AI386" s="50">
        <v>4</v>
      </c>
      <c r="AJ386" s="50">
        <v>3</v>
      </c>
      <c r="AK386" s="46" t="s">
        <v>94</v>
      </c>
      <c r="AL386" s="36"/>
      <c r="AM386" t="str">
        <f t="shared" si="23"/>
        <v>0-1000</v>
      </c>
    </row>
    <row r="387" spans="1:39" x14ac:dyDescent="0.2">
      <c r="A387" s="44">
        <v>43761</v>
      </c>
      <c r="B387" s="48">
        <v>0.21875</v>
      </c>
      <c r="C387" s="48"/>
      <c r="D387" s="48" t="s">
        <v>97</v>
      </c>
      <c r="E387" s="13">
        <v>2</v>
      </c>
      <c r="F387" s="38" t="str">
        <f>VLOOKUP(E387,[2]Key!$A$17:$B$21,2,FALSE)</f>
        <v>Road Vehicle</v>
      </c>
      <c r="G387" s="49">
        <v>1</v>
      </c>
      <c r="H387" s="39" t="str">
        <f>VLOOKUP(G387,[2]Key!$A$2:$B$14,2,FALSE)</f>
        <v>Car</v>
      </c>
      <c r="I387" s="13" t="s">
        <v>109</v>
      </c>
      <c r="J387" s="13">
        <v>1</v>
      </c>
      <c r="K387" s="40" t="str">
        <f>VLOOKUP(J387,[2]Key!$A$24:$B$29,2,FALSE)</f>
        <v>20-29</v>
      </c>
      <c r="L387" s="11" t="s">
        <v>220</v>
      </c>
      <c r="M387" s="23" t="s">
        <v>223</v>
      </c>
      <c r="N387" s="13" t="s">
        <v>221</v>
      </c>
      <c r="O387" s="46">
        <v>2</v>
      </c>
      <c r="P387" s="30" t="str">
        <f>VLOOKUP(O387,[2]Key!$E$2:$F$9,2,FALSE)</f>
        <v>Work</v>
      </c>
      <c r="Q387" s="13" t="s">
        <v>267</v>
      </c>
      <c r="R387" s="23" t="s">
        <v>223</v>
      </c>
      <c r="S387" s="13" t="s">
        <v>221</v>
      </c>
      <c r="T387" s="23">
        <v>2</v>
      </c>
      <c r="U387" s="30" t="str">
        <f>VLOOKUP(T387,[2]Key!$E$2:$F$9,2,FALSE)</f>
        <v>Work</v>
      </c>
      <c r="V387" s="30" t="str">
        <f t="shared" si="24"/>
        <v>Work-Work</v>
      </c>
      <c r="W387" s="51">
        <v>50000</v>
      </c>
      <c r="X387" s="50">
        <v>60</v>
      </c>
      <c r="Y387" s="50" t="str">
        <f t="shared" ref="Y387:Y450" si="25">IF(X387&lt;10,"0-10",IF(X387&lt;20,"10-20",IF(X387&lt;40,"20-40",IF(X387&lt;70,"40-70",IF(X387&lt;100,"70-100",IF(X387&lt;200,"100-200","Over 200"))))))</f>
        <v>40-70</v>
      </c>
      <c r="Z387" s="50">
        <v>1.5</v>
      </c>
      <c r="AA387" s="50" t="str">
        <f t="shared" ref="AA387:AA450" si="26">IF(Z387&lt;0.5,"0-0.5",IF(Z387&lt;1,"0.5-1.0",IF(Z387&lt;2,"1.0-2.0",IF(Z387&lt;3.5,"2.0-3.5","Over 3.5"))))</f>
        <v>1.0-2.0</v>
      </c>
      <c r="AB387" s="23">
        <v>2</v>
      </c>
      <c r="AC387" s="30" t="str">
        <f>VLOOKUP(AB387,[2]Key!$C$20:$D$29,2,FALSE)</f>
        <v>Manual Labour</v>
      </c>
      <c r="AD387" s="23">
        <v>1</v>
      </c>
      <c r="AE387" s="30" t="str">
        <f>VLOOKUP(AD387,[2]Key!$E$20:$F$24,2,FALSE)</f>
        <v>&lt;300,000</v>
      </c>
      <c r="AF387" s="23">
        <v>2</v>
      </c>
      <c r="AG387" s="50">
        <v>1</v>
      </c>
      <c r="AH387" s="50">
        <v>5</v>
      </c>
      <c r="AI387" s="50">
        <v>3</v>
      </c>
      <c r="AJ387" s="50">
        <v>4</v>
      </c>
      <c r="AK387" s="46" t="s">
        <v>94</v>
      </c>
      <c r="AL387" s="36">
        <v>2000</v>
      </c>
      <c r="AM387" t="str">
        <f t="shared" ref="AM387:AM450" si="27">IF(AL387&lt;1000,"0-1000",IF(AL387&lt;2000,"1000-2000",IF(AL387&lt;3000,"2000-3000",IF(AL387&lt;5000,"3000-5000",IF(AL387&lt;10000,"5000-10000","Over 10000")))))</f>
        <v>2000-3000</v>
      </c>
    </row>
    <row r="388" spans="1:39" x14ac:dyDescent="0.2">
      <c r="A388" s="44">
        <v>43761</v>
      </c>
      <c r="B388" s="48">
        <v>0.29097222222222224</v>
      </c>
      <c r="C388" s="48"/>
      <c r="D388" s="48" t="s">
        <v>97</v>
      </c>
      <c r="E388" s="13">
        <v>2</v>
      </c>
      <c r="F388" s="38" t="str">
        <f>VLOOKUP(E388,[2]Key!$A$17:$B$21,2,FALSE)</f>
        <v>Road Vehicle</v>
      </c>
      <c r="G388" s="49">
        <v>1</v>
      </c>
      <c r="H388" s="39" t="str">
        <f>VLOOKUP(G388,[2]Key!$A$2:$B$14,2,FALSE)</f>
        <v>Car</v>
      </c>
      <c r="I388" s="13" t="s">
        <v>109</v>
      </c>
      <c r="J388" s="13">
        <v>1</v>
      </c>
      <c r="K388" s="40" t="str">
        <f>VLOOKUP(J388,[2]Key!$A$24:$B$29,2,FALSE)</f>
        <v>20-29</v>
      </c>
      <c r="L388" s="11" t="s">
        <v>257</v>
      </c>
      <c r="M388" s="23" t="s">
        <v>223</v>
      </c>
      <c r="N388" s="13" t="s">
        <v>221</v>
      </c>
      <c r="O388" s="46">
        <v>2</v>
      </c>
      <c r="P388" s="30" t="str">
        <f>VLOOKUP(O388,[2]Key!$E$2:$F$9,2,FALSE)</f>
        <v>Work</v>
      </c>
      <c r="Q388" s="13" t="s">
        <v>261</v>
      </c>
      <c r="R388" s="23" t="s">
        <v>268</v>
      </c>
      <c r="S388" s="13" t="s">
        <v>221</v>
      </c>
      <c r="T388" s="23">
        <v>2</v>
      </c>
      <c r="U388" s="30" t="str">
        <f>VLOOKUP(T388,[2]Key!$E$2:$F$9,2,FALSE)</f>
        <v>Work</v>
      </c>
      <c r="V388" s="30" t="str">
        <f t="shared" si="24"/>
        <v>Work-Work</v>
      </c>
      <c r="W388" s="51">
        <v>80000</v>
      </c>
      <c r="X388" s="50">
        <v>90</v>
      </c>
      <c r="Y388" s="50" t="str">
        <f t="shared" si="25"/>
        <v>70-100</v>
      </c>
      <c r="Z388" s="50">
        <v>2</v>
      </c>
      <c r="AA388" s="50" t="str">
        <f t="shared" si="26"/>
        <v>2.0-3.5</v>
      </c>
      <c r="AB388" s="23">
        <v>10</v>
      </c>
      <c r="AC388" s="30" t="str">
        <f>VLOOKUP(AB388,[2]Key!$C$20:$D$29,2,FALSE)</f>
        <v>Other</v>
      </c>
      <c r="AD388" s="23">
        <v>2</v>
      </c>
      <c r="AE388" s="30" t="str">
        <f>VLOOKUP(AD388,[2]Key!$E$20:$F$24,2,FALSE)</f>
        <v>300,000-500,000</v>
      </c>
      <c r="AF388" s="23">
        <v>2</v>
      </c>
      <c r="AG388" s="50">
        <v>3</v>
      </c>
      <c r="AH388" s="50">
        <v>1</v>
      </c>
      <c r="AI388" s="50">
        <v>5</v>
      </c>
      <c r="AJ388" s="50">
        <v>4</v>
      </c>
      <c r="AK388" s="46" t="s">
        <v>94</v>
      </c>
      <c r="AL388" s="36">
        <v>100</v>
      </c>
      <c r="AM388" t="str">
        <f t="shared" si="27"/>
        <v>0-1000</v>
      </c>
    </row>
    <row r="389" spans="1:39" x14ac:dyDescent="0.2">
      <c r="A389" s="44">
        <v>43761</v>
      </c>
      <c r="B389" s="48">
        <v>0.1125</v>
      </c>
      <c r="C389" s="48"/>
      <c r="D389" s="48" t="s">
        <v>248</v>
      </c>
      <c r="E389" s="13">
        <v>2</v>
      </c>
      <c r="F389" s="38" t="str">
        <f>VLOOKUP(E389,[2]Key!$A$17:$B$21,2,FALSE)</f>
        <v>Road Vehicle</v>
      </c>
      <c r="G389" s="49">
        <v>1</v>
      </c>
      <c r="H389" s="39" t="str">
        <f>VLOOKUP(G389,[2]Key!$A$2:$B$14,2,FALSE)</f>
        <v>Car</v>
      </c>
      <c r="I389" s="13" t="s">
        <v>109</v>
      </c>
      <c r="J389" s="13">
        <v>1</v>
      </c>
      <c r="K389" s="40" t="str">
        <f>VLOOKUP(J389,[2]Key!$A$24:$B$29,2,FALSE)</f>
        <v>20-29</v>
      </c>
      <c r="L389" s="11" t="s">
        <v>269</v>
      </c>
      <c r="M389" s="23" t="s">
        <v>270</v>
      </c>
      <c r="N389" s="13" t="s">
        <v>221</v>
      </c>
      <c r="O389" s="46">
        <v>1</v>
      </c>
      <c r="P389" s="30" t="str">
        <f>VLOOKUP(O389,[2]Key!$E$2:$F$9,2,FALSE)</f>
        <v>Home</v>
      </c>
      <c r="Q389" s="13" t="s">
        <v>271</v>
      </c>
      <c r="R389" s="23" t="s">
        <v>223</v>
      </c>
      <c r="S389" s="13" t="s">
        <v>221</v>
      </c>
      <c r="T389" s="23">
        <v>6</v>
      </c>
      <c r="U389" s="30" t="str">
        <f>VLOOKUP(T389,[2]Key!$E$2:$F$9,2,FALSE)</f>
        <v>Leisure/Social</v>
      </c>
      <c r="V389" s="30" t="str">
        <f t="shared" si="24"/>
        <v>Home-Leisure/Social</v>
      </c>
      <c r="W389" s="51">
        <v>11000</v>
      </c>
      <c r="X389" s="50"/>
      <c r="Y389" s="50" t="str">
        <f t="shared" si="25"/>
        <v>0-10</v>
      </c>
      <c r="Z389" s="50">
        <v>3.5</v>
      </c>
      <c r="AA389" s="50" t="str">
        <f t="shared" si="26"/>
        <v>Over 3.5</v>
      </c>
      <c r="AB389" s="23">
        <v>6</v>
      </c>
      <c r="AC389" s="30" t="str">
        <f>VLOOKUP(AB389,[2]Key!$C$20:$D$29,2,FALSE)</f>
        <v>Businessman</v>
      </c>
      <c r="AD389" s="23">
        <v>1</v>
      </c>
      <c r="AE389" s="30" t="str">
        <f>VLOOKUP(AD389,[2]Key!$E$20:$F$24,2,FALSE)</f>
        <v>&lt;300,000</v>
      </c>
      <c r="AF389" s="23">
        <v>4</v>
      </c>
      <c r="AG389" s="50">
        <v>5</v>
      </c>
      <c r="AH389" s="50">
        <v>1</v>
      </c>
      <c r="AI389" s="50">
        <v>3</v>
      </c>
      <c r="AJ389" s="50">
        <v>2</v>
      </c>
      <c r="AK389" s="46" t="s">
        <v>94</v>
      </c>
      <c r="AL389" s="36">
        <v>1000</v>
      </c>
      <c r="AM389" t="str">
        <f t="shared" si="27"/>
        <v>1000-2000</v>
      </c>
    </row>
    <row r="390" spans="1:39" x14ac:dyDescent="0.2">
      <c r="A390" s="44">
        <v>70059</v>
      </c>
      <c r="B390" s="48">
        <v>0.30972222222222223</v>
      </c>
      <c r="C390" s="48"/>
      <c r="D390" s="48" t="s">
        <v>150</v>
      </c>
      <c r="E390" s="13">
        <v>2</v>
      </c>
      <c r="F390" s="38" t="str">
        <f>VLOOKUP(E390,[2]Key!$A$17:$B$21,2,FALSE)</f>
        <v>Road Vehicle</v>
      </c>
      <c r="G390" s="49">
        <v>6</v>
      </c>
      <c r="H390" s="39" t="str">
        <f>VLOOKUP(G390,[2]Key!$A$2:$B$14,2,FALSE)</f>
        <v>Large Bus</v>
      </c>
      <c r="I390" s="13" t="s">
        <v>156</v>
      </c>
      <c r="J390" s="13">
        <v>1</v>
      </c>
      <c r="K390" s="40" t="str">
        <f>VLOOKUP(J390,[2]Key!$A$24:$B$29,2,FALSE)</f>
        <v>20-29</v>
      </c>
      <c r="L390" s="11" t="s">
        <v>272</v>
      </c>
      <c r="M390" s="23" t="s">
        <v>220</v>
      </c>
      <c r="N390" s="13" t="s">
        <v>221</v>
      </c>
      <c r="O390" s="46">
        <v>1</v>
      </c>
      <c r="P390" s="30" t="str">
        <f>VLOOKUP(O390,[2]Key!$E$2:$F$9,2,FALSE)</f>
        <v>Home</v>
      </c>
      <c r="Q390" s="13" t="s">
        <v>273</v>
      </c>
      <c r="R390" s="23" t="s">
        <v>274</v>
      </c>
      <c r="S390" s="13" t="s">
        <v>221</v>
      </c>
      <c r="T390" s="23">
        <v>6</v>
      </c>
      <c r="U390" s="30" t="str">
        <f>VLOOKUP(T390,[2]Key!$E$2:$F$9,2,FALSE)</f>
        <v>Leisure/Social</v>
      </c>
      <c r="V390" s="30" t="str">
        <f t="shared" si="24"/>
        <v>Home-Leisure/Social</v>
      </c>
      <c r="W390" s="23">
        <v>25000</v>
      </c>
      <c r="X390" s="50"/>
      <c r="Y390" s="50" t="str">
        <f t="shared" si="25"/>
        <v>0-10</v>
      </c>
      <c r="Z390" s="50"/>
      <c r="AA390" s="50" t="str">
        <f t="shared" si="26"/>
        <v>0-0.5</v>
      </c>
      <c r="AB390" s="23">
        <v>1</v>
      </c>
      <c r="AC390" s="30" t="str">
        <f>VLOOKUP(AB390,[2]Key!$C$20:$D$29,2,FALSE)</f>
        <v>Unemployed</v>
      </c>
      <c r="AD390" s="23">
        <v>1</v>
      </c>
      <c r="AE390" s="30" t="str">
        <f>VLOOKUP(AD390,[2]Key!$E$20:$F$24,2,FALSE)</f>
        <v>&lt;300,000</v>
      </c>
      <c r="AF390" s="23">
        <v>5</v>
      </c>
      <c r="AG390" s="50">
        <v>3</v>
      </c>
      <c r="AH390" s="50">
        <v>1</v>
      </c>
      <c r="AI390" s="50">
        <v>2</v>
      </c>
      <c r="AJ390" s="50">
        <v>4</v>
      </c>
      <c r="AK390" s="46" t="s">
        <v>94</v>
      </c>
      <c r="AL390" s="36">
        <v>1000</v>
      </c>
      <c r="AM390" t="str">
        <f t="shared" si="27"/>
        <v>1000-2000</v>
      </c>
    </row>
    <row r="391" spans="1:39" x14ac:dyDescent="0.2">
      <c r="A391" s="44">
        <v>43759</v>
      </c>
      <c r="B391" s="48">
        <v>0.47847222222222219</v>
      </c>
      <c r="C391" s="48"/>
      <c r="D391" s="48" t="s">
        <v>150</v>
      </c>
      <c r="E391" s="13">
        <v>2</v>
      </c>
      <c r="F391" s="38" t="str">
        <f>VLOOKUP(E391,[1]Key!$A$17:$B$21,2,FALSE)</f>
        <v>Road Vehicle</v>
      </c>
      <c r="G391" s="49">
        <v>6</v>
      </c>
      <c r="H391" s="39" t="str">
        <f>VLOOKUP(G391,[2]Key!$A$2:$B$14,2,FALSE)</f>
        <v>Large Bus</v>
      </c>
      <c r="I391" s="13" t="s">
        <v>109</v>
      </c>
      <c r="J391" s="13">
        <v>1</v>
      </c>
      <c r="K391" s="40" t="str">
        <f>VLOOKUP(J391,[1]Key!$A$24:$B$29,2,FALSE)</f>
        <v>20-29</v>
      </c>
      <c r="L391" s="11" t="s">
        <v>238</v>
      </c>
      <c r="M391" s="23" t="s">
        <v>220</v>
      </c>
      <c r="N391" s="13" t="s">
        <v>221</v>
      </c>
      <c r="O391" s="46">
        <v>1</v>
      </c>
      <c r="P391" s="30" t="str">
        <f>VLOOKUP(O391,[1]Key!$E$2:$F$9,2,FALSE)</f>
        <v>Home</v>
      </c>
      <c r="Q391" s="13" t="s">
        <v>274</v>
      </c>
      <c r="R391" s="23" t="s">
        <v>274</v>
      </c>
      <c r="S391" s="13" t="s">
        <v>221</v>
      </c>
      <c r="T391" s="23">
        <v>4</v>
      </c>
      <c r="U391" s="30" t="str">
        <f>VLOOKUP(T391,[1]Key!$E$2:$F$9,2,FALSE)</f>
        <v>Commercial</v>
      </c>
      <c r="V391" s="30" t="str">
        <f t="shared" si="24"/>
        <v>Home-Commercial</v>
      </c>
      <c r="W391" s="41">
        <v>25000</v>
      </c>
      <c r="X391" s="50"/>
      <c r="Y391" s="50" t="str">
        <f t="shared" si="25"/>
        <v>0-10</v>
      </c>
      <c r="Z391" s="50">
        <v>8</v>
      </c>
      <c r="AA391" s="50" t="str">
        <f t="shared" si="26"/>
        <v>Over 3.5</v>
      </c>
      <c r="AB391" s="23">
        <v>5</v>
      </c>
      <c r="AC391" s="30" t="str">
        <f>VLOOKUP(AB391,[1]Key!$C$20:$D$29,2,FALSE)</f>
        <v>Professional</v>
      </c>
      <c r="AD391" s="23">
        <v>3</v>
      </c>
      <c r="AE391" s="30" t="str">
        <f>VLOOKUP(AD391,[1]Key!$E$20:$F$24,2,FALSE)</f>
        <v>500,000-750,000</v>
      </c>
      <c r="AF391" s="23">
        <v>2</v>
      </c>
      <c r="AG391" s="50">
        <v>1</v>
      </c>
      <c r="AH391" s="50">
        <v>5</v>
      </c>
      <c r="AI391" s="50">
        <v>3</v>
      </c>
      <c r="AJ391" s="50">
        <v>4</v>
      </c>
      <c r="AK391" s="46" t="s">
        <v>94</v>
      </c>
      <c r="AL391" s="36">
        <v>1000</v>
      </c>
      <c r="AM391" t="str">
        <f t="shared" si="27"/>
        <v>1000-2000</v>
      </c>
    </row>
    <row r="392" spans="1:39" x14ac:dyDescent="0.2">
      <c r="A392" s="44">
        <v>43761</v>
      </c>
      <c r="B392" s="48">
        <v>0.25625000000000003</v>
      </c>
      <c r="C392" s="48"/>
      <c r="D392" s="48" t="s">
        <v>150</v>
      </c>
      <c r="E392" s="13">
        <v>4</v>
      </c>
      <c r="F392" s="38" t="str">
        <f>VLOOKUP(E392,[2]Key!$A$17:$B$21,2,FALSE)</f>
        <v>Water/Ferry</v>
      </c>
      <c r="G392" s="49">
        <v>6</v>
      </c>
      <c r="H392" s="39" t="str">
        <f>VLOOKUP(G392,[2]Key!$A$2:$B$14,2,FALSE)</f>
        <v>Large Bus</v>
      </c>
      <c r="I392" s="13" t="s">
        <v>109</v>
      </c>
      <c r="J392" s="13">
        <v>1</v>
      </c>
      <c r="K392" s="40" t="str">
        <f>VLOOKUP(J392,[2]Key!$A$24:$B$29,2,FALSE)</f>
        <v>20-29</v>
      </c>
      <c r="L392" s="11" t="s">
        <v>275</v>
      </c>
      <c r="M392" s="23" t="s">
        <v>220</v>
      </c>
      <c r="N392" s="13" t="s">
        <v>221</v>
      </c>
      <c r="O392" s="46">
        <v>1</v>
      </c>
      <c r="P392" s="30" t="str">
        <f>VLOOKUP(O392,[2]Key!$E$2:$F$9,2,FALSE)</f>
        <v>Home</v>
      </c>
      <c r="Q392" s="13" t="s">
        <v>276</v>
      </c>
      <c r="R392" s="23" t="s">
        <v>274</v>
      </c>
      <c r="S392" s="13" t="s">
        <v>221</v>
      </c>
      <c r="T392" s="23">
        <v>2</v>
      </c>
      <c r="U392" s="30" t="str">
        <f>VLOOKUP(T392,[2]Key!$E$2:$F$9,2,FALSE)</f>
        <v>Work</v>
      </c>
      <c r="V392" s="30" t="str">
        <f t="shared" si="24"/>
        <v>Home-Work</v>
      </c>
      <c r="W392" s="51">
        <v>32000</v>
      </c>
      <c r="X392" s="50"/>
      <c r="Y392" s="50" t="str">
        <f t="shared" si="25"/>
        <v>0-10</v>
      </c>
      <c r="Z392" s="50"/>
      <c r="AA392" s="50" t="str">
        <f t="shared" si="26"/>
        <v>0-0.5</v>
      </c>
      <c r="AB392" s="23">
        <v>2</v>
      </c>
      <c r="AC392" s="30" t="str">
        <f>VLOOKUP(AB392,[2]Key!$C$20:$D$29,2,FALSE)</f>
        <v>Manual Labour</v>
      </c>
      <c r="AD392" s="23">
        <v>2</v>
      </c>
      <c r="AE392" s="30" t="str">
        <f>VLOOKUP(AD392,[2]Key!$E$20:$F$24,2,FALSE)</f>
        <v>300,000-500,000</v>
      </c>
      <c r="AF392" s="23">
        <v>1</v>
      </c>
      <c r="AG392" s="50">
        <v>3</v>
      </c>
      <c r="AH392" s="50">
        <v>5</v>
      </c>
      <c r="AI392" s="50">
        <v>2</v>
      </c>
      <c r="AJ392" s="50">
        <v>4</v>
      </c>
      <c r="AK392" s="46" t="s">
        <v>94</v>
      </c>
      <c r="AL392" s="36"/>
      <c r="AM392" t="str">
        <f t="shared" si="27"/>
        <v>0-1000</v>
      </c>
    </row>
    <row r="393" spans="1:39" x14ac:dyDescent="0.2">
      <c r="A393" s="44">
        <v>43761</v>
      </c>
      <c r="B393" s="48">
        <v>0.21041666666666667</v>
      </c>
      <c r="C393" s="48"/>
      <c r="D393" s="48" t="s">
        <v>248</v>
      </c>
      <c r="E393" s="13">
        <v>2</v>
      </c>
      <c r="F393" s="38" t="str">
        <f>VLOOKUP(E393,[2]Key!$A$17:$B$21,2,FALSE)</f>
        <v>Road Vehicle</v>
      </c>
      <c r="G393" s="49">
        <v>6</v>
      </c>
      <c r="H393" s="39" t="str">
        <f>VLOOKUP(G393,[2]Key!$A$2:$B$14,2,FALSE)</f>
        <v>Large Bus</v>
      </c>
      <c r="I393" s="13" t="s">
        <v>109</v>
      </c>
      <c r="J393" s="13">
        <v>1</v>
      </c>
      <c r="K393" s="40" t="str">
        <f>VLOOKUP(J393,[2]Key!$A$24:$B$29,2,FALSE)</f>
        <v>20-29</v>
      </c>
      <c r="L393" s="11" t="s">
        <v>277</v>
      </c>
      <c r="M393" s="23" t="s">
        <v>220</v>
      </c>
      <c r="N393" s="13" t="s">
        <v>221</v>
      </c>
      <c r="O393" s="46">
        <v>6</v>
      </c>
      <c r="P393" s="30" t="str">
        <f>VLOOKUP(O393,[2]Key!$E$2:$F$9,2,FALSE)</f>
        <v>Leisure/Social</v>
      </c>
      <c r="Q393" s="13" t="s">
        <v>231</v>
      </c>
      <c r="R393" s="23" t="s">
        <v>278</v>
      </c>
      <c r="S393" s="13" t="s">
        <v>221</v>
      </c>
      <c r="T393" s="23">
        <v>1</v>
      </c>
      <c r="U393" s="30" t="str">
        <f>VLOOKUP(T393,[2]Key!$E$2:$F$9,2,FALSE)</f>
        <v>Home</v>
      </c>
      <c r="V393" s="30" t="str">
        <f t="shared" si="24"/>
        <v>Leisure/Social-Home</v>
      </c>
      <c r="W393" s="51">
        <v>10000</v>
      </c>
      <c r="X393" s="50"/>
      <c r="Y393" s="50" t="str">
        <f t="shared" si="25"/>
        <v>0-10</v>
      </c>
      <c r="Z393" s="50">
        <v>4</v>
      </c>
      <c r="AA393" s="50" t="str">
        <f t="shared" si="26"/>
        <v>Over 3.5</v>
      </c>
      <c r="AB393" s="23">
        <v>4</v>
      </c>
      <c r="AC393" s="30" t="str">
        <f>VLOOKUP(AB393,[2]Key!$C$20:$D$29,2,FALSE)</f>
        <v>Office Worker</v>
      </c>
      <c r="AD393" s="23">
        <v>3</v>
      </c>
      <c r="AE393" s="30" t="str">
        <f>VLOOKUP(AD393,[2]Key!$E$20:$F$24,2,FALSE)</f>
        <v>500,000-750,000</v>
      </c>
      <c r="AF393" s="23">
        <v>5</v>
      </c>
      <c r="AG393" s="50">
        <v>2</v>
      </c>
      <c r="AH393" s="50">
        <v>1</v>
      </c>
      <c r="AI393" s="50">
        <v>4</v>
      </c>
      <c r="AJ393" s="50">
        <v>3</v>
      </c>
      <c r="AK393" s="46" t="s">
        <v>94</v>
      </c>
      <c r="AL393" s="36" t="s">
        <v>279</v>
      </c>
      <c r="AM393" t="str">
        <f t="shared" si="27"/>
        <v>Over 10000</v>
      </c>
    </row>
    <row r="394" spans="1:39" x14ac:dyDescent="0.2">
      <c r="A394" s="44">
        <v>43761</v>
      </c>
      <c r="B394" s="48">
        <v>0.31319444444444444</v>
      </c>
      <c r="C394" s="48"/>
      <c r="D394" s="48" t="s">
        <v>248</v>
      </c>
      <c r="E394" s="13">
        <v>2</v>
      </c>
      <c r="F394" s="38" t="str">
        <f>VLOOKUP(E394,[2]Key!$A$17:$B$21,2,FALSE)</f>
        <v>Road Vehicle</v>
      </c>
      <c r="G394" s="49">
        <v>6</v>
      </c>
      <c r="H394" s="39" t="str">
        <f>VLOOKUP(G394,[2]Key!$A$2:$B$14,2,FALSE)</f>
        <v>Large Bus</v>
      </c>
      <c r="I394" s="13" t="s">
        <v>109</v>
      </c>
      <c r="J394" s="13">
        <v>1</v>
      </c>
      <c r="K394" s="40" t="str">
        <f>VLOOKUP(J394,[2]Key!$A$24:$B$29,2,FALSE)</f>
        <v>20-29</v>
      </c>
      <c r="L394" s="11" t="s">
        <v>280</v>
      </c>
      <c r="M394" s="23" t="s">
        <v>220</v>
      </c>
      <c r="N394" s="13" t="s">
        <v>221</v>
      </c>
      <c r="O394" s="46">
        <v>6</v>
      </c>
      <c r="P394" s="30" t="str">
        <f>VLOOKUP(O394,[2]Key!$E$2:$F$9,2,FALSE)</f>
        <v>Leisure/Social</v>
      </c>
      <c r="Q394" s="13" t="s">
        <v>281</v>
      </c>
      <c r="R394" s="23" t="s">
        <v>274</v>
      </c>
      <c r="S394" s="13" t="s">
        <v>221</v>
      </c>
      <c r="T394" s="23">
        <v>2</v>
      </c>
      <c r="U394" s="30" t="str">
        <f>VLOOKUP(T394,[2]Key!$E$2:$F$9,2,FALSE)</f>
        <v>Work</v>
      </c>
      <c r="V394" s="30" t="str">
        <f t="shared" si="24"/>
        <v>Leisure/Social-Work</v>
      </c>
      <c r="W394" s="51">
        <v>29000</v>
      </c>
      <c r="X394" s="50">
        <v>400</v>
      </c>
      <c r="Y394" s="50" t="str">
        <f t="shared" si="25"/>
        <v>Over 200</v>
      </c>
      <c r="Z394" s="50">
        <v>9</v>
      </c>
      <c r="AA394" s="50" t="str">
        <f t="shared" si="26"/>
        <v>Over 3.5</v>
      </c>
      <c r="AB394" s="23">
        <v>2</v>
      </c>
      <c r="AC394" s="30" t="str">
        <f>VLOOKUP(AB394,[2]Key!$C$20:$D$29,2,FALSE)</f>
        <v>Manual Labour</v>
      </c>
      <c r="AD394" s="23">
        <v>1</v>
      </c>
      <c r="AE394" s="30" t="str">
        <f>VLOOKUP(AD394,[2]Key!$E$20:$F$24,2,FALSE)</f>
        <v>&lt;300,000</v>
      </c>
      <c r="AF394" s="23">
        <v>3</v>
      </c>
      <c r="AG394" s="50">
        <v>1</v>
      </c>
      <c r="AH394" s="50">
        <v>2</v>
      </c>
      <c r="AI394" s="50">
        <v>5</v>
      </c>
      <c r="AJ394" s="50">
        <v>4</v>
      </c>
      <c r="AK394" s="46" t="s">
        <v>94</v>
      </c>
      <c r="AL394" s="36">
        <v>100</v>
      </c>
      <c r="AM394" t="str">
        <f t="shared" si="27"/>
        <v>0-1000</v>
      </c>
    </row>
    <row r="395" spans="1:39" x14ac:dyDescent="0.2">
      <c r="A395" s="44">
        <v>43759</v>
      </c>
      <c r="B395" s="48">
        <v>0.5</v>
      </c>
      <c r="C395" s="48"/>
      <c r="D395" s="48" t="s">
        <v>150</v>
      </c>
      <c r="E395" s="13">
        <v>2</v>
      </c>
      <c r="F395" s="38" t="str">
        <f>VLOOKUP(E395,[2]Key!$A$17:$B$21,2,FALSE)</f>
        <v>Road Vehicle</v>
      </c>
      <c r="G395" s="49">
        <v>4</v>
      </c>
      <c r="H395" s="39" t="str">
        <f>VLOOKUP(G395,[2]Key!$A$2:$B$14,2,FALSE)</f>
        <v>Minibus</v>
      </c>
      <c r="I395" s="13" t="s">
        <v>156</v>
      </c>
      <c r="J395" s="13">
        <v>1</v>
      </c>
      <c r="K395" s="40" t="str">
        <f>VLOOKUP(J395,[2]Key!$A$24:$B$29,2,FALSE)</f>
        <v>20-29</v>
      </c>
      <c r="L395" s="11" t="s">
        <v>282</v>
      </c>
      <c r="M395" s="23" t="s">
        <v>283</v>
      </c>
      <c r="N395" s="13" t="s">
        <v>221</v>
      </c>
      <c r="O395" s="46">
        <v>1</v>
      </c>
      <c r="P395" s="30" t="str">
        <f>VLOOKUP(O395,[2]Key!$E$2:$F$9,2,FALSE)</f>
        <v>Home</v>
      </c>
      <c r="Q395" s="13" t="s">
        <v>284</v>
      </c>
      <c r="R395" s="23" t="s">
        <v>285</v>
      </c>
      <c r="S395" s="13" t="s">
        <v>221</v>
      </c>
      <c r="T395" s="23">
        <v>6</v>
      </c>
      <c r="U395" s="30" t="str">
        <f>VLOOKUP(T395,[2]Key!$E$2:$F$9,2,FALSE)</f>
        <v>Leisure/Social</v>
      </c>
      <c r="V395" s="30" t="str">
        <f t="shared" si="24"/>
        <v>Home-Leisure/Social</v>
      </c>
      <c r="W395" s="41">
        <v>25000</v>
      </c>
      <c r="X395" s="50"/>
      <c r="Y395" s="50" t="str">
        <f t="shared" si="25"/>
        <v>0-10</v>
      </c>
      <c r="Z395" s="50">
        <v>5</v>
      </c>
      <c r="AA395" s="50" t="str">
        <f t="shared" si="26"/>
        <v>Over 3.5</v>
      </c>
      <c r="AB395" s="23">
        <v>5</v>
      </c>
      <c r="AC395" s="30" t="str">
        <f>VLOOKUP(AB395,[2]Key!$C$20:$D$29,2,FALSE)</f>
        <v>Professional</v>
      </c>
      <c r="AD395" s="23">
        <v>3</v>
      </c>
      <c r="AE395" s="30" t="str">
        <f>VLOOKUP(AD395,[2]Key!$E$20:$F$24,2,FALSE)</f>
        <v>500,000-750,000</v>
      </c>
      <c r="AF395" s="23">
        <v>5</v>
      </c>
      <c r="AG395" s="50">
        <v>1</v>
      </c>
      <c r="AH395" s="50">
        <v>3</v>
      </c>
      <c r="AI395" s="50">
        <v>2</v>
      </c>
      <c r="AJ395" s="50">
        <v>4</v>
      </c>
      <c r="AK395" s="46" t="s">
        <v>94</v>
      </c>
      <c r="AL395" s="36" t="s">
        <v>279</v>
      </c>
      <c r="AM395" t="str">
        <f t="shared" si="27"/>
        <v>Over 10000</v>
      </c>
    </row>
    <row r="396" spans="1:39" x14ac:dyDescent="0.2">
      <c r="A396" s="44">
        <v>43759</v>
      </c>
      <c r="B396" s="48">
        <v>0.53611111111111109</v>
      </c>
      <c r="C396" s="48"/>
      <c r="D396" s="48" t="s">
        <v>150</v>
      </c>
      <c r="E396" s="13">
        <v>2</v>
      </c>
      <c r="F396" s="38" t="str">
        <f>VLOOKUP(E396,[2]Key!$A$17:$B$21,2,FALSE)</f>
        <v>Road Vehicle</v>
      </c>
      <c r="G396" s="49">
        <v>4</v>
      </c>
      <c r="H396" s="39" t="str">
        <f>VLOOKUP(G396,[2]Key!$A$2:$B$14,2,FALSE)</f>
        <v>Minibus</v>
      </c>
      <c r="I396" s="13" t="s">
        <v>156</v>
      </c>
      <c r="J396" s="13">
        <v>1</v>
      </c>
      <c r="K396" s="40" t="str">
        <f>VLOOKUP(J396,[2]Key!$A$24:$B$29,2,FALSE)</f>
        <v>20-29</v>
      </c>
      <c r="L396" s="11" t="s">
        <v>228</v>
      </c>
      <c r="M396" s="23" t="s">
        <v>223</v>
      </c>
      <c r="N396" s="13" t="s">
        <v>221</v>
      </c>
      <c r="O396" s="46">
        <v>6</v>
      </c>
      <c r="P396" s="30" t="str">
        <f>VLOOKUP(O396,[2]Key!$E$2:$F$9,2,FALSE)</f>
        <v>Leisure/Social</v>
      </c>
      <c r="Q396" s="13" t="s">
        <v>253</v>
      </c>
      <c r="R396" s="23" t="s">
        <v>223</v>
      </c>
      <c r="S396" s="13" t="s">
        <v>221</v>
      </c>
      <c r="T396" s="23">
        <v>1</v>
      </c>
      <c r="U396" s="30" t="str">
        <f>VLOOKUP(T396,[2]Key!$E$2:$F$9,2,FALSE)</f>
        <v>Home</v>
      </c>
      <c r="V396" s="30" t="str">
        <f t="shared" si="24"/>
        <v>Leisure/Social-Home</v>
      </c>
      <c r="W396" s="41">
        <v>6000</v>
      </c>
      <c r="X396" s="50">
        <v>60</v>
      </c>
      <c r="Y396" s="50" t="str">
        <f t="shared" si="25"/>
        <v>40-70</v>
      </c>
      <c r="Z396" s="50">
        <v>2</v>
      </c>
      <c r="AA396" s="50" t="str">
        <f t="shared" si="26"/>
        <v>2.0-3.5</v>
      </c>
      <c r="AB396" s="23">
        <v>6</v>
      </c>
      <c r="AC396" s="30" t="str">
        <f>VLOOKUP(AB396,[2]Key!$C$20:$D$29,2,FALSE)</f>
        <v>Businessman</v>
      </c>
      <c r="AD396" s="23">
        <v>1</v>
      </c>
      <c r="AE396" s="30" t="str">
        <f>VLOOKUP(AD396,[2]Key!$E$20:$F$24,2,FALSE)</f>
        <v>&lt;300,000</v>
      </c>
      <c r="AF396" s="23">
        <v>3</v>
      </c>
      <c r="AG396" s="50">
        <v>2</v>
      </c>
      <c r="AH396" s="50">
        <v>4</v>
      </c>
      <c r="AI396" s="50">
        <v>1</v>
      </c>
      <c r="AJ396" s="50">
        <v>5</v>
      </c>
      <c r="AK396" s="46" t="s">
        <v>94</v>
      </c>
      <c r="AL396" s="36">
        <v>100</v>
      </c>
      <c r="AM396" t="str">
        <f t="shared" si="27"/>
        <v>0-1000</v>
      </c>
    </row>
    <row r="397" spans="1:39" x14ac:dyDescent="0.2">
      <c r="A397" s="44">
        <v>43759</v>
      </c>
      <c r="B397" s="48">
        <v>0.25833333333333336</v>
      </c>
      <c r="C397" s="48"/>
      <c r="D397" s="48" t="s">
        <v>150</v>
      </c>
      <c r="E397" s="13">
        <v>2</v>
      </c>
      <c r="F397" s="38" t="str">
        <f>VLOOKUP(E397,[2]Key!$A$17:$B$21,2,FALSE)</f>
        <v>Road Vehicle</v>
      </c>
      <c r="G397" s="49">
        <v>4</v>
      </c>
      <c r="H397" s="39" t="str">
        <f>VLOOKUP(G397,[2]Key!$A$2:$B$14,2,FALSE)</f>
        <v>Minibus</v>
      </c>
      <c r="I397" s="13" t="s">
        <v>156</v>
      </c>
      <c r="J397" s="13">
        <v>1</v>
      </c>
      <c r="K397" s="40" t="str">
        <f>VLOOKUP(J397,[2]Key!$A$24:$B$29,2,FALSE)</f>
        <v>20-29</v>
      </c>
      <c r="L397" s="11" t="s">
        <v>286</v>
      </c>
      <c r="M397" s="23" t="s">
        <v>223</v>
      </c>
      <c r="N397" s="13" t="s">
        <v>221</v>
      </c>
      <c r="O397" s="46">
        <v>1</v>
      </c>
      <c r="P397" s="30" t="str">
        <f>VLOOKUP(O397,[2]Key!$E$2:$F$9,2,FALSE)</f>
        <v>Home</v>
      </c>
      <c r="Q397" s="13" t="s">
        <v>253</v>
      </c>
      <c r="R397" s="23" t="s">
        <v>223</v>
      </c>
      <c r="S397" s="13" t="s">
        <v>221</v>
      </c>
      <c r="T397" s="23">
        <v>2</v>
      </c>
      <c r="U397" s="30" t="str">
        <f>VLOOKUP(T397,[2]Key!$E$2:$F$9,2,FALSE)</f>
        <v>Work</v>
      </c>
      <c r="V397" s="30" t="str">
        <f t="shared" si="24"/>
        <v>Home-Work</v>
      </c>
      <c r="W397" s="41">
        <v>5000</v>
      </c>
      <c r="X397" s="50"/>
      <c r="Y397" s="50" t="str">
        <f t="shared" si="25"/>
        <v>0-10</v>
      </c>
      <c r="Z397" s="50">
        <v>1</v>
      </c>
      <c r="AA397" s="50" t="str">
        <f t="shared" si="26"/>
        <v>1.0-2.0</v>
      </c>
      <c r="AB397" s="23">
        <v>2</v>
      </c>
      <c r="AC397" s="30" t="str">
        <f>VLOOKUP(AB397,[2]Key!$C$20:$D$29,2,FALSE)</f>
        <v>Manual Labour</v>
      </c>
      <c r="AD397" s="23">
        <v>1</v>
      </c>
      <c r="AE397" s="30" t="str">
        <f>VLOOKUP(AD397,[2]Key!$E$20:$F$24,2,FALSE)</f>
        <v>&lt;300,000</v>
      </c>
      <c r="AF397" s="23">
        <v>2</v>
      </c>
      <c r="AG397" s="50">
        <v>4</v>
      </c>
      <c r="AH397" s="50">
        <v>5</v>
      </c>
      <c r="AI397" s="50">
        <v>1</v>
      </c>
      <c r="AJ397" s="50">
        <v>3</v>
      </c>
      <c r="AK397" s="46" t="s">
        <v>94</v>
      </c>
      <c r="AL397" s="36" t="s">
        <v>287</v>
      </c>
      <c r="AM397" t="str">
        <f t="shared" si="27"/>
        <v>Over 10000</v>
      </c>
    </row>
    <row r="398" spans="1:39" x14ac:dyDescent="0.2">
      <c r="A398" s="44">
        <v>43759</v>
      </c>
      <c r="B398" s="48">
        <v>0.4694444444444445</v>
      </c>
      <c r="C398" s="48"/>
      <c r="D398" s="48" t="s">
        <v>248</v>
      </c>
      <c r="E398" s="13">
        <v>2</v>
      </c>
      <c r="F398" s="38" t="str">
        <f>VLOOKUP(E398,[1]Key!$A$17:$B$21,2,FALSE)</f>
        <v>Road Vehicle</v>
      </c>
      <c r="G398" s="49">
        <v>4</v>
      </c>
      <c r="H398" s="39" t="str">
        <f>VLOOKUP(G398,[2]Key!$A$2:$B$14,2,FALSE)</f>
        <v>Minibus</v>
      </c>
      <c r="I398" s="13" t="s">
        <v>156</v>
      </c>
      <c r="J398" s="13">
        <v>1</v>
      </c>
      <c r="K398" s="40" t="str">
        <f>VLOOKUP(J398,[1]Key!$A$24:$B$29,2,FALSE)</f>
        <v>20-29</v>
      </c>
      <c r="L398" s="11" t="s">
        <v>288</v>
      </c>
      <c r="M398" s="23" t="s">
        <v>220</v>
      </c>
      <c r="N398" s="13" t="s">
        <v>221</v>
      </c>
      <c r="O398" s="46">
        <v>4</v>
      </c>
      <c r="P398" s="30" t="str">
        <f>VLOOKUP(O398,[1]Key!$E$2:$F$9,2,FALSE)</f>
        <v>Commercial</v>
      </c>
      <c r="Q398" s="13" t="s">
        <v>253</v>
      </c>
      <c r="R398" s="23" t="s">
        <v>223</v>
      </c>
      <c r="S398" s="13" t="s">
        <v>221</v>
      </c>
      <c r="T398" s="23">
        <v>4</v>
      </c>
      <c r="U398" s="30" t="str">
        <f>VLOOKUP(T398,[1]Key!$E$2:$F$9,2,FALSE)</f>
        <v>Commercial</v>
      </c>
      <c r="V398" s="30" t="str">
        <f t="shared" si="24"/>
        <v>Commercial-Commercial</v>
      </c>
      <c r="W398" s="41">
        <v>7000</v>
      </c>
      <c r="X398" s="50">
        <v>60</v>
      </c>
      <c r="Y398" s="50" t="str">
        <f t="shared" si="25"/>
        <v>40-70</v>
      </c>
      <c r="Z398" s="50">
        <v>1</v>
      </c>
      <c r="AA398" s="50" t="str">
        <f t="shared" si="26"/>
        <v>1.0-2.0</v>
      </c>
      <c r="AB398" s="23">
        <v>6</v>
      </c>
      <c r="AC398" s="30" t="str">
        <f>VLOOKUP(AB398,[1]Key!$C$20:$D$29,2,FALSE)</f>
        <v>Businessman</v>
      </c>
      <c r="AD398" s="23">
        <v>2</v>
      </c>
      <c r="AE398" s="30" t="str">
        <f>VLOOKUP(AD398,[1]Key!$E$20:$F$24,2,FALSE)</f>
        <v>300,000-500,000</v>
      </c>
      <c r="AF398" s="23">
        <v>2</v>
      </c>
      <c r="AG398" s="50">
        <v>3</v>
      </c>
      <c r="AH398" s="50">
        <v>5</v>
      </c>
      <c r="AI398" s="50">
        <v>1</v>
      </c>
      <c r="AJ398" s="50">
        <v>4</v>
      </c>
      <c r="AK398" s="46" t="s">
        <v>94</v>
      </c>
      <c r="AL398" s="36" t="s">
        <v>289</v>
      </c>
      <c r="AM398" t="str">
        <f t="shared" si="27"/>
        <v>Over 10000</v>
      </c>
    </row>
    <row r="399" spans="1:39" x14ac:dyDescent="0.2">
      <c r="A399" s="44">
        <v>43759</v>
      </c>
      <c r="B399" s="48">
        <v>0.43055555555555558</v>
      </c>
      <c r="C399" s="48"/>
      <c r="D399" s="48" t="s">
        <v>150</v>
      </c>
      <c r="E399" s="13">
        <v>2</v>
      </c>
      <c r="F399" s="38" t="str">
        <f>VLOOKUP(E399,[1]Key!$A$17:$B$21,2,FALSE)</f>
        <v>Road Vehicle</v>
      </c>
      <c r="G399" s="49">
        <v>4</v>
      </c>
      <c r="H399" s="39" t="str">
        <f>VLOOKUP(G399,[2]Key!$A$2:$B$14,2,FALSE)</f>
        <v>Minibus</v>
      </c>
      <c r="I399" s="13" t="s">
        <v>156</v>
      </c>
      <c r="J399" s="13">
        <v>1</v>
      </c>
      <c r="K399" s="40" t="str">
        <f>VLOOKUP(J399,[1]Key!$A$24:$B$29,2,FALSE)</f>
        <v>20-29</v>
      </c>
      <c r="L399" s="11" t="s">
        <v>290</v>
      </c>
      <c r="M399" s="23" t="s">
        <v>220</v>
      </c>
      <c r="N399" s="13" t="s">
        <v>221</v>
      </c>
      <c r="O399" s="46">
        <v>1</v>
      </c>
      <c r="P399" s="30" t="str">
        <f>VLOOKUP(O399,[1]Key!$E$2:$F$9,2,FALSE)</f>
        <v>Home</v>
      </c>
      <c r="Q399" s="13" t="s">
        <v>219</v>
      </c>
      <c r="R399" s="23" t="s">
        <v>223</v>
      </c>
      <c r="S399" s="13" t="s">
        <v>221</v>
      </c>
      <c r="T399" s="23">
        <v>2</v>
      </c>
      <c r="U399" s="30" t="str">
        <f>VLOOKUP(T399,[1]Key!$E$2:$F$9,2,FALSE)</f>
        <v>Work</v>
      </c>
      <c r="V399" s="30" t="str">
        <f t="shared" si="24"/>
        <v>Home-Work</v>
      </c>
      <c r="W399" s="41">
        <v>8000</v>
      </c>
      <c r="X399" s="50">
        <v>85</v>
      </c>
      <c r="Y399" s="50" t="str">
        <f t="shared" si="25"/>
        <v>70-100</v>
      </c>
      <c r="Z399" s="50">
        <v>1.5</v>
      </c>
      <c r="AA399" s="50" t="str">
        <f t="shared" si="26"/>
        <v>1.0-2.0</v>
      </c>
      <c r="AB399" s="23">
        <v>10</v>
      </c>
      <c r="AC399" s="30" t="str">
        <f>VLOOKUP(AB399,[1]Key!$C$20:$D$29,2,FALSE)</f>
        <v>Other</v>
      </c>
      <c r="AD399" s="23">
        <v>1</v>
      </c>
      <c r="AE399" s="30" t="str">
        <f>VLOOKUP(AD399,[1]Key!$E$20:$F$24,2,FALSE)</f>
        <v>&lt;300,000</v>
      </c>
      <c r="AF399" s="23">
        <v>1</v>
      </c>
      <c r="AG399" s="50">
        <v>2</v>
      </c>
      <c r="AH399" s="50">
        <v>4</v>
      </c>
      <c r="AI399" s="50">
        <v>3</v>
      </c>
      <c r="AJ399" s="50">
        <v>5</v>
      </c>
      <c r="AK399" s="46" t="s">
        <v>94</v>
      </c>
      <c r="AL399" s="36">
        <v>1000</v>
      </c>
      <c r="AM399" t="str">
        <f t="shared" si="27"/>
        <v>1000-2000</v>
      </c>
    </row>
    <row r="400" spans="1:39" x14ac:dyDescent="0.2">
      <c r="A400" s="44">
        <v>43759</v>
      </c>
      <c r="B400" s="48">
        <v>0.4826388888888889</v>
      </c>
      <c r="C400" s="48"/>
      <c r="D400" s="48" t="s">
        <v>150</v>
      </c>
      <c r="E400" s="13">
        <v>2</v>
      </c>
      <c r="F400" s="38" t="str">
        <f>VLOOKUP(E400,[1]Key!$A$17:$B$21,2,FALSE)</f>
        <v>Road Vehicle</v>
      </c>
      <c r="G400" s="49">
        <v>4</v>
      </c>
      <c r="H400" s="39" t="str">
        <f>VLOOKUP(G400,[2]Key!$A$2:$B$14,2,FALSE)</f>
        <v>Minibus</v>
      </c>
      <c r="I400" s="13" t="s">
        <v>156</v>
      </c>
      <c r="J400" s="13">
        <v>1</v>
      </c>
      <c r="K400" s="40" t="str">
        <f>VLOOKUP(J400,[1]Key!$A$24:$B$29,2,FALSE)</f>
        <v>20-29</v>
      </c>
      <c r="L400" s="11" t="s">
        <v>291</v>
      </c>
      <c r="M400" s="23" t="s">
        <v>220</v>
      </c>
      <c r="N400" s="13" t="s">
        <v>221</v>
      </c>
      <c r="O400" s="46">
        <v>4</v>
      </c>
      <c r="P400" s="30" t="str">
        <f>VLOOKUP(O400,[1]Key!$E$2:$F$9,2,FALSE)</f>
        <v>Commercial</v>
      </c>
      <c r="Q400" s="13" t="s">
        <v>292</v>
      </c>
      <c r="R400" s="23" t="s">
        <v>292</v>
      </c>
      <c r="S400" s="13" t="s">
        <v>221</v>
      </c>
      <c r="T400" s="23">
        <v>4</v>
      </c>
      <c r="U400" s="30" t="str">
        <f>VLOOKUP(T400,[1]Key!$E$2:$F$9,2,FALSE)</f>
        <v>Commercial</v>
      </c>
      <c r="V400" s="30" t="str">
        <f t="shared" si="24"/>
        <v>Commercial-Commercial</v>
      </c>
      <c r="W400" s="41">
        <v>13000</v>
      </c>
      <c r="X400" s="50"/>
      <c r="Y400" s="50" t="str">
        <f t="shared" si="25"/>
        <v>0-10</v>
      </c>
      <c r="Z400" s="50">
        <v>5</v>
      </c>
      <c r="AA400" s="50" t="str">
        <f t="shared" si="26"/>
        <v>Over 3.5</v>
      </c>
      <c r="AB400" s="23">
        <v>6</v>
      </c>
      <c r="AC400" s="30" t="str">
        <f>VLOOKUP(AB400,[1]Key!$C$20:$D$29,2,FALSE)</f>
        <v>Businessman</v>
      </c>
      <c r="AD400" s="23">
        <v>3</v>
      </c>
      <c r="AE400" s="30" t="str">
        <f>VLOOKUP(AD400,[1]Key!$E$20:$F$24,2,FALSE)</f>
        <v>500,000-750,000</v>
      </c>
      <c r="AF400" s="23"/>
      <c r="AG400" s="50"/>
      <c r="AH400" s="50"/>
      <c r="AI400" s="50"/>
      <c r="AJ400" s="50"/>
      <c r="AK400" s="46"/>
      <c r="AL400" s="36">
        <v>2001</v>
      </c>
      <c r="AM400" t="str">
        <f t="shared" si="27"/>
        <v>2000-3000</v>
      </c>
    </row>
    <row r="401" spans="1:46" x14ac:dyDescent="0.2">
      <c r="A401" s="44">
        <v>43761</v>
      </c>
      <c r="B401" s="48">
        <v>0.24722222222222223</v>
      </c>
      <c r="C401" s="48"/>
      <c r="D401" s="48" t="s">
        <v>150</v>
      </c>
      <c r="E401" s="13">
        <v>2</v>
      </c>
      <c r="F401" s="38" t="str">
        <f>VLOOKUP(E401,[2]Key!$A$17:$B$21,2,FALSE)</f>
        <v>Road Vehicle</v>
      </c>
      <c r="G401" s="49">
        <v>4</v>
      </c>
      <c r="H401" s="39" t="str">
        <f>VLOOKUP(G401,[2]Key!$A$2:$B$14,2,FALSE)</f>
        <v>Minibus</v>
      </c>
      <c r="I401" s="13" t="s">
        <v>156</v>
      </c>
      <c r="J401" s="13">
        <v>1</v>
      </c>
      <c r="K401" s="40" t="str">
        <f>VLOOKUP(J401,[2]Key!$A$24:$B$29,2,FALSE)</f>
        <v>20-29</v>
      </c>
      <c r="L401" s="11" t="s">
        <v>293</v>
      </c>
      <c r="M401" s="23" t="s">
        <v>274</v>
      </c>
      <c r="N401" s="13" t="s">
        <v>221</v>
      </c>
      <c r="O401" s="46">
        <v>2</v>
      </c>
      <c r="P401" s="30" t="str">
        <f>VLOOKUP(O401,[2]Key!$E$2:$F$9,2,FALSE)</f>
        <v>Work</v>
      </c>
      <c r="Q401" s="13" t="s">
        <v>294</v>
      </c>
      <c r="R401" s="23" t="s">
        <v>223</v>
      </c>
      <c r="S401" s="13" t="s">
        <v>221</v>
      </c>
      <c r="T401" s="23">
        <v>1</v>
      </c>
      <c r="U401" s="30" t="str">
        <f>VLOOKUP(T401,[2]Key!$E$2:$F$9,2,FALSE)</f>
        <v>Home</v>
      </c>
      <c r="V401" s="30" t="str">
        <f t="shared" si="24"/>
        <v>Work-Home</v>
      </c>
      <c r="W401" s="51">
        <v>30000</v>
      </c>
      <c r="X401" s="50"/>
      <c r="Y401" s="50" t="str">
        <f t="shared" si="25"/>
        <v>0-10</v>
      </c>
      <c r="Z401" s="50">
        <v>9</v>
      </c>
      <c r="AA401" s="50" t="str">
        <f t="shared" si="26"/>
        <v>Over 3.5</v>
      </c>
      <c r="AB401" s="23">
        <v>3</v>
      </c>
      <c r="AC401" s="30" t="str">
        <f>VLOOKUP(AB401,[2]Key!$C$20:$D$29,2,FALSE)</f>
        <v>Artisan/Domestic</v>
      </c>
      <c r="AD401" s="23">
        <v>1</v>
      </c>
      <c r="AE401" s="30" t="str">
        <f>VLOOKUP(AD401,[2]Key!$E$20:$F$24,2,FALSE)</f>
        <v>&lt;300,000</v>
      </c>
      <c r="AF401" s="23">
        <v>4</v>
      </c>
      <c r="AG401" s="50">
        <v>2</v>
      </c>
      <c r="AH401" s="50">
        <v>5</v>
      </c>
      <c r="AI401" s="50">
        <v>1</v>
      </c>
      <c r="AJ401" s="50">
        <v>3</v>
      </c>
      <c r="AK401" s="46" t="s">
        <v>94</v>
      </c>
      <c r="AL401" s="36"/>
      <c r="AM401" t="str">
        <f t="shared" si="27"/>
        <v>0-1000</v>
      </c>
    </row>
    <row r="402" spans="1:46" x14ac:dyDescent="0.2">
      <c r="A402" s="44">
        <v>43761</v>
      </c>
      <c r="B402" s="48">
        <v>0.15902777777777777</v>
      </c>
      <c r="C402" s="48"/>
      <c r="D402" s="48" t="s">
        <v>150</v>
      </c>
      <c r="E402" s="13">
        <v>2</v>
      </c>
      <c r="F402" s="38" t="str">
        <f>VLOOKUP(E402,[2]Key!$A$17:$B$21,2,FALSE)</f>
        <v>Road Vehicle</v>
      </c>
      <c r="G402" s="49">
        <v>4</v>
      </c>
      <c r="H402" s="39" t="str">
        <f>VLOOKUP(G402,[2]Key!$A$2:$B$14,2,FALSE)</f>
        <v>Minibus</v>
      </c>
      <c r="I402" s="13" t="s">
        <v>156</v>
      </c>
      <c r="J402" s="13">
        <v>1</v>
      </c>
      <c r="K402" s="40" t="str">
        <f>VLOOKUP(J402,[2]Key!$A$24:$B$29,2,FALSE)</f>
        <v>20-29</v>
      </c>
      <c r="L402" s="11" t="s">
        <v>259</v>
      </c>
      <c r="M402" s="23" t="s">
        <v>295</v>
      </c>
      <c r="N402" s="13" t="s">
        <v>221</v>
      </c>
      <c r="O402" s="46">
        <v>4</v>
      </c>
      <c r="P402" s="30" t="str">
        <f>VLOOKUP(O402,[2]Key!$E$2:$F$9,2,FALSE)</f>
        <v>Commercial</v>
      </c>
      <c r="Q402" s="13" t="s">
        <v>296</v>
      </c>
      <c r="R402" s="23" t="s">
        <v>297</v>
      </c>
      <c r="S402" s="13" t="s">
        <v>221</v>
      </c>
      <c r="T402" s="23">
        <v>1</v>
      </c>
      <c r="U402" s="30" t="str">
        <f>VLOOKUP(T402,[2]Key!$E$2:$F$9,2,FALSE)</f>
        <v>Home</v>
      </c>
      <c r="V402" s="30" t="str">
        <f t="shared" si="24"/>
        <v>Commercial-Home</v>
      </c>
      <c r="W402" s="51">
        <v>20000</v>
      </c>
      <c r="X402" s="50">
        <v>136</v>
      </c>
      <c r="Y402" s="50" t="str">
        <f t="shared" si="25"/>
        <v>100-200</v>
      </c>
      <c r="Z402" s="50">
        <v>4</v>
      </c>
      <c r="AA402" s="50" t="str">
        <f t="shared" si="26"/>
        <v>Over 3.5</v>
      </c>
      <c r="AB402" s="23">
        <v>5</v>
      </c>
      <c r="AC402" s="30" t="str">
        <f>VLOOKUP(AB402,[2]Key!$C$20:$D$29,2,FALSE)</f>
        <v>Professional</v>
      </c>
      <c r="AD402" s="23">
        <v>1</v>
      </c>
      <c r="AE402" s="30" t="str">
        <f>VLOOKUP(AD402,[2]Key!$E$20:$F$24,2,FALSE)</f>
        <v>&lt;300,000</v>
      </c>
      <c r="AF402" s="23">
        <v>3</v>
      </c>
      <c r="AG402" s="50">
        <v>2</v>
      </c>
      <c r="AH402" s="50">
        <v>4</v>
      </c>
      <c r="AI402" s="50">
        <v>1</v>
      </c>
      <c r="AJ402" s="50">
        <v>5</v>
      </c>
      <c r="AK402" s="46" t="s">
        <v>94</v>
      </c>
      <c r="AL402" s="36">
        <v>500</v>
      </c>
      <c r="AM402" t="str">
        <f t="shared" si="27"/>
        <v>0-1000</v>
      </c>
    </row>
    <row r="403" spans="1:46" x14ac:dyDescent="0.2">
      <c r="A403" s="44">
        <v>43761</v>
      </c>
      <c r="B403" s="48">
        <v>0.1361111111111111</v>
      </c>
      <c r="C403" s="48"/>
      <c r="D403" s="48" t="s">
        <v>248</v>
      </c>
      <c r="E403" s="13">
        <v>2</v>
      </c>
      <c r="F403" s="38" t="str">
        <f>VLOOKUP(E403,[2]Key!$A$17:$B$21,2,FALSE)</f>
        <v>Road Vehicle</v>
      </c>
      <c r="G403" s="49">
        <v>4</v>
      </c>
      <c r="H403" s="39" t="str">
        <f>VLOOKUP(G403,[2]Key!$A$2:$B$14,2,FALSE)</f>
        <v>Minibus</v>
      </c>
      <c r="I403" s="13" t="s">
        <v>156</v>
      </c>
      <c r="J403" s="13">
        <v>1</v>
      </c>
      <c r="K403" s="40" t="str">
        <f>VLOOKUP(J403,[2]Key!$A$24:$B$29,2,FALSE)</f>
        <v>20-29</v>
      </c>
      <c r="L403" s="11" t="s">
        <v>96</v>
      </c>
      <c r="M403" s="23" t="s">
        <v>220</v>
      </c>
      <c r="N403" s="13" t="s">
        <v>221</v>
      </c>
      <c r="O403" s="46">
        <v>8</v>
      </c>
      <c r="P403" s="30" t="str">
        <f>VLOOKUP(O403,[2]Key!$E$2:$F$9,2,FALSE)</f>
        <v>Others</v>
      </c>
      <c r="Q403" s="13" t="s">
        <v>277</v>
      </c>
      <c r="R403" s="23" t="s">
        <v>223</v>
      </c>
      <c r="S403" s="13" t="s">
        <v>221</v>
      </c>
      <c r="T403" s="23">
        <v>8</v>
      </c>
      <c r="U403" s="30" t="str">
        <f>VLOOKUP(T403,[2]Key!$E$2:$F$9,2,FALSE)</f>
        <v>Others</v>
      </c>
      <c r="V403" s="30" t="str">
        <f t="shared" si="24"/>
        <v>Others-Others</v>
      </c>
      <c r="W403" s="23">
        <v>6000</v>
      </c>
      <c r="X403" s="50"/>
      <c r="Y403" s="50" t="str">
        <f t="shared" si="25"/>
        <v>0-10</v>
      </c>
      <c r="Z403" s="50">
        <v>1.5</v>
      </c>
      <c r="AA403" s="50" t="str">
        <f t="shared" si="26"/>
        <v>1.0-2.0</v>
      </c>
      <c r="AB403" s="23">
        <v>6</v>
      </c>
      <c r="AC403" s="30" t="str">
        <f>VLOOKUP(AB403,[2]Key!$C$20:$D$29,2,FALSE)</f>
        <v>Businessman</v>
      </c>
      <c r="AD403" s="23">
        <v>1</v>
      </c>
      <c r="AE403" s="30" t="str">
        <f>VLOOKUP(AD403,[2]Key!$E$20:$F$24,2,FALSE)</f>
        <v>&lt;300,000</v>
      </c>
      <c r="AF403" s="23">
        <v>1</v>
      </c>
      <c r="AG403" s="50">
        <v>3</v>
      </c>
      <c r="AH403" s="50">
        <v>4</v>
      </c>
      <c r="AI403" s="50">
        <v>2</v>
      </c>
      <c r="AJ403" s="50">
        <v>5</v>
      </c>
      <c r="AK403" s="46" t="s">
        <v>94</v>
      </c>
      <c r="AL403" s="36">
        <v>2000</v>
      </c>
      <c r="AM403" t="str">
        <f t="shared" si="27"/>
        <v>2000-3000</v>
      </c>
    </row>
    <row r="404" spans="1:46" x14ac:dyDescent="0.2">
      <c r="A404" s="44">
        <v>43759</v>
      </c>
      <c r="B404" s="48">
        <v>0.51388888888888895</v>
      </c>
      <c r="C404" s="48"/>
      <c r="D404" s="48" t="s">
        <v>150</v>
      </c>
      <c r="E404" s="13">
        <v>2</v>
      </c>
      <c r="F404" s="38" t="str">
        <f>VLOOKUP(E404,[2]Key!$A$17:$B$21,2,FALSE)</f>
        <v>Road Vehicle</v>
      </c>
      <c r="G404" s="49">
        <v>4</v>
      </c>
      <c r="H404" s="39" t="str">
        <f>VLOOKUP(G404,[2]Key!$A$2:$B$14,2,FALSE)</f>
        <v>Minibus</v>
      </c>
      <c r="I404" s="13" t="s">
        <v>109</v>
      </c>
      <c r="J404" s="13">
        <v>1</v>
      </c>
      <c r="K404" s="40" t="str">
        <f>VLOOKUP(J404,[2]Key!$A$24:$B$29,2,FALSE)</f>
        <v>20-29</v>
      </c>
      <c r="L404" s="11" t="s">
        <v>259</v>
      </c>
      <c r="M404" s="23" t="s">
        <v>223</v>
      </c>
      <c r="N404" s="13" t="s">
        <v>221</v>
      </c>
      <c r="O404" s="46">
        <v>2</v>
      </c>
      <c r="P404" s="30" t="str">
        <f>VLOOKUP(O404,[2]Key!$E$2:$F$9,2,FALSE)</f>
        <v>Work</v>
      </c>
      <c r="Q404" s="13" t="s">
        <v>298</v>
      </c>
      <c r="R404" s="23" t="s">
        <v>298</v>
      </c>
      <c r="S404" s="13" t="s">
        <v>221</v>
      </c>
      <c r="T404" s="23">
        <v>2</v>
      </c>
      <c r="U404" s="30" t="str">
        <f>VLOOKUP(T404,[2]Key!$E$2:$F$9,2,FALSE)</f>
        <v>Work</v>
      </c>
      <c r="V404" s="30" t="str">
        <f t="shared" si="24"/>
        <v>Work-Work</v>
      </c>
      <c r="W404" s="41">
        <v>11000</v>
      </c>
      <c r="X404" s="50"/>
      <c r="Y404" s="50" t="str">
        <f t="shared" si="25"/>
        <v>0-10</v>
      </c>
      <c r="Z404" s="50"/>
      <c r="AA404" s="50" t="str">
        <f t="shared" si="26"/>
        <v>0-0.5</v>
      </c>
      <c r="AB404" s="23">
        <v>2</v>
      </c>
      <c r="AC404" s="30" t="str">
        <f>VLOOKUP(AB404,[2]Key!$C$20:$D$29,2,FALSE)</f>
        <v>Manual Labour</v>
      </c>
      <c r="AD404" s="23">
        <v>2</v>
      </c>
      <c r="AE404" s="30" t="str">
        <f>VLOOKUP(AD404,[2]Key!$E$20:$F$24,2,FALSE)</f>
        <v>300,000-500,000</v>
      </c>
      <c r="AF404" s="23">
        <v>4</v>
      </c>
      <c r="AG404" s="50">
        <v>1</v>
      </c>
      <c r="AH404" s="50">
        <v>3</v>
      </c>
      <c r="AI404" s="50">
        <v>2</v>
      </c>
      <c r="AJ404" s="50">
        <v>5</v>
      </c>
      <c r="AK404" s="46" t="s">
        <v>94</v>
      </c>
      <c r="AL404" s="36">
        <v>500</v>
      </c>
      <c r="AM404" t="str">
        <f t="shared" si="27"/>
        <v>0-1000</v>
      </c>
    </row>
    <row r="405" spans="1:46" x14ac:dyDescent="0.2">
      <c r="A405" s="44">
        <v>43759</v>
      </c>
      <c r="B405" s="48">
        <v>0.50138888888888888</v>
      </c>
      <c r="C405" s="48"/>
      <c r="D405" s="48" t="s">
        <v>150</v>
      </c>
      <c r="E405" s="13">
        <v>2</v>
      </c>
      <c r="F405" s="38" t="str">
        <f>VLOOKUP(E405,[2]Key!$A$17:$B$21,2,FALSE)</f>
        <v>Road Vehicle</v>
      </c>
      <c r="G405" s="49">
        <v>4</v>
      </c>
      <c r="H405" s="39" t="str">
        <f>VLOOKUP(G405,[2]Key!$A$2:$B$14,2,FALSE)</f>
        <v>Minibus</v>
      </c>
      <c r="I405" s="13" t="s">
        <v>109</v>
      </c>
      <c r="J405" s="13">
        <v>1</v>
      </c>
      <c r="K405" s="40" t="str">
        <f>VLOOKUP(J405,[2]Key!$A$24:$B$29,2,FALSE)</f>
        <v>20-29</v>
      </c>
      <c r="L405" s="11" t="s">
        <v>299</v>
      </c>
      <c r="M405" s="23" t="s">
        <v>223</v>
      </c>
      <c r="N405" s="13" t="s">
        <v>221</v>
      </c>
      <c r="O405" s="46">
        <v>1</v>
      </c>
      <c r="P405" s="30" t="str">
        <f>VLOOKUP(O405,[2]Key!$E$2:$F$9,2,FALSE)</f>
        <v>Home</v>
      </c>
      <c r="Q405" s="13" t="s">
        <v>253</v>
      </c>
      <c r="R405" s="23" t="s">
        <v>223</v>
      </c>
      <c r="S405" s="13" t="s">
        <v>221</v>
      </c>
      <c r="T405" s="23">
        <v>2</v>
      </c>
      <c r="U405" s="30" t="str">
        <f>VLOOKUP(T405,[2]Key!$E$2:$F$9,2,FALSE)</f>
        <v>Work</v>
      </c>
      <c r="V405" s="30" t="str">
        <f t="shared" si="24"/>
        <v>Home-Work</v>
      </c>
      <c r="W405" s="41">
        <v>9000</v>
      </c>
      <c r="X405" s="50"/>
      <c r="Y405" s="50" t="str">
        <f t="shared" si="25"/>
        <v>0-10</v>
      </c>
      <c r="Z405" s="50" t="s">
        <v>300</v>
      </c>
      <c r="AA405" s="50" t="str">
        <f t="shared" si="26"/>
        <v>Over 3.5</v>
      </c>
      <c r="AB405" s="23">
        <v>6</v>
      </c>
      <c r="AC405" s="30" t="str">
        <f>VLOOKUP(AB405,[2]Key!$C$20:$D$29,2,FALSE)</f>
        <v>Businessman</v>
      </c>
      <c r="AD405" s="23">
        <v>2</v>
      </c>
      <c r="AE405" s="30" t="str">
        <f>VLOOKUP(AD405,[2]Key!$E$20:$F$24,2,FALSE)</f>
        <v>300,000-500,000</v>
      </c>
      <c r="AF405" s="23">
        <v>2</v>
      </c>
      <c r="AG405" s="50">
        <v>5</v>
      </c>
      <c r="AH405" s="50">
        <v>1</v>
      </c>
      <c r="AI405" s="50">
        <v>4</v>
      </c>
      <c r="AJ405" s="50">
        <v>3</v>
      </c>
      <c r="AK405" s="46" t="s">
        <v>94</v>
      </c>
      <c r="AL405" s="36">
        <v>200</v>
      </c>
      <c r="AM405" t="str">
        <f t="shared" si="27"/>
        <v>0-1000</v>
      </c>
    </row>
    <row r="406" spans="1:46" x14ac:dyDescent="0.2">
      <c r="A406" s="44">
        <v>43759</v>
      </c>
      <c r="B406" s="48">
        <v>0.52777777777777779</v>
      </c>
      <c r="C406" s="48"/>
      <c r="D406" s="48" t="s">
        <v>97</v>
      </c>
      <c r="E406" s="13">
        <v>2</v>
      </c>
      <c r="F406" s="38" t="str">
        <f>VLOOKUP(E406,[2]Key!$A$17:$B$21,2,FALSE)</f>
        <v>Road Vehicle</v>
      </c>
      <c r="G406" s="49">
        <v>4</v>
      </c>
      <c r="H406" s="39" t="str">
        <f>VLOOKUP(G406,[2]Key!$A$2:$B$14,2,FALSE)</f>
        <v>Minibus</v>
      </c>
      <c r="I406" s="13" t="s">
        <v>109</v>
      </c>
      <c r="J406" s="13">
        <v>1</v>
      </c>
      <c r="K406" s="40" t="str">
        <f>VLOOKUP(J406,[2]Key!$A$24:$B$29,2,FALSE)</f>
        <v>20-29</v>
      </c>
      <c r="L406" s="11" t="s">
        <v>259</v>
      </c>
      <c r="M406" s="23" t="s">
        <v>223</v>
      </c>
      <c r="N406" s="13" t="s">
        <v>221</v>
      </c>
      <c r="O406" s="46">
        <v>2</v>
      </c>
      <c r="P406" s="30" t="str">
        <f>VLOOKUP(O406,[2]Key!$E$2:$F$9,2,FALSE)</f>
        <v>Work</v>
      </c>
      <c r="Q406" s="13" t="s">
        <v>301</v>
      </c>
      <c r="R406" s="23" t="s">
        <v>223</v>
      </c>
      <c r="S406" s="13" t="s">
        <v>221</v>
      </c>
      <c r="T406" s="23">
        <v>2</v>
      </c>
      <c r="U406" s="30" t="str">
        <f>VLOOKUP(T406,[2]Key!$E$2:$F$9,2,FALSE)</f>
        <v>Work</v>
      </c>
      <c r="V406" s="30" t="str">
        <f t="shared" si="24"/>
        <v>Work-Work</v>
      </c>
      <c r="W406" s="41">
        <v>7600</v>
      </c>
      <c r="X406" s="50">
        <v>14</v>
      </c>
      <c r="Y406" s="50" t="str">
        <f t="shared" si="25"/>
        <v>10-20</v>
      </c>
      <c r="Z406" s="50">
        <v>0.33</v>
      </c>
      <c r="AA406" s="50" t="str">
        <f t="shared" si="26"/>
        <v>0-0.5</v>
      </c>
      <c r="AB406" s="23">
        <v>10</v>
      </c>
      <c r="AC406" s="30" t="str">
        <f>VLOOKUP(AB406,[2]Key!$C$20:$D$29,2,FALSE)</f>
        <v>Other</v>
      </c>
      <c r="AD406" s="23">
        <v>2</v>
      </c>
      <c r="AE406" s="30" t="str">
        <f>VLOOKUP(AD406,[2]Key!$E$20:$F$24,2,FALSE)</f>
        <v>300,000-500,000</v>
      </c>
      <c r="AF406" s="23">
        <v>3</v>
      </c>
      <c r="AG406" s="50">
        <v>4</v>
      </c>
      <c r="AH406" s="50">
        <v>1</v>
      </c>
      <c r="AI406" s="50">
        <v>2</v>
      </c>
      <c r="AJ406" s="50">
        <v>5</v>
      </c>
      <c r="AK406" s="46" t="s">
        <v>94</v>
      </c>
      <c r="AL406" s="36">
        <v>1000</v>
      </c>
      <c r="AM406" t="str">
        <f t="shared" si="27"/>
        <v>1000-2000</v>
      </c>
    </row>
    <row r="407" spans="1:46" x14ac:dyDescent="0.2">
      <c r="A407" s="44">
        <v>43759</v>
      </c>
      <c r="B407" s="48">
        <v>0.2722222222222222</v>
      </c>
      <c r="C407" s="48"/>
      <c r="D407" s="48" t="s">
        <v>150</v>
      </c>
      <c r="E407" s="13">
        <v>2</v>
      </c>
      <c r="F407" s="38" t="str">
        <f>VLOOKUP(E407,[2]Key!$A$17:$B$21,2,FALSE)</f>
        <v>Road Vehicle</v>
      </c>
      <c r="G407" s="49">
        <v>4</v>
      </c>
      <c r="H407" s="39" t="str">
        <f>VLOOKUP(G407,[2]Key!$A$2:$B$14,2,FALSE)</f>
        <v>Minibus</v>
      </c>
      <c r="I407" s="13" t="s">
        <v>109</v>
      </c>
      <c r="J407" s="13">
        <v>1</v>
      </c>
      <c r="K407" s="40" t="str">
        <f>VLOOKUP(J407,[2]Key!$A$24:$B$29,2,FALSE)</f>
        <v>20-29</v>
      </c>
      <c r="L407" s="11" t="s">
        <v>302</v>
      </c>
      <c r="M407" s="23" t="s">
        <v>223</v>
      </c>
      <c r="N407" s="13" t="s">
        <v>221</v>
      </c>
      <c r="O407" s="46">
        <v>2</v>
      </c>
      <c r="P407" s="30" t="str">
        <f>VLOOKUP(O407,[2]Key!$E$2:$F$9,2,FALSE)</f>
        <v>Work</v>
      </c>
      <c r="Q407" s="13" t="s">
        <v>303</v>
      </c>
      <c r="R407" s="23" t="s">
        <v>223</v>
      </c>
      <c r="S407" s="13" t="s">
        <v>221</v>
      </c>
      <c r="T407" s="23">
        <v>2</v>
      </c>
      <c r="U407" s="30" t="str">
        <f>VLOOKUP(T407,[2]Key!$E$2:$F$9,2,FALSE)</f>
        <v>Work</v>
      </c>
      <c r="V407" s="30" t="str">
        <f t="shared" si="24"/>
        <v>Work-Work</v>
      </c>
      <c r="W407" s="41">
        <v>6000</v>
      </c>
      <c r="X407" s="50">
        <v>100</v>
      </c>
      <c r="Y407" s="50" t="str">
        <f t="shared" si="25"/>
        <v>100-200</v>
      </c>
      <c r="Z407" s="50">
        <v>1</v>
      </c>
      <c r="AA407" s="50" t="str">
        <f t="shared" si="26"/>
        <v>1.0-2.0</v>
      </c>
      <c r="AB407" s="23">
        <v>2</v>
      </c>
      <c r="AC407" s="30" t="str">
        <f>VLOOKUP(AB407,[2]Key!$C$20:$D$29,2,FALSE)</f>
        <v>Manual Labour</v>
      </c>
      <c r="AD407" s="23">
        <v>1</v>
      </c>
      <c r="AE407" s="30" t="str">
        <f>VLOOKUP(AD407,[2]Key!$E$20:$F$24,2,FALSE)</f>
        <v>&lt;300,000</v>
      </c>
      <c r="AF407" s="23">
        <v>1</v>
      </c>
      <c r="AG407" s="50">
        <v>2</v>
      </c>
      <c r="AH407" s="50">
        <v>5</v>
      </c>
      <c r="AI407" s="50">
        <v>4</v>
      </c>
      <c r="AJ407" s="50">
        <v>3</v>
      </c>
      <c r="AK407" s="46" t="s">
        <v>94</v>
      </c>
      <c r="AL407" s="36">
        <v>100</v>
      </c>
      <c r="AM407" t="str">
        <f t="shared" si="27"/>
        <v>0-1000</v>
      </c>
    </row>
    <row r="408" spans="1:46" x14ac:dyDescent="0.2">
      <c r="A408" s="44">
        <v>43759</v>
      </c>
      <c r="B408" s="48">
        <v>0.47361111111111115</v>
      </c>
      <c r="C408" s="48"/>
      <c r="D408" s="48" t="s">
        <v>248</v>
      </c>
      <c r="E408" s="13">
        <v>2</v>
      </c>
      <c r="F408" s="38" t="str">
        <f>VLOOKUP(E408,[1]Key!$A$17:$B$21,2,FALSE)</f>
        <v>Road Vehicle</v>
      </c>
      <c r="G408" s="49">
        <v>4</v>
      </c>
      <c r="H408" s="39" t="str">
        <f>VLOOKUP(G408,[2]Key!$A$2:$B$14,2,FALSE)</f>
        <v>Minibus</v>
      </c>
      <c r="I408" s="13" t="s">
        <v>109</v>
      </c>
      <c r="J408" s="13">
        <v>1</v>
      </c>
      <c r="K408" s="40" t="str">
        <f>VLOOKUP(J408,[1]Key!$A$24:$B$29,2,FALSE)</f>
        <v>20-29</v>
      </c>
      <c r="L408" s="11" t="s">
        <v>304</v>
      </c>
      <c r="M408" s="23" t="s">
        <v>220</v>
      </c>
      <c r="N408" s="13" t="s">
        <v>221</v>
      </c>
      <c r="O408" s="46">
        <v>4</v>
      </c>
      <c r="P408" s="30" t="str">
        <f>VLOOKUP(O408,[1]Key!$E$2:$F$9,2,FALSE)</f>
        <v>Commercial</v>
      </c>
      <c r="Q408" s="13" t="s">
        <v>256</v>
      </c>
      <c r="R408" s="23" t="s">
        <v>256</v>
      </c>
      <c r="S408" s="13" t="s">
        <v>221</v>
      </c>
      <c r="T408" s="23">
        <v>4</v>
      </c>
      <c r="U408" s="30" t="str">
        <f>VLOOKUP(T408,[1]Key!$E$2:$F$9,2,FALSE)</f>
        <v>Commercial</v>
      </c>
      <c r="V408" s="30" t="str">
        <f t="shared" si="24"/>
        <v>Commercial-Commercial</v>
      </c>
      <c r="W408" s="41">
        <v>12000</v>
      </c>
      <c r="X408" s="50">
        <v>189</v>
      </c>
      <c r="Y408" s="50" t="str">
        <f t="shared" si="25"/>
        <v>100-200</v>
      </c>
      <c r="Z408" s="50">
        <v>3.5</v>
      </c>
      <c r="AA408" s="50" t="str">
        <f t="shared" si="26"/>
        <v>Over 3.5</v>
      </c>
      <c r="AB408" s="23">
        <v>6</v>
      </c>
      <c r="AC408" s="30" t="str">
        <f>VLOOKUP(AB408,[1]Key!$C$20:$D$29,2,FALSE)</f>
        <v>Businessman</v>
      </c>
      <c r="AD408" s="23">
        <v>2</v>
      </c>
      <c r="AE408" s="30" t="str">
        <f>VLOOKUP(AD408,[1]Key!$E$20:$F$24,2,FALSE)</f>
        <v>300,000-500,000</v>
      </c>
      <c r="AF408" s="23">
        <v>2</v>
      </c>
      <c r="AG408" s="50">
        <v>1</v>
      </c>
      <c r="AH408" s="50">
        <v>4</v>
      </c>
      <c r="AI408" s="50">
        <v>5</v>
      </c>
      <c r="AJ408" s="50">
        <v>3</v>
      </c>
      <c r="AK408" s="46" t="s">
        <v>94</v>
      </c>
      <c r="AL408" s="36">
        <v>1000</v>
      </c>
      <c r="AM408" t="str">
        <f t="shared" si="27"/>
        <v>1000-2000</v>
      </c>
      <c r="AN408" s="19"/>
      <c r="AO408" s="19"/>
      <c r="AP408" s="19"/>
      <c r="AQ408" s="19"/>
      <c r="AR408" s="19"/>
      <c r="AS408" s="19"/>
      <c r="AT408" s="19"/>
    </row>
    <row r="409" spans="1:46" x14ac:dyDescent="0.2">
      <c r="A409" s="44">
        <v>43759</v>
      </c>
      <c r="B409" s="48">
        <v>0.45555555555555555</v>
      </c>
      <c r="C409" s="48"/>
      <c r="D409" s="48" t="s">
        <v>150</v>
      </c>
      <c r="E409" s="13">
        <v>2</v>
      </c>
      <c r="F409" s="38" t="str">
        <f>VLOOKUP(E409,[1]Key!$A$17:$B$21,2,FALSE)</f>
        <v>Road Vehicle</v>
      </c>
      <c r="G409" s="49">
        <v>4</v>
      </c>
      <c r="H409" s="39" t="str">
        <f>VLOOKUP(G409,[2]Key!$A$2:$B$14,2,FALSE)</f>
        <v>Minibus</v>
      </c>
      <c r="I409" s="13" t="s">
        <v>109</v>
      </c>
      <c r="J409" s="13">
        <v>1</v>
      </c>
      <c r="K409" s="40" t="str">
        <f>VLOOKUP(J409,[1]Key!$A$24:$B$29,2,FALSE)</f>
        <v>20-29</v>
      </c>
      <c r="L409" s="11" t="s">
        <v>290</v>
      </c>
      <c r="M409" s="23" t="s">
        <v>220</v>
      </c>
      <c r="N409" s="13" t="s">
        <v>221</v>
      </c>
      <c r="O409" s="46">
        <v>1</v>
      </c>
      <c r="P409" s="30" t="str">
        <f>VLOOKUP(O409,[1]Key!$E$2:$F$9,2,FALSE)</f>
        <v>Home</v>
      </c>
      <c r="Q409" s="13" t="s">
        <v>305</v>
      </c>
      <c r="R409" s="23" t="s">
        <v>223</v>
      </c>
      <c r="S409" s="13" t="s">
        <v>221</v>
      </c>
      <c r="T409" s="23">
        <v>2</v>
      </c>
      <c r="U409" s="30" t="str">
        <f>VLOOKUP(T409,[1]Key!$E$2:$F$9,2,FALSE)</f>
        <v>Work</v>
      </c>
      <c r="V409" s="30" t="str">
        <f t="shared" si="24"/>
        <v>Home-Work</v>
      </c>
      <c r="W409" s="41">
        <v>3000</v>
      </c>
      <c r="X409" s="50">
        <v>58</v>
      </c>
      <c r="Y409" s="50" t="str">
        <f t="shared" si="25"/>
        <v>40-70</v>
      </c>
      <c r="Z409" s="50">
        <v>0.75</v>
      </c>
      <c r="AA409" s="50" t="str">
        <f t="shared" si="26"/>
        <v>0.5-1.0</v>
      </c>
      <c r="AB409" s="23">
        <v>2</v>
      </c>
      <c r="AC409" s="30" t="str">
        <f>VLOOKUP(AB409,[1]Key!$C$20:$D$29,2,FALSE)</f>
        <v>Manual Labour</v>
      </c>
      <c r="AD409" s="23">
        <v>1</v>
      </c>
      <c r="AE409" s="30" t="str">
        <f>VLOOKUP(AD409,[1]Key!$E$20:$F$24,2,FALSE)</f>
        <v>&lt;300,000</v>
      </c>
      <c r="AF409" s="23">
        <v>2</v>
      </c>
      <c r="AG409" s="50">
        <v>1</v>
      </c>
      <c r="AH409" s="50">
        <v>4</v>
      </c>
      <c r="AI409" s="50">
        <v>3</v>
      </c>
      <c r="AJ409" s="50">
        <v>5</v>
      </c>
      <c r="AK409" s="46" t="s">
        <v>94</v>
      </c>
      <c r="AL409" s="36">
        <v>2000</v>
      </c>
      <c r="AM409" t="str">
        <f t="shared" si="27"/>
        <v>2000-3000</v>
      </c>
    </row>
    <row r="410" spans="1:46" x14ac:dyDescent="0.2">
      <c r="A410" s="44">
        <v>43759</v>
      </c>
      <c r="B410" s="48">
        <v>0.49652777777777773</v>
      </c>
      <c r="C410" s="48"/>
      <c r="D410" s="48" t="s">
        <v>150</v>
      </c>
      <c r="E410" s="13">
        <v>2</v>
      </c>
      <c r="F410" s="38" t="str">
        <f>VLOOKUP(E410,[1]Key!$A$17:$B$21,2,FALSE)</f>
        <v>Road Vehicle</v>
      </c>
      <c r="G410" s="49">
        <v>4</v>
      </c>
      <c r="H410" s="39" t="str">
        <f>VLOOKUP(G410,[2]Key!$A$2:$B$14,2,FALSE)</f>
        <v>Minibus</v>
      </c>
      <c r="I410" s="13" t="s">
        <v>109</v>
      </c>
      <c r="J410" s="13">
        <v>1</v>
      </c>
      <c r="K410" s="40" t="str">
        <f>VLOOKUP(J410,[1]Key!$A$24:$B$29,2,FALSE)</f>
        <v>20-29</v>
      </c>
      <c r="L410" s="11" t="s">
        <v>224</v>
      </c>
      <c r="M410" s="23" t="s">
        <v>220</v>
      </c>
      <c r="N410" s="13" t="s">
        <v>221</v>
      </c>
      <c r="O410" s="46">
        <v>1</v>
      </c>
      <c r="P410" s="30" t="str">
        <f>VLOOKUP(O410,[1]Key!$E$2:$F$9,2,FALSE)</f>
        <v>Home</v>
      </c>
      <c r="Q410" s="13" t="s">
        <v>222</v>
      </c>
      <c r="R410" s="23" t="s">
        <v>223</v>
      </c>
      <c r="S410" s="13" t="s">
        <v>221</v>
      </c>
      <c r="T410" s="23">
        <v>2</v>
      </c>
      <c r="U410" s="30" t="str">
        <f>VLOOKUP(T410,[1]Key!$E$2:$F$9,2,FALSE)</f>
        <v>Work</v>
      </c>
      <c r="V410" s="30" t="str">
        <f t="shared" si="24"/>
        <v>Home-Work</v>
      </c>
      <c r="W410" s="51">
        <v>3000</v>
      </c>
      <c r="X410" s="50"/>
      <c r="Y410" s="50" t="str">
        <f t="shared" si="25"/>
        <v>0-10</v>
      </c>
      <c r="Z410" s="50">
        <v>0.33300000000000002</v>
      </c>
      <c r="AA410" s="50" t="str">
        <f t="shared" si="26"/>
        <v>0-0.5</v>
      </c>
      <c r="AB410" s="23">
        <v>10</v>
      </c>
      <c r="AC410" s="30" t="str">
        <f>VLOOKUP(AB410,[1]Key!$C$20:$D$29,2,FALSE)</f>
        <v>Other</v>
      </c>
      <c r="AD410" s="23">
        <v>2</v>
      </c>
      <c r="AE410" s="30" t="str">
        <f>VLOOKUP(AD410,[1]Key!$E$20:$F$24,2,FALSE)</f>
        <v>300,000-500,000</v>
      </c>
      <c r="AF410" s="23">
        <v>2</v>
      </c>
      <c r="AG410" s="50">
        <v>3</v>
      </c>
      <c r="AH410" s="50">
        <v>4</v>
      </c>
      <c r="AI410" s="50">
        <v>1</v>
      </c>
      <c r="AJ410" s="50">
        <v>5</v>
      </c>
      <c r="AK410" s="46" t="s">
        <v>94</v>
      </c>
      <c r="AL410" s="36"/>
      <c r="AM410" t="str">
        <f t="shared" si="27"/>
        <v>0-1000</v>
      </c>
    </row>
    <row r="411" spans="1:46" x14ac:dyDescent="0.2">
      <c r="A411" s="44">
        <v>43760</v>
      </c>
      <c r="B411" s="48">
        <v>0.34930555555555554</v>
      </c>
      <c r="C411" s="48"/>
      <c r="D411" s="48" t="s">
        <v>150</v>
      </c>
      <c r="E411" s="13">
        <v>2</v>
      </c>
      <c r="F411" s="38" t="str">
        <f>VLOOKUP(E411,[2]Key!$A$17:$B$21,2,FALSE)</f>
        <v>Road Vehicle</v>
      </c>
      <c r="G411" s="49">
        <v>4</v>
      </c>
      <c r="H411" s="39" t="str">
        <f>VLOOKUP(G411,[2]Key!$A$2:$B$14,2,FALSE)</f>
        <v>Minibus</v>
      </c>
      <c r="I411" s="13" t="s">
        <v>109</v>
      </c>
      <c r="J411" s="13">
        <v>1</v>
      </c>
      <c r="K411" s="40" t="str">
        <f>VLOOKUP(J411,[2]Key!$A$24:$B$29,2,FALSE)</f>
        <v>20-29</v>
      </c>
      <c r="L411" s="11" t="s">
        <v>306</v>
      </c>
      <c r="M411" s="23" t="s">
        <v>220</v>
      </c>
      <c r="N411" s="13" t="s">
        <v>221</v>
      </c>
      <c r="O411" s="46">
        <v>1</v>
      </c>
      <c r="P411" s="30" t="str">
        <f>VLOOKUP(O411,[2]Key!$E$2:$F$9,2,FALSE)</f>
        <v>Home</v>
      </c>
      <c r="Q411" s="13" t="s">
        <v>259</v>
      </c>
      <c r="R411" s="23" t="s">
        <v>223</v>
      </c>
      <c r="S411" s="13" t="s">
        <v>221</v>
      </c>
      <c r="T411" s="23">
        <v>2</v>
      </c>
      <c r="U411" s="30" t="str">
        <f>VLOOKUP(T411,[2]Key!$E$2:$F$9,2,FALSE)</f>
        <v>Work</v>
      </c>
      <c r="V411" s="30" t="str">
        <f t="shared" si="24"/>
        <v>Home-Work</v>
      </c>
      <c r="W411" s="41">
        <v>2000</v>
      </c>
      <c r="X411" s="50">
        <v>20</v>
      </c>
      <c r="Y411" s="50" t="str">
        <f t="shared" si="25"/>
        <v>20-40</v>
      </c>
      <c r="Z411" s="50">
        <v>0.16700000000000001</v>
      </c>
      <c r="AA411" s="50" t="str">
        <f t="shared" si="26"/>
        <v>0-0.5</v>
      </c>
      <c r="AB411" s="23">
        <v>2</v>
      </c>
      <c r="AC411" s="30" t="str">
        <f>VLOOKUP(AB411,[2]Key!$C$20:$D$29,2,FALSE)</f>
        <v>Manual Labour</v>
      </c>
      <c r="AD411" s="23">
        <v>1</v>
      </c>
      <c r="AE411" s="30" t="str">
        <f>VLOOKUP(AD411,[2]Key!$E$20:$F$24,2,FALSE)</f>
        <v>&lt;300,000</v>
      </c>
      <c r="AF411" s="23">
        <v>1</v>
      </c>
      <c r="AG411" s="50">
        <v>3</v>
      </c>
      <c r="AH411" s="50">
        <v>4</v>
      </c>
      <c r="AI411" s="50">
        <v>5</v>
      </c>
      <c r="AJ411" s="50">
        <v>6</v>
      </c>
      <c r="AK411" s="46" t="s">
        <v>94</v>
      </c>
      <c r="AL411" s="36">
        <v>1000</v>
      </c>
      <c r="AM411" t="str">
        <f t="shared" si="27"/>
        <v>1000-2000</v>
      </c>
    </row>
    <row r="412" spans="1:46" x14ac:dyDescent="0.2">
      <c r="A412" s="44">
        <v>43760</v>
      </c>
      <c r="B412" s="48">
        <v>0.49305555555555558</v>
      </c>
      <c r="C412" s="48"/>
      <c r="D412" s="48" t="s">
        <v>248</v>
      </c>
      <c r="E412" s="13">
        <v>2</v>
      </c>
      <c r="F412" s="38" t="str">
        <f>VLOOKUP(E412,[2]Key!$A$17:$B$21,2,FALSE)</f>
        <v>Road Vehicle</v>
      </c>
      <c r="G412" s="49">
        <v>4</v>
      </c>
      <c r="H412" s="39" t="str">
        <f>VLOOKUP(G412,[2]Key!$A$2:$B$14,2,FALSE)</f>
        <v>Minibus</v>
      </c>
      <c r="I412" s="13" t="s">
        <v>307</v>
      </c>
      <c r="J412" s="13">
        <v>1</v>
      </c>
      <c r="K412" s="40" t="str">
        <f>VLOOKUP(J412,[2]Key!$A$24:$B$29,2,FALSE)</f>
        <v>20-29</v>
      </c>
      <c r="L412" s="11" t="s">
        <v>308</v>
      </c>
      <c r="M412" s="23" t="s">
        <v>220</v>
      </c>
      <c r="N412" s="13" t="s">
        <v>221</v>
      </c>
      <c r="O412" s="46">
        <v>1</v>
      </c>
      <c r="P412" s="30" t="str">
        <f>VLOOKUP(O412,[2]Key!$E$2:$F$9,2,FALSE)</f>
        <v>Home</v>
      </c>
      <c r="Q412" s="13" t="s">
        <v>261</v>
      </c>
      <c r="R412" s="23" t="s">
        <v>223</v>
      </c>
      <c r="S412" s="13" t="s">
        <v>221</v>
      </c>
      <c r="T412" s="23">
        <v>2</v>
      </c>
      <c r="U412" s="30" t="str">
        <f>VLOOKUP(T412,[2]Key!$E$2:$F$9,2,FALSE)</f>
        <v>Work</v>
      </c>
      <c r="V412" s="30" t="str">
        <f t="shared" si="24"/>
        <v>Home-Work</v>
      </c>
      <c r="W412" s="51">
        <v>8000</v>
      </c>
      <c r="X412" s="50">
        <v>92</v>
      </c>
      <c r="Y412" s="50" t="str">
        <f t="shared" si="25"/>
        <v>70-100</v>
      </c>
      <c r="Z412" s="50">
        <v>3</v>
      </c>
      <c r="AA412" s="50" t="str">
        <f t="shared" si="26"/>
        <v>2.0-3.5</v>
      </c>
      <c r="AB412" s="23">
        <v>6</v>
      </c>
      <c r="AC412" s="30" t="str">
        <f>VLOOKUP(AB412,[2]Key!$C$20:$D$29,2,FALSE)</f>
        <v>Businessman</v>
      </c>
      <c r="AD412" s="23">
        <v>2</v>
      </c>
      <c r="AE412" s="30" t="str">
        <f>VLOOKUP(AD412,[2]Key!$E$20:$F$24,2,FALSE)</f>
        <v>300,000-500,000</v>
      </c>
      <c r="AF412" s="23">
        <v>1</v>
      </c>
      <c r="AG412" s="50">
        <v>2</v>
      </c>
      <c r="AH412" s="50">
        <v>4</v>
      </c>
      <c r="AI412" s="50">
        <v>3</v>
      </c>
      <c r="AJ412" s="50">
        <v>5</v>
      </c>
      <c r="AK412" s="46" t="s">
        <v>94</v>
      </c>
      <c r="AL412" s="36">
        <v>1000</v>
      </c>
      <c r="AM412" t="str">
        <f t="shared" si="27"/>
        <v>1000-2000</v>
      </c>
    </row>
    <row r="413" spans="1:46" x14ac:dyDescent="0.2">
      <c r="A413" s="44">
        <v>43761</v>
      </c>
      <c r="B413" s="48">
        <v>0.24930555555555556</v>
      </c>
      <c r="C413" s="48"/>
      <c r="D413" s="48" t="s">
        <v>150</v>
      </c>
      <c r="E413" s="13">
        <v>2</v>
      </c>
      <c r="F413" s="38" t="str">
        <f>VLOOKUP(E413,[2]Key!$A$17:$B$21,2,FALSE)</f>
        <v>Road Vehicle</v>
      </c>
      <c r="G413" s="49">
        <v>4</v>
      </c>
      <c r="H413" s="39" t="str">
        <f>VLOOKUP(G413,[2]Key!$A$2:$B$14,2,FALSE)</f>
        <v>Minibus</v>
      </c>
      <c r="I413" s="13" t="s">
        <v>109</v>
      </c>
      <c r="J413" s="13">
        <v>1</v>
      </c>
      <c r="K413" s="40" t="str">
        <f>VLOOKUP(J413,[2]Key!$A$24:$B$29,2,FALSE)</f>
        <v>20-29</v>
      </c>
      <c r="L413" s="11" t="s">
        <v>258</v>
      </c>
      <c r="M413" s="23" t="s">
        <v>223</v>
      </c>
      <c r="N413" s="13" t="s">
        <v>221</v>
      </c>
      <c r="O413" s="46">
        <v>1</v>
      </c>
      <c r="P413" s="30" t="str">
        <f>VLOOKUP(O413,[2]Key!$E$2:$F$9,2,FALSE)</f>
        <v>Home</v>
      </c>
      <c r="Q413" s="13" t="s">
        <v>223</v>
      </c>
      <c r="R413" s="23" t="s">
        <v>223</v>
      </c>
      <c r="S413" s="13" t="s">
        <v>221</v>
      </c>
      <c r="T413" s="23">
        <v>4</v>
      </c>
      <c r="U413" s="30" t="str">
        <f>VLOOKUP(T413,[2]Key!$E$2:$F$9,2,FALSE)</f>
        <v>Commercial</v>
      </c>
      <c r="V413" s="30" t="str">
        <f t="shared" si="24"/>
        <v>Home-Commercial</v>
      </c>
      <c r="W413" s="51">
        <v>3000</v>
      </c>
      <c r="X413" s="50">
        <v>12</v>
      </c>
      <c r="Y413" s="50" t="str">
        <f t="shared" si="25"/>
        <v>10-20</v>
      </c>
      <c r="Z413" s="50">
        <v>0.33329999999999999</v>
      </c>
      <c r="AA413" s="50" t="str">
        <f t="shared" si="26"/>
        <v>0-0.5</v>
      </c>
      <c r="AB413" s="23">
        <v>7</v>
      </c>
      <c r="AC413" s="30" t="str">
        <f>VLOOKUP(AB413,[2]Key!$C$20:$D$29,2,FALSE)</f>
        <v>Farmer</v>
      </c>
      <c r="AD413" s="23">
        <v>1</v>
      </c>
      <c r="AE413" s="30" t="str">
        <f>VLOOKUP(AD413,[2]Key!$E$20:$F$24,2,FALSE)</f>
        <v>&lt;300,000</v>
      </c>
      <c r="AF413" s="23">
        <v>1</v>
      </c>
      <c r="AG413" s="50">
        <v>2</v>
      </c>
      <c r="AH413" s="50">
        <v>5</v>
      </c>
      <c r="AI413" s="50">
        <v>3</v>
      </c>
      <c r="AJ413" s="50">
        <v>4</v>
      </c>
      <c r="AK413" s="46" t="s">
        <v>94</v>
      </c>
      <c r="AL413" s="36"/>
      <c r="AM413" t="str">
        <f t="shared" si="27"/>
        <v>0-1000</v>
      </c>
    </row>
    <row r="414" spans="1:46" x14ac:dyDescent="0.2">
      <c r="A414" s="44">
        <v>43761</v>
      </c>
      <c r="B414" s="48">
        <v>7.4999999999999997E-2</v>
      </c>
      <c r="C414" s="48"/>
      <c r="D414" s="48" t="s">
        <v>150</v>
      </c>
      <c r="E414" s="13">
        <v>2</v>
      </c>
      <c r="F414" s="38" t="str">
        <f>VLOOKUP(E414,[2]Key!$A$17:$B$21,2,FALSE)</f>
        <v>Road Vehicle</v>
      </c>
      <c r="G414" s="49">
        <v>4</v>
      </c>
      <c r="H414" s="39" t="str">
        <f>VLOOKUP(G414,[2]Key!$A$2:$B$14,2,FALSE)</f>
        <v>Minibus</v>
      </c>
      <c r="I414" s="13" t="s">
        <v>109</v>
      </c>
      <c r="J414" s="13">
        <v>1</v>
      </c>
      <c r="K414" s="40" t="str">
        <f>VLOOKUP(J414,[2]Key!$A$24:$B$29,2,FALSE)</f>
        <v>20-29</v>
      </c>
      <c r="L414" s="11" t="s">
        <v>309</v>
      </c>
      <c r="M414" s="23" t="s">
        <v>223</v>
      </c>
      <c r="N414" s="13" t="s">
        <v>221</v>
      </c>
      <c r="O414" s="46">
        <v>2</v>
      </c>
      <c r="P414" s="30" t="str">
        <f>VLOOKUP(O414,[2]Key!$E$2:$F$9,2,FALSE)</f>
        <v>Work</v>
      </c>
      <c r="Q414" s="13" t="s">
        <v>265</v>
      </c>
      <c r="R414" s="23" t="s">
        <v>223</v>
      </c>
      <c r="S414" s="13" t="s">
        <v>221</v>
      </c>
      <c r="T414" s="23">
        <v>1</v>
      </c>
      <c r="U414" s="30" t="str">
        <f>VLOOKUP(T414,[2]Key!$E$2:$F$9,2,FALSE)</f>
        <v>Home</v>
      </c>
      <c r="V414" s="30" t="str">
        <f t="shared" si="24"/>
        <v>Work-Home</v>
      </c>
      <c r="W414" s="51">
        <v>6000</v>
      </c>
      <c r="X414" s="50">
        <v>40</v>
      </c>
      <c r="Y414" s="50" t="str">
        <f t="shared" si="25"/>
        <v>40-70</v>
      </c>
      <c r="Z414" s="50">
        <v>1.5</v>
      </c>
      <c r="AA414" s="50" t="str">
        <f t="shared" si="26"/>
        <v>1.0-2.0</v>
      </c>
      <c r="AB414" s="23">
        <v>6</v>
      </c>
      <c r="AC414" s="30" t="str">
        <f>VLOOKUP(AB414,[2]Key!$C$20:$D$29,2,FALSE)</f>
        <v>Businessman</v>
      </c>
      <c r="AD414" s="23">
        <v>1</v>
      </c>
      <c r="AE414" s="30" t="str">
        <f>VLOOKUP(AD414,[2]Key!$E$20:$F$24,2,FALSE)</f>
        <v>&lt;300,000</v>
      </c>
      <c r="AF414" s="23">
        <v>2</v>
      </c>
      <c r="AG414" s="50">
        <v>5</v>
      </c>
      <c r="AH414" s="50">
        <v>1</v>
      </c>
      <c r="AI414" s="50">
        <v>4</v>
      </c>
      <c r="AJ414" s="50">
        <v>3</v>
      </c>
      <c r="AK414" s="46" t="s">
        <v>94</v>
      </c>
      <c r="AL414" s="36">
        <v>500</v>
      </c>
      <c r="AM414" t="str">
        <f t="shared" si="27"/>
        <v>0-1000</v>
      </c>
    </row>
    <row r="415" spans="1:46" x14ac:dyDescent="0.2">
      <c r="A415" s="44">
        <v>43761</v>
      </c>
      <c r="B415" s="48">
        <v>0.18888888888888888</v>
      </c>
      <c r="C415" s="48"/>
      <c r="D415" s="48" t="s">
        <v>248</v>
      </c>
      <c r="E415" s="13">
        <v>2</v>
      </c>
      <c r="F415" s="38" t="str">
        <f>VLOOKUP(E415,[2]Key!$A$17:$B$21,2,FALSE)</f>
        <v>Road Vehicle</v>
      </c>
      <c r="G415" s="49">
        <v>4</v>
      </c>
      <c r="H415" s="39" t="str">
        <f>VLOOKUP(G415,[2]Key!$A$2:$B$14,2,FALSE)</f>
        <v>Minibus</v>
      </c>
      <c r="I415" s="13" t="s">
        <v>109</v>
      </c>
      <c r="J415" s="13">
        <v>1</v>
      </c>
      <c r="K415" s="40" t="str">
        <f>VLOOKUP(J415,[2]Key!$A$24:$B$29,2,FALSE)</f>
        <v>20-29</v>
      </c>
      <c r="L415" s="11" t="s">
        <v>310</v>
      </c>
      <c r="M415" s="23" t="s">
        <v>220</v>
      </c>
      <c r="N415" s="13" t="s">
        <v>221</v>
      </c>
      <c r="O415" s="46">
        <v>6</v>
      </c>
      <c r="P415" s="30" t="str">
        <f>VLOOKUP(O415,[2]Key!$E$2:$F$9,2,FALSE)</f>
        <v>Leisure/Social</v>
      </c>
      <c r="Q415" s="13" t="s">
        <v>311</v>
      </c>
      <c r="R415" s="23" t="s">
        <v>223</v>
      </c>
      <c r="S415" s="13" t="s">
        <v>221</v>
      </c>
      <c r="T415" s="23">
        <v>4</v>
      </c>
      <c r="U415" s="30" t="str">
        <f>VLOOKUP(T415,[2]Key!$E$2:$F$9,2,FALSE)</f>
        <v>Commercial</v>
      </c>
      <c r="V415" s="30" t="str">
        <f t="shared" si="24"/>
        <v>Leisure/Social-Commercial</v>
      </c>
      <c r="W415" s="51">
        <v>12000</v>
      </c>
      <c r="X415" s="50"/>
      <c r="Y415" s="50" t="str">
        <f t="shared" si="25"/>
        <v>0-10</v>
      </c>
      <c r="Z415" s="50">
        <v>2.5</v>
      </c>
      <c r="AA415" s="50" t="str">
        <f t="shared" si="26"/>
        <v>2.0-3.5</v>
      </c>
      <c r="AB415" s="23">
        <v>6</v>
      </c>
      <c r="AC415" s="30" t="str">
        <f>VLOOKUP(AB415,[2]Key!$C$20:$D$29,2,FALSE)</f>
        <v>Businessman</v>
      </c>
      <c r="AD415" s="23">
        <v>1</v>
      </c>
      <c r="AE415" s="30" t="str">
        <f>VLOOKUP(AD415,[2]Key!$E$20:$F$24,2,FALSE)</f>
        <v>&lt;300,000</v>
      </c>
      <c r="AF415" s="23">
        <v>5</v>
      </c>
      <c r="AG415" s="50">
        <v>2</v>
      </c>
      <c r="AH415" s="50">
        <v>3</v>
      </c>
      <c r="AI415" s="50">
        <v>4</v>
      </c>
      <c r="AJ415" s="50">
        <v>1</v>
      </c>
      <c r="AK415" s="46" t="s">
        <v>94</v>
      </c>
      <c r="AL415" s="36">
        <v>100</v>
      </c>
      <c r="AM415" t="str">
        <f t="shared" si="27"/>
        <v>0-1000</v>
      </c>
    </row>
    <row r="416" spans="1:46" x14ac:dyDescent="0.2">
      <c r="A416" s="44">
        <v>43761</v>
      </c>
      <c r="B416" s="48">
        <v>0.14652777777777778</v>
      </c>
      <c r="C416" s="48"/>
      <c r="D416" s="48" t="s">
        <v>248</v>
      </c>
      <c r="E416" s="13">
        <v>2</v>
      </c>
      <c r="F416" s="38" t="str">
        <f>VLOOKUP(E416,[2]Key!$A$17:$B$21,2,FALSE)</f>
        <v>Road Vehicle</v>
      </c>
      <c r="G416" s="49">
        <v>4</v>
      </c>
      <c r="H416" s="39" t="str">
        <f>VLOOKUP(G416,[2]Key!$A$2:$B$14,2,FALSE)</f>
        <v>Minibus</v>
      </c>
      <c r="I416" s="13" t="s">
        <v>109</v>
      </c>
      <c r="J416" s="13">
        <v>1</v>
      </c>
      <c r="K416" s="40" t="str">
        <f>VLOOKUP(J416,[2]Key!$A$24:$B$29,2,FALSE)</f>
        <v>20-29</v>
      </c>
      <c r="L416" s="11" t="s">
        <v>258</v>
      </c>
      <c r="M416" s="23" t="s">
        <v>220</v>
      </c>
      <c r="N416" s="13" t="s">
        <v>221</v>
      </c>
      <c r="O416" s="46">
        <v>8</v>
      </c>
      <c r="P416" s="30" t="str">
        <f>VLOOKUP(O416,[2]Key!$E$2:$F$9,2,FALSE)</f>
        <v>Others</v>
      </c>
      <c r="Q416" s="13" t="s">
        <v>231</v>
      </c>
      <c r="R416" s="23" t="s">
        <v>223</v>
      </c>
      <c r="S416" s="13" t="s">
        <v>221</v>
      </c>
      <c r="T416" s="23">
        <v>7</v>
      </c>
      <c r="U416" s="30" t="str">
        <f>VLOOKUP(T416,[2]Key!$E$2:$F$9,2,FALSE)</f>
        <v>Hospital</v>
      </c>
      <c r="V416" s="30" t="str">
        <f t="shared" si="24"/>
        <v>Others-Hospital</v>
      </c>
      <c r="W416" s="23">
        <v>2000</v>
      </c>
      <c r="X416" s="50"/>
      <c r="Y416" s="50" t="str">
        <f t="shared" si="25"/>
        <v>0-10</v>
      </c>
      <c r="Z416" s="50">
        <v>0.5</v>
      </c>
      <c r="AA416" s="50" t="str">
        <f t="shared" si="26"/>
        <v>0.5-1.0</v>
      </c>
      <c r="AB416" s="23">
        <v>1</v>
      </c>
      <c r="AC416" s="30" t="str">
        <f>VLOOKUP(AB416,[2]Key!$C$20:$D$29,2,FALSE)</f>
        <v>Unemployed</v>
      </c>
      <c r="AD416" s="23">
        <v>1</v>
      </c>
      <c r="AE416" s="30" t="str">
        <f>VLOOKUP(AD416,[2]Key!$E$20:$F$24,2,FALSE)</f>
        <v>&lt;300,000</v>
      </c>
      <c r="AF416" s="23">
        <v>4</v>
      </c>
      <c r="AG416" s="50">
        <v>5</v>
      </c>
      <c r="AH416" s="50">
        <v>2</v>
      </c>
      <c r="AI416" s="50">
        <v>1</v>
      </c>
      <c r="AJ416" s="50">
        <v>3</v>
      </c>
      <c r="AK416" s="46" t="s">
        <v>94</v>
      </c>
      <c r="AL416" s="36"/>
      <c r="AM416" t="str">
        <f t="shared" si="27"/>
        <v>0-1000</v>
      </c>
    </row>
    <row r="417" spans="1:46" x14ac:dyDescent="0.2">
      <c r="A417" s="44">
        <v>43761</v>
      </c>
      <c r="B417" s="48">
        <v>0.125</v>
      </c>
      <c r="C417" s="48"/>
      <c r="D417" s="48" t="s">
        <v>248</v>
      </c>
      <c r="E417" s="13">
        <v>2</v>
      </c>
      <c r="F417" s="38" t="str">
        <f>VLOOKUP(E417,[2]Key!$A$17:$B$21,2,FALSE)</f>
        <v>Road Vehicle</v>
      </c>
      <c r="G417" s="49">
        <v>4</v>
      </c>
      <c r="H417" s="39" t="str">
        <f>VLOOKUP(G417,[2]Key!$A$2:$B$14,2,FALSE)</f>
        <v>Minibus</v>
      </c>
      <c r="I417" s="13" t="s">
        <v>109</v>
      </c>
      <c r="J417" s="13">
        <v>1</v>
      </c>
      <c r="K417" s="40" t="str">
        <f>VLOOKUP(J417,[2]Key!$A$24:$B$29,2,FALSE)</f>
        <v>20-29</v>
      </c>
      <c r="L417" s="11" t="s">
        <v>312</v>
      </c>
      <c r="M417" s="23" t="s">
        <v>220</v>
      </c>
      <c r="N417" s="13" t="s">
        <v>221</v>
      </c>
      <c r="O417" s="46">
        <v>1</v>
      </c>
      <c r="P417" s="30" t="str">
        <f>VLOOKUP(O417,[2]Key!$E$2:$F$9,2,FALSE)</f>
        <v>Home</v>
      </c>
      <c r="Q417" s="13" t="s">
        <v>313</v>
      </c>
      <c r="R417" s="23" t="s">
        <v>223</v>
      </c>
      <c r="S417" s="13" t="s">
        <v>221</v>
      </c>
      <c r="T417" s="23">
        <v>6</v>
      </c>
      <c r="U417" s="30" t="str">
        <f>VLOOKUP(T417,[2]Key!$E$2:$F$9,2,FALSE)</f>
        <v>Leisure/Social</v>
      </c>
      <c r="V417" s="30" t="str">
        <f t="shared" si="24"/>
        <v>Home-Leisure/Social</v>
      </c>
      <c r="W417" s="23">
        <v>2500</v>
      </c>
      <c r="X417" s="50"/>
      <c r="Y417" s="50" t="str">
        <f t="shared" si="25"/>
        <v>0-10</v>
      </c>
      <c r="Z417" s="50">
        <v>0.16600000000000001</v>
      </c>
      <c r="AA417" s="50" t="str">
        <f t="shared" si="26"/>
        <v>0-0.5</v>
      </c>
      <c r="AB417" s="23">
        <v>1</v>
      </c>
      <c r="AC417" s="30" t="str">
        <f>VLOOKUP(AB417,[2]Key!$C$20:$D$29,2,FALSE)</f>
        <v>Unemployed</v>
      </c>
      <c r="AD417" s="23">
        <v>1</v>
      </c>
      <c r="AE417" s="30" t="str">
        <f>VLOOKUP(AD417,[2]Key!$E$20:$F$24,2,FALSE)</f>
        <v>&lt;300,000</v>
      </c>
      <c r="AF417" s="23">
        <v>2</v>
      </c>
      <c r="AG417" s="50">
        <v>4</v>
      </c>
      <c r="AH417" s="50">
        <v>3</v>
      </c>
      <c r="AI417" s="50">
        <v>1</v>
      </c>
      <c r="AJ417" s="50">
        <v>5</v>
      </c>
      <c r="AK417" s="46" t="s">
        <v>94</v>
      </c>
      <c r="AL417" s="36"/>
      <c r="AM417" t="str">
        <f t="shared" si="27"/>
        <v>0-1000</v>
      </c>
    </row>
    <row r="418" spans="1:46" x14ac:dyDescent="0.2">
      <c r="A418" s="44">
        <v>43761</v>
      </c>
      <c r="B418" s="48">
        <v>9.5833333333333326E-2</v>
      </c>
      <c r="C418" s="48"/>
      <c r="D418" s="48" t="s">
        <v>248</v>
      </c>
      <c r="E418" s="13">
        <v>2</v>
      </c>
      <c r="F418" s="38" t="str">
        <f>VLOOKUP(E418,[2]Key!$A$17:$B$21,2,FALSE)</f>
        <v>Road Vehicle</v>
      </c>
      <c r="G418" s="49">
        <v>4</v>
      </c>
      <c r="H418" s="39" t="str">
        <f>VLOOKUP(G418,[2]Key!$A$2:$B$14,2,FALSE)</f>
        <v>Minibus</v>
      </c>
      <c r="I418" s="13" t="s">
        <v>109</v>
      </c>
      <c r="J418" s="13">
        <v>1</v>
      </c>
      <c r="K418" s="40" t="str">
        <f>VLOOKUP(J418,[2]Key!$A$24:$B$29,2,FALSE)</f>
        <v>20-29</v>
      </c>
      <c r="L418" s="11" t="s">
        <v>314</v>
      </c>
      <c r="M418" s="23" t="s">
        <v>220</v>
      </c>
      <c r="N418" s="13" t="s">
        <v>221</v>
      </c>
      <c r="O418" s="46">
        <v>5</v>
      </c>
      <c r="P418" s="30" t="str">
        <f>VLOOKUP(O418,[2]Key!$E$2:$F$9,2,FALSE)</f>
        <v>Tourism</v>
      </c>
      <c r="Q418" s="13" t="s">
        <v>231</v>
      </c>
      <c r="R418" s="23" t="s">
        <v>315</v>
      </c>
      <c r="S418" s="13" t="s">
        <v>221</v>
      </c>
      <c r="T418" s="23">
        <v>5</v>
      </c>
      <c r="U418" s="30" t="str">
        <f>VLOOKUP(T418,[2]Key!$E$2:$F$9,2,FALSE)</f>
        <v>Tourism</v>
      </c>
      <c r="V418" s="30" t="str">
        <f t="shared" si="24"/>
        <v>Tourism-Tourism</v>
      </c>
      <c r="W418" s="23">
        <v>22000</v>
      </c>
      <c r="X418" s="50"/>
      <c r="Y418" s="50" t="str">
        <f t="shared" si="25"/>
        <v>0-10</v>
      </c>
      <c r="Z418" s="50"/>
      <c r="AA418" s="50" t="str">
        <f t="shared" si="26"/>
        <v>0-0.5</v>
      </c>
      <c r="AB418" s="23">
        <v>4</v>
      </c>
      <c r="AC418" s="30" t="str">
        <f>VLOOKUP(AB418,[2]Key!$C$20:$D$29,2,FALSE)</f>
        <v>Office Worker</v>
      </c>
      <c r="AD418" s="23">
        <v>3</v>
      </c>
      <c r="AE418" s="30" t="str">
        <f>VLOOKUP(AD418,[2]Key!$E$20:$F$24,2,FALSE)</f>
        <v>500,000-750,000</v>
      </c>
      <c r="AF418" s="23">
        <v>4</v>
      </c>
      <c r="AG418" s="50">
        <v>3</v>
      </c>
      <c r="AH418" s="50">
        <v>1</v>
      </c>
      <c r="AI418" s="50">
        <v>2</v>
      </c>
      <c r="AJ418" s="50">
        <v>5</v>
      </c>
      <c r="AK418" s="46" t="s">
        <v>94</v>
      </c>
      <c r="AL418" s="36">
        <v>1500</v>
      </c>
      <c r="AM418" t="str">
        <f t="shared" si="27"/>
        <v>1000-2000</v>
      </c>
    </row>
    <row r="419" spans="1:46" x14ac:dyDescent="0.2">
      <c r="A419" s="44">
        <v>43761</v>
      </c>
      <c r="B419" s="48">
        <v>0.53333333333333333</v>
      </c>
      <c r="C419" s="48"/>
      <c r="D419" s="48" t="s">
        <v>150</v>
      </c>
      <c r="E419" s="13">
        <v>2</v>
      </c>
      <c r="F419" s="38" t="str">
        <f>VLOOKUP(E419,[2]Key!$A$17:$B$21,2,FALSE)</f>
        <v>Road Vehicle</v>
      </c>
      <c r="G419" s="49">
        <v>4</v>
      </c>
      <c r="H419" s="39" t="str">
        <f>VLOOKUP(G419,[2]Key!$A$2:$B$14,2,FALSE)</f>
        <v>Minibus</v>
      </c>
      <c r="I419" s="13" t="s">
        <v>109</v>
      </c>
      <c r="J419" s="13">
        <v>1</v>
      </c>
      <c r="K419" s="40" t="str">
        <f>VLOOKUP(J419,[2]Key!$A$24:$B$29,2,FALSE)</f>
        <v>20-29</v>
      </c>
      <c r="L419" s="11" t="s">
        <v>253</v>
      </c>
      <c r="M419" s="23" t="s">
        <v>220</v>
      </c>
      <c r="N419" s="13" t="s">
        <v>221</v>
      </c>
      <c r="O419" s="46">
        <v>2</v>
      </c>
      <c r="P419" s="30" t="str">
        <f>VLOOKUP(O419,[2]Key!$E$2:$F$9,2,FALSE)</f>
        <v>Work</v>
      </c>
      <c r="Q419" s="13" t="s">
        <v>259</v>
      </c>
      <c r="R419" s="23" t="s">
        <v>283</v>
      </c>
      <c r="S419" s="13" t="s">
        <v>221</v>
      </c>
      <c r="T419" s="23">
        <v>2</v>
      </c>
      <c r="U419" s="30" t="str">
        <f>VLOOKUP(T419,[2]Key!$E$2:$F$9,2,FALSE)</f>
        <v>Work</v>
      </c>
      <c r="V419" s="30" t="str">
        <f t="shared" si="24"/>
        <v>Work-Work</v>
      </c>
      <c r="W419" s="51">
        <v>120000</v>
      </c>
      <c r="X419" s="50"/>
      <c r="Y419" s="50" t="str">
        <f t="shared" si="25"/>
        <v>0-10</v>
      </c>
      <c r="Z419" s="50">
        <v>3</v>
      </c>
      <c r="AA419" s="50" t="str">
        <f t="shared" si="26"/>
        <v>2.0-3.5</v>
      </c>
      <c r="AB419" s="23">
        <v>10</v>
      </c>
      <c r="AC419" s="30" t="str">
        <f>VLOOKUP(AB419,[2]Key!$C$20:$D$29,2,FALSE)</f>
        <v>Other</v>
      </c>
      <c r="AD419" s="23">
        <v>1</v>
      </c>
      <c r="AE419" s="30" t="str">
        <f>VLOOKUP(AD419,[2]Key!$E$20:$F$24,2,FALSE)</f>
        <v>&lt;300,000</v>
      </c>
      <c r="AF419" s="23">
        <v>2</v>
      </c>
      <c r="AG419" s="50">
        <v>1</v>
      </c>
      <c r="AH419" s="50">
        <v>5</v>
      </c>
      <c r="AI419" s="50">
        <v>4</v>
      </c>
      <c r="AJ419" s="50">
        <v>3</v>
      </c>
      <c r="AK419" s="46" t="s">
        <v>94</v>
      </c>
      <c r="AL419" s="36">
        <v>1000</v>
      </c>
      <c r="AM419" t="str">
        <f t="shared" si="27"/>
        <v>1000-2000</v>
      </c>
    </row>
    <row r="420" spans="1:46" x14ac:dyDescent="0.2">
      <c r="A420" s="44">
        <v>43761</v>
      </c>
      <c r="B420" s="48">
        <v>0.51111111111111118</v>
      </c>
      <c r="C420" s="48"/>
      <c r="D420" s="48" t="s">
        <v>248</v>
      </c>
      <c r="E420" s="13">
        <v>2</v>
      </c>
      <c r="F420" s="38" t="str">
        <f>VLOOKUP(E420,[2]Key!$A$17:$B$21,2,FALSE)</f>
        <v>Road Vehicle</v>
      </c>
      <c r="G420" s="49">
        <v>4</v>
      </c>
      <c r="H420" s="39" t="str">
        <f>VLOOKUP(G420,[2]Key!$A$2:$B$14,2,FALSE)</f>
        <v>Minibus</v>
      </c>
      <c r="I420" s="13" t="s">
        <v>109</v>
      </c>
      <c r="J420" s="13">
        <v>1</v>
      </c>
      <c r="K420" s="40" t="str">
        <f>VLOOKUP(J420,[2]Key!$A$24:$B$29,2,FALSE)</f>
        <v>20-29</v>
      </c>
      <c r="L420" s="11" t="s">
        <v>277</v>
      </c>
      <c r="M420" s="23" t="s">
        <v>220</v>
      </c>
      <c r="N420" s="13" t="s">
        <v>221</v>
      </c>
      <c r="O420" s="46">
        <v>3</v>
      </c>
      <c r="P420" s="30" t="str">
        <f>VLOOKUP(O420,[2]Key!$E$2:$F$9,2,FALSE)</f>
        <v>Study</v>
      </c>
      <c r="Q420" s="13" t="s">
        <v>232</v>
      </c>
      <c r="R420" s="23" t="s">
        <v>223</v>
      </c>
      <c r="S420" s="13" t="s">
        <v>221</v>
      </c>
      <c r="T420" s="23">
        <v>1</v>
      </c>
      <c r="U420" s="30" t="str">
        <f>VLOOKUP(T420,[2]Key!$E$2:$F$9,2,FALSE)</f>
        <v>Home</v>
      </c>
      <c r="V420" s="30" t="str">
        <f t="shared" si="24"/>
        <v>Study-Home</v>
      </c>
      <c r="W420" s="23">
        <v>6000</v>
      </c>
      <c r="X420" s="50"/>
      <c r="Y420" s="50" t="str">
        <f t="shared" si="25"/>
        <v>0-10</v>
      </c>
      <c r="Z420" s="50">
        <v>1</v>
      </c>
      <c r="AA420" s="50" t="str">
        <f t="shared" si="26"/>
        <v>1.0-2.0</v>
      </c>
      <c r="AB420" s="23">
        <v>6</v>
      </c>
      <c r="AC420" s="30" t="str">
        <f>VLOOKUP(AB420,[2]Key!$C$20:$D$29,2,FALSE)</f>
        <v>Businessman</v>
      </c>
      <c r="AD420" s="23">
        <v>5</v>
      </c>
      <c r="AE420" s="30" t="str">
        <f>VLOOKUP(AD420,[2]Key!$E$20:$F$24,2,FALSE)</f>
        <v>&gt;1,000,000</v>
      </c>
      <c r="AF420" s="23">
        <v>5</v>
      </c>
      <c r="AG420" s="50">
        <v>1</v>
      </c>
      <c r="AH420" s="50">
        <v>3</v>
      </c>
      <c r="AI420" s="50">
        <v>2</v>
      </c>
      <c r="AJ420" s="50">
        <v>4</v>
      </c>
      <c r="AK420" s="46" t="s">
        <v>94</v>
      </c>
      <c r="AL420" s="36">
        <v>1500</v>
      </c>
      <c r="AM420" t="str">
        <f t="shared" si="27"/>
        <v>1000-2000</v>
      </c>
    </row>
    <row r="421" spans="1:46" x14ac:dyDescent="0.2">
      <c r="A421" s="44">
        <v>43761</v>
      </c>
      <c r="B421" s="48">
        <v>0.46319444444444446</v>
      </c>
      <c r="C421" s="48"/>
      <c r="D421" s="48" t="s">
        <v>248</v>
      </c>
      <c r="E421" s="13">
        <v>2</v>
      </c>
      <c r="F421" s="38" t="str">
        <f>VLOOKUP(E421,[2]Key!$A$17:$B$21,2,FALSE)</f>
        <v>Road Vehicle</v>
      </c>
      <c r="G421" s="49">
        <v>4</v>
      </c>
      <c r="H421" s="39" t="str">
        <f>VLOOKUP(G421,[2]Key!$A$2:$B$14,2,FALSE)</f>
        <v>Minibus</v>
      </c>
      <c r="I421" s="13" t="s">
        <v>109</v>
      </c>
      <c r="J421" s="13">
        <v>1</v>
      </c>
      <c r="K421" s="40" t="str">
        <f>VLOOKUP(J421,[2]Key!$A$24:$B$29,2,FALSE)</f>
        <v>20-29</v>
      </c>
      <c r="L421" s="11" t="s">
        <v>316</v>
      </c>
      <c r="M421" s="23" t="s">
        <v>223</v>
      </c>
      <c r="N421" s="13" t="s">
        <v>221</v>
      </c>
      <c r="O421" s="46">
        <v>8</v>
      </c>
      <c r="P421" s="30" t="str">
        <f>VLOOKUP(O421,[2]Key!$E$2:$F$9,2,FALSE)</f>
        <v>Others</v>
      </c>
      <c r="Q421" s="13" t="s">
        <v>317</v>
      </c>
      <c r="R421" s="23" t="s">
        <v>256</v>
      </c>
      <c r="S421" s="13" t="s">
        <v>221</v>
      </c>
      <c r="T421" s="23">
        <v>8</v>
      </c>
      <c r="U421" s="30" t="str">
        <f>VLOOKUP(T421,[2]Key!$E$2:$F$9,2,FALSE)</f>
        <v>Others</v>
      </c>
      <c r="V421" s="30" t="str">
        <f t="shared" si="24"/>
        <v>Others-Others</v>
      </c>
      <c r="W421" s="23">
        <v>14000</v>
      </c>
      <c r="X421" s="50"/>
      <c r="Y421" s="50" t="str">
        <f t="shared" si="25"/>
        <v>0-10</v>
      </c>
      <c r="Z421" s="50">
        <v>4</v>
      </c>
      <c r="AA421" s="50" t="str">
        <f t="shared" si="26"/>
        <v>Over 3.5</v>
      </c>
      <c r="AB421" s="23">
        <v>6</v>
      </c>
      <c r="AC421" s="30" t="str">
        <f>VLOOKUP(AB421,[2]Key!$C$20:$D$29,2,FALSE)</f>
        <v>Businessman</v>
      </c>
      <c r="AD421" s="23">
        <v>3</v>
      </c>
      <c r="AE421" s="30" t="str">
        <f>VLOOKUP(AD421,[2]Key!$E$20:$F$24,2,FALSE)</f>
        <v>500,000-750,000</v>
      </c>
      <c r="AF421" s="23">
        <v>1</v>
      </c>
      <c r="AG421" s="50">
        <v>5</v>
      </c>
      <c r="AH421" s="50">
        <v>3</v>
      </c>
      <c r="AI421" s="50">
        <v>2</v>
      </c>
      <c r="AJ421" s="50">
        <v>4</v>
      </c>
      <c r="AK421" s="46" t="s">
        <v>94</v>
      </c>
      <c r="AL421" s="36">
        <v>1500</v>
      </c>
      <c r="AM421" t="str">
        <f t="shared" si="27"/>
        <v>1000-2000</v>
      </c>
    </row>
    <row r="422" spans="1:46" x14ac:dyDescent="0.2">
      <c r="A422" s="44">
        <v>43759</v>
      </c>
      <c r="B422" s="48">
        <v>9.0277777777777776E-2</v>
      </c>
      <c r="C422" s="48"/>
      <c r="D422" s="48"/>
      <c r="E422" s="13">
        <v>2</v>
      </c>
      <c r="F422" s="38" t="str">
        <f>VLOOKUP(E422,[1]Key!$A$17:$B$21,2,FALSE)</f>
        <v>Road Vehicle</v>
      </c>
      <c r="G422" s="49">
        <v>4</v>
      </c>
      <c r="H422" s="39" t="str">
        <f>VLOOKUP(G422,[2]Key!$A$2:$B$14,2,FALSE)</f>
        <v>Minibus</v>
      </c>
      <c r="I422" s="13" t="s">
        <v>109</v>
      </c>
      <c r="J422" s="13">
        <v>1</v>
      </c>
      <c r="K422" s="40" t="str">
        <f>VLOOKUP(J422,[1]Key!$A$24:$B$29,2,FALSE)</f>
        <v>20-29</v>
      </c>
      <c r="L422" s="11"/>
      <c r="M422" s="23"/>
      <c r="N422" s="13" t="s">
        <v>221</v>
      </c>
      <c r="O422" s="46">
        <v>1</v>
      </c>
      <c r="P422" s="30" t="str">
        <f>VLOOKUP(O422,[1]Key!$E$2:$F$9,2,FALSE)</f>
        <v>Home</v>
      </c>
      <c r="Q422" s="13"/>
      <c r="R422" s="23"/>
      <c r="S422" s="13" t="s">
        <v>221</v>
      </c>
      <c r="T422" s="23">
        <v>8</v>
      </c>
      <c r="U422" s="30" t="str">
        <f>VLOOKUP(T422,[1]Key!$E$2:$F$9,2,FALSE)</f>
        <v>Others</v>
      </c>
      <c r="V422" s="30" t="str">
        <f t="shared" si="24"/>
        <v>Home-Others</v>
      </c>
      <c r="W422" s="41"/>
      <c r="X422" s="50"/>
      <c r="Y422" s="50" t="str">
        <f t="shared" si="25"/>
        <v>0-10</v>
      </c>
      <c r="Z422" s="50"/>
      <c r="AA422" s="50" t="str">
        <f t="shared" si="26"/>
        <v>0-0.5</v>
      </c>
      <c r="AB422" s="23">
        <v>4</v>
      </c>
      <c r="AC422" s="30" t="str">
        <f>VLOOKUP(AB422,[1]Key!$C$20:$D$29,2,FALSE)</f>
        <v>Office Worker</v>
      </c>
      <c r="AD422" s="23">
        <v>2</v>
      </c>
      <c r="AE422" s="30" t="str">
        <f>VLOOKUP(AD422,[1]Key!$E$20:$F$24,2,FALSE)</f>
        <v>300,000-500,000</v>
      </c>
      <c r="AF422" s="23"/>
      <c r="AG422" s="50"/>
      <c r="AH422" s="50"/>
      <c r="AI422" s="50"/>
      <c r="AJ422" s="50"/>
      <c r="AK422" s="46"/>
      <c r="AL422" s="36"/>
      <c r="AM422" t="str">
        <f t="shared" si="27"/>
        <v>0-1000</v>
      </c>
    </row>
    <row r="423" spans="1:46" x14ac:dyDescent="0.2">
      <c r="A423" s="44">
        <v>43761</v>
      </c>
      <c r="B423" s="48">
        <v>0.35833333333333334</v>
      </c>
      <c r="C423" s="48"/>
      <c r="D423" s="48" t="s">
        <v>97</v>
      </c>
      <c r="E423" s="13">
        <v>2</v>
      </c>
      <c r="F423" s="38" t="str">
        <f>VLOOKUP(E423,[2]Key!$A$17:$B$21,2,FALSE)</f>
        <v>Road Vehicle</v>
      </c>
      <c r="G423" s="49">
        <v>2</v>
      </c>
      <c r="H423" s="39" t="str">
        <f>VLOOKUP(G423,[2]Key!$A$2:$B$14,2,FALSE)</f>
        <v>Station Wagon</v>
      </c>
      <c r="I423" s="13" t="s">
        <v>109</v>
      </c>
      <c r="J423" s="13">
        <v>1</v>
      </c>
      <c r="K423" s="40" t="str">
        <f>VLOOKUP(J423,[2]Key!$A$24:$B$29,2,FALSE)</f>
        <v>20-29</v>
      </c>
      <c r="L423" s="11" t="s">
        <v>259</v>
      </c>
      <c r="M423" s="23" t="s">
        <v>318</v>
      </c>
      <c r="N423" s="13" t="s">
        <v>221</v>
      </c>
      <c r="O423" s="46">
        <v>8</v>
      </c>
      <c r="P423" s="30" t="str">
        <f>VLOOKUP(O423,[2]Key!$E$2:$F$9,2,FALSE)</f>
        <v>Others</v>
      </c>
      <c r="Q423" s="13" t="s">
        <v>319</v>
      </c>
      <c r="R423" s="23" t="s">
        <v>223</v>
      </c>
      <c r="S423" s="13" t="s">
        <v>221</v>
      </c>
      <c r="T423" s="23">
        <v>1</v>
      </c>
      <c r="U423" s="30" t="str">
        <f>VLOOKUP(T423,[2]Key!$E$2:$F$9,2,FALSE)</f>
        <v>Home</v>
      </c>
      <c r="V423" s="30" t="str">
        <f t="shared" si="24"/>
        <v>Others-Home</v>
      </c>
      <c r="W423" s="51">
        <v>71000</v>
      </c>
      <c r="X423" s="50"/>
      <c r="Y423" s="50" t="str">
        <f t="shared" si="25"/>
        <v>0-10</v>
      </c>
      <c r="Z423" s="50">
        <v>3</v>
      </c>
      <c r="AA423" s="50" t="str">
        <f t="shared" si="26"/>
        <v>2.0-3.5</v>
      </c>
      <c r="AB423" s="23">
        <v>5</v>
      </c>
      <c r="AC423" s="30" t="str">
        <f>VLOOKUP(AB423,[2]Key!$C$20:$D$29,2,FALSE)</f>
        <v>Professional</v>
      </c>
      <c r="AD423" s="23">
        <v>3</v>
      </c>
      <c r="AE423" s="30" t="str">
        <f>VLOOKUP(AD423,[2]Key!$E$20:$F$24,2,FALSE)</f>
        <v>500,000-750,000</v>
      </c>
      <c r="AF423" s="23">
        <v>1</v>
      </c>
      <c r="AG423" s="50">
        <v>5</v>
      </c>
      <c r="AH423" s="50">
        <v>4</v>
      </c>
      <c r="AI423" s="50">
        <v>2</v>
      </c>
      <c r="AJ423" s="50">
        <v>3</v>
      </c>
      <c r="AK423" s="46" t="s">
        <v>94</v>
      </c>
      <c r="AL423" s="36">
        <v>1000</v>
      </c>
      <c r="AM423" t="str">
        <f t="shared" si="27"/>
        <v>1000-2000</v>
      </c>
    </row>
    <row r="424" spans="1:46" x14ac:dyDescent="0.2">
      <c r="A424" s="44">
        <v>43759</v>
      </c>
      <c r="B424" s="48">
        <v>0.49861111111111112</v>
      </c>
      <c r="C424" s="48"/>
      <c r="D424" s="48"/>
      <c r="E424" s="13">
        <v>1</v>
      </c>
      <c r="F424" s="38" t="str">
        <f>VLOOKUP(E424,[1]Key!$A$17:$B$21,2,FALSE)</f>
        <v>Walking/Cycling</v>
      </c>
      <c r="G424" s="49">
        <v>2</v>
      </c>
      <c r="H424" s="39" t="str">
        <f>VLOOKUP(G424,[2]Key!$A$2:$B$14,2,FALSE)</f>
        <v>Station Wagon</v>
      </c>
      <c r="I424" s="13" t="s">
        <v>109</v>
      </c>
      <c r="J424" s="13">
        <v>1</v>
      </c>
      <c r="K424" s="40" t="str">
        <f>VLOOKUP(J424,[1]Key!$A$24:$B$29,2,FALSE)</f>
        <v>20-29</v>
      </c>
      <c r="L424" s="11" t="s">
        <v>290</v>
      </c>
      <c r="M424" s="23" t="s">
        <v>220</v>
      </c>
      <c r="N424" s="13" t="s">
        <v>221</v>
      </c>
      <c r="O424" s="46">
        <v>1</v>
      </c>
      <c r="P424" s="30" t="str">
        <f>VLOOKUP(O424,[1]Key!$E$2:$F$9,2,FALSE)</f>
        <v>Home</v>
      </c>
      <c r="Q424" s="13" t="s">
        <v>274</v>
      </c>
      <c r="R424" s="23" t="s">
        <v>274</v>
      </c>
      <c r="S424" s="13" t="s">
        <v>221</v>
      </c>
      <c r="T424" s="23">
        <v>4</v>
      </c>
      <c r="U424" s="30" t="str">
        <f>VLOOKUP(T424,[1]Key!$E$2:$F$9,2,FALSE)</f>
        <v>Commercial</v>
      </c>
      <c r="V424" s="30" t="str">
        <f t="shared" si="24"/>
        <v>Home-Commercial</v>
      </c>
      <c r="W424" s="51">
        <v>30000</v>
      </c>
      <c r="X424" s="50">
        <v>443</v>
      </c>
      <c r="Y424" s="50" t="str">
        <f t="shared" si="25"/>
        <v>Over 200</v>
      </c>
      <c r="Z424" s="50">
        <v>8</v>
      </c>
      <c r="AA424" s="50" t="str">
        <f t="shared" si="26"/>
        <v>Over 3.5</v>
      </c>
      <c r="AB424" s="23">
        <v>2</v>
      </c>
      <c r="AC424" s="30" t="str">
        <f>VLOOKUP(AB424,[1]Key!$C$20:$D$29,2,FALSE)</f>
        <v>Manual Labour</v>
      </c>
      <c r="AD424" s="23">
        <v>1</v>
      </c>
      <c r="AE424" s="30" t="str">
        <f>VLOOKUP(AD424,[1]Key!$E$20:$F$24,2,FALSE)</f>
        <v>&lt;300,000</v>
      </c>
      <c r="AF424" s="23">
        <v>2</v>
      </c>
      <c r="AG424" s="50">
        <v>3</v>
      </c>
      <c r="AH424" s="50">
        <v>5</v>
      </c>
      <c r="AI424" s="50">
        <v>1</v>
      </c>
      <c r="AJ424" s="50">
        <v>4</v>
      </c>
      <c r="AK424" s="46" t="s">
        <v>94</v>
      </c>
      <c r="AL424" s="36"/>
      <c r="AM424" t="str">
        <f t="shared" si="27"/>
        <v>0-1000</v>
      </c>
    </row>
    <row r="425" spans="1:46" x14ac:dyDescent="0.2">
      <c r="A425" s="44">
        <v>43759</v>
      </c>
      <c r="B425" s="48">
        <v>4.1666666666666664E-2</v>
      </c>
      <c r="C425" s="48"/>
      <c r="D425" s="48"/>
      <c r="E425" s="13">
        <v>1</v>
      </c>
      <c r="F425" s="38" t="str">
        <f>VLOOKUP(E425,[1]Key!$A$17:$B$21,2,FALSE)</f>
        <v>Walking/Cycling</v>
      </c>
      <c r="G425" s="49">
        <v>13</v>
      </c>
      <c r="H425" s="39" t="str">
        <f>VLOOKUP(G425,[2]Key!$A$2:$B$14,2,FALSE)</f>
        <v>Bicycles</v>
      </c>
      <c r="I425" s="13" t="s">
        <v>156</v>
      </c>
      <c r="J425" s="13">
        <v>2</v>
      </c>
      <c r="K425" s="40" t="str">
        <f>VLOOKUP(J425,[1]Key!$A$24:$B$29,2,FALSE)</f>
        <v>30-39</v>
      </c>
      <c r="L425" s="11" t="s">
        <v>258</v>
      </c>
      <c r="M425" s="23" t="s">
        <v>220</v>
      </c>
      <c r="N425" s="13" t="s">
        <v>221</v>
      </c>
      <c r="O425" s="46">
        <v>1</v>
      </c>
      <c r="P425" s="30" t="str">
        <f>VLOOKUP(O425,[1]Key!$E$2:$F$9,2,FALSE)</f>
        <v>Home</v>
      </c>
      <c r="Q425" s="13" t="s">
        <v>259</v>
      </c>
      <c r="R425" s="23" t="s">
        <v>223</v>
      </c>
      <c r="S425" s="13" t="s">
        <v>221</v>
      </c>
      <c r="T425" s="23">
        <v>6</v>
      </c>
      <c r="U425" s="30" t="str">
        <f>VLOOKUP(T425,[1]Key!$E$2:$F$9,2,FALSE)</f>
        <v>Leisure/Social</v>
      </c>
      <c r="V425" s="30" t="str">
        <f t="shared" si="24"/>
        <v>Home-Leisure/Social</v>
      </c>
      <c r="W425" s="51">
        <v>2000</v>
      </c>
      <c r="X425" s="50"/>
      <c r="Y425" s="50" t="str">
        <f t="shared" si="25"/>
        <v>0-10</v>
      </c>
      <c r="Z425" s="50">
        <v>8.3330000000000001E-2</v>
      </c>
      <c r="AA425" s="50" t="str">
        <f t="shared" si="26"/>
        <v>0-0.5</v>
      </c>
      <c r="AB425" s="23">
        <v>10</v>
      </c>
      <c r="AC425" s="30" t="str">
        <f>VLOOKUP(AB425,[1]Key!$C$20:$D$29,2,FALSE)</f>
        <v>Other</v>
      </c>
      <c r="AD425" s="23">
        <v>2</v>
      </c>
      <c r="AE425" s="30" t="str">
        <f>VLOOKUP(AD425,[1]Key!$E$20:$F$24,2,FALSE)</f>
        <v>300,000-500,000</v>
      </c>
      <c r="AF425" s="23">
        <v>2</v>
      </c>
      <c r="AG425" s="50">
        <v>3</v>
      </c>
      <c r="AH425" s="50">
        <v>4</v>
      </c>
      <c r="AI425" s="50">
        <v>1</v>
      </c>
      <c r="AJ425" s="50">
        <v>5</v>
      </c>
      <c r="AK425" s="46" t="s">
        <v>94</v>
      </c>
      <c r="AL425" s="36"/>
      <c r="AM425" t="str">
        <f t="shared" si="27"/>
        <v>0-1000</v>
      </c>
    </row>
    <row r="426" spans="1:46" x14ac:dyDescent="0.2">
      <c r="A426" s="44">
        <v>43760</v>
      </c>
      <c r="B426" s="48">
        <v>0.38750000000000001</v>
      </c>
      <c r="C426" s="48"/>
      <c r="D426" s="48"/>
      <c r="E426" s="13">
        <v>1</v>
      </c>
      <c r="F426" s="38" t="str">
        <f>VLOOKUP(E426,[2]Key!$A$17:$B$21,2,FALSE)</f>
        <v>Walking/Cycling</v>
      </c>
      <c r="G426" s="49">
        <v>13</v>
      </c>
      <c r="H426" s="39" t="str">
        <f>VLOOKUP(G426,[2]Key!$A$2:$B$14,2,FALSE)</f>
        <v>Bicycles</v>
      </c>
      <c r="I426" s="13" t="s">
        <v>156</v>
      </c>
      <c r="J426" s="13">
        <v>2</v>
      </c>
      <c r="K426" s="40" t="str">
        <f>VLOOKUP(J426,[2]Key!$A$24:$B$29,2,FALSE)</f>
        <v>30-39</v>
      </c>
      <c r="L426" s="11" t="s">
        <v>320</v>
      </c>
      <c r="M426" s="23" t="s">
        <v>223</v>
      </c>
      <c r="N426" s="13" t="s">
        <v>221</v>
      </c>
      <c r="O426" s="46">
        <v>1</v>
      </c>
      <c r="P426" s="30" t="str">
        <f>VLOOKUP(O426,[2]Key!$E$2:$F$9,2,FALSE)</f>
        <v>Home</v>
      </c>
      <c r="Q426" s="13" t="s">
        <v>231</v>
      </c>
      <c r="R426" s="23" t="s">
        <v>223</v>
      </c>
      <c r="S426" s="13" t="s">
        <v>221</v>
      </c>
      <c r="T426" s="23">
        <v>4</v>
      </c>
      <c r="U426" s="30" t="str">
        <f>VLOOKUP(T426,[2]Key!$E$2:$F$9,2,FALSE)</f>
        <v>Commercial</v>
      </c>
      <c r="V426" s="30" t="str">
        <f t="shared" si="24"/>
        <v>Home-Commercial</v>
      </c>
      <c r="W426" s="23"/>
      <c r="X426" s="50"/>
      <c r="Y426" s="50" t="str">
        <f t="shared" si="25"/>
        <v>0-10</v>
      </c>
      <c r="Z426" s="50"/>
      <c r="AA426" s="50" t="str">
        <f t="shared" si="26"/>
        <v>0-0.5</v>
      </c>
      <c r="AB426" s="23">
        <v>7</v>
      </c>
      <c r="AC426" s="30" t="str">
        <f>VLOOKUP(AB426,[2]Key!$C$20:$D$29,2,FALSE)</f>
        <v>Farmer</v>
      </c>
      <c r="AD426" s="23">
        <v>1</v>
      </c>
      <c r="AE426" s="30" t="str">
        <f>VLOOKUP(AD426,[2]Key!$E$20:$F$24,2,FALSE)</f>
        <v>&lt;300,000</v>
      </c>
      <c r="AF426" s="23">
        <v>1</v>
      </c>
      <c r="AG426" s="50">
        <v>2</v>
      </c>
      <c r="AH426" s="50">
        <v>5</v>
      </c>
      <c r="AI426" s="50">
        <v>3</v>
      </c>
      <c r="AJ426" s="50">
        <v>4</v>
      </c>
      <c r="AK426" s="46" t="s">
        <v>94</v>
      </c>
      <c r="AL426" s="36"/>
      <c r="AM426" t="str">
        <f t="shared" si="27"/>
        <v>0-1000</v>
      </c>
    </row>
    <row r="427" spans="1:46" x14ac:dyDescent="0.2">
      <c r="A427" s="44">
        <v>43760</v>
      </c>
      <c r="B427" s="48">
        <v>0.52430555555555558</v>
      </c>
      <c r="C427" s="48"/>
      <c r="D427" s="48"/>
      <c r="E427" s="13">
        <v>1</v>
      </c>
      <c r="F427" s="38" t="str">
        <f>VLOOKUP(E427,[2]Key!$A$17:$B$21,2,FALSE)</f>
        <v>Walking/Cycling</v>
      </c>
      <c r="G427" s="49">
        <v>13</v>
      </c>
      <c r="H427" s="39" t="str">
        <f>VLOOKUP(G427,[2]Key!$A$2:$B$14,2,FALSE)</f>
        <v>Bicycles</v>
      </c>
      <c r="I427" s="13" t="s">
        <v>156</v>
      </c>
      <c r="J427" s="13">
        <v>2</v>
      </c>
      <c r="K427" s="40" t="str">
        <f>VLOOKUP(J427,[2]Key!$A$24:$B$29,2,FALSE)</f>
        <v>30-39</v>
      </c>
      <c r="L427" s="11" t="s">
        <v>320</v>
      </c>
      <c r="M427" s="23" t="s">
        <v>223</v>
      </c>
      <c r="N427" s="13" t="s">
        <v>221</v>
      </c>
      <c r="O427" s="46">
        <v>1</v>
      </c>
      <c r="P427" s="30" t="str">
        <f>VLOOKUP(O427,[2]Key!$E$2:$F$9,2,FALSE)</f>
        <v>Home</v>
      </c>
      <c r="Q427" s="13" t="s">
        <v>231</v>
      </c>
      <c r="R427" s="23" t="s">
        <v>223</v>
      </c>
      <c r="S427" s="13" t="s">
        <v>221</v>
      </c>
      <c r="T427" s="23">
        <v>6</v>
      </c>
      <c r="U427" s="30" t="str">
        <f>VLOOKUP(T427,[2]Key!$E$2:$F$9,2,FALSE)</f>
        <v>Leisure/Social</v>
      </c>
      <c r="V427" s="30" t="str">
        <f t="shared" si="24"/>
        <v>Home-Leisure/Social</v>
      </c>
      <c r="W427" s="23">
        <v>500</v>
      </c>
      <c r="X427" s="50">
        <v>0.5</v>
      </c>
      <c r="Y427" s="50" t="str">
        <f t="shared" si="25"/>
        <v>0-10</v>
      </c>
      <c r="Z427" s="50">
        <v>0.1</v>
      </c>
      <c r="AA427" s="50" t="str">
        <f t="shared" si="26"/>
        <v>0-0.5</v>
      </c>
      <c r="AB427" s="23">
        <v>10</v>
      </c>
      <c r="AC427" s="30" t="str">
        <f>VLOOKUP(AB427,[2]Key!$C$20:$D$29,2,FALSE)</f>
        <v>Other</v>
      </c>
      <c r="AD427" s="23">
        <v>1</v>
      </c>
      <c r="AE427" s="30" t="str">
        <f>VLOOKUP(AD427,[2]Key!$E$20:$F$24,2,FALSE)</f>
        <v>&lt;300,000</v>
      </c>
      <c r="AF427" s="23">
        <v>1</v>
      </c>
      <c r="AG427" s="50">
        <v>3</v>
      </c>
      <c r="AH427" s="50">
        <v>4</v>
      </c>
      <c r="AI427" s="50">
        <v>2</v>
      </c>
      <c r="AJ427" s="50">
        <v>5</v>
      </c>
      <c r="AK427" s="46" t="s">
        <v>94</v>
      </c>
      <c r="AL427" s="36"/>
      <c r="AM427" t="str">
        <f t="shared" si="27"/>
        <v>0-1000</v>
      </c>
    </row>
    <row r="428" spans="1:46" x14ac:dyDescent="0.2">
      <c r="A428" s="44">
        <v>43760</v>
      </c>
      <c r="B428" s="48">
        <v>0.20625000000000002</v>
      </c>
      <c r="C428" s="48"/>
      <c r="D428" s="48"/>
      <c r="E428" s="13">
        <v>1</v>
      </c>
      <c r="F428" s="38" t="str">
        <f>VLOOKUP(E428,[2]Key!$A$17:$B$21,2,FALSE)</f>
        <v>Walking/Cycling</v>
      </c>
      <c r="G428" s="49">
        <v>13</v>
      </c>
      <c r="H428" s="39" t="str">
        <f>VLOOKUP(G428,[2]Key!$A$2:$B$14,2,FALSE)</f>
        <v>Bicycles</v>
      </c>
      <c r="I428" s="13" t="s">
        <v>156</v>
      </c>
      <c r="J428" s="13">
        <v>2</v>
      </c>
      <c r="K428" s="40" t="str">
        <f>VLOOKUP(J428,[2]Key!$A$24:$B$29,2,FALSE)</f>
        <v>30-39</v>
      </c>
      <c r="L428" s="11" t="s">
        <v>321</v>
      </c>
      <c r="M428" s="23" t="s">
        <v>223</v>
      </c>
      <c r="N428" s="13" t="s">
        <v>221</v>
      </c>
      <c r="O428" s="46">
        <v>2</v>
      </c>
      <c r="P428" s="30" t="str">
        <f>VLOOKUP(O428,[2]Key!$E$2:$F$9,2,FALSE)</f>
        <v>Work</v>
      </c>
      <c r="Q428" s="13" t="s">
        <v>226</v>
      </c>
      <c r="R428" s="23" t="s">
        <v>223</v>
      </c>
      <c r="S428" s="13" t="s">
        <v>221</v>
      </c>
      <c r="T428" s="23">
        <v>1</v>
      </c>
      <c r="U428" s="30" t="str">
        <f>VLOOKUP(T428,[2]Key!$E$2:$F$9,2,FALSE)</f>
        <v>Home</v>
      </c>
      <c r="V428" s="30" t="str">
        <f t="shared" si="24"/>
        <v>Work-Home</v>
      </c>
      <c r="W428" s="23">
        <v>2500</v>
      </c>
      <c r="X428" s="50">
        <v>22</v>
      </c>
      <c r="Y428" s="50" t="str">
        <f t="shared" si="25"/>
        <v>20-40</v>
      </c>
      <c r="Z428" s="50">
        <v>0.16669999999999999</v>
      </c>
      <c r="AA428" s="50" t="str">
        <f t="shared" si="26"/>
        <v>0-0.5</v>
      </c>
      <c r="AB428" s="23">
        <v>5</v>
      </c>
      <c r="AC428" s="30" t="str">
        <f>VLOOKUP(AB428,[2]Key!$C$20:$D$29,2,FALSE)</f>
        <v>Professional</v>
      </c>
      <c r="AD428" s="23">
        <v>2</v>
      </c>
      <c r="AE428" s="30" t="str">
        <f>VLOOKUP(AD428,[2]Key!$E$20:$F$24,2,FALSE)</f>
        <v>300,000-500,000</v>
      </c>
      <c r="AF428" s="23">
        <v>1</v>
      </c>
      <c r="AG428" s="50">
        <v>2</v>
      </c>
      <c r="AH428" s="50">
        <v>4</v>
      </c>
      <c r="AI428" s="50">
        <v>3</v>
      </c>
      <c r="AJ428" s="50">
        <v>5</v>
      </c>
      <c r="AK428" s="46" t="s">
        <v>94</v>
      </c>
      <c r="AL428" s="36">
        <v>2500</v>
      </c>
      <c r="AM428" t="str">
        <f t="shared" si="27"/>
        <v>2000-3000</v>
      </c>
    </row>
    <row r="429" spans="1:46" s="19" customFormat="1" x14ac:dyDescent="0.2">
      <c r="A429" s="44">
        <v>43760</v>
      </c>
      <c r="B429" s="48">
        <v>0.20138888888888887</v>
      </c>
      <c r="C429" s="48"/>
      <c r="D429" s="48"/>
      <c r="E429" s="13">
        <v>1</v>
      </c>
      <c r="F429" s="38" t="str">
        <f>VLOOKUP(E429,[2]Key!$A$17:$B$21,2,FALSE)</f>
        <v>Walking/Cycling</v>
      </c>
      <c r="G429" s="49">
        <v>13</v>
      </c>
      <c r="H429" s="39" t="str">
        <f>VLOOKUP(G429,[2]Key!$A$2:$B$14,2,FALSE)</f>
        <v>Bicycles</v>
      </c>
      <c r="I429" s="13" t="s">
        <v>156</v>
      </c>
      <c r="J429" s="13">
        <v>2</v>
      </c>
      <c r="K429" s="40" t="str">
        <f>VLOOKUP(J429,[2]Key!$A$24:$B$29,2,FALSE)</f>
        <v>30-39</v>
      </c>
      <c r="L429" s="11" t="s">
        <v>321</v>
      </c>
      <c r="M429" s="23" t="s">
        <v>223</v>
      </c>
      <c r="N429" s="13" t="s">
        <v>221</v>
      </c>
      <c r="O429" s="46">
        <v>2</v>
      </c>
      <c r="P429" s="30" t="str">
        <f>VLOOKUP(O429,[2]Key!$E$2:$F$9,2,FALSE)</f>
        <v>Work</v>
      </c>
      <c r="Q429" s="13" t="s">
        <v>226</v>
      </c>
      <c r="R429" s="23" t="s">
        <v>223</v>
      </c>
      <c r="S429" s="13" t="s">
        <v>221</v>
      </c>
      <c r="T429" s="23">
        <v>1</v>
      </c>
      <c r="U429" s="30" t="str">
        <f>VLOOKUP(T429,[2]Key!$E$2:$F$9,2,FALSE)</f>
        <v>Home</v>
      </c>
      <c r="V429" s="30" t="str">
        <f t="shared" si="24"/>
        <v>Work-Home</v>
      </c>
      <c r="W429" s="51">
        <v>2000</v>
      </c>
      <c r="X429" s="50">
        <v>15</v>
      </c>
      <c r="Y429" s="50" t="str">
        <f t="shared" si="25"/>
        <v>10-20</v>
      </c>
      <c r="Z429" s="50">
        <v>0.15</v>
      </c>
      <c r="AA429" s="50" t="str">
        <f t="shared" si="26"/>
        <v>0-0.5</v>
      </c>
      <c r="AB429" s="23">
        <v>5</v>
      </c>
      <c r="AC429" s="30" t="str">
        <f>VLOOKUP(AB429,[2]Key!$C$20:$D$29,2,FALSE)</f>
        <v>Professional</v>
      </c>
      <c r="AD429" s="23">
        <v>2</v>
      </c>
      <c r="AE429" s="30" t="str">
        <f>VLOOKUP(AD429,[2]Key!$E$20:$F$24,2,FALSE)</f>
        <v>300,000-500,000</v>
      </c>
      <c r="AF429" s="23">
        <v>1</v>
      </c>
      <c r="AG429" s="50">
        <v>2</v>
      </c>
      <c r="AH429" s="50">
        <v>3</v>
      </c>
      <c r="AI429" s="50">
        <v>4</v>
      </c>
      <c r="AJ429" s="50">
        <v>5</v>
      </c>
      <c r="AK429" s="46" t="s">
        <v>94</v>
      </c>
      <c r="AL429" s="36">
        <v>1000</v>
      </c>
      <c r="AM429" t="str">
        <f t="shared" si="27"/>
        <v>1000-2000</v>
      </c>
      <c r="AN429"/>
      <c r="AO429"/>
      <c r="AP429"/>
      <c r="AQ429"/>
      <c r="AR429"/>
      <c r="AS429"/>
      <c r="AT429"/>
    </row>
    <row r="430" spans="1:46" x14ac:dyDescent="0.2">
      <c r="A430" s="44">
        <v>43760</v>
      </c>
      <c r="B430" s="48">
        <v>0.19722222222222222</v>
      </c>
      <c r="C430" s="48"/>
      <c r="D430" s="48"/>
      <c r="E430" s="13">
        <v>1</v>
      </c>
      <c r="F430" s="38" t="str">
        <f>VLOOKUP(E430,[2]Key!$A$17:$B$21,2,FALSE)</f>
        <v>Walking/Cycling</v>
      </c>
      <c r="G430" s="49">
        <v>13</v>
      </c>
      <c r="H430" s="39" t="str">
        <f>VLOOKUP(G430,[2]Key!$A$2:$B$14,2,FALSE)</f>
        <v>Bicycles</v>
      </c>
      <c r="I430" s="13" t="s">
        <v>156</v>
      </c>
      <c r="J430" s="13">
        <v>2</v>
      </c>
      <c r="K430" s="40" t="str">
        <f>VLOOKUP(J430,[2]Key!$A$24:$B$29,2,FALSE)</f>
        <v>30-39</v>
      </c>
      <c r="L430" s="11" t="s">
        <v>233</v>
      </c>
      <c r="M430" s="23" t="s">
        <v>223</v>
      </c>
      <c r="N430" s="13" t="s">
        <v>221</v>
      </c>
      <c r="O430" s="46">
        <v>2</v>
      </c>
      <c r="P430" s="30" t="str">
        <f>VLOOKUP(O430,[2]Key!$E$2:$F$9,2,FALSE)</f>
        <v>Work</v>
      </c>
      <c r="Q430" s="13" t="s">
        <v>322</v>
      </c>
      <c r="R430" s="23" t="s">
        <v>247</v>
      </c>
      <c r="S430" s="13" t="s">
        <v>221</v>
      </c>
      <c r="T430" s="23">
        <v>1</v>
      </c>
      <c r="U430" s="30" t="str">
        <f>VLOOKUP(T430,[2]Key!$E$2:$F$9,2,FALSE)</f>
        <v>Home</v>
      </c>
      <c r="V430" s="30" t="str">
        <f t="shared" si="24"/>
        <v>Work-Home</v>
      </c>
      <c r="W430" s="51">
        <v>4000</v>
      </c>
      <c r="X430" s="50">
        <v>20</v>
      </c>
      <c r="Y430" s="50" t="str">
        <f t="shared" si="25"/>
        <v>20-40</v>
      </c>
      <c r="Z430" s="50">
        <v>0.13300000000000001</v>
      </c>
      <c r="AA430" s="50" t="str">
        <f t="shared" si="26"/>
        <v>0-0.5</v>
      </c>
      <c r="AB430" s="23">
        <v>5</v>
      </c>
      <c r="AC430" s="30" t="str">
        <f>VLOOKUP(AB430,[2]Key!$C$20:$D$29,2,FALSE)</f>
        <v>Professional</v>
      </c>
      <c r="AD430" s="23">
        <v>2</v>
      </c>
      <c r="AE430" s="30" t="str">
        <f>VLOOKUP(AD430,[2]Key!$E$20:$F$24,2,FALSE)</f>
        <v>300,000-500,000</v>
      </c>
      <c r="AF430" s="23">
        <v>1</v>
      </c>
      <c r="AG430" s="50">
        <v>5</v>
      </c>
      <c r="AH430" s="50">
        <v>4</v>
      </c>
      <c r="AI430" s="50">
        <v>2</v>
      </c>
      <c r="AJ430" s="50">
        <v>3</v>
      </c>
      <c r="AK430" s="46" t="s">
        <v>94</v>
      </c>
      <c r="AL430" s="36">
        <v>1000</v>
      </c>
      <c r="AM430" t="str">
        <f t="shared" si="27"/>
        <v>1000-2000</v>
      </c>
    </row>
    <row r="431" spans="1:46" x14ac:dyDescent="0.2">
      <c r="A431" s="44">
        <v>43760</v>
      </c>
      <c r="B431" s="48">
        <v>0.11805555555555557</v>
      </c>
      <c r="C431" s="48"/>
      <c r="D431" s="48"/>
      <c r="E431" s="13">
        <v>1</v>
      </c>
      <c r="F431" s="38" t="str">
        <f>VLOOKUP(E431,[2]Key!$A$17:$B$21,2,FALSE)</f>
        <v>Walking/Cycling</v>
      </c>
      <c r="G431" s="49">
        <v>13</v>
      </c>
      <c r="H431" s="39" t="str">
        <f>VLOOKUP(G431,[2]Key!$A$2:$B$14,2,FALSE)</f>
        <v>Bicycles</v>
      </c>
      <c r="I431" s="13" t="s">
        <v>156</v>
      </c>
      <c r="J431" s="13">
        <v>2</v>
      </c>
      <c r="K431" s="40" t="str">
        <f>VLOOKUP(J431,[2]Key!$A$24:$B$29,2,FALSE)</f>
        <v>30-39</v>
      </c>
      <c r="L431" s="11" t="s">
        <v>224</v>
      </c>
      <c r="M431" s="23" t="s">
        <v>220</v>
      </c>
      <c r="N431" s="13" t="s">
        <v>221</v>
      </c>
      <c r="O431" s="46">
        <v>1</v>
      </c>
      <c r="P431" s="30" t="str">
        <f>VLOOKUP(O431,[2]Key!$E$2:$F$9,2,FALSE)</f>
        <v>Home</v>
      </c>
      <c r="Q431" s="13" t="s">
        <v>231</v>
      </c>
      <c r="R431" s="23" t="s">
        <v>223</v>
      </c>
      <c r="S431" s="13" t="s">
        <v>221</v>
      </c>
      <c r="T431" s="23">
        <v>4</v>
      </c>
      <c r="U431" s="30" t="str">
        <f>VLOOKUP(T431,[2]Key!$E$2:$F$9,2,FALSE)</f>
        <v>Commercial</v>
      </c>
      <c r="V431" s="30" t="str">
        <f t="shared" si="24"/>
        <v>Home-Commercial</v>
      </c>
      <c r="W431" s="51">
        <v>1000</v>
      </c>
      <c r="X431" s="50"/>
      <c r="Y431" s="50" t="str">
        <f t="shared" si="25"/>
        <v>0-10</v>
      </c>
      <c r="Z431" s="50">
        <v>6.6600000000000006E-2</v>
      </c>
      <c r="AA431" s="50" t="str">
        <f t="shared" si="26"/>
        <v>0-0.5</v>
      </c>
      <c r="AB431" s="23">
        <v>7</v>
      </c>
      <c r="AC431" s="30" t="str">
        <f>VLOOKUP(AB431,[2]Key!$C$20:$D$29,2,FALSE)</f>
        <v>Farmer</v>
      </c>
      <c r="AD431" s="23">
        <v>2</v>
      </c>
      <c r="AE431" s="30" t="str">
        <f>VLOOKUP(AD431,[2]Key!$E$20:$F$24,2,FALSE)</f>
        <v>300,000-500,000</v>
      </c>
      <c r="AF431" s="23">
        <v>2</v>
      </c>
      <c r="AG431" s="50">
        <v>3</v>
      </c>
      <c r="AH431" s="50">
        <v>4</v>
      </c>
      <c r="AI431" s="50">
        <v>5</v>
      </c>
      <c r="AJ431" s="50">
        <v>1</v>
      </c>
      <c r="AK431" s="46" t="s">
        <v>94</v>
      </c>
      <c r="AL431" s="36">
        <v>2000</v>
      </c>
      <c r="AM431" t="str">
        <f t="shared" si="27"/>
        <v>2000-3000</v>
      </c>
    </row>
    <row r="432" spans="1:46" x14ac:dyDescent="0.2">
      <c r="A432" s="44">
        <v>43760</v>
      </c>
      <c r="B432" s="48">
        <v>0.11458333333333333</v>
      </c>
      <c r="C432" s="48"/>
      <c r="D432" s="48"/>
      <c r="E432" s="13">
        <v>1</v>
      </c>
      <c r="F432" s="38" t="str">
        <f>VLOOKUP(E432,[2]Key!$A$17:$B$21,2,FALSE)</f>
        <v>Walking/Cycling</v>
      </c>
      <c r="G432" s="49">
        <v>13</v>
      </c>
      <c r="H432" s="39" t="str">
        <f>VLOOKUP(G432,[2]Key!$A$2:$B$14,2,FALSE)</f>
        <v>Bicycles</v>
      </c>
      <c r="I432" s="13" t="s">
        <v>156</v>
      </c>
      <c r="J432" s="13">
        <v>2</v>
      </c>
      <c r="K432" s="40" t="str">
        <f>VLOOKUP(J432,[2]Key!$A$24:$B$29,2,FALSE)</f>
        <v>30-39</v>
      </c>
      <c r="L432" s="11" t="s">
        <v>224</v>
      </c>
      <c r="M432" s="23" t="s">
        <v>220</v>
      </c>
      <c r="N432" s="13" t="s">
        <v>221</v>
      </c>
      <c r="O432" s="46">
        <v>1</v>
      </c>
      <c r="P432" s="30" t="str">
        <f>VLOOKUP(O432,[2]Key!$E$2:$F$9,2,FALSE)</f>
        <v>Home</v>
      </c>
      <c r="Q432" s="13" t="s">
        <v>231</v>
      </c>
      <c r="R432" s="23" t="s">
        <v>223</v>
      </c>
      <c r="S432" s="13" t="s">
        <v>221</v>
      </c>
      <c r="T432" s="23">
        <v>6</v>
      </c>
      <c r="U432" s="30" t="str">
        <f>VLOOKUP(T432,[2]Key!$E$2:$F$9,2,FALSE)</f>
        <v>Leisure/Social</v>
      </c>
      <c r="V432" s="30" t="str">
        <f t="shared" si="24"/>
        <v>Home-Leisure/Social</v>
      </c>
      <c r="W432" s="51">
        <v>1000</v>
      </c>
      <c r="X432" s="50">
        <v>0.5</v>
      </c>
      <c r="Y432" s="50" t="str">
        <f t="shared" si="25"/>
        <v>0-10</v>
      </c>
      <c r="Z432" s="50">
        <v>6.6659999999999997E-2</v>
      </c>
      <c r="AA432" s="50" t="str">
        <f t="shared" si="26"/>
        <v>0-0.5</v>
      </c>
      <c r="AB432" s="23">
        <v>7</v>
      </c>
      <c r="AC432" s="30" t="str">
        <f>VLOOKUP(AB432,[2]Key!$C$20:$D$29,2,FALSE)</f>
        <v>Farmer</v>
      </c>
      <c r="AD432" s="23">
        <v>2</v>
      </c>
      <c r="AE432" s="30" t="str">
        <f>VLOOKUP(AD432,[2]Key!$E$20:$F$24,2,FALSE)</f>
        <v>300,000-500,000</v>
      </c>
      <c r="AF432" s="23">
        <v>2</v>
      </c>
      <c r="AG432" s="50">
        <v>3</v>
      </c>
      <c r="AH432" s="50">
        <v>4</v>
      </c>
      <c r="AI432" s="50">
        <v>1</v>
      </c>
      <c r="AJ432" s="50">
        <v>5</v>
      </c>
      <c r="AK432" s="46" t="s">
        <v>94</v>
      </c>
      <c r="AL432" s="36">
        <v>1000</v>
      </c>
      <c r="AM432" t="str">
        <f t="shared" si="27"/>
        <v>1000-2000</v>
      </c>
    </row>
    <row r="433" spans="1:39" x14ac:dyDescent="0.2">
      <c r="A433" s="44">
        <v>43760</v>
      </c>
      <c r="B433" s="48">
        <v>0.10833333333333334</v>
      </c>
      <c r="C433" s="48"/>
      <c r="D433" s="48"/>
      <c r="E433" s="13">
        <v>1</v>
      </c>
      <c r="F433" s="38" t="str">
        <f>VLOOKUP(E433,[2]Key!$A$17:$B$21,2,FALSE)</f>
        <v>Walking/Cycling</v>
      </c>
      <c r="G433" s="49">
        <v>13</v>
      </c>
      <c r="H433" s="39" t="str">
        <f>VLOOKUP(G433,[2]Key!$A$2:$B$14,2,FALSE)</f>
        <v>Bicycles</v>
      </c>
      <c r="I433" s="13" t="s">
        <v>156</v>
      </c>
      <c r="J433" s="13">
        <v>2</v>
      </c>
      <c r="K433" s="40" t="str">
        <f>VLOOKUP(J433,[2]Key!$A$24:$B$29,2,FALSE)</f>
        <v>30-39</v>
      </c>
      <c r="L433" s="11" t="s">
        <v>323</v>
      </c>
      <c r="M433" s="23"/>
      <c r="N433" s="13" t="s">
        <v>221</v>
      </c>
      <c r="O433" s="46">
        <v>1</v>
      </c>
      <c r="P433" s="30" t="str">
        <f>VLOOKUP(O433,[2]Key!$E$2:$F$9,2,FALSE)</f>
        <v>Home</v>
      </c>
      <c r="Q433" s="13" t="s">
        <v>231</v>
      </c>
      <c r="R433" s="23"/>
      <c r="S433" s="13" t="s">
        <v>221</v>
      </c>
      <c r="T433" s="23">
        <v>6</v>
      </c>
      <c r="U433" s="30" t="str">
        <f>VLOOKUP(T433,[2]Key!$E$2:$F$9,2,FALSE)</f>
        <v>Leisure/Social</v>
      </c>
      <c r="V433" s="30" t="str">
        <f t="shared" si="24"/>
        <v>Home-Leisure/Social</v>
      </c>
      <c r="W433" s="51">
        <v>1000</v>
      </c>
      <c r="X433" s="50">
        <v>1</v>
      </c>
      <c r="Y433" s="50" t="str">
        <f t="shared" si="25"/>
        <v>0-10</v>
      </c>
      <c r="Z433" s="50">
        <v>6.6659999999999997E-2</v>
      </c>
      <c r="AA433" s="50" t="str">
        <f t="shared" si="26"/>
        <v>0-0.5</v>
      </c>
      <c r="AB433" s="23">
        <v>7</v>
      </c>
      <c r="AC433" s="30" t="str">
        <f>VLOOKUP(AB433,[2]Key!$C$20:$D$29,2,FALSE)</f>
        <v>Farmer</v>
      </c>
      <c r="AD433" s="23">
        <v>2</v>
      </c>
      <c r="AE433" s="30" t="str">
        <f>VLOOKUP(AD433,[2]Key!$E$20:$F$24,2,FALSE)</f>
        <v>300,000-500,000</v>
      </c>
      <c r="AF433" s="23">
        <v>1</v>
      </c>
      <c r="AG433" s="50">
        <v>2</v>
      </c>
      <c r="AH433" s="50">
        <v>3</v>
      </c>
      <c r="AI433" s="50">
        <v>4</v>
      </c>
      <c r="AJ433" s="50">
        <v>5</v>
      </c>
      <c r="AK433" s="46" t="s">
        <v>94</v>
      </c>
      <c r="AL433" s="36"/>
      <c r="AM433" t="str">
        <f t="shared" si="27"/>
        <v>0-1000</v>
      </c>
    </row>
    <row r="434" spans="1:39" x14ac:dyDescent="0.2">
      <c r="A434" s="44">
        <v>43760</v>
      </c>
      <c r="B434" s="48">
        <v>0.10416666666666667</v>
      </c>
      <c r="C434" s="48"/>
      <c r="D434" s="48"/>
      <c r="E434" s="13">
        <v>1</v>
      </c>
      <c r="F434" s="38" t="str">
        <f>VLOOKUP(E434,[2]Key!$A$17:$B$21,2,FALSE)</f>
        <v>Walking/Cycling</v>
      </c>
      <c r="G434" s="49">
        <v>13</v>
      </c>
      <c r="H434" s="39" t="str">
        <f>VLOOKUP(G434,[2]Key!$A$2:$B$14,2,FALSE)</f>
        <v>Bicycles</v>
      </c>
      <c r="I434" s="13" t="s">
        <v>156</v>
      </c>
      <c r="J434" s="13">
        <v>2</v>
      </c>
      <c r="K434" s="40" t="str">
        <f>VLOOKUP(J434,[2]Key!$A$24:$B$29,2,FALSE)</f>
        <v>30-39</v>
      </c>
      <c r="L434" s="11" t="s">
        <v>323</v>
      </c>
      <c r="M434" s="23"/>
      <c r="N434" s="13" t="s">
        <v>221</v>
      </c>
      <c r="O434" s="46">
        <v>1</v>
      </c>
      <c r="P434" s="30" t="str">
        <f>VLOOKUP(O434,[2]Key!$E$2:$F$9,2,FALSE)</f>
        <v>Home</v>
      </c>
      <c r="Q434" s="13" t="s">
        <v>231</v>
      </c>
      <c r="R434" s="23"/>
      <c r="S434" s="13" t="s">
        <v>221</v>
      </c>
      <c r="T434" s="23">
        <v>6</v>
      </c>
      <c r="U434" s="30" t="str">
        <f>VLOOKUP(T434,[2]Key!$E$2:$F$9,2,FALSE)</f>
        <v>Leisure/Social</v>
      </c>
      <c r="V434" s="30" t="str">
        <f t="shared" si="24"/>
        <v>Home-Leisure/Social</v>
      </c>
      <c r="W434" s="51">
        <v>1000</v>
      </c>
      <c r="X434" s="50">
        <v>0.5</v>
      </c>
      <c r="Y434" s="50" t="str">
        <f t="shared" si="25"/>
        <v>0-10</v>
      </c>
      <c r="Z434" s="50">
        <v>0.05</v>
      </c>
      <c r="AA434" s="50" t="str">
        <f t="shared" si="26"/>
        <v>0-0.5</v>
      </c>
      <c r="AB434" s="23">
        <v>7</v>
      </c>
      <c r="AC434" s="30" t="str">
        <f>VLOOKUP(AB434,[2]Key!$C$20:$D$29,2,FALSE)</f>
        <v>Farmer</v>
      </c>
      <c r="AD434" s="23">
        <v>2</v>
      </c>
      <c r="AE434" s="30" t="str">
        <f>VLOOKUP(AD434,[2]Key!$E$20:$F$24,2,FALSE)</f>
        <v>300,000-500,000</v>
      </c>
      <c r="AF434" s="23">
        <v>1</v>
      </c>
      <c r="AG434" s="50">
        <v>2</v>
      </c>
      <c r="AH434" s="50">
        <v>3</v>
      </c>
      <c r="AI434" s="50">
        <v>4</v>
      </c>
      <c r="AJ434" s="50">
        <v>5</v>
      </c>
      <c r="AK434" s="46" t="s">
        <v>94</v>
      </c>
      <c r="AL434" s="36">
        <v>500</v>
      </c>
      <c r="AM434" t="str">
        <f t="shared" si="27"/>
        <v>0-1000</v>
      </c>
    </row>
    <row r="435" spans="1:39" x14ac:dyDescent="0.2">
      <c r="A435" s="44">
        <v>43760</v>
      </c>
      <c r="B435" s="48">
        <v>9.375E-2</v>
      </c>
      <c r="C435" s="48"/>
      <c r="D435" s="48"/>
      <c r="E435" s="13">
        <v>1</v>
      </c>
      <c r="F435" s="38" t="str">
        <f>VLOOKUP(E435,[2]Key!$A$17:$B$21,2,FALSE)</f>
        <v>Walking/Cycling</v>
      </c>
      <c r="G435" s="49">
        <v>13</v>
      </c>
      <c r="H435" s="39" t="str">
        <f>VLOOKUP(G435,[2]Key!$A$2:$B$14,2,FALSE)</f>
        <v>Bicycles</v>
      </c>
      <c r="I435" s="13" t="s">
        <v>156</v>
      </c>
      <c r="J435" s="13">
        <v>2</v>
      </c>
      <c r="K435" s="40" t="str">
        <f>VLOOKUP(J435,[2]Key!$A$24:$B$29,2,FALSE)</f>
        <v>30-39</v>
      </c>
      <c r="L435" s="11" t="s">
        <v>320</v>
      </c>
      <c r="M435" s="23" t="s">
        <v>223</v>
      </c>
      <c r="N435" s="13" t="s">
        <v>221</v>
      </c>
      <c r="O435" s="46">
        <v>1</v>
      </c>
      <c r="P435" s="30" t="str">
        <f>VLOOKUP(O435,[2]Key!$E$2:$F$9,2,FALSE)</f>
        <v>Home</v>
      </c>
      <c r="Q435" s="13" t="s">
        <v>231</v>
      </c>
      <c r="R435" s="23" t="s">
        <v>223</v>
      </c>
      <c r="S435" s="13" t="s">
        <v>221</v>
      </c>
      <c r="T435" s="23">
        <v>4</v>
      </c>
      <c r="U435" s="30" t="str">
        <f>VLOOKUP(T435,[2]Key!$E$2:$F$9,2,FALSE)</f>
        <v>Commercial</v>
      </c>
      <c r="V435" s="30" t="str">
        <f t="shared" si="24"/>
        <v>Home-Commercial</v>
      </c>
      <c r="W435" s="23"/>
      <c r="X435" s="50"/>
      <c r="Y435" s="50" t="str">
        <f t="shared" si="25"/>
        <v>0-10</v>
      </c>
      <c r="Z435" s="50"/>
      <c r="AA435" s="50" t="str">
        <f t="shared" si="26"/>
        <v>0-0.5</v>
      </c>
      <c r="AB435" s="23">
        <v>10</v>
      </c>
      <c r="AC435" s="30" t="str">
        <f>VLOOKUP(AB435,[2]Key!$C$20:$D$29,2,FALSE)</f>
        <v>Other</v>
      </c>
      <c r="AD435" s="23">
        <v>1</v>
      </c>
      <c r="AE435" s="30" t="str">
        <f>VLOOKUP(AD435,[2]Key!$E$20:$F$24,2,FALSE)</f>
        <v>&lt;300,000</v>
      </c>
      <c r="AF435" s="23">
        <v>3</v>
      </c>
      <c r="AG435" s="50">
        <v>2</v>
      </c>
      <c r="AH435" s="50">
        <v>1</v>
      </c>
      <c r="AI435" s="50">
        <v>4</v>
      </c>
      <c r="AJ435" s="50">
        <v>5</v>
      </c>
      <c r="AK435" s="46" t="s">
        <v>94</v>
      </c>
      <c r="AL435" s="36"/>
      <c r="AM435" t="str">
        <f t="shared" si="27"/>
        <v>0-1000</v>
      </c>
    </row>
    <row r="436" spans="1:39" x14ac:dyDescent="0.2">
      <c r="A436" s="44">
        <v>43760</v>
      </c>
      <c r="B436" s="48">
        <v>0.18055555555555555</v>
      </c>
      <c r="C436" s="48"/>
      <c r="D436" s="48"/>
      <c r="E436" s="13">
        <v>1</v>
      </c>
      <c r="F436" s="38" t="str">
        <f>VLOOKUP(E436,[2]Key!$A$17:$B$21,2,FALSE)</f>
        <v>Walking/Cycling</v>
      </c>
      <c r="G436" s="49">
        <v>13</v>
      </c>
      <c r="H436" s="39" t="str">
        <f>VLOOKUP(G436,[2]Key!$A$2:$B$14,2,FALSE)</f>
        <v>Bicycles</v>
      </c>
      <c r="I436" s="13" t="s">
        <v>109</v>
      </c>
      <c r="J436" s="13">
        <v>2</v>
      </c>
      <c r="K436" s="40" t="str">
        <f>VLOOKUP(J436,[2]Key!$A$24:$B$29,2,FALSE)</f>
        <v>30-39</v>
      </c>
      <c r="L436" s="11" t="s">
        <v>238</v>
      </c>
      <c r="M436" s="23" t="s">
        <v>220</v>
      </c>
      <c r="N436" s="13" t="s">
        <v>221</v>
      </c>
      <c r="O436" s="46">
        <v>1</v>
      </c>
      <c r="P436" s="30" t="str">
        <f>VLOOKUP(O436,[2]Key!$E$2:$F$9,2,FALSE)</f>
        <v>Home</v>
      </c>
      <c r="Q436" s="13" t="s">
        <v>231</v>
      </c>
      <c r="R436" s="23" t="s">
        <v>223</v>
      </c>
      <c r="S436" s="13" t="s">
        <v>221</v>
      </c>
      <c r="T436" s="23">
        <v>6</v>
      </c>
      <c r="U436" s="30" t="str">
        <f>VLOOKUP(T436,[2]Key!$E$2:$F$9,2,FALSE)</f>
        <v>Leisure/Social</v>
      </c>
      <c r="V436" s="30" t="str">
        <f t="shared" si="24"/>
        <v>Home-Leisure/Social</v>
      </c>
      <c r="W436" s="23">
        <v>1500</v>
      </c>
      <c r="X436" s="50"/>
      <c r="Y436" s="50" t="str">
        <f t="shared" si="25"/>
        <v>0-10</v>
      </c>
      <c r="Z436" s="50">
        <v>0.1</v>
      </c>
      <c r="AA436" s="50" t="str">
        <f t="shared" si="26"/>
        <v>0-0.5</v>
      </c>
      <c r="AB436" s="23">
        <v>7</v>
      </c>
      <c r="AC436" s="30" t="str">
        <f>VLOOKUP(AB436,[2]Key!$C$20:$D$29,2,FALSE)</f>
        <v>Farmer</v>
      </c>
      <c r="AD436" s="23">
        <v>2</v>
      </c>
      <c r="AE436" s="30" t="str">
        <f>VLOOKUP(AD436,[2]Key!$E$20:$F$24,2,FALSE)</f>
        <v>300,000-500,000</v>
      </c>
      <c r="AF436" s="23"/>
      <c r="AG436" s="50"/>
      <c r="AH436" s="50"/>
      <c r="AI436" s="50"/>
      <c r="AJ436" s="50"/>
      <c r="AK436" s="46"/>
      <c r="AL436" s="36">
        <v>2114</v>
      </c>
      <c r="AM436" t="str">
        <f t="shared" si="27"/>
        <v>2000-3000</v>
      </c>
    </row>
    <row r="437" spans="1:39" x14ac:dyDescent="0.2">
      <c r="A437" s="44">
        <v>43760</v>
      </c>
      <c r="B437" s="48">
        <v>0.16388888888888889</v>
      </c>
      <c r="C437" s="48"/>
      <c r="D437" s="48"/>
      <c r="E437" s="13">
        <v>1</v>
      </c>
      <c r="F437" s="38" t="str">
        <f>VLOOKUP(E437,[2]Key!$A$17:$B$21,2,FALSE)</f>
        <v>Walking/Cycling</v>
      </c>
      <c r="G437" s="49">
        <v>13</v>
      </c>
      <c r="H437" s="39" t="str">
        <f>VLOOKUP(G437,[2]Key!$A$2:$B$14,2,FALSE)</f>
        <v>Bicycles</v>
      </c>
      <c r="I437" s="13" t="s">
        <v>109</v>
      </c>
      <c r="J437" s="13">
        <v>2</v>
      </c>
      <c r="K437" s="40" t="str">
        <f>VLOOKUP(J437,[2]Key!$A$24:$B$29,2,FALSE)</f>
        <v>30-39</v>
      </c>
      <c r="L437" s="11" t="s">
        <v>224</v>
      </c>
      <c r="M437" s="23" t="s">
        <v>220</v>
      </c>
      <c r="N437" s="13" t="s">
        <v>221</v>
      </c>
      <c r="O437" s="46">
        <v>6</v>
      </c>
      <c r="P437" s="30" t="str">
        <f>VLOOKUP(O437,[2]Key!$E$2:$F$9,2,FALSE)</f>
        <v>Leisure/Social</v>
      </c>
      <c r="Q437" s="13" t="s">
        <v>231</v>
      </c>
      <c r="R437" s="23" t="s">
        <v>223</v>
      </c>
      <c r="S437" s="13" t="s">
        <v>221</v>
      </c>
      <c r="T437" s="23">
        <v>6</v>
      </c>
      <c r="U437" s="30" t="str">
        <f>VLOOKUP(T437,[2]Key!$E$2:$F$9,2,FALSE)</f>
        <v>Leisure/Social</v>
      </c>
      <c r="V437" s="30" t="str">
        <f t="shared" si="24"/>
        <v>Leisure/Social-Leisure/Social</v>
      </c>
      <c r="W437" s="51">
        <v>1000</v>
      </c>
      <c r="X437" s="50">
        <v>0.5</v>
      </c>
      <c r="Y437" s="50" t="str">
        <f t="shared" si="25"/>
        <v>0-10</v>
      </c>
      <c r="Z437" s="50">
        <v>0.1</v>
      </c>
      <c r="AA437" s="50" t="str">
        <f t="shared" si="26"/>
        <v>0-0.5</v>
      </c>
      <c r="AB437" s="23">
        <v>5</v>
      </c>
      <c r="AC437" s="30" t="str">
        <f>VLOOKUP(AB437,[2]Key!$C$20:$D$29,2,FALSE)</f>
        <v>Professional</v>
      </c>
      <c r="AD437" s="23">
        <v>2</v>
      </c>
      <c r="AE437" s="30" t="str">
        <f>VLOOKUP(AD437,[2]Key!$E$20:$F$24,2,FALSE)</f>
        <v>300,000-500,000</v>
      </c>
      <c r="AF437" s="23">
        <v>1</v>
      </c>
      <c r="AG437" s="50">
        <v>2</v>
      </c>
      <c r="AH437" s="50">
        <v>4</v>
      </c>
      <c r="AI437" s="50">
        <v>3</v>
      </c>
      <c r="AJ437" s="50">
        <v>5</v>
      </c>
      <c r="AK437" s="46" t="s">
        <v>94</v>
      </c>
      <c r="AL437" s="36"/>
      <c r="AM437" t="str">
        <f t="shared" si="27"/>
        <v>0-1000</v>
      </c>
    </row>
    <row r="438" spans="1:39" x14ac:dyDescent="0.2">
      <c r="A438" s="44">
        <v>43760</v>
      </c>
      <c r="B438" s="48">
        <v>0.1388888888888889</v>
      </c>
      <c r="C438" s="48"/>
      <c r="D438" s="48"/>
      <c r="E438" s="13">
        <v>1</v>
      </c>
      <c r="F438" s="38" t="str">
        <f>VLOOKUP(E438,[2]Key!$A$17:$B$21,2,FALSE)</f>
        <v>Walking/Cycling</v>
      </c>
      <c r="G438" s="49">
        <v>13</v>
      </c>
      <c r="H438" s="39" t="str">
        <f>VLOOKUP(G438,[2]Key!$A$2:$B$14,2,FALSE)</f>
        <v>Bicycles</v>
      </c>
      <c r="I438" s="13" t="s">
        <v>109</v>
      </c>
      <c r="J438" s="13">
        <v>2</v>
      </c>
      <c r="K438" s="40" t="str">
        <f>VLOOKUP(J438,[2]Key!$A$24:$B$29,2,FALSE)</f>
        <v>30-39</v>
      </c>
      <c r="L438" s="11" t="s">
        <v>324</v>
      </c>
      <c r="M438" s="23" t="s">
        <v>220</v>
      </c>
      <c r="N438" s="13" t="s">
        <v>221</v>
      </c>
      <c r="O438" s="46">
        <v>2</v>
      </c>
      <c r="P438" s="30" t="str">
        <f>VLOOKUP(O438,[2]Key!$E$2:$F$9,2,FALSE)</f>
        <v>Work</v>
      </c>
      <c r="Q438" s="13" t="s">
        <v>297</v>
      </c>
      <c r="R438" s="23" t="s">
        <v>297</v>
      </c>
      <c r="S438" s="13" t="s">
        <v>221</v>
      </c>
      <c r="T438" s="23">
        <v>2</v>
      </c>
      <c r="U438" s="30" t="str">
        <f>VLOOKUP(T438,[2]Key!$E$2:$F$9,2,FALSE)</f>
        <v>Work</v>
      </c>
      <c r="V438" s="30" t="str">
        <f t="shared" si="24"/>
        <v>Work-Work</v>
      </c>
      <c r="W438" s="23"/>
      <c r="X438" s="50"/>
      <c r="Y438" s="50" t="str">
        <f t="shared" si="25"/>
        <v>0-10</v>
      </c>
      <c r="Z438" s="50"/>
      <c r="AA438" s="50" t="str">
        <f t="shared" si="26"/>
        <v>0-0.5</v>
      </c>
      <c r="AB438" s="23">
        <v>2</v>
      </c>
      <c r="AC438" s="30" t="str">
        <f>VLOOKUP(AB438,[2]Key!$C$20:$D$29,2,FALSE)</f>
        <v>Manual Labour</v>
      </c>
      <c r="AD438" s="23">
        <v>1</v>
      </c>
      <c r="AE438" s="30" t="str">
        <f>VLOOKUP(AD438,[2]Key!$E$20:$F$24,2,FALSE)</f>
        <v>&lt;300,000</v>
      </c>
      <c r="AF438" s="23">
        <v>1</v>
      </c>
      <c r="AG438" s="50">
        <v>2</v>
      </c>
      <c r="AH438" s="50">
        <v>5</v>
      </c>
      <c r="AI438" s="50">
        <v>3</v>
      </c>
      <c r="AJ438" s="50">
        <v>4</v>
      </c>
      <c r="AK438" s="46" t="s">
        <v>94</v>
      </c>
      <c r="AL438" s="36">
        <v>2000</v>
      </c>
      <c r="AM438" t="str">
        <f t="shared" si="27"/>
        <v>2000-3000</v>
      </c>
    </row>
    <row r="439" spans="1:39" x14ac:dyDescent="0.2">
      <c r="A439" s="44">
        <v>43760</v>
      </c>
      <c r="B439" s="48">
        <v>7.9861111111111105E-2</v>
      </c>
      <c r="C439" s="48"/>
      <c r="D439" s="48"/>
      <c r="E439" s="13">
        <v>1</v>
      </c>
      <c r="F439" s="38" t="str">
        <f>VLOOKUP(E439,[2]Key!$A$17:$B$21,2,FALSE)</f>
        <v>Walking/Cycling</v>
      </c>
      <c r="G439" s="49">
        <v>13</v>
      </c>
      <c r="H439" s="39" t="str">
        <f>VLOOKUP(G439,[2]Key!$A$2:$B$14,2,FALSE)</f>
        <v>Bicycles</v>
      </c>
      <c r="I439" s="13" t="s">
        <v>109</v>
      </c>
      <c r="J439" s="13">
        <v>2</v>
      </c>
      <c r="K439" s="40" t="str">
        <f>VLOOKUP(J439,[2]Key!$A$24:$B$29,2,FALSE)</f>
        <v>30-39</v>
      </c>
      <c r="L439" s="11" t="s">
        <v>304</v>
      </c>
      <c r="M439" s="23" t="s">
        <v>220</v>
      </c>
      <c r="N439" s="13" t="s">
        <v>221</v>
      </c>
      <c r="O439" s="46">
        <v>4</v>
      </c>
      <c r="P439" s="30" t="str">
        <f>VLOOKUP(O439,[2]Key!$E$2:$F$9,2,FALSE)</f>
        <v>Commercial</v>
      </c>
      <c r="Q439" s="13" t="s">
        <v>222</v>
      </c>
      <c r="R439" s="23" t="s">
        <v>223</v>
      </c>
      <c r="S439" s="13" t="s">
        <v>221</v>
      </c>
      <c r="T439" s="23">
        <v>4</v>
      </c>
      <c r="U439" s="30" t="str">
        <f>VLOOKUP(T439,[2]Key!$E$2:$F$9,2,FALSE)</f>
        <v>Commercial</v>
      </c>
      <c r="V439" s="30" t="str">
        <f t="shared" si="24"/>
        <v>Commercial-Commercial</v>
      </c>
      <c r="W439" s="51">
        <v>2000</v>
      </c>
      <c r="X439" s="50">
        <v>21</v>
      </c>
      <c r="Y439" s="50" t="str">
        <f t="shared" si="25"/>
        <v>20-40</v>
      </c>
      <c r="Z439" s="50">
        <v>0.66700000000000004</v>
      </c>
      <c r="AA439" s="50" t="str">
        <f t="shared" si="26"/>
        <v>0.5-1.0</v>
      </c>
      <c r="AB439" s="23">
        <v>2</v>
      </c>
      <c r="AC439" s="30" t="str">
        <f>VLOOKUP(AB439,[2]Key!$C$20:$D$29,2,FALSE)</f>
        <v>Manual Labour</v>
      </c>
      <c r="AD439" s="23">
        <v>1</v>
      </c>
      <c r="AE439" s="30" t="str">
        <f>VLOOKUP(AD439,[2]Key!$E$20:$F$24,2,FALSE)</f>
        <v>&lt;300,000</v>
      </c>
      <c r="AF439" s="23">
        <v>3</v>
      </c>
      <c r="AG439" s="50">
        <v>1</v>
      </c>
      <c r="AH439" s="50">
        <v>5</v>
      </c>
      <c r="AI439" s="50">
        <v>2</v>
      </c>
      <c r="AJ439" s="50">
        <v>4</v>
      </c>
      <c r="AK439" s="46" t="s">
        <v>94</v>
      </c>
      <c r="AL439" s="36"/>
      <c r="AM439" t="str">
        <f t="shared" si="27"/>
        <v>0-1000</v>
      </c>
    </row>
    <row r="440" spans="1:39" x14ac:dyDescent="0.2">
      <c r="A440" s="44">
        <v>43760</v>
      </c>
      <c r="B440" s="48">
        <v>0.48958333333333331</v>
      </c>
      <c r="C440" s="48"/>
      <c r="D440" s="48"/>
      <c r="E440" s="13">
        <v>1</v>
      </c>
      <c r="F440" s="38" t="str">
        <f>VLOOKUP(E440,[2]Key!$A$17:$B$21,2,FALSE)</f>
        <v>Walking/Cycling</v>
      </c>
      <c r="G440" s="49">
        <v>13</v>
      </c>
      <c r="H440" s="39" t="str">
        <f>VLOOKUP(G440,[2]Key!$A$2:$B$14,2,FALSE)</f>
        <v>Bicycles</v>
      </c>
      <c r="I440" s="13" t="s">
        <v>109</v>
      </c>
      <c r="J440" s="13">
        <v>2</v>
      </c>
      <c r="K440" s="40" t="str">
        <f>VLOOKUP(J440,[2]Key!$A$24:$B$29,2,FALSE)</f>
        <v>30-39</v>
      </c>
      <c r="L440" s="11" t="s">
        <v>325</v>
      </c>
      <c r="M440" s="23" t="s">
        <v>220</v>
      </c>
      <c r="N440" s="13" t="s">
        <v>221</v>
      </c>
      <c r="O440" s="46">
        <v>1</v>
      </c>
      <c r="P440" s="30" t="str">
        <f>VLOOKUP(O440,[2]Key!$E$2:$F$9,2,FALSE)</f>
        <v>Home</v>
      </c>
      <c r="Q440" s="13" t="s">
        <v>229</v>
      </c>
      <c r="R440" s="23" t="s">
        <v>223</v>
      </c>
      <c r="S440" s="13" t="s">
        <v>221</v>
      </c>
      <c r="T440" s="23">
        <v>2</v>
      </c>
      <c r="U440" s="30" t="str">
        <f>VLOOKUP(T440,[2]Key!$E$2:$F$9,2,FALSE)</f>
        <v>Work</v>
      </c>
      <c r="V440" s="30" t="str">
        <f t="shared" si="24"/>
        <v>Home-Work</v>
      </c>
      <c r="W440" s="51">
        <v>1000</v>
      </c>
      <c r="X440" s="50">
        <v>0.5</v>
      </c>
      <c r="Y440" s="50" t="str">
        <f t="shared" si="25"/>
        <v>0-10</v>
      </c>
      <c r="Z440" s="50">
        <v>0.5</v>
      </c>
      <c r="AA440" s="50" t="str">
        <f t="shared" si="26"/>
        <v>0.5-1.0</v>
      </c>
      <c r="AB440" s="23">
        <v>2</v>
      </c>
      <c r="AC440" s="30" t="str">
        <f>VLOOKUP(AB440,[2]Key!$C$20:$D$29,2,FALSE)</f>
        <v>Manual Labour</v>
      </c>
      <c r="AD440" s="23">
        <v>1</v>
      </c>
      <c r="AE440" s="30" t="str">
        <f>VLOOKUP(AD440,[2]Key!$E$20:$F$24,2,FALSE)</f>
        <v>&lt;300,000</v>
      </c>
      <c r="AF440" s="23">
        <v>1</v>
      </c>
      <c r="AG440" s="50">
        <v>2</v>
      </c>
      <c r="AH440" s="50">
        <v>3</v>
      </c>
      <c r="AI440" s="50">
        <v>4</v>
      </c>
      <c r="AJ440" s="50">
        <v>5</v>
      </c>
      <c r="AK440" s="46" t="s">
        <v>94</v>
      </c>
      <c r="AL440" s="36">
        <v>1000</v>
      </c>
      <c r="AM440" t="str">
        <f t="shared" si="27"/>
        <v>1000-2000</v>
      </c>
    </row>
    <row r="441" spans="1:39" x14ac:dyDescent="0.2">
      <c r="A441" s="44">
        <v>43760</v>
      </c>
      <c r="B441" s="48">
        <v>6.805555555555555E-2</v>
      </c>
      <c r="C441" s="48"/>
      <c r="D441" s="48"/>
      <c r="E441" s="13">
        <v>1</v>
      </c>
      <c r="F441" s="38" t="str">
        <f>VLOOKUP(E441,[2]Key!$A$17:$B$21,2,FALSE)</f>
        <v>Walking/Cycling</v>
      </c>
      <c r="G441" s="49">
        <v>13</v>
      </c>
      <c r="H441" s="39" t="str">
        <f>VLOOKUP(G441,[2]Key!$A$2:$B$14,2,FALSE)</f>
        <v>Bicycles</v>
      </c>
      <c r="I441" s="13" t="s">
        <v>109</v>
      </c>
      <c r="J441" s="13">
        <v>2</v>
      </c>
      <c r="K441" s="40" t="str">
        <f>VLOOKUP(J441,[2]Key!$A$24:$B$29,2,FALSE)</f>
        <v>30-39</v>
      </c>
      <c r="L441" s="11" t="s">
        <v>230</v>
      </c>
      <c r="M441" s="23" t="s">
        <v>220</v>
      </c>
      <c r="N441" s="13" t="s">
        <v>221</v>
      </c>
      <c r="O441" s="46">
        <v>1</v>
      </c>
      <c r="P441" s="30" t="str">
        <f>VLOOKUP(O441,[2]Key!$E$2:$F$9,2,FALSE)</f>
        <v>Home</v>
      </c>
      <c r="Q441" s="13" t="s">
        <v>231</v>
      </c>
      <c r="R441" s="23" t="s">
        <v>223</v>
      </c>
      <c r="S441" s="13" t="s">
        <v>221</v>
      </c>
      <c r="T441" s="23">
        <v>2</v>
      </c>
      <c r="U441" s="30" t="str">
        <f>VLOOKUP(T441,[2]Key!$E$2:$F$9,2,FALSE)</f>
        <v>Work</v>
      </c>
      <c r="V441" s="30" t="str">
        <f t="shared" si="24"/>
        <v>Home-Work</v>
      </c>
      <c r="W441" s="51">
        <v>1000</v>
      </c>
      <c r="X441" s="50">
        <v>1</v>
      </c>
      <c r="Y441" s="50" t="str">
        <f t="shared" si="25"/>
        <v>0-10</v>
      </c>
      <c r="Z441" s="50">
        <v>8.3299999999999999E-2</v>
      </c>
      <c r="AA441" s="50" t="str">
        <f t="shared" si="26"/>
        <v>0-0.5</v>
      </c>
      <c r="AB441" s="23">
        <v>2</v>
      </c>
      <c r="AC441" s="30" t="str">
        <f>VLOOKUP(AB441,[2]Key!$C$20:$D$29,2,FALSE)</f>
        <v>Manual Labour</v>
      </c>
      <c r="AD441" s="23">
        <v>1</v>
      </c>
      <c r="AE441" s="30" t="str">
        <f>VLOOKUP(AD441,[2]Key!$E$20:$F$24,2,FALSE)</f>
        <v>&lt;300,000</v>
      </c>
      <c r="AF441" s="23">
        <v>3</v>
      </c>
      <c r="AG441" s="50">
        <v>1</v>
      </c>
      <c r="AH441" s="50">
        <v>4</v>
      </c>
      <c r="AI441" s="50">
        <v>2</v>
      </c>
      <c r="AJ441" s="50">
        <v>5</v>
      </c>
      <c r="AK441" s="46" t="s">
        <v>94</v>
      </c>
      <c r="AL441" s="36"/>
      <c r="AM441" t="str">
        <f t="shared" si="27"/>
        <v>0-1000</v>
      </c>
    </row>
    <row r="442" spans="1:39" x14ac:dyDescent="0.2">
      <c r="A442" s="44">
        <v>43760</v>
      </c>
      <c r="B442" s="48">
        <v>4.7222222222222221E-2</v>
      </c>
      <c r="C442" s="48"/>
      <c r="D442" s="48"/>
      <c r="E442" s="13">
        <v>1</v>
      </c>
      <c r="F442" s="38" t="str">
        <f>VLOOKUP(E442,[2]Key!$A$17:$B$21,2,FALSE)</f>
        <v>Walking/Cycling</v>
      </c>
      <c r="G442" s="49">
        <v>13</v>
      </c>
      <c r="H442" s="39" t="str">
        <f>VLOOKUP(G442,[2]Key!$A$2:$B$14,2,FALSE)</f>
        <v>Bicycles</v>
      </c>
      <c r="I442" s="13" t="s">
        <v>109</v>
      </c>
      <c r="J442" s="13">
        <v>2</v>
      </c>
      <c r="K442" s="40" t="str">
        <f>VLOOKUP(J442,[2]Key!$A$24:$B$29,2,FALSE)</f>
        <v>30-39</v>
      </c>
      <c r="L442" s="11" t="s">
        <v>326</v>
      </c>
      <c r="M442" s="23" t="s">
        <v>220</v>
      </c>
      <c r="N442" s="13" t="s">
        <v>221</v>
      </c>
      <c r="O442" s="46">
        <v>1</v>
      </c>
      <c r="P442" s="30" t="str">
        <f>VLOOKUP(O442,[2]Key!$E$2:$F$9,2,FALSE)</f>
        <v>Home</v>
      </c>
      <c r="Q442" s="13" t="s">
        <v>231</v>
      </c>
      <c r="R442" s="23" t="s">
        <v>223</v>
      </c>
      <c r="S442" s="13" t="s">
        <v>221</v>
      </c>
      <c r="T442" s="23">
        <v>6</v>
      </c>
      <c r="U442" s="30" t="str">
        <f>VLOOKUP(T442,[2]Key!$E$2:$F$9,2,FALSE)</f>
        <v>Leisure/Social</v>
      </c>
      <c r="V442" s="30" t="str">
        <f t="shared" si="24"/>
        <v>Home-Leisure/Social</v>
      </c>
      <c r="W442" s="23">
        <v>500</v>
      </c>
      <c r="X442" s="50">
        <v>0.5</v>
      </c>
      <c r="Y442" s="50" t="str">
        <f t="shared" si="25"/>
        <v>0-10</v>
      </c>
      <c r="Z442" s="50">
        <v>0.1</v>
      </c>
      <c r="AA442" s="50" t="str">
        <f t="shared" si="26"/>
        <v>0-0.5</v>
      </c>
      <c r="AB442" s="23">
        <v>10</v>
      </c>
      <c r="AC442" s="30" t="str">
        <f>VLOOKUP(AB442,[2]Key!$C$20:$D$29,2,FALSE)</f>
        <v>Other</v>
      </c>
      <c r="AD442" s="23">
        <v>1</v>
      </c>
      <c r="AE442" s="30" t="str">
        <f>VLOOKUP(AD442,[2]Key!$E$20:$F$24,2,FALSE)</f>
        <v>&lt;300,000</v>
      </c>
      <c r="AF442" s="23">
        <v>1</v>
      </c>
      <c r="AG442" s="50">
        <v>2</v>
      </c>
      <c r="AH442" s="50">
        <v>4</v>
      </c>
      <c r="AI442" s="50">
        <v>3</v>
      </c>
      <c r="AJ442" s="50">
        <v>5</v>
      </c>
      <c r="AK442" s="46" t="s">
        <v>94</v>
      </c>
      <c r="AL442" s="36"/>
      <c r="AM442" t="str">
        <f t="shared" si="27"/>
        <v>0-1000</v>
      </c>
    </row>
    <row r="443" spans="1:39" x14ac:dyDescent="0.2">
      <c r="A443" s="44">
        <v>43760</v>
      </c>
      <c r="B443" s="48">
        <v>5.5555555555555552E-2</v>
      </c>
      <c r="C443" s="48"/>
      <c r="D443" s="48"/>
      <c r="E443" s="13">
        <v>1</v>
      </c>
      <c r="F443" s="38" t="str">
        <f>VLOOKUP(E443,[2]Key!$A$17:$B$21,2,FALSE)</f>
        <v>Walking/Cycling</v>
      </c>
      <c r="G443" s="49">
        <v>13</v>
      </c>
      <c r="H443" s="39" t="str">
        <f>VLOOKUP(G443,[2]Key!$A$2:$B$14,2,FALSE)</f>
        <v>Bicycles</v>
      </c>
      <c r="I443" s="13" t="s">
        <v>109</v>
      </c>
      <c r="J443" s="13">
        <v>2</v>
      </c>
      <c r="K443" s="40" t="str">
        <f>VLOOKUP(J443,[2]Key!$A$24:$B$29,2,FALSE)</f>
        <v>30-39</v>
      </c>
      <c r="L443" s="11" t="s">
        <v>306</v>
      </c>
      <c r="M443" s="23" t="s">
        <v>220</v>
      </c>
      <c r="N443" s="13" t="s">
        <v>221</v>
      </c>
      <c r="O443" s="46">
        <v>1</v>
      </c>
      <c r="P443" s="30" t="str">
        <f>VLOOKUP(O443,[2]Key!$E$2:$F$9,2,FALSE)</f>
        <v>Home</v>
      </c>
      <c r="Q443" s="13" t="s">
        <v>223</v>
      </c>
      <c r="R443" s="23" t="s">
        <v>223</v>
      </c>
      <c r="S443" s="13" t="s">
        <v>221</v>
      </c>
      <c r="T443" s="23">
        <v>2</v>
      </c>
      <c r="U443" s="30" t="str">
        <f>VLOOKUP(T443,[2]Key!$E$2:$F$9,2,FALSE)</f>
        <v>Work</v>
      </c>
      <c r="V443" s="30" t="str">
        <f t="shared" si="24"/>
        <v>Home-Work</v>
      </c>
      <c r="W443" s="23">
        <v>3000</v>
      </c>
      <c r="X443" s="50">
        <v>20</v>
      </c>
      <c r="Y443" s="50" t="str">
        <f t="shared" si="25"/>
        <v>20-40</v>
      </c>
      <c r="Z443" s="50">
        <v>0.75</v>
      </c>
      <c r="AA443" s="50" t="str">
        <f t="shared" si="26"/>
        <v>0.5-1.0</v>
      </c>
      <c r="AB443" s="23">
        <v>2</v>
      </c>
      <c r="AC443" s="30" t="str">
        <f>VLOOKUP(AB443,[2]Key!$C$20:$D$29,2,FALSE)</f>
        <v>Manual Labour</v>
      </c>
      <c r="AD443" s="23">
        <v>1</v>
      </c>
      <c r="AE443" s="30" t="str">
        <f>VLOOKUP(AD443,[2]Key!$E$20:$F$24,2,FALSE)</f>
        <v>&lt;300,000</v>
      </c>
      <c r="AF443" s="23">
        <v>1</v>
      </c>
      <c r="AG443" s="50">
        <v>2</v>
      </c>
      <c r="AH443" s="50">
        <v>3</v>
      </c>
      <c r="AI443" s="50">
        <v>4</v>
      </c>
      <c r="AJ443" s="50">
        <v>5</v>
      </c>
      <c r="AK443" s="46" t="s">
        <v>94</v>
      </c>
      <c r="AL443" s="36"/>
      <c r="AM443" t="str">
        <f t="shared" si="27"/>
        <v>0-1000</v>
      </c>
    </row>
    <row r="444" spans="1:39" x14ac:dyDescent="0.2">
      <c r="A444" s="44">
        <v>43759</v>
      </c>
      <c r="B444" s="48">
        <v>0.51666666666666672</v>
      </c>
      <c r="C444" s="48"/>
      <c r="D444" s="48" t="s">
        <v>150</v>
      </c>
      <c r="E444" s="13">
        <v>2</v>
      </c>
      <c r="F444" s="38" t="str">
        <f>VLOOKUP(E444,[2]Key!$A$17:$B$21,2,FALSE)</f>
        <v>Road Vehicle</v>
      </c>
      <c r="G444" s="49">
        <v>1</v>
      </c>
      <c r="H444" s="39" t="str">
        <f>VLOOKUP(G444,[2]Key!$A$2:$B$14,2,FALSE)</f>
        <v>Car</v>
      </c>
      <c r="I444" s="13" t="s">
        <v>156</v>
      </c>
      <c r="J444" s="13">
        <v>2</v>
      </c>
      <c r="K444" s="40" t="str">
        <f>VLOOKUP(J444,[2]Key!$A$24:$B$29,2,FALSE)</f>
        <v>30-39</v>
      </c>
      <c r="L444" s="11" t="s">
        <v>327</v>
      </c>
      <c r="M444" s="23" t="s">
        <v>223</v>
      </c>
      <c r="N444" s="13" t="s">
        <v>221</v>
      </c>
      <c r="O444" s="46">
        <v>6</v>
      </c>
      <c r="P444" s="30" t="str">
        <f>VLOOKUP(O444,[2]Key!$E$2:$F$9,2,FALSE)</f>
        <v>Leisure/Social</v>
      </c>
      <c r="Q444" s="13" t="s">
        <v>226</v>
      </c>
      <c r="R444" s="23" t="s">
        <v>223</v>
      </c>
      <c r="S444" s="13" t="s">
        <v>221</v>
      </c>
      <c r="T444" s="23">
        <v>1</v>
      </c>
      <c r="U444" s="30" t="str">
        <f>VLOOKUP(T444,[2]Key!$E$2:$F$9,2,FALSE)</f>
        <v>Home</v>
      </c>
      <c r="V444" s="30" t="str">
        <f t="shared" si="24"/>
        <v>Leisure/Social-Home</v>
      </c>
      <c r="W444" s="41">
        <v>8000</v>
      </c>
      <c r="X444" s="50">
        <v>130</v>
      </c>
      <c r="Y444" s="50" t="str">
        <f t="shared" si="25"/>
        <v>100-200</v>
      </c>
      <c r="Z444" s="50">
        <v>1.5</v>
      </c>
      <c r="AA444" s="50" t="str">
        <f t="shared" si="26"/>
        <v>1.0-2.0</v>
      </c>
      <c r="AB444" s="23">
        <v>7</v>
      </c>
      <c r="AC444" s="30" t="str">
        <f>VLOOKUP(AB444,[2]Key!$C$20:$D$29,2,FALSE)</f>
        <v>Farmer</v>
      </c>
      <c r="AD444" s="23">
        <v>1</v>
      </c>
      <c r="AE444" s="30" t="str">
        <f>VLOOKUP(AD444,[2]Key!$E$20:$F$24,2,FALSE)</f>
        <v>&lt;300,000</v>
      </c>
      <c r="AF444" s="23">
        <v>2</v>
      </c>
      <c r="AG444" s="50">
        <v>4</v>
      </c>
      <c r="AH444" s="50">
        <v>3</v>
      </c>
      <c r="AI444" s="50">
        <v>1</v>
      </c>
      <c r="AJ444" s="50">
        <v>5</v>
      </c>
      <c r="AK444" s="46" t="s">
        <v>94</v>
      </c>
      <c r="AL444" s="36">
        <v>1500</v>
      </c>
      <c r="AM444" t="str">
        <f t="shared" si="27"/>
        <v>1000-2000</v>
      </c>
    </row>
    <row r="445" spans="1:39" x14ac:dyDescent="0.2">
      <c r="A445" s="44">
        <v>43759</v>
      </c>
      <c r="B445" s="48">
        <v>0.43611111111111112</v>
      </c>
      <c r="C445" s="48"/>
      <c r="D445" s="48" t="s">
        <v>150</v>
      </c>
      <c r="E445" s="13">
        <v>2</v>
      </c>
      <c r="F445" s="38" t="str">
        <f>VLOOKUP(E445,[1]Key!$A$17:$B$21,2,FALSE)</f>
        <v>Road Vehicle</v>
      </c>
      <c r="G445" s="49">
        <v>1</v>
      </c>
      <c r="H445" s="39" t="str">
        <f>VLOOKUP(G445,[2]Key!$A$2:$B$14,2,FALSE)</f>
        <v>Car</v>
      </c>
      <c r="I445" s="13" t="s">
        <v>156</v>
      </c>
      <c r="J445" s="13">
        <v>2</v>
      </c>
      <c r="K445" s="40" t="str">
        <f>VLOOKUP(J445,[1]Key!$A$24:$B$29,2,FALSE)</f>
        <v>30-39</v>
      </c>
      <c r="L445" s="11" t="s">
        <v>290</v>
      </c>
      <c r="M445" s="23" t="s">
        <v>220</v>
      </c>
      <c r="N445" s="13" t="s">
        <v>221</v>
      </c>
      <c r="O445" s="46">
        <v>4</v>
      </c>
      <c r="P445" s="30" t="str">
        <f>VLOOKUP(O445,[1]Key!$E$2:$F$9,2,FALSE)</f>
        <v>Commercial</v>
      </c>
      <c r="Q445" s="13" t="s">
        <v>328</v>
      </c>
      <c r="R445" s="23" t="s">
        <v>247</v>
      </c>
      <c r="S445" s="13" t="s">
        <v>221</v>
      </c>
      <c r="T445" s="23">
        <v>4</v>
      </c>
      <c r="U445" s="30" t="str">
        <f>VLOOKUP(T445,[1]Key!$E$2:$F$9,2,FALSE)</f>
        <v>Commercial</v>
      </c>
      <c r="V445" s="30" t="str">
        <f t="shared" si="24"/>
        <v>Commercial-Commercial</v>
      </c>
      <c r="W445" s="41">
        <v>10000</v>
      </c>
      <c r="X445" s="50"/>
      <c r="Y445" s="50" t="str">
        <f t="shared" si="25"/>
        <v>0-10</v>
      </c>
      <c r="Z445" s="50">
        <v>2</v>
      </c>
      <c r="AA445" s="50" t="str">
        <f t="shared" si="26"/>
        <v>2.0-3.5</v>
      </c>
      <c r="AB445" s="23">
        <v>6</v>
      </c>
      <c r="AC445" s="30" t="str">
        <f>VLOOKUP(AB445,[1]Key!$C$20:$D$29,2,FALSE)</f>
        <v>Businessman</v>
      </c>
      <c r="AD445" s="23">
        <v>1</v>
      </c>
      <c r="AE445" s="30" t="str">
        <f>VLOOKUP(AD445,[1]Key!$E$20:$F$24,2,FALSE)</f>
        <v>&lt;300,000</v>
      </c>
      <c r="AF445" s="23">
        <v>1</v>
      </c>
      <c r="AG445" s="50">
        <v>2</v>
      </c>
      <c r="AH445" s="50">
        <v>4</v>
      </c>
      <c r="AI445" s="50">
        <v>3</v>
      </c>
      <c r="AJ445" s="50">
        <v>5</v>
      </c>
      <c r="AK445" s="46" t="s">
        <v>94</v>
      </c>
      <c r="AL445" s="36">
        <v>10000</v>
      </c>
      <c r="AM445" t="str">
        <f t="shared" si="27"/>
        <v>Over 10000</v>
      </c>
    </row>
    <row r="446" spans="1:39" x14ac:dyDescent="0.2">
      <c r="A446" s="44">
        <v>43759</v>
      </c>
      <c r="B446" s="48">
        <v>0.52500000000000002</v>
      </c>
      <c r="C446" s="48"/>
      <c r="D446" s="48" t="s">
        <v>248</v>
      </c>
      <c r="E446" s="13">
        <v>2</v>
      </c>
      <c r="F446" s="38" t="str">
        <f>VLOOKUP(E446,[1]Key!$A$17:$B$21,2,FALSE)</f>
        <v>Road Vehicle</v>
      </c>
      <c r="G446" s="49">
        <v>1</v>
      </c>
      <c r="H446" s="39" t="str">
        <f>VLOOKUP(G446,[2]Key!$A$2:$B$14,2,FALSE)</f>
        <v>Car</v>
      </c>
      <c r="I446" s="13" t="s">
        <v>156</v>
      </c>
      <c r="J446" s="13">
        <v>2</v>
      </c>
      <c r="K446" s="40" t="str">
        <f>VLOOKUP(J446,[1]Key!$A$24:$B$29,2,FALSE)</f>
        <v>30-39</v>
      </c>
      <c r="L446" s="11" t="s">
        <v>238</v>
      </c>
      <c r="M446" s="23" t="s">
        <v>220</v>
      </c>
      <c r="N446" s="13" t="s">
        <v>221</v>
      </c>
      <c r="O446" s="46">
        <v>1</v>
      </c>
      <c r="P446" s="30" t="str">
        <f>VLOOKUP(O446,[1]Key!$E$2:$F$9,2,FALSE)</f>
        <v>Home</v>
      </c>
      <c r="Q446" s="13" t="s">
        <v>329</v>
      </c>
      <c r="R446" s="23" t="s">
        <v>223</v>
      </c>
      <c r="S446" s="13" t="s">
        <v>221</v>
      </c>
      <c r="T446" s="23">
        <v>4</v>
      </c>
      <c r="U446" s="30" t="str">
        <f>VLOOKUP(T446,[1]Key!$E$2:$F$9,2,FALSE)</f>
        <v>Commercial</v>
      </c>
      <c r="V446" s="30" t="str">
        <f t="shared" si="24"/>
        <v>Home-Commercial</v>
      </c>
      <c r="W446" s="51">
        <v>8000</v>
      </c>
      <c r="X446" s="50">
        <v>85</v>
      </c>
      <c r="Y446" s="50" t="str">
        <f t="shared" si="25"/>
        <v>70-100</v>
      </c>
      <c r="Z446" s="50">
        <v>2</v>
      </c>
      <c r="AA446" s="50" t="str">
        <f t="shared" si="26"/>
        <v>2.0-3.5</v>
      </c>
      <c r="AB446" s="23">
        <v>6</v>
      </c>
      <c r="AC446" s="30" t="str">
        <f>VLOOKUP(AB446,[1]Key!$C$20:$D$29,2,FALSE)</f>
        <v>Businessman</v>
      </c>
      <c r="AD446" s="23">
        <v>2</v>
      </c>
      <c r="AE446" s="30" t="str">
        <f>VLOOKUP(AD446,[1]Key!$E$20:$F$24,2,FALSE)</f>
        <v>300,000-500,000</v>
      </c>
      <c r="AF446" s="23">
        <v>1</v>
      </c>
      <c r="AG446" s="50">
        <v>2</v>
      </c>
      <c r="AH446" s="50">
        <v>3</v>
      </c>
      <c r="AI446" s="50">
        <v>4</v>
      </c>
      <c r="AJ446" s="50">
        <v>5</v>
      </c>
      <c r="AK446" s="46" t="s">
        <v>94</v>
      </c>
      <c r="AL446" s="36"/>
      <c r="AM446" t="str">
        <f t="shared" si="27"/>
        <v>0-1000</v>
      </c>
    </row>
    <row r="447" spans="1:39" x14ac:dyDescent="0.2">
      <c r="A447" s="44">
        <v>43760</v>
      </c>
      <c r="B447" s="48">
        <v>0.33888888888888885</v>
      </c>
      <c r="C447" s="48"/>
      <c r="D447" s="48" t="s">
        <v>150</v>
      </c>
      <c r="E447" s="13">
        <v>2</v>
      </c>
      <c r="F447" s="38" t="str">
        <f>VLOOKUP(E447,[2]Key!$A$17:$B$21,2,FALSE)</f>
        <v>Road Vehicle</v>
      </c>
      <c r="G447" s="49">
        <v>1</v>
      </c>
      <c r="H447" s="39" t="str">
        <f>VLOOKUP(G447,[2]Key!$A$2:$B$14,2,FALSE)</f>
        <v>Car</v>
      </c>
      <c r="I447" s="13" t="s">
        <v>156</v>
      </c>
      <c r="J447" s="13">
        <v>2</v>
      </c>
      <c r="K447" s="40" t="str">
        <f>VLOOKUP(J447,[2]Key!$A$24:$B$29,2,FALSE)</f>
        <v>30-39</v>
      </c>
      <c r="L447" s="11" t="s">
        <v>330</v>
      </c>
      <c r="M447" s="23" t="s">
        <v>223</v>
      </c>
      <c r="N447" s="13" t="s">
        <v>221</v>
      </c>
      <c r="O447" s="46">
        <v>1</v>
      </c>
      <c r="P447" s="30" t="str">
        <f>VLOOKUP(O447,[2]Key!$E$2:$F$9,2,FALSE)</f>
        <v>Home</v>
      </c>
      <c r="Q447" s="13" t="s">
        <v>261</v>
      </c>
      <c r="R447" s="23" t="s">
        <v>223</v>
      </c>
      <c r="S447" s="13" t="s">
        <v>221</v>
      </c>
      <c r="T447" s="23">
        <v>2</v>
      </c>
      <c r="U447" s="30" t="str">
        <f>VLOOKUP(T447,[2]Key!$E$2:$F$9,2,FALSE)</f>
        <v>Work</v>
      </c>
      <c r="V447" s="30" t="str">
        <f t="shared" si="24"/>
        <v>Home-Work</v>
      </c>
      <c r="W447" s="41">
        <v>10000</v>
      </c>
      <c r="X447" s="50">
        <v>98</v>
      </c>
      <c r="Y447" s="50" t="str">
        <f t="shared" si="25"/>
        <v>70-100</v>
      </c>
      <c r="Z447" s="50">
        <v>4</v>
      </c>
      <c r="AA447" s="50" t="str">
        <f t="shared" si="26"/>
        <v>Over 3.5</v>
      </c>
      <c r="AB447" s="23">
        <v>1</v>
      </c>
      <c r="AC447" s="30" t="str">
        <f>VLOOKUP(AB447,[2]Key!$C$20:$D$29,2,FALSE)</f>
        <v>Unemployed</v>
      </c>
      <c r="AD447" s="23">
        <v>2</v>
      </c>
      <c r="AE447" s="30" t="str">
        <f>VLOOKUP(AD447,[2]Key!$E$20:$F$24,2,FALSE)</f>
        <v>300,000-500,000</v>
      </c>
      <c r="AF447" s="23">
        <v>3</v>
      </c>
      <c r="AG447" s="50">
        <v>1</v>
      </c>
      <c r="AH447" s="50">
        <v>5</v>
      </c>
      <c r="AI447" s="50">
        <v>2</v>
      </c>
      <c r="AJ447" s="50">
        <v>4</v>
      </c>
      <c r="AK447" s="46" t="s">
        <v>94</v>
      </c>
      <c r="AL447" s="36">
        <v>2000</v>
      </c>
      <c r="AM447" t="str">
        <f t="shared" si="27"/>
        <v>2000-3000</v>
      </c>
    </row>
    <row r="448" spans="1:39" x14ac:dyDescent="0.2">
      <c r="A448" s="44">
        <v>43760</v>
      </c>
      <c r="B448" s="48">
        <v>0.34583333333333338</v>
      </c>
      <c r="C448" s="48"/>
      <c r="D448" s="48" t="s">
        <v>150</v>
      </c>
      <c r="E448" s="13">
        <v>2</v>
      </c>
      <c r="F448" s="38" t="str">
        <f>VLOOKUP(E448,[2]Key!$A$17:$B$21,2,FALSE)</f>
        <v>Road Vehicle</v>
      </c>
      <c r="G448" s="49">
        <v>1</v>
      </c>
      <c r="H448" s="39" t="str">
        <f>VLOOKUP(G448,[2]Key!$A$2:$B$14,2,FALSE)</f>
        <v>Car</v>
      </c>
      <c r="I448" s="13" t="s">
        <v>156</v>
      </c>
      <c r="J448" s="13">
        <v>2</v>
      </c>
      <c r="K448" s="40" t="str">
        <f>VLOOKUP(J448,[2]Key!$A$24:$B$29,2,FALSE)</f>
        <v>30-39</v>
      </c>
      <c r="L448" s="11" t="s">
        <v>330</v>
      </c>
      <c r="M448" s="23" t="s">
        <v>223</v>
      </c>
      <c r="N448" s="13" t="s">
        <v>221</v>
      </c>
      <c r="O448" s="46">
        <v>1</v>
      </c>
      <c r="P448" s="30" t="str">
        <f>VLOOKUP(O448,[2]Key!$E$2:$F$9,2,FALSE)</f>
        <v>Home</v>
      </c>
      <c r="Q448" s="13" t="s">
        <v>331</v>
      </c>
      <c r="R448" s="23" t="s">
        <v>223</v>
      </c>
      <c r="S448" s="13" t="s">
        <v>221</v>
      </c>
      <c r="T448" s="23">
        <v>4</v>
      </c>
      <c r="U448" s="30" t="str">
        <f>VLOOKUP(T448,[2]Key!$E$2:$F$9,2,FALSE)</f>
        <v>Commercial</v>
      </c>
      <c r="V448" s="30" t="str">
        <f t="shared" si="24"/>
        <v>Home-Commercial</v>
      </c>
      <c r="W448" s="41">
        <v>3000</v>
      </c>
      <c r="X448" s="50">
        <v>58</v>
      </c>
      <c r="Y448" s="50" t="str">
        <f t="shared" si="25"/>
        <v>40-70</v>
      </c>
      <c r="Z448" s="50">
        <v>0.5</v>
      </c>
      <c r="AA448" s="50" t="str">
        <f t="shared" si="26"/>
        <v>0.5-1.0</v>
      </c>
      <c r="AB448" s="23">
        <v>2</v>
      </c>
      <c r="AC448" s="30" t="str">
        <f>VLOOKUP(AB448,[2]Key!$C$20:$D$29,2,FALSE)</f>
        <v>Manual Labour</v>
      </c>
      <c r="AD448" s="23">
        <v>1</v>
      </c>
      <c r="AE448" s="30" t="str">
        <f>VLOOKUP(AD448,[2]Key!$E$20:$F$24,2,FALSE)</f>
        <v>&lt;300,000</v>
      </c>
      <c r="AF448" s="23">
        <v>4</v>
      </c>
      <c r="AG448" s="50">
        <v>1</v>
      </c>
      <c r="AH448" s="50">
        <v>5</v>
      </c>
      <c r="AI448" s="50">
        <v>2</v>
      </c>
      <c r="AJ448" s="50">
        <v>3</v>
      </c>
      <c r="AK448" s="46" t="s">
        <v>94</v>
      </c>
      <c r="AL448" s="36">
        <v>1000</v>
      </c>
      <c r="AM448" t="str">
        <f t="shared" si="27"/>
        <v>1000-2000</v>
      </c>
    </row>
    <row r="449" spans="1:39" x14ac:dyDescent="0.2">
      <c r="A449" s="44">
        <v>43760</v>
      </c>
      <c r="B449" s="48">
        <v>0.53749999999999998</v>
      </c>
      <c r="C449" s="48"/>
      <c r="D449" s="48" t="s">
        <v>150</v>
      </c>
      <c r="E449" s="13">
        <v>2</v>
      </c>
      <c r="F449" s="38" t="str">
        <f>VLOOKUP(E449,[2]Key!$A$17:$B$21,2,FALSE)</f>
        <v>Road Vehicle</v>
      </c>
      <c r="G449" s="49">
        <v>1</v>
      </c>
      <c r="H449" s="39" t="str">
        <f>VLOOKUP(G449,[2]Key!$A$2:$B$14,2,FALSE)</f>
        <v>Car</v>
      </c>
      <c r="I449" s="13" t="s">
        <v>156</v>
      </c>
      <c r="J449" s="13">
        <v>2</v>
      </c>
      <c r="K449" s="40" t="str">
        <f>VLOOKUP(J449,[2]Key!$A$24:$B$29,2,FALSE)</f>
        <v>30-39</v>
      </c>
      <c r="L449" s="11" t="s">
        <v>288</v>
      </c>
      <c r="M449" s="23" t="s">
        <v>220</v>
      </c>
      <c r="N449" s="13" t="s">
        <v>221</v>
      </c>
      <c r="O449" s="46">
        <v>1</v>
      </c>
      <c r="P449" s="30" t="str">
        <f>VLOOKUP(O449,[2]Key!$E$2:$F$9,2,FALSE)</f>
        <v>Home</v>
      </c>
      <c r="Q449" s="13" t="s">
        <v>261</v>
      </c>
      <c r="R449" s="23" t="s">
        <v>223</v>
      </c>
      <c r="S449" s="13" t="s">
        <v>221</v>
      </c>
      <c r="T449" s="23">
        <v>7</v>
      </c>
      <c r="U449" s="30" t="str">
        <f>VLOOKUP(T449,[2]Key!$E$2:$F$9,2,FALSE)</f>
        <v>Hospital</v>
      </c>
      <c r="V449" s="30" t="str">
        <f t="shared" si="24"/>
        <v>Home-Hospital</v>
      </c>
      <c r="W449" s="51">
        <v>10000</v>
      </c>
      <c r="X449" s="50"/>
      <c r="Y449" s="50" t="str">
        <f t="shared" si="25"/>
        <v>0-10</v>
      </c>
      <c r="Z449" s="50">
        <v>3</v>
      </c>
      <c r="AA449" s="50" t="str">
        <f t="shared" si="26"/>
        <v>2.0-3.5</v>
      </c>
      <c r="AB449" s="23">
        <v>5</v>
      </c>
      <c r="AC449" s="30" t="str">
        <f>VLOOKUP(AB449,[2]Key!$C$20:$D$29,2,FALSE)</f>
        <v>Professional</v>
      </c>
      <c r="AD449" s="23">
        <v>2</v>
      </c>
      <c r="AE449" s="30" t="str">
        <f>VLOOKUP(AD449,[2]Key!$E$20:$F$24,2,FALSE)</f>
        <v>300,000-500,000</v>
      </c>
      <c r="AF449" s="23">
        <v>4</v>
      </c>
      <c r="AG449" s="50">
        <v>5</v>
      </c>
      <c r="AH449" s="50">
        <v>2</v>
      </c>
      <c r="AI449" s="50">
        <v>1</v>
      </c>
      <c r="AJ449" s="50">
        <v>3</v>
      </c>
      <c r="AK449" s="46" t="s">
        <v>94</v>
      </c>
      <c r="AL449" s="36">
        <v>2000</v>
      </c>
      <c r="AM449" t="str">
        <f t="shared" si="27"/>
        <v>2000-3000</v>
      </c>
    </row>
    <row r="450" spans="1:39" x14ac:dyDescent="0.2">
      <c r="A450" s="44">
        <v>43760</v>
      </c>
      <c r="B450" s="48">
        <v>0.53055555555555556</v>
      </c>
      <c r="C450" s="48"/>
      <c r="D450" s="48" t="s">
        <v>150</v>
      </c>
      <c r="E450" s="13">
        <v>2</v>
      </c>
      <c r="F450" s="38" t="str">
        <f>VLOOKUP(E450,[2]Key!$A$17:$B$21,2,FALSE)</f>
        <v>Road Vehicle</v>
      </c>
      <c r="G450" s="49">
        <v>1</v>
      </c>
      <c r="H450" s="39" t="str">
        <f>VLOOKUP(G450,[2]Key!$A$2:$B$14,2,FALSE)</f>
        <v>Car</v>
      </c>
      <c r="I450" s="13" t="s">
        <v>156</v>
      </c>
      <c r="J450" s="13">
        <v>2</v>
      </c>
      <c r="K450" s="40" t="str">
        <f>VLOOKUP(J450,[2]Key!$A$24:$B$29,2,FALSE)</f>
        <v>30-39</v>
      </c>
      <c r="L450" s="11" t="s">
        <v>330</v>
      </c>
      <c r="M450" s="23" t="s">
        <v>220</v>
      </c>
      <c r="N450" s="13" t="s">
        <v>221</v>
      </c>
      <c r="O450" s="46">
        <v>1</v>
      </c>
      <c r="P450" s="30" t="str">
        <f>VLOOKUP(O450,[2]Key!$E$2:$F$9,2,FALSE)</f>
        <v>Home</v>
      </c>
      <c r="Q450" s="13" t="s">
        <v>305</v>
      </c>
      <c r="R450" s="23" t="s">
        <v>223</v>
      </c>
      <c r="S450" s="13" t="s">
        <v>221</v>
      </c>
      <c r="T450" s="23">
        <v>2</v>
      </c>
      <c r="U450" s="30" t="str">
        <f>VLOOKUP(T450,[2]Key!$E$2:$F$9,2,FALSE)</f>
        <v>Work</v>
      </c>
      <c r="V450" s="30" t="str">
        <f t="shared" ref="V450:V513" si="28">P450&amp;"-"&amp;U450</f>
        <v>Home-Work</v>
      </c>
      <c r="W450" s="51">
        <v>7000</v>
      </c>
      <c r="X450" s="50"/>
      <c r="Y450" s="50" t="str">
        <f t="shared" si="25"/>
        <v>0-10</v>
      </c>
      <c r="Z450" s="50">
        <v>1.5</v>
      </c>
      <c r="AA450" s="50" t="str">
        <f t="shared" si="26"/>
        <v>1.0-2.0</v>
      </c>
      <c r="AB450" s="23">
        <v>10</v>
      </c>
      <c r="AC450" s="30" t="str">
        <f>VLOOKUP(AB450,[2]Key!$C$20:$D$29,2,FALSE)</f>
        <v>Other</v>
      </c>
      <c r="AD450" s="23">
        <v>1</v>
      </c>
      <c r="AE450" s="30" t="str">
        <f>VLOOKUP(AD450,[2]Key!$E$20:$F$24,2,FALSE)</f>
        <v>&lt;300,000</v>
      </c>
      <c r="AF450" s="23">
        <v>1</v>
      </c>
      <c r="AG450" s="50">
        <v>2</v>
      </c>
      <c r="AH450" s="50">
        <v>3</v>
      </c>
      <c r="AI450" s="50">
        <v>4</v>
      </c>
      <c r="AJ450" s="50">
        <v>5</v>
      </c>
      <c r="AK450" s="46" t="s">
        <v>94</v>
      </c>
      <c r="AL450" s="36"/>
      <c r="AM450" t="str">
        <f t="shared" si="27"/>
        <v>0-1000</v>
      </c>
    </row>
    <row r="451" spans="1:39" x14ac:dyDescent="0.2">
      <c r="A451" s="44">
        <v>43760</v>
      </c>
      <c r="B451" s="48">
        <v>0.52708333333333335</v>
      </c>
      <c r="C451" s="48"/>
      <c r="D451" s="48" t="s">
        <v>150</v>
      </c>
      <c r="E451" s="13">
        <v>2</v>
      </c>
      <c r="F451" s="38" t="str">
        <f>VLOOKUP(E451,[2]Key!$A$17:$B$21,2,FALSE)</f>
        <v>Road Vehicle</v>
      </c>
      <c r="G451" s="49">
        <v>1</v>
      </c>
      <c r="H451" s="39" t="str">
        <f>VLOOKUP(G451,[2]Key!$A$2:$B$14,2,FALSE)</f>
        <v>Car</v>
      </c>
      <c r="I451" s="13" t="s">
        <v>156</v>
      </c>
      <c r="J451" s="13">
        <v>2</v>
      </c>
      <c r="K451" s="40" t="str">
        <f>VLOOKUP(J451,[2]Key!$A$24:$B$29,2,FALSE)</f>
        <v>30-39</v>
      </c>
      <c r="L451" s="11" t="s">
        <v>330</v>
      </c>
      <c r="M451" s="23" t="s">
        <v>220</v>
      </c>
      <c r="N451" s="13" t="s">
        <v>221</v>
      </c>
      <c r="O451" s="46">
        <v>1</v>
      </c>
      <c r="P451" s="30" t="str">
        <f>VLOOKUP(O451,[2]Key!$E$2:$F$9,2,FALSE)</f>
        <v>Home</v>
      </c>
      <c r="Q451" s="13" t="s">
        <v>332</v>
      </c>
      <c r="R451" s="23" t="s">
        <v>333</v>
      </c>
      <c r="S451" s="13" t="s">
        <v>221</v>
      </c>
      <c r="T451" s="23">
        <v>2</v>
      </c>
      <c r="U451" s="30" t="str">
        <f>VLOOKUP(T451,[2]Key!$E$2:$F$9,2,FALSE)</f>
        <v>Work</v>
      </c>
      <c r="V451" s="30" t="str">
        <f t="shared" si="28"/>
        <v>Home-Work</v>
      </c>
      <c r="W451" s="51">
        <v>9000</v>
      </c>
      <c r="X451" s="50"/>
      <c r="Y451" s="50" t="str">
        <f t="shared" ref="Y451:Y514" si="29">IF(X451&lt;10,"0-10",IF(X451&lt;20,"10-20",IF(X451&lt;40,"20-40",IF(X451&lt;70,"40-70",IF(X451&lt;100,"70-100",IF(X451&lt;200,"100-200","Over 200"))))))</f>
        <v>0-10</v>
      </c>
      <c r="Z451" s="50"/>
      <c r="AA451" s="50" t="str">
        <f t="shared" ref="AA451:AA514" si="30">IF(Z451&lt;0.5,"0-0.5",IF(Z451&lt;1,"0.5-1.0",IF(Z451&lt;2,"1.0-2.0",IF(Z451&lt;3.5,"2.0-3.5","Over 3.5"))))</f>
        <v>0-0.5</v>
      </c>
      <c r="AB451" s="23">
        <v>7</v>
      </c>
      <c r="AC451" s="30" t="str">
        <f>VLOOKUP(AB451,[2]Key!$C$20:$D$29,2,FALSE)</f>
        <v>Farmer</v>
      </c>
      <c r="AD451" s="23">
        <v>1</v>
      </c>
      <c r="AE451" s="30" t="str">
        <f>VLOOKUP(AD451,[2]Key!$E$20:$F$24,2,FALSE)</f>
        <v>&lt;300,000</v>
      </c>
      <c r="AF451" s="23">
        <v>2</v>
      </c>
      <c r="AG451" s="50">
        <v>1</v>
      </c>
      <c r="AH451" s="50">
        <v>5</v>
      </c>
      <c r="AI451" s="50">
        <v>3</v>
      </c>
      <c r="AJ451" s="50">
        <v>4</v>
      </c>
      <c r="AK451" s="46" t="s">
        <v>94</v>
      </c>
      <c r="AL451" s="36"/>
      <c r="AM451" t="str">
        <f t="shared" ref="AM451:AM514" si="31">IF(AL451&lt;1000,"0-1000",IF(AL451&lt;2000,"1000-2000",IF(AL451&lt;3000,"2000-3000",IF(AL451&lt;5000,"3000-5000",IF(AL451&lt;10000,"5000-10000","Over 10000")))))</f>
        <v>0-1000</v>
      </c>
    </row>
    <row r="452" spans="1:39" x14ac:dyDescent="0.2">
      <c r="A452" s="44">
        <v>43761</v>
      </c>
      <c r="B452" s="48">
        <v>0.45555555555555555</v>
      </c>
      <c r="C452" s="48"/>
      <c r="D452" s="48" t="s">
        <v>248</v>
      </c>
      <c r="E452" s="13">
        <v>2</v>
      </c>
      <c r="F452" s="38" t="str">
        <f>VLOOKUP(E452,[2]Key!$A$17:$B$21,2,FALSE)</f>
        <v>Road Vehicle</v>
      </c>
      <c r="G452" s="49">
        <v>1</v>
      </c>
      <c r="H452" s="39" t="str">
        <f>VLOOKUP(G452,[2]Key!$A$2:$B$14,2,FALSE)</f>
        <v>Car</v>
      </c>
      <c r="I452" s="13" t="s">
        <v>156</v>
      </c>
      <c r="J452" s="13">
        <v>2</v>
      </c>
      <c r="K452" s="40" t="str">
        <f>VLOOKUP(J452,[2]Key!$A$24:$B$29,2,FALSE)</f>
        <v>30-39</v>
      </c>
      <c r="L452" s="11" t="s">
        <v>334</v>
      </c>
      <c r="M452" s="23" t="s">
        <v>223</v>
      </c>
      <c r="N452" s="13" t="s">
        <v>221</v>
      </c>
      <c r="O452" s="46">
        <v>5</v>
      </c>
      <c r="P452" s="30" t="str">
        <f>VLOOKUP(O452,[2]Key!$E$2:$F$9,2,FALSE)</f>
        <v>Tourism</v>
      </c>
      <c r="Q452" s="13" t="s">
        <v>335</v>
      </c>
      <c r="R452" s="23" t="s">
        <v>336</v>
      </c>
      <c r="S452" s="13" t="s">
        <v>221</v>
      </c>
      <c r="T452" s="23">
        <v>1</v>
      </c>
      <c r="U452" s="30" t="str">
        <f>VLOOKUP(T452,[2]Key!$E$2:$F$9,2,FALSE)</f>
        <v>Home</v>
      </c>
      <c r="V452" s="30" t="str">
        <f t="shared" si="28"/>
        <v>Tourism-Home</v>
      </c>
      <c r="W452" s="23">
        <v>16000</v>
      </c>
      <c r="X452" s="50">
        <v>300</v>
      </c>
      <c r="Y452" s="50" t="str">
        <f t="shared" si="29"/>
        <v>Over 200</v>
      </c>
      <c r="Z452" s="50">
        <v>5</v>
      </c>
      <c r="AA452" s="50" t="str">
        <f t="shared" si="30"/>
        <v>Over 3.5</v>
      </c>
      <c r="AB452" s="23">
        <v>5</v>
      </c>
      <c r="AC452" s="30" t="str">
        <f>VLOOKUP(AB452,[2]Key!$C$20:$D$29,2,FALSE)</f>
        <v>Professional</v>
      </c>
      <c r="AD452" s="23">
        <v>2</v>
      </c>
      <c r="AE452" s="30" t="str">
        <f>VLOOKUP(AD452,[2]Key!$E$20:$F$24,2,FALSE)</f>
        <v>300,000-500,000</v>
      </c>
      <c r="AF452" s="23">
        <v>4</v>
      </c>
      <c r="AG452" s="50">
        <v>2</v>
      </c>
      <c r="AH452" s="50">
        <v>3</v>
      </c>
      <c r="AI452" s="50">
        <v>1</v>
      </c>
      <c r="AJ452" s="50">
        <v>5</v>
      </c>
      <c r="AK452" s="46" t="s">
        <v>94</v>
      </c>
      <c r="AL452" s="36">
        <v>2000</v>
      </c>
      <c r="AM452" t="str">
        <f t="shared" si="31"/>
        <v>2000-3000</v>
      </c>
    </row>
    <row r="453" spans="1:39" x14ac:dyDescent="0.2">
      <c r="A453" s="44">
        <v>43759</v>
      </c>
      <c r="B453" s="48">
        <v>6.5277777777777782E-2</v>
      </c>
      <c r="C453" s="48"/>
      <c r="D453" s="48" t="s">
        <v>97</v>
      </c>
      <c r="E453" s="13">
        <v>2</v>
      </c>
      <c r="F453" s="38" t="str">
        <f>VLOOKUP(E453,[2]Key!$A$17:$B$21,2,FALSE)</f>
        <v>Road Vehicle</v>
      </c>
      <c r="G453" s="49">
        <v>1</v>
      </c>
      <c r="H453" s="39" t="str">
        <f>VLOOKUP(G453,[2]Key!$A$2:$B$14,2,FALSE)</f>
        <v>Car</v>
      </c>
      <c r="I453" s="13" t="s">
        <v>109</v>
      </c>
      <c r="J453" s="13">
        <v>2</v>
      </c>
      <c r="K453" s="40" t="str">
        <f>VLOOKUP(J453,[2]Key!$A$24:$B$29,2,FALSE)</f>
        <v>30-39</v>
      </c>
      <c r="L453" s="11" t="s">
        <v>257</v>
      </c>
      <c r="M453" s="23" t="s">
        <v>223</v>
      </c>
      <c r="N453" s="13" t="s">
        <v>221</v>
      </c>
      <c r="O453" s="46">
        <v>2</v>
      </c>
      <c r="P453" s="30" t="str">
        <f>VLOOKUP(O453,[2]Key!$E$2:$F$9,2,FALSE)</f>
        <v>Work</v>
      </c>
      <c r="Q453" s="13" t="s">
        <v>231</v>
      </c>
      <c r="R453" s="23" t="s">
        <v>285</v>
      </c>
      <c r="S453" s="13" t="s">
        <v>221</v>
      </c>
      <c r="T453" s="23">
        <v>2</v>
      </c>
      <c r="U453" s="30" t="str">
        <f>VLOOKUP(T453,[2]Key!$E$2:$F$9,2,FALSE)</f>
        <v>Work</v>
      </c>
      <c r="V453" s="30" t="str">
        <f t="shared" si="28"/>
        <v>Work-Work</v>
      </c>
      <c r="W453" s="41">
        <v>80000</v>
      </c>
      <c r="X453" s="50">
        <v>140</v>
      </c>
      <c r="Y453" s="50" t="str">
        <f t="shared" si="29"/>
        <v>100-200</v>
      </c>
      <c r="Z453" s="50">
        <v>2.5</v>
      </c>
      <c r="AA453" s="50" t="str">
        <f t="shared" si="30"/>
        <v>2.0-3.5</v>
      </c>
      <c r="AB453" s="23">
        <v>10</v>
      </c>
      <c r="AC453" s="30" t="str">
        <f>VLOOKUP(AB453,[2]Key!$C$20:$D$29,2,FALSE)</f>
        <v>Other</v>
      </c>
      <c r="AD453" s="23">
        <v>2</v>
      </c>
      <c r="AE453" s="30" t="str">
        <f>VLOOKUP(AD453,[2]Key!$E$20:$F$24,2,FALSE)</f>
        <v>300,000-500,000</v>
      </c>
      <c r="AF453" s="23">
        <v>2</v>
      </c>
      <c r="AG453" s="50">
        <v>1</v>
      </c>
      <c r="AH453" s="50">
        <v>5</v>
      </c>
      <c r="AI453" s="50">
        <v>3</v>
      </c>
      <c r="AJ453" s="50">
        <v>4</v>
      </c>
      <c r="AK453" s="46" t="s">
        <v>94</v>
      </c>
      <c r="AL453" s="36">
        <v>2000</v>
      </c>
      <c r="AM453" t="str">
        <f t="shared" si="31"/>
        <v>2000-3000</v>
      </c>
    </row>
    <row r="454" spans="1:39" x14ac:dyDescent="0.2">
      <c r="A454" s="44">
        <v>43759</v>
      </c>
      <c r="B454" s="48">
        <v>0.53333333333333333</v>
      </c>
      <c r="C454" s="48"/>
      <c r="D454" s="48" t="s">
        <v>150</v>
      </c>
      <c r="E454" s="13">
        <v>2</v>
      </c>
      <c r="F454" s="38" t="str">
        <f>VLOOKUP(E454,[1]Key!$A$17:$B$21,2,FALSE)</f>
        <v>Road Vehicle</v>
      </c>
      <c r="G454" s="49">
        <v>1</v>
      </c>
      <c r="H454" s="39" t="str">
        <f>VLOOKUP(G454,[2]Key!$A$2:$B$14,2,FALSE)</f>
        <v>Car</v>
      </c>
      <c r="I454" s="13" t="s">
        <v>109</v>
      </c>
      <c r="J454" s="13">
        <v>2</v>
      </c>
      <c r="K454" s="40" t="str">
        <f>VLOOKUP(J454,[1]Key!$A$24:$B$29,2,FALSE)</f>
        <v>30-39</v>
      </c>
      <c r="L454" s="11" t="s">
        <v>321</v>
      </c>
      <c r="M454" s="23" t="s">
        <v>220</v>
      </c>
      <c r="N454" s="13" t="s">
        <v>221</v>
      </c>
      <c r="O454" s="46">
        <v>2</v>
      </c>
      <c r="P454" s="30" t="str">
        <f>VLOOKUP(O454,[1]Key!$E$2:$F$9,2,FALSE)</f>
        <v>Work</v>
      </c>
      <c r="Q454" s="13" t="s">
        <v>332</v>
      </c>
      <c r="R454" s="23" t="s">
        <v>333</v>
      </c>
      <c r="S454" s="13" t="s">
        <v>221</v>
      </c>
      <c r="T454" s="23">
        <v>4</v>
      </c>
      <c r="U454" s="30" t="str">
        <f>VLOOKUP(T454,[1]Key!$E$2:$F$9,2,FALSE)</f>
        <v>Commercial</v>
      </c>
      <c r="V454" s="30" t="str">
        <f t="shared" si="28"/>
        <v>Work-Commercial</v>
      </c>
      <c r="W454" s="51">
        <v>10000</v>
      </c>
      <c r="X454" s="50"/>
      <c r="Y454" s="50" t="str">
        <f t="shared" si="29"/>
        <v>0-10</v>
      </c>
      <c r="Z454" s="50">
        <v>2</v>
      </c>
      <c r="AA454" s="50" t="str">
        <f t="shared" si="30"/>
        <v>2.0-3.5</v>
      </c>
      <c r="AB454" s="23">
        <v>5</v>
      </c>
      <c r="AC454" s="30" t="str">
        <f>VLOOKUP(AB454,[1]Key!$C$20:$D$29,2,FALSE)</f>
        <v>Professional</v>
      </c>
      <c r="AD454" s="23">
        <v>2</v>
      </c>
      <c r="AE454" s="30" t="str">
        <f>VLOOKUP(AD454,[1]Key!$E$20:$F$24,2,FALSE)</f>
        <v>300,000-500,000</v>
      </c>
      <c r="AF454" s="23">
        <v>1</v>
      </c>
      <c r="AG454" s="50">
        <v>2</v>
      </c>
      <c r="AH454" s="50">
        <v>4</v>
      </c>
      <c r="AI454" s="50">
        <v>3</v>
      </c>
      <c r="AJ454" s="50">
        <v>5</v>
      </c>
      <c r="AK454" s="46" t="s">
        <v>94</v>
      </c>
      <c r="AL454" s="36">
        <v>2000</v>
      </c>
      <c r="AM454" t="str">
        <f t="shared" si="31"/>
        <v>2000-3000</v>
      </c>
    </row>
    <row r="455" spans="1:39" x14ac:dyDescent="0.2">
      <c r="A455" s="44">
        <v>43760</v>
      </c>
      <c r="B455" s="48">
        <v>0.2951388888888889</v>
      </c>
      <c r="C455" s="48"/>
      <c r="D455" s="48" t="s">
        <v>248</v>
      </c>
      <c r="E455" s="13">
        <v>2</v>
      </c>
      <c r="F455" s="38" t="str">
        <f>VLOOKUP(E455,[2]Key!$A$17:$B$21,2,FALSE)</f>
        <v>Road Vehicle</v>
      </c>
      <c r="G455" s="49">
        <v>1</v>
      </c>
      <c r="H455" s="39" t="str">
        <f>VLOOKUP(G455,[2]Key!$A$2:$B$14,2,FALSE)</f>
        <v>Car</v>
      </c>
      <c r="I455" s="13" t="s">
        <v>109</v>
      </c>
      <c r="J455" s="13">
        <v>2</v>
      </c>
      <c r="K455" s="40" t="str">
        <f>VLOOKUP(J455,[2]Key!$A$24:$B$29,2,FALSE)</f>
        <v>30-39</v>
      </c>
      <c r="L455" s="11" t="s">
        <v>320</v>
      </c>
      <c r="M455" s="23" t="s">
        <v>223</v>
      </c>
      <c r="N455" s="13" t="s">
        <v>221</v>
      </c>
      <c r="O455" s="46">
        <v>1</v>
      </c>
      <c r="P455" s="30" t="str">
        <f>VLOOKUP(O455,[2]Key!$E$2:$F$9,2,FALSE)</f>
        <v>Home</v>
      </c>
      <c r="Q455" s="13" t="s">
        <v>261</v>
      </c>
      <c r="R455" s="23" t="s">
        <v>223</v>
      </c>
      <c r="S455" s="13" t="s">
        <v>221</v>
      </c>
      <c r="T455" s="23">
        <v>2</v>
      </c>
      <c r="U455" s="30" t="str">
        <f>VLOOKUP(T455,[2]Key!$E$2:$F$9,2,FALSE)</f>
        <v>Work</v>
      </c>
      <c r="V455" s="30" t="str">
        <f t="shared" si="28"/>
        <v>Home-Work</v>
      </c>
      <c r="W455" s="41">
        <v>8000</v>
      </c>
      <c r="X455" s="50">
        <v>96</v>
      </c>
      <c r="Y455" s="50" t="str">
        <f t="shared" si="29"/>
        <v>70-100</v>
      </c>
      <c r="Z455" s="50">
        <v>3</v>
      </c>
      <c r="AA455" s="50" t="str">
        <f t="shared" si="30"/>
        <v>2.0-3.5</v>
      </c>
      <c r="AB455" s="23">
        <v>1</v>
      </c>
      <c r="AC455" s="30" t="str">
        <f>VLOOKUP(AB455,[2]Key!$C$20:$D$29,2,FALSE)</f>
        <v>Unemployed</v>
      </c>
      <c r="AD455" s="23">
        <v>2</v>
      </c>
      <c r="AE455" s="30" t="str">
        <f>VLOOKUP(AD455,[2]Key!$E$20:$F$24,2,FALSE)</f>
        <v>300,000-500,000</v>
      </c>
      <c r="AF455" s="23">
        <v>1</v>
      </c>
      <c r="AG455" s="50">
        <v>5</v>
      </c>
      <c r="AH455" s="50">
        <v>4</v>
      </c>
      <c r="AI455" s="50">
        <v>2</v>
      </c>
      <c r="AJ455" s="50">
        <v>3</v>
      </c>
      <c r="AK455" s="46" t="s">
        <v>94</v>
      </c>
      <c r="AL455" s="36">
        <v>1000</v>
      </c>
      <c r="AM455" t="str">
        <f t="shared" si="31"/>
        <v>1000-2000</v>
      </c>
    </row>
    <row r="456" spans="1:39" x14ac:dyDescent="0.2">
      <c r="A456" s="44">
        <v>43760</v>
      </c>
      <c r="B456" s="48">
        <v>0.31736111111111115</v>
      </c>
      <c r="C456" s="48"/>
      <c r="D456" s="48" t="s">
        <v>248</v>
      </c>
      <c r="E456" s="13">
        <v>2</v>
      </c>
      <c r="F456" s="38" t="str">
        <f>VLOOKUP(E456,[2]Key!$A$17:$B$21,2,FALSE)</f>
        <v>Road Vehicle</v>
      </c>
      <c r="G456" s="49">
        <v>1</v>
      </c>
      <c r="H456" s="39" t="str">
        <f>VLOOKUP(G456,[2]Key!$A$2:$B$14,2,FALSE)</f>
        <v>Car</v>
      </c>
      <c r="I456" s="13" t="s">
        <v>109</v>
      </c>
      <c r="J456" s="13">
        <v>2</v>
      </c>
      <c r="K456" s="40" t="str">
        <f>VLOOKUP(J456,[2]Key!$A$24:$B$29,2,FALSE)</f>
        <v>30-39</v>
      </c>
      <c r="L456" s="11" t="s">
        <v>320</v>
      </c>
      <c r="M456" s="23" t="s">
        <v>223</v>
      </c>
      <c r="N456" s="13" t="s">
        <v>221</v>
      </c>
      <c r="O456" s="46">
        <v>1</v>
      </c>
      <c r="P456" s="30" t="str">
        <f>VLOOKUP(O456,[2]Key!$E$2:$F$9,2,FALSE)</f>
        <v>Home</v>
      </c>
      <c r="Q456" s="13" t="s">
        <v>223</v>
      </c>
      <c r="R456" s="23" t="s">
        <v>223</v>
      </c>
      <c r="S456" s="13" t="s">
        <v>221</v>
      </c>
      <c r="T456" s="23">
        <v>2</v>
      </c>
      <c r="U456" s="30" t="str">
        <f>VLOOKUP(T456,[2]Key!$E$2:$F$9,2,FALSE)</f>
        <v>Work</v>
      </c>
      <c r="V456" s="30" t="str">
        <f t="shared" si="28"/>
        <v>Home-Work</v>
      </c>
      <c r="W456" s="41">
        <v>3000</v>
      </c>
      <c r="X456" s="50">
        <v>20</v>
      </c>
      <c r="Y456" s="50" t="str">
        <f t="shared" si="29"/>
        <v>20-40</v>
      </c>
      <c r="Z456" s="50">
        <v>0.1666666</v>
      </c>
      <c r="AA456" s="50" t="str">
        <f t="shared" si="30"/>
        <v>0-0.5</v>
      </c>
      <c r="AB456" s="23">
        <v>2</v>
      </c>
      <c r="AC456" s="30" t="str">
        <f>VLOOKUP(AB456,[2]Key!$C$20:$D$29,2,FALSE)</f>
        <v>Manual Labour</v>
      </c>
      <c r="AD456" s="23">
        <v>1</v>
      </c>
      <c r="AE456" s="30" t="str">
        <f>VLOOKUP(AD456,[2]Key!$E$20:$F$24,2,FALSE)</f>
        <v>&lt;300,000</v>
      </c>
      <c r="AF456" s="23">
        <v>4</v>
      </c>
      <c r="AG456" s="50">
        <v>2</v>
      </c>
      <c r="AH456" s="50">
        <v>3</v>
      </c>
      <c r="AI456" s="50">
        <v>1</v>
      </c>
      <c r="AJ456" s="50">
        <v>5</v>
      </c>
      <c r="AK456" s="46" t="s">
        <v>94</v>
      </c>
      <c r="AL456" s="36">
        <v>500</v>
      </c>
      <c r="AM456" t="str">
        <f t="shared" si="31"/>
        <v>0-1000</v>
      </c>
    </row>
    <row r="457" spans="1:39" x14ac:dyDescent="0.2">
      <c r="A457" s="44">
        <v>43760</v>
      </c>
      <c r="B457" s="48">
        <v>0.39583333333333331</v>
      </c>
      <c r="C457" s="48"/>
      <c r="D457" s="48" t="s">
        <v>150</v>
      </c>
      <c r="E457" s="13">
        <v>2</v>
      </c>
      <c r="F457" s="38" t="str">
        <f>VLOOKUP(E457,[2]Key!$A$17:$B$21,2,FALSE)</f>
        <v>Road Vehicle</v>
      </c>
      <c r="G457" s="49">
        <v>1</v>
      </c>
      <c r="H457" s="39" t="str">
        <f>VLOOKUP(G457,[2]Key!$A$2:$B$14,2,FALSE)</f>
        <v>Car</v>
      </c>
      <c r="I457" s="13" t="s">
        <v>109</v>
      </c>
      <c r="J457" s="13">
        <v>2</v>
      </c>
      <c r="K457" s="40" t="str">
        <f>VLOOKUP(J457,[2]Key!$A$24:$B$29,2,FALSE)</f>
        <v>30-39</v>
      </c>
      <c r="L457" s="11" t="s">
        <v>331</v>
      </c>
      <c r="M457" s="23" t="s">
        <v>223</v>
      </c>
      <c r="N457" s="13" t="s">
        <v>221</v>
      </c>
      <c r="O457" s="46">
        <v>1</v>
      </c>
      <c r="P457" s="30" t="str">
        <f>VLOOKUP(O457,[2]Key!$E$2:$F$9,2,FALSE)</f>
        <v>Home</v>
      </c>
      <c r="Q457" s="13" t="s">
        <v>330</v>
      </c>
      <c r="R457" s="23" t="s">
        <v>223</v>
      </c>
      <c r="S457" s="13" t="s">
        <v>221</v>
      </c>
      <c r="T457" s="23">
        <v>4</v>
      </c>
      <c r="U457" s="30" t="str">
        <f>VLOOKUP(T457,[2]Key!$E$2:$F$9,2,FALSE)</f>
        <v>Commercial</v>
      </c>
      <c r="V457" s="30" t="str">
        <f t="shared" si="28"/>
        <v>Home-Commercial</v>
      </c>
      <c r="W457" s="23">
        <v>5000</v>
      </c>
      <c r="X457" s="50">
        <v>30</v>
      </c>
      <c r="Y457" s="50" t="str">
        <f t="shared" si="29"/>
        <v>20-40</v>
      </c>
      <c r="Z457" s="50">
        <v>0.83</v>
      </c>
      <c r="AA457" s="50" t="str">
        <f t="shared" si="30"/>
        <v>0.5-1.0</v>
      </c>
      <c r="AB457" s="23">
        <v>6</v>
      </c>
      <c r="AC457" s="30" t="str">
        <f>VLOOKUP(AB457,[2]Key!$C$20:$D$29,2,FALSE)</f>
        <v>Businessman</v>
      </c>
      <c r="AD457" s="23">
        <v>2</v>
      </c>
      <c r="AE457" s="30" t="str">
        <f>VLOOKUP(AD457,[2]Key!$E$20:$F$24,2,FALSE)</f>
        <v>300,000-500,000</v>
      </c>
      <c r="AF457" s="23">
        <v>5</v>
      </c>
      <c r="AG457" s="50">
        <v>3</v>
      </c>
      <c r="AH457" s="50">
        <v>4</v>
      </c>
      <c r="AI457" s="50">
        <v>1</v>
      </c>
      <c r="AJ457" s="50">
        <v>2</v>
      </c>
      <c r="AK457" s="46" t="s">
        <v>94</v>
      </c>
      <c r="AL457" s="36">
        <v>1000</v>
      </c>
      <c r="AM457" t="str">
        <f t="shared" si="31"/>
        <v>1000-2000</v>
      </c>
    </row>
    <row r="458" spans="1:39" x14ac:dyDescent="0.2">
      <c r="A458" s="44">
        <v>43760</v>
      </c>
      <c r="B458" s="48">
        <v>0.39999999999999997</v>
      </c>
      <c r="C458" s="48"/>
      <c r="D458" s="48" t="s">
        <v>150</v>
      </c>
      <c r="E458" s="13">
        <v>2</v>
      </c>
      <c r="F458" s="38" t="str">
        <f>VLOOKUP(E458,[2]Key!$A$17:$B$21,2,FALSE)</f>
        <v>Road Vehicle</v>
      </c>
      <c r="G458" s="49">
        <v>1</v>
      </c>
      <c r="H458" s="39" t="str">
        <f>VLOOKUP(G458,[2]Key!$A$2:$B$14,2,FALSE)</f>
        <v>Car</v>
      </c>
      <c r="I458" s="13" t="s">
        <v>109</v>
      </c>
      <c r="J458" s="13">
        <v>2</v>
      </c>
      <c r="K458" s="40" t="str">
        <f>VLOOKUP(J458,[2]Key!$A$24:$B$29,2,FALSE)</f>
        <v>30-39</v>
      </c>
      <c r="L458" s="11" t="s">
        <v>301</v>
      </c>
      <c r="M458" s="23" t="s">
        <v>220</v>
      </c>
      <c r="N458" s="13" t="s">
        <v>221</v>
      </c>
      <c r="O458" s="46">
        <v>1</v>
      </c>
      <c r="P458" s="30" t="str">
        <f>VLOOKUP(O458,[2]Key!$E$2:$F$9,2,FALSE)</f>
        <v>Home</v>
      </c>
      <c r="Q458" s="13" t="s">
        <v>299</v>
      </c>
      <c r="R458" s="23" t="s">
        <v>337</v>
      </c>
      <c r="S458" s="13" t="s">
        <v>221</v>
      </c>
      <c r="T458" s="23">
        <v>4</v>
      </c>
      <c r="U458" s="30" t="str">
        <f>VLOOKUP(T458,[2]Key!$E$2:$F$9,2,FALSE)</f>
        <v>Commercial</v>
      </c>
      <c r="V458" s="30" t="str">
        <f t="shared" si="28"/>
        <v>Home-Commercial</v>
      </c>
      <c r="W458" s="23">
        <v>4000</v>
      </c>
      <c r="X458" s="50">
        <v>30</v>
      </c>
      <c r="Y458" s="50" t="str">
        <f t="shared" si="29"/>
        <v>20-40</v>
      </c>
      <c r="Z458" s="50">
        <v>0.8</v>
      </c>
      <c r="AA458" s="50" t="str">
        <f t="shared" si="30"/>
        <v>0.5-1.0</v>
      </c>
      <c r="AB458" s="23">
        <v>6</v>
      </c>
      <c r="AC458" s="30" t="str">
        <f>VLOOKUP(AB458,[2]Key!$C$20:$D$29,2,FALSE)</f>
        <v>Businessman</v>
      </c>
      <c r="AD458" s="23">
        <v>2</v>
      </c>
      <c r="AE458" s="30" t="str">
        <f>VLOOKUP(AD458,[2]Key!$E$20:$F$24,2,FALSE)</f>
        <v>300,000-500,000</v>
      </c>
      <c r="AF458" s="23">
        <v>2</v>
      </c>
      <c r="AG458" s="50">
        <v>4</v>
      </c>
      <c r="AH458" s="50">
        <v>3</v>
      </c>
      <c r="AI458" s="50">
        <v>1</v>
      </c>
      <c r="AJ458" s="50">
        <v>5</v>
      </c>
      <c r="AK458" s="46" t="s">
        <v>94</v>
      </c>
      <c r="AL458" s="36">
        <v>2000</v>
      </c>
      <c r="AM458" t="str">
        <f t="shared" si="31"/>
        <v>2000-3000</v>
      </c>
    </row>
    <row r="459" spans="1:39" x14ac:dyDescent="0.2">
      <c r="A459" s="44">
        <v>43760</v>
      </c>
      <c r="B459" s="48">
        <v>0.43055555555555558</v>
      </c>
      <c r="C459" s="48"/>
      <c r="D459" s="48" t="s">
        <v>150</v>
      </c>
      <c r="E459" s="13">
        <v>2</v>
      </c>
      <c r="F459" s="38" t="str">
        <f>VLOOKUP(E459,[2]Key!$A$17:$B$21,2,FALSE)</f>
        <v>Road Vehicle</v>
      </c>
      <c r="G459" s="49">
        <v>1</v>
      </c>
      <c r="H459" s="39" t="str">
        <f>VLOOKUP(G459,[2]Key!$A$2:$B$14,2,FALSE)</f>
        <v>Car</v>
      </c>
      <c r="I459" s="13" t="s">
        <v>109</v>
      </c>
      <c r="J459" s="13">
        <v>2</v>
      </c>
      <c r="K459" s="40" t="str">
        <f>VLOOKUP(J459,[2]Key!$A$24:$B$29,2,FALSE)</f>
        <v>30-39</v>
      </c>
      <c r="L459" s="11" t="s">
        <v>330</v>
      </c>
      <c r="M459" s="23" t="s">
        <v>223</v>
      </c>
      <c r="N459" s="13" t="s">
        <v>221</v>
      </c>
      <c r="O459" s="46">
        <v>1</v>
      </c>
      <c r="P459" s="30" t="str">
        <f>VLOOKUP(O459,[2]Key!$E$2:$F$9,2,FALSE)</f>
        <v>Home</v>
      </c>
      <c r="Q459" s="13" t="s">
        <v>292</v>
      </c>
      <c r="R459" s="23" t="s">
        <v>338</v>
      </c>
      <c r="S459" s="13" t="s">
        <v>221</v>
      </c>
      <c r="T459" s="23">
        <v>4</v>
      </c>
      <c r="U459" s="30" t="str">
        <f>VLOOKUP(T459,[2]Key!$E$2:$F$9,2,FALSE)</f>
        <v>Commercial</v>
      </c>
      <c r="V459" s="30" t="str">
        <f t="shared" si="28"/>
        <v>Home-Commercial</v>
      </c>
      <c r="W459" s="23">
        <v>8000</v>
      </c>
      <c r="X459" s="50">
        <v>48</v>
      </c>
      <c r="Y459" s="50" t="str">
        <f t="shared" si="29"/>
        <v>40-70</v>
      </c>
      <c r="Z459" s="50">
        <v>1.5</v>
      </c>
      <c r="AA459" s="50" t="str">
        <f t="shared" si="30"/>
        <v>1.0-2.0</v>
      </c>
      <c r="AB459" s="23">
        <v>7</v>
      </c>
      <c r="AC459" s="30" t="str">
        <f>VLOOKUP(AB459,[2]Key!$C$20:$D$29,2,FALSE)</f>
        <v>Farmer</v>
      </c>
      <c r="AD459" s="23">
        <v>2</v>
      </c>
      <c r="AE459" s="30" t="str">
        <f>VLOOKUP(AD459,[2]Key!$E$20:$F$24,2,FALSE)</f>
        <v>300,000-500,000</v>
      </c>
      <c r="AF459" s="23">
        <v>1</v>
      </c>
      <c r="AG459" s="50">
        <v>2</v>
      </c>
      <c r="AH459" s="50">
        <v>5</v>
      </c>
      <c r="AI459" s="50">
        <v>4</v>
      </c>
      <c r="AJ459" s="50">
        <v>3</v>
      </c>
      <c r="AK459" s="46" t="s">
        <v>94</v>
      </c>
      <c r="AL459" s="36"/>
      <c r="AM459" t="str">
        <f t="shared" si="31"/>
        <v>0-1000</v>
      </c>
    </row>
    <row r="460" spans="1:39" x14ac:dyDescent="0.2">
      <c r="A460" s="44">
        <v>43761</v>
      </c>
      <c r="B460" s="48">
        <v>0.45833333333333331</v>
      </c>
      <c r="C460" s="48"/>
      <c r="D460" s="48" t="s">
        <v>150</v>
      </c>
      <c r="E460" s="13">
        <v>2</v>
      </c>
      <c r="F460" s="38" t="str">
        <f>VLOOKUP(E460,[2]Key!$A$17:$B$21,2,FALSE)</f>
        <v>Road Vehicle</v>
      </c>
      <c r="G460" s="49">
        <v>1</v>
      </c>
      <c r="H460" s="39" t="str">
        <f>VLOOKUP(G460,[2]Key!$A$2:$B$14,2,FALSE)</f>
        <v>Car</v>
      </c>
      <c r="I460" s="13" t="s">
        <v>109</v>
      </c>
      <c r="J460" s="13">
        <v>2</v>
      </c>
      <c r="K460" s="40" t="str">
        <f>VLOOKUP(J460,[2]Key!$A$24:$B$29,2,FALSE)</f>
        <v>30-39</v>
      </c>
      <c r="L460" s="11" t="s">
        <v>339</v>
      </c>
      <c r="M460" s="23" t="s">
        <v>220</v>
      </c>
      <c r="N460" s="13" t="s">
        <v>221</v>
      </c>
      <c r="O460" s="46">
        <v>1</v>
      </c>
      <c r="P460" s="30" t="str">
        <f>VLOOKUP(O460,[2]Key!$E$2:$F$9,2,FALSE)</f>
        <v>Home</v>
      </c>
      <c r="Q460" s="13" t="s">
        <v>223</v>
      </c>
      <c r="R460" s="23" t="s">
        <v>223</v>
      </c>
      <c r="S460" s="13" t="s">
        <v>221</v>
      </c>
      <c r="T460" s="23">
        <v>4</v>
      </c>
      <c r="U460" s="30" t="str">
        <f>VLOOKUP(T460,[2]Key!$E$2:$F$9,2,FALSE)</f>
        <v>Commercial</v>
      </c>
      <c r="V460" s="30" t="str">
        <f t="shared" si="28"/>
        <v>Home-Commercial</v>
      </c>
      <c r="W460" s="51">
        <v>6000</v>
      </c>
      <c r="X460" s="50">
        <v>45</v>
      </c>
      <c r="Y460" s="50" t="str">
        <f t="shared" si="29"/>
        <v>40-70</v>
      </c>
      <c r="Z460" s="50">
        <v>0.83299999999999996</v>
      </c>
      <c r="AA460" s="50" t="str">
        <f t="shared" si="30"/>
        <v>0.5-1.0</v>
      </c>
      <c r="AB460" s="23">
        <v>3</v>
      </c>
      <c r="AC460" s="30" t="str">
        <f>VLOOKUP(AB460,[2]Key!$C$20:$D$29,2,FALSE)</f>
        <v>Artisan/Domestic</v>
      </c>
      <c r="AD460" s="23">
        <v>2</v>
      </c>
      <c r="AE460" s="30" t="str">
        <f>VLOOKUP(AD460,[2]Key!$E$20:$F$24,2,FALSE)</f>
        <v>300,000-500,000</v>
      </c>
      <c r="AF460" s="23">
        <v>1</v>
      </c>
      <c r="AG460" s="50">
        <v>2</v>
      </c>
      <c r="AH460" s="50">
        <v>3</v>
      </c>
      <c r="AI460" s="50">
        <v>4</v>
      </c>
      <c r="AJ460" s="50">
        <v>5</v>
      </c>
      <c r="AK460" s="46" t="s">
        <v>94</v>
      </c>
      <c r="AL460" s="36"/>
      <c r="AM460" t="str">
        <f t="shared" si="31"/>
        <v>0-1000</v>
      </c>
    </row>
    <row r="461" spans="1:39" x14ac:dyDescent="0.2">
      <c r="A461" s="44">
        <v>43761</v>
      </c>
      <c r="B461" s="48">
        <v>7.6388888888888895E-2</v>
      </c>
      <c r="C461" s="48"/>
      <c r="D461" s="48" t="s">
        <v>150</v>
      </c>
      <c r="E461" s="13">
        <v>2</v>
      </c>
      <c r="F461" s="38" t="str">
        <f>VLOOKUP(E461,[2]Key!$A$17:$B$21,2,FALSE)</f>
        <v>Road Vehicle</v>
      </c>
      <c r="G461" s="49">
        <v>1</v>
      </c>
      <c r="H461" s="39" t="str">
        <f>VLOOKUP(G461,[2]Key!$A$2:$B$14,2,FALSE)</f>
        <v>Car</v>
      </c>
      <c r="I461" s="13" t="s">
        <v>109</v>
      </c>
      <c r="J461" s="13">
        <v>2</v>
      </c>
      <c r="K461" s="40" t="str">
        <f>VLOOKUP(J461,[2]Key!$A$24:$B$29,2,FALSE)</f>
        <v>30-39</v>
      </c>
      <c r="L461" s="11" t="s">
        <v>323</v>
      </c>
      <c r="M461" s="23" t="s">
        <v>220</v>
      </c>
      <c r="N461" s="13" t="s">
        <v>221</v>
      </c>
      <c r="O461" s="46">
        <v>4</v>
      </c>
      <c r="P461" s="30" t="str">
        <f>VLOOKUP(O461,[2]Key!$E$2:$F$9,2,FALSE)</f>
        <v>Commercial</v>
      </c>
      <c r="Q461" s="13" t="s">
        <v>223</v>
      </c>
      <c r="R461" s="23" t="s">
        <v>223</v>
      </c>
      <c r="S461" s="13" t="s">
        <v>221</v>
      </c>
      <c r="T461" s="23">
        <v>4</v>
      </c>
      <c r="U461" s="30" t="str">
        <f>VLOOKUP(T461,[2]Key!$E$2:$F$9,2,FALSE)</f>
        <v>Commercial</v>
      </c>
      <c r="V461" s="30" t="str">
        <f t="shared" si="28"/>
        <v>Commercial-Commercial</v>
      </c>
      <c r="W461" s="51">
        <v>5000</v>
      </c>
      <c r="X461" s="50">
        <v>219</v>
      </c>
      <c r="Y461" s="50" t="str">
        <f t="shared" si="29"/>
        <v>Over 200</v>
      </c>
      <c r="Z461" s="50">
        <v>1</v>
      </c>
      <c r="AA461" s="50" t="str">
        <f t="shared" si="30"/>
        <v>1.0-2.0</v>
      </c>
      <c r="AB461" s="23">
        <v>5</v>
      </c>
      <c r="AC461" s="30" t="str">
        <f>VLOOKUP(AB461,[2]Key!$C$20:$D$29,2,FALSE)</f>
        <v>Professional</v>
      </c>
      <c r="AD461" s="23">
        <v>2</v>
      </c>
      <c r="AE461" s="30" t="str">
        <f>VLOOKUP(AD461,[2]Key!$E$20:$F$24,2,FALSE)</f>
        <v>300,000-500,000</v>
      </c>
      <c r="AF461" s="23">
        <v>5</v>
      </c>
      <c r="AG461" s="50">
        <v>2</v>
      </c>
      <c r="AH461" s="50">
        <v>3</v>
      </c>
      <c r="AI461" s="50">
        <v>1</v>
      </c>
      <c r="AJ461" s="50">
        <v>4</v>
      </c>
      <c r="AK461" s="46" t="s">
        <v>94</v>
      </c>
      <c r="AL461" s="36">
        <v>1000</v>
      </c>
      <c r="AM461" t="str">
        <f t="shared" si="31"/>
        <v>1000-2000</v>
      </c>
    </row>
    <row r="462" spans="1:39" x14ac:dyDescent="0.2">
      <c r="A462" s="44">
        <v>43761</v>
      </c>
      <c r="B462" s="48">
        <v>0.125</v>
      </c>
      <c r="C462" s="48"/>
      <c r="D462" s="48" t="s">
        <v>97</v>
      </c>
      <c r="E462" s="13">
        <v>2</v>
      </c>
      <c r="F462" s="38" t="str">
        <f>VLOOKUP(E462,[2]Key!$A$17:$B$21,2,FALSE)</f>
        <v>Road Vehicle</v>
      </c>
      <c r="G462" s="49">
        <v>1</v>
      </c>
      <c r="H462" s="39" t="str">
        <f>VLOOKUP(G462,[2]Key!$A$2:$B$14,2,FALSE)</f>
        <v>Car</v>
      </c>
      <c r="I462" s="13" t="s">
        <v>109</v>
      </c>
      <c r="J462" s="13">
        <v>2</v>
      </c>
      <c r="K462" s="40" t="str">
        <f>VLOOKUP(J462,[2]Key!$A$24:$B$29,2,FALSE)</f>
        <v>30-39</v>
      </c>
      <c r="L462" s="11" t="s">
        <v>258</v>
      </c>
      <c r="M462" s="23" t="s">
        <v>223</v>
      </c>
      <c r="N462" s="13" t="s">
        <v>221</v>
      </c>
      <c r="O462" s="46">
        <v>2</v>
      </c>
      <c r="P462" s="30" t="str">
        <f>VLOOKUP(O462,[2]Key!$E$2:$F$9,2,FALSE)</f>
        <v>Work</v>
      </c>
      <c r="Q462" s="13" t="s">
        <v>225</v>
      </c>
      <c r="R462" s="23" t="s">
        <v>223</v>
      </c>
      <c r="S462" s="13" t="s">
        <v>221</v>
      </c>
      <c r="T462" s="23">
        <v>2</v>
      </c>
      <c r="U462" s="30" t="str">
        <f>VLOOKUP(T462,[2]Key!$E$2:$F$9,2,FALSE)</f>
        <v>Work</v>
      </c>
      <c r="V462" s="30" t="str">
        <f t="shared" si="28"/>
        <v>Work-Work</v>
      </c>
      <c r="W462" s="51">
        <v>20000</v>
      </c>
      <c r="X462" s="50">
        <v>45</v>
      </c>
      <c r="Y462" s="50" t="str">
        <f t="shared" si="29"/>
        <v>40-70</v>
      </c>
      <c r="Z462" s="50">
        <v>0.5</v>
      </c>
      <c r="AA462" s="50" t="str">
        <f t="shared" si="30"/>
        <v>0.5-1.0</v>
      </c>
      <c r="AB462" s="23">
        <v>2</v>
      </c>
      <c r="AC462" s="30" t="str">
        <f>VLOOKUP(AB462,[2]Key!$C$20:$D$29,2,FALSE)</f>
        <v>Manual Labour</v>
      </c>
      <c r="AD462" s="23">
        <v>1</v>
      </c>
      <c r="AE462" s="30" t="str">
        <f>VLOOKUP(AD462,[2]Key!$E$20:$F$24,2,FALSE)</f>
        <v>&lt;300,000</v>
      </c>
      <c r="AF462" s="23">
        <v>2</v>
      </c>
      <c r="AG462" s="50">
        <v>1</v>
      </c>
      <c r="AH462" s="50">
        <v>4</v>
      </c>
      <c r="AI462" s="50">
        <v>3</v>
      </c>
      <c r="AJ462" s="50">
        <v>5</v>
      </c>
      <c r="AK462" s="46" t="s">
        <v>94</v>
      </c>
      <c r="AL462" s="36"/>
      <c r="AM462" t="str">
        <f t="shared" si="31"/>
        <v>0-1000</v>
      </c>
    </row>
    <row r="463" spans="1:39" x14ac:dyDescent="0.2">
      <c r="A463" s="44">
        <v>43761</v>
      </c>
      <c r="B463" s="48">
        <v>0.19791666666666666</v>
      </c>
      <c r="C463" s="48"/>
      <c r="D463" s="48" t="s">
        <v>97</v>
      </c>
      <c r="E463" s="13">
        <v>2</v>
      </c>
      <c r="F463" s="38" t="str">
        <f>VLOOKUP(E463,[2]Key!$A$17:$B$21,2,FALSE)</f>
        <v>Road Vehicle</v>
      </c>
      <c r="G463" s="49">
        <v>1</v>
      </c>
      <c r="H463" s="39" t="str">
        <f>VLOOKUP(G463,[2]Key!$A$2:$B$14,2,FALSE)</f>
        <v>Car</v>
      </c>
      <c r="I463" s="13" t="s">
        <v>109</v>
      </c>
      <c r="J463" s="13">
        <v>2</v>
      </c>
      <c r="K463" s="40" t="str">
        <f>VLOOKUP(J463,[2]Key!$A$24:$B$29,2,FALSE)</f>
        <v>30-39</v>
      </c>
      <c r="L463" s="11" t="s">
        <v>220</v>
      </c>
      <c r="M463" s="23" t="s">
        <v>223</v>
      </c>
      <c r="N463" s="13" t="s">
        <v>221</v>
      </c>
      <c r="O463" s="46">
        <v>2</v>
      </c>
      <c r="P463" s="30" t="str">
        <f>VLOOKUP(O463,[2]Key!$E$2:$F$9,2,FALSE)</f>
        <v>Work</v>
      </c>
      <c r="Q463" s="13" t="s">
        <v>340</v>
      </c>
      <c r="R463" s="23" t="s">
        <v>247</v>
      </c>
      <c r="S463" s="13" t="s">
        <v>221</v>
      </c>
      <c r="T463" s="23">
        <v>2</v>
      </c>
      <c r="U463" s="30" t="str">
        <f>VLOOKUP(T463,[2]Key!$E$2:$F$9,2,FALSE)</f>
        <v>Work</v>
      </c>
      <c r="V463" s="30" t="str">
        <f t="shared" si="28"/>
        <v>Work-Work</v>
      </c>
      <c r="W463" s="51">
        <v>40000</v>
      </c>
      <c r="X463" s="50">
        <v>15</v>
      </c>
      <c r="Y463" s="50" t="str">
        <f t="shared" si="29"/>
        <v>10-20</v>
      </c>
      <c r="Z463" s="50">
        <v>0.1666</v>
      </c>
      <c r="AA463" s="50" t="str">
        <f t="shared" si="30"/>
        <v>0-0.5</v>
      </c>
      <c r="AB463" s="23">
        <v>1</v>
      </c>
      <c r="AC463" s="30" t="str">
        <f>VLOOKUP(AB463,[2]Key!$C$20:$D$29,2,FALSE)</f>
        <v>Unemployed</v>
      </c>
      <c r="AD463" s="23">
        <v>2</v>
      </c>
      <c r="AE463" s="30" t="str">
        <f>VLOOKUP(AD463,[2]Key!$E$20:$F$24,2,FALSE)</f>
        <v>300,000-500,000</v>
      </c>
      <c r="AF463" s="23">
        <v>1</v>
      </c>
      <c r="AG463" s="50">
        <v>3</v>
      </c>
      <c r="AH463" s="50">
        <v>4</v>
      </c>
      <c r="AI463" s="50">
        <v>2</v>
      </c>
      <c r="AJ463" s="50">
        <v>5</v>
      </c>
      <c r="AK463" s="46" t="s">
        <v>94</v>
      </c>
      <c r="AL463" s="36"/>
      <c r="AM463" t="str">
        <f t="shared" si="31"/>
        <v>0-1000</v>
      </c>
    </row>
    <row r="464" spans="1:39" x14ac:dyDescent="0.2">
      <c r="A464" s="44">
        <v>43761</v>
      </c>
      <c r="B464" s="48">
        <v>0.24305555555555555</v>
      </c>
      <c r="C464" s="48"/>
      <c r="D464" s="48" t="s">
        <v>150</v>
      </c>
      <c r="E464" s="13">
        <v>2</v>
      </c>
      <c r="F464" s="38" t="str">
        <f>VLOOKUP(E464,[2]Key!$A$17:$B$21,2,FALSE)</f>
        <v>Road Vehicle</v>
      </c>
      <c r="G464" s="49">
        <v>1</v>
      </c>
      <c r="H464" s="39" t="str">
        <f>VLOOKUP(G464,[2]Key!$A$2:$B$14,2,FALSE)</f>
        <v>Car</v>
      </c>
      <c r="I464" s="13" t="s">
        <v>109</v>
      </c>
      <c r="J464" s="13">
        <v>2</v>
      </c>
      <c r="K464" s="40" t="str">
        <f>VLOOKUP(J464,[2]Key!$A$24:$B$29,2,FALSE)</f>
        <v>30-39</v>
      </c>
      <c r="L464" s="11" t="s">
        <v>341</v>
      </c>
      <c r="M464" s="23" t="s">
        <v>270</v>
      </c>
      <c r="N464" s="13" t="s">
        <v>221</v>
      </c>
      <c r="O464" s="46">
        <v>1</v>
      </c>
      <c r="P464" s="30" t="str">
        <f>VLOOKUP(O464,[2]Key!$E$2:$F$9,2,FALSE)</f>
        <v>Home</v>
      </c>
      <c r="Q464" s="13" t="s">
        <v>294</v>
      </c>
      <c r="R464" s="23" t="s">
        <v>223</v>
      </c>
      <c r="S464" s="13" t="s">
        <v>221</v>
      </c>
      <c r="T464" s="23">
        <v>6</v>
      </c>
      <c r="U464" s="30" t="str">
        <f>VLOOKUP(T464,[2]Key!$E$2:$F$9,2,FALSE)</f>
        <v>Leisure/Social</v>
      </c>
      <c r="V464" s="30" t="str">
        <f t="shared" si="28"/>
        <v>Home-Leisure/Social</v>
      </c>
      <c r="W464" s="23">
        <v>10000</v>
      </c>
      <c r="X464" s="50"/>
      <c r="Y464" s="50" t="str">
        <f t="shared" si="29"/>
        <v>0-10</v>
      </c>
      <c r="Z464" s="50">
        <v>2</v>
      </c>
      <c r="AA464" s="50" t="str">
        <f t="shared" si="30"/>
        <v>2.0-3.5</v>
      </c>
      <c r="AB464" s="23">
        <v>6</v>
      </c>
      <c r="AC464" s="30" t="str">
        <f>VLOOKUP(AB464,[2]Key!$C$20:$D$29,2,FALSE)</f>
        <v>Businessman</v>
      </c>
      <c r="AD464" s="23">
        <v>1</v>
      </c>
      <c r="AE464" s="30" t="str">
        <f>VLOOKUP(AD464,[2]Key!$E$20:$F$24,2,FALSE)</f>
        <v>&lt;300,000</v>
      </c>
      <c r="AF464" s="23">
        <v>3</v>
      </c>
      <c r="AG464" s="50">
        <v>1</v>
      </c>
      <c r="AH464" s="50">
        <v>4</v>
      </c>
      <c r="AI464" s="50">
        <v>2</v>
      </c>
      <c r="AJ464" s="50">
        <v>5</v>
      </c>
      <c r="AK464" s="46" t="s">
        <v>94</v>
      </c>
      <c r="AL464" s="36">
        <v>1000</v>
      </c>
      <c r="AM464" t="str">
        <f t="shared" si="31"/>
        <v>1000-2000</v>
      </c>
    </row>
    <row r="465" spans="1:39" x14ac:dyDescent="0.2">
      <c r="A465" s="44">
        <v>43761</v>
      </c>
      <c r="B465" s="48">
        <v>0.13958333333333334</v>
      </c>
      <c r="C465" s="48"/>
      <c r="D465" s="48" t="s">
        <v>248</v>
      </c>
      <c r="E465" s="13">
        <v>2</v>
      </c>
      <c r="F465" s="38" t="str">
        <f>VLOOKUP(E465,[2]Key!$A$17:$B$21,2,FALSE)</f>
        <v>Road Vehicle</v>
      </c>
      <c r="G465" s="49">
        <v>1</v>
      </c>
      <c r="H465" s="39" t="str">
        <f>VLOOKUP(G465,[2]Key!$A$2:$B$14,2,FALSE)</f>
        <v>Car</v>
      </c>
      <c r="I465" s="13" t="s">
        <v>109</v>
      </c>
      <c r="J465" s="13">
        <v>2</v>
      </c>
      <c r="K465" s="40" t="str">
        <f>VLOOKUP(J465,[2]Key!$A$24:$B$29,2,FALSE)</f>
        <v>30-39</v>
      </c>
      <c r="L465" s="11" t="s">
        <v>96</v>
      </c>
      <c r="M465" s="23" t="s">
        <v>220</v>
      </c>
      <c r="N465" s="13" t="s">
        <v>221</v>
      </c>
      <c r="O465" s="46">
        <v>8</v>
      </c>
      <c r="P465" s="30" t="str">
        <f>VLOOKUP(O465,[2]Key!$E$2:$F$9,2,FALSE)</f>
        <v>Others</v>
      </c>
      <c r="Q465" s="13" t="s">
        <v>237</v>
      </c>
      <c r="R465" s="23" t="s">
        <v>223</v>
      </c>
      <c r="S465" s="13" t="s">
        <v>221</v>
      </c>
      <c r="T465" s="23">
        <v>1</v>
      </c>
      <c r="U465" s="30" t="str">
        <f>VLOOKUP(T465,[2]Key!$E$2:$F$9,2,FALSE)</f>
        <v>Home</v>
      </c>
      <c r="V465" s="30" t="str">
        <f t="shared" si="28"/>
        <v>Others-Home</v>
      </c>
      <c r="W465" s="23">
        <v>4000</v>
      </c>
      <c r="X465" s="50">
        <v>18</v>
      </c>
      <c r="Y465" s="50" t="str">
        <f t="shared" si="29"/>
        <v>10-20</v>
      </c>
      <c r="Z465" s="50">
        <v>0.33329999999999999</v>
      </c>
      <c r="AA465" s="50" t="str">
        <f t="shared" si="30"/>
        <v>0-0.5</v>
      </c>
      <c r="AB465" s="23">
        <v>6</v>
      </c>
      <c r="AC465" s="30" t="str">
        <f>VLOOKUP(AB465,[2]Key!$C$20:$D$29,2,FALSE)</f>
        <v>Businessman</v>
      </c>
      <c r="AD465" s="23">
        <v>2</v>
      </c>
      <c r="AE465" s="30" t="str">
        <f>VLOOKUP(AD465,[2]Key!$E$20:$F$24,2,FALSE)</f>
        <v>300,000-500,000</v>
      </c>
      <c r="AF465" s="23">
        <v>2</v>
      </c>
      <c r="AG465" s="50">
        <v>4</v>
      </c>
      <c r="AH465" s="50">
        <v>3</v>
      </c>
      <c r="AI465" s="50">
        <v>1</v>
      </c>
      <c r="AJ465" s="50">
        <v>5</v>
      </c>
      <c r="AK465" s="46" t="s">
        <v>94</v>
      </c>
      <c r="AL465" s="36">
        <v>200</v>
      </c>
      <c r="AM465" t="str">
        <f t="shared" si="31"/>
        <v>0-1000</v>
      </c>
    </row>
    <row r="466" spans="1:39" x14ac:dyDescent="0.2">
      <c r="A466" s="44">
        <v>43761</v>
      </c>
      <c r="B466" s="48">
        <v>0.52708333333333335</v>
      </c>
      <c r="C466" s="48"/>
      <c r="D466" s="48" t="s">
        <v>150</v>
      </c>
      <c r="E466" s="13">
        <v>2</v>
      </c>
      <c r="F466" s="38" t="str">
        <f>VLOOKUP(E466,[2]Key!$A$17:$B$21,2,FALSE)</f>
        <v>Road Vehicle</v>
      </c>
      <c r="G466" s="49">
        <v>1</v>
      </c>
      <c r="H466" s="39" t="str">
        <f>VLOOKUP(G466,[2]Key!$A$2:$B$14,2,FALSE)</f>
        <v>Car</v>
      </c>
      <c r="I466" s="13" t="s">
        <v>109</v>
      </c>
      <c r="J466" s="13">
        <v>2</v>
      </c>
      <c r="K466" s="40" t="str">
        <f>VLOOKUP(J466,[2]Key!$A$24:$B$29,2,FALSE)</f>
        <v>30-39</v>
      </c>
      <c r="L466" s="11" t="s">
        <v>321</v>
      </c>
      <c r="M466" s="23" t="s">
        <v>220</v>
      </c>
      <c r="N466" s="13" t="s">
        <v>221</v>
      </c>
      <c r="O466" s="46">
        <v>2</v>
      </c>
      <c r="P466" s="30" t="str">
        <f>VLOOKUP(O466,[2]Key!$E$2:$F$9,2,FALSE)</f>
        <v>Work</v>
      </c>
      <c r="Q466" s="13" t="s">
        <v>342</v>
      </c>
      <c r="R466" s="23" t="s">
        <v>343</v>
      </c>
      <c r="S466" s="13" t="s">
        <v>221</v>
      </c>
      <c r="T466" s="23">
        <v>4</v>
      </c>
      <c r="U466" s="30" t="str">
        <f>VLOOKUP(T466,[2]Key!$E$2:$F$9,2,FALSE)</f>
        <v>Commercial</v>
      </c>
      <c r="V466" s="30" t="str">
        <f t="shared" si="28"/>
        <v>Work-Commercial</v>
      </c>
      <c r="W466" s="23">
        <v>5000</v>
      </c>
      <c r="X466" s="50"/>
      <c r="Y466" s="50" t="str">
        <f t="shared" si="29"/>
        <v>0-10</v>
      </c>
      <c r="Z466" s="50">
        <v>1</v>
      </c>
      <c r="AA466" s="50" t="str">
        <f t="shared" si="30"/>
        <v>1.0-2.0</v>
      </c>
      <c r="AB466" s="23">
        <v>4</v>
      </c>
      <c r="AC466" s="30" t="str">
        <f>VLOOKUP(AB466,[2]Key!$C$20:$D$29,2,FALSE)</f>
        <v>Office Worker</v>
      </c>
      <c r="AD466" s="23">
        <v>2</v>
      </c>
      <c r="AE466" s="30" t="str">
        <f>VLOOKUP(AD466,[2]Key!$E$20:$F$24,2,FALSE)</f>
        <v>300,000-500,000</v>
      </c>
      <c r="AF466" s="23">
        <v>1</v>
      </c>
      <c r="AG466" s="50">
        <v>5</v>
      </c>
      <c r="AH466" s="50">
        <v>4</v>
      </c>
      <c r="AI466" s="50">
        <v>2</v>
      </c>
      <c r="AJ466" s="50">
        <v>3</v>
      </c>
      <c r="AK466" s="46" t="s">
        <v>94</v>
      </c>
      <c r="AL466" s="36">
        <v>500</v>
      </c>
      <c r="AM466" t="str">
        <f t="shared" si="31"/>
        <v>0-1000</v>
      </c>
    </row>
    <row r="467" spans="1:39" x14ac:dyDescent="0.2">
      <c r="A467" s="44">
        <v>43761</v>
      </c>
      <c r="B467" s="48">
        <v>0.51527777777777783</v>
      </c>
      <c r="C467" s="48"/>
      <c r="D467" s="48" t="s">
        <v>97</v>
      </c>
      <c r="E467" s="13">
        <v>2</v>
      </c>
      <c r="F467" s="38" t="str">
        <f>VLOOKUP(E467,[2]Key!$A$17:$B$21,2,FALSE)</f>
        <v>Road Vehicle</v>
      </c>
      <c r="G467" s="49">
        <v>1</v>
      </c>
      <c r="H467" s="39" t="str">
        <f>VLOOKUP(G467,[2]Key!$A$2:$B$14,2,FALSE)</f>
        <v>Car</v>
      </c>
      <c r="I467" s="13" t="s">
        <v>109</v>
      </c>
      <c r="J467" s="13">
        <v>2</v>
      </c>
      <c r="K467" s="40" t="str">
        <f>VLOOKUP(J467,[2]Key!$A$24:$B$29,2,FALSE)</f>
        <v>30-39</v>
      </c>
      <c r="L467" s="11" t="s">
        <v>259</v>
      </c>
      <c r="M467" s="23" t="s">
        <v>223</v>
      </c>
      <c r="N467" s="13" t="s">
        <v>221</v>
      </c>
      <c r="O467" s="46">
        <v>2</v>
      </c>
      <c r="P467" s="30" t="str">
        <f>VLOOKUP(O467,[2]Key!$E$2:$F$9,2,FALSE)</f>
        <v>Work</v>
      </c>
      <c r="Q467" s="13" t="s">
        <v>231</v>
      </c>
      <c r="R467" s="23" t="s">
        <v>344</v>
      </c>
      <c r="S467" s="13" t="s">
        <v>221</v>
      </c>
      <c r="T467" s="23">
        <v>2</v>
      </c>
      <c r="U467" s="30" t="str">
        <f>VLOOKUP(T467,[2]Key!$E$2:$F$9,2,FALSE)</f>
        <v>Work</v>
      </c>
      <c r="V467" s="30" t="str">
        <f t="shared" si="28"/>
        <v>Work-Work</v>
      </c>
      <c r="W467" s="23">
        <v>5000</v>
      </c>
      <c r="X467" s="50">
        <v>35</v>
      </c>
      <c r="Y467" s="50" t="str">
        <f t="shared" si="29"/>
        <v>20-40</v>
      </c>
      <c r="Z467" s="50">
        <v>1</v>
      </c>
      <c r="AA467" s="50" t="str">
        <f t="shared" si="30"/>
        <v>1.0-2.0</v>
      </c>
      <c r="AB467" s="23">
        <v>10</v>
      </c>
      <c r="AC467" s="30" t="str">
        <f>VLOOKUP(AB467,[2]Key!$C$20:$D$29,2,FALSE)</f>
        <v>Other</v>
      </c>
      <c r="AD467" s="23">
        <v>1</v>
      </c>
      <c r="AE467" s="30" t="str">
        <f>VLOOKUP(AD467,[2]Key!$E$20:$F$24,2,FALSE)</f>
        <v>&lt;300,000</v>
      </c>
      <c r="AF467" s="23">
        <v>5</v>
      </c>
      <c r="AG467" s="50">
        <v>2</v>
      </c>
      <c r="AH467" s="50">
        <v>1</v>
      </c>
      <c r="AI467" s="50">
        <v>3</v>
      </c>
      <c r="AJ467" s="50">
        <v>4</v>
      </c>
      <c r="AK467" s="46" t="s">
        <v>94</v>
      </c>
      <c r="AL467" s="36"/>
      <c r="AM467" t="str">
        <f t="shared" si="31"/>
        <v>0-1000</v>
      </c>
    </row>
    <row r="468" spans="1:39" x14ac:dyDescent="0.2">
      <c r="A468" s="44">
        <v>43761</v>
      </c>
      <c r="B468" s="48">
        <v>0.43333333333333335</v>
      </c>
      <c r="C468" s="48"/>
      <c r="D468" s="48" t="s">
        <v>97</v>
      </c>
      <c r="E468" s="13">
        <v>2</v>
      </c>
      <c r="F468" s="38" t="str">
        <f>VLOOKUP(E468,[2]Key!$A$17:$B$21,2,FALSE)</f>
        <v>Road Vehicle</v>
      </c>
      <c r="G468" s="49">
        <v>1</v>
      </c>
      <c r="H468" s="39" t="str">
        <f>VLOOKUP(G468,[2]Key!$A$2:$B$14,2,FALSE)</f>
        <v>Car</v>
      </c>
      <c r="I468" s="13" t="s">
        <v>109</v>
      </c>
      <c r="J468" s="13">
        <v>2</v>
      </c>
      <c r="K468" s="40" t="str">
        <f>VLOOKUP(J468,[2]Key!$A$24:$B$29,2,FALSE)</f>
        <v>30-39</v>
      </c>
      <c r="L468" s="11" t="s">
        <v>96</v>
      </c>
      <c r="M468" s="23" t="s">
        <v>223</v>
      </c>
      <c r="N468" s="13" t="s">
        <v>221</v>
      </c>
      <c r="O468" s="46">
        <v>2</v>
      </c>
      <c r="P468" s="30" t="str">
        <f>VLOOKUP(O468,[2]Key!$E$2:$F$9,2,FALSE)</f>
        <v>Work</v>
      </c>
      <c r="Q468" s="13" t="s">
        <v>345</v>
      </c>
      <c r="R468" s="23" t="s">
        <v>223</v>
      </c>
      <c r="S468" s="13" t="s">
        <v>221</v>
      </c>
      <c r="T468" s="23">
        <v>2</v>
      </c>
      <c r="U468" s="30" t="str">
        <f>VLOOKUP(T468,[2]Key!$E$2:$F$9,2,FALSE)</f>
        <v>Work</v>
      </c>
      <c r="V468" s="30" t="str">
        <f t="shared" si="28"/>
        <v>Work-Work</v>
      </c>
      <c r="W468" s="51">
        <v>25000</v>
      </c>
      <c r="X468" s="50">
        <v>45</v>
      </c>
      <c r="Y468" s="50" t="str">
        <f t="shared" si="29"/>
        <v>40-70</v>
      </c>
      <c r="Z468" s="50">
        <v>1</v>
      </c>
      <c r="AA468" s="50" t="str">
        <f t="shared" si="30"/>
        <v>1.0-2.0</v>
      </c>
      <c r="AB468" s="23">
        <v>10</v>
      </c>
      <c r="AC468" s="30" t="str">
        <f>VLOOKUP(AB468,[2]Key!$C$20:$D$29,2,FALSE)</f>
        <v>Other</v>
      </c>
      <c r="AD468" s="23">
        <v>1</v>
      </c>
      <c r="AE468" s="30" t="str">
        <f>VLOOKUP(AD468,[2]Key!$E$20:$F$24,2,FALSE)</f>
        <v>&lt;300,000</v>
      </c>
      <c r="AF468" s="23">
        <v>1</v>
      </c>
      <c r="AG468" s="50">
        <v>2</v>
      </c>
      <c r="AH468" s="50">
        <v>5</v>
      </c>
      <c r="AI468" s="50">
        <v>4</v>
      </c>
      <c r="AJ468" s="50">
        <v>3</v>
      </c>
      <c r="AK468" s="46" t="s">
        <v>94</v>
      </c>
      <c r="AL468" s="36" t="s">
        <v>346</v>
      </c>
      <c r="AM468" t="str">
        <f t="shared" si="31"/>
        <v>Over 10000</v>
      </c>
    </row>
    <row r="469" spans="1:39" x14ac:dyDescent="0.2">
      <c r="A469" s="44">
        <v>43761</v>
      </c>
      <c r="B469" s="48">
        <v>0.41666666666666669</v>
      </c>
      <c r="C469" s="48"/>
      <c r="D469" s="48" t="s">
        <v>97</v>
      </c>
      <c r="E469" s="13">
        <v>2</v>
      </c>
      <c r="F469" s="38" t="str">
        <f>VLOOKUP(E469,[2]Key!$A$17:$B$21,2,FALSE)</f>
        <v>Road Vehicle</v>
      </c>
      <c r="G469" s="49">
        <v>1</v>
      </c>
      <c r="H469" s="39" t="str">
        <f>VLOOKUP(G469,[2]Key!$A$2:$B$14,2,FALSE)</f>
        <v>Car</v>
      </c>
      <c r="I469" s="13" t="s">
        <v>109</v>
      </c>
      <c r="J469" s="13">
        <v>2</v>
      </c>
      <c r="K469" s="40" t="str">
        <f>VLOOKUP(J469,[2]Key!$A$24:$B$29,2,FALSE)</f>
        <v>30-39</v>
      </c>
      <c r="L469" s="11" t="s">
        <v>347</v>
      </c>
      <c r="M469" s="23" t="s">
        <v>223</v>
      </c>
      <c r="N469" s="13" t="s">
        <v>221</v>
      </c>
      <c r="O469" s="46">
        <v>1</v>
      </c>
      <c r="P469" s="30" t="str">
        <f>VLOOKUP(O469,[2]Key!$E$2:$F$9,2,FALSE)</f>
        <v>Home</v>
      </c>
      <c r="Q469" s="13" t="s">
        <v>348</v>
      </c>
      <c r="R469" s="23" t="s">
        <v>223</v>
      </c>
      <c r="S469" s="13" t="s">
        <v>221</v>
      </c>
      <c r="T469" s="23">
        <v>2</v>
      </c>
      <c r="U469" s="30" t="str">
        <f>VLOOKUP(T469,[2]Key!$E$2:$F$9,2,FALSE)</f>
        <v>Work</v>
      </c>
      <c r="V469" s="30" t="str">
        <f t="shared" si="28"/>
        <v>Home-Work</v>
      </c>
      <c r="W469" s="23">
        <v>3800</v>
      </c>
      <c r="X469" s="50">
        <v>2</v>
      </c>
      <c r="Y469" s="50" t="str">
        <f t="shared" si="29"/>
        <v>0-10</v>
      </c>
      <c r="Z469" s="50">
        <v>0.25</v>
      </c>
      <c r="AA469" s="50" t="str">
        <f t="shared" si="30"/>
        <v>0-0.5</v>
      </c>
      <c r="AB469" s="23">
        <v>6</v>
      </c>
      <c r="AC469" s="30" t="str">
        <f>VLOOKUP(AB469,[2]Key!$C$20:$D$29,2,FALSE)</f>
        <v>Businessman</v>
      </c>
      <c r="AD469" s="23">
        <v>2</v>
      </c>
      <c r="AE469" s="30" t="str">
        <f>VLOOKUP(AD469,[2]Key!$E$20:$F$24,2,FALSE)</f>
        <v>300,000-500,000</v>
      </c>
      <c r="AF469" s="23">
        <v>1</v>
      </c>
      <c r="AG469" s="50">
        <v>5</v>
      </c>
      <c r="AH469" s="50">
        <v>3</v>
      </c>
      <c r="AI469" s="50">
        <v>4</v>
      </c>
      <c r="AJ469" s="50">
        <v>2</v>
      </c>
      <c r="AK469" s="46" t="s">
        <v>94</v>
      </c>
      <c r="AL469" s="36">
        <v>1000</v>
      </c>
      <c r="AM469" t="str">
        <f t="shared" si="31"/>
        <v>1000-2000</v>
      </c>
    </row>
    <row r="470" spans="1:39" x14ac:dyDescent="0.2">
      <c r="A470" s="44">
        <v>43761</v>
      </c>
      <c r="B470" s="48">
        <v>0.33263888888888887</v>
      </c>
      <c r="C470" s="48"/>
      <c r="D470" s="48" t="s">
        <v>150</v>
      </c>
      <c r="E470" s="13">
        <v>2</v>
      </c>
      <c r="F470" s="38" t="str">
        <f>VLOOKUP(E470,[2]Key!$A$17:$B$21,2,FALSE)</f>
        <v>Road Vehicle</v>
      </c>
      <c r="G470" s="49">
        <v>1</v>
      </c>
      <c r="H470" s="39" t="str">
        <f>VLOOKUP(G470,[2]Key!$A$2:$B$14,2,FALSE)</f>
        <v>Car</v>
      </c>
      <c r="I470" s="13" t="s">
        <v>109</v>
      </c>
      <c r="J470" s="13">
        <v>2</v>
      </c>
      <c r="K470" s="40" t="str">
        <f>VLOOKUP(J470,[2]Key!$A$24:$B$29,2,FALSE)</f>
        <v>30-39</v>
      </c>
      <c r="L470" s="11" t="s">
        <v>291</v>
      </c>
      <c r="M470" s="23" t="s">
        <v>268</v>
      </c>
      <c r="N470" s="13" t="s">
        <v>221</v>
      </c>
      <c r="O470" s="46">
        <v>2</v>
      </c>
      <c r="P470" s="30" t="str">
        <f>VLOOKUP(O470,[2]Key!$E$2:$F$9,2,FALSE)</f>
        <v>Work</v>
      </c>
      <c r="Q470" s="13" t="s">
        <v>349</v>
      </c>
      <c r="R470" s="23" t="s">
        <v>256</v>
      </c>
      <c r="S470" s="13" t="s">
        <v>221</v>
      </c>
      <c r="T470" s="23">
        <v>1</v>
      </c>
      <c r="U470" s="30" t="str">
        <f>VLOOKUP(T470,[2]Key!$E$2:$F$9,2,FALSE)</f>
        <v>Home</v>
      </c>
      <c r="V470" s="30" t="str">
        <f t="shared" si="28"/>
        <v>Work-Home</v>
      </c>
      <c r="W470" s="51">
        <v>20000</v>
      </c>
      <c r="X470" s="50"/>
      <c r="Y470" s="50" t="str">
        <f t="shared" si="29"/>
        <v>0-10</v>
      </c>
      <c r="Z470" s="50">
        <v>5</v>
      </c>
      <c r="AA470" s="50" t="str">
        <f t="shared" si="30"/>
        <v>Over 3.5</v>
      </c>
      <c r="AB470" s="23">
        <v>6</v>
      </c>
      <c r="AC470" s="30" t="str">
        <f>VLOOKUP(AB470,[2]Key!$C$20:$D$29,2,FALSE)</f>
        <v>Businessman</v>
      </c>
      <c r="AD470" s="23">
        <v>1</v>
      </c>
      <c r="AE470" s="30" t="str">
        <f>VLOOKUP(AD470,[2]Key!$E$20:$F$24,2,FALSE)</f>
        <v>&lt;300,000</v>
      </c>
      <c r="AF470" s="23">
        <v>4</v>
      </c>
      <c r="AG470" s="50">
        <v>3</v>
      </c>
      <c r="AH470" s="50">
        <v>1</v>
      </c>
      <c r="AI470" s="50">
        <v>2</v>
      </c>
      <c r="AJ470" s="50">
        <v>5</v>
      </c>
      <c r="AK470" s="46" t="s">
        <v>94</v>
      </c>
      <c r="AL470" s="36">
        <v>600</v>
      </c>
      <c r="AM470" t="str">
        <f t="shared" si="31"/>
        <v>0-1000</v>
      </c>
    </row>
    <row r="471" spans="1:39" x14ac:dyDescent="0.2">
      <c r="A471" s="44">
        <v>43761</v>
      </c>
      <c r="B471" s="48">
        <v>0.50069444444444444</v>
      </c>
      <c r="C471" s="48"/>
      <c r="D471" s="48" t="s">
        <v>248</v>
      </c>
      <c r="E471" s="13">
        <v>2</v>
      </c>
      <c r="F471" s="38" t="str">
        <f>VLOOKUP(E471,[2]Key!$A$17:$B$21,2,FALSE)</f>
        <v>Road Vehicle</v>
      </c>
      <c r="G471" s="49">
        <v>6</v>
      </c>
      <c r="H471" s="39" t="str">
        <f>VLOOKUP(G471,[2]Key!$A$2:$B$14,2,FALSE)</f>
        <v>Large Bus</v>
      </c>
      <c r="I471" s="13" t="s">
        <v>156</v>
      </c>
      <c r="J471" s="13">
        <v>2</v>
      </c>
      <c r="K471" s="40" t="str">
        <f>VLOOKUP(J471,[2]Key!$A$24:$B$29,2,FALSE)</f>
        <v>30-39</v>
      </c>
      <c r="L471" s="11" t="s">
        <v>277</v>
      </c>
      <c r="M471" s="23" t="s">
        <v>223</v>
      </c>
      <c r="N471" s="13" t="s">
        <v>221</v>
      </c>
      <c r="O471" s="46">
        <v>2</v>
      </c>
      <c r="P471" s="30" t="str">
        <f>VLOOKUP(O471,[2]Key!$E$2:$F$9,2,FALSE)</f>
        <v>Work</v>
      </c>
      <c r="Q471" s="13" t="s">
        <v>350</v>
      </c>
      <c r="R471" s="23" t="s">
        <v>274</v>
      </c>
      <c r="S471" s="13" t="s">
        <v>221</v>
      </c>
      <c r="T471" s="23">
        <v>1</v>
      </c>
      <c r="U471" s="30" t="str">
        <f>VLOOKUP(T471,[2]Key!$E$2:$F$9,2,FALSE)</f>
        <v>Home</v>
      </c>
      <c r="V471" s="30" t="str">
        <f t="shared" si="28"/>
        <v>Work-Home</v>
      </c>
      <c r="W471" s="51">
        <v>25000</v>
      </c>
      <c r="X471" s="50">
        <v>420</v>
      </c>
      <c r="Y471" s="50" t="str">
        <f t="shared" si="29"/>
        <v>Over 200</v>
      </c>
      <c r="Z471" s="50">
        <v>8</v>
      </c>
      <c r="AA471" s="50" t="str">
        <f t="shared" si="30"/>
        <v>Over 3.5</v>
      </c>
      <c r="AB471" s="23">
        <v>5</v>
      </c>
      <c r="AC471" s="30" t="str">
        <f>VLOOKUP(AB471,[2]Key!$C$20:$D$29,2,FALSE)</f>
        <v>Professional</v>
      </c>
      <c r="AD471" s="23">
        <v>3</v>
      </c>
      <c r="AE471" s="30" t="str">
        <f>VLOOKUP(AD471,[2]Key!$E$20:$F$24,2,FALSE)</f>
        <v>500,000-750,000</v>
      </c>
      <c r="AF471" s="23">
        <v>4</v>
      </c>
      <c r="AG471" s="50">
        <v>1</v>
      </c>
      <c r="AH471" s="50">
        <v>3</v>
      </c>
      <c r="AI471" s="50">
        <v>2</v>
      </c>
      <c r="AJ471" s="50">
        <v>5</v>
      </c>
      <c r="AK471" s="46" t="s">
        <v>94</v>
      </c>
      <c r="AL471" s="36">
        <v>100</v>
      </c>
      <c r="AM471" t="str">
        <f t="shared" si="31"/>
        <v>0-1000</v>
      </c>
    </row>
    <row r="472" spans="1:39" x14ac:dyDescent="0.2">
      <c r="A472" s="44">
        <v>43759</v>
      </c>
      <c r="B472" s="48">
        <v>0.4201388888888889</v>
      </c>
      <c r="C472" s="48"/>
      <c r="D472" s="48" t="s">
        <v>150</v>
      </c>
      <c r="E472" s="13">
        <v>2</v>
      </c>
      <c r="F472" s="38" t="str">
        <f>VLOOKUP(E472,[1]Key!$A$17:$B$21,2,FALSE)</f>
        <v>Road Vehicle</v>
      </c>
      <c r="G472" s="49">
        <v>6</v>
      </c>
      <c r="H472" s="39" t="str">
        <f>VLOOKUP(G472,[2]Key!$A$2:$B$14,2,FALSE)</f>
        <v>Large Bus</v>
      </c>
      <c r="I472" s="13" t="s">
        <v>109</v>
      </c>
      <c r="J472" s="13">
        <v>2</v>
      </c>
      <c r="K472" s="40" t="str">
        <f>VLOOKUP(J472,[1]Key!$A$24:$B$29,2,FALSE)</f>
        <v>30-39</v>
      </c>
      <c r="L472" s="11" t="s">
        <v>220</v>
      </c>
      <c r="M472" s="23" t="s">
        <v>220</v>
      </c>
      <c r="N472" s="13" t="s">
        <v>221</v>
      </c>
      <c r="O472" s="46">
        <v>4</v>
      </c>
      <c r="P472" s="30" t="str">
        <f>VLOOKUP(O472,[1]Key!$E$2:$F$9,2,FALSE)</f>
        <v>Commercial</v>
      </c>
      <c r="Q472" s="13" t="s">
        <v>256</v>
      </c>
      <c r="R472" s="23" t="s">
        <v>256</v>
      </c>
      <c r="S472" s="13" t="s">
        <v>221</v>
      </c>
      <c r="T472" s="23">
        <v>4</v>
      </c>
      <c r="U472" s="30" t="str">
        <f>VLOOKUP(T472,[1]Key!$E$2:$F$9,2,FALSE)</f>
        <v>Commercial</v>
      </c>
      <c r="V472" s="30" t="str">
        <f t="shared" si="28"/>
        <v>Commercial-Commercial</v>
      </c>
      <c r="W472" s="41">
        <v>20000</v>
      </c>
      <c r="X472" s="50">
        <v>189</v>
      </c>
      <c r="Y472" s="50" t="str">
        <f t="shared" si="29"/>
        <v>100-200</v>
      </c>
      <c r="Z472" s="50">
        <v>3</v>
      </c>
      <c r="AA472" s="50" t="str">
        <f t="shared" si="30"/>
        <v>2.0-3.5</v>
      </c>
      <c r="AB472" s="23">
        <v>5</v>
      </c>
      <c r="AC472" s="30" t="str">
        <f>VLOOKUP(AB472,[1]Key!$C$20:$D$29,2,FALSE)</f>
        <v>Professional</v>
      </c>
      <c r="AD472" s="23">
        <v>3</v>
      </c>
      <c r="AE472" s="30" t="str">
        <f>VLOOKUP(AD472,[1]Key!$E$20:$F$24,2,FALSE)</f>
        <v>500,000-750,000</v>
      </c>
      <c r="AF472" s="23">
        <v>1</v>
      </c>
      <c r="AG472" s="50">
        <v>2</v>
      </c>
      <c r="AH472" s="50">
        <v>4</v>
      </c>
      <c r="AI472" s="50">
        <v>3</v>
      </c>
      <c r="AJ472" s="50">
        <v>5</v>
      </c>
      <c r="AK472" s="46" t="s">
        <v>94</v>
      </c>
      <c r="AL472" s="36">
        <v>5000</v>
      </c>
      <c r="AM472" t="str">
        <f t="shared" si="31"/>
        <v>5000-10000</v>
      </c>
    </row>
    <row r="473" spans="1:39" x14ac:dyDescent="0.2">
      <c r="A473" s="44">
        <v>43760</v>
      </c>
      <c r="B473" s="48">
        <v>0.47222222222222227</v>
      </c>
      <c r="C473" s="48"/>
      <c r="D473" s="48" t="s">
        <v>248</v>
      </c>
      <c r="E473" s="13">
        <v>2</v>
      </c>
      <c r="F473" s="38" t="str">
        <f>VLOOKUP(E473,[2]Key!$A$17:$B$21,2,FALSE)</f>
        <v>Road Vehicle</v>
      </c>
      <c r="G473" s="49">
        <v>6</v>
      </c>
      <c r="H473" s="39" t="str">
        <f>VLOOKUP(G473,[2]Key!$A$2:$B$14,2,FALSE)</f>
        <v>Large Bus</v>
      </c>
      <c r="I473" s="13" t="s">
        <v>307</v>
      </c>
      <c r="J473" s="13">
        <v>2</v>
      </c>
      <c r="K473" s="40" t="str">
        <f>VLOOKUP(J473,[2]Key!$A$24:$B$29,2,FALSE)</f>
        <v>30-39</v>
      </c>
      <c r="L473" s="11" t="s">
        <v>224</v>
      </c>
      <c r="M473" s="23" t="s">
        <v>220</v>
      </c>
      <c r="N473" s="13" t="s">
        <v>221</v>
      </c>
      <c r="O473" s="46">
        <v>1</v>
      </c>
      <c r="P473" s="30" t="str">
        <f>VLOOKUP(O473,[2]Key!$E$2:$F$9,2,FALSE)</f>
        <v>Home</v>
      </c>
      <c r="Q473" s="13" t="s">
        <v>351</v>
      </c>
      <c r="R473" s="23" t="s">
        <v>352</v>
      </c>
      <c r="S473" s="13" t="s">
        <v>221</v>
      </c>
      <c r="T473" s="23">
        <v>6</v>
      </c>
      <c r="U473" s="30" t="str">
        <f>VLOOKUP(T473,[2]Key!$E$2:$F$9,2,FALSE)</f>
        <v>Leisure/Social</v>
      </c>
      <c r="V473" s="30" t="str">
        <f t="shared" si="28"/>
        <v>Home-Leisure/Social</v>
      </c>
      <c r="W473" s="51">
        <v>20000</v>
      </c>
      <c r="X473" s="50"/>
      <c r="Y473" s="50" t="str">
        <f t="shared" si="29"/>
        <v>0-10</v>
      </c>
      <c r="Z473" s="50">
        <v>6</v>
      </c>
      <c r="AA473" s="50" t="str">
        <f t="shared" si="30"/>
        <v>Over 3.5</v>
      </c>
      <c r="AB473" s="23">
        <v>6</v>
      </c>
      <c r="AC473" s="30" t="str">
        <f>VLOOKUP(AB473,[2]Key!$C$20:$D$29,2,FALSE)</f>
        <v>Businessman</v>
      </c>
      <c r="AD473" s="23">
        <v>2</v>
      </c>
      <c r="AE473" s="30" t="str">
        <f>VLOOKUP(AD473,[2]Key!$E$20:$F$24,2,FALSE)</f>
        <v>300,000-500,000</v>
      </c>
      <c r="AF473" s="23">
        <v>1</v>
      </c>
      <c r="AG473" s="50">
        <v>2</v>
      </c>
      <c r="AH473" s="50">
        <v>3</v>
      </c>
      <c r="AI473" s="50">
        <v>4</v>
      </c>
      <c r="AJ473" s="50">
        <v>5</v>
      </c>
      <c r="AK473" s="46" t="s">
        <v>94</v>
      </c>
      <c r="AL473" s="36">
        <v>1000</v>
      </c>
      <c r="AM473" t="str">
        <f t="shared" si="31"/>
        <v>1000-2000</v>
      </c>
    </row>
    <row r="474" spans="1:39" x14ac:dyDescent="0.2">
      <c r="A474" s="44">
        <v>43760</v>
      </c>
      <c r="B474" s="48">
        <v>0.44375000000000003</v>
      </c>
      <c r="C474" s="48"/>
      <c r="D474" s="48" t="s">
        <v>150</v>
      </c>
      <c r="E474" s="13">
        <v>2</v>
      </c>
      <c r="F474" s="38" t="str">
        <f>VLOOKUP(E474,[2]Key!$A$17:$B$21,2,FALSE)</f>
        <v>Road Vehicle</v>
      </c>
      <c r="G474" s="49">
        <v>6</v>
      </c>
      <c r="H474" s="39" t="str">
        <f>VLOOKUP(G474,[2]Key!$A$2:$B$14,2,FALSE)</f>
        <v>Large Bus</v>
      </c>
      <c r="I474" s="13" t="s">
        <v>109</v>
      </c>
      <c r="J474" s="13">
        <v>2</v>
      </c>
      <c r="K474" s="40" t="str">
        <f>VLOOKUP(J474,[2]Key!$A$24:$B$29,2,FALSE)</f>
        <v>30-39</v>
      </c>
      <c r="L474" s="11" t="s">
        <v>330</v>
      </c>
      <c r="M474" s="23" t="s">
        <v>220</v>
      </c>
      <c r="N474" s="13" t="s">
        <v>221</v>
      </c>
      <c r="O474" s="46">
        <v>2</v>
      </c>
      <c r="P474" s="30" t="str">
        <f>VLOOKUP(O474,[2]Key!$E$2:$F$9,2,FALSE)</f>
        <v>Work</v>
      </c>
      <c r="Q474" s="13" t="s">
        <v>274</v>
      </c>
      <c r="R474" s="23" t="s">
        <v>274</v>
      </c>
      <c r="S474" s="13" t="s">
        <v>221</v>
      </c>
      <c r="T474" s="23">
        <v>4</v>
      </c>
      <c r="U474" s="30" t="str">
        <f>VLOOKUP(T474,[2]Key!$E$2:$F$9,2,FALSE)</f>
        <v>Commercial</v>
      </c>
      <c r="V474" s="30" t="str">
        <f t="shared" si="28"/>
        <v>Work-Commercial</v>
      </c>
      <c r="W474" s="23">
        <v>25000</v>
      </c>
      <c r="X474" s="50"/>
      <c r="Y474" s="50" t="str">
        <f t="shared" si="29"/>
        <v>0-10</v>
      </c>
      <c r="Z474" s="50">
        <v>8</v>
      </c>
      <c r="AA474" s="50" t="str">
        <f t="shared" si="30"/>
        <v>Over 3.5</v>
      </c>
      <c r="AB474" s="23">
        <v>5</v>
      </c>
      <c r="AC474" s="30" t="str">
        <f>VLOOKUP(AB474,[2]Key!$C$20:$D$29,2,FALSE)</f>
        <v>Professional</v>
      </c>
      <c r="AD474" s="23">
        <v>2</v>
      </c>
      <c r="AE474" s="30" t="str">
        <f>VLOOKUP(AD474,[2]Key!$E$20:$F$24,2,FALSE)</f>
        <v>300,000-500,000</v>
      </c>
      <c r="AF474" s="23">
        <v>1</v>
      </c>
      <c r="AG474" s="50">
        <v>2</v>
      </c>
      <c r="AH474" s="50">
        <v>4</v>
      </c>
      <c r="AI474" s="50">
        <v>3</v>
      </c>
      <c r="AJ474" s="50">
        <v>5</v>
      </c>
      <c r="AK474" s="46" t="s">
        <v>94</v>
      </c>
      <c r="AL474" s="36">
        <v>2000</v>
      </c>
      <c r="AM474" t="str">
        <f t="shared" si="31"/>
        <v>2000-3000</v>
      </c>
    </row>
    <row r="475" spans="1:39" x14ac:dyDescent="0.2">
      <c r="A475" s="44">
        <v>43760</v>
      </c>
      <c r="B475" s="48">
        <v>0.50208333333333333</v>
      </c>
      <c r="C475" s="48"/>
      <c r="D475" s="48" t="s">
        <v>248</v>
      </c>
      <c r="E475" s="13">
        <v>2</v>
      </c>
      <c r="F475" s="38" t="str">
        <f>VLOOKUP(E475,[2]Key!$A$17:$B$21,2,FALSE)</f>
        <v>Road Vehicle</v>
      </c>
      <c r="G475" s="49">
        <v>6</v>
      </c>
      <c r="H475" s="39" t="str">
        <f>VLOOKUP(G475,[2]Key!$A$2:$B$14,2,FALSE)</f>
        <v>Large Bus</v>
      </c>
      <c r="I475" s="13" t="s">
        <v>109</v>
      </c>
      <c r="J475" s="13">
        <v>2</v>
      </c>
      <c r="K475" s="40" t="str">
        <f>VLOOKUP(J475,[2]Key!$A$24:$B$29,2,FALSE)</f>
        <v>30-39</v>
      </c>
      <c r="L475" s="11" t="s">
        <v>329</v>
      </c>
      <c r="M475" s="23" t="s">
        <v>223</v>
      </c>
      <c r="N475" s="13" t="s">
        <v>221</v>
      </c>
      <c r="O475" s="46">
        <v>1</v>
      </c>
      <c r="P475" s="30" t="str">
        <f>VLOOKUP(O475,[2]Key!$E$2:$F$9,2,FALSE)</f>
        <v>Home</v>
      </c>
      <c r="Q475" s="13" t="s">
        <v>353</v>
      </c>
      <c r="R475" s="23" t="s">
        <v>274</v>
      </c>
      <c r="S475" s="13" t="s">
        <v>221</v>
      </c>
      <c r="T475" s="23">
        <v>4</v>
      </c>
      <c r="U475" s="30" t="str">
        <f>VLOOKUP(T475,[2]Key!$E$2:$F$9,2,FALSE)</f>
        <v>Commercial</v>
      </c>
      <c r="V475" s="30" t="str">
        <f t="shared" si="28"/>
        <v>Home-Commercial</v>
      </c>
      <c r="W475" s="51">
        <v>25000</v>
      </c>
      <c r="X475" s="50">
        <v>436</v>
      </c>
      <c r="Y475" s="50" t="str">
        <f t="shared" si="29"/>
        <v>Over 200</v>
      </c>
      <c r="Z475" s="50">
        <v>8</v>
      </c>
      <c r="AA475" s="50" t="str">
        <f t="shared" si="30"/>
        <v>Over 3.5</v>
      </c>
      <c r="AB475" s="23">
        <v>5</v>
      </c>
      <c r="AC475" s="30" t="str">
        <f>VLOOKUP(AB475,[2]Key!$C$20:$D$29,2,FALSE)</f>
        <v>Professional</v>
      </c>
      <c r="AD475" s="23">
        <v>3</v>
      </c>
      <c r="AE475" s="30" t="str">
        <f>VLOOKUP(AD475,[2]Key!$E$20:$F$24,2,FALSE)</f>
        <v>500,000-750,000</v>
      </c>
      <c r="AF475" s="23">
        <v>1</v>
      </c>
      <c r="AG475" s="50">
        <v>2</v>
      </c>
      <c r="AH475" s="50">
        <v>5</v>
      </c>
      <c r="AI475" s="50">
        <v>3</v>
      </c>
      <c r="AJ475" s="50">
        <v>4</v>
      </c>
      <c r="AK475" s="46" t="s">
        <v>94</v>
      </c>
      <c r="AL475" s="36">
        <v>2000</v>
      </c>
      <c r="AM475" t="str">
        <f t="shared" si="31"/>
        <v>2000-3000</v>
      </c>
    </row>
    <row r="476" spans="1:39" x14ac:dyDescent="0.2">
      <c r="A476" s="44">
        <v>43761</v>
      </c>
      <c r="B476" s="48">
        <v>0.27986111111111112</v>
      </c>
      <c r="C476" s="48"/>
      <c r="D476" s="48" t="s">
        <v>150</v>
      </c>
      <c r="E476" s="13">
        <v>2</v>
      </c>
      <c r="F476" s="38" t="str">
        <f>VLOOKUP(E476,[2]Key!$A$17:$B$21,2,FALSE)</f>
        <v>Road Vehicle</v>
      </c>
      <c r="G476" s="49">
        <v>6</v>
      </c>
      <c r="H476" s="39" t="str">
        <f>VLOOKUP(G476,[2]Key!$A$2:$B$14,2,FALSE)</f>
        <v>Large Bus</v>
      </c>
      <c r="I476" s="13" t="s">
        <v>109</v>
      </c>
      <c r="J476" s="13">
        <v>2</v>
      </c>
      <c r="K476" s="40" t="str">
        <f>VLOOKUP(J476,[2]Key!$A$24:$B$29,2,FALSE)</f>
        <v>30-39</v>
      </c>
      <c r="L476" s="11" t="s">
        <v>253</v>
      </c>
      <c r="M476" s="23" t="s">
        <v>220</v>
      </c>
      <c r="N476" s="13" t="s">
        <v>221</v>
      </c>
      <c r="O476" s="46">
        <v>1</v>
      </c>
      <c r="P476" s="30" t="str">
        <f>VLOOKUP(O476,[2]Key!$E$2:$F$9,2,FALSE)</f>
        <v>Home</v>
      </c>
      <c r="Q476" s="13" t="s">
        <v>231</v>
      </c>
      <c r="R476" s="23" t="s">
        <v>274</v>
      </c>
      <c r="S476" s="13" t="s">
        <v>221</v>
      </c>
      <c r="T476" s="23">
        <v>2</v>
      </c>
      <c r="U476" s="30" t="str">
        <f>VLOOKUP(T476,[2]Key!$E$2:$F$9,2,FALSE)</f>
        <v>Work</v>
      </c>
      <c r="V476" s="30" t="str">
        <f t="shared" si="28"/>
        <v>Home-Work</v>
      </c>
      <c r="W476" s="51">
        <v>25000</v>
      </c>
      <c r="X476" s="50"/>
      <c r="Y476" s="50" t="str">
        <f t="shared" si="29"/>
        <v>0-10</v>
      </c>
      <c r="Z476" s="50">
        <v>8</v>
      </c>
      <c r="AA476" s="50" t="str">
        <f t="shared" si="30"/>
        <v>Over 3.5</v>
      </c>
      <c r="AB476" s="23">
        <v>6</v>
      </c>
      <c r="AC476" s="30" t="str">
        <f>VLOOKUP(AB476,[2]Key!$C$20:$D$29,2,FALSE)</f>
        <v>Businessman</v>
      </c>
      <c r="AD476" s="23">
        <v>1</v>
      </c>
      <c r="AE476" s="30" t="str">
        <f>VLOOKUP(AD476,[2]Key!$E$20:$F$24,2,FALSE)</f>
        <v>&lt;300,000</v>
      </c>
      <c r="AF476" s="23">
        <v>2</v>
      </c>
      <c r="AG476" s="50">
        <v>1</v>
      </c>
      <c r="AH476" s="50">
        <v>4</v>
      </c>
      <c r="AI476" s="50">
        <v>3</v>
      </c>
      <c r="AJ476" s="50">
        <v>5</v>
      </c>
      <c r="AK476" s="46" t="s">
        <v>94</v>
      </c>
      <c r="AL476" s="36">
        <v>1000</v>
      </c>
      <c r="AM476" t="str">
        <f t="shared" si="31"/>
        <v>1000-2000</v>
      </c>
    </row>
    <row r="477" spans="1:39" x14ac:dyDescent="0.2">
      <c r="A477" s="44">
        <v>43761</v>
      </c>
      <c r="B477" s="48">
        <v>0.40416666666666662</v>
      </c>
      <c r="C477" s="48"/>
      <c r="D477" s="48" t="s">
        <v>248</v>
      </c>
      <c r="E477" s="13">
        <v>2</v>
      </c>
      <c r="F477" s="38" t="str">
        <f>VLOOKUP(E477,[2]Key!$A$17:$B$21,2,FALSE)</f>
        <v>Road Vehicle</v>
      </c>
      <c r="G477" s="49">
        <v>6</v>
      </c>
      <c r="H477" s="39" t="str">
        <f>VLOOKUP(G477,[2]Key!$A$2:$B$14,2,FALSE)</f>
        <v>Large Bus</v>
      </c>
      <c r="I477" s="13" t="s">
        <v>109</v>
      </c>
      <c r="J477" s="13">
        <v>2</v>
      </c>
      <c r="K477" s="40" t="str">
        <f>VLOOKUP(J477,[2]Key!$A$24:$B$29,2,FALSE)</f>
        <v>30-39</v>
      </c>
      <c r="L477" s="11" t="s">
        <v>253</v>
      </c>
      <c r="M477" s="23" t="s">
        <v>223</v>
      </c>
      <c r="N477" s="13" t="s">
        <v>221</v>
      </c>
      <c r="O477" s="46">
        <v>6</v>
      </c>
      <c r="P477" s="30" t="str">
        <f>VLOOKUP(O477,[2]Key!$E$2:$F$9,2,FALSE)</f>
        <v>Leisure/Social</v>
      </c>
      <c r="Q477" s="13" t="s">
        <v>354</v>
      </c>
      <c r="R477" s="23" t="s">
        <v>274</v>
      </c>
      <c r="S477" s="13" t="s">
        <v>221</v>
      </c>
      <c r="T477" s="23">
        <v>1</v>
      </c>
      <c r="U477" s="30" t="str">
        <f>VLOOKUP(T477,[2]Key!$E$2:$F$9,2,FALSE)</f>
        <v>Home</v>
      </c>
      <c r="V477" s="30" t="str">
        <f t="shared" si="28"/>
        <v>Leisure/Social-Home</v>
      </c>
      <c r="W477" s="51">
        <v>29000</v>
      </c>
      <c r="X477" s="50"/>
      <c r="Y477" s="50" t="str">
        <f t="shared" si="29"/>
        <v>0-10</v>
      </c>
      <c r="Z477" s="50">
        <v>8</v>
      </c>
      <c r="AA477" s="50" t="str">
        <f t="shared" si="30"/>
        <v>Over 3.5</v>
      </c>
      <c r="AB477" s="23">
        <v>5</v>
      </c>
      <c r="AC477" s="30" t="str">
        <f>VLOOKUP(AB477,[2]Key!$C$20:$D$29,2,FALSE)</f>
        <v>Professional</v>
      </c>
      <c r="AD477" s="23">
        <v>3</v>
      </c>
      <c r="AE477" s="30" t="str">
        <f>VLOOKUP(AD477,[2]Key!$E$20:$F$24,2,FALSE)</f>
        <v>500,000-750,000</v>
      </c>
      <c r="AF477" s="23">
        <v>2</v>
      </c>
      <c r="AG477" s="50">
        <v>5</v>
      </c>
      <c r="AH477" s="50">
        <v>4</v>
      </c>
      <c r="AI477" s="50">
        <v>1</v>
      </c>
      <c r="AJ477" s="50">
        <v>3</v>
      </c>
      <c r="AK477" s="46" t="s">
        <v>94</v>
      </c>
      <c r="AL477" s="36"/>
      <c r="AM477" t="str">
        <f t="shared" si="31"/>
        <v>0-1000</v>
      </c>
    </row>
    <row r="478" spans="1:39" x14ac:dyDescent="0.2">
      <c r="A478" s="44">
        <v>43761</v>
      </c>
      <c r="B478" s="48">
        <v>0.32777777777777778</v>
      </c>
      <c r="C478" s="48"/>
      <c r="D478" s="48" t="s">
        <v>248</v>
      </c>
      <c r="E478" s="13">
        <v>2</v>
      </c>
      <c r="F478" s="38" t="str">
        <f>VLOOKUP(E478,[2]Key!$A$17:$B$21,2,FALSE)</f>
        <v>Road Vehicle</v>
      </c>
      <c r="G478" s="49">
        <v>6</v>
      </c>
      <c r="H478" s="39" t="str">
        <f>VLOOKUP(G478,[2]Key!$A$2:$B$14,2,FALSE)</f>
        <v>Large Bus</v>
      </c>
      <c r="I478" s="13" t="s">
        <v>109</v>
      </c>
      <c r="J478" s="13">
        <v>2</v>
      </c>
      <c r="K478" s="40" t="str">
        <f>VLOOKUP(J478,[2]Key!$A$24:$B$29,2,FALSE)</f>
        <v>30-39</v>
      </c>
      <c r="L478" s="11" t="s">
        <v>347</v>
      </c>
      <c r="M478" s="23" t="s">
        <v>220</v>
      </c>
      <c r="N478" s="13" t="s">
        <v>221</v>
      </c>
      <c r="O478" s="46">
        <v>6</v>
      </c>
      <c r="P478" s="30" t="str">
        <f>VLOOKUP(O478,[2]Key!$E$2:$F$9,2,FALSE)</f>
        <v>Leisure/Social</v>
      </c>
      <c r="Q478" s="13" t="s">
        <v>355</v>
      </c>
      <c r="R478" s="23" t="s">
        <v>274</v>
      </c>
      <c r="S478" s="13" t="s">
        <v>221</v>
      </c>
      <c r="T478" s="23">
        <v>1</v>
      </c>
      <c r="U478" s="30" t="str">
        <f>VLOOKUP(T478,[2]Key!$E$2:$F$9,2,FALSE)</f>
        <v>Home</v>
      </c>
      <c r="V478" s="30" t="str">
        <f t="shared" si="28"/>
        <v>Leisure/Social-Home</v>
      </c>
      <c r="W478" s="51">
        <v>30000</v>
      </c>
      <c r="X478" s="50"/>
      <c r="Y478" s="50" t="str">
        <f t="shared" si="29"/>
        <v>0-10</v>
      </c>
      <c r="Z478" s="50">
        <v>9</v>
      </c>
      <c r="AA478" s="50" t="str">
        <f t="shared" si="30"/>
        <v>Over 3.5</v>
      </c>
      <c r="AB478" s="23">
        <v>5</v>
      </c>
      <c r="AC478" s="30" t="str">
        <f>VLOOKUP(AB478,[2]Key!$C$20:$D$29,2,FALSE)</f>
        <v>Professional</v>
      </c>
      <c r="AD478" s="23">
        <v>3</v>
      </c>
      <c r="AE478" s="30" t="str">
        <f>VLOOKUP(AD478,[2]Key!$E$20:$F$24,2,FALSE)</f>
        <v>500,000-750,000</v>
      </c>
      <c r="AF478" s="23">
        <v>4</v>
      </c>
      <c r="AG478" s="50">
        <v>5</v>
      </c>
      <c r="AH478" s="50">
        <v>1</v>
      </c>
      <c r="AI478" s="50">
        <v>3</v>
      </c>
      <c r="AJ478" s="50">
        <v>2</v>
      </c>
      <c r="AK478" s="46" t="s">
        <v>94</v>
      </c>
      <c r="AL478" s="36">
        <v>1000</v>
      </c>
      <c r="AM478" t="str">
        <f t="shared" si="31"/>
        <v>1000-2000</v>
      </c>
    </row>
    <row r="479" spans="1:39" x14ac:dyDescent="0.2">
      <c r="A479" s="44">
        <v>43761</v>
      </c>
      <c r="B479" s="48">
        <v>0.36041666666666666</v>
      </c>
      <c r="C479" s="48"/>
      <c r="D479" s="48" t="s">
        <v>150</v>
      </c>
      <c r="E479" s="13">
        <v>4</v>
      </c>
      <c r="F479" s="38" t="str">
        <f>VLOOKUP(E479,[2]Key!$A$17:$B$21,2,FALSE)</f>
        <v>Water/Ferry</v>
      </c>
      <c r="G479" s="49">
        <v>7</v>
      </c>
      <c r="H479" s="39" t="str">
        <f>VLOOKUP(G479,[2]Key!$A$2:$B$14,2,FALSE)</f>
        <v xml:space="preserve">Light Truck </v>
      </c>
      <c r="I479" s="13" t="s">
        <v>109</v>
      </c>
      <c r="J479" s="13">
        <v>2</v>
      </c>
      <c r="K479" s="40" t="str">
        <f>VLOOKUP(J479,[2]Key!$A$24:$B$29,2,FALSE)</f>
        <v>30-39</v>
      </c>
      <c r="L479" s="11" t="s">
        <v>258</v>
      </c>
      <c r="M479" s="23" t="s">
        <v>220</v>
      </c>
      <c r="N479" s="13" t="s">
        <v>221</v>
      </c>
      <c r="O479" s="46">
        <v>4</v>
      </c>
      <c r="P479" s="30" t="str">
        <f>VLOOKUP(O479,[2]Key!$E$2:$F$9,2,FALSE)</f>
        <v>Commercial</v>
      </c>
      <c r="Q479" s="13" t="s">
        <v>329</v>
      </c>
      <c r="R479" s="23" t="s">
        <v>223</v>
      </c>
      <c r="S479" s="13" t="s">
        <v>221</v>
      </c>
      <c r="T479" s="23">
        <v>4</v>
      </c>
      <c r="U479" s="30" t="str">
        <f>VLOOKUP(T479,[2]Key!$E$2:$F$9,2,FALSE)</f>
        <v>Commercial</v>
      </c>
      <c r="V479" s="30" t="str">
        <f t="shared" si="28"/>
        <v>Commercial-Commercial</v>
      </c>
      <c r="W479" s="51">
        <v>5000</v>
      </c>
      <c r="X479" s="50">
        <v>49</v>
      </c>
      <c r="Y479" s="50" t="str">
        <f t="shared" si="29"/>
        <v>40-70</v>
      </c>
      <c r="Z479" s="50">
        <v>1</v>
      </c>
      <c r="AA479" s="50" t="str">
        <f t="shared" si="30"/>
        <v>1.0-2.0</v>
      </c>
      <c r="AB479" s="23">
        <v>5</v>
      </c>
      <c r="AC479" s="30" t="str">
        <f>VLOOKUP(AB479,[2]Key!$C$20:$D$29,2,FALSE)</f>
        <v>Professional</v>
      </c>
      <c r="AD479" s="23">
        <v>2</v>
      </c>
      <c r="AE479" s="30" t="str">
        <f>VLOOKUP(AD479,[2]Key!$E$20:$F$24,2,FALSE)</f>
        <v>300,000-500,000</v>
      </c>
      <c r="AF479" s="23">
        <v>1</v>
      </c>
      <c r="AG479" s="50">
        <v>5</v>
      </c>
      <c r="AH479" s="50">
        <v>4</v>
      </c>
      <c r="AI479" s="50">
        <v>2</v>
      </c>
      <c r="AJ479" s="50">
        <v>3</v>
      </c>
      <c r="AK479" s="46" t="s">
        <v>94</v>
      </c>
      <c r="AL479" s="36">
        <v>2000</v>
      </c>
      <c r="AM479" t="str">
        <f t="shared" si="31"/>
        <v>2000-3000</v>
      </c>
    </row>
    <row r="480" spans="1:39" x14ac:dyDescent="0.2">
      <c r="A480" s="44">
        <v>43759</v>
      </c>
      <c r="B480" s="48">
        <v>0.47847222222222219</v>
      </c>
      <c r="C480" s="48"/>
      <c r="D480" s="48" t="s">
        <v>248</v>
      </c>
      <c r="E480" s="13">
        <v>2</v>
      </c>
      <c r="F480" s="38" t="str">
        <f>VLOOKUP(E480,[2]Key!$A$17:$B$21,2,FALSE)</f>
        <v>Road Vehicle</v>
      </c>
      <c r="G480" s="49">
        <v>4</v>
      </c>
      <c r="H480" s="39" t="str">
        <f>VLOOKUP(G480,[2]Key!$A$2:$B$14,2,FALSE)</f>
        <v>Minibus</v>
      </c>
      <c r="I480" s="13" t="s">
        <v>156</v>
      </c>
      <c r="J480" s="13">
        <v>2</v>
      </c>
      <c r="K480" s="40" t="str">
        <f>VLOOKUP(J480,[2]Key!$A$24:$B$29,2,FALSE)</f>
        <v>30-39</v>
      </c>
      <c r="L480" s="11" t="s">
        <v>228</v>
      </c>
      <c r="M480" s="23" t="s">
        <v>223</v>
      </c>
      <c r="N480" s="13" t="s">
        <v>221</v>
      </c>
      <c r="O480" s="46">
        <v>6</v>
      </c>
      <c r="P480" s="30" t="str">
        <f>VLOOKUP(O480,[2]Key!$E$2:$F$9,2,FALSE)</f>
        <v>Leisure/Social</v>
      </c>
      <c r="Q480" s="13" t="s">
        <v>356</v>
      </c>
      <c r="R480" s="23" t="s">
        <v>285</v>
      </c>
      <c r="S480" s="13" t="s">
        <v>221</v>
      </c>
      <c r="T480" s="23">
        <v>1</v>
      </c>
      <c r="U480" s="30" t="str">
        <f>VLOOKUP(T480,[2]Key!$E$2:$F$9,2,FALSE)</f>
        <v>Home</v>
      </c>
      <c r="V480" s="30" t="str">
        <f t="shared" si="28"/>
        <v>Leisure/Social-Home</v>
      </c>
      <c r="W480" s="41">
        <v>7000</v>
      </c>
      <c r="X480" s="50"/>
      <c r="Y480" s="50" t="str">
        <f t="shared" si="29"/>
        <v>0-10</v>
      </c>
      <c r="Z480" s="50">
        <v>3</v>
      </c>
      <c r="AA480" s="50" t="str">
        <f t="shared" si="30"/>
        <v>2.0-3.5</v>
      </c>
      <c r="AB480" s="23">
        <v>6</v>
      </c>
      <c r="AC480" s="30" t="str">
        <f>VLOOKUP(AB480,[2]Key!$C$20:$D$29,2,FALSE)</f>
        <v>Businessman</v>
      </c>
      <c r="AD480" s="23">
        <v>1</v>
      </c>
      <c r="AE480" s="30" t="str">
        <f>VLOOKUP(AD480,[2]Key!$E$20:$F$24,2,FALSE)</f>
        <v>&lt;300,000</v>
      </c>
      <c r="AF480" s="23">
        <v>4</v>
      </c>
      <c r="AG480" s="50">
        <v>1</v>
      </c>
      <c r="AH480" s="50">
        <v>2</v>
      </c>
      <c r="AI480" s="50">
        <v>3</v>
      </c>
      <c r="AJ480" s="50">
        <v>5</v>
      </c>
      <c r="AK480" s="46" t="s">
        <v>94</v>
      </c>
      <c r="AL480" s="36">
        <v>800</v>
      </c>
      <c r="AM480" t="str">
        <f t="shared" si="31"/>
        <v>0-1000</v>
      </c>
    </row>
    <row r="481" spans="1:39" x14ac:dyDescent="0.2">
      <c r="A481" s="44">
        <v>43759</v>
      </c>
      <c r="B481" s="48">
        <v>0.51111111111111118</v>
      </c>
      <c r="C481" s="48"/>
      <c r="D481" s="48" t="s">
        <v>150</v>
      </c>
      <c r="E481" s="13">
        <v>2</v>
      </c>
      <c r="F481" s="38" t="str">
        <f>VLOOKUP(E481,[2]Key!$A$17:$B$21,2,FALSE)</f>
        <v>Road Vehicle</v>
      </c>
      <c r="G481" s="49">
        <v>4</v>
      </c>
      <c r="H481" s="39" t="str">
        <f>VLOOKUP(G481,[2]Key!$A$2:$B$14,2,FALSE)</f>
        <v>Minibus</v>
      </c>
      <c r="I481" s="13" t="s">
        <v>156</v>
      </c>
      <c r="J481" s="13">
        <v>2</v>
      </c>
      <c r="K481" s="40" t="str">
        <f>VLOOKUP(J481,[2]Key!$A$24:$B$29,2,FALSE)</f>
        <v>30-39</v>
      </c>
      <c r="L481" s="11" t="s">
        <v>357</v>
      </c>
      <c r="M481" s="23" t="s">
        <v>223</v>
      </c>
      <c r="N481" s="13" t="s">
        <v>221</v>
      </c>
      <c r="O481" s="46">
        <v>8</v>
      </c>
      <c r="P481" s="30" t="str">
        <f>VLOOKUP(O481,[2]Key!$E$2:$F$9,2,FALSE)</f>
        <v>Others</v>
      </c>
      <c r="Q481" s="13" t="s">
        <v>358</v>
      </c>
      <c r="R481" s="23" t="s">
        <v>359</v>
      </c>
      <c r="S481" s="13" t="s">
        <v>221</v>
      </c>
      <c r="T481" s="23">
        <v>1</v>
      </c>
      <c r="U481" s="30" t="str">
        <f>VLOOKUP(T481,[2]Key!$E$2:$F$9,2,FALSE)</f>
        <v>Home</v>
      </c>
      <c r="V481" s="30" t="str">
        <f t="shared" si="28"/>
        <v>Others-Home</v>
      </c>
      <c r="W481" s="41">
        <v>10000</v>
      </c>
      <c r="X481" s="50"/>
      <c r="Y481" s="50" t="str">
        <f t="shared" si="29"/>
        <v>0-10</v>
      </c>
      <c r="Z481" s="50">
        <v>3</v>
      </c>
      <c r="AA481" s="50" t="str">
        <f t="shared" si="30"/>
        <v>2.0-3.5</v>
      </c>
      <c r="AB481" s="23">
        <v>6</v>
      </c>
      <c r="AC481" s="30" t="str">
        <f>VLOOKUP(AB481,[2]Key!$C$20:$D$29,2,FALSE)</f>
        <v>Businessman</v>
      </c>
      <c r="AD481" s="23">
        <v>1</v>
      </c>
      <c r="AE481" s="30" t="str">
        <f>VLOOKUP(AD481,[2]Key!$E$20:$F$24,2,FALSE)</f>
        <v>&lt;300,000</v>
      </c>
      <c r="AF481" s="23">
        <v>5</v>
      </c>
      <c r="AG481" s="50">
        <v>4</v>
      </c>
      <c r="AH481" s="50">
        <v>3</v>
      </c>
      <c r="AI481" s="50">
        <v>1</v>
      </c>
      <c r="AJ481" s="50">
        <v>2</v>
      </c>
      <c r="AK481" s="46" t="s">
        <v>94</v>
      </c>
      <c r="AL481" s="36" t="s">
        <v>279</v>
      </c>
      <c r="AM481" t="str">
        <f t="shared" si="31"/>
        <v>Over 10000</v>
      </c>
    </row>
    <row r="482" spans="1:39" x14ac:dyDescent="0.2">
      <c r="A482" s="44">
        <v>43759</v>
      </c>
      <c r="B482" s="48">
        <v>4.5833333333333337E-2</v>
      </c>
      <c r="C482" s="48"/>
      <c r="D482" s="48" t="s">
        <v>150</v>
      </c>
      <c r="E482" s="13">
        <v>2</v>
      </c>
      <c r="F482" s="38" t="str">
        <f>VLOOKUP(E482,[2]Key!$A$17:$B$21,2,FALSE)</f>
        <v>Road Vehicle</v>
      </c>
      <c r="G482" s="49">
        <v>4</v>
      </c>
      <c r="H482" s="39" t="str">
        <f>VLOOKUP(G482,[2]Key!$A$2:$B$14,2,FALSE)</f>
        <v>Minibus</v>
      </c>
      <c r="I482" s="13" t="s">
        <v>156</v>
      </c>
      <c r="J482" s="13">
        <v>2</v>
      </c>
      <c r="K482" s="40" t="str">
        <f>VLOOKUP(J482,[2]Key!$A$24:$B$29,2,FALSE)</f>
        <v>30-39</v>
      </c>
      <c r="L482" s="11" t="s">
        <v>320</v>
      </c>
      <c r="M482" s="23" t="s">
        <v>223</v>
      </c>
      <c r="N482" s="13" t="s">
        <v>221</v>
      </c>
      <c r="O482" s="46">
        <v>1</v>
      </c>
      <c r="P482" s="30" t="str">
        <f>VLOOKUP(O482,[2]Key!$E$2:$F$9,2,FALSE)</f>
        <v>Home</v>
      </c>
      <c r="Q482" s="13" t="s">
        <v>231</v>
      </c>
      <c r="R482" s="23" t="s">
        <v>260</v>
      </c>
      <c r="S482" s="13" t="s">
        <v>221</v>
      </c>
      <c r="T482" s="23">
        <v>7</v>
      </c>
      <c r="U482" s="30" t="str">
        <f>VLOOKUP(T482,[2]Key!$E$2:$F$9,2,FALSE)</f>
        <v>Hospital</v>
      </c>
      <c r="V482" s="30" t="str">
        <f t="shared" si="28"/>
        <v>Home-Hospital</v>
      </c>
      <c r="W482" s="41">
        <v>15000</v>
      </c>
      <c r="X482" s="50"/>
      <c r="Y482" s="50" t="str">
        <f t="shared" si="29"/>
        <v>0-10</v>
      </c>
      <c r="Z482" s="50">
        <v>1.5</v>
      </c>
      <c r="AA482" s="50" t="str">
        <f t="shared" si="30"/>
        <v>1.0-2.0</v>
      </c>
      <c r="AB482" s="23">
        <v>6</v>
      </c>
      <c r="AC482" s="30" t="str">
        <f>VLOOKUP(AB482,[2]Key!$C$20:$D$29,2,FALSE)</f>
        <v>Businessman</v>
      </c>
      <c r="AD482" s="23">
        <v>1</v>
      </c>
      <c r="AE482" s="30" t="str">
        <f>VLOOKUP(AD482,[2]Key!$E$20:$F$24,2,FALSE)</f>
        <v>&lt;300,000</v>
      </c>
      <c r="AF482" s="23">
        <v>2</v>
      </c>
      <c r="AG482" s="50">
        <v>3</v>
      </c>
      <c r="AH482" s="50">
        <v>5</v>
      </c>
      <c r="AI482" s="50">
        <v>1</v>
      </c>
      <c r="AJ482" s="50">
        <v>4</v>
      </c>
      <c r="AK482" s="46" t="s">
        <v>94</v>
      </c>
      <c r="AL482" s="36">
        <v>300</v>
      </c>
      <c r="AM482" t="str">
        <f t="shared" si="31"/>
        <v>0-1000</v>
      </c>
    </row>
    <row r="483" spans="1:39" x14ac:dyDescent="0.2">
      <c r="A483" s="44">
        <v>43759</v>
      </c>
      <c r="B483" s="48">
        <v>9.1666666666666674E-2</v>
      </c>
      <c r="C483" s="48"/>
      <c r="D483" s="48" t="s">
        <v>150</v>
      </c>
      <c r="E483" s="13">
        <v>2</v>
      </c>
      <c r="F483" s="38" t="str">
        <f>VLOOKUP(E483,[2]Key!$A$17:$B$21,2,FALSE)</f>
        <v>Road Vehicle</v>
      </c>
      <c r="G483" s="49">
        <v>4</v>
      </c>
      <c r="H483" s="39" t="str">
        <f>VLOOKUP(G483,[2]Key!$A$2:$B$14,2,FALSE)</f>
        <v>Minibus</v>
      </c>
      <c r="I483" s="13" t="s">
        <v>156</v>
      </c>
      <c r="J483" s="13">
        <v>2</v>
      </c>
      <c r="K483" s="40" t="str">
        <f>VLOOKUP(J483,[2]Key!$A$24:$B$29,2,FALSE)</f>
        <v>30-39</v>
      </c>
      <c r="L483" s="11" t="s">
        <v>360</v>
      </c>
      <c r="M483" s="23" t="s">
        <v>223</v>
      </c>
      <c r="N483" s="13" t="s">
        <v>221</v>
      </c>
      <c r="O483" s="46">
        <v>2</v>
      </c>
      <c r="P483" s="30" t="str">
        <f>VLOOKUP(O483,[2]Key!$E$2:$F$9,2,FALSE)</f>
        <v>Work</v>
      </c>
      <c r="Q483" s="13" t="s">
        <v>361</v>
      </c>
      <c r="R483" s="23" t="s">
        <v>223</v>
      </c>
      <c r="S483" s="13" t="s">
        <v>221</v>
      </c>
      <c r="T483" s="23">
        <v>1</v>
      </c>
      <c r="U483" s="30" t="str">
        <f>VLOOKUP(T483,[2]Key!$E$2:$F$9,2,FALSE)</f>
        <v>Home</v>
      </c>
      <c r="V483" s="30" t="str">
        <f t="shared" si="28"/>
        <v>Work-Home</v>
      </c>
      <c r="W483" s="41">
        <v>4000</v>
      </c>
      <c r="X483" s="50"/>
      <c r="Y483" s="50" t="str">
        <f t="shared" si="29"/>
        <v>0-10</v>
      </c>
      <c r="Z483" s="50">
        <v>0.83</v>
      </c>
      <c r="AA483" s="50" t="str">
        <f t="shared" si="30"/>
        <v>0.5-1.0</v>
      </c>
      <c r="AB483" s="23">
        <v>2</v>
      </c>
      <c r="AC483" s="30" t="str">
        <f>VLOOKUP(AB483,[2]Key!$C$20:$D$29,2,FALSE)</f>
        <v>Manual Labour</v>
      </c>
      <c r="AD483" s="23">
        <v>1</v>
      </c>
      <c r="AE483" s="30" t="str">
        <f>VLOOKUP(AD483,[2]Key!$E$20:$F$24,2,FALSE)</f>
        <v>&lt;300,000</v>
      </c>
      <c r="AF483" s="23">
        <v>1</v>
      </c>
      <c r="AG483" s="50">
        <v>2</v>
      </c>
      <c r="AH483" s="50">
        <v>4</v>
      </c>
      <c r="AI483" s="50">
        <v>3</v>
      </c>
      <c r="AJ483" s="50">
        <v>5</v>
      </c>
      <c r="AK483" s="46" t="s">
        <v>94</v>
      </c>
      <c r="AL483" s="36">
        <v>100</v>
      </c>
      <c r="AM483" t="str">
        <f t="shared" si="31"/>
        <v>0-1000</v>
      </c>
    </row>
    <row r="484" spans="1:39" x14ac:dyDescent="0.2">
      <c r="A484" s="44">
        <v>43759</v>
      </c>
      <c r="B484" s="48">
        <v>0.28402777777777777</v>
      </c>
      <c r="C484" s="48"/>
      <c r="D484" s="48" t="s">
        <v>150</v>
      </c>
      <c r="E484" s="13">
        <v>2</v>
      </c>
      <c r="F484" s="38" t="str">
        <f>VLOOKUP(E484,[2]Key!$A$17:$B$21,2,FALSE)</f>
        <v>Road Vehicle</v>
      </c>
      <c r="G484" s="49">
        <v>4</v>
      </c>
      <c r="H484" s="39" t="str">
        <f>VLOOKUP(G484,[2]Key!$A$2:$B$14,2,FALSE)</f>
        <v>Minibus</v>
      </c>
      <c r="I484" s="13" t="s">
        <v>156</v>
      </c>
      <c r="J484" s="13">
        <v>2</v>
      </c>
      <c r="K484" s="40" t="str">
        <f>VLOOKUP(J484,[2]Key!$A$24:$B$29,2,FALSE)</f>
        <v>30-39</v>
      </c>
      <c r="L484" s="11" t="s">
        <v>362</v>
      </c>
      <c r="M484" s="23" t="s">
        <v>274</v>
      </c>
      <c r="N484" s="13" t="s">
        <v>221</v>
      </c>
      <c r="O484" s="46">
        <v>1</v>
      </c>
      <c r="P484" s="30" t="str">
        <f>VLOOKUP(O484,[2]Key!$E$2:$F$9,2,FALSE)</f>
        <v>Home</v>
      </c>
      <c r="Q484" s="13" t="s">
        <v>363</v>
      </c>
      <c r="R484" s="23" t="s">
        <v>223</v>
      </c>
      <c r="S484" s="13" t="s">
        <v>221</v>
      </c>
      <c r="T484" s="23">
        <v>6</v>
      </c>
      <c r="U484" s="30" t="str">
        <f>VLOOKUP(T484,[2]Key!$E$2:$F$9,2,FALSE)</f>
        <v>Leisure/Social</v>
      </c>
      <c r="V484" s="30" t="str">
        <f t="shared" si="28"/>
        <v>Home-Leisure/Social</v>
      </c>
      <c r="W484" s="41">
        <v>35000</v>
      </c>
      <c r="X484" s="50"/>
      <c r="Y484" s="50" t="str">
        <f t="shared" si="29"/>
        <v>0-10</v>
      </c>
      <c r="Z484" s="50">
        <v>9.5</v>
      </c>
      <c r="AA484" s="50" t="str">
        <f t="shared" si="30"/>
        <v>Over 3.5</v>
      </c>
      <c r="AB484" s="23">
        <v>5</v>
      </c>
      <c r="AC484" s="30" t="str">
        <f>VLOOKUP(AB484,[2]Key!$C$20:$D$29,2,FALSE)</f>
        <v>Professional</v>
      </c>
      <c r="AD484" s="23">
        <v>2</v>
      </c>
      <c r="AE484" s="30" t="str">
        <f>VLOOKUP(AD484,[2]Key!$E$20:$F$24,2,FALSE)</f>
        <v>300,000-500,000</v>
      </c>
      <c r="AF484" s="23">
        <v>1</v>
      </c>
      <c r="AG484" s="50">
        <v>5</v>
      </c>
      <c r="AH484" s="50">
        <v>3</v>
      </c>
      <c r="AI484" s="50">
        <v>2</v>
      </c>
      <c r="AJ484" s="50">
        <v>4</v>
      </c>
      <c r="AK484" s="46" t="s">
        <v>94</v>
      </c>
      <c r="AL484" s="36">
        <v>5000</v>
      </c>
      <c r="AM484" t="str">
        <f t="shared" si="31"/>
        <v>5000-10000</v>
      </c>
    </row>
    <row r="485" spans="1:39" x14ac:dyDescent="0.2">
      <c r="A485" s="44">
        <v>43759</v>
      </c>
      <c r="B485" s="48">
        <v>0.46319444444444446</v>
      </c>
      <c r="C485" s="48"/>
      <c r="D485" s="48" t="s">
        <v>150</v>
      </c>
      <c r="E485" s="13">
        <v>2</v>
      </c>
      <c r="F485" s="38" t="str">
        <f>VLOOKUP(E485,[1]Key!$A$17:$B$21,2,FALSE)</f>
        <v>Road Vehicle</v>
      </c>
      <c r="G485" s="49">
        <v>4</v>
      </c>
      <c r="H485" s="39" t="str">
        <f>VLOOKUP(G485,[2]Key!$A$2:$B$14,2,FALSE)</f>
        <v>Minibus</v>
      </c>
      <c r="I485" s="13" t="s">
        <v>156</v>
      </c>
      <c r="J485" s="13">
        <v>2</v>
      </c>
      <c r="K485" s="40" t="str">
        <f>VLOOKUP(J485,[1]Key!$A$24:$B$29,2,FALSE)</f>
        <v>30-39</v>
      </c>
      <c r="L485" s="11" t="s">
        <v>321</v>
      </c>
      <c r="M485" s="23" t="s">
        <v>220</v>
      </c>
      <c r="N485" s="13" t="s">
        <v>221</v>
      </c>
      <c r="O485" s="46">
        <v>1</v>
      </c>
      <c r="P485" s="30" t="str">
        <f>VLOOKUP(O485,[1]Key!$E$2:$F$9,2,FALSE)</f>
        <v>Home</v>
      </c>
      <c r="Q485" s="13" t="s">
        <v>261</v>
      </c>
      <c r="R485" s="23" t="s">
        <v>223</v>
      </c>
      <c r="S485" s="13" t="s">
        <v>221</v>
      </c>
      <c r="T485" s="23">
        <v>4</v>
      </c>
      <c r="U485" s="30" t="str">
        <f>VLOOKUP(T485,[1]Key!$E$2:$F$9,2,FALSE)</f>
        <v>Commercial</v>
      </c>
      <c r="V485" s="30" t="str">
        <f t="shared" si="28"/>
        <v>Home-Commercial</v>
      </c>
      <c r="W485" s="41">
        <v>10000</v>
      </c>
      <c r="X485" s="50">
        <v>96</v>
      </c>
      <c r="Y485" s="50" t="str">
        <f t="shared" si="29"/>
        <v>70-100</v>
      </c>
      <c r="Z485" s="50">
        <v>3</v>
      </c>
      <c r="AA485" s="50" t="str">
        <f t="shared" si="30"/>
        <v>2.0-3.5</v>
      </c>
      <c r="AB485" s="23">
        <v>6</v>
      </c>
      <c r="AC485" s="30" t="str">
        <f>VLOOKUP(AB485,[1]Key!$C$20:$D$29,2,FALSE)</f>
        <v>Businessman</v>
      </c>
      <c r="AD485" s="23">
        <v>2</v>
      </c>
      <c r="AE485" s="30" t="str">
        <f>VLOOKUP(AD485,[1]Key!$E$20:$F$24,2,FALSE)</f>
        <v>300,000-500,000</v>
      </c>
      <c r="AF485" s="23">
        <v>1</v>
      </c>
      <c r="AG485" s="50">
        <v>3</v>
      </c>
      <c r="AH485" s="50">
        <v>4</v>
      </c>
      <c r="AI485" s="50">
        <v>2</v>
      </c>
      <c r="AJ485" s="50">
        <v>5</v>
      </c>
      <c r="AK485" s="46" t="s">
        <v>94</v>
      </c>
      <c r="AL485" s="36">
        <v>1000</v>
      </c>
      <c r="AM485" t="str">
        <f t="shared" si="31"/>
        <v>1000-2000</v>
      </c>
    </row>
    <row r="486" spans="1:39" x14ac:dyDescent="0.2">
      <c r="A486" s="44">
        <v>43759</v>
      </c>
      <c r="B486" s="48">
        <v>0.44930555555555557</v>
      </c>
      <c r="C486" s="48"/>
      <c r="D486" s="48" t="s">
        <v>150</v>
      </c>
      <c r="E486" s="13">
        <v>2</v>
      </c>
      <c r="F486" s="38" t="str">
        <f>VLOOKUP(E486,[1]Key!$A$17:$B$21,2,FALSE)</f>
        <v>Road Vehicle</v>
      </c>
      <c r="G486" s="49">
        <v>4</v>
      </c>
      <c r="H486" s="39" t="str">
        <f>VLOOKUP(G486,[2]Key!$A$2:$B$14,2,FALSE)</f>
        <v>Minibus</v>
      </c>
      <c r="I486" s="13" t="s">
        <v>156</v>
      </c>
      <c r="J486" s="13">
        <v>2</v>
      </c>
      <c r="K486" s="40" t="str">
        <f>VLOOKUP(J486,[1]Key!$A$24:$B$29,2,FALSE)</f>
        <v>30-39</v>
      </c>
      <c r="L486" s="11" t="s">
        <v>292</v>
      </c>
      <c r="M486" s="23" t="s">
        <v>292</v>
      </c>
      <c r="N486" s="13" t="s">
        <v>221</v>
      </c>
      <c r="O486" s="46">
        <v>1</v>
      </c>
      <c r="P486" s="30" t="str">
        <f>VLOOKUP(O486,[1]Key!$E$2:$F$9,2,FALSE)</f>
        <v>Home</v>
      </c>
      <c r="Q486" s="13" t="s">
        <v>261</v>
      </c>
      <c r="R486" s="23" t="s">
        <v>223</v>
      </c>
      <c r="S486" s="13" t="s">
        <v>221</v>
      </c>
      <c r="T486" s="23">
        <v>4</v>
      </c>
      <c r="U486" s="30" t="str">
        <f>VLOOKUP(T486,[1]Key!$E$2:$F$9,2,FALSE)</f>
        <v>Commercial</v>
      </c>
      <c r="V486" s="30" t="str">
        <f t="shared" si="28"/>
        <v>Home-Commercial</v>
      </c>
      <c r="W486" s="41">
        <v>18000</v>
      </c>
      <c r="X486" s="50">
        <v>123</v>
      </c>
      <c r="Y486" s="50" t="str">
        <f t="shared" si="29"/>
        <v>100-200</v>
      </c>
      <c r="Z486" s="50">
        <v>4</v>
      </c>
      <c r="AA486" s="50" t="str">
        <f t="shared" si="30"/>
        <v>Over 3.5</v>
      </c>
      <c r="AB486" s="23">
        <v>6</v>
      </c>
      <c r="AC486" s="30" t="str">
        <f>VLOOKUP(AB486,[1]Key!$C$20:$D$29,2,FALSE)</f>
        <v>Businessman</v>
      </c>
      <c r="AD486" s="23">
        <v>2</v>
      </c>
      <c r="AE486" s="30" t="str">
        <f>VLOOKUP(AD486,[1]Key!$E$20:$F$24,2,FALSE)</f>
        <v>300,000-500,000</v>
      </c>
      <c r="AF486" s="23">
        <v>2</v>
      </c>
      <c r="AG486" s="50">
        <v>1</v>
      </c>
      <c r="AH486" s="50">
        <v>4</v>
      </c>
      <c r="AI486" s="50">
        <v>3</v>
      </c>
      <c r="AJ486" s="50">
        <v>5</v>
      </c>
      <c r="AK486" s="46" t="s">
        <v>94</v>
      </c>
      <c r="AL486" s="36">
        <v>2000</v>
      </c>
      <c r="AM486" t="str">
        <f t="shared" si="31"/>
        <v>2000-3000</v>
      </c>
    </row>
    <row r="487" spans="1:39" x14ac:dyDescent="0.2">
      <c r="A487" s="44">
        <v>43759</v>
      </c>
      <c r="B487" s="48">
        <v>0.44027777777777777</v>
      </c>
      <c r="C487" s="48"/>
      <c r="D487" s="48" t="s">
        <v>248</v>
      </c>
      <c r="E487" s="13">
        <v>2</v>
      </c>
      <c r="F487" s="38" t="str">
        <f>VLOOKUP(E487,[1]Key!$A$17:$B$21,2,FALSE)</f>
        <v>Road Vehicle</v>
      </c>
      <c r="G487" s="49">
        <v>4</v>
      </c>
      <c r="H487" s="39" t="str">
        <f>VLOOKUP(G487,[2]Key!$A$2:$B$14,2,FALSE)</f>
        <v>Minibus</v>
      </c>
      <c r="I487" s="13" t="s">
        <v>156</v>
      </c>
      <c r="J487" s="13">
        <v>2</v>
      </c>
      <c r="K487" s="40" t="str">
        <f>VLOOKUP(J487,[1]Key!$A$24:$B$29,2,FALSE)</f>
        <v>30-39</v>
      </c>
      <c r="L487" s="11" t="s">
        <v>324</v>
      </c>
      <c r="M487" s="23" t="s">
        <v>220</v>
      </c>
      <c r="N487" s="13" t="s">
        <v>221</v>
      </c>
      <c r="O487" s="46">
        <v>4</v>
      </c>
      <c r="P487" s="30" t="str">
        <f>VLOOKUP(O487,[1]Key!$E$2:$F$9,2,FALSE)</f>
        <v>Commercial</v>
      </c>
      <c r="Q487" s="13" t="s">
        <v>364</v>
      </c>
      <c r="R487" s="23" t="s">
        <v>223</v>
      </c>
      <c r="S487" s="13" t="s">
        <v>221</v>
      </c>
      <c r="T487" s="23">
        <v>4</v>
      </c>
      <c r="U487" s="30" t="str">
        <f>VLOOKUP(T487,[1]Key!$E$2:$F$9,2,FALSE)</f>
        <v>Commercial</v>
      </c>
      <c r="V487" s="30" t="str">
        <f t="shared" si="28"/>
        <v>Commercial-Commercial</v>
      </c>
      <c r="W487" s="41">
        <v>3000</v>
      </c>
      <c r="X487" s="50">
        <v>37</v>
      </c>
      <c r="Y487" s="50" t="str">
        <f t="shared" si="29"/>
        <v>20-40</v>
      </c>
      <c r="Z487" s="50">
        <v>0.66666000000000003</v>
      </c>
      <c r="AA487" s="50" t="str">
        <f t="shared" si="30"/>
        <v>0.5-1.0</v>
      </c>
      <c r="AB487" s="23">
        <v>6</v>
      </c>
      <c r="AC487" s="30" t="str">
        <f>VLOOKUP(AB487,[1]Key!$C$20:$D$29,2,FALSE)</f>
        <v>Businessman</v>
      </c>
      <c r="AD487" s="23">
        <v>1</v>
      </c>
      <c r="AE487" s="30" t="str">
        <f>VLOOKUP(AD487,[1]Key!$E$20:$F$24,2,FALSE)</f>
        <v>&lt;300,000</v>
      </c>
      <c r="AF487" s="23">
        <v>1</v>
      </c>
      <c r="AG487" s="50">
        <v>2</v>
      </c>
      <c r="AH487" s="50">
        <v>4</v>
      </c>
      <c r="AI487" s="50">
        <v>3</v>
      </c>
      <c r="AJ487" s="50">
        <v>5</v>
      </c>
      <c r="AK487" s="46" t="s">
        <v>94</v>
      </c>
      <c r="AL487" s="36"/>
      <c r="AM487" t="str">
        <f t="shared" si="31"/>
        <v>0-1000</v>
      </c>
    </row>
    <row r="488" spans="1:39" x14ac:dyDescent="0.2">
      <c r="A488" s="44">
        <v>43759</v>
      </c>
      <c r="B488" s="48">
        <v>0.4381944444444445</v>
      </c>
      <c r="C488" s="48"/>
      <c r="D488" s="48" t="s">
        <v>150</v>
      </c>
      <c r="E488" s="13">
        <v>2</v>
      </c>
      <c r="F488" s="38" t="str">
        <f>VLOOKUP(E488,[1]Key!$A$17:$B$21,2,FALSE)</f>
        <v>Road Vehicle</v>
      </c>
      <c r="G488" s="49">
        <v>4</v>
      </c>
      <c r="H488" s="39" t="str">
        <f>VLOOKUP(G488,[2]Key!$A$2:$B$14,2,FALSE)</f>
        <v>Minibus</v>
      </c>
      <c r="I488" s="13" t="s">
        <v>156</v>
      </c>
      <c r="J488" s="13">
        <v>2</v>
      </c>
      <c r="K488" s="40" t="str">
        <f>VLOOKUP(J488,[1]Key!$A$24:$B$29,2,FALSE)</f>
        <v>30-39</v>
      </c>
      <c r="L488" s="11" t="s">
        <v>329</v>
      </c>
      <c r="M488" s="23" t="s">
        <v>220</v>
      </c>
      <c r="N488" s="13" t="s">
        <v>221</v>
      </c>
      <c r="O488" s="46">
        <v>2</v>
      </c>
      <c r="P488" s="30" t="str">
        <f>VLOOKUP(O488,[1]Key!$E$2:$F$9,2,FALSE)</f>
        <v>Work</v>
      </c>
      <c r="Q488" s="13" t="s">
        <v>256</v>
      </c>
      <c r="R488" s="23" t="s">
        <v>256</v>
      </c>
      <c r="S488" s="13" t="s">
        <v>221</v>
      </c>
      <c r="T488" s="23">
        <v>4</v>
      </c>
      <c r="U488" s="30" t="str">
        <f>VLOOKUP(T488,[1]Key!$E$2:$F$9,2,FALSE)</f>
        <v>Commercial</v>
      </c>
      <c r="V488" s="30" t="str">
        <f t="shared" si="28"/>
        <v>Work-Commercial</v>
      </c>
      <c r="W488" s="41">
        <v>15000</v>
      </c>
      <c r="X488" s="50"/>
      <c r="Y488" s="50" t="str">
        <f t="shared" si="29"/>
        <v>0-10</v>
      </c>
      <c r="Z488" s="50">
        <v>2.5</v>
      </c>
      <c r="AA488" s="50" t="str">
        <f t="shared" si="30"/>
        <v>2.0-3.5</v>
      </c>
      <c r="AB488" s="23">
        <v>5</v>
      </c>
      <c r="AC488" s="30" t="str">
        <f>VLOOKUP(AB488,[1]Key!$C$20:$D$29,2,FALSE)</f>
        <v>Professional</v>
      </c>
      <c r="AD488" s="23">
        <v>5</v>
      </c>
      <c r="AE488" s="30" t="str">
        <f>VLOOKUP(AD488,[1]Key!$E$20:$F$24,2,FALSE)</f>
        <v>&gt;1,000,000</v>
      </c>
      <c r="AF488" s="23">
        <v>3</v>
      </c>
      <c r="AG488" s="50">
        <v>4</v>
      </c>
      <c r="AH488" s="50">
        <v>1</v>
      </c>
      <c r="AI488" s="50">
        <v>2</v>
      </c>
      <c r="AJ488" s="50">
        <v>5</v>
      </c>
      <c r="AK488" s="46" t="s">
        <v>94</v>
      </c>
      <c r="AL488" s="36"/>
      <c r="AM488" t="str">
        <f t="shared" si="31"/>
        <v>0-1000</v>
      </c>
    </row>
    <row r="489" spans="1:39" x14ac:dyDescent="0.2">
      <c r="A489" s="44">
        <v>43759</v>
      </c>
      <c r="B489" s="48">
        <v>0.48819444444444443</v>
      </c>
      <c r="C489" s="48"/>
      <c r="D489" s="48" t="s">
        <v>248</v>
      </c>
      <c r="E489" s="13">
        <v>2</v>
      </c>
      <c r="F489" s="38" t="str">
        <f>VLOOKUP(E489,[1]Key!$A$17:$B$21,2,FALSE)</f>
        <v>Road Vehicle</v>
      </c>
      <c r="G489" s="49">
        <v>4</v>
      </c>
      <c r="H489" s="39" t="str">
        <f>VLOOKUP(G489,[2]Key!$A$2:$B$14,2,FALSE)</f>
        <v>Minibus</v>
      </c>
      <c r="I489" s="13" t="s">
        <v>156</v>
      </c>
      <c r="J489" s="13">
        <v>2</v>
      </c>
      <c r="K489" s="40" t="str">
        <f>VLOOKUP(J489,[1]Key!$A$24:$B$29,2,FALSE)</f>
        <v>30-39</v>
      </c>
      <c r="L489" s="11" t="s">
        <v>365</v>
      </c>
      <c r="M489" s="23" t="s">
        <v>220</v>
      </c>
      <c r="N489" s="13" t="s">
        <v>221</v>
      </c>
      <c r="O489" s="46">
        <v>1</v>
      </c>
      <c r="P489" s="30" t="str">
        <f>VLOOKUP(O489,[1]Key!$E$2:$F$9,2,FALSE)</f>
        <v>Home</v>
      </c>
      <c r="Q489" s="13" t="s">
        <v>261</v>
      </c>
      <c r="R489" s="23" t="s">
        <v>223</v>
      </c>
      <c r="S489" s="13" t="s">
        <v>221</v>
      </c>
      <c r="T489" s="23">
        <v>4</v>
      </c>
      <c r="U489" s="30" t="str">
        <f>VLOOKUP(T489,[1]Key!$E$2:$F$9,2,FALSE)</f>
        <v>Commercial</v>
      </c>
      <c r="V489" s="30" t="str">
        <f t="shared" si="28"/>
        <v>Home-Commercial</v>
      </c>
      <c r="W489" s="51">
        <v>8000</v>
      </c>
      <c r="X489" s="50"/>
      <c r="Y489" s="50" t="str">
        <f t="shared" si="29"/>
        <v>0-10</v>
      </c>
      <c r="Z489" s="50">
        <v>3</v>
      </c>
      <c r="AA489" s="50" t="str">
        <f t="shared" si="30"/>
        <v>2.0-3.5</v>
      </c>
      <c r="AB489" s="23">
        <v>6</v>
      </c>
      <c r="AC489" s="30" t="str">
        <f>VLOOKUP(AB489,[1]Key!$C$20:$D$29,2,FALSE)</f>
        <v>Businessman</v>
      </c>
      <c r="AD489" s="23">
        <v>3</v>
      </c>
      <c r="AE489" s="30" t="str">
        <f>VLOOKUP(AD489,[1]Key!$E$20:$F$24,2,FALSE)</f>
        <v>500,000-750,000</v>
      </c>
      <c r="AF489" s="23">
        <v>5</v>
      </c>
      <c r="AG489" s="50">
        <v>2</v>
      </c>
      <c r="AH489" s="50">
        <v>3</v>
      </c>
      <c r="AI489" s="50">
        <v>1</v>
      </c>
      <c r="AJ489" s="50">
        <v>4</v>
      </c>
      <c r="AK489" s="46" t="s">
        <v>94</v>
      </c>
      <c r="AL489" s="36"/>
      <c r="AM489" t="str">
        <f t="shared" si="31"/>
        <v>0-1000</v>
      </c>
    </row>
    <row r="490" spans="1:39" x14ac:dyDescent="0.2">
      <c r="A490" s="44">
        <v>43759</v>
      </c>
      <c r="B490" s="48">
        <v>0.48958333333333331</v>
      </c>
      <c r="C490" s="48"/>
      <c r="D490" s="48" t="s">
        <v>150</v>
      </c>
      <c r="E490" s="13">
        <v>2</v>
      </c>
      <c r="F490" s="38" t="str">
        <f>VLOOKUP(E490,[1]Key!$A$17:$B$21,2,FALSE)</f>
        <v>Road Vehicle</v>
      </c>
      <c r="G490" s="49">
        <v>4</v>
      </c>
      <c r="H490" s="39" t="str">
        <f>VLOOKUP(G490,[2]Key!$A$2:$B$14,2,FALSE)</f>
        <v>Minibus</v>
      </c>
      <c r="I490" s="13" t="s">
        <v>156</v>
      </c>
      <c r="J490" s="13">
        <v>2</v>
      </c>
      <c r="K490" s="40" t="str">
        <f>VLOOKUP(J490,[1]Key!$A$24:$B$29,2,FALSE)</f>
        <v>30-39</v>
      </c>
      <c r="L490" s="11" t="s">
        <v>328</v>
      </c>
      <c r="M490" s="23" t="s">
        <v>247</v>
      </c>
      <c r="N490" s="13" t="s">
        <v>221</v>
      </c>
      <c r="O490" s="46">
        <v>1</v>
      </c>
      <c r="P490" s="30" t="str">
        <f>VLOOKUP(O490,[1]Key!$E$2:$F$9,2,FALSE)</f>
        <v>Home</v>
      </c>
      <c r="Q490" s="13" t="s">
        <v>261</v>
      </c>
      <c r="R490" s="23" t="s">
        <v>223</v>
      </c>
      <c r="S490" s="13" t="s">
        <v>221</v>
      </c>
      <c r="T490" s="23">
        <v>4</v>
      </c>
      <c r="U490" s="30" t="str">
        <f>VLOOKUP(T490,[1]Key!$E$2:$F$9,2,FALSE)</f>
        <v>Commercial</v>
      </c>
      <c r="V490" s="30" t="str">
        <f t="shared" si="28"/>
        <v>Home-Commercial</v>
      </c>
      <c r="W490" s="51">
        <v>12000</v>
      </c>
      <c r="X490" s="50">
        <v>102</v>
      </c>
      <c r="Y490" s="50" t="str">
        <f t="shared" si="29"/>
        <v>100-200</v>
      </c>
      <c r="Z490" s="50">
        <v>5</v>
      </c>
      <c r="AA490" s="50" t="str">
        <f t="shared" si="30"/>
        <v>Over 3.5</v>
      </c>
      <c r="AB490" s="23">
        <v>6</v>
      </c>
      <c r="AC490" s="30" t="str">
        <f>VLOOKUP(AB490,[1]Key!$C$20:$D$29,2,FALSE)</f>
        <v>Businessman</v>
      </c>
      <c r="AD490" s="23">
        <v>4</v>
      </c>
      <c r="AE490" s="30" t="str">
        <f>VLOOKUP(AD490,[1]Key!$E$20:$F$24,2,FALSE)</f>
        <v>750,000-1,000,000</v>
      </c>
      <c r="AF490" s="23">
        <v>2</v>
      </c>
      <c r="AG490" s="50">
        <v>3</v>
      </c>
      <c r="AH490" s="50">
        <v>4</v>
      </c>
      <c r="AI490" s="50">
        <v>1</v>
      </c>
      <c r="AJ490" s="50">
        <v>5</v>
      </c>
      <c r="AK490" s="46" t="s">
        <v>94</v>
      </c>
      <c r="AL490" s="36"/>
      <c r="AM490" t="str">
        <f t="shared" si="31"/>
        <v>0-1000</v>
      </c>
    </row>
    <row r="491" spans="1:39" x14ac:dyDescent="0.2">
      <c r="A491" s="44">
        <v>43759</v>
      </c>
      <c r="B491" s="48">
        <v>0.4916666666666667</v>
      </c>
      <c r="C491" s="48"/>
      <c r="D491" s="48" t="s">
        <v>248</v>
      </c>
      <c r="E491" s="13">
        <v>2</v>
      </c>
      <c r="F491" s="38" t="str">
        <f>VLOOKUP(E491,[1]Key!$A$17:$B$21,2,FALSE)</f>
        <v>Road Vehicle</v>
      </c>
      <c r="G491" s="49">
        <v>4</v>
      </c>
      <c r="H491" s="39" t="str">
        <f>VLOOKUP(G491,[2]Key!$A$2:$B$14,2,FALSE)</f>
        <v>Minibus</v>
      </c>
      <c r="I491" s="13" t="s">
        <v>156</v>
      </c>
      <c r="J491" s="13">
        <v>2</v>
      </c>
      <c r="K491" s="40" t="str">
        <f>VLOOKUP(J491,[1]Key!$A$24:$B$29,2,FALSE)</f>
        <v>30-39</v>
      </c>
      <c r="L491" s="11" t="s">
        <v>288</v>
      </c>
      <c r="M491" s="23" t="s">
        <v>220</v>
      </c>
      <c r="N491" s="13" t="s">
        <v>221</v>
      </c>
      <c r="O491" s="46">
        <v>1</v>
      </c>
      <c r="P491" s="30" t="str">
        <f>VLOOKUP(O491,[1]Key!$E$2:$F$9,2,FALSE)</f>
        <v>Home</v>
      </c>
      <c r="Q491" s="13" t="s">
        <v>366</v>
      </c>
      <c r="R491" s="23" t="s">
        <v>367</v>
      </c>
      <c r="S491" s="13" t="s">
        <v>221</v>
      </c>
      <c r="T491" s="23">
        <v>4</v>
      </c>
      <c r="U491" s="30" t="str">
        <f>VLOOKUP(T491,[1]Key!$E$2:$F$9,2,FALSE)</f>
        <v>Commercial</v>
      </c>
      <c r="V491" s="30" t="str">
        <f t="shared" si="28"/>
        <v>Home-Commercial</v>
      </c>
      <c r="W491" s="51">
        <v>15000</v>
      </c>
      <c r="X491" s="50">
        <v>125</v>
      </c>
      <c r="Y491" s="50" t="str">
        <f t="shared" si="29"/>
        <v>100-200</v>
      </c>
      <c r="Z491" s="50">
        <v>4</v>
      </c>
      <c r="AA491" s="50" t="str">
        <f t="shared" si="30"/>
        <v>Over 3.5</v>
      </c>
      <c r="AB491" s="23">
        <v>7</v>
      </c>
      <c r="AC491" s="30" t="str">
        <f>VLOOKUP(AB491,[1]Key!$C$20:$D$29,2,FALSE)</f>
        <v>Farmer</v>
      </c>
      <c r="AD491" s="23">
        <v>2</v>
      </c>
      <c r="AE491" s="30" t="str">
        <f>VLOOKUP(AD491,[1]Key!$E$20:$F$24,2,FALSE)</f>
        <v>300,000-500,000</v>
      </c>
      <c r="AF491" s="23">
        <v>5</v>
      </c>
      <c r="AG491" s="50">
        <v>1</v>
      </c>
      <c r="AH491" s="50">
        <v>4</v>
      </c>
      <c r="AI491" s="50">
        <v>3</v>
      </c>
      <c r="AJ491" s="50">
        <v>2</v>
      </c>
      <c r="AK491" s="46" t="s">
        <v>94</v>
      </c>
      <c r="AL491" s="36"/>
      <c r="AM491" t="str">
        <f t="shared" si="31"/>
        <v>0-1000</v>
      </c>
    </row>
    <row r="492" spans="1:39" x14ac:dyDescent="0.2">
      <c r="A492" s="44">
        <v>43759</v>
      </c>
      <c r="B492" s="48">
        <v>0.49374999999999997</v>
      </c>
      <c r="C492" s="48"/>
      <c r="D492" s="48" t="s">
        <v>150</v>
      </c>
      <c r="E492" s="13">
        <v>2</v>
      </c>
      <c r="F492" s="38" t="str">
        <f>VLOOKUP(E492,[1]Key!$A$17:$B$21,2,FALSE)</f>
        <v>Road Vehicle</v>
      </c>
      <c r="G492" s="49">
        <v>4</v>
      </c>
      <c r="H492" s="39" t="str">
        <f>VLOOKUP(G492,[2]Key!$A$2:$B$14,2,FALSE)</f>
        <v>Minibus</v>
      </c>
      <c r="I492" s="13" t="s">
        <v>156</v>
      </c>
      <c r="J492" s="13">
        <v>2</v>
      </c>
      <c r="K492" s="40" t="str">
        <f>VLOOKUP(J492,[1]Key!$A$24:$B$29,2,FALSE)</f>
        <v>30-39</v>
      </c>
      <c r="L492" s="11" t="s">
        <v>288</v>
      </c>
      <c r="M492" s="23" t="s">
        <v>220</v>
      </c>
      <c r="N492" s="13" t="s">
        <v>221</v>
      </c>
      <c r="O492" s="46">
        <v>1</v>
      </c>
      <c r="P492" s="30" t="str">
        <f>VLOOKUP(O492,[1]Key!$E$2:$F$9,2,FALSE)</f>
        <v>Home</v>
      </c>
      <c r="Q492" s="13" t="s">
        <v>364</v>
      </c>
      <c r="R492" s="23" t="s">
        <v>223</v>
      </c>
      <c r="S492" s="13" t="s">
        <v>221</v>
      </c>
      <c r="T492" s="23">
        <v>2</v>
      </c>
      <c r="U492" s="30" t="str">
        <f>VLOOKUP(T492,[1]Key!$E$2:$F$9,2,FALSE)</f>
        <v>Work</v>
      </c>
      <c r="V492" s="30" t="str">
        <f t="shared" si="28"/>
        <v>Home-Work</v>
      </c>
      <c r="W492" s="51">
        <v>4000</v>
      </c>
      <c r="X492" s="50">
        <v>35</v>
      </c>
      <c r="Y492" s="50" t="str">
        <f t="shared" si="29"/>
        <v>20-40</v>
      </c>
      <c r="Z492" s="50">
        <v>0.25</v>
      </c>
      <c r="AA492" s="50" t="str">
        <f t="shared" si="30"/>
        <v>0-0.5</v>
      </c>
      <c r="AB492" s="23">
        <v>10</v>
      </c>
      <c r="AC492" s="30" t="str">
        <f>VLOOKUP(AB492,[1]Key!$C$20:$D$29,2,FALSE)</f>
        <v>Other</v>
      </c>
      <c r="AD492" s="23">
        <v>1</v>
      </c>
      <c r="AE492" s="30" t="str">
        <f>VLOOKUP(AD492,[1]Key!$E$20:$F$24,2,FALSE)</f>
        <v>&lt;300,000</v>
      </c>
      <c r="AF492" s="23">
        <v>2</v>
      </c>
      <c r="AG492" s="50">
        <v>1</v>
      </c>
      <c r="AH492" s="50">
        <v>4</v>
      </c>
      <c r="AI492" s="50">
        <v>3</v>
      </c>
      <c r="AJ492" s="50">
        <v>5</v>
      </c>
      <c r="AK492" s="46" t="s">
        <v>94</v>
      </c>
      <c r="AL492" s="36"/>
      <c r="AM492" t="str">
        <f t="shared" si="31"/>
        <v>0-1000</v>
      </c>
    </row>
    <row r="493" spans="1:39" x14ac:dyDescent="0.2">
      <c r="A493" s="44">
        <v>43759</v>
      </c>
      <c r="B493" s="48">
        <v>0.50347222222222221</v>
      </c>
      <c r="C493" s="48"/>
      <c r="D493" s="48" t="s">
        <v>150</v>
      </c>
      <c r="E493" s="13">
        <v>2</v>
      </c>
      <c r="F493" s="38" t="str">
        <f>VLOOKUP(E493,[1]Key!$A$17:$B$21,2,FALSE)</f>
        <v>Road Vehicle</v>
      </c>
      <c r="G493" s="49">
        <v>4</v>
      </c>
      <c r="H493" s="39" t="str">
        <f>VLOOKUP(G493,[2]Key!$A$2:$B$14,2,FALSE)</f>
        <v>Minibus</v>
      </c>
      <c r="I493" s="13" t="s">
        <v>156</v>
      </c>
      <c r="J493" s="13">
        <v>2</v>
      </c>
      <c r="K493" s="40" t="str">
        <f>VLOOKUP(J493,[1]Key!$A$24:$B$29,2,FALSE)</f>
        <v>30-39</v>
      </c>
      <c r="L493" s="11" t="s">
        <v>225</v>
      </c>
      <c r="M493" s="23" t="s">
        <v>220</v>
      </c>
      <c r="N493" s="13" t="s">
        <v>221</v>
      </c>
      <c r="O493" s="46">
        <v>1</v>
      </c>
      <c r="P493" s="30" t="str">
        <f>VLOOKUP(O493,[1]Key!$E$2:$F$9,2,FALSE)</f>
        <v>Home</v>
      </c>
      <c r="Q493" s="13" t="s">
        <v>274</v>
      </c>
      <c r="R493" s="23" t="s">
        <v>274</v>
      </c>
      <c r="S493" s="13" t="s">
        <v>221</v>
      </c>
      <c r="T493" s="23">
        <v>4</v>
      </c>
      <c r="U493" s="30" t="str">
        <f>VLOOKUP(T493,[1]Key!$E$2:$F$9,2,FALSE)</f>
        <v>Commercial</v>
      </c>
      <c r="V493" s="30" t="str">
        <f t="shared" si="28"/>
        <v>Home-Commercial</v>
      </c>
      <c r="W493" s="51">
        <v>25000</v>
      </c>
      <c r="X493" s="50"/>
      <c r="Y493" s="50" t="str">
        <f t="shared" si="29"/>
        <v>0-10</v>
      </c>
      <c r="Z493" s="50">
        <v>8</v>
      </c>
      <c r="AA493" s="50" t="str">
        <f t="shared" si="30"/>
        <v>Over 3.5</v>
      </c>
      <c r="AB493" s="23">
        <v>6</v>
      </c>
      <c r="AC493" s="30" t="str">
        <f>VLOOKUP(AB493,[1]Key!$C$20:$D$29,2,FALSE)</f>
        <v>Businessman</v>
      </c>
      <c r="AD493" s="23">
        <v>2</v>
      </c>
      <c r="AE493" s="30" t="str">
        <f>VLOOKUP(AD493,[1]Key!$E$20:$F$24,2,FALSE)</f>
        <v>300,000-500,000</v>
      </c>
      <c r="AF493" s="23">
        <v>1</v>
      </c>
      <c r="AG493" s="50">
        <v>5</v>
      </c>
      <c r="AH493" s="50">
        <v>3</v>
      </c>
      <c r="AI493" s="50">
        <v>2</v>
      </c>
      <c r="AJ493" s="50">
        <v>4</v>
      </c>
      <c r="AK493" s="46" t="s">
        <v>94</v>
      </c>
      <c r="AL493" s="36"/>
      <c r="AM493" t="str">
        <f t="shared" si="31"/>
        <v>0-1000</v>
      </c>
    </row>
    <row r="494" spans="1:39" x14ac:dyDescent="0.2">
      <c r="A494" s="44">
        <v>43759</v>
      </c>
      <c r="B494" s="48">
        <v>0.51874999999999993</v>
      </c>
      <c r="C494" s="48"/>
      <c r="D494" s="48" t="s">
        <v>248</v>
      </c>
      <c r="E494" s="13">
        <v>2</v>
      </c>
      <c r="F494" s="38" t="str">
        <f>VLOOKUP(E494,[1]Key!$A$17:$B$21,2,FALSE)</f>
        <v>Road Vehicle</v>
      </c>
      <c r="G494" s="49">
        <v>4</v>
      </c>
      <c r="H494" s="39" t="str">
        <f>VLOOKUP(G494,[2]Key!$A$2:$B$14,2,FALSE)</f>
        <v>Minibus</v>
      </c>
      <c r="I494" s="13" t="s">
        <v>156</v>
      </c>
      <c r="J494" s="13">
        <v>2</v>
      </c>
      <c r="K494" s="40" t="str">
        <f>VLOOKUP(J494,[1]Key!$A$24:$B$29,2,FALSE)</f>
        <v>30-39</v>
      </c>
      <c r="L494" s="11" t="s">
        <v>238</v>
      </c>
      <c r="M494" s="23" t="s">
        <v>220</v>
      </c>
      <c r="N494" s="13" t="s">
        <v>221</v>
      </c>
      <c r="O494" s="46">
        <v>1</v>
      </c>
      <c r="P494" s="30" t="str">
        <f>VLOOKUP(O494,[1]Key!$E$2:$F$9,2,FALSE)</f>
        <v>Home</v>
      </c>
      <c r="Q494" s="13" t="s">
        <v>261</v>
      </c>
      <c r="R494" s="23" t="s">
        <v>223</v>
      </c>
      <c r="S494" s="13" t="s">
        <v>221</v>
      </c>
      <c r="T494" s="23">
        <v>4</v>
      </c>
      <c r="U494" s="30" t="str">
        <f>VLOOKUP(T494,[1]Key!$E$2:$F$9,2,FALSE)</f>
        <v>Commercial</v>
      </c>
      <c r="V494" s="30" t="str">
        <f t="shared" si="28"/>
        <v>Home-Commercial</v>
      </c>
      <c r="W494" s="51">
        <v>8000</v>
      </c>
      <c r="X494" s="50">
        <v>92</v>
      </c>
      <c r="Y494" s="50" t="str">
        <f t="shared" si="29"/>
        <v>70-100</v>
      </c>
      <c r="Z494" s="50">
        <v>3</v>
      </c>
      <c r="AA494" s="50" t="str">
        <f t="shared" si="30"/>
        <v>2.0-3.5</v>
      </c>
      <c r="AB494" s="23">
        <v>6</v>
      </c>
      <c r="AC494" s="30" t="str">
        <f>VLOOKUP(AB494,[1]Key!$C$20:$D$29,2,FALSE)</f>
        <v>Businessman</v>
      </c>
      <c r="AD494" s="23">
        <v>2</v>
      </c>
      <c r="AE494" s="30" t="str">
        <f>VLOOKUP(AD494,[1]Key!$E$20:$F$24,2,FALSE)</f>
        <v>300,000-500,000</v>
      </c>
      <c r="AF494" s="23">
        <v>1</v>
      </c>
      <c r="AG494" s="50">
        <v>2</v>
      </c>
      <c r="AH494" s="50">
        <v>3</v>
      </c>
      <c r="AI494" s="50">
        <v>4</v>
      </c>
      <c r="AJ494" s="50">
        <v>5</v>
      </c>
      <c r="AK494" s="46" t="s">
        <v>94</v>
      </c>
      <c r="AL494" s="36"/>
      <c r="AM494" t="str">
        <f t="shared" si="31"/>
        <v>0-1000</v>
      </c>
    </row>
    <row r="495" spans="1:39" x14ac:dyDescent="0.2">
      <c r="A495" s="44">
        <v>43759</v>
      </c>
      <c r="B495" s="48">
        <v>0.52083333333333337</v>
      </c>
      <c r="C495" s="48"/>
      <c r="D495" s="48" t="s">
        <v>150</v>
      </c>
      <c r="E495" s="13">
        <v>2</v>
      </c>
      <c r="F495" s="38" t="str">
        <f>VLOOKUP(E495,[1]Key!$A$17:$B$21,2,FALSE)</f>
        <v>Road Vehicle</v>
      </c>
      <c r="G495" s="49">
        <v>4</v>
      </c>
      <c r="H495" s="39" t="str">
        <f>VLOOKUP(G495,[2]Key!$A$2:$B$14,2,FALSE)</f>
        <v>Minibus</v>
      </c>
      <c r="I495" s="13" t="s">
        <v>156</v>
      </c>
      <c r="J495" s="13">
        <v>2</v>
      </c>
      <c r="K495" s="40" t="str">
        <f>VLOOKUP(J495,[1]Key!$A$24:$B$29,2,FALSE)</f>
        <v>30-39</v>
      </c>
      <c r="L495" s="11" t="s">
        <v>304</v>
      </c>
      <c r="M495" s="23" t="s">
        <v>220</v>
      </c>
      <c r="N495" s="13" t="s">
        <v>221</v>
      </c>
      <c r="O495" s="46">
        <v>1</v>
      </c>
      <c r="P495" s="30" t="str">
        <f>VLOOKUP(O495,[1]Key!$E$2:$F$9,2,FALSE)</f>
        <v>Home</v>
      </c>
      <c r="Q495" s="13" t="s">
        <v>329</v>
      </c>
      <c r="R495" s="23" t="s">
        <v>223</v>
      </c>
      <c r="S495" s="13" t="s">
        <v>221</v>
      </c>
      <c r="T495" s="23">
        <v>4</v>
      </c>
      <c r="U495" s="30" t="str">
        <f>VLOOKUP(T495,[1]Key!$E$2:$F$9,2,FALSE)</f>
        <v>Commercial</v>
      </c>
      <c r="V495" s="30" t="str">
        <f t="shared" si="28"/>
        <v>Home-Commercial</v>
      </c>
      <c r="W495" s="51">
        <v>8000</v>
      </c>
      <c r="X495" s="50">
        <v>87</v>
      </c>
      <c r="Y495" s="50" t="str">
        <f t="shared" si="29"/>
        <v>70-100</v>
      </c>
      <c r="Z495" s="50">
        <v>2</v>
      </c>
      <c r="AA495" s="50" t="str">
        <f t="shared" si="30"/>
        <v>2.0-3.5</v>
      </c>
      <c r="AB495" s="23">
        <v>6</v>
      </c>
      <c r="AC495" s="30" t="str">
        <f>VLOOKUP(AB495,[1]Key!$C$20:$D$29,2,FALSE)</f>
        <v>Businessman</v>
      </c>
      <c r="AD495" s="23">
        <v>2</v>
      </c>
      <c r="AE495" s="30" t="str">
        <f>VLOOKUP(AD495,[1]Key!$E$20:$F$24,2,FALSE)</f>
        <v>300,000-500,000</v>
      </c>
      <c r="AF495" s="23">
        <v>2</v>
      </c>
      <c r="AG495" s="50">
        <v>1</v>
      </c>
      <c r="AH495" s="50">
        <v>4</v>
      </c>
      <c r="AI495" s="50">
        <v>3</v>
      </c>
      <c r="AJ495" s="50">
        <v>5</v>
      </c>
      <c r="AK495" s="46" t="s">
        <v>94</v>
      </c>
      <c r="AL495" s="36">
        <v>2000</v>
      </c>
      <c r="AM495" t="str">
        <f t="shared" si="31"/>
        <v>2000-3000</v>
      </c>
    </row>
    <row r="496" spans="1:39" x14ac:dyDescent="0.2">
      <c r="A496" s="44">
        <v>43759</v>
      </c>
      <c r="B496" s="48">
        <v>0.53472222222222221</v>
      </c>
      <c r="C496" s="48"/>
      <c r="D496" s="48" t="s">
        <v>150</v>
      </c>
      <c r="E496" s="13">
        <v>2</v>
      </c>
      <c r="F496" s="38" t="str">
        <f>VLOOKUP(E496,[1]Key!$A$17:$B$21,2,FALSE)</f>
        <v>Road Vehicle</v>
      </c>
      <c r="G496" s="49">
        <v>4</v>
      </c>
      <c r="H496" s="39" t="str">
        <f>VLOOKUP(G496,[2]Key!$A$2:$B$14,2,FALSE)</f>
        <v>Minibus</v>
      </c>
      <c r="I496" s="13" t="s">
        <v>156</v>
      </c>
      <c r="J496" s="13">
        <v>2</v>
      </c>
      <c r="K496" s="40" t="str">
        <f>VLOOKUP(J496,[1]Key!$A$24:$B$29,2,FALSE)</f>
        <v>30-39</v>
      </c>
      <c r="L496" s="11" t="s">
        <v>368</v>
      </c>
      <c r="M496" s="23" t="s">
        <v>369</v>
      </c>
      <c r="N496" s="13" t="s">
        <v>221</v>
      </c>
      <c r="O496" s="46">
        <v>1</v>
      </c>
      <c r="P496" s="30" t="str">
        <f>VLOOKUP(O496,[1]Key!$E$2:$F$9,2,FALSE)</f>
        <v>Home</v>
      </c>
      <c r="Q496" s="13" t="s">
        <v>222</v>
      </c>
      <c r="R496" s="23" t="s">
        <v>223</v>
      </c>
      <c r="S496" s="13" t="s">
        <v>221</v>
      </c>
      <c r="T496" s="23">
        <v>4</v>
      </c>
      <c r="U496" s="30" t="str">
        <f>VLOOKUP(T496,[1]Key!$E$2:$F$9,2,FALSE)</f>
        <v>Commercial</v>
      </c>
      <c r="V496" s="30" t="str">
        <f t="shared" si="28"/>
        <v>Home-Commercial</v>
      </c>
      <c r="W496" s="51">
        <v>5000</v>
      </c>
      <c r="X496" s="50"/>
      <c r="Y496" s="50" t="str">
        <f t="shared" si="29"/>
        <v>0-10</v>
      </c>
      <c r="Z496" s="50">
        <v>1.5</v>
      </c>
      <c r="AA496" s="50" t="str">
        <f t="shared" si="30"/>
        <v>1.0-2.0</v>
      </c>
      <c r="AB496" s="23">
        <v>5</v>
      </c>
      <c r="AC496" s="30" t="str">
        <f>VLOOKUP(AB496,[1]Key!$C$20:$D$29,2,FALSE)</f>
        <v>Professional</v>
      </c>
      <c r="AD496" s="23">
        <v>2</v>
      </c>
      <c r="AE496" s="30" t="str">
        <f>VLOOKUP(AD496,[1]Key!$E$20:$F$24,2,FALSE)</f>
        <v>300,000-500,000</v>
      </c>
      <c r="AF496" s="23">
        <v>4</v>
      </c>
      <c r="AG496" s="50">
        <v>1</v>
      </c>
      <c r="AH496" s="50">
        <v>3</v>
      </c>
      <c r="AI496" s="50">
        <v>2</v>
      </c>
      <c r="AJ496" s="50">
        <v>5</v>
      </c>
      <c r="AK496" s="46" t="s">
        <v>94</v>
      </c>
      <c r="AL496" s="36">
        <v>2000</v>
      </c>
      <c r="AM496" t="str">
        <f t="shared" si="31"/>
        <v>2000-3000</v>
      </c>
    </row>
    <row r="497" spans="1:39" x14ac:dyDescent="0.2">
      <c r="A497" s="44">
        <v>43759</v>
      </c>
      <c r="B497" s="48">
        <v>0.54027777777777775</v>
      </c>
      <c r="C497" s="48"/>
      <c r="D497" s="48" t="s">
        <v>150</v>
      </c>
      <c r="E497" s="13">
        <v>2</v>
      </c>
      <c r="F497" s="38" t="str">
        <f>VLOOKUP(E497,[1]Key!$A$17:$B$21,2,FALSE)</f>
        <v>Road Vehicle</v>
      </c>
      <c r="G497" s="49">
        <v>4</v>
      </c>
      <c r="H497" s="39" t="str">
        <f>VLOOKUP(G497,[2]Key!$A$2:$B$14,2,FALSE)</f>
        <v>Minibus</v>
      </c>
      <c r="I497" s="13" t="s">
        <v>156</v>
      </c>
      <c r="J497" s="13">
        <v>2</v>
      </c>
      <c r="K497" s="40" t="str">
        <f>VLOOKUP(J497,[1]Key!$A$24:$B$29,2,FALSE)</f>
        <v>30-39</v>
      </c>
      <c r="L497" s="11" t="s">
        <v>291</v>
      </c>
      <c r="M497" s="23" t="s">
        <v>268</v>
      </c>
      <c r="N497" s="13" t="s">
        <v>221</v>
      </c>
      <c r="O497" s="46">
        <v>2</v>
      </c>
      <c r="P497" s="30" t="str">
        <f>VLOOKUP(O497,[1]Key!$E$2:$F$9,2,FALSE)</f>
        <v>Work</v>
      </c>
      <c r="Q497" s="13" t="s">
        <v>370</v>
      </c>
      <c r="R497" s="23" t="s">
        <v>223</v>
      </c>
      <c r="S497" s="13" t="s">
        <v>221</v>
      </c>
      <c r="T497" s="23">
        <v>4</v>
      </c>
      <c r="U497" s="30" t="str">
        <f>VLOOKUP(T497,[1]Key!$E$2:$F$9,2,FALSE)</f>
        <v>Commercial</v>
      </c>
      <c r="V497" s="30" t="str">
        <f t="shared" si="28"/>
        <v>Work-Commercial</v>
      </c>
      <c r="W497" s="51">
        <v>10000</v>
      </c>
      <c r="X497" s="50"/>
      <c r="Y497" s="50" t="str">
        <f t="shared" si="29"/>
        <v>0-10</v>
      </c>
      <c r="Z497" s="50">
        <v>2</v>
      </c>
      <c r="AA497" s="50" t="str">
        <f t="shared" si="30"/>
        <v>2.0-3.5</v>
      </c>
      <c r="AB497" s="23">
        <v>5</v>
      </c>
      <c r="AC497" s="30" t="str">
        <f>VLOOKUP(AB497,[1]Key!$C$20:$D$29,2,FALSE)</f>
        <v>Professional</v>
      </c>
      <c r="AD497" s="23">
        <v>2</v>
      </c>
      <c r="AE497" s="30" t="str">
        <f>VLOOKUP(AD497,[1]Key!$E$20:$F$24,2,FALSE)</f>
        <v>300,000-500,000</v>
      </c>
      <c r="AF497" s="23">
        <v>2</v>
      </c>
      <c r="AG497" s="50">
        <v>3</v>
      </c>
      <c r="AH497" s="50">
        <v>4</v>
      </c>
      <c r="AI497" s="50">
        <v>1</v>
      </c>
      <c r="AJ497" s="50">
        <v>5</v>
      </c>
      <c r="AK497" s="46" t="s">
        <v>94</v>
      </c>
      <c r="AL497" s="36">
        <v>2018</v>
      </c>
      <c r="AM497" t="str">
        <f t="shared" si="31"/>
        <v>2000-3000</v>
      </c>
    </row>
    <row r="498" spans="1:39" x14ac:dyDescent="0.2">
      <c r="A498" s="44">
        <v>43759</v>
      </c>
      <c r="B498" s="48">
        <v>0.53125</v>
      </c>
      <c r="C498" s="48"/>
      <c r="D498" s="48" t="s">
        <v>248</v>
      </c>
      <c r="E498" s="13">
        <v>2</v>
      </c>
      <c r="F498" s="38" t="str">
        <f>VLOOKUP(E498,[1]Key!$A$17:$B$21,2,FALSE)</f>
        <v>Road Vehicle</v>
      </c>
      <c r="G498" s="49">
        <v>4</v>
      </c>
      <c r="H498" s="39" t="str">
        <f>VLOOKUP(G498,[2]Key!$A$2:$B$14,2,FALSE)</f>
        <v>Minibus</v>
      </c>
      <c r="I498" s="13" t="s">
        <v>156</v>
      </c>
      <c r="J498" s="13">
        <v>2</v>
      </c>
      <c r="K498" s="40" t="str">
        <f>VLOOKUP(J498,[1]Key!$A$24:$B$29,2,FALSE)</f>
        <v>30-39</v>
      </c>
      <c r="L498" s="11" t="s">
        <v>371</v>
      </c>
      <c r="M498" s="23" t="s">
        <v>263</v>
      </c>
      <c r="N498" s="13" t="s">
        <v>221</v>
      </c>
      <c r="O498" s="46">
        <v>1</v>
      </c>
      <c r="P498" s="30" t="str">
        <f>VLOOKUP(O498,[1]Key!$E$2:$F$9,2,FALSE)</f>
        <v>Home</v>
      </c>
      <c r="Q498" s="13" t="s">
        <v>223</v>
      </c>
      <c r="R498" s="23" t="s">
        <v>223</v>
      </c>
      <c r="S498" s="13" t="s">
        <v>221</v>
      </c>
      <c r="T498" s="23">
        <v>1</v>
      </c>
      <c r="U498" s="30" t="str">
        <f>VLOOKUP(T498,[1]Key!$E$2:$F$9,2,FALSE)</f>
        <v>Home</v>
      </c>
      <c r="V498" s="30" t="str">
        <f t="shared" si="28"/>
        <v>Home-Home</v>
      </c>
      <c r="W498" s="51">
        <v>6000</v>
      </c>
      <c r="X498" s="50"/>
      <c r="Y498" s="50" t="str">
        <f t="shared" si="29"/>
        <v>0-10</v>
      </c>
      <c r="Z498" s="50">
        <v>1.5</v>
      </c>
      <c r="AA498" s="50" t="str">
        <f t="shared" si="30"/>
        <v>1.0-2.0</v>
      </c>
      <c r="AB498" s="23">
        <v>2</v>
      </c>
      <c r="AC498" s="30" t="str">
        <f>VLOOKUP(AB498,[1]Key!$C$20:$D$29,2,FALSE)</f>
        <v>Manual Labour</v>
      </c>
      <c r="AD498" s="23">
        <v>1</v>
      </c>
      <c r="AE498" s="30" t="str">
        <f>VLOOKUP(AD498,[1]Key!$E$20:$F$24,2,FALSE)</f>
        <v>&lt;300,000</v>
      </c>
      <c r="AF498" s="23">
        <v>1</v>
      </c>
      <c r="AG498" s="50">
        <v>5</v>
      </c>
      <c r="AH498" s="50">
        <v>3</v>
      </c>
      <c r="AI498" s="50">
        <v>2</v>
      </c>
      <c r="AJ498" s="50">
        <v>4</v>
      </c>
      <c r="AK498" s="46" t="s">
        <v>94</v>
      </c>
      <c r="AL498" s="36"/>
      <c r="AM498" t="str">
        <f t="shared" si="31"/>
        <v>0-1000</v>
      </c>
    </row>
    <row r="499" spans="1:39" x14ac:dyDescent="0.2">
      <c r="A499" s="44">
        <v>43761</v>
      </c>
      <c r="B499" s="48">
        <v>0.1875</v>
      </c>
      <c r="C499" s="48"/>
      <c r="D499" s="48" t="s">
        <v>150</v>
      </c>
      <c r="E499" s="13">
        <v>2</v>
      </c>
      <c r="F499" s="38" t="str">
        <f>VLOOKUP(E499,[2]Key!$A$17:$B$21,2,FALSE)</f>
        <v>Road Vehicle</v>
      </c>
      <c r="G499" s="49">
        <v>4</v>
      </c>
      <c r="H499" s="39" t="str">
        <f>VLOOKUP(G499,[2]Key!$A$2:$B$14,2,FALSE)</f>
        <v>Minibus</v>
      </c>
      <c r="I499" s="13" t="s">
        <v>156</v>
      </c>
      <c r="J499" s="13">
        <v>2</v>
      </c>
      <c r="K499" s="40" t="str">
        <f>VLOOKUP(J499,[2]Key!$A$24:$B$29,2,FALSE)</f>
        <v>30-39</v>
      </c>
      <c r="L499" s="11" t="s">
        <v>220</v>
      </c>
      <c r="M499" s="23" t="s">
        <v>223</v>
      </c>
      <c r="N499" s="13" t="s">
        <v>221</v>
      </c>
      <c r="O499" s="46">
        <v>4</v>
      </c>
      <c r="P499" s="30" t="str">
        <f>VLOOKUP(O499,[2]Key!$E$2:$F$9,2,FALSE)</f>
        <v>Commercial</v>
      </c>
      <c r="Q499" s="13" t="s">
        <v>267</v>
      </c>
      <c r="R499" s="23" t="s">
        <v>223</v>
      </c>
      <c r="S499" s="13" t="s">
        <v>221</v>
      </c>
      <c r="T499" s="23">
        <v>4</v>
      </c>
      <c r="U499" s="30" t="str">
        <f>VLOOKUP(T499,[2]Key!$E$2:$F$9,2,FALSE)</f>
        <v>Commercial</v>
      </c>
      <c r="V499" s="30" t="str">
        <f t="shared" si="28"/>
        <v>Commercial-Commercial</v>
      </c>
      <c r="W499" s="23">
        <v>7000</v>
      </c>
      <c r="X499" s="50">
        <v>45</v>
      </c>
      <c r="Y499" s="50" t="str">
        <f t="shared" si="29"/>
        <v>40-70</v>
      </c>
      <c r="Z499" s="50">
        <v>1.5</v>
      </c>
      <c r="AA499" s="50" t="str">
        <f t="shared" si="30"/>
        <v>1.0-2.0</v>
      </c>
      <c r="AB499" s="23">
        <v>6</v>
      </c>
      <c r="AC499" s="30" t="str">
        <f>VLOOKUP(AB499,[2]Key!$C$20:$D$29,2,FALSE)</f>
        <v>Businessman</v>
      </c>
      <c r="AD499" s="23">
        <v>1</v>
      </c>
      <c r="AE499" s="30" t="str">
        <f>VLOOKUP(AD499,[2]Key!$E$20:$F$24,2,FALSE)</f>
        <v>&lt;300,000</v>
      </c>
      <c r="AF499" s="23">
        <v>1</v>
      </c>
      <c r="AG499" s="50">
        <v>2</v>
      </c>
      <c r="AH499" s="50">
        <v>4</v>
      </c>
      <c r="AI499" s="50">
        <v>3</v>
      </c>
      <c r="AJ499" s="50">
        <v>5</v>
      </c>
      <c r="AK499" s="46" t="s">
        <v>94</v>
      </c>
      <c r="AL499" s="36">
        <v>2000</v>
      </c>
      <c r="AM499" t="str">
        <f t="shared" si="31"/>
        <v>2000-3000</v>
      </c>
    </row>
    <row r="500" spans="1:39" x14ac:dyDescent="0.2">
      <c r="A500" s="44">
        <v>43761</v>
      </c>
      <c r="B500" s="48">
        <v>0.20138888888888887</v>
      </c>
      <c r="C500" s="48"/>
      <c r="D500" s="48" t="s">
        <v>150</v>
      </c>
      <c r="E500" s="13">
        <v>2</v>
      </c>
      <c r="F500" s="38" t="str">
        <f>VLOOKUP(E500,[2]Key!$A$17:$B$21,2,FALSE)</f>
        <v>Road Vehicle</v>
      </c>
      <c r="G500" s="49">
        <v>4</v>
      </c>
      <c r="H500" s="39" t="str">
        <f>VLOOKUP(G500,[2]Key!$A$2:$B$14,2,FALSE)</f>
        <v>Minibus</v>
      </c>
      <c r="I500" s="13" t="s">
        <v>156</v>
      </c>
      <c r="J500" s="13">
        <v>2</v>
      </c>
      <c r="K500" s="40" t="str">
        <f>VLOOKUP(J500,[2]Key!$A$24:$B$29,2,FALSE)</f>
        <v>30-39</v>
      </c>
      <c r="L500" s="11" t="s">
        <v>339</v>
      </c>
      <c r="M500" s="23" t="s">
        <v>223</v>
      </c>
      <c r="N500" s="13" t="s">
        <v>221</v>
      </c>
      <c r="O500" s="46">
        <v>1</v>
      </c>
      <c r="P500" s="30" t="str">
        <f>VLOOKUP(O500,[2]Key!$E$2:$F$9,2,FALSE)</f>
        <v>Home</v>
      </c>
      <c r="Q500" s="13" t="s">
        <v>329</v>
      </c>
      <c r="R500" s="23" t="s">
        <v>223</v>
      </c>
      <c r="S500" s="13" t="s">
        <v>221</v>
      </c>
      <c r="T500" s="23">
        <v>4</v>
      </c>
      <c r="U500" s="30" t="str">
        <f>VLOOKUP(T500,[2]Key!$E$2:$F$9,2,FALSE)</f>
        <v>Commercial</v>
      </c>
      <c r="V500" s="30" t="str">
        <f t="shared" si="28"/>
        <v>Home-Commercial</v>
      </c>
      <c r="W500" s="51">
        <v>12000</v>
      </c>
      <c r="X500" s="50"/>
      <c r="Y500" s="50" t="str">
        <f t="shared" si="29"/>
        <v>0-10</v>
      </c>
      <c r="Z500" s="50">
        <v>2</v>
      </c>
      <c r="AA500" s="50" t="str">
        <f t="shared" si="30"/>
        <v>2.0-3.5</v>
      </c>
      <c r="AB500" s="23">
        <v>6</v>
      </c>
      <c r="AC500" s="30" t="str">
        <f>VLOOKUP(AB500,[2]Key!$C$20:$D$29,2,FALSE)</f>
        <v>Businessman</v>
      </c>
      <c r="AD500" s="23">
        <v>1</v>
      </c>
      <c r="AE500" s="30" t="str">
        <f>VLOOKUP(AD500,[2]Key!$E$20:$F$24,2,FALSE)</f>
        <v>&lt;300,000</v>
      </c>
      <c r="AF500" s="23"/>
      <c r="AG500" s="50"/>
      <c r="AH500" s="50"/>
      <c r="AI500" s="50"/>
      <c r="AJ500" s="50"/>
      <c r="AK500" s="46"/>
      <c r="AL500" s="36"/>
      <c r="AM500" t="str">
        <f t="shared" si="31"/>
        <v>0-1000</v>
      </c>
    </row>
    <row r="501" spans="1:39" x14ac:dyDescent="0.2">
      <c r="A501" s="44">
        <v>43761</v>
      </c>
      <c r="B501" s="48">
        <v>0.23055555555555554</v>
      </c>
      <c r="C501" s="48"/>
      <c r="D501" s="48" t="s">
        <v>248</v>
      </c>
      <c r="E501" s="13">
        <v>2</v>
      </c>
      <c r="F501" s="38" t="str">
        <f>VLOOKUP(E501,[2]Key!$A$17:$B$21,2,FALSE)</f>
        <v>Road Vehicle</v>
      </c>
      <c r="G501" s="49">
        <v>4</v>
      </c>
      <c r="H501" s="39" t="str">
        <f>VLOOKUP(G501,[2]Key!$A$2:$B$14,2,FALSE)</f>
        <v>Minibus</v>
      </c>
      <c r="I501" s="13" t="s">
        <v>156</v>
      </c>
      <c r="J501" s="13">
        <v>2</v>
      </c>
      <c r="K501" s="40" t="str">
        <f>VLOOKUP(J501,[2]Key!$A$24:$B$29,2,FALSE)</f>
        <v>30-39</v>
      </c>
      <c r="L501" s="11" t="s">
        <v>254</v>
      </c>
      <c r="M501" s="23" t="s">
        <v>268</v>
      </c>
      <c r="N501" s="13" t="s">
        <v>221</v>
      </c>
      <c r="O501" s="46">
        <v>2</v>
      </c>
      <c r="P501" s="30" t="str">
        <f>VLOOKUP(O501,[2]Key!$E$2:$F$9,2,FALSE)</f>
        <v>Work</v>
      </c>
      <c r="Q501" s="13" t="s">
        <v>272</v>
      </c>
      <c r="R501" s="23" t="s">
        <v>223</v>
      </c>
      <c r="S501" s="13" t="s">
        <v>221</v>
      </c>
      <c r="T501" s="23">
        <v>1</v>
      </c>
      <c r="U501" s="30" t="str">
        <f>VLOOKUP(T501,[2]Key!$E$2:$F$9,2,FALSE)</f>
        <v>Home</v>
      </c>
      <c r="V501" s="30" t="str">
        <f t="shared" si="28"/>
        <v>Work-Home</v>
      </c>
      <c r="W501" s="23">
        <v>9000</v>
      </c>
      <c r="X501" s="50"/>
      <c r="Y501" s="50" t="str">
        <f t="shared" si="29"/>
        <v>0-10</v>
      </c>
      <c r="Z501" s="50">
        <v>2</v>
      </c>
      <c r="AA501" s="50" t="str">
        <f t="shared" si="30"/>
        <v>2.0-3.5</v>
      </c>
      <c r="AB501" s="23">
        <v>2</v>
      </c>
      <c r="AC501" s="30" t="str">
        <f>VLOOKUP(AB501,[2]Key!$C$20:$D$29,2,FALSE)</f>
        <v>Manual Labour</v>
      </c>
      <c r="AD501" s="23">
        <v>1</v>
      </c>
      <c r="AE501" s="30" t="str">
        <f>VLOOKUP(AD501,[2]Key!$E$20:$F$24,2,FALSE)</f>
        <v>&lt;300,000</v>
      </c>
      <c r="AF501" s="23">
        <v>4</v>
      </c>
      <c r="AG501" s="50">
        <v>3</v>
      </c>
      <c r="AH501" s="50">
        <v>5</v>
      </c>
      <c r="AI501" s="50">
        <v>2</v>
      </c>
      <c r="AJ501" s="50">
        <v>1</v>
      </c>
      <c r="AK501" s="46" t="s">
        <v>94</v>
      </c>
      <c r="AL501" s="36">
        <v>400</v>
      </c>
      <c r="AM501" t="str">
        <f t="shared" si="31"/>
        <v>0-1000</v>
      </c>
    </row>
    <row r="502" spans="1:39" x14ac:dyDescent="0.2">
      <c r="A502" s="44">
        <v>43761</v>
      </c>
      <c r="B502" s="48">
        <v>0.15</v>
      </c>
      <c r="C502" s="48"/>
      <c r="D502" s="48" t="s">
        <v>248</v>
      </c>
      <c r="E502" s="13">
        <v>2</v>
      </c>
      <c r="F502" s="38" t="str">
        <f>VLOOKUP(E502,[2]Key!$A$17:$B$21,2,FALSE)</f>
        <v>Road Vehicle</v>
      </c>
      <c r="G502" s="49">
        <v>4</v>
      </c>
      <c r="H502" s="39" t="str">
        <f>VLOOKUP(G502,[2]Key!$A$2:$B$14,2,FALSE)</f>
        <v>Minibus</v>
      </c>
      <c r="I502" s="13" t="s">
        <v>156</v>
      </c>
      <c r="J502" s="13">
        <v>2</v>
      </c>
      <c r="K502" s="40" t="str">
        <f>VLOOKUP(J502,[2]Key!$A$24:$B$29,2,FALSE)</f>
        <v>30-39</v>
      </c>
      <c r="L502" s="11" t="s">
        <v>323</v>
      </c>
      <c r="M502" s="23" t="s">
        <v>220</v>
      </c>
      <c r="N502" s="13" t="s">
        <v>221</v>
      </c>
      <c r="O502" s="46">
        <v>1</v>
      </c>
      <c r="P502" s="30" t="str">
        <f>VLOOKUP(O502,[2]Key!$E$2:$F$9,2,FALSE)</f>
        <v>Home</v>
      </c>
      <c r="Q502" s="13" t="s">
        <v>225</v>
      </c>
      <c r="R502" s="23" t="s">
        <v>223</v>
      </c>
      <c r="S502" s="13" t="s">
        <v>221</v>
      </c>
      <c r="T502" s="23">
        <v>6</v>
      </c>
      <c r="U502" s="30" t="str">
        <f>VLOOKUP(T502,[2]Key!$E$2:$F$9,2,FALSE)</f>
        <v>Leisure/Social</v>
      </c>
      <c r="V502" s="30" t="str">
        <f t="shared" si="28"/>
        <v>Home-Leisure/Social</v>
      </c>
      <c r="W502" s="23">
        <v>6000</v>
      </c>
      <c r="X502" s="50">
        <v>40</v>
      </c>
      <c r="Y502" s="50" t="str">
        <f t="shared" si="29"/>
        <v>40-70</v>
      </c>
      <c r="Z502" s="50">
        <v>1</v>
      </c>
      <c r="AA502" s="50" t="str">
        <f t="shared" si="30"/>
        <v>1.0-2.0</v>
      </c>
      <c r="AB502" s="23">
        <v>1</v>
      </c>
      <c r="AC502" s="30" t="str">
        <f>VLOOKUP(AB502,[2]Key!$C$20:$D$29,2,FALSE)</f>
        <v>Unemployed</v>
      </c>
      <c r="AD502" s="23">
        <v>1</v>
      </c>
      <c r="AE502" s="30" t="str">
        <f>VLOOKUP(AD502,[2]Key!$E$20:$F$24,2,FALSE)</f>
        <v>&lt;300,000</v>
      </c>
      <c r="AF502" s="23">
        <v>5</v>
      </c>
      <c r="AG502" s="50">
        <v>2</v>
      </c>
      <c r="AH502" s="50">
        <v>3</v>
      </c>
      <c r="AI502" s="50">
        <v>1</v>
      </c>
      <c r="AJ502" s="50">
        <v>4</v>
      </c>
      <c r="AK502" s="46" t="s">
        <v>94</v>
      </c>
      <c r="AL502" s="36">
        <v>100</v>
      </c>
      <c r="AM502" t="str">
        <f t="shared" si="31"/>
        <v>0-1000</v>
      </c>
    </row>
    <row r="503" spans="1:39" x14ac:dyDescent="0.2">
      <c r="A503" s="44">
        <v>43761</v>
      </c>
      <c r="B503" s="48">
        <v>0.49027777777777781</v>
      </c>
      <c r="C503" s="48"/>
      <c r="D503" s="48" t="s">
        <v>248</v>
      </c>
      <c r="E503" s="13">
        <v>2</v>
      </c>
      <c r="F503" s="38" t="str">
        <f>VLOOKUP(E503,[2]Key!$A$17:$B$21,2,FALSE)</f>
        <v>Road Vehicle</v>
      </c>
      <c r="G503" s="49">
        <v>4</v>
      </c>
      <c r="H503" s="39" t="str">
        <f>VLOOKUP(G503,[2]Key!$A$2:$B$14,2,FALSE)</f>
        <v>Minibus</v>
      </c>
      <c r="I503" s="13" t="s">
        <v>156</v>
      </c>
      <c r="J503" s="13">
        <v>2</v>
      </c>
      <c r="K503" s="40" t="str">
        <f>VLOOKUP(J503,[2]Key!$A$24:$B$29,2,FALSE)</f>
        <v>30-39</v>
      </c>
      <c r="L503" s="11" t="s">
        <v>259</v>
      </c>
      <c r="M503" s="23" t="s">
        <v>295</v>
      </c>
      <c r="N503" s="13" t="s">
        <v>221</v>
      </c>
      <c r="O503" s="46">
        <v>8</v>
      </c>
      <c r="P503" s="30" t="str">
        <f>VLOOKUP(O503,[2]Key!$E$2:$F$9,2,FALSE)</f>
        <v>Others</v>
      </c>
      <c r="Q503" s="13" t="s">
        <v>372</v>
      </c>
      <c r="R503" s="23" t="s">
        <v>344</v>
      </c>
      <c r="S503" s="13" t="s">
        <v>221</v>
      </c>
      <c r="T503" s="23">
        <v>1</v>
      </c>
      <c r="U503" s="30" t="str">
        <f>VLOOKUP(T503,[2]Key!$E$2:$F$9,2,FALSE)</f>
        <v>Home</v>
      </c>
      <c r="V503" s="30" t="str">
        <f t="shared" si="28"/>
        <v>Others-Home</v>
      </c>
      <c r="W503" s="51">
        <v>22000</v>
      </c>
      <c r="X503" s="50">
        <v>155</v>
      </c>
      <c r="Y503" s="50" t="str">
        <f t="shared" si="29"/>
        <v>100-200</v>
      </c>
      <c r="Z503" s="50">
        <v>3.5</v>
      </c>
      <c r="AA503" s="50" t="str">
        <f t="shared" si="30"/>
        <v>Over 3.5</v>
      </c>
      <c r="AB503" s="23">
        <v>6</v>
      </c>
      <c r="AC503" s="30" t="str">
        <f>VLOOKUP(AB503,[2]Key!$C$20:$D$29,2,FALSE)</f>
        <v>Businessman</v>
      </c>
      <c r="AD503" s="23">
        <v>2</v>
      </c>
      <c r="AE503" s="30" t="str">
        <f>VLOOKUP(AD503,[2]Key!$E$20:$F$24,2,FALSE)</f>
        <v>300,000-500,000</v>
      </c>
      <c r="AF503" s="23">
        <v>5</v>
      </c>
      <c r="AG503" s="50">
        <v>2</v>
      </c>
      <c r="AH503" s="50">
        <v>3</v>
      </c>
      <c r="AI503" s="50">
        <v>1</v>
      </c>
      <c r="AJ503" s="50">
        <v>4</v>
      </c>
      <c r="AK503" s="46" t="s">
        <v>94</v>
      </c>
      <c r="AL503" s="36">
        <v>1000</v>
      </c>
      <c r="AM503" t="str">
        <f t="shared" si="31"/>
        <v>1000-2000</v>
      </c>
    </row>
    <row r="504" spans="1:39" x14ac:dyDescent="0.2">
      <c r="A504" s="44">
        <v>43761</v>
      </c>
      <c r="B504" s="48" t="s">
        <v>373</v>
      </c>
      <c r="C504" s="48"/>
      <c r="D504" s="48" t="s">
        <v>150</v>
      </c>
      <c r="E504" s="13">
        <v>2</v>
      </c>
      <c r="F504" s="38" t="str">
        <f>VLOOKUP(E504,[2]Key!$A$17:$B$21,2,FALSE)</f>
        <v>Road Vehicle</v>
      </c>
      <c r="G504" s="49">
        <v>4</v>
      </c>
      <c r="H504" s="39" t="str">
        <f>VLOOKUP(G504,[2]Key!$A$2:$B$14,2,FALSE)</f>
        <v>Minibus</v>
      </c>
      <c r="I504" s="13" t="s">
        <v>156</v>
      </c>
      <c r="J504" s="13">
        <v>2</v>
      </c>
      <c r="K504" s="40" t="str">
        <f>VLOOKUP(J504,[2]Key!$A$24:$B$29,2,FALSE)</f>
        <v>30-39</v>
      </c>
      <c r="L504" s="11" t="s">
        <v>334</v>
      </c>
      <c r="M504" s="23" t="s">
        <v>223</v>
      </c>
      <c r="N504" s="13" t="s">
        <v>221</v>
      </c>
      <c r="O504" s="46">
        <v>6</v>
      </c>
      <c r="P504" s="30" t="str">
        <f>VLOOKUP(O504,[2]Key!$E$2:$F$9,2,FALSE)</f>
        <v>Leisure/Social</v>
      </c>
      <c r="Q504" s="13" t="s">
        <v>345</v>
      </c>
      <c r="R504" s="23" t="s">
        <v>223</v>
      </c>
      <c r="S504" s="13" t="s">
        <v>221</v>
      </c>
      <c r="T504" s="23">
        <v>1</v>
      </c>
      <c r="U504" s="30" t="str">
        <f>VLOOKUP(T504,[2]Key!$E$2:$F$9,2,FALSE)</f>
        <v>Home</v>
      </c>
      <c r="V504" s="30" t="str">
        <f t="shared" si="28"/>
        <v>Leisure/Social-Home</v>
      </c>
      <c r="W504" s="23">
        <v>7000</v>
      </c>
      <c r="X504" s="50"/>
      <c r="Y504" s="50" t="str">
        <f t="shared" si="29"/>
        <v>0-10</v>
      </c>
      <c r="Z504" s="50">
        <v>1.5</v>
      </c>
      <c r="AA504" s="50" t="str">
        <f t="shared" si="30"/>
        <v>1.0-2.0</v>
      </c>
      <c r="AB504" s="23">
        <v>6</v>
      </c>
      <c r="AC504" s="30" t="str">
        <f>VLOOKUP(AB504,[2]Key!$C$20:$D$29,2,FALSE)</f>
        <v>Businessman</v>
      </c>
      <c r="AD504" s="23">
        <v>1</v>
      </c>
      <c r="AE504" s="30" t="str">
        <f>VLOOKUP(AD504,[2]Key!$E$20:$F$24,2,FALSE)</f>
        <v>&lt;300,000</v>
      </c>
      <c r="AF504" s="23">
        <v>4</v>
      </c>
      <c r="AG504" s="50">
        <v>5</v>
      </c>
      <c r="AH504" s="50">
        <v>3</v>
      </c>
      <c r="AI504" s="50">
        <v>1</v>
      </c>
      <c r="AJ504" s="50">
        <v>2</v>
      </c>
      <c r="AK504" s="46" t="s">
        <v>94</v>
      </c>
      <c r="AL504" s="36">
        <v>1000</v>
      </c>
      <c r="AM504" t="str">
        <f t="shared" si="31"/>
        <v>1000-2000</v>
      </c>
    </row>
    <row r="505" spans="1:39" x14ac:dyDescent="0.2">
      <c r="A505" s="44">
        <v>43759</v>
      </c>
      <c r="B505" s="48">
        <v>8.3333333333333329E-2</v>
      </c>
      <c r="C505" s="48"/>
      <c r="D505" s="48" t="s">
        <v>150</v>
      </c>
      <c r="E505" s="13">
        <v>2</v>
      </c>
      <c r="F505" s="38" t="str">
        <f>VLOOKUP(E505,[2]Key!$A$17:$B$21,2,FALSE)</f>
        <v>Road Vehicle</v>
      </c>
      <c r="G505" s="49">
        <v>4</v>
      </c>
      <c r="H505" s="39" t="str">
        <f>VLOOKUP(G505,[2]Key!$A$2:$B$14,2,FALSE)</f>
        <v>Minibus</v>
      </c>
      <c r="I505" s="13" t="s">
        <v>109</v>
      </c>
      <c r="J505" s="13">
        <v>2</v>
      </c>
      <c r="K505" s="40" t="str">
        <f>VLOOKUP(J505,[2]Key!$A$24:$B$29,2,FALSE)</f>
        <v>30-39</v>
      </c>
      <c r="L505" s="11" t="s">
        <v>225</v>
      </c>
      <c r="M505" s="23" t="s">
        <v>220</v>
      </c>
      <c r="N505" s="13" t="s">
        <v>221</v>
      </c>
      <c r="O505" s="46">
        <v>1</v>
      </c>
      <c r="P505" s="30" t="str">
        <f>VLOOKUP(O505,[2]Key!$E$2:$F$9,2,FALSE)</f>
        <v>Home</v>
      </c>
      <c r="Q505" s="13" t="s">
        <v>374</v>
      </c>
      <c r="R505" s="23" t="s">
        <v>223</v>
      </c>
      <c r="S505" s="13" t="s">
        <v>221</v>
      </c>
      <c r="T505" s="23">
        <v>6</v>
      </c>
      <c r="U505" s="30" t="str">
        <f>VLOOKUP(T505,[2]Key!$E$2:$F$9,2,FALSE)</f>
        <v>Leisure/Social</v>
      </c>
      <c r="V505" s="30" t="str">
        <f t="shared" si="28"/>
        <v>Home-Leisure/Social</v>
      </c>
      <c r="W505" s="41">
        <v>5000</v>
      </c>
      <c r="X505" s="50"/>
      <c r="Y505" s="50" t="str">
        <f t="shared" si="29"/>
        <v>0-10</v>
      </c>
      <c r="Z505" s="50">
        <v>1.5</v>
      </c>
      <c r="AA505" s="50" t="str">
        <f t="shared" si="30"/>
        <v>1.0-2.0</v>
      </c>
      <c r="AB505" s="23">
        <v>5</v>
      </c>
      <c r="AC505" s="30" t="str">
        <f>VLOOKUP(AB505,[2]Key!$C$20:$D$29,2,FALSE)</f>
        <v>Professional</v>
      </c>
      <c r="AD505" s="23">
        <v>2</v>
      </c>
      <c r="AE505" s="30" t="str">
        <f>VLOOKUP(AD505,[2]Key!$E$20:$F$24,2,FALSE)</f>
        <v>300,000-500,000</v>
      </c>
      <c r="AF505" s="23">
        <v>2</v>
      </c>
      <c r="AG505" s="50">
        <v>4</v>
      </c>
      <c r="AH505" s="50">
        <v>1</v>
      </c>
      <c r="AI505" s="50">
        <v>5</v>
      </c>
      <c r="AJ505" s="50">
        <v>3</v>
      </c>
      <c r="AK505" s="46" t="s">
        <v>94</v>
      </c>
      <c r="AL505" s="36">
        <v>500</v>
      </c>
      <c r="AM505" t="str">
        <f t="shared" si="31"/>
        <v>0-1000</v>
      </c>
    </row>
    <row r="506" spans="1:39" x14ac:dyDescent="0.2">
      <c r="A506" s="44">
        <v>43759</v>
      </c>
      <c r="B506" s="48">
        <v>0.25</v>
      </c>
      <c r="C506" s="48"/>
      <c r="D506" s="48" t="s">
        <v>150</v>
      </c>
      <c r="E506" s="13">
        <v>2</v>
      </c>
      <c r="F506" s="38" t="str">
        <f>VLOOKUP(E506,[2]Key!$A$17:$B$21,2,FALSE)</f>
        <v>Road Vehicle</v>
      </c>
      <c r="G506" s="49">
        <v>4</v>
      </c>
      <c r="H506" s="39" t="str">
        <f>VLOOKUP(G506,[2]Key!$A$2:$B$14,2,FALSE)</f>
        <v>Minibus</v>
      </c>
      <c r="I506" s="13" t="s">
        <v>109</v>
      </c>
      <c r="J506" s="13">
        <v>2</v>
      </c>
      <c r="K506" s="40" t="str">
        <f>VLOOKUP(J506,[2]Key!$A$24:$B$29,2,FALSE)</f>
        <v>30-39</v>
      </c>
      <c r="L506" s="11" t="s">
        <v>286</v>
      </c>
      <c r="M506" s="23" t="s">
        <v>223</v>
      </c>
      <c r="N506" s="13" t="s">
        <v>221</v>
      </c>
      <c r="O506" s="46">
        <v>2</v>
      </c>
      <c r="P506" s="30" t="str">
        <f>VLOOKUP(O506,[2]Key!$E$2:$F$9,2,FALSE)</f>
        <v>Work</v>
      </c>
      <c r="Q506" s="13" t="s">
        <v>375</v>
      </c>
      <c r="R506" s="23" t="s">
        <v>223</v>
      </c>
      <c r="S506" s="13" t="s">
        <v>221</v>
      </c>
      <c r="T506" s="23">
        <v>1</v>
      </c>
      <c r="U506" s="30" t="str">
        <f>VLOOKUP(T506,[2]Key!$E$2:$F$9,2,FALSE)</f>
        <v>Home</v>
      </c>
      <c r="V506" s="30" t="str">
        <f t="shared" si="28"/>
        <v>Work-Home</v>
      </c>
      <c r="W506" s="41">
        <v>5000</v>
      </c>
      <c r="X506" s="50"/>
      <c r="Y506" s="50" t="str">
        <f t="shared" si="29"/>
        <v>0-10</v>
      </c>
      <c r="Z506" s="50">
        <v>1</v>
      </c>
      <c r="AA506" s="50" t="str">
        <f t="shared" si="30"/>
        <v>1.0-2.0</v>
      </c>
      <c r="AB506" s="23">
        <v>4</v>
      </c>
      <c r="AC506" s="30" t="str">
        <f>VLOOKUP(AB506,[2]Key!$C$20:$D$29,2,FALSE)</f>
        <v>Office Worker</v>
      </c>
      <c r="AD506" s="23">
        <v>1</v>
      </c>
      <c r="AE506" s="30" t="str">
        <f>VLOOKUP(AD506,[2]Key!$E$20:$F$24,2,FALSE)</f>
        <v>&lt;300,000</v>
      </c>
      <c r="AF506" s="23">
        <v>3</v>
      </c>
      <c r="AG506" s="50">
        <v>4</v>
      </c>
      <c r="AH506" s="50">
        <v>1</v>
      </c>
      <c r="AI506" s="50">
        <v>2</v>
      </c>
      <c r="AJ506" s="50">
        <v>3</v>
      </c>
      <c r="AK506" s="46" t="s">
        <v>94</v>
      </c>
      <c r="AL506" s="36">
        <v>100</v>
      </c>
      <c r="AM506" t="str">
        <f t="shared" si="31"/>
        <v>0-1000</v>
      </c>
    </row>
    <row r="507" spans="1:39" x14ac:dyDescent="0.2">
      <c r="A507" s="44">
        <v>43759</v>
      </c>
      <c r="B507" s="48">
        <v>0.47430555555555554</v>
      </c>
      <c r="C507" s="48"/>
      <c r="D507" s="48" t="s">
        <v>248</v>
      </c>
      <c r="E507" s="13">
        <v>2</v>
      </c>
      <c r="F507" s="38" t="str">
        <f>VLOOKUP(E507,[1]Key!$A$17:$B$21,2,FALSE)</f>
        <v>Road Vehicle</v>
      </c>
      <c r="G507" s="49">
        <v>4</v>
      </c>
      <c r="H507" s="39" t="str">
        <f>VLOOKUP(G507,[2]Key!$A$2:$B$14,2,FALSE)</f>
        <v>Minibus</v>
      </c>
      <c r="I507" s="13" t="s">
        <v>109</v>
      </c>
      <c r="J507" s="13">
        <v>2</v>
      </c>
      <c r="K507" s="40" t="str">
        <f>VLOOKUP(J507,[1]Key!$A$24:$B$29,2,FALSE)</f>
        <v>30-39</v>
      </c>
      <c r="L507" s="11" t="s">
        <v>224</v>
      </c>
      <c r="M507" s="23" t="s">
        <v>220</v>
      </c>
      <c r="N507" s="13" t="s">
        <v>221</v>
      </c>
      <c r="O507" s="46">
        <v>1</v>
      </c>
      <c r="P507" s="30" t="str">
        <f>VLOOKUP(O507,[1]Key!$E$2:$F$9,2,FALSE)</f>
        <v>Home</v>
      </c>
      <c r="Q507" s="13" t="s">
        <v>322</v>
      </c>
      <c r="R507" s="23" t="s">
        <v>223</v>
      </c>
      <c r="S507" s="13" t="s">
        <v>221</v>
      </c>
      <c r="T507" s="23">
        <v>4</v>
      </c>
      <c r="U507" s="30" t="str">
        <f>VLOOKUP(T507,[1]Key!$E$2:$F$9,2,FALSE)</f>
        <v>Commercial</v>
      </c>
      <c r="V507" s="30" t="str">
        <f t="shared" si="28"/>
        <v>Home-Commercial</v>
      </c>
      <c r="W507" s="41">
        <v>4500</v>
      </c>
      <c r="X507" s="50">
        <v>38</v>
      </c>
      <c r="Y507" s="50" t="str">
        <f t="shared" si="29"/>
        <v>20-40</v>
      </c>
      <c r="Z507" s="50">
        <v>0.33</v>
      </c>
      <c r="AA507" s="50" t="str">
        <f t="shared" si="30"/>
        <v>0-0.5</v>
      </c>
      <c r="AB507" s="23">
        <v>7</v>
      </c>
      <c r="AC507" s="30" t="str">
        <f>VLOOKUP(AB507,[1]Key!$C$20:$D$29,2,FALSE)</f>
        <v>Farmer</v>
      </c>
      <c r="AD507" s="23">
        <v>1</v>
      </c>
      <c r="AE507" s="30" t="str">
        <f>VLOOKUP(AD507,[1]Key!$E$20:$F$24,2,FALSE)</f>
        <v>&lt;300,000</v>
      </c>
      <c r="AF507" s="23">
        <v>2</v>
      </c>
      <c r="AG507" s="50">
        <v>3</v>
      </c>
      <c r="AH507" s="50">
        <v>4</v>
      </c>
      <c r="AI507" s="50">
        <v>5</v>
      </c>
      <c r="AJ507" s="50">
        <v>1</v>
      </c>
      <c r="AK507" s="46" t="s">
        <v>94</v>
      </c>
      <c r="AL507" s="36">
        <v>1000</v>
      </c>
      <c r="AM507" t="str">
        <f t="shared" si="31"/>
        <v>1000-2000</v>
      </c>
    </row>
    <row r="508" spans="1:39" x14ac:dyDescent="0.2">
      <c r="A508" s="44">
        <v>43759</v>
      </c>
      <c r="B508" s="48">
        <v>0.46527777777777773</v>
      </c>
      <c r="C508" s="48"/>
      <c r="D508" s="48" t="s">
        <v>248</v>
      </c>
      <c r="E508" s="13">
        <v>2</v>
      </c>
      <c r="F508" s="38" t="str">
        <f>VLOOKUP(E508,[1]Key!$A$17:$B$21,2,FALSE)</f>
        <v>Road Vehicle</v>
      </c>
      <c r="G508" s="49">
        <v>4</v>
      </c>
      <c r="H508" s="39" t="str">
        <f>VLOOKUP(G508,[2]Key!$A$2:$B$14,2,FALSE)</f>
        <v>Minibus</v>
      </c>
      <c r="I508" s="13" t="s">
        <v>109</v>
      </c>
      <c r="J508" s="13">
        <v>2</v>
      </c>
      <c r="K508" s="40" t="str">
        <f>VLOOKUP(J508,[1]Key!$A$24:$B$29,2,FALSE)</f>
        <v>30-39</v>
      </c>
      <c r="L508" s="11" t="s">
        <v>229</v>
      </c>
      <c r="M508" s="23" t="s">
        <v>220</v>
      </c>
      <c r="N508" s="13" t="s">
        <v>221</v>
      </c>
      <c r="O508" s="46">
        <v>4</v>
      </c>
      <c r="P508" s="30" t="str">
        <f>VLOOKUP(O508,[1]Key!$E$2:$F$9,2,FALSE)</f>
        <v>Commercial</v>
      </c>
      <c r="Q508" s="13" t="s">
        <v>329</v>
      </c>
      <c r="R508" s="23" t="s">
        <v>223</v>
      </c>
      <c r="S508" s="13" t="s">
        <v>221</v>
      </c>
      <c r="T508" s="23">
        <v>4</v>
      </c>
      <c r="U508" s="30" t="str">
        <f>VLOOKUP(T508,[1]Key!$E$2:$F$9,2,FALSE)</f>
        <v>Commercial</v>
      </c>
      <c r="V508" s="30" t="str">
        <f t="shared" si="28"/>
        <v>Commercial-Commercial</v>
      </c>
      <c r="W508" s="41">
        <v>7000</v>
      </c>
      <c r="X508" s="50"/>
      <c r="Y508" s="50" t="str">
        <f t="shared" si="29"/>
        <v>0-10</v>
      </c>
      <c r="Z508" s="50">
        <v>1.5</v>
      </c>
      <c r="AA508" s="50" t="str">
        <f t="shared" si="30"/>
        <v>1.0-2.0</v>
      </c>
      <c r="AB508" s="23">
        <v>6</v>
      </c>
      <c r="AC508" s="30" t="str">
        <f>VLOOKUP(AB508,[1]Key!$C$20:$D$29,2,FALSE)</f>
        <v>Businessman</v>
      </c>
      <c r="AD508" s="23">
        <v>2</v>
      </c>
      <c r="AE508" s="30" t="str">
        <f>VLOOKUP(AD508,[1]Key!$E$20:$F$24,2,FALSE)</f>
        <v>300,000-500,000</v>
      </c>
      <c r="AF508" s="23">
        <v>1</v>
      </c>
      <c r="AG508" s="50">
        <v>2</v>
      </c>
      <c r="AH508" s="50">
        <v>5</v>
      </c>
      <c r="AI508" s="50">
        <v>3</v>
      </c>
      <c r="AJ508" s="50">
        <v>4</v>
      </c>
      <c r="AK508" s="46" t="s">
        <v>94</v>
      </c>
      <c r="AL508" s="36"/>
      <c r="AM508" t="str">
        <f t="shared" si="31"/>
        <v>0-1000</v>
      </c>
    </row>
    <row r="509" spans="1:39" x14ac:dyDescent="0.2">
      <c r="A509" s="44">
        <v>43759</v>
      </c>
      <c r="B509" s="48">
        <v>0.4597222222222222</v>
      </c>
      <c r="C509" s="48"/>
      <c r="D509" s="48" t="s">
        <v>150</v>
      </c>
      <c r="E509" s="13">
        <v>2</v>
      </c>
      <c r="F509" s="38" t="str">
        <f>VLOOKUP(E509,[1]Key!$A$17:$B$21,2,FALSE)</f>
        <v>Road Vehicle</v>
      </c>
      <c r="G509" s="49">
        <v>4</v>
      </c>
      <c r="H509" s="39" t="str">
        <f>VLOOKUP(G509,[2]Key!$A$2:$B$14,2,FALSE)</f>
        <v>Minibus</v>
      </c>
      <c r="I509" s="13" t="s">
        <v>109</v>
      </c>
      <c r="J509" s="13">
        <v>2</v>
      </c>
      <c r="K509" s="40" t="str">
        <f>VLOOKUP(J509,[1]Key!$A$24:$B$29,2,FALSE)</f>
        <v>30-39</v>
      </c>
      <c r="L509" s="11" t="s">
        <v>246</v>
      </c>
      <c r="M509" s="23" t="s">
        <v>247</v>
      </c>
      <c r="N509" s="13" t="s">
        <v>221</v>
      </c>
      <c r="O509" s="46">
        <v>4</v>
      </c>
      <c r="P509" s="30" t="str">
        <f>VLOOKUP(O509,[1]Key!$E$2:$F$9,2,FALSE)</f>
        <v>Commercial</v>
      </c>
      <c r="Q509" s="13" t="s">
        <v>232</v>
      </c>
      <c r="R509" s="23" t="s">
        <v>223</v>
      </c>
      <c r="S509" s="13" t="s">
        <v>221</v>
      </c>
      <c r="T509" s="23">
        <v>4</v>
      </c>
      <c r="U509" s="30" t="str">
        <f>VLOOKUP(T509,[1]Key!$E$2:$F$9,2,FALSE)</f>
        <v>Commercial</v>
      </c>
      <c r="V509" s="30" t="str">
        <f t="shared" si="28"/>
        <v>Commercial-Commercial</v>
      </c>
      <c r="W509" s="41">
        <v>5000</v>
      </c>
      <c r="X509" s="50"/>
      <c r="Y509" s="50" t="str">
        <f t="shared" si="29"/>
        <v>0-10</v>
      </c>
      <c r="Z509" s="50"/>
      <c r="AA509" s="50" t="str">
        <f t="shared" si="30"/>
        <v>0-0.5</v>
      </c>
      <c r="AB509" s="23">
        <v>10</v>
      </c>
      <c r="AC509" s="30" t="str">
        <f>VLOOKUP(AB509,[1]Key!$C$20:$D$29,2,FALSE)</f>
        <v>Other</v>
      </c>
      <c r="AD509" s="23">
        <v>1</v>
      </c>
      <c r="AE509" s="30" t="str">
        <f>VLOOKUP(AD509,[1]Key!$E$20:$F$24,2,FALSE)</f>
        <v>&lt;300,000</v>
      </c>
      <c r="AF509" s="23">
        <v>2</v>
      </c>
      <c r="AG509" s="50">
        <v>3</v>
      </c>
      <c r="AH509" s="50">
        <v>4</v>
      </c>
      <c r="AI509" s="50">
        <v>1</v>
      </c>
      <c r="AJ509" s="50">
        <v>5</v>
      </c>
      <c r="AK509" s="46" t="s">
        <v>94</v>
      </c>
      <c r="AL509" s="36">
        <v>1000</v>
      </c>
      <c r="AM509" t="str">
        <f t="shared" si="31"/>
        <v>1000-2000</v>
      </c>
    </row>
    <row r="510" spans="1:39" x14ac:dyDescent="0.2">
      <c r="A510" s="44">
        <v>43759</v>
      </c>
      <c r="B510" s="48">
        <v>0.45763888888888887</v>
      </c>
      <c r="C510" s="48"/>
      <c r="D510" s="48" t="s">
        <v>150</v>
      </c>
      <c r="E510" s="13">
        <v>2</v>
      </c>
      <c r="F510" s="38" t="str">
        <f>VLOOKUP(E510,[1]Key!$A$17:$B$21,2,FALSE)</f>
        <v>Road Vehicle</v>
      </c>
      <c r="G510" s="49">
        <v>4</v>
      </c>
      <c r="H510" s="39" t="str">
        <f>VLOOKUP(G510,[2]Key!$A$2:$B$14,2,FALSE)</f>
        <v>Minibus</v>
      </c>
      <c r="I510" s="13" t="s">
        <v>109</v>
      </c>
      <c r="J510" s="13">
        <v>2</v>
      </c>
      <c r="K510" s="40" t="str">
        <f>VLOOKUP(J510,[1]Key!$A$24:$B$29,2,FALSE)</f>
        <v>30-39</v>
      </c>
      <c r="L510" s="11" t="s">
        <v>239</v>
      </c>
      <c r="M510" s="23" t="s">
        <v>220</v>
      </c>
      <c r="N510" s="13" t="s">
        <v>221</v>
      </c>
      <c r="O510" s="46">
        <v>4</v>
      </c>
      <c r="P510" s="30" t="str">
        <f>VLOOKUP(O510,[1]Key!$E$2:$F$9,2,FALSE)</f>
        <v>Commercial</v>
      </c>
      <c r="Q510" s="13" t="s">
        <v>328</v>
      </c>
      <c r="R510" s="23" t="s">
        <v>247</v>
      </c>
      <c r="S510" s="13" t="s">
        <v>221</v>
      </c>
      <c r="T510" s="23">
        <v>2</v>
      </c>
      <c r="U510" s="30" t="str">
        <f>VLOOKUP(T510,[1]Key!$E$2:$F$9,2,FALSE)</f>
        <v>Work</v>
      </c>
      <c r="V510" s="30" t="str">
        <f t="shared" si="28"/>
        <v>Commercial-Work</v>
      </c>
      <c r="W510" s="41">
        <v>4000</v>
      </c>
      <c r="X510" s="50">
        <v>45</v>
      </c>
      <c r="Y510" s="50" t="str">
        <f t="shared" si="29"/>
        <v>40-70</v>
      </c>
      <c r="Z510" s="50">
        <v>0.5</v>
      </c>
      <c r="AA510" s="50" t="str">
        <f t="shared" si="30"/>
        <v>0.5-1.0</v>
      </c>
      <c r="AB510" s="23">
        <v>6</v>
      </c>
      <c r="AC510" s="30" t="str">
        <f>VLOOKUP(AB510,[1]Key!$C$20:$D$29,2,FALSE)</f>
        <v>Businessman</v>
      </c>
      <c r="AD510" s="23">
        <v>2</v>
      </c>
      <c r="AE510" s="30" t="str">
        <f>VLOOKUP(AD510,[1]Key!$E$20:$F$24,2,FALSE)</f>
        <v>300,000-500,000</v>
      </c>
      <c r="AF510" s="23">
        <v>2</v>
      </c>
      <c r="AG510" s="50">
        <v>3</v>
      </c>
      <c r="AH510" s="50">
        <v>1</v>
      </c>
      <c r="AI510" s="50">
        <v>5</v>
      </c>
      <c r="AJ510" s="50">
        <v>4</v>
      </c>
      <c r="AK510" s="46" t="s">
        <v>94</v>
      </c>
      <c r="AL510" s="36">
        <v>1000</v>
      </c>
      <c r="AM510" t="str">
        <f t="shared" si="31"/>
        <v>1000-2000</v>
      </c>
    </row>
    <row r="511" spans="1:39" x14ac:dyDescent="0.2">
      <c r="A511" s="44">
        <v>43759</v>
      </c>
      <c r="B511" s="48">
        <v>0.44305555555555554</v>
      </c>
      <c r="C511" s="48"/>
      <c r="D511" s="48" t="s">
        <v>248</v>
      </c>
      <c r="E511" s="13">
        <v>2</v>
      </c>
      <c r="F511" s="38" t="str">
        <f>VLOOKUP(E511,[1]Key!$A$17:$B$21,2,FALSE)</f>
        <v>Road Vehicle</v>
      </c>
      <c r="G511" s="49">
        <v>4</v>
      </c>
      <c r="H511" s="39" t="str">
        <f>VLOOKUP(G511,[2]Key!$A$2:$B$14,2,FALSE)</f>
        <v>Minibus</v>
      </c>
      <c r="I511" s="13" t="s">
        <v>109</v>
      </c>
      <c r="J511" s="13">
        <v>2</v>
      </c>
      <c r="K511" s="40" t="str">
        <f>VLOOKUP(J511,[1]Key!$A$24:$B$29,2,FALSE)</f>
        <v>30-39</v>
      </c>
      <c r="L511" s="11" t="s">
        <v>256</v>
      </c>
      <c r="M511" s="23" t="s">
        <v>260</v>
      </c>
      <c r="N511" s="13" t="s">
        <v>221</v>
      </c>
      <c r="O511" s="46">
        <v>4</v>
      </c>
      <c r="P511" s="30" t="str">
        <f>VLOOKUP(O511,[1]Key!$E$2:$F$9,2,FALSE)</f>
        <v>Commercial</v>
      </c>
      <c r="Q511" s="13" t="s">
        <v>329</v>
      </c>
      <c r="R511" s="23" t="s">
        <v>329</v>
      </c>
      <c r="S511" s="13" t="s">
        <v>221</v>
      </c>
      <c r="T511" s="23">
        <v>4</v>
      </c>
      <c r="U511" s="30" t="str">
        <f>VLOOKUP(T511,[1]Key!$E$2:$F$9,2,FALSE)</f>
        <v>Commercial</v>
      </c>
      <c r="V511" s="30" t="str">
        <f t="shared" si="28"/>
        <v>Commercial-Commercial</v>
      </c>
      <c r="W511" s="41">
        <v>9000</v>
      </c>
      <c r="X511" s="50">
        <v>80</v>
      </c>
      <c r="Y511" s="50" t="str">
        <f t="shared" si="29"/>
        <v>70-100</v>
      </c>
      <c r="Z511" s="50">
        <v>2</v>
      </c>
      <c r="AA511" s="50" t="str">
        <f t="shared" si="30"/>
        <v>2.0-3.5</v>
      </c>
      <c r="AB511" s="23">
        <v>6</v>
      </c>
      <c r="AC511" s="30" t="str">
        <f>VLOOKUP(AB511,[1]Key!$C$20:$D$29,2,FALSE)</f>
        <v>Businessman</v>
      </c>
      <c r="AD511" s="23">
        <v>2</v>
      </c>
      <c r="AE511" s="30" t="str">
        <f>VLOOKUP(AD511,[1]Key!$E$20:$F$24,2,FALSE)</f>
        <v>300,000-500,000</v>
      </c>
      <c r="AF511" s="23">
        <v>1</v>
      </c>
      <c r="AG511" s="50">
        <v>2</v>
      </c>
      <c r="AH511" s="50">
        <v>5</v>
      </c>
      <c r="AI511" s="50">
        <v>3</v>
      </c>
      <c r="AJ511" s="50">
        <v>4</v>
      </c>
      <c r="AK511" s="46" t="s">
        <v>94</v>
      </c>
      <c r="AL511" s="36">
        <v>1000</v>
      </c>
      <c r="AM511" t="str">
        <f t="shared" si="31"/>
        <v>1000-2000</v>
      </c>
    </row>
    <row r="512" spans="1:39" x14ac:dyDescent="0.2">
      <c r="A512" s="44">
        <v>43759</v>
      </c>
      <c r="B512" s="48">
        <v>0.4291666666666667</v>
      </c>
      <c r="C512" s="48"/>
      <c r="D512" s="48" t="s">
        <v>150</v>
      </c>
      <c r="E512" s="13">
        <v>2</v>
      </c>
      <c r="F512" s="38" t="str">
        <f>VLOOKUP(E512,[1]Key!$A$17:$B$21,2,FALSE)</f>
        <v>Road Vehicle</v>
      </c>
      <c r="G512" s="49">
        <v>4</v>
      </c>
      <c r="H512" s="39" t="str">
        <f>VLOOKUP(G512,[2]Key!$A$2:$B$14,2,FALSE)</f>
        <v>Minibus</v>
      </c>
      <c r="I512" s="13" t="s">
        <v>109</v>
      </c>
      <c r="J512" s="13">
        <v>2</v>
      </c>
      <c r="K512" s="40" t="str">
        <f>VLOOKUP(J512,[1]Key!$A$24:$B$29,2,FALSE)</f>
        <v>30-39</v>
      </c>
      <c r="L512" s="11" t="s">
        <v>228</v>
      </c>
      <c r="M512" s="23" t="s">
        <v>220</v>
      </c>
      <c r="N512" s="13" t="s">
        <v>221</v>
      </c>
      <c r="O512" s="46">
        <v>1</v>
      </c>
      <c r="P512" s="30" t="str">
        <f>VLOOKUP(O512,[1]Key!$E$2:$F$9,2,FALSE)</f>
        <v>Home</v>
      </c>
      <c r="Q512" s="13" t="s">
        <v>222</v>
      </c>
      <c r="R512" s="23" t="s">
        <v>223</v>
      </c>
      <c r="S512" s="13" t="s">
        <v>221</v>
      </c>
      <c r="T512" s="23">
        <v>5</v>
      </c>
      <c r="U512" s="30" t="str">
        <f>VLOOKUP(T512,[1]Key!$E$2:$F$9,2,FALSE)</f>
        <v>Tourism</v>
      </c>
      <c r="V512" s="30" t="str">
        <f t="shared" si="28"/>
        <v>Home-Tourism</v>
      </c>
      <c r="W512" s="41">
        <v>4000</v>
      </c>
      <c r="X512" s="50">
        <v>50</v>
      </c>
      <c r="Y512" s="50" t="str">
        <f t="shared" si="29"/>
        <v>40-70</v>
      </c>
      <c r="Z512" s="50">
        <v>0.5</v>
      </c>
      <c r="AA512" s="50" t="str">
        <f t="shared" si="30"/>
        <v>0.5-1.0</v>
      </c>
      <c r="AB512" s="23">
        <v>10</v>
      </c>
      <c r="AC512" s="30" t="str">
        <f>VLOOKUP(AB512,[1]Key!$C$20:$D$29,2,FALSE)</f>
        <v>Other</v>
      </c>
      <c r="AD512" s="23">
        <v>1</v>
      </c>
      <c r="AE512" s="30" t="str">
        <f>VLOOKUP(AD512,[1]Key!$E$20:$F$24,2,FALSE)</f>
        <v>&lt;300,000</v>
      </c>
      <c r="AF512" s="23">
        <v>1</v>
      </c>
      <c r="AG512" s="50">
        <v>3</v>
      </c>
      <c r="AH512" s="50">
        <v>5</v>
      </c>
      <c r="AI512" s="50">
        <v>2</v>
      </c>
      <c r="AJ512" s="50">
        <v>4</v>
      </c>
      <c r="AK512" s="46" t="s">
        <v>94</v>
      </c>
      <c r="AL512" s="36">
        <v>1500</v>
      </c>
      <c r="AM512" t="str">
        <f t="shared" si="31"/>
        <v>1000-2000</v>
      </c>
    </row>
    <row r="513" spans="1:39" x14ac:dyDescent="0.2">
      <c r="A513" s="44">
        <v>43759</v>
      </c>
      <c r="B513" s="48">
        <v>0.47916666666666669</v>
      </c>
      <c r="C513" s="48"/>
      <c r="D513" s="48" t="s">
        <v>248</v>
      </c>
      <c r="E513" s="13">
        <v>2</v>
      </c>
      <c r="F513" s="38" t="str">
        <f>VLOOKUP(E513,[1]Key!$A$17:$B$21,2,FALSE)</f>
        <v>Road Vehicle</v>
      </c>
      <c r="G513" s="49">
        <v>4</v>
      </c>
      <c r="H513" s="39" t="str">
        <f>VLOOKUP(G513,[2]Key!$A$2:$B$14,2,FALSE)</f>
        <v>Minibus</v>
      </c>
      <c r="I513" s="13" t="s">
        <v>109</v>
      </c>
      <c r="J513" s="13">
        <v>2</v>
      </c>
      <c r="K513" s="40" t="str">
        <f>VLOOKUP(J513,[1]Key!$A$24:$B$29,2,FALSE)</f>
        <v>30-39</v>
      </c>
      <c r="L513" s="11" t="s">
        <v>238</v>
      </c>
      <c r="M513" s="23" t="s">
        <v>220</v>
      </c>
      <c r="N513" s="13" t="s">
        <v>221</v>
      </c>
      <c r="O513" s="46">
        <v>1</v>
      </c>
      <c r="P513" s="30" t="str">
        <f>VLOOKUP(O513,[1]Key!$E$2:$F$9,2,FALSE)</f>
        <v>Home</v>
      </c>
      <c r="Q513" s="13" t="s">
        <v>376</v>
      </c>
      <c r="R513" s="23" t="s">
        <v>376</v>
      </c>
      <c r="S513" s="13" t="s">
        <v>221</v>
      </c>
      <c r="T513" s="23">
        <v>4</v>
      </c>
      <c r="U513" s="30" t="str">
        <f>VLOOKUP(T513,[1]Key!$E$2:$F$9,2,FALSE)</f>
        <v>Commercial</v>
      </c>
      <c r="V513" s="30" t="str">
        <f t="shared" si="28"/>
        <v>Home-Commercial</v>
      </c>
      <c r="W513" s="51">
        <v>10000</v>
      </c>
      <c r="X513" s="50"/>
      <c r="Y513" s="50" t="str">
        <f t="shared" si="29"/>
        <v>0-10</v>
      </c>
      <c r="Z513" s="50">
        <v>3</v>
      </c>
      <c r="AA513" s="50" t="str">
        <f t="shared" si="30"/>
        <v>2.0-3.5</v>
      </c>
      <c r="AB513" s="23">
        <v>6</v>
      </c>
      <c r="AC513" s="30" t="str">
        <f>VLOOKUP(AB513,[1]Key!$C$20:$D$29,2,FALSE)</f>
        <v>Businessman</v>
      </c>
      <c r="AD513" s="23">
        <v>2</v>
      </c>
      <c r="AE513" s="30" t="str">
        <f>VLOOKUP(AD513,[1]Key!$E$20:$F$24,2,FALSE)</f>
        <v>300,000-500,000</v>
      </c>
      <c r="AF513" s="23">
        <v>3</v>
      </c>
      <c r="AG513" s="50">
        <v>2</v>
      </c>
      <c r="AH513" s="50">
        <v>5</v>
      </c>
      <c r="AI513" s="50">
        <v>1</v>
      </c>
      <c r="AJ513" s="50">
        <v>4</v>
      </c>
      <c r="AK513" s="46" t="s">
        <v>94</v>
      </c>
      <c r="AL513" s="36"/>
      <c r="AM513" t="str">
        <f t="shared" si="31"/>
        <v>0-1000</v>
      </c>
    </row>
    <row r="514" spans="1:39" x14ac:dyDescent="0.2">
      <c r="A514" s="44">
        <v>43759</v>
      </c>
      <c r="B514" s="48">
        <v>5.2083333333333336E-2</v>
      </c>
      <c r="C514" s="48"/>
      <c r="D514" s="48" t="s">
        <v>248</v>
      </c>
      <c r="E514" s="13">
        <v>2</v>
      </c>
      <c r="F514" s="38" t="str">
        <f>VLOOKUP(E514,[1]Key!$A$17:$B$21,2,FALSE)</f>
        <v>Road Vehicle</v>
      </c>
      <c r="G514" s="49">
        <v>4</v>
      </c>
      <c r="H514" s="39" t="str">
        <f>VLOOKUP(G514,[2]Key!$A$2:$B$14,2,FALSE)</f>
        <v>Minibus</v>
      </c>
      <c r="I514" s="13" t="s">
        <v>109</v>
      </c>
      <c r="J514" s="13">
        <v>2</v>
      </c>
      <c r="K514" s="40" t="str">
        <f>VLOOKUP(J514,[1]Key!$A$24:$B$29,2,FALSE)</f>
        <v>30-39</v>
      </c>
      <c r="L514" s="11" t="s">
        <v>238</v>
      </c>
      <c r="M514" s="23" t="s">
        <v>220</v>
      </c>
      <c r="N514" s="13" t="s">
        <v>221</v>
      </c>
      <c r="O514" s="46">
        <v>1</v>
      </c>
      <c r="P514" s="30" t="str">
        <f>VLOOKUP(O514,[1]Key!$E$2:$F$9,2,FALSE)</f>
        <v>Home</v>
      </c>
      <c r="Q514" s="13" t="s">
        <v>297</v>
      </c>
      <c r="R514" s="23" t="s">
        <v>297</v>
      </c>
      <c r="S514" s="13" t="s">
        <v>221</v>
      </c>
      <c r="T514" s="23">
        <v>4</v>
      </c>
      <c r="U514" s="30" t="str">
        <f>VLOOKUP(T514,[1]Key!$E$2:$F$9,2,FALSE)</f>
        <v>Commercial</v>
      </c>
      <c r="V514" s="30" t="str">
        <f t="shared" ref="V514:V577" si="32">P514&amp;"-"&amp;U514</f>
        <v>Home-Commercial</v>
      </c>
      <c r="W514" s="51">
        <v>8000</v>
      </c>
      <c r="X514" s="50">
        <v>56</v>
      </c>
      <c r="Y514" s="50" t="str">
        <f t="shared" si="29"/>
        <v>40-70</v>
      </c>
      <c r="Z514" s="50">
        <v>1</v>
      </c>
      <c r="AA514" s="50" t="str">
        <f t="shared" si="30"/>
        <v>1.0-2.0</v>
      </c>
      <c r="AB514" s="23">
        <v>3</v>
      </c>
      <c r="AC514" s="30" t="str">
        <f>VLOOKUP(AB514,[1]Key!$C$20:$D$29,2,FALSE)</f>
        <v>Artisan/Domestic</v>
      </c>
      <c r="AD514" s="23">
        <v>2</v>
      </c>
      <c r="AE514" s="30" t="str">
        <f>VLOOKUP(AD514,[1]Key!$E$20:$F$24,2,FALSE)</f>
        <v>300,000-500,000</v>
      </c>
      <c r="AF514" s="23">
        <v>1</v>
      </c>
      <c r="AG514" s="50">
        <v>2</v>
      </c>
      <c r="AH514" s="50">
        <v>3</v>
      </c>
      <c r="AI514" s="50">
        <v>4</v>
      </c>
      <c r="AJ514" s="50">
        <v>5</v>
      </c>
      <c r="AK514" s="46" t="s">
        <v>94</v>
      </c>
      <c r="AL514" s="36">
        <v>1000</v>
      </c>
      <c r="AM514" t="str">
        <f t="shared" si="31"/>
        <v>1000-2000</v>
      </c>
    </row>
    <row r="515" spans="1:39" x14ac:dyDescent="0.2">
      <c r="A515" s="44">
        <v>43760</v>
      </c>
      <c r="B515" s="48">
        <v>0.31111111111111112</v>
      </c>
      <c r="C515" s="48"/>
      <c r="D515" s="48" t="s">
        <v>150</v>
      </c>
      <c r="E515" s="13">
        <v>2</v>
      </c>
      <c r="F515" s="38" t="str">
        <f>VLOOKUP(E515,[2]Key!$A$17:$B$21,2,FALSE)</f>
        <v>Road Vehicle</v>
      </c>
      <c r="G515" s="49">
        <v>4</v>
      </c>
      <c r="H515" s="39" t="str">
        <f>VLOOKUP(G515,[2]Key!$A$2:$B$14,2,FALSE)</f>
        <v>Minibus</v>
      </c>
      <c r="I515" s="13" t="s">
        <v>109</v>
      </c>
      <c r="J515" s="13">
        <v>2</v>
      </c>
      <c r="K515" s="40" t="str">
        <f>VLOOKUP(J515,[2]Key!$A$24:$B$29,2,FALSE)</f>
        <v>30-39</v>
      </c>
      <c r="L515" s="11" t="s">
        <v>229</v>
      </c>
      <c r="M515" s="23" t="s">
        <v>223</v>
      </c>
      <c r="N515" s="13" t="s">
        <v>221</v>
      </c>
      <c r="O515" s="46">
        <v>1</v>
      </c>
      <c r="P515" s="30" t="str">
        <f>VLOOKUP(O515,[2]Key!$E$2:$F$9,2,FALSE)</f>
        <v>Home</v>
      </c>
      <c r="Q515" s="13" t="s">
        <v>297</v>
      </c>
      <c r="R515" s="23" t="s">
        <v>297</v>
      </c>
      <c r="S515" s="13" t="s">
        <v>221</v>
      </c>
      <c r="T515" s="23">
        <v>2</v>
      </c>
      <c r="U515" s="30" t="str">
        <f>VLOOKUP(T515,[2]Key!$E$2:$F$9,2,FALSE)</f>
        <v>Work</v>
      </c>
      <c r="V515" s="30" t="str">
        <f t="shared" si="32"/>
        <v>Home-Work</v>
      </c>
      <c r="W515" s="41">
        <v>5000</v>
      </c>
      <c r="X515" s="50">
        <v>53</v>
      </c>
      <c r="Y515" s="50" t="str">
        <f t="shared" ref="Y515:Y578" si="33">IF(X515&lt;10,"0-10",IF(X515&lt;20,"10-20",IF(X515&lt;40,"20-40",IF(X515&lt;70,"40-70",IF(X515&lt;100,"70-100",IF(X515&lt;200,"100-200","Over 200"))))))</f>
        <v>40-70</v>
      </c>
      <c r="Z515" s="50">
        <v>0.66600000000000004</v>
      </c>
      <c r="AA515" s="50" t="str">
        <f t="shared" ref="AA515:AA578" si="34">IF(Z515&lt;0.5,"0-0.5",IF(Z515&lt;1,"0.5-1.0",IF(Z515&lt;2,"1.0-2.0",IF(Z515&lt;3.5,"2.0-3.5","Over 3.5"))))</f>
        <v>0.5-1.0</v>
      </c>
      <c r="AB515" s="23">
        <v>2</v>
      </c>
      <c r="AC515" s="30" t="str">
        <f>VLOOKUP(AB515,[2]Key!$C$20:$D$29,2,FALSE)</f>
        <v>Manual Labour</v>
      </c>
      <c r="AD515" s="23">
        <v>1</v>
      </c>
      <c r="AE515" s="30" t="str">
        <f>VLOOKUP(AD515,[2]Key!$E$20:$F$24,2,FALSE)</f>
        <v>&lt;300,000</v>
      </c>
      <c r="AF515" s="23"/>
      <c r="AG515" s="50"/>
      <c r="AH515" s="50" t="s">
        <v>377</v>
      </c>
      <c r="AI515" s="50"/>
      <c r="AJ515" s="50"/>
      <c r="AK515" s="46" t="s">
        <v>94</v>
      </c>
      <c r="AL515" s="36"/>
      <c r="AM515" t="str">
        <f t="shared" ref="AM515:AM578" si="35">IF(AL515&lt;1000,"0-1000",IF(AL515&lt;2000,"1000-2000",IF(AL515&lt;3000,"2000-3000",IF(AL515&lt;5000,"3000-5000",IF(AL515&lt;10000,"5000-10000","Over 10000")))))</f>
        <v>0-1000</v>
      </c>
    </row>
    <row r="516" spans="1:39" x14ac:dyDescent="0.2">
      <c r="A516" s="44">
        <v>43760</v>
      </c>
      <c r="B516" s="48">
        <v>0.3125</v>
      </c>
      <c r="C516" s="48"/>
      <c r="D516" s="48" t="s">
        <v>150</v>
      </c>
      <c r="E516" s="13">
        <v>2</v>
      </c>
      <c r="F516" s="38" t="str">
        <f>VLOOKUP(E516,[2]Key!$A$17:$B$21,2,FALSE)</f>
        <v>Road Vehicle</v>
      </c>
      <c r="G516" s="49">
        <v>4</v>
      </c>
      <c r="H516" s="39" t="str">
        <f>VLOOKUP(G516,[2]Key!$A$2:$B$14,2,FALSE)</f>
        <v>Minibus</v>
      </c>
      <c r="I516" s="13" t="s">
        <v>109</v>
      </c>
      <c r="J516" s="13">
        <v>2</v>
      </c>
      <c r="K516" s="40" t="str">
        <f>VLOOKUP(J516,[2]Key!$A$24:$B$29,2,FALSE)</f>
        <v>30-39</v>
      </c>
      <c r="L516" s="11" t="s">
        <v>222</v>
      </c>
      <c r="M516" s="23" t="s">
        <v>223</v>
      </c>
      <c r="N516" s="13" t="s">
        <v>221</v>
      </c>
      <c r="O516" s="46">
        <v>2</v>
      </c>
      <c r="P516" s="30" t="str">
        <f>VLOOKUP(O516,[2]Key!$E$2:$F$9,2,FALSE)</f>
        <v>Work</v>
      </c>
      <c r="Q516" s="13" t="s">
        <v>378</v>
      </c>
      <c r="R516" s="23" t="s">
        <v>247</v>
      </c>
      <c r="S516" s="13" t="s">
        <v>221</v>
      </c>
      <c r="T516" s="23">
        <v>1</v>
      </c>
      <c r="U516" s="30" t="str">
        <f>VLOOKUP(T516,[2]Key!$E$2:$F$9,2,FALSE)</f>
        <v>Home</v>
      </c>
      <c r="V516" s="30" t="str">
        <f t="shared" si="32"/>
        <v>Work-Home</v>
      </c>
      <c r="W516" s="41">
        <v>4000</v>
      </c>
      <c r="X516" s="50">
        <v>58</v>
      </c>
      <c r="Y516" s="50" t="str">
        <f t="shared" si="33"/>
        <v>40-70</v>
      </c>
      <c r="Z516" s="50">
        <v>0.5</v>
      </c>
      <c r="AA516" s="50" t="str">
        <f t="shared" si="34"/>
        <v>0.5-1.0</v>
      </c>
      <c r="AB516" s="23">
        <v>10</v>
      </c>
      <c r="AC516" s="30" t="str">
        <f>VLOOKUP(AB516,[2]Key!$C$20:$D$29,2,FALSE)</f>
        <v>Other</v>
      </c>
      <c r="AD516" s="23">
        <v>1</v>
      </c>
      <c r="AE516" s="30" t="str">
        <f>VLOOKUP(AD516,[2]Key!$E$20:$F$24,2,FALSE)</f>
        <v>&lt;300,000</v>
      </c>
      <c r="AF516" s="23">
        <v>2</v>
      </c>
      <c r="AG516" s="50">
        <v>4</v>
      </c>
      <c r="AH516" s="50">
        <v>5</v>
      </c>
      <c r="AI516" s="50">
        <v>3</v>
      </c>
      <c r="AJ516" s="50">
        <v>1</v>
      </c>
      <c r="AK516" s="46" t="s">
        <v>94</v>
      </c>
      <c r="AL516" s="36"/>
      <c r="AM516" t="str">
        <f t="shared" si="35"/>
        <v>0-1000</v>
      </c>
    </row>
    <row r="517" spans="1:39" x14ac:dyDescent="0.2">
      <c r="A517" s="44">
        <v>43760</v>
      </c>
      <c r="B517" s="48">
        <v>0.35486111111111113</v>
      </c>
      <c r="C517" s="48"/>
      <c r="D517" s="48" t="s">
        <v>150</v>
      </c>
      <c r="E517" s="13">
        <v>2</v>
      </c>
      <c r="F517" s="38" t="str">
        <f>VLOOKUP(E517,[2]Key!$A$17:$B$21,2,FALSE)</f>
        <v>Road Vehicle</v>
      </c>
      <c r="G517" s="49">
        <v>4</v>
      </c>
      <c r="H517" s="39" t="str">
        <f>VLOOKUP(G517,[2]Key!$A$2:$B$14,2,FALSE)</f>
        <v>Minibus</v>
      </c>
      <c r="I517" s="13" t="s">
        <v>109</v>
      </c>
      <c r="J517" s="13">
        <v>2</v>
      </c>
      <c r="K517" s="40" t="str">
        <f>VLOOKUP(J517,[2]Key!$A$24:$B$29,2,FALSE)</f>
        <v>30-39</v>
      </c>
      <c r="L517" s="11" t="s">
        <v>228</v>
      </c>
      <c r="M517" s="23" t="s">
        <v>220</v>
      </c>
      <c r="N517" s="13" t="s">
        <v>221</v>
      </c>
      <c r="O517" s="46">
        <v>1</v>
      </c>
      <c r="P517" s="30" t="str">
        <f>VLOOKUP(O517,[2]Key!$E$2:$F$9,2,FALSE)</f>
        <v>Home</v>
      </c>
      <c r="Q517" s="13" t="s">
        <v>323</v>
      </c>
      <c r="R517" s="23" t="s">
        <v>223</v>
      </c>
      <c r="S517" s="13" t="s">
        <v>221</v>
      </c>
      <c r="T517" s="23">
        <v>4</v>
      </c>
      <c r="U517" s="30" t="str">
        <f>VLOOKUP(T517,[2]Key!$E$2:$F$9,2,FALSE)</f>
        <v>Commercial</v>
      </c>
      <c r="V517" s="30" t="str">
        <f t="shared" si="32"/>
        <v>Home-Commercial</v>
      </c>
      <c r="W517" s="41">
        <v>5000</v>
      </c>
      <c r="X517" s="50">
        <v>60</v>
      </c>
      <c r="Y517" s="50" t="str">
        <f t="shared" si="33"/>
        <v>40-70</v>
      </c>
      <c r="Z517" s="50">
        <v>1</v>
      </c>
      <c r="AA517" s="50" t="str">
        <f t="shared" si="34"/>
        <v>1.0-2.0</v>
      </c>
      <c r="AB517" s="23">
        <v>2</v>
      </c>
      <c r="AC517" s="30" t="str">
        <f>VLOOKUP(AB517,[2]Key!$C$20:$D$29,2,FALSE)</f>
        <v>Manual Labour</v>
      </c>
      <c r="AD517" s="23">
        <v>1</v>
      </c>
      <c r="AE517" s="30" t="str">
        <f>VLOOKUP(AD517,[2]Key!$E$20:$F$24,2,FALSE)</f>
        <v>&lt;300,000</v>
      </c>
      <c r="AF517" s="23">
        <v>2</v>
      </c>
      <c r="AG517" s="50">
        <v>1</v>
      </c>
      <c r="AH517" s="50">
        <v>5</v>
      </c>
      <c r="AI517" s="50">
        <v>3</v>
      </c>
      <c r="AJ517" s="50">
        <v>4</v>
      </c>
      <c r="AK517" s="46" t="s">
        <v>94</v>
      </c>
      <c r="AL517" s="36">
        <v>1000</v>
      </c>
      <c r="AM517" t="str">
        <f t="shared" si="35"/>
        <v>1000-2000</v>
      </c>
    </row>
    <row r="518" spans="1:39" x14ac:dyDescent="0.2">
      <c r="A518" s="44">
        <v>43760</v>
      </c>
      <c r="B518" s="48">
        <v>0.35972222222222222</v>
      </c>
      <c r="C518" s="48"/>
      <c r="D518" s="48" t="s">
        <v>248</v>
      </c>
      <c r="E518" s="13">
        <v>2</v>
      </c>
      <c r="F518" s="38" t="str">
        <f>VLOOKUP(E518,[2]Key!$A$17:$B$21,2,FALSE)</f>
        <v>Road Vehicle</v>
      </c>
      <c r="G518" s="49">
        <v>4</v>
      </c>
      <c r="H518" s="39" t="str">
        <f>VLOOKUP(G518,[2]Key!$A$2:$B$14,2,FALSE)</f>
        <v>Minibus</v>
      </c>
      <c r="I518" s="13" t="s">
        <v>109</v>
      </c>
      <c r="J518" s="13">
        <v>2</v>
      </c>
      <c r="K518" s="40" t="str">
        <f>VLOOKUP(J518,[2]Key!$A$24:$B$29,2,FALSE)</f>
        <v>30-39</v>
      </c>
      <c r="L518" s="11" t="s">
        <v>225</v>
      </c>
      <c r="M518" s="23" t="s">
        <v>220</v>
      </c>
      <c r="N518" s="13" t="s">
        <v>221</v>
      </c>
      <c r="O518" s="46">
        <v>1</v>
      </c>
      <c r="P518" s="30" t="str">
        <f>VLOOKUP(O518,[2]Key!$E$2:$F$9,2,FALSE)</f>
        <v>Home</v>
      </c>
      <c r="Q518" s="13" t="s">
        <v>283</v>
      </c>
      <c r="R518" s="23" t="s">
        <v>283</v>
      </c>
      <c r="S518" s="13" t="s">
        <v>221</v>
      </c>
      <c r="T518" s="23">
        <v>4</v>
      </c>
      <c r="U518" s="30" t="str">
        <f>VLOOKUP(T518,[2]Key!$E$2:$F$9,2,FALSE)</f>
        <v>Commercial</v>
      </c>
      <c r="V518" s="30" t="str">
        <f t="shared" si="32"/>
        <v>Home-Commercial</v>
      </c>
      <c r="W518" s="41">
        <v>15000</v>
      </c>
      <c r="X518" s="50"/>
      <c r="Y518" s="50" t="str">
        <f t="shared" si="33"/>
        <v>0-10</v>
      </c>
      <c r="Z518" s="50">
        <v>5</v>
      </c>
      <c r="AA518" s="50" t="str">
        <f t="shared" si="34"/>
        <v>Over 3.5</v>
      </c>
      <c r="AB518" s="23">
        <v>6</v>
      </c>
      <c r="AC518" s="30" t="str">
        <f>VLOOKUP(AB518,[2]Key!$C$20:$D$29,2,FALSE)</f>
        <v>Businessman</v>
      </c>
      <c r="AD518" s="23">
        <v>3</v>
      </c>
      <c r="AE518" s="30" t="str">
        <f>VLOOKUP(AD518,[2]Key!$E$20:$F$24,2,FALSE)</f>
        <v>500,000-750,000</v>
      </c>
      <c r="AF518" s="23">
        <v>3</v>
      </c>
      <c r="AG518" s="50">
        <v>5</v>
      </c>
      <c r="AH518" s="50">
        <v>4</v>
      </c>
      <c r="AI518" s="50">
        <v>2</v>
      </c>
      <c r="AJ518" s="50">
        <v>1</v>
      </c>
      <c r="AK518" s="46" t="s">
        <v>94</v>
      </c>
      <c r="AL518" s="36">
        <v>1000</v>
      </c>
      <c r="AM518" t="str">
        <f t="shared" si="35"/>
        <v>1000-2000</v>
      </c>
    </row>
    <row r="519" spans="1:39" x14ac:dyDescent="0.2">
      <c r="A519" s="44">
        <v>43760</v>
      </c>
      <c r="B519" s="48">
        <v>0.36458333333333331</v>
      </c>
      <c r="C519" s="48"/>
      <c r="D519" s="48" t="s">
        <v>150</v>
      </c>
      <c r="E519" s="13">
        <v>2</v>
      </c>
      <c r="F519" s="38" t="str">
        <f>VLOOKUP(E519,[2]Key!$A$17:$B$21,2,FALSE)</f>
        <v>Road Vehicle</v>
      </c>
      <c r="G519" s="49">
        <v>4</v>
      </c>
      <c r="H519" s="39" t="str">
        <f>VLOOKUP(G519,[2]Key!$A$2:$B$14,2,FALSE)</f>
        <v>Minibus</v>
      </c>
      <c r="I519" s="13" t="s">
        <v>109</v>
      </c>
      <c r="J519" s="13">
        <v>2</v>
      </c>
      <c r="K519" s="40" t="str">
        <f>VLOOKUP(J519,[2]Key!$A$24:$B$29,2,FALSE)</f>
        <v>30-39</v>
      </c>
      <c r="L519" s="11" t="s">
        <v>323</v>
      </c>
      <c r="M519" s="23" t="s">
        <v>220</v>
      </c>
      <c r="N519" s="13" t="s">
        <v>221</v>
      </c>
      <c r="O519" s="46">
        <v>4</v>
      </c>
      <c r="P519" s="30" t="str">
        <f>VLOOKUP(O519,[2]Key!$E$2:$F$9,2,FALSE)</f>
        <v>Commercial</v>
      </c>
      <c r="Q519" s="13" t="s">
        <v>261</v>
      </c>
      <c r="R519" s="23" t="s">
        <v>223</v>
      </c>
      <c r="S519" s="13" t="s">
        <v>221</v>
      </c>
      <c r="T519" s="23">
        <v>1</v>
      </c>
      <c r="U519" s="30" t="str">
        <f>VLOOKUP(T519,[2]Key!$E$2:$F$9,2,FALSE)</f>
        <v>Home</v>
      </c>
      <c r="V519" s="30" t="str">
        <f t="shared" si="32"/>
        <v>Commercial-Home</v>
      </c>
      <c r="W519" s="41">
        <v>12000</v>
      </c>
      <c r="X519" s="50">
        <v>99</v>
      </c>
      <c r="Y519" s="50" t="str">
        <f t="shared" si="33"/>
        <v>70-100</v>
      </c>
      <c r="Z519" s="50">
        <v>2.5</v>
      </c>
      <c r="AA519" s="50" t="str">
        <f t="shared" si="34"/>
        <v>2.0-3.5</v>
      </c>
      <c r="AB519" s="23">
        <v>1</v>
      </c>
      <c r="AC519" s="30" t="str">
        <f>VLOOKUP(AB519,[2]Key!$C$20:$D$29,2,FALSE)</f>
        <v>Unemployed</v>
      </c>
      <c r="AD519" s="23">
        <v>2</v>
      </c>
      <c r="AE519" s="30" t="str">
        <f>VLOOKUP(AD519,[2]Key!$E$20:$F$24,2,FALSE)</f>
        <v>300,000-500,000</v>
      </c>
      <c r="AF519" s="23">
        <v>2</v>
      </c>
      <c r="AG519" s="50">
        <v>1</v>
      </c>
      <c r="AH519" s="50">
        <v>4</v>
      </c>
      <c r="AI519" s="50">
        <v>3</v>
      </c>
      <c r="AJ519" s="50">
        <v>5</v>
      </c>
      <c r="AK519" s="46" t="s">
        <v>94</v>
      </c>
      <c r="AL519" s="36"/>
      <c r="AM519" t="str">
        <f t="shared" si="35"/>
        <v>0-1000</v>
      </c>
    </row>
    <row r="520" spans="1:39" x14ac:dyDescent="0.2">
      <c r="A520" s="44">
        <v>43760</v>
      </c>
      <c r="B520" s="48">
        <v>0.36944444444444446</v>
      </c>
      <c r="C520" s="48"/>
      <c r="D520" s="48" t="s">
        <v>248</v>
      </c>
      <c r="E520" s="13">
        <v>2</v>
      </c>
      <c r="F520" s="38" t="str">
        <f>VLOOKUP(E520,[2]Key!$A$17:$B$21,2,FALSE)</f>
        <v>Road Vehicle</v>
      </c>
      <c r="G520" s="49">
        <v>4</v>
      </c>
      <c r="H520" s="39" t="str">
        <f>VLOOKUP(G520,[2]Key!$A$2:$B$14,2,FALSE)</f>
        <v>Minibus</v>
      </c>
      <c r="I520" s="13" t="s">
        <v>109</v>
      </c>
      <c r="J520" s="13">
        <v>2</v>
      </c>
      <c r="K520" s="40" t="str">
        <f>VLOOKUP(J520,[2]Key!$A$24:$B$29,2,FALSE)</f>
        <v>30-39</v>
      </c>
      <c r="L520" s="11" t="s">
        <v>291</v>
      </c>
      <c r="M520" s="23" t="s">
        <v>220</v>
      </c>
      <c r="N520" s="13" t="s">
        <v>221</v>
      </c>
      <c r="O520" s="46">
        <v>4</v>
      </c>
      <c r="P520" s="30" t="str">
        <f>VLOOKUP(O520,[2]Key!$E$2:$F$9,2,FALSE)</f>
        <v>Commercial</v>
      </c>
      <c r="Q520" s="13" t="s">
        <v>292</v>
      </c>
      <c r="R520" s="23" t="s">
        <v>292</v>
      </c>
      <c r="S520" s="13" t="s">
        <v>221</v>
      </c>
      <c r="T520" s="23">
        <v>2</v>
      </c>
      <c r="U520" s="30" t="str">
        <f>VLOOKUP(T520,[2]Key!$E$2:$F$9,2,FALSE)</f>
        <v>Work</v>
      </c>
      <c r="V520" s="30" t="str">
        <f t="shared" si="32"/>
        <v>Commercial-Work</v>
      </c>
      <c r="W520" s="41">
        <v>13000</v>
      </c>
      <c r="X520" s="50">
        <v>126</v>
      </c>
      <c r="Y520" s="50" t="str">
        <f t="shared" si="33"/>
        <v>100-200</v>
      </c>
      <c r="Z520" s="50">
        <v>5</v>
      </c>
      <c r="AA520" s="50" t="str">
        <f t="shared" si="34"/>
        <v>Over 3.5</v>
      </c>
      <c r="AB520" s="23">
        <v>6</v>
      </c>
      <c r="AC520" s="30" t="str">
        <f>VLOOKUP(AB520,[2]Key!$C$20:$D$29,2,FALSE)</f>
        <v>Businessman</v>
      </c>
      <c r="AD520" s="23">
        <v>2</v>
      </c>
      <c r="AE520" s="30" t="str">
        <f>VLOOKUP(AD520,[2]Key!$E$20:$F$24,2,FALSE)</f>
        <v>300,000-500,000</v>
      </c>
      <c r="AF520" s="23">
        <v>1</v>
      </c>
      <c r="AG520" s="50">
        <v>2</v>
      </c>
      <c r="AH520" s="50">
        <v>4</v>
      </c>
      <c r="AI520" s="50">
        <v>3</v>
      </c>
      <c r="AJ520" s="50">
        <v>5</v>
      </c>
      <c r="AK520" s="46" t="s">
        <v>94</v>
      </c>
      <c r="AL520" s="36"/>
      <c r="AM520" t="str">
        <f t="shared" si="35"/>
        <v>0-1000</v>
      </c>
    </row>
    <row r="521" spans="1:39" x14ac:dyDescent="0.2">
      <c r="A521" s="44">
        <v>43760</v>
      </c>
      <c r="B521" s="48">
        <v>0.37291666666666662</v>
      </c>
      <c r="C521" s="48"/>
      <c r="D521" s="48" t="s">
        <v>248</v>
      </c>
      <c r="E521" s="13">
        <v>2</v>
      </c>
      <c r="F521" s="38" t="str">
        <f>VLOOKUP(E521,[2]Key!$A$17:$B$21,2,FALSE)</f>
        <v>Road Vehicle</v>
      </c>
      <c r="G521" s="49">
        <v>4</v>
      </c>
      <c r="H521" s="39" t="str">
        <f>VLOOKUP(G521,[2]Key!$A$2:$B$14,2,FALSE)</f>
        <v>Minibus</v>
      </c>
      <c r="I521" s="13" t="s">
        <v>109</v>
      </c>
      <c r="J521" s="13">
        <v>2</v>
      </c>
      <c r="K521" s="40" t="str">
        <f>VLOOKUP(J521,[2]Key!$A$24:$B$29,2,FALSE)</f>
        <v>30-39</v>
      </c>
      <c r="L521" s="11" t="s">
        <v>306</v>
      </c>
      <c r="M521" s="23" t="s">
        <v>220</v>
      </c>
      <c r="N521" s="13" t="s">
        <v>221</v>
      </c>
      <c r="O521" s="46">
        <v>1</v>
      </c>
      <c r="P521" s="30" t="str">
        <f>VLOOKUP(O521,[2]Key!$E$2:$F$9,2,FALSE)</f>
        <v>Home</v>
      </c>
      <c r="Q521" s="13" t="s">
        <v>292</v>
      </c>
      <c r="R521" s="23" t="s">
        <v>292</v>
      </c>
      <c r="S521" s="13" t="s">
        <v>221</v>
      </c>
      <c r="T521" s="23">
        <v>2</v>
      </c>
      <c r="U521" s="30" t="str">
        <f>VLOOKUP(T521,[2]Key!$E$2:$F$9,2,FALSE)</f>
        <v>Work</v>
      </c>
      <c r="V521" s="30" t="str">
        <f t="shared" si="32"/>
        <v>Home-Work</v>
      </c>
      <c r="W521" s="41">
        <v>10000</v>
      </c>
      <c r="X521" s="50"/>
      <c r="Y521" s="50" t="str">
        <f t="shared" si="33"/>
        <v>0-10</v>
      </c>
      <c r="Z521" s="50">
        <v>4</v>
      </c>
      <c r="AA521" s="50" t="str">
        <f t="shared" si="34"/>
        <v>Over 3.5</v>
      </c>
      <c r="AB521" s="23">
        <v>6</v>
      </c>
      <c r="AC521" s="30" t="str">
        <f>VLOOKUP(AB521,[2]Key!$C$20:$D$29,2,FALSE)</f>
        <v>Businessman</v>
      </c>
      <c r="AD521" s="23">
        <v>2</v>
      </c>
      <c r="AE521" s="30" t="str">
        <f>VLOOKUP(AD521,[2]Key!$E$20:$F$24,2,FALSE)</f>
        <v>300,000-500,000</v>
      </c>
      <c r="AF521" s="23">
        <v>2</v>
      </c>
      <c r="AG521" s="50">
        <v>1</v>
      </c>
      <c r="AH521" s="50">
        <v>5</v>
      </c>
      <c r="AI521" s="50">
        <v>3</v>
      </c>
      <c r="AJ521" s="50">
        <v>4</v>
      </c>
      <c r="AK521" s="46" t="s">
        <v>94</v>
      </c>
      <c r="AL521" s="36">
        <v>1500</v>
      </c>
      <c r="AM521" t="str">
        <f t="shared" si="35"/>
        <v>1000-2000</v>
      </c>
    </row>
    <row r="522" spans="1:39" x14ac:dyDescent="0.2">
      <c r="A522" s="44">
        <v>43760</v>
      </c>
      <c r="B522" s="48">
        <v>0.40277777777777773</v>
      </c>
      <c r="C522" s="48"/>
      <c r="D522" s="48" t="s">
        <v>150</v>
      </c>
      <c r="E522" s="13">
        <v>2</v>
      </c>
      <c r="F522" s="38" t="str">
        <f>VLOOKUP(E522,[2]Key!$A$17:$B$21,2,FALSE)</f>
        <v>Road Vehicle</v>
      </c>
      <c r="G522" s="49">
        <v>4</v>
      </c>
      <c r="H522" s="39" t="str">
        <f>VLOOKUP(G522,[2]Key!$A$2:$B$14,2,FALSE)</f>
        <v>Minibus</v>
      </c>
      <c r="I522" s="13" t="s">
        <v>109</v>
      </c>
      <c r="J522" s="13">
        <v>2</v>
      </c>
      <c r="K522" s="40" t="str">
        <f>VLOOKUP(J522,[2]Key!$A$24:$B$29,2,FALSE)</f>
        <v>30-39</v>
      </c>
      <c r="L522" s="11" t="s">
        <v>222</v>
      </c>
      <c r="M522" s="23" t="s">
        <v>220</v>
      </c>
      <c r="N522" s="13" t="s">
        <v>221</v>
      </c>
      <c r="O522" s="46">
        <v>2</v>
      </c>
      <c r="P522" s="30" t="str">
        <f>VLOOKUP(O522,[2]Key!$E$2:$F$9,2,FALSE)</f>
        <v>Work</v>
      </c>
      <c r="Q522" s="13" t="s">
        <v>222</v>
      </c>
      <c r="R522" s="23" t="s">
        <v>223</v>
      </c>
      <c r="S522" s="13" t="s">
        <v>221</v>
      </c>
      <c r="T522" s="23">
        <v>1</v>
      </c>
      <c r="U522" s="30" t="str">
        <f>VLOOKUP(T522,[2]Key!$E$2:$F$9,2,FALSE)</f>
        <v>Home</v>
      </c>
      <c r="V522" s="30" t="str">
        <f t="shared" si="32"/>
        <v>Work-Home</v>
      </c>
      <c r="W522" s="23">
        <v>3000</v>
      </c>
      <c r="X522" s="50">
        <v>15</v>
      </c>
      <c r="Y522" s="50" t="str">
        <f t="shared" si="33"/>
        <v>10-20</v>
      </c>
      <c r="Z522" s="50">
        <v>0.3</v>
      </c>
      <c r="AA522" s="50" t="str">
        <f t="shared" si="34"/>
        <v>0-0.5</v>
      </c>
      <c r="AB522" s="23">
        <v>6</v>
      </c>
      <c r="AC522" s="30" t="str">
        <f>VLOOKUP(AB522,[2]Key!$C$20:$D$29,2,FALSE)</f>
        <v>Businessman</v>
      </c>
      <c r="AD522" s="23">
        <v>2</v>
      </c>
      <c r="AE522" s="30" t="str">
        <f>VLOOKUP(AD522,[2]Key!$E$20:$F$24,2,FALSE)</f>
        <v>300,000-500,000</v>
      </c>
      <c r="AF522" s="23">
        <v>5</v>
      </c>
      <c r="AG522" s="50">
        <v>1</v>
      </c>
      <c r="AH522" s="50">
        <v>3</v>
      </c>
      <c r="AI522" s="50">
        <v>2</v>
      </c>
      <c r="AJ522" s="50">
        <v>4</v>
      </c>
      <c r="AK522" s="46" t="s">
        <v>94</v>
      </c>
      <c r="AL522" s="36">
        <v>2000</v>
      </c>
      <c r="AM522" t="str">
        <f t="shared" si="35"/>
        <v>2000-3000</v>
      </c>
    </row>
    <row r="523" spans="1:39" x14ac:dyDescent="0.2">
      <c r="A523" s="44">
        <v>43760</v>
      </c>
      <c r="B523" s="48">
        <v>0.40763888888888888</v>
      </c>
      <c r="C523" s="48"/>
      <c r="D523" s="48" t="s">
        <v>150</v>
      </c>
      <c r="E523" s="13">
        <v>2</v>
      </c>
      <c r="F523" s="38" t="str">
        <f>VLOOKUP(E523,[2]Key!$A$17:$B$21,2,FALSE)</f>
        <v>Road Vehicle</v>
      </c>
      <c r="G523" s="49">
        <v>4</v>
      </c>
      <c r="H523" s="39" t="str">
        <f>VLOOKUP(G523,[2]Key!$A$2:$B$14,2,FALSE)</f>
        <v>Minibus</v>
      </c>
      <c r="I523" s="13" t="s">
        <v>109</v>
      </c>
      <c r="J523" s="13">
        <v>2</v>
      </c>
      <c r="K523" s="40" t="str">
        <f>VLOOKUP(J523,[2]Key!$A$24:$B$29,2,FALSE)</f>
        <v>30-39</v>
      </c>
      <c r="L523" s="11" t="s">
        <v>220</v>
      </c>
      <c r="M523" s="23" t="s">
        <v>220</v>
      </c>
      <c r="N523" s="13" t="s">
        <v>221</v>
      </c>
      <c r="O523" s="46">
        <v>4</v>
      </c>
      <c r="P523" s="30" t="str">
        <f>VLOOKUP(O523,[2]Key!$E$2:$F$9,2,FALSE)</f>
        <v>Commercial</v>
      </c>
      <c r="Q523" s="13" t="s">
        <v>297</v>
      </c>
      <c r="R523" s="23" t="s">
        <v>297</v>
      </c>
      <c r="S523" s="13" t="s">
        <v>221</v>
      </c>
      <c r="T523" s="23">
        <v>4</v>
      </c>
      <c r="U523" s="30" t="str">
        <f>VLOOKUP(T523,[2]Key!$E$2:$F$9,2,FALSE)</f>
        <v>Commercial</v>
      </c>
      <c r="V523" s="30" t="str">
        <f t="shared" si="32"/>
        <v>Commercial-Commercial</v>
      </c>
      <c r="W523" s="23">
        <v>5000</v>
      </c>
      <c r="X523" s="50">
        <v>29</v>
      </c>
      <c r="Y523" s="50" t="str">
        <f t="shared" si="33"/>
        <v>20-40</v>
      </c>
      <c r="Z523" s="50">
        <v>0.83</v>
      </c>
      <c r="AA523" s="50" t="str">
        <f t="shared" si="34"/>
        <v>0.5-1.0</v>
      </c>
      <c r="AB523" s="23">
        <v>6</v>
      </c>
      <c r="AC523" s="30" t="str">
        <f>VLOOKUP(AB523,[2]Key!$C$20:$D$29,2,FALSE)</f>
        <v>Businessman</v>
      </c>
      <c r="AD523" s="23">
        <v>2</v>
      </c>
      <c r="AE523" s="30" t="str">
        <f>VLOOKUP(AD523,[2]Key!$E$20:$F$24,2,FALSE)</f>
        <v>300,000-500,000</v>
      </c>
      <c r="AF523" s="23">
        <v>4</v>
      </c>
      <c r="AG523" s="50">
        <v>1</v>
      </c>
      <c r="AH523" s="50">
        <v>3</v>
      </c>
      <c r="AI523" s="50">
        <v>2</v>
      </c>
      <c r="AJ523" s="50">
        <v>5</v>
      </c>
      <c r="AK523" s="46" t="s">
        <v>94</v>
      </c>
      <c r="AL523" s="36"/>
      <c r="AM523" t="str">
        <f t="shared" si="35"/>
        <v>0-1000</v>
      </c>
    </row>
    <row r="524" spans="1:39" x14ac:dyDescent="0.2">
      <c r="A524" s="44">
        <v>43760</v>
      </c>
      <c r="B524" s="48">
        <v>0.41111111111111115</v>
      </c>
      <c r="C524" s="48"/>
      <c r="D524" s="48" t="s">
        <v>150</v>
      </c>
      <c r="E524" s="13">
        <v>2</v>
      </c>
      <c r="F524" s="38" t="str">
        <f>VLOOKUP(E524,[2]Key!$A$17:$B$21,2,FALSE)</f>
        <v>Road Vehicle</v>
      </c>
      <c r="G524" s="49">
        <v>4</v>
      </c>
      <c r="H524" s="39" t="str">
        <f>VLOOKUP(G524,[2]Key!$A$2:$B$14,2,FALSE)</f>
        <v>Minibus</v>
      </c>
      <c r="I524" s="13" t="s">
        <v>109</v>
      </c>
      <c r="J524" s="13">
        <v>2</v>
      </c>
      <c r="K524" s="40" t="str">
        <f>VLOOKUP(J524,[2]Key!$A$24:$B$29,2,FALSE)</f>
        <v>30-39</v>
      </c>
      <c r="L524" s="11" t="s">
        <v>253</v>
      </c>
      <c r="M524" s="23" t="s">
        <v>220</v>
      </c>
      <c r="N524" s="13" t="s">
        <v>221</v>
      </c>
      <c r="O524" s="46">
        <v>1</v>
      </c>
      <c r="P524" s="30" t="str">
        <f>VLOOKUP(O524,[2]Key!$E$2:$F$9,2,FALSE)</f>
        <v>Home</v>
      </c>
      <c r="Q524" s="13" t="s">
        <v>328</v>
      </c>
      <c r="R524" s="23" t="s">
        <v>247</v>
      </c>
      <c r="S524" s="13" t="s">
        <v>221</v>
      </c>
      <c r="T524" s="23">
        <v>4</v>
      </c>
      <c r="U524" s="30" t="str">
        <f>VLOOKUP(T524,[2]Key!$E$2:$F$9,2,FALSE)</f>
        <v>Commercial</v>
      </c>
      <c r="V524" s="30" t="str">
        <f t="shared" si="32"/>
        <v>Home-Commercial</v>
      </c>
      <c r="W524" s="23">
        <v>5000</v>
      </c>
      <c r="X524" s="50">
        <v>50</v>
      </c>
      <c r="Y524" s="50" t="str">
        <f t="shared" si="33"/>
        <v>40-70</v>
      </c>
      <c r="Z524" s="50">
        <v>1.5</v>
      </c>
      <c r="AA524" s="50" t="str">
        <f t="shared" si="34"/>
        <v>1.0-2.0</v>
      </c>
      <c r="AB524" s="23">
        <v>6</v>
      </c>
      <c r="AC524" s="30" t="str">
        <f>VLOOKUP(AB524,[2]Key!$C$20:$D$29,2,FALSE)</f>
        <v>Businessman</v>
      </c>
      <c r="AD524" s="23">
        <v>2</v>
      </c>
      <c r="AE524" s="30" t="str">
        <f>VLOOKUP(AD524,[2]Key!$E$20:$F$24,2,FALSE)</f>
        <v>300,000-500,000</v>
      </c>
      <c r="AF524" s="23">
        <v>1</v>
      </c>
      <c r="AG524" s="50">
        <v>5</v>
      </c>
      <c r="AH524" s="50">
        <v>4</v>
      </c>
      <c r="AI524" s="50">
        <v>2</v>
      </c>
      <c r="AJ524" s="50">
        <v>3</v>
      </c>
      <c r="AK524" s="46" t="s">
        <v>94</v>
      </c>
      <c r="AL524" s="36">
        <v>2000</v>
      </c>
      <c r="AM524" t="str">
        <f t="shared" si="35"/>
        <v>2000-3000</v>
      </c>
    </row>
    <row r="525" spans="1:39" x14ac:dyDescent="0.2">
      <c r="A525" s="44">
        <v>43760</v>
      </c>
      <c r="B525" s="48">
        <v>0.42222222222222222</v>
      </c>
      <c r="C525" s="48"/>
      <c r="D525" s="48" t="s">
        <v>248</v>
      </c>
      <c r="E525" s="13">
        <v>2</v>
      </c>
      <c r="F525" s="38" t="str">
        <f>VLOOKUP(E525,[2]Key!$A$17:$B$21,2,FALSE)</f>
        <v>Road Vehicle</v>
      </c>
      <c r="G525" s="49">
        <v>4</v>
      </c>
      <c r="H525" s="39" t="str">
        <f>VLOOKUP(G525,[2]Key!$A$2:$B$14,2,FALSE)</f>
        <v>Minibus</v>
      </c>
      <c r="I525" s="13" t="s">
        <v>109</v>
      </c>
      <c r="J525" s="13">
        <v>2</v>
      </c>
      <c r="K525" s="40" t="str">
        <f>VLOOKUP(J525,[2]Key!$A$24:$B$29,2,FALSE)</f>
        <v>30-39</v>
      </c>
      <c r="L525" s="11" t="s">
        <v>305</v>
      </c>
      <c r="M525" s="23" t="s">
        <v>220</v>
      </c>
      <c r="N525" s="13" t="s">
        <v>221</v>
      </c>
      <c r="O525" s="46">
        <v>1</v>
      </c>
      <c r="P525" s="30" t="str">
        <f>VLOOKUP(O525,[2]Key!$E$2:$F$9,2,FALSE)</f>
        <v>Home</v>
      </c>
      <c r="Q525" s="13" t="s">
        <v>297</v>
      </c>
      <c r="R525" s="23" t="s">
        <v>297</v>
      </c>
      <c r="S525" s="13" t="s">
        <v>221</v>
      </c>
      <c r="T525" s="23">
        <v>4</v>
      </c>
      <c r="U525" s="30" t="str">
        <f>VLOOKUP(T525,[2]Key!$E$2:$F$9,2,FALSE)</f>
        <v>Commercial</v>
      </c>
      <c r="V525" s="30" t="str">
        <f t="shared" si="32"/>
        <v>Home-Commercial</v>
      </c>
      <c r="W525" s="23">
        <v>8000</v>
      </c>
      <c r="X525" s="50">
        <v>56</v>
      </c>
      <c r="Y525" s="50" t="str">
        <f t="shared" si="33"/>
        <v>40-70</v>
      </c>
      <c r="Z525" s="50">
        <v>2</v>
      </c>
      <c r="AA525" s="50" t="str">
        <f t="shared" si="34"/>
        <v>2.0-3.5</v>
      </c>
      <c r="AB525" s="23">
        <v>6</v>
      </c>
      <c r="AC525" s="30" t="str">
        <f>VLOOKUP(AB525,[2]Key!$C$20:$D$29,2,FALSE)</f>
        <v>Businessman</v>
      </c>
      <c r="AD525" s="23">
        <v>2</v>
      </c>
      <c r="AE525" s="30" t="str">
        <f>VLOOKUP(AD525,[2]Key!$E$20:$F$24,2,FALSE)</f>
        <v>300,000-500,000</v>
      </c>
      <c r="AF525" s="23">
        <v>2</v>
      </c>
      <c r="AG525" s="50">
        <v>1</v>
      </c>
      <c r="AH525" s="50">
        <v>4</v>
      </c>
      <c r="AI525" s="50">
        <v>3</v>
      </c>
      <c r="AJ525" s="50">
        <v>5</v>
      </c>
      <c r="AK525" s="46" t="s">
        <v>94</v>
      </c>
      <c r="AL525" s="36"/>
      <c r="AM525" t="str">
        <f t="shared" si="35"/>
        <v>0-1000</v>
      </c>
    </row>
    <row r="526" spans="1:39" x14ac:dyDescent="0.2">
      <c r="A526" s="44">
        <v>43760</v>
      </c>
      <c r="B526" s="48">
        <v>0.43611111111111112</v>
      </c>
      <c r="C526" s="48"/>
      <c r="D526" s="48" t="s">
        <v>150</v>
      </c>
      <c r="E526" s="13">
        <v>2</v>
      </c>
      <c r="F526" s="38" t="str">
        <f>VLOOKUP(E526,[2]Key!$A$17:$B$21,2,FALSE)</f>
        <v>Road Vehicle</v>
      </c>
      <c r="G526" s="49">
        <v>4</v>
      </c>
      <c r="H526" s="39" t="str">
        <f>VLOOKUP(G526,[2]Key!$A$2:$B$14,2,FALSE)</f>
        <v>Minibus</v>
      </c>
      <c r="I526" s="13" t="s">
        <v>109</v>
      </c>
      <c r="J526" s="13">
        <v>2</v>
      </c>
      <c r="K526" s="40" t="str">
        <f>VLOOKUP(J526,[2]Key!$A$24:$B$29,2,FALSE)</f>
        <v>30-39</v>
      </c>
      <c r="L526" s="11" t="s">
        <v>330</v>
      </c>
      <c r="M526" s="23" t="s">
        <v>223</v>
      </c>
      <c r="N526" s="13" t="s">
        <v>221</v>
      </c>
      <c r="O526" s="46">
        <v>1</v>
      </c>
      <c r="P526" s="30" t="str">
        <f>VLOOKUP(O526,[2]Key!$E$2:$F$9,2,FALSE)</f>
        <v>Home</v>
      </c>
      <c r="Q526" s="13" t="s">
        <v>261</v>
      </c>
      <c r="R526" s="23" t="s">
        <v>223</v>
      </c>
      <c r="S526" s="13" t="s">
        <v>221</v>
      </c>
      <c r="T526" s="23">
        <v>4</v>
      </c>
      <c r="U526" s="30" t="str">
        <f>VLOOKUP(T526,[2]Key!$E$2:$F$9,2,FALSE)</f>
        <v>Commercial</v>
      </c>
      <c r="V526" s="30" t="str">
        <f t="shared" si="32"/>
        <v>Home-Commercial</v>
      </c>
      <c r="W526" s="23">
        <v>8000</v>
      </c>
      <c r="X526" s="50">
        <v>96</v>
      </c>
      <c r="Y526" s="50" t="str">
        <f t="shared" si="33"/>
        <v>70-100</v>
      </c>
      <c r="Z526" s="50">
        <v>3</v>
      </c>
      <c r="AA526" s="50" t="str">
        <f t="shared" si="34"/>
        <v>2.0-3.5</v>
      </c>
      <c r="AB526" s="23">
        <v>6</v>
      </c>
      <c r="AC526" s="30" t="str">
        <f>VLOOKUP(AB526,[2]Key!$C$20:$D$29,2,FALSE)</f>
        <v>Businessman</v>
      </c>
      <c r="AD526" s="23">
        <v>2</v>
      </c>
      <c r="AE526" s="30" t="str">
        <f>VLOOKUP(AD526,[2]Key!$E$20:$F$24,2,FALSE)</f>
        <v>300,000-500,000</v>
      </c>
      <c r="AF526" s="23">
        <v>2</v>
      </c>
      <c r="AG526" s="50">
        <v>3</v>
      </c>
      <c r="AH526" s="50">
        <v>4</v>
      </c>
      <c r="AI526" s="50">
        <v>1</v>
      </c>
      <c r="AJ526" s="50">
        <v>5</v>
      </c>
      <c r="AK526" s="46" t="s">
        <v>94</v>
      </c>
      <c r="AL526" s="36">
        <v>2000</v>
      </c>
      <c r="AM526" t="str">
        <f t="shared" si="35"/>
        <v>2000-3000</v>
      </c>
    </row>
    <row r="527" spans="1:39" x14ac:dyDescent="0.2">
      <c r="A527" s="44">
        <v>43760</v>
      </c>
      <c r="B527" s="48">
        <v>0.43402777777777773</v>
      </c>
      <c r="C527" s="48"/>
      <c r="D527" s="48" t="s">
        <v>150</v>
      </c>
      <c r="E527" s="13">
        <v>2</v>
      </c>
      <c r="F527" s="38" t="str">
        <f>VLOOKUP(E527,[2]Key!$A$17:$B$21,2,FALSE)</f>
        <v>Road Vehicle</v>
      </c>
      <c r="G527" s="49">
        <v>4</v>
      </c>
      <c r="H527" s="39" t="str">
        <f>VLOOKUP(G527,[2]Key!$A$2:$B$14,2,FALSE)</f>
        <v>Minibus</v>
      </c>
      <c r="I527" s="13" t="s">
        <v>109</v>
      </c>
      <c r="J527" s="13">
        <v>2</v>
      </c>
      <c r="K527" s="40" t="str">
        <f>VLOOKUP(J527,[2]Key!$A$24:$B$29,2,FALSE)</f>
        <v>30-39</v>
      </c>
      <c r="L527" s="11" t="s">
        <v>321</v>
      </c>
      <c r="M527" s="23" t="s">
        <v>220</v>
      </c>
      <c r="N527" s="13" t="s">
        <v>221</v>
      </c>
      <c r="O527" s="46">
        <v>1</v>
      </c>
      <c r="P527" s="30" t="str">
        <f>VLOOKUP(O527,[2]Key!$E$2:$F$9,2,FALSE)</f>
        <v>Home</v>
      </c>
      <c r="Q527" s="13" t="s">
        <v>261</v>
      </c>
      <c r="R527" s="23" t="s">
        <v>223</v>
      </c>
      <c r="S527" s="13" t="s">
        <v>221</v>
      </c>
      <c r="T527" s="23">
        <v>4</v>
      </c>
      <c r="U527" s="30" t="str">
        <f>VLOOKUP(T527,[2]Key!$E$2:$F$9,2,FALSE)</f>
        <v>Commercial</v>
      </c>
      <c r="V527" s="30" t="str">
        <f t="shared" si="32"/>
        <v>Home-Commercial</v>
      </c>
      <c r="W527" s="23">
        <v>10000</v>
      </c>
      <c r="X527" s="50">
        <v>97</v>
      </c>
      <c r="Y527" s="50" t="str">
        <f t="shared" si="33"/>
        <v>70-100</v>
      </c>
      <c r="Z527" s="50">
        <v>3</v>
      </c>
      <c r="AA527" s="50" t="str">
        <f t="shared" si="34"/>
        <v>2.0-3.5</v>
      </c>
      <c r="AB527" s="23">
        <v>6</v>
      </c>
      <c r="AC527" s="30" t="str">
        <f>VLOOKUP(AB527,[2]Key!$C$20:$D$29,2,FALSE)</f>
        <v>Businessman</v>
      </c>
      <c r="AD527" s="23">
        <v>1</v>
      </c>
      <c r="AE527" s="30" t="str">
        <f>VLOOKUP(AD527,[2]Key!$E$20:$F$24,2,FALSE)</f>
        <v>&lt;300,000</v>
      </c>
      <c r="AF527" s="23">
        <v>3</v>
      </c>
      <c r="AG527" s="50">
        <v>4</v>
      </c>
      <c r="AH527" s="50">
        <v>2</v>
      </c>
      <c r="AI527" s="50">
        <v>1</v>
      </c>
      <c r="AJ527" s="50">
        <v>5</v>
      </c>
      <c r="AK527" s="46" t="s">
        <v>94</v>
      </c>
      <c r="AL527" s="36">
        <v>1000</v>
      </c>
      <c r="AM527" t="str">
        <f t="shared" si="35"/>
        <v>1000-2000</v>
      </c>
    </row>
    <row r="528" spans="1:39" x14ac:dyDescent="0.2">
      <c r="A528" s="44">
        <v>43760</v>
      </c>
      <c r="B528" s="48">
        <v>0.4375</v>
      </c>
      <c r="C528" s="48"/>
      <c r="D528" s="48" t="s">
        <v>150</v>
      </c>
      <c r="E528" s="13">
        <v>2</v>
      </c>
      <c r="F528" s="38" t="str">
        <f>VLOOKUP(E528,[2]Key!$A$17:$B$21,2,FALSE)</f>
        <v>Road Vehicle</v>
      </c>
      <c r="G528" s="49">
        <v>4</v>
      </c>
      <c r="H528" s="39" t="str">
        <f>VLOOKUP(G528,[2]Key!$A$2:$B$14,2,FALSE)</f>
        <v>Minibus</v>
      </c>
      <c r="I528" s="13" t="s">
        <v>109</v>
      </c>
      <c r="J528" s="13">
        <v>2</v>
      </c>
      <c r="K528" s="40" t="str">
        <f>VLOOKUP(J528,[2]Key!$A$24:$B$29,2,FALSE)</f>
        <v>30-39</v>
      </c>
      <c r="L528" s="11" t="s">
        <v>253</v>
      </c>
      <c r="M528" s="23" t="s">
        <v>220</v>
      </c>
      <c r="N528" s="13" t="s">
        <v>221</v>
      </c>
      <c r="O528" s="46">
        <v>1</v>
      </c>
      <c r="P528" s="30" t="str">
        <f>VLOOKUP(O528,[2]Key!$E$2:$F$9,2,FALSE)</f>
        <v>Home</v>
      </c>
      <c r="Q528" s="13" t="s">
        <v>223</v>
      </c>
      <c r="R528" s="23" t="s">
        <v>223</v>
      </c>
      <c r="S528" s="13" t="s">
        <v>221</v>
      </c>
      <c r="T528" s="23">
        <v>4</v>
      </c>
      <c r="U528" s="30" t="str">
        <f>VLOOKUP(T528,[2]Key!$E$2:$F$9,2,FALSE)</f>
        <v>Commercial</v>
      </c>
      <c r="V528" s="30" t="str">
        <f t="shared" si="32"/>
        <v>Home-Commercial</v>
      </c>
      <c r="W528" s="23">
        <v>9000</v>
      </c>
      <c r="X528" s="50">
        <v>60</v>
      </c>
      <c r="Y528" s="50" t="str">
        <f t="shared" si="33"/>
        <v>40-70</v>
      </c>
      <c r="Z528" s="50">
        <v>2</v>
      </c>
      <c r="AA528" s="50" t="str">
        <f t="shared" si="34"/>
        <v>2.0-3.5</v>
      </c>
      <c r="AB528" s="23">
        <v>6</v>
      </c>
      <c r="AC528" s="30" t="str">
        <f>VLOOKUP(AB528,[2]Key!$C$20:$D$29,2,FALSE)</f>
        <v>Businessman</v>
      </c>
      <c r="AD528" s="23">
        <v>1</v>
      </c>
      <c r="AE528" s="30" t="str">
        <f>VLOOKUP(AD528,[2]Key!$E$20:$F$24,2,FALSE)</f>
        <v>&lt;300,000</v>
      </c>
      <c r="AF528" s="23">
        <v>1</v>
      </c>
      <c r="AG528" s="50">
        <v>2</v>
      </c>
      <c r="AH528" s="50">
        <v>3</v>
      </c>
      <c r="AI528" s="50">
        <v>5</v>
      </c>
      <c r="AJ528" s="50">
        <v>4</v>
      </c>
      <c r="AK528" s="46" t="s">
        <v>94</v>
      </c>
      <c r="AL528" s="36">
        <v>1000</v>
      </c>
      <c r="AM528" t="str">
        <f t="shared" si="35"/>
        <v>1000-2000</v>
      </c>
    </row>
    <row r="529" spans="1:39" x14ac:dyDescent="0.2">
      <c r="A529" s="44">
        <v>43760</v>
      </c>
      <c r="B529" s="48">
        <v>0.46875</v>
      </c>
      <c r="C529" s="48"/>
      <c r="D529" s="48" t="s">
        <v>150</v>
      </c>
      <c r="E529" s="13">
        <v>2</v>
      </c>
      <c r="F529" s="38" t="str">
        <f>VLOOKUP(E529,[2]Key!$A$17:$B$21,2,FALSE)</f>
        <v>Road Vehicle</v>
      </c>
      <c r="G529" s="49">
        <v>4</v>
      </c>
      <c r="H529" s="39" t="str">
        <f>VLOOKUP(G529,[2]Key!$A$2:$B$14,2,FALSE)</f>
        <v>Minibus</v>
      </c>
      <c r="I529" s="13" t="s">
        <v>109</v>
      </c>
      <c r="J529" s="13">
        <v>2</v>
      </c>
      <c r="K529" s="40" t="str">
        <f>VLOOKUP(J529,[2]Key!$A$24:$B$29,2,FALSE)</f>
        <v>30-39</v>
      </c>
      <c r="L529" s="11" t="s">
        <v>306</v>
      </c>
      <c r="M529" s="23" t="s">
        <v>220</v>
      </c>
      <c r="N529" s="13" t="s">
        <v>221</v>
      </c>
      <c r="O529" s="46">
        <v>1</v>
      </c>
      <c r="P529" s="30" t="str">
        <f>VLOOKUP(O529,[2]Key!$E$2:$F$9,2,FALSE)</f>
        <v>Home</v>
      </c>
      <c r="Q529" s="13" t="s">
        <v>331</v>
      </c>
      <c r="R529" s="23" t="s">
        <v>223</v>
      </c>
      <c r="S529" s="13" t="s">
        <v>221</v>
      </c>
      <c r="T529" s="23">
        <v>4</v>
      </c>
      <c r="U529" s="30" t="str">
        <f>VLOOKUP(T529,[2]Key!$E$2:$F$9,2,FALSE)</f>
        <v>Commercial</v>
      </c>
      <c r="V529" s="30" t="str">
        <f t="shared" si="32"/>
        <v>Home-Commercial</v>
      </c>
      <c r="W529" s="51">
        <v>5000</v>
      </c>
      <c r="X529" s="50">
        <v>25</v>
      </c>
      <c r="Y529" s="50" t="str">
        <f t="shared" si="33"/>
        <v>20-40</v>
      </c>
      <c r="Z529" s="50">
        <v>1</v>
      </c>
      <c r="AA529" s="50" t="str">
        <f t="shared" si="34"/>
        <v>1.0-2.0</v>
      </c>
      <c r="AB529" s="23">
        <v>5</v>
      </c>
      <c r="AC529" s="30" t="str">
        <f>VLOOKUP(AB529,[2]Key!$C$20:$D$29,2,FALSE)</f>
        <v>Professional</v>
      </c>
      <c r="AD529" s="23">
        <v>2</v>
      </c>
      <c r="AE529" s="30" t="str">
        <f>VLOOKUP(AD529,[2]Key!$E$20:$F$24,2,FALSE)</f>
        <v>300,000-500,000</v>
      </c>
      <c r="AF529" s="23">
        <v>3</v>
      </c>
      <c r="AG529" s="50">
        <v>2</v>
      </c>
      <c r="AH529" s="50">
        <v>5</v>
      </c>
      <c r="AI529" s="50">
        <v>1</v>
      </c>
      <c r="AJ529" s="50">
        <v>4</v>
      </c>
      <c r="AK529" s="46" t="s">
        <v>94</v>
      </c>
      <c r="AL529" s="36">
        <v>1000</v>
      </c>
      <c r="AM529" t="str">
        <f t="shared" si="35"/>
        <v>1000-2000</v>
      </c>
    </row>
    <row r="530" spans="1:39" x14ac:dyDescent="0.2">
      <c r="A530" s="44">
        <v>43760</v>
      </c>
      <c r="B530" s="48">
        <v>0.49722222222222223</v>
      </c>
      <c r="C530" s="48"/>
      <c r="D530" s="48" t="s">
        <v>248</v>
      </c>
      <c r="E530" s="13">
        <v>2</v>
      </c>
      <c r="F530" s="38" t="str">
        <f>VLOOKUP(E530,[2]Key!$A$17:$B$21,2,FALSE)</f>
        <v>Road Vehicle</v>
      </c>
      <c r="G530" s="49">
        <v>4</v>
      </c>
      <c r="H530" s="39" t="str">
        <f>VLOOKUP(G530,[2]Key!$A$2:$B$14,2,FALSE)</f>
        <v>Minibus</v>
      </c>
      <c r="I530" s="13" t="s">
        <v>307</v>
      </c>
      <c r="J530" s="13">
        <v>2</v>
      </c>
      <c r="K530" s="40" t="str">
        <f>VLOOKUP(J530,[2]Key!$A$24:$B$29,2,FALSE)</f>
        <v>30-39</v>
      </c>
      <c r="L530" s="11" t="s">
        <v>224</v>
      </c>
      <c r="M530" s="23" t="s">
        <v>220</v>
      </c>
      <c r="N530" s="13" t="s">
        <v>221</v>
      </c>
      <c r="O530" s="46">
        <v>1</v>
      </c>
      <c r="P530" s="30" t="str">
        <f>VLOOKUP(O530,[2]Key!$E$2:$F$9,2,FALSE)</f>
        <v>Home</v>
      </c>
      <c r="Q530" s="13" t="s">
        <v>379</v>
      </c>
      <c r="R530" s="23" t="s">
        <v>380</v>
      </c>
      <c r="S530" s="13" t="s">
        <v>221</v>
      </c>
      <c r="T530" s="23">
        <v>4</v>
      </c>
      <c r="U530" s="30" t="str">
        <f>VLOOKUP(T530,[2]Key!$E$2:$F$9,2,FALSE)</f>
        <v>Commercial</v>
      </c>
      <c r="V530" s="30" t="str">
        <f t="shared" si="32"/>
        <v>Home-Commercial</v>
      </c>
      <c r="W530" s="51">
        <v>20000</v>
      </c>
      <c r="X530" s="50">
        <v>186</v>
      </c>
      <c r="Y530" s="50" t="str">
        <f t="shared" si="33"/>
        <v>100-200</v>
      </c>
      <c r="Z530" s="50">
        <v>5</v>
      </c>
      <c r="AA530" s="50" t="str">
        <f t="shared" si="34"/>
        <v>Over 3.5</v>
      </c>
      <c r="AB530" s="23">
        <v>6</v>
      </c>
      <c r="AC530" s="30" t="str">
        <f>VLOOKUP(AB530,[2]Key!$C$20:$D$29,2,FALSE)</f>
        <v>Businessman</v>
      </c>
      <c r="AD530" s="23">
        <v>2</v>
      </c>
      <c r="AE530" s="30" t="str">
        <f>VLOOKUP(AD530,[2]Key!$E$20:$F$24,2,FALSE)</f>
        <v>300,000-500,000</v>
      </c>
      <c r="AF530" s="23">
        <v>1</v>
      </c>
      <c r="AG530" s="50">
        <v>2</v>
      </c>
      <c r="AH530" s="50">
        <v>4</v>
      </c>
      <c r="AI530" s="50">
        <v>3</v>
      </c>
      <c r="AJ530" s="50">
        <v>5</v>
      </c>
      <c r="AK530" s="46" t="s">
        <v>94</v>
      </c>
      <c r="AL530" s="36"/>
      <c r="AM530" t="str">
        <f t="shared" si="35"/>
        <v>0-1000</v>
      </c>
    </row>
    <row r="531" spans="1:39" x14ac:dyDescent="0.2">
      <c r="A531" s="44">
        <v>43760</v>
      </c>
      <c r="B531" s="48">
        <v>0.49027777777777781</v>
      </c>
      <c r="C531" s="48"/>
      <c r="D531" s="48" t="s">
        <v>150</v>
      </c>
      <c r="E531" s="13">
        <v>2</v>
      </c>
      <c r="F531" s="38" t="str">
        <f>VLOOKUP(E531,[2]Key!$A$17:$B$21,2,FALSE)</f>
        <v>Road Vehicle</v>
      </c>
      <c r="G531" s="49">
        <v>4</v>
      </c>
      <c r="H531" s="39" t="str">
        <f>VLOOKUP(G531,[2]Key!$A$2:$B$14,2,FALSE)</f>
        <v>Minibus</v>
      </c>
      <c r="I531" s="13" t="s">
        <v>109</v>
      </c>
      <c r="J531" s="13">
        <v>2</v>
      </c>
      <c r="K531" s="40" t="str">
        <f>VLOOKUP(J531,[2]Key!$A$24:$B$29,2,FALSE)</f>
        <v>30-39</v>
      </c>
      <c r="L531" s="11" t="s">
        <v>239</v>
      </c>
      <c r="M531" s="23" t="s">
        <v>220</v>
      </c>
      <c r="N531" s="13" t="s">
        <v>221</v>
      </c>
      <c r="O531" s="46">
        <v>1</v>
      </c>
      <c r="P531" s="30" t="str">
        <f>VLOOKUP(O531,[2]Key!$E$2:$F$9,2,FALSE)</f>
        <v>Home</v>
      </c>
      <c r="Q531" s="13" t="s">
        <v>297</v>
      </c>
      <c r="R531" s="23" t="s">
        <v>297</v>
      </c>
      <c r="S531" s="13" t="s">
        <v>221</v>
      </c>
      <c r="T531" s="23">
        <v>4</v>
      </c>
      <c r="U531" s="30" t="str">
        <f>VLOOKUP(T531,[2]Key!$E$2:$F$9,2,FALSE)</f>
        <v>Commercial</v>
      </c>
      <c r="V531" s="30" t="str">
        <f t="shared" si="32"/>
        <v>Home-Commercial</v>
      </c>
      <c r="W531" s="51">
        <v>5000</v>
      </c>
      <c r="X531" s="50">
        <v>56</v>
      </c>
      <c r="Y531" s="50" t="str">
        <f t="shared" si="33"/>
        <v>40-70</v>
      </c>
      <c r="Z531" s="50">
        <v>1</v>
      </c>
      <c r="AA531" s="50" t="str">
        <f t="shared" si="34"/>
        <v>1.0-2.0</v>
      </c>
      <c r="AB531" s="23">
        <v>6</v>
      </c>
      <c r="AC531" s="30" t="str">
        <f>VLOOKUP(AB531,[2]Key!$C$20:$D$29,2,FALSE)</f>
        <v>Businessman</v>
      </c>
      <c r="AD531" s="23">
        <v>1</v>
      </c>
      <c r="AE531" s="30" t="str">
        <f>VLOOKUP(AD531,[2]Key!$E$20:$F$24,2,FALSE)</f>
        <v>&lt;300,000</v>
      </c>
      <c r="AF531" s="23">
        <v>4</v>
      </c>
      <c r="AG531" s="50">
        <v>1</v>
      </c>
      <c r="AH531" s="50">
        <v>5</v>
      </c>
      <c r="AI531" s="50">
        <v>2</v>
      </c>
      <c r="AJ531" s="50">
        <v>3</v>
      </c>
      <c r="AK531" s="46" t="s">
        <v>94</v>
      </c>
      <c r="AL531" s="36">
        <v>1000</v>
      </c>
      <c r="AM531" t="str">
        <f t="shared" si="35"/>
        <v>1000-2000</v>
      </c>
    </row>
    <row r="532" spans="1:39" x14ac:dyDescent="0.2">
      <c r="A532" s="44">
        <v>43760</v>
      </c>
      <c r="B532" s="48">
        <v>0.52222222222222225</v>
      </c>
      <c r="C532" s="48"/>
      <c r="D532" s="48" t="s">
        <v>248</v>
      </c>
      <c r="E532" s="13">
        <v>2</v>
      </c>
      <c r="F532" s="38" t="str">
        <f>VLOOKUP(E532,[2]Key!$A$17:$B$21,2,FALSE)</f>
        <v>Road Vehicle</v>
      </c>
      <c r="G532" s="49">
        <v>4</v>
      </c>
      <c r="H532" s="39" t="str">
        <f>VLOOKUP(G532,[2]Key!$A$2:$B$14,2,FALSE)</f>
        <v>Minibus</v>
      </c>
      <c r="I532" s="13" t="s">
        <v>307</v>
      </c>
      <c r="J532" s="13">
        <v>2</v>
      </c>
      <c r="K532" s="40" t="str">
        <f>VLOOKUP(J532,[2]Key!$A$24:$B$29,2,FALSE)</f>
        <v>30-39</v>
      </c>
      <c r="L532" s="11" t="s">
        <v>378</v>
      </c>
      <c r="M532" s="23" t="s">
        <v>223</v>
      </c>
      <c r="N532" s="13" t="s">
        <v>221</v>
      </c>
      <c r="O532" s="46">
        <v>1</v>
      </c>
      <c r="P532" s="30" t="str">
        <f>VLOOKUP(O532,[2]Key!$E$2:$F$9,2,FALSE)</f>
        <v>Home</v>
      </c>
      <c r="Q532" s="13" t="s">
        <v>381</v>
      </c>
      <c r="R532" s="23" t="s">
        <v>381</v>
      </c>
      <c r="S532" s="13" t="s">
        <v>221</v>
      </c>
      <c r="T532" s="23">
        <v>4</v>
      </c>
      <c r="U532" s="30" t="str">
        <f>VLOOKUP(T532,[2]Key!$E$2:$F$9,2,FALSE)</f>
        <v>Commercial</v>
      </c>
      <c r="V532" s="30" t="str">
        <f t="shared" si="32"/>
        <v>Home-Commercial</v>
      </c>
      <c r="W532" s="51">
        <v>20000</v>
      </c>
      <c r="X532" s="50"/>
      <c r="Y532" s="50" t="str">
        <f t="shared" si="33"/>
        <v>0-10</v>
      </c>
      <c r="Z532" s="50">
        <v>6</v>
      </c>
      <c r="AA532" s="50" t="str">
        <f t="shared" si="34"/>
        <v>Over 3.5</v>
      </c>
      <c r="AB532" s="23">
        <v>3</v>
      </c>
      <c r="AC532" s="30" t="str">
        <f>VLOOKUP(AB532,[2]Key!$C$20:$D$29,2,FALSE)</f>
        <v>Artisan/Domestic</v>
      </c>
      <c r="AD532" s="23">
        <v>3</v>
      </c>
      <c r="AE532" s="30" t="str">
        <f>VLOOKUP(AD532,[2]Key!$E$20:$F$24,2,FALSE)</f>
        <v>500,000-750,000</v>
      </c>
      <c r="AF532" s="23">
        <v>2</v>
      </c>
      <c r="AG532" s="50">
        <v>4</v>
      </c>
      <c r="AH532" s="50">
        <v>5</v>
      </c>
      <c r="AI532" s="50">
        <v>1</v>
      </c>
      <c r="AJ532" s="50">
        <v>3</v>
      </c>
      <c r="AK532" s="46" t="s">
        <v>94</v>
      </c>
      <c r="AL532" s="36"/>
      <c r="AM532" t="str">
        <f t="shared" si="35"/>
        <v>0-1000</v>
      </c>
    </row>
    <row r="533" spans="1:39" x14ac:dyDescent="0.2">
      <c r="A533" s="44">
        <v>43760</v>
      </c>
      <c r="B533" s="48">
        <v>0.5083333333333333</v>
      </c>
      <c r="C533" s="48"/>
      <c r="D533" s="48" t="s">
        <v>150</v>
      </c>
      <c r="E533" s="13">
        <v>2</v>
      </c>
      <c r="F533" s="38" t="str">
        <f>VLOOKUP(E533,[2]Key!$A$17:$B$21,2,FALSE)</f>
        <v>Road Vehicle</v>
      </c>
      <c r="G533" s="49">
        <v>4</v>
      </c>
      <c r="H533" s="39" t="str">
        <f>VLOOKUP(G533,[2]Key!$A$2:$B$14,2,FALSE)</f>
        <v>Minibus</v>
      </c>
      <c r="I533" s="13" t="s">
        <v>109</v>
      </c>
      <c r="J533" s="13">
        <v>2</v>
      </c>
      <c r="K533" s="40" t="str">
        <f>VLOOKUP(J533,[2]Key!$A$24:$B$29,2,FALSE)</f>
        <v>30-39</v>
      </c>
      <c r="L533" s="11" t="s">
        <v>224</v>
      </c>
      <c r="M533" s="23" t="s">
        <v>223</v>
      </c>
      <c r="N533" s="13" t="s">
        <v>221</v>
      </c>
      <c r="O533" s="46">
        <v>1</v>
      </c>
      <c r="P533" s="30" t="str">
        <f>VLOOKUP(O533,[2]Key!$E$2:$F$9,2,FALSE)</f>
        <v>Home</v>
      </c>
      <c r="Q533" s="13" t="s">
        <v>283</v>
      </c>
      <c r="R533" s="23" t="s">
        <v>283</v>
      </c>
      <c r="S533" s="13" t="s">
        <v>221</v>
      </c>
      <c r="T533" s="23">
        <v>4</v>
      </c>
      <c r="U533" s="30" t="str">
        <f>VLOOKUP(T533,[2]Key!$E$2:$F$9,2,FALSE)</f>
        <v>Commercial</v>
      </c>
      <c r="V533" s="30" t="str">
        <f t="shared" si="32"/>
        <v>Home-Commercial</v>
      </c>
      <c r="W533" s="23">
        <v>15000</v>
      </c>
      <c r="X533" s="50"/>
      <c r="Y533" s="50" t="str">
        <f t="shared" si="33"/>
        <v>0-10</v>
      </c>
      <c r="Z533" s="50">
        <v>5</v>
      </c>
      <c r="AA533" s="50" t="str">
        <f t="shared" si="34"/>
        <v>Over 3.5</v>
      </c>
      <c r="AB533" s="23">
        <v>7</v>
      </c>
      <c r="AC533" s="30" t="str">
        <f>VLOOKUP(AB533,[2]Key!$C$20:$D$29,2,FALSE)</f>
        <v>Farmer</v>
      </c>
      <c r="AD533" s="23">
        <v>1</v>
      </c>
      <c r="AE533" s="30" t="str">
        <f>VLOOKUP(AD533,[2]Key!$E$20:$F$24,2,FALSE)</f>
        <v>&lt;300,000</v>
      </c>
      <c r="AF533" s="23">
        <v>3</v>
      </c>
      <c r="AG533" s="50">
        <v>1</v>
      </c>
      <c r="AH533" s="50">
        <v>4</v>
      </c>
      <c r="AI533" s="50">
        <v>2</v>
      </c>
      <c r="AJ533" s="50">
        <v>5</v>
      </c>
      <c r="AK533" s="46" t="s">
        <v>94</v>
      </c>
      <c r="AL533" s="36"/>
      <c r="AM533" t="str">
        <f t="shared" si="35"/>
        <v>0-1000</v>
      </c>
    </row>
    <row r="534" spans="1:39" x14ac:dyDescent="0.2">
      <c r="A534" s="44">
        <v>43760</v>
      </c>
      <c r="B534" s="48">
        <v>0.51736111111111105</v>
      </c>
      <c r="C534" s="48"/>
      <c r="D534" s="48" t="s">
        <v>248</v>
      </c>
      <c r="E534" s="13">
        <v>2</v>
      </c>
      <c r="F534" s="38" t="str">
        <f>VLOOKUP(E534,[2]Key!$A$17:$B$21,2,FALSE)</f>
        <v>Road Vehicle</v>
      </c>
      <c r="G534" s="49">
        <v>4</v>
      </c>
      <c r="H534" s="39" t="str">
        <f>VLOOKUP(G534,[2]Key!$A$2:$B$14,2,FALSE)</f>
        <v>Minibus</v>
      </c>
      <c r="I534" s="13" t="s">
        <v>109</v>
      </c>
      <c r="J534" s="13">
        <v>2</v>
      </c>
      <c r="K534" s="40" t="str">
        <f>VLOOKUP(J534,[2]Key!$A$24:$B$29,2,FALSE)</f>
        <v>30-39</v>
      </c>
      <c r="L534" s="11" t="s">
        <v>253</v>
      </c>
      <c r="M534" s="23" t="s">
        <v>223</v>
      </c>
      <c r="N534" s="13" t="s">
        <v>221</v>
      </c>
      <c r="O534" s="46">
        <v>1</v>
      </c>
      <c r="P534" s="30" t="str">
        <f>VLOOKUP(O534,[2]Key!$E$2:$F$9,2,FALSE)</f>
        <v>Home</v>
      </c>
      <c r="Q534" s="13" t="s">
        <v>382</v>
      </c>
      <c r="R534" s="23" t="s">
        <v>382</v>
      </c>
      <c r="S534" s="13" t="s">
        <v>221</v>
      </c>
      <c r="T534" s="23">
        <v>4</v>
      </c>
      <c r="U534" s="30" t="str">
        <f>VLOOKUP(T534,[2]Key!$E$2:$F$9,2,FALSE)</f>
        <v>Commercial</v>
      </c>
      <c r="V534" s="30" t="str">
        <f t="shared" si="32"/>
        <v>Home-Commercial</v>
      </c>
      <c r="W534" s="51">
        <v>16000</v>
      </c>
      <c r="X534" s="50"/>
      <c r="Y534" s="50" t="str">
        <f t="shared" si="33"/>
        <v>0-10</v>
      </c>
      <c r="Z534" s="50">
        <v>6</v>
      </c>
      <c r="AA534" s="50" t="str">
        <f t="shared" si="34"/>
        <v>Over 3.5</v>
      </c>
      <c r="AB534" s="23">
        <v>7</v>
      </c>
      <c r="AC534" s="30" t="str">
        <f>VLOOKUP(AB534,[2]Key!$C$20:$D$29,2,FALSE)</f>
        <v>Farmer</v>
      </c>
      <c r="AD534" s="23">
        <v>2</v>
      </c>
      <c r="AE534" s="30" t="str">
        <f>VLOOKUP(AD534,[2]Key!$E$20:$F$24,2,FALSE)</f>
        <v>300,000-500,000</v>
      </c>
      <c r="AF534" s="23">
        <v>2</v>
      </c>
      <c r="AG534" s="50">
        <v>4</v>
      </c>
      <c r="AH534" s="50">
        <v>5</v>
      </c>
      <c r="AI534" s="50">
        <v>1</v>
      </c>
      <c r="AJ534" s="50">
        <v>3</v>
      </c>
      <c r="AK534" s="46" t="s">
        <v>94</v>
      </c>
      <c r="AL534" s="36"/>
      <c r="AM534" t="str">
        <f t="shared" si="35"/>
        <v>0-1000</v>
      </c>
    </row>
    <row r="535" spans="1:39" x14ac:dyDescent="0.2">
      <c r="A535" s="44">
        <v>43760</v>
      </c>
      <c r="B535" s="48">
        <v>4.5138888888888888E-2</v>
      </c>
      <c r="C535" s="48"/>
      <c r="D535" s="48" t="s">
        <v>248</v>
      </c>
      <c r="E535" s="13">
        <v>2</v>
      </c>
      <c r="F535" s="38" t="str">
        <f>VLOOKUP(E535,[2]Key!$A$17:$B$21,2,FALSE)</f>
        <v>Road Vehicle</v>
      </c>
      <c r="G535" s="49">
        <v>4</v>
      </c>
      <c r="H535" s="39" t="str">
        <f>VLOOKUP(G535,[2]Key!$A$2:$B$14,2,FALSE)</f>
        <v>Minibus</v>
      </c>
      <c r="I535" s="13" t="s">
        <v>109</v>
      </c>
      <c r="J535" s="13">
        <v>2</v>
      </c>
      <c r="K535" s="40" t="str">
        <f>VLOOKUP(J535,[2]Key!$A$24:$B$29,2,FALSE)</f>
        <v>30-39</v>
      </c>
      <c r="L535" s="11" t="s">
        <v>306</v>
      </c>
      <c r="M535" s="23" t="s">
        <v>220</v>
      </c>
      <c r="N535" s="13" t="s">
        <v>221</v>
      </c>
      <c r="O535" s="46">
        <v>1</v>
      </c>
      <c r="P535" s="30" t="str">
        <f>VLOOKUP(O535,[2]Key!$E$2:$F$9,2,FALSE)</f>
        <v>Home</v>
      </c>
      <c r="Q535" s="13" t="s">
        <v>292</v>
      </c>
      <c r="R535" s="23" t="s">
        <v>292</v>
      </c>
      <c r="S535" s="13" t="s">
        <v>221</v>
      </c>
      <c r="T535" s="23">
        <v>4</v>
      </c>
      <c r="U535" s="30" t="str">
        <f>VLOOKUP(T535,[2]Key!$E$2:$F$9,2,FALSE)</f>
        <v>Commercial</v>
      </c>
      <c r="V535" s="30" t="str">
        <f t="shared" si="32"/>
        <v>Home-Commercial</v>
      </c>
      <c r="W535" s="23">
        <v>9000</v>
      </c>
      <c r="X535" s="50">
        <v>58</v>
      </c>
      <c r="Y535" s="50" t="str">
        <f t="shared" si="33"/>
        <v>40-70</v>
      </c>
      <c r="Z535" s="50">
        <v>2</v>
      </c>
      <c r="AA535" s="50" t="str">
        <f t="shared" si="34"/>
        <v>2.0-3.5</v>
      </c>
      <c r="AB535" s="23">
        <v>6</v>
      </c>
      <c r="AC535" s="30" t="str">
        <f>VLOOKUP(AB535,[2]Key!$C$20:$D$29,2,FALSE)</f>
        <v>Businessman</v>
      </c>
      <c r="AD535" s="23">
        <v>1</v>
      </c>
      <c r="AE535" s="30" t="str">
        <f>VLOOKUP(AD535,[2]Key!$E$20:$F$24,2,FALSE)</f>
        <v>&lt;300,000</v>
      </c>
      <c r="AF535" s="23">
        <v>2</v>
      </c>
      <c r="AG535" s="50">
        <v>1</v>
      </c>
      <c r="AH535" s="50">
        <v>3</v>
      </c>
      <c r="AI535" s="50">
        <v>4</v>
      </c>
      <c r="AJ535" s="50">
        <v>5</v>
      </c>
      <c r="AK535" s="46" t="s">
        <v>94</v>
      </c>
      <c r="AL535" s="36"/>
      <c r="AM535" t="str">
        <f t="shared" si="35"/>
        <v>0-1000</v>
      </c>
    </row>
    <row r="536" spans="1:39" x14ac:dyDescent="0.2">
      <c r="A536" s="44">
        <v>43760</v>
      </c>
      <c r="B536" s="48">
        <v>0.54097222222222219</v>
      </c>
      <c r="C536" s="48"/>
      <c r="D536" s="48" t="s">
        <v>248</v>
      </c>
      <c r="E536" s="13">
        <v>2</v>
      </c>
      <c r="F536" s="38" t="str">
        <f>VLOOKUP(E536,[2]Key!$A$17:$B$21,2,FALSE)</f>
        <v>Road Vehicle</v>
      </c>
      <c r="G536" s="49">
        <v>4</v>
      </c>
      <c r="H536" s="39" t="str">
        <f>VLOOKUP(G536,[2]Key!$A$2:$B$14,2,FALSE)</f>
        <v>Minibus</v>
      </c>
      <c r="I536" s="13" t="s">
        <v>109</v>
      </c>
      <c r="J536" s="13">
        <v>2</v>
      </c>
      <c r="K536" s="40" t="str">
        <f>VLOOKUP(J536,[2]Key!$A$24:$B$29,2,FALSE)</f>
        <v>30-39</v>
      </c>
      <c r="L536" s="11" t="s">
        <v>383</v>
      </c>
      <c r="M536" s="23" t="s">
        <v>384</v>
      </c>
      <c r="N536" s="13" t="s">
        <v>221</v>
      </c>
      <c r="O536" s="46">
        <v>1</v>
      </c>
      <c r="P536" s="30" t="str">
        <f>VLOOKUP(O536,[2]Key!$E$2:$F$9,2,FALSE)</f>
        <v>Home</v>
      </c>
      <c r="Q536" s="13" t="s">
        <v>223</v>
      </c>
      <c r="R536" s="23" t="s">
        <v>223</v>
      </c>
      <c r="S536" s="13" t="s">
        <v>221</v>
      </c>
      <c r="T536" s="23">
        <v>4</v>
      </c>
      <c r="U536" s="30" t="str">
        <f>VLOOKUP(T536,[2]Key!$E$2:$F$9,2,FALSE)</f>
        <v>Commercial</v>
      </c>
      <c r="V536" s="30" t="str">
        <f t="shared" si="32"/>
        <v>Home-Commercial</v>
      </c>
      <c r="W536" s="51">
        <v>17000</v>
      </c>
      <c r="X536" s="50"/>
      <c r="Y536" s="50" t="str">
        <f t="shared" si="33"/>
        <v>0-10</v>
      </c>
      <c r="Z536" s="50">
        <v>4.5</v>
      </c>
      <c r="AA536" s="50" t="str">
        <f t="shared" si="34"/>
        <v>Over 3.5</v>
      </c>
      <c r="AB536" s="23">
        <v>3</v>
      </c>
      <c r="AC536" s="30" t="str">
        <f>VLOOKUP(AB536,[2]Key!$C$20:$D$29,2,FALSE)</f>
        <v>Artisan/Domestic</v>
      </c>
      <c r="AD536" s="23">
        <v>1</v>
      </c>
      <c r="AE536" s="30" t="str">
        <f>VLOOKUP(AD536,[2]Key!$E$20:$F$24,2,FALSE)</f>
        <v>&lt;300,000</v>
      </c>
      <c r="AF536" s="23">
        <v>1</v>
      </c>
      <c r="AG536" s="50">
        <v>2</v>
      </c>
      <c r="AH536" s="50">
        <v>3</v>
      </c>
      <c r="AI536" s="50">
        <v>4</v>
      </c>
      <c r="AJ536" s="50">
        <v>5</v>
      </c>
      <c r="AK536" s="46" t="s">
        <v>94</v>
      </c>
      <c r="AL536" s="36"/>
      <c r="AM536" t="str">
        <f t="shared" si="35"/>
        <v>0-1000</v>
      </c>
    </row>
    <row r="537" spans="1:39" x14ac:dyDescent="0.2">
      <c r="A537" s="44">
        <v>43760</v>
      </c>
      <c r="B537" s="48">
        <v>0.24652777777777779</v>
      </c>
      <c r="C537" s="48"/>
      <c r="D537" s="48" t="s">
        <v>248</v>
      </c>
      <c r="E537" s="13">
        <v>2</v>
      </c>
      <c r="F537" s="38" t="str">
        <f>VLOOKUP(E537,[2]Key!$A$17:$B$21,2,FALSE)</f>
        <v>Road Vehicle</v>
      </c>
      <c r="G537" s="49">
        <v>4</v>
      </c>
      <c r="H537" s="39" t="str">
        <f>VLOOKUP(G537,[2]Key!$A$2:$B$14,2,FALSE)</f>
        <v>Minibus</v>
      </c>
      <c r="I537" s="13" t="s">
        <v>109</v>
      </c>
      <c r="J537" s="13">
        <v>2</v>
      </c>
      <c r="K537" s="40" t="str">
        <f>VLOOKUP(J537,[2]Key!$A$24:$B$29,2,FALSE)</f>
        <v>30-39</v>
      </c>
      <c r="L537" s="11" t="s">
        <v>246</v>
      </c>
      <c r="M537" s="23" t="s">
        <v>247</v>
      </c>
      <c r="N537" s="13" t="s">
        <v>221</v>
      </c>
      <c r="O537" s="46">
        <v>1</v>
      </c>
      <c r="P537" s="30" t="str">
        <f>VLOOKUP(O537,[2]Key!$E$2:$F$9,2,FALSE)</f>
        <v>Home</v>
      </c>
      <c r="Q537" s="13" t="s">
        <v>385</v>
      </c>
      <c r="R537" s="23" t="s">
        <v>223</v>
      </c>
      <c r="S537" s="13" t="s">
        <v>221</v>
      </c>
      <c r="T537" s="23">
        <v>2</v>
      </c>
      <c r="U537" s="30" t="str">
        <f>VLOOKUP(T537,[2]Key!$E$2:$F$9,2,FALSE)</f>
        <v>Work</v>
      </c>
      <c r="V537" s="30" t="str">
        <f t="shared" si="32"/>
        <v>Home-Work</v>
      </c>
      <c r="W537" s="51">
        <v>4000</v>
      </c>
      <c r="X537" s="50">
        <v>22</v>
      </c>
      <c r="Y537" s="50" t="str">
        <f t="shared" si="33"/>
        <v>20-40</v>
      </c>
      <c r="Z537" s="50">
        <v>0.16666600000000001</v>
      </c>
      <c r="AA537" s="50" t="str">
        <f t="shared" si="34"/>
        <v>0-0.5</v>
      </c>
      <c r="AB537" s="23">
        <v>5</v>
      </c>
      <c r="AC537" s="30" t="str">
        <f>VLOOKUP(AB537,[2]Key!$C$20:$D$29,2,FALSE)</f>
        <v>Professional</v>
      </c>
      <c r="AD537" s="23">
        <v>2</v>
      </c>
      <c r="AE537" s="30" t="str">
        <f>VLOOKUP(AD537,[2]Key!$E$20:$F$24,2,FALSE)</f>
        <v>300,000-500,000</v>
      </c>
      <c r="AF537" s="23">
        <v>1</v>
      </c>
      <c r="AG537" s="50">
        <v>2</v>
      </c>
      <c r="AH537" s="50">
        <v>3</v>
      </c>
      <c r="AI537" s="50">
        <v>4</v>
      </c>
      <c r="AJ537" s="50">
        <v>5</v>
      </c>
      <c r="AK537" s="46" t="s">
        <v>94</v>
      </c>
      <c r="AL537" s="36">
        <v>1000</v>
      </c>
      <c r="AM537" t="str">
        <f t="shared" si="35"/>
        <v>1000-2000</v>
      </c>
    </row>
    <row r="538" spans="1:39" x14ac:dyDescent="0.2">
      <c r="A538" s="44">
        <v>43761</v>
      </c>
      <c r="B538" s="48">
        <v>0.47847222222222219</v>
      </c>
      <c r="C538" s="48"/>
      <c r="D538" s="48" t="s">
        <v>97</v>
      </c>
      <c r="E538" s="13">
        <v>2</v>
      </c>
      <c r="F538" s="38" t="str">
        <f>VLOOKUP(E538,[2]Key!$A$17:$B$21,2,FALSE)</f>
        <v>Road Vehicle</v>
      </c>
      <c r="G538" s="49">
        <v>4</v>
      </c>
      <c r="H538" s="39" t="str">
        <f>VLOOKUP(G538,[2]Key!$A$2:$B$14,2,FALSE)</f>
        <v>Minibus</v>
      </c>
      <c r="I538" s="13" t="s">
        <v>109</v>
      </c>
      <c r="J538" s="13">
        <v>2</v>
      </c>
      <c r="K538" s="40" t="str">
        <f>VLOOKUP(J538,[2]Key!$A$24:$B$29,2,FALSE)</f>
        <v>30-39</v>
      </c>
      <c r="L538" s="11" t="s">
        <v>291</v>
      </c>
      <c r="M538" s="23" t="s">
        <v>220</v>
      </c>
      <c r="N538" s="13" t="s">
        <v>221</v>
      </c>
      <c r="O538" s="46">
        <v>2</v>
      </c>
      <c r="P538" s="30" t="str">
        <f>VLOOKUP(O538,[2]Key!$E$2:$F$9,2,FALSE)</f>
        <v>Work</v>
      </c>
      <c r="Q538" s="13" t="s">
        <v>297</v>
      </c>
      <c r="R538" s="23" t="s">
        <v>297</v>
      </c>
      <c r="S538" s="13" t="s">
        <v>221</v>
      </c>
      <c r="T538" s="23">
        <v>2</v>
      </c>
      <c r="U538" s="30" t="str">
        <f>VLOOKUP(T538,[2]Key!$E$2:$F$9,2,FALSE)</f>
        <v>Work</v>
      </c>
      <c r="V538" s="30" t="str">
        <f t="shared" si="32"/>
        <v>Work-Work</v>
      </c>
      <c r="W538" s="51">
        <v>30000</v>
      </c>
      <c r="X538" s="50">
        <v>98</v>
      </c>
      <c r="Y538" s="50" t="str">
        <f t="shared" si="33"/>
        <v>70-100</v>
      </c>
      <c r="Z538" s="50">
        <v>3.5</v>
      </c>
      <c r="AA538" s="50" t="str">
        <f t="shared" si="34"/>
        <v>Over 3.5</v>
      </c>
      <c r="AB538" s="23">
        <v>2</v>
      </c>
      <c r="AC538" s="30" t="str">
        <f>VLOOKUP(AB538,[2]Key!$C$20:$D$29,2,FALSE)</f>
        <v>Manual Labour</v>
      </c>
      <c r="AD538" s="23">
        <v>1</v>
      </c>
      <c r="AE538" s="30" t="str">
        <f>VLOOKUP(AD538,[2]Key!$E$20:$F$24,2,FALSE)</f>
        <v>&lt;300,000</v>
      </c>
      <c r="AF538" s="23">
        <v>1</v>
      </c>
      <c r="AG538" s="50">
        <v>2</v>
      </c>
      <c r="AH538" s="50">
        <v>5</v>
      </c>
      <c r="AI538" s="50">
        <v>4</v>
      </c>
      <c r="AJ538" s="50">
        <v>3</v>
      </c>
      <c r="AK538" s="46" t="s">
        <v>94</v>
      </c>
      <c r="AL538" s="36">
        <v>1000</v>
      </c>
      <c r="AM538" t="str">
        <f t="shared" si="35"/>
        <v>1000-2000</v>
      </c>
    </row>
    <row r="539" spans="1:39" x14ac:dyDescent="0.2">
      <c r="A539" s="44">
        <v>43761</v>
      </c>
      <c r="B539" s="48">
        <v>0.15208333333333332</v>
      </c>
      <c r="C539" s="48"/>
      <c r="D539" s="48" t="s">
        <v>97</v>
      </c>
      <c r="E539" s="13">
        <v>2</v>
      </c>
      <c r="F539" s="38" t="str">
        <f>VLOOKUP(E539,[2]Key!$A$17:$B$21,2,FALSE)</f>
        <v>Road Vehicle</v>
      </c>
      <c r="G539" s="49">
        <v>4</v>
      </c>
      <c r="H539" s="39" t="str">
        <f>VLOOKUP(G539,[2]Key!$A$2:$B$14,2,FALSE)</f>
        <v>Minibus</v>
      </c>
      <c r="I539" s="13" t="s">
        <v>109</v>
      </c>
      <c r="J539" s="13">
        <v>2</v>
      </c>
      <c r="K539" s="40" t="str">
        <f>VLOOKUP(J539,[2]Key!$A$24:$B$29,2,FALSE)</f>
        <v>30-39</v>
      </c>
      <c r="L539" s="11" t="s">
        <v>321</v>
      </c>
      <c r="M539" s="23" t="s">
        <v>223</v>
      </c>
      <c r="N539" s="13" t="s">
        <v>221</v>
      </c>
      <c r="O539" s="46">
        <v>2</v>
      </c>
      <c r="P539" s="30" t="str">
        <f>VLOOKUP(O539,[2]Key!$E$2:$F$9,2,FALSE)</f>
        <v>Work</v>
      </c>
      <c r="Q539" s="13" t="s">
        <v>364</v>
      </c>
      <c r="R539" s="23" t="s">
        <v>223</v>
      </c>
      <c r="S539" s="13" t="s">
        <v>221</v>
      </c>
      <c r="T539" s="23">
        <v>2</v>
      </c>
      <c r="U539" s="30" t="str">
        <f>VLOOKUP(T539,[2]Key!$E$2:$F$9,2,FALSE)</f>
        <v>Work</v>
      </c>
      <c r="V539" s="30" t="str">
        <f t="shared" si="32"/>
        <v>Work-Work</v>
      </c>
      <c r="W539" s="51">
        <v>20000</v>
      </c>
      <c r="X539" s="50">
        <v>45</v>
      </c>
      <c r="Y539" s="50" t="str">
        <f t="shared" si="33"/>
        <v>40-70</v>
      </c>
      <c r="Z539" s="50">
        <v>0.66600000000000004</v>
      </c>
      <c r="AA539" s="50" t="str">
        <f t="shared" si="34"/>
        <v>0.5-1.0</v>
      </c>
      <c r="AB539" s="23">
        <v>2</v>
      </c>
      <c r="AC539" s="30" t="str">
        <f>VLOOKUP(AB539,[2]Key!$C$20:$D$29,2,FALSE)</f>
        <v>Manual Labour</v>
      </c>
      <c r="AD539" s="23">
        <v>1</v>
      </c>
      <c r="AE539" s="30" t="str">
        <f>VLOOKUP(AD539,[2]Key!$E$20:$F$24,2,FALSE)</f>
        <v>&lt;300,000</v>
      </c>
      <c r="AF539" s="23">
        <v>1</v>
      </c>
      <c r="AG539" s="50">
        <v>2</v>
      </c>
      <c r="AH539" s="50">
        <v>5</v>
      </c>
      <c r="AI539" s="50">
        <v>3</v>
      </c>
      <c r="AJ539" s="50">
        <v>4</v>
      </c>
      <c r="AK539" s="46" t="s">
        <v>94</v>
      </c>
      <c r="AL539" s="36">
        <v>1000</v>
      </c>
      <c r="AM539" t="str">
        <f t="shared" si="35"/>
        <v>1000-2000</v>
      </c>
    </row>
    <row r="540" spans="1:39" x14ac:dyDescent="0.2">
      <c r="A540" s="44">
        <v>43761</v>
      </c>
      <c r="B540" s="48">
        <v>0.17708333333333334</v>
      </c>
      <c r="C540" s="48"/>
      <c r="D540" s="48" t="s">
        <v>97</v>
      </c>
      <c r="E540" s="13">
        <v>2</v>
      </c>
      <c r="F540" s="38" t="str">
        <f>VLOOKUP(E540,[2]Key!$A$17:$B$21,2,FALSE)</f>
        <v>Road Vehicle</v>
      </c>
      <c r="G540" s="49">
        <v>4</v>
      </c>
      <c r="H540" s="39" t="str">
        <f>VLOOKUP(G540,[2]Key!$A$2:$B$14,2,FALSE)</f>
        <v>Minibus</v>
      </c>
      <c r="I540" s="13" t="s">
        <v>109</v>
      </c>
      <c r="J540" s="13">
        <v>2</v>
      </c>
      <c r="K540" s="40" t="str">
        <f>VLOOKUP(J540,[2]Key!$A$24:$B$29,2,FALSE)</f>
        <v>30-39</v>
      </c>
      <c r="L540" s="11" t="s">
        <v>386</v>
      </c>
      <c r="M540" s="23" t="s">
        <v>223</v>
      </c>
      <c r="N540" s="13" t="s">
        <v>221</v>
      </c>
      <c r="O540" s="46">
        <v>2</v>
      </c>
      <c r="P540" s="30" t="str">
        <f>VLOOKUP(O540,[2]Key!$E$2:$F$9,2,FALSE)</f>
        <v>Work</v>
      </c>
      <c r="Q540" s="13" t="s">
        <v>245</v>
      </c>
      <c r="R540" s="23" t="s">
        <v>223</v>
      </c>
      <c r="S540" s="13" t="s">
        <v>221</v>
      </c>
      <c r="T540" s="23">
        <v>2</v>
      </c>
      <c r="U540" s="30" t="str">
        <f>VLOOKUP(T540,[2]Key!$E$2:$F$9,2,FALSE)</f>
        <v>Work</v>
      </c>
      <c r="V540" s="30" t="str">
        <f t="shared" si="32"/>
        <v>Work-Work</v>
      </c>
      <c r="W540" s="51">
        <v>20000</v>
      </c>
      <c r="X540" s="50">
        <v>12</v>
      </c>
      <c r="Y540" s="50" t="str">
        <f t="shared" si="33"/>
        <v>10-20</v>
      </c>
      <c r="Z540" s="50">
        <v>0.16666</v>
      </c>
      <c r="AA540" s="50" t="str">
        <f t="shared" si="34"/>
        <v>0-0.5</v>
      </c>
      <c r="AB540" s="23">
        <v>2</v>
      </c>
      <c r="AC540" s="30" t="str">
        <f>VLOOKUP(AB540,[2]Key!$C$20:$D$29,2,FALSE)</f>
        <v>Manual Labour</v>
      </c>
      <c r="AD540" s="23">
        <v>1</v>
      </c>
      <c r="AE540" s="30" t="str">
        <f>VLOOKUP(AD540,[2]Key!$E$20:$F$24,2,FALSE)</f>
        <v>&lt;300,000</v>
      </c>
      <c r="AF540" s="23">
        <v>5</v>
      </c>
      <c r="AG540" s="50">
        <v>1</v>
      </c>
      <c r="AH540" s="50">
        <v>3</v>
      </c>
      <c r="AI540" s="50">
        <v>2</v>
      </c>
      <c r="AJ540" s="50">
        <v>4</v>
      </c>
      <c r="AK540" s="46" t="s">
        <v>94</v>
      </c>
      <c r="AL540" s="36">
        <v>1000</v>
      </c>
      <c r="AM540" t="str">
        <f t="shared" si="35"/>
        <v>1000-2000</v>
      </c>
    </row>
    <row r="541" spans="1:39" x14ac:dyDescent="0.2">
      <c r="A541" s="44">
        <v>43761</v>
      </c>
      <c r="B541" s="48">
        <v>6.3888888888888884E-2</v>
      </c>
      <c r="C541" s="48"/>
      <c r="D541" s="48" t="s">
        <v>248</v>
      </c>
      <c r="E541" s="13">
        <v>2</v>
      </c>
      <c r="F541" s="38" t="str">
        <f>VLOOKUP(E541,[2]Key!$A$17:$B$21,2,FALSE)</f>
        <v>Road Vehicle</v>
      </c>
      <c r="G541" s="49">
        <v>4</v>
      </c>
      <c r="H541" s="39" t="str">
        <f>VLOOKUP(G541,[2]Key!$A$2:$B$14,2,FALSE)</f>
        <v>Minibus</v>
      </c>
      <c r="I541" s="13" t="s">
        <v>109</v>
      </c>
      <c r="J541" s="13">
        <v>2</v>
      </c>
      <c r="K541" s="40" t="str">
        <f>VLOOKUP(J541,[2]Key!$A$24:$B$29,2,FALSE)</f>
        <v>30-39</v>
      </c>
      <c r="L541" s="11" t="s">
        <v>356</v>
      </c>
      <c r="M541" s="23" t="s">
        <v>270</v>
      </c>
      <c r="N541" s="13" t="s">
        <v>221</v>
      </c>
      <c r="O541" s="46">
        <v>6</v>
      </c>
      <c r="P541" s="30" t="str">
        <f>VLOOKUP(O541,[2]Key!$E$2:$F$9,2,FALSE)</f>
        <v>Leisure/Social</v>
      </c>
      <c r="Q541" s="13" t="s">
        <v>387</v>
      </c>
      <c r="R541" s="23" t="s">
        <v>223</v>
      </c>
      <c r="S541" s="13" t="s">
        <v>221</v>
      </c>
      <c r="T541" s="23">
        <v>1</v>
      </c>
      <c r="U541" s="30" t="str">
        <f>VLOOKUP(T541,[2]Key!$E$2:$F$9,2,FALSE)</f>
        <v>Home</v>
      </c>
      <c r="V541" s="30" t="str">
        <f t="shared" si="32"/>
        <v>Leisure/Social-Home</v>
      </c>
      <c r="W541" s="51">
        <v>10000</v>
      </c>
      <c r="X541" s="50"/>
      <c r="Y541" s="50" t="str">
        <f t="shared" si="33"/>
        <v>0-10</v>
      </c>
      <c r="Z541" s="50">
        <v>3</v>
      </c>
      <c r="AA541" s="50" t="str">
        <f t="shared" si="34"/>
        <v>2.0-3.5</v>
      </c>
      <c r="AB541" s="23">
        <v>1</v>
      </c>
      <c r="AC541" s="30" t="str">
        <f>VLOOKUP(AB541,[2]Key!$C$20:$D$29,2,FALSE)</f>
        <v>Unemployed</v>
      </c>
      <c r="AD541" s="23">
        <v>1</v>
      </c>
      <c r="AE541" s="30" t="str">
        <f>VLOOKUP(AD541,[2]Key!$E$20:$F$24,2,FALSE)</f>
        <v>&lt;300,000</v>
      </c>
      <c r="AF541" s="23">
        <v>2</v>
      </c>
      <c r="AG541" s="50">
        <v>3</v>
      </c>
      <c r="AH541" s="50">
        <v>4</v>
      </c>
      <c r="AI541" s="50">
        <v>1</v>
      </c>
      <c r="AJ541" s="50">
        <v>5</v>
      </c>
      <c r="AK541" s="46" t="s">
        <v>94</v>
      </c>
      <c r="AL541" s="36"/>
      <c r="AM541" t="str">
        <f t="shared" si="35"/>
        <v>0-1000</v>
      </c>
    </row>
    <row r="542" spans="1:39" x14ac:dyDescent="0.2">
      <c r="A542" s="44">
        <v>43761</v>
      </c>
      <c r="B542" s="48">
        <v>0.27638888888888885</v>
      </c>
      <c r="C542" s="48"/>
      <c r="D542" s="48" t="s">
        <v>150</v>
      </c>
      <c r="E542" s="13">
        <v>2</v>
      </c>
      <c r="F542" s="38" t="str">
        <f>VLOOKUP(E542,[2]Key!$A$17:$B$21,2,FALSE)</f>
        <v>Road Vehicle</v>
      </c>
      <c r="G542" s="49">
        <v>4</v>
      </c>
      <c r="H542" s="39" t="str">
        <f>VLOOKUP(G542,[2]Key!$A$2:$B$14,2,FALSE)</f>
        <v>Minibus</v>
      </c>
      <c r="I542" s="13" t="s">
        <v>109</v>
      </c>
      <c r="J542" s="13">
        <v>2</v>
      </c>
      <c r="K542" s="40" t="str">
        <f>VLOOKUP(J542,[2]Key!$A$24:$B$29,2,FALSE)</f>
        <v>30-39</v>
      </c>
      <c r="L542" s="11" t="s">
        <v>388</v>
      </c>
      <c r="M542" s="23" t="s">
        <v>220</v>
      </c>
      <c r="N542" s="13" t="s">
        <v>221</v>
      </c>
      <c r="O542" s="46">
        <v>6</v>
      </c>
      <c r="P542" s="30" t="str">
        <f>VLOOKUP(O542,[2]Key!$E$2:$F$9,2,FALSE)</f>
        <v>Leisure/Social</v>
      </c>
      <c r="Q542" s="13" t="s">
        <v>249</v>
      </c>
      <c r="R542" s="23" t="s">
        <v>250</v>
      </c>
      <c r="S542" s="13" t="s">
        <v>221</v>
      </c>
      <c r="T542" s="23">
        <v>1</v>
      </c>
      <c r="U542" s="30" t="str">
        <f>VLOOKUP(T542,[2]Key!$E$2:$F$9,2,FALSE)</f>
        <v>Home</v>
      </c>
      <c r="V542" s="30" t="str">
        <f t="shared" si="32"/>
        <v>Leisure/Social-Home</v>
      </c>
      <c r="W542" s="51">
        <v>11000</v>
      </c>
      <c r="X542" s="50"/>
      <c r="Y542" s="50" t="str">
        <f t="shared" si="33"/>
        <v>0-10</v>
      </c>
      <c r="Z542" s="50">
        <v>4</v>
      </c>
      <c r="AA542" s="50" t="str">
        <f t="shared" si="34"/>
        <v>Over 3.5</v>
      </c>
      <c r="AB542" s="23">
        <v>2</v>
      </c>
      <c r="AC542" s="30" t="str">
        <f>VLOOKUP(AB542,[2]Key!$C$20:$D$29,2,FALSE)</f>
        <v>Manual Labour</v>
      </c>
      <c r="AD542" s="23">
        <v>1</v>
      </c>
      <c r="AE542" s="30" t="str">
        <f>VLOOKUP(AD542,[2]Key!$E$20:$F$24,2,FALSE)</f>
        <v>&lt;300,000</v>
      </c>
      <c r="AF542" s="23">
        <v>5</v>
      </c>
      <c r="AG542" s="50">
        <v>4</v>
      </c>
      <c r="AH542" s="50">
        <v>2</v>
      </c>
      <c r="AI542" s="50">
        <v>3</v>
      </c>
      <c r="AJ542" s="50">
        <v>1</v>
      </c>
      <c r="AK542" s="46" t="s">
        <v>94</v>
      </c>
      <c r="AL542" s="36">
        <v>200</v>
      </c>
      <c r="AM542" t="str">
        <f t="shared" si="35"/>
        <v>0-1000</v>
      </c>
    </row>
    <row r="543" spans="1:39" x14ac:dyDescent="0.2">
      <c r="A543" s="44">
        <v>43761</v>
      </c>
      <c r="B543" s="48">
        <v>0.25</v>
      </c>
      <c r="C543" s="48"/>
      <c r="D543" s="48" t="s">
        <v>150</v>
      </c>
      <c r="E543" s="13">
        <v>2</v>
      </c>
      <c r="F543" s="38" t="str">
        <f>VLOOKUP(E543,[2]Key!$A$17:$B$21,2,FALSE)</f>
        <v>Road Vehicle</v>
      </c>
      <c r="G543" s="49">
        <v>4</v>
      </c>
      <c r="H543" s="39" t="str">
        <f>VLOOKUP(G543,[2]Key!$A$2:$B$14,2,FALSE)</f>
        <v>Minibus</v>
      </c>
      <c r="I543" s="13" t="s">
        <v>109</v>
      </c>
      <c r="J543" s="13">
        <v>2</v>
      </c>
      <c r="K543" s="40" t="str">
        <f>VLOOKUP(J543,[2]Key!$A$24:$B$29,2,FALSE)</f>
        <v>30-39</v>
      </c>
      <c r="L543" s="11" t="s">
        <v>291</v>
      </c>
      <c r="M543" s="23" t="s">
        <v>268</v>
      </c>
      <c r="N543" s="13" t="s">
        <v>221</v>
      </c>
      <c r="O543" s="46">
        <v>2</v>
      </c>
      <c r="P543" s="30" t="str">
        <f>VLOOKUP(O543,[2]Key!$E$2:$F$9,2,FALSE)</f>
        <v>Work</v>
      </c>
      <c r="Q543" s="13" t="s">
        <v>387</v>
      </c>
      <c r="R543" s="23" t="s">
        <v>223</v>
      </c>
      <c r="S543" s="13" t="s">
        <v>221</v>
      </c>
      <c r="T543" s="23">
        <v>6</v>
      </c>
      <c r="U543" s="30" t="str">
        <f>VLOOKUP(T543,[2]Key!$E$2:$F$9,2,FALSE)</f>
        <v>Leisure/Social</v>
      </c>
      <c r="V543" s="30" t="str">
        <f t="shared" si="32"/>
        <v>Work-Leisure/Social</v>
      </c>
      <c r="W543" s="51">
        <v>13000</v>
      </c>
      <c r="X543" s="50"/>
      <c r="Y543" s="50" t="str">
        <f t="shared" si="33"/>
        <v>0-10</v>
      </c>
      <c r="Z543" s="50">
        <v>3</v>
      </c>
      <c r="AA543" s="50" t="str">
        <f t="shared" si="34"/>
        <v>2.0-3.5</v>
      </c>
      <c r="AB543" s="23">
        <v>6</v>
      </c>
      <c r="AC543" s="30" t="str">
        <f>VLOOKUP(AB543,[2]Key!$C$20:$D$29,2,FALSE)</f>
        <v>Businessman</v>
      </c>
      <c r="AD543" s="23">
        <v>1</v>
      </c>
      <c r="AE543" s="30" t="str">
        <f>VLOOKUP(AD543,[2]Key!$E$20:$F$24,2,FALSE)</f>
        <v>&lt;300,000</v>
      </c>
      <c r="AF543" s="23">
        <v>5</v>
      </c>
      <c r="AG543" s="50">
        <v>3</v>
      </c>
      <c r="AH543" s="50">
        <v>1</v>
      </c>
      <c r="AI543" s="50">
        <v>4</v>
      </c>
      <c r="AJ543" s="50">
        <v>2</v>
      </c>
      <c r="AK543" s="46" t="s">
        <v>94</v>
      </c>
      <c r="AL543" s="36">
        <v>50</v>
      </c>
      <c r="AM543" t="str">
        <f t="shared" si="35"/>
        <v>0-1000</v>
      </c>
    </row>
    <row r="544" spans="1:39" x14ac:dyDescent="0.2">
      <c r="A544" s="44">
        <v>43761</v>
      </c>
      <c r="B544" s="48">
        <v>0.22777777777777777</v>
      </c>
      <c r="C544" s="48"/>
      <c r="D544" s="48" t="s">
        <v>150</v>
      </c>
      <c r="E544" s="13">
        <v>2</v>
      </c>
      <c r="F544" s="38" t="str">
        <f>VLOOKUP(E544,[2]Key!$A$17:$B$21,2,FALSE)</f>
        <v>Road Vehicle</v>
      </c>
      <c r="G544" s="49">
        <v>4</v>
      </c>
      <c r="H544" s="39" t="str">
        <f>VLOOKUP(G544,[2]Key!$A$2:$B$14,2,FALSE)</f>
        <v>Minibus</v>
      </c>
      <c r="I544" s="13" t="s">
        <v>109</v>
      </c>
      <c r="J544" s="13">
        <v>2</v>
      </c>
      <c r="K544" s="40" t="str">
        <f>VLOOKUP(J544,[2]Key!$A$24:$B$29,2,FALSE)</f>
        <v>30-39</v>
      </c>
      <c r="L544" s="11" t="s">
        <v>389</v>
      </c>
      <c r="M544" s="23" t="s">
        <v>318</v>
      </c>
      <c r="N544" s="13" t="s">
        <v>221</v>
      </c>
      <c r="O544" s="46">
        <v>6</v>
      </c>
      <c r="P544" s="30" t="str">
        <f>VLOOKUP(O544,[2]Key!$E$2:$F$9,2,FALSE)</f>
        <v>Leisure/Social</v>
      </c>
      <c r="Q544" s="13" t="s">
        <v>390</v>
      </c>
      <c r="R544" s="23" t="s">
        <v>223</v>
      </c>
      <c r="S544" s="13" t="s">
        <v>221</v>
      </c>
      <c r="T544" s="23">
        <v>1</v>
      </c>
      <c r="U544" s="30" t="str">
        <f>VLOOKUP(T544,[2]Key!$E$2:$F$9,2,FALSE)</f>
        <v>Home</v>
      </c>
      <c r="V544" s="30" t="str">
        <f t="shared" si="32"/>
        <v>Leisure/Social-Home</v>
      </c>
      <c r="W544" s="51">
        <v>10000</v>
      </c>
      <c r="X544" s="50"/>
      <c r="Y544" s="50" t="str">
        <f t="shared" si="33"/>
        <v>0-10</v>
      </c>
      <c r="Z544" s="50">
        <v>2.5</v>
      </c>
      <c r="AA544" s="50" t="str">
        <f t="shared" si="34"/>
        <v>2.0-3.5</v>
      </c>
      <c r="AB544" s="23">
        <v>2</v>
      </c>
      <c r="AC544" s="30" t="str">
        <f>VLOOKUP(AB544,[2]Key!$C$20:$D$29,2,FALSE)</f>
        <v>Manual Labour</v>
      </c>
      <c r="AD544" s="23">
        <v>1</v>
      </c>
      <c r="AE544" s="30" t="str">
        <f>VLOOKUP(AD544,[2]Key!$E$20:$F$24,2,FALSE)</f>
        <v>&lt;300,000</v>
      </c>
      <c r="AF544" s="23">
        <v>4</v>
      </c>
      <c r="AG544" s="50">
        <v>3</v>
      </c>
      <c r="AH544" s="50">
        <v>2</v>
      </c>
      <c r="AI544" s="50">
        <v>1</v>
      </c>
      <c r="AJ544" s="50">
        <v>5</v>
      </c>
      <c r="AK544" s="46" t="s">
        <v>94</v>
      </c>
      <c r="AL544" s="36">
        <v>100</v>
      </c>
      <c r="AM544" t="str">
        <f t="shared" si="35"/>
        <v>0-1000</v>
      </c>
    </row>
    <row r="545" spans="1:39" x14ac:dyDescent="0.2">
      <c r="A545" s="44">
        <v>43761</v>
      </c>
      <c r="B545" s="48"/>
      <c r="C545" s="48"/>
      <c r="D545" s="48" t="s">
        <v>248</v>
      </c>
      <c r="E545" s="13">
        <v>2</v>
      </c>
      <c r="F545" s="38" t="str">
        <f>VLOOKUP(E545,[2]Key!$A$17:$B$21,2,FALSE)</f>
        <v>Road Vehicle</v>
      </c>
      <c r="G545" s="49">
        <v>4</v>
      </c>
      <c r="H545" s="39" t="str">
        <f>VLOOKUP(G545,[2]Key!$A$2:$B$14,2,FALSE)</f>
        <v>Minibus</v>
      </c>
      <c r="I545" s="13" t="s">
        <v>109</v>
      </c>
      <c r="J545" s="13">
        <v>2</v>
      </c>
      <c r="K545" s="40" t="str">
        <f>VLOOKUP(J545,[2]Key!$A$24:$B$29,2,FALSE)</f>
        <v>30-39</v>
      </c>
      <c r="L545" s="11" t="s">
        <v>252</v>
      </c>
      <c r="M545" s="23" t="s">
        <v>220</v>
      </c>
      <c r="N545" s="13" t="s">
        <v>221</v>
      </c>
      <c r="O545" s="46">
        <v>5</v>
      </c>
      <c r="P545" s="30" t="str">
        <f>VLOOKUP(O545,[2]Key!$E$2:$F$9,2,FALSE)</f>
        <v>Tourism</v>
      </c>
      <c r="Q545" s="13" t="s">
        <v>259</v>
      </c>
      <c r="R545" s="23" t="s">
        <v>391</v>
      </c>
      <c r="S545" s="13" t="s">
        <v>221</v>
      </c>
      <c r="T545" s="23">
        <v>1</v>
      </c>
      <c r="U545" s="30" t="str">
        <f>VLOOKUP(T545,[2]Key!$E$2:$F$9,2,FALSE)</f>
        <v>Home</v>
      </c>
      <c r="V545" s="30" t="str">
        <f t="shared" si="32"/>
        <v>Tourism-Home</v>
      </c>
      <c r="W545" s="51">
        <v>20000</v>
      </c>
      <c r="X545" s="50"/>
      <c r="Y545" s="50" t="str">
        <f t="shared" si="33"/>
        <v>0-10</v>
      </c>
      <c r="Z545" s="50">
        <v>6</v>
      </c>
      <c r="AA545" s="50" t="str">
        <f t="shared" si="34"/>
        <v>Over 3.5</v>
      </c>
      <c r="AB545" s="23">
        <v>5</v>
      </c>
      <c r="AC545" s="30" t="str">
        <f>VLOOKUP(AB545,[2]Key!$C$20:$D$29,2,FALSE)</f>
        <v>Professional</v>
      </c>
      <c r="AD545" s="23">
        <v>3</v>
      </c>
      <c r="AE545" s="30" t="str">
        <f>VLOOKUP(AD545,[2]Key!$E$20:$F$24,2,FALSE)</f>
        <v>500,000-750,000</v>
      </c>
      <c r="AF545" s="23">
        <v>4</v>
      </c>
      <c r="AG545" s="50">
        <v>1</v>
      </c>
      <c r="AH545" s="50">
        <v>3</v>
      </c>
      <c r="AI545" s="50">
        <v>5</v>
      </c>
      <c r="AJ545" s="50">
        <v>2</v>
      </c>
      <c r="AK545" s="46" t="s">
        <v>94</v>
      </c>
      <c r="AL545" s="36" t="s">
        <v>392</v>
      </c>
      <c r="AM545" t="str">
        <f t="shared" si="35"/>
        <v>Over 10000</v>
      </c>
    </row>
    <row r="546" spans="1:39" x14ac:dyDescent="0.2">
      <c r="A546" s="44">
        <v>43761</v>
      </c>
      <c r="B546" s="48">
        <v>0.13125000000000001</v>
      </c>
      <c r="C546" s="48"/>
      <c r="D546" s="48" t="s">
        <v>248</v>
      </c>
      <c r="E546" s="13">
        <v>2</v>
      </c>
      <c r="F546" s="38" t="str">
        <f>VLOOKUP(E546,[2]Key!$A$17:$B$21,2,FALSE)</f>
        <v>Road Vehicle</v>
      </c>
      <c r="G546" s="49">
        <v>4</v>
      </c>
      <c r="H546" s="39" t="str">
        <f>VLOOKUP(G546,[2]Key!$A$2:$B$14,2,FALSE)</f>
        <v>Minibus</v>
      </c>
      <c r="I546" s="13" t="s">
        <v>109</v>
      </c>
      <c r="J546" s="13">
        <v>2</v>
      </c>
      <c r="K546" s="40" t="str">
        <f>VLOOKUP(J546,[2]Key!$A$24:$B$29,2,FALSE)</f>
        <v>30-39</v>
      </c>
      <c r="L546" s="11" t="s">
        <v>339</v>
      </c>
      <c r="M546" s="23" t="s">
        <v>220</v>
      </c>
      <c r="N546" s="13" t="s">
        <v>221</v>
      </c>
      <c r="O546" s="46">
        <v>5</v>
      </c>
      <c r="P546" s="30" t="str">
        <f>VLOOKUP(O546,[2]Key!$E$2:$F$9,2,FALSE)</f>
        <v>Tourism</v>
      </c>
      <c r="Q546" s="13" t="s">
        <v>267</v>
      </c>
      <c r="R546" s="23" t="s">
        <v>223</v>
      </c>
      <c r="S546" s="13" t="s">
        <v>221</v>
      </c>
      <c r="T546" s="23">
        <v>1</v>
      </c>
      <c r="U546" s="30" t="str">
        <f>VLOOKUP(T546,[2]Key!$E$2:$F$9,2,FALSE)</f>
        <v>Home</v>
      </c>
      <c r="V546" s="30" t="str">
        <f t="shared" si="32"/>
        <v>Tourism-Home</v>
      </c>
      <c r="W546" s="23">
        <v>13000</v>
      </c>
      <c r="X546" s="50"/>
      <c r="Y546" s="50" t="str">
        <f t="shared" si="33"/>
        <v>0-10</v>
      </c>
      <c r="Z546" s="50">
        <v>2.5</v>
      </c>
      <c r="AA546" s="50" t="str">
        <f t="shared" si="34"/>
        <v>2.0-3.5</v>
      </c>
      <c r="AB546" s="23">
        <v>5</v>
      </c>
      <c r="AC546" s="30" t="str">
        <f>VLOOKUP(AB546,[2]Key!$C$20:$D$29,2,FALSE)</f>
        <v>Professional</v>
      </c>
      <c r="AD546" s="23">
        <v>2</v>
      </c>
      <c r="AE546" s="30" t="str">
        <f>VLOOKUP(AD546,[2]Key!$E$20:$F$24,2,FALSE)</f>
        <v>300,000-500,000</v>
      </c>
      <c r="AF546" s="23">
        <v>5</v>
      </c>
      <c r="AG546" s="50">
        <v>1</v>
      </c>
      <c r="AH546" s="50">
        <v>3</v>
      </c>
      <c r="AI546" s="50">
        <v>4</v>
      </c>
      <c r="AJ546" s="50">
        <v>2</v>
      </c>
      <c r="AK546" s="46" t="s">
        <v>94</v>
      </c>
      <c r="AL546" s="36">
        <v>1000</v>
      </c>
      <c r="AM546" t="str">
        <f t="shared" si="35"/>
        <v>1000-2000</v>
      </c>
    </row>
    <row r="547" spans="1:39" x14ac:dyDescent="0.2">
      <c r="A547" s="44">
        <v>43761</v>
      </c>
      <c r="B547" s="48">
        <v>0.15</v>
      </c>
      <c r="C547" s="48"/>
      <c r="D547" s="48" t="s">
        <v>150</v>
      </c>
      <c r="E547" s="13">
        <v>2</v>
      </c>
      <c r="F547" s="38" t="str">
        <f>VLOOKUP(E547,[2]Key!$A$17:$B$21,2,FALSE)</f>
        <v>Road Vehicle</v>
      </c>
      <c r="G547" s="49">
        <v>4</v>
      </c>
      <c r="H547" s="39" t="str">
        <f>VLOOKUP(G547,[2]Key!$A$2:$B$14,2,FALSE)</f>
        <v>Minibus</v>
      </c>
      <c r="I547" s="13" t="s">
        <v>109</v>
      </c>
      <c r="J547" s="13">
        <v>2</v>
      </c>
      <c r="K547" s="40" t="str">
        <f>VLOOKUP(J547,[2]Key!$A$24:$B$29,2,FALSE)</f>
        <v>30-39</v>
      </c>
      <c r="L547" s="11" t="s">
        <v>393</v>
      </c>
      <c r="M547" s="23" t="s">
        <v>220</v>
      </c>
      <c r="N547" s="13" t="s">
        <v>221</v>
      </c>
      <c r="O547" s="46">
        <v>8</v>
      </c>
      <c r="P547" s="30" t="str">
        <f>VLOOKUP(O547,[2]Key!$E$2:$F$9,2,FALSE)</f>
        <v>Others</v>
      </c>
      <c r="Q547" s="13" t="s">
        <v>245</v>
      </c>
      <c r="R547" s="23" t="s">
        <v>245</v>
      </c>
      <c r="S547" s="13" t="s">
        <v>221</v>
      </c>
      <c r="T547" s="23">
        <v>1</v>
      </c>
      <c r="U547" s="30" t="str">
        <f>VLOOKUP(T547,[2]Key!$E$2:$F$9,2,FALSE)</f>
        <v>Home</v>
      </c>
      <c r="V547" s="30" t="str">
        <f t="shared" si="32"/>
        <v>Others-Home</v>
      </c>
      <c r="W547" s="23">
        <v>8000</v>
      </c>
      <c r="X547" s="50"/>
      <c r="Y547" s="50" t="str">
        <f t="shared" si="33"/>
        <v>0-10</v>
      </c>
      <c r="Z547" s="50">
        <v>2</v>
      </c>
      <c r="AA547" s="50" t="str">
        <f t="shared" si="34"/>
        <v>2.0-3.5</v>
      </c>
      <c r="AB547" s="23">
        <v>6</v>
      </c>
      <c r="AC547" s="30" t="str">
        <f>VLOOKUP(AB547,[2]Key!$C$20:$D$29,2,FALSE)</f>
        <v>Businessman</v>
      </c>
      <c r="AD547" s="23">
        <v>2</v>
      </c>
      <c r="AE547" s="30" t="str">
        <f>VLOOKUP(AD547,[2]Key!$E$20:$F$24,2,FALSE)</f>
        <v>300,000-500,000</v>
      </c>
      <c r="AF547" s="23">
        <v>2</v>
      </c>
      <c r="AG547" s="50">
        <v>4</v>
      </c>
      <c r="AH547" s="50">
        <v>5</v>
      </c>
      <c r="AI547" s="50">
        <v>1</v>
      </c>
      <c r="AJ547" s="50">
        <v>3</v>
      </c>
      <c r="AK547" s="46" t="s">
        <v>94</v>
      </c>
      <c r="AL547" s="36">
        <v>2000</v>
      </c>
      <c r="AM547" t="str">
        <f t="shared" si="35"/>
        <v>2000-3000</v>
      </c>
    </row>
    <row r="548" spans="1:39" x14ac:dyDescent="0.2">
      <c r="A548" s="44">
        <v>43761</v>
      </c>
      <c r="B548" s="48">
        <v>0.42777777777777781</v>
      </c>
      <c r="C548" s="48"/>
      <c r="D548" s="48" t="s">
        <v>248</v>
      </c>
      <c r="E548" s="13">
        <v>2</v>
      </c>
      <c r="F548" s="38" t="str">
        <f>VLOOKUP(E548,[2]Key!$A$17:$B$21,2,FALSE)</f>
        <v>Road Vehicle</v>
      </c>
      <c r="G548" s="49">
        <v>4</v>
      </c>
      <c r="H548" s="39" t="str">
        <f>VLOOKUP(G548,[2]Key!$A$2:$B$14,2,FALSE)</f>
        <v>Minibus</v>
      </c>
      <c r="I548" s="13" t="s">
        <v>109</v>
      </c>
      <c r="J548" s="13">
        <v>2</v>
      </c>
      <c r="K548" s="40" t="str">
        <f>VLOOKUP(J548,[2]Key!$A$24:$B$29,2,FALSE)</f>
        <v>30-39</v>
      </c>
      <c r="L548" s="11" t="s">
        <v>253</v>
      </c>
      <c r="M548" s="23" t="s">
        <v>223</v>
      </c>
      <c r="N548" s="13" t="s">
        <v>221</v>
      </c>
      <c r="O548" s="46">
        <v>2</v>
      </c>
      <c r="P548" s="30" t="str">
        <f>VLOOKUP(O548,[2]Key!$E$2:$F$9,2,FALSE)</f>
        <v>Work</v>
      </c>
      <c r="Q548" s="13" t="s">
        <v>394</v>
      </c>
      <c r="R548" s="23" t="s">
        <v>223</v>
      </c>
      <c r="S548" s="13" t="s">
        <v>221</v>
      </c>
      <c r="T548" s="23">
        <v>1</v>
      </c>
      <c r="U548" s="30" t="str">
        <f>VLOOKUP(T548,[2]Key!$E$2:$F$9,2,FALSE)</f>
        <v>Home</v>
      </c>
      <c r="V548" s="30" t="str">
        <f t="shared" si="32"/>
        <v>Work-Home</v>
      </c>
      <c r="W548" s="23">
        <v>3000</v>
      </c>
      <c r="X548" s="50"/>
      <c r="Y548" s="50" t="str">
        <f t="shared" si="33"/>
        <v>0-10</v>
      </c>
      <c r="Z548" s="50">
        <v>1</v>
      </c>
      <c r="AA548" s="50" t="str">
        <f t="shared" si="34"/>
        <v>1.0-2.0</v>
      </c>
      <c r="AB548" s="23">
        <v>6</v>
      </c>
      <c r="AC548" s="30" t="str">
        <f>VLOOKUP(AB548,[2]Key!$C$20:$D$29,2,FALSE)</f>
        <v>Businessman</v>
      </c>
      <c r="AD548" s="23">
        <v>1</v>
      </c>
      <c r="AE548" s="30" t="str">
        <f>VLOOKUP(AD548,[2]Key!$E$20:$F$24,2,FALSE)</f>
        <v>&lt;300,000</v>
      </c>
      <c r="AF548" s="23">
        <v>5</v>
      </c>
      <c r="AG548" s="50">
        <v>1</v>
      </c>
      <c r="AH548" s="50">
        <v>3</v>
      </c>
      <c r="AI548" s="50">
        <v>2</v>
      </c>
      <c r="AJ548" s="50">
        <v>4</v>
      </c>
      <c r="AK548" s="46" t="s">
        <v>94</v>
      </c>
      <c r="AL548" s="36">
        <v>300</v>
      </c>
      <c r="AM548" t="str">
        <f t="shared" si="35"/>
        <v>0-1000</v>
      </c>
    </row>
    <row r="549" spans="1:39" x14ac:dyDescent="0.2">
      <c r="A549" s="44">
        <v>43759</v>
      </c>
      <c r="B549" s="48">
        <v>5.5555555555555552E-2</v>
      </c>
      <c r="C549" s="48"/>
      <c r="D549" s="48" t="s">
        <v>150</v>
      </c>
      <c r="E549" s="13">
        <v>2</v>
      </c>
      <c r="F549" s="38" t="str">
        <f>VLOOKUP(E549,[1]Key!$A$17:$B$21,2,FALSE)</f>
        <v>Road Vehicle</v>
      </c>
      <c r="G549" s="49">
        <v>4</v>
      </c>
      <c r="H549" s="39" t="str">
        <f>VLOOKUP(G549,[2]Key!$A$2:$B$14,2,FALSE)</f>
        <v>Minibus</v>
      </c>
      <c r="I549" s="13" t="s">
        <v>109</v>
      </c>
      <c r="J549" s="13">
        <v>2</v>
      </c>
      <c r="K549" s="40" t="str">
        <f>VLOOKUP(J549,[1]Key!$A$24:$B$29,2,FALSE)</f>
        <v>30-39</v>
      </c>
      <c r="L549" s="11"/>
      <c r="M549" s="23"/>
      <c r="N549" s="13" t="s">
        <v>221</v>
      </c>
      <c r="O549" s="46">
        <v>1</v>
      </c>
      <c r="P549" s="30" t="str">
        <f>VLOOKUP(O549,[1]Key!$E$2:$F$9,2,FALSE)</f>
        <v>Home</v>
      </c>
      <c r="Q549" s="13"/>
      <c r="R549" s="23"/>
      <c r="S549" s="13" t="s">
        <v>221</v>
      </c>
      <c r="T549" s="23">
        <v>2</v>
      </c>
      <c r="U549" s="30" t="str">
        <f>VLOOKUP(T549,[1]Key!$E$2:$F$9,2,FALSE)</f>
        <v>Work</v>
      </c>
      <c r="V549" s="30" t="str">
        <f t="shared" si="32"/>
        <v>Home-Work</v>
      </c>
      <c r="W549" s="41"/>
      <c r="X549" s="50"/>
      <c r="Y549" s="50" t="str">
        <f t="shared" si="33"/>
        <v>0-10</v>
      </c>
      <c r="Z549" s="50"/>
      <c r="AA549" s="50" t="str">
        <f t="shared" si="34"/>
        <v>0-0.5</v>
      </c>
      <c r="AB549" s="23">
        <v>3</v>
      </c>
      <c r="AC549" s="30" t="str">
        <f>VLOOKUP(AB549,[1]Key!$C$20:$D$29,2,FALSE)</f>
        <v>Artisan/Domestic</v>
      </c>
      <c r="AD549" s="23">
        <v>2</v>
      </c>
      <c r="AE549" s="30" t="str">
        <f>VLOOKUP(AD549,[1]Key!$E$20:$F$24,2,FALSE)</f>
        <v>300,000-500,000</v>
      </c>
      <c r="AF549" s="23"/>
      <c r="AG549" s="50"/>
      <c r="AH549" s="50"/>
      <c r="AI549" s="50"/>
      <c r="AJ549" s="50"/>
      <c r="AK549" s="46"/>
      <c r="AL549" s="36"/>
      <c r="AM549" t="str">
        <f t="shared" si="35"/>
        <v>0-1000</v>
      </c>
    </row>
    <row r="550" spans="1:39" x14ac:dyDescent="0.2">
      <c r="A550" s="44">
        <v>43760</v>
      </c>
      <c r="B550" s="48">
        <v>0.4861111111111111</v>
      </c>
      <c r="C550" s="48"/>
      <c r="D550" s="48" t="s">
        <v>150</v>
      </c>
      <c r="E550" s="13">
        <v>2</v>
      </c>
      <c r="F550" s="38" t="str">
        <f>VLOOKUP(E550,[2]Key!$A$17:$B$21,2,FALSE)</f>
        <v>Road Vehicle</v>
      </c>
      <c r="G550" s="49">
        <v>4</v>
      </c>
      <c r="H550" s="39" t="str">
        <f>VLOOKUP(G550,[2]Key!$A$2:$B$14,2,FALSE)</f>
        <v>Minibus</v>
      </c>
      <c r="I550" s="13" t="s">
        <v>109</v>
      </c>
      <c r="J550" s="13">
        <v>2</v>
      </c>
      <c r="K550" s="40" t="str">
        <f>VLOOKUP(J550,[2]Key!$A$24:$B$29,2,FALSE)</f>
        <v>30-39</v>
      </c>
      <c r="L550" s="11" t="s">
        <v>224</v>
      </c>
      <c r="M550" s="23" t="s">
        <v>220</v>
      </c>
      <c r="N550" s="13" t="s">
        <v>221</v>
      </c>
      <c r="O550" s="46">
        <v>1</v>
      </c>
      <c r="P550" s="30" t="str">
        <f>VLOOKUP(O550,[2]Key!$E$2:$F$9,2,FALSE)</f>
        <v>Home</v>
      </c>
      <c r="Q550" s="13" t="s">
        <v>261</v>
      </c>
      <c r="R550" s="23" t="s">
        <v>223</v>
      </c>
      <c r="S550" s="13" t="s">
        <v>221</v>
      </c>
      <c r="T550" s="23">
        <v>4</v>
      </c>
      <c r="U550" s="30" t="str">
        <f>VLOOKUP(T550,[2]Key!$E$2:$F$9,2,FALSE)</f>
        <v>Commercial</v>
      </c>
      <c r="V550" s="30" t="str">
        <f t="shared" si="32"/>
        <v>Home-Commercial</v>
      </c>
      <c r="W550" s="51">
        <v>8000</v>
      </c>
      <c r="X550" s="50">
        <v>95</v>
      </c>
      <c r="Y550" s="50" t="str">
        <f t="shared" si="33"/>
        <v>70-100</v>
      </c>
      <c r="Z550" s="50">
        <v>2</v>
      </c>
      <c r="AA550" s="50" t="str">
        <f t="shared" si="34"/>
        <v>2.0-3.5</v>
      </c>
      <c r="AB550" s="23">
        <v>6</v>
      </c>
      <c r="AC550" s="30" t="str">
        <f>VLOOKUP(AB550,[2]Key!$C$20:$D$29,2,FALSE)</f>
        <v>Businessman</v>
      </c>
      <c r="AD550" s="23">
        <v>2</v>
      </c>
      <c r="AE550" s="30" t="str">
        <f>VLOOKUP(AD550,[2]Key!$E$20:$F$24,2,FALSE)</f>
        <v>300,000-500,000</v>
      </c>
      <c r="AF550" s="23">
        <v>2</v>
      </c>
      <c r="AG550" s="50">
        <v>3</v>
      </c>
      <c r="AH550" s="50">
        <v>4</v>
      </c>
      <c r="AI550" s="50">
        <v>1</v>
      </c>
      <c r="AJ550" s="50">
        <v>5</v>
      </c>
      <c r="AK550" s="46" t="s">
        <v>94</v>
      </c>
      <c r="AL550" s="36">
        <v>1000</v>
      </c>
      <c r="AM550" t="str">
        <f t="shared" si="35"/>
        <v>1000-2000</v>
      </c>
    </row>
    <row r="551" spans="1:39" x14ac:dyDescent="0.2">
      <c r="A551" s="44">
        <v>43761</v>
      </c>
      <c r="B551" s="48"/>
      <c r="C551" s="48"/>
      <c r="D551" s="48" t="s">
        <v>97</v>
      </c>
      <c r="E551" s="13">
        <v>2</v>
      </c>
      <c r="F551" s="38" t="str">
        <f>VLOOKUP(E551,[2]Key!$A$17:$B$21,2,FALSE)</f>
        <v>Road Vehicle</v>
      </c>
      <c r="G551" s="49">
        <v>2</v>
      </c>
      <c r="H551" s="39" t="str">
        <f>VLOOKUP(G551,[2]Key!$A$2:$B$14,2,FALSE)</f>
        <v>Station Wagon</v>
      </c>
      <c r="I551" s="13" t="s">
        <v>156</v>
      </c>
      <c r="J551" s="13">
        <v>2</v>
      </c>
      <c r="K551" s="40" t="str">
        <f>VLOOKUP(J551,[2]Key!$A$24:$B$29,2,FALSE)</f>
        <v>30-39</v>
      </c>
      <c r="L551" s="11" t="s">
        <v>254</v>
      </c>
      <c r="M551" s="23" t="s">
        <v>220</v>
      </c>
      <c r="N551" s="13" t="s">
        <v>221</v>
      </c>
      <c r="O551" s="46">
        <v>1</v>
      </c>
      <c r="P551" s="30" t="str">
        <f>VLOOKUP(O551,[2]Key!$E$2:$F$9,2,FALSE)</f>
        <v>Home</v>
      </c>
      <c r="Q551" s="13" t="s">
        <v>395</v>
      </c>
      <c r="R551" s="23" t="s">
        <v>297</v>
      </c>
      <c r="S551" s="13" t="s">
        <v>221</v>
      </c>
      <c r="T551" s="23">
        <v>6</v>
      </c>
      <c r="U551" s="30" t="str">
        <f>VLOOKUP(T551,[2]Key!$E$2:$F$9,2,FALSE)</f>
        <v>Leisure/Social</v>
      </c>
      <c r="V551" s="30" t="str">
        <f t="shared" si="32"/>
        <v>Home-Leisure/Social</v>
      </c>
      <c r="W551" s="51">
        <v>80000</v>
      </c>
      <c r="X551" s="50">
        <v>74</v>
      </c>
      <c r="Y551" s="50" t="str">
        <f t="shared" si="33"/>
        <v>70-100</v>
      </c>
      <c r="Z551" s="50">
        <v>2</v>
      </c>
      <c r="AA551" s="50" t="str">
        <f t="shared" si="34"/>
        <v>2.0-3.5</v>
      </c>
      <c r="AB551" s="23">
        <v>6</v>
      </c>
      <c r="AC551" s="30" t="str">
        <f>VLOOKUP(AB551,[2]Key!$C$20:$D$29,2,FALSE)</f>
        <v>Businessman</v>
      </c>
      <c r="AD551" s="23">
        <v>2</v>
      </c>
      <c r="AE551" s="30" t="str">
        <f>VLOOKUP(AD551,[2]Key!$E$20:$F$24,2,FALSE)</f>
        <v>300,000-500,000</v>
      </c>
      <c r="AF551" s="23">
        <v>3</v>
      </c>
      <c r="AG551" s="50">
        <v>1</v>
      </c>
      <c r="AH551" s="50">
        <v>4</v>
      </c>
      <c r="AI551" s="50">
        <v>2</v>
      </c>
      <c r="AJ551" s="50">
        <v>5</v>
      </c>
      <c r="AK551" s="46" t="s">
        <v>94</v>
      </c>
      <c r="AL551" s="36" t="s">
        <v>279</v>
      </c>
      <c r="AM551" t="str">
        <f t="shared" si="35"/>
        <v>Over 10000</v>
      </c>
    </row>
    <row r="552" spans="1:39" x14ac:dyDescent="0.2">
      <c r="A552" s="44">
        <v>43759</v>
      </c>
      <c r="B552" s="48">
        <v>0.48749999999999999</v>
      </c>
      <c r="C552" s="48"/>
      <c r="D552" s="48" t="s">
        <v>97</v>
      </c>
      <c r="E552" s="13">
        <v>2</v>
      </c>
      <c r="F552" s="38" t="str">
        <f>VLOOKUP(E552,[2]Key!$A$17:$B$21,2,FALSE)</f>
        <v>Road Vehicle</v>
      </c>
      <c r="G552" s="49">
        <v>2</v>
      </c>
      <c r="H552" s="39" t="str">
        <f>VLOOKUP(G552,[2]Key!$A$2:$B$14,2,FALSE)</f>
        <v>Station Wagon</v>
      </c>
      <c r="I552" s="13" t="s">
        <v>109</v>
      </c>
      <c r="J552" s="13">
        <v>2</v>
      </c>
      <c r="K552" s="40" t="str">
        <f>VLOOKUP(J552,[2]Key!$A$24:$B$29,2,FALSE)</f>
        <v>30-39</v>
      </c>
      <c r="L552" s="11" t="s">
        <v>388</v>
      </c>
      <c r="M552" s="23" t="s">
        <v>223</v>
      </c>
      <c r="N552" s="13" t="s">
        <v>221</v>
      </c>
      <c r="O552" s="46">
        <v>2</v>
      </c>
      <c r="P552" s="30" t="str">
        <f>VLOOKUP(O552,[2]Key!$E$2:$F$9,2,FALSE)</f>
        <v>Work</v>
      </c>
      <c r="Q552" s="13" t="s">
        <v>253</v>
      </c>
      <c r="R552" s="23" t="s">
        <v>223</v>
      </c>
      <c r="S552" s="13" t="s">
        <v>221</v>
      </c>
      <c r="T552" s="23">
        <v>8</v>
      </c>
      <c r="U552" s="30" t="str">
        <f>VLOOKUP(T552,[2]Key!$E$2:$F$9,2,FALSE)</f>
        <v>Others</v>
      </c>
      <c r="V552" s="30" t="str">
        <f t="shared" si="32"/>
        <v>Work-Others</v>
      </c>
      <c r="W552" s="41">
        <v>60000</v>
      </c>
      <c r="X552" s="50">
        <v>100</v>
      </c>
      <c r="Y552" s="50" t="str">
        <f t="shared" si="33"/>
        <v>100-200</v>
      </c>
      <c r="Z552" s="50">
        <v>1.5</v>
      </c>
      <c r="AA552" s="50" t="str">
        <f t="shared" si="34"/>
        <v>1.0-2.0</v>
      </c>
      <c r="AB552" s="23">
        <v>6</v>
      </c>
      <c r="AC552" s="30" t="str">
        <f>VLOOKUP(AB552,[2]Key!$C$20:$D$29,2,FALSE)</f>
        <v>Businessman</v>
      </c>
      <c r="AD552" s="23">
        <v>3</v>
      </c>
      <c r="AE552" s="30" t="str">
        <f>VLOOKUP(AD552,[2]Key!$E$20:$F$24,2,FALSE)</f>
        <v>500,000-750,000</v>
      </c>
      <c r="AF552" s="23">
        <v>1</v>
      </c>
      <c r="AG552" s="50">
        <v>4</v>
      </c>
      <c r="AH552" s="50">
        <v>2</v>
      </c>
      <c r="AI552" s="50">
        <v>3</v>
      </c>
      <c r="AJ552" s="50">
        <v>5</v>
      </c>
      <c r="AK552" s="46" t="s">
        <v>94</v>
      </c>
      <c r="AL552" s="36">
        <v>2000</v>
      </c>
      <c r="AM552" t="str">
        <f t="shared" si="35"/>
        <v>2000-3000</v>
      </c>
    </row>
    <row r="553" spans="1:39" x14ac:dyDescent="0.2">
      <c r="A553" s="44">
        <v>43759</v>
      </c>
      <c r="B553" s="48">
        <v>0.47152777777777777</v>
      </c>
      <c r="C553" s="48"/>
      <c r="D553" s="48" t="s">
        <v>150</v>
      </c>
      <c r="E553" s="13">
        <v>2</v>
      </c>
      <c r="F553" s="38" t="str">
        <f>VLOOKUP(E553,[1]Key!$A$17:$B$21,2,FALSE)</f>
        <v>Road Vehicle</v>
      </c>
      <c r="G553" s="49">
        <v>2</v>
      </c>
      <c r="H553" s="39" t="str">
        <f>VLOOKUP(G553,[2]Key!$A$2:$B$14,2,FALSE)</f>
        <v>Station Wagon</v>
      </c>
      <c r="I553" s="13" t="s">
        <v>109</v>
      </c>
      <c r="J553" s="13">
        <v>2</v>
      </c>
      <c r="K553" s="40" t="str">
        <f>VLOOKUP(J553,[1]Key!$A$24:$B$29,2,FALSE)</f>
        <v>30-39</v>
      </c>
      <c r="L553" s="11" t="s">
        <v>228</v>
      </c>
      <c r="M553" s="23" t="s">
        <v>220</v>
      </c>
      <c r="N553" s="13" t="s">
        <v>221</v>
      </c>
      <c r="O553" s="46">
        <v>4</v>
      </c>
      <c r="P553" s="30" t="str">
        <f>VLOOKUP(O553,[1]Key!$E$2:$F$9,2,FALSE)</f>
        <v>Commercial</v>
      </c>
      <c r="Q553" s="13" t="s">
        <v>297</v>
      </c>
      <c r="R553" s="23" t="s">
        <v>297</v>
      </c>
      <c r="S553" s="13" t="s">
        <v>221</v>
      </c>
      <c r="T553" s="23">
        <v>4</v>
      </c>
      <c r="U553" s="30" t="str">
        <f>VLOOKUP(T553,[1]Key!$E$2:$F$9,2,FALSE)</f>
        <v>Commercial</v>
      </c>
      <c r="V553" s="30" t="str">
        <f t="shared" si="32"/>
        <v>Commercial-Commercial</v>
      </c>
      <c r="W553" s="41">
        <v>50000</v>
      </c>
      <c r="X553" s="50">
        <v>30</v>
      </c>
      <c r="Y553" s="50" t="str">
        <f t="shared" si="33"/>
        <v>20-40</v>
      </c>
      <c r="Z553" s="50">
        <v>0.33</v>
      </c>
      <c r="AA553" s="50" t="str">
        <f t="shared" si="34"/>
        <v>0-0.5</v>
      </c>
      <c r="AB553" s="23">
        <v>5</v>
      </c>
      <c r="AC553" s="30" t="str">
        <f>VLOOKUP(AB553,[1]Key!$C$20:$D$29,2,FALSE)</f>
        <v>Professional</v>
      </c>
      <c r="AD553" s="23">
        <v>3</v>
      </c>
      <c r="AE553" s="30" t="str">
        <f>VLOOKUP(AD553,[1]Key!$E$20:$F$24,2,FALSE)</f>
        <v>500,000-750,000</v>
      </c>
      <c r="AF553" s="23">
        <v>1</v>
      </c>
      <c r="AG553" s="50">
        <v>5</v>
      </c>
      <c r="AH553" s="50">
        <v>3</v>
      </c>
      <c r="AI553" s="50">
        <v>2</v>
      </c>
      <c r="AJ553" s="50">
        <v>4</v>
      </c>
      <c r="AK553" s="46" t="s">
        <v>94</v>
      </c>
      <c r="AL553" s="36">
        <v>1000</v>
      </c>
      <c r="AM553" t="str">
        <f t="shared" si="35"/>
        <v>1000-2000</v>
      </c>
    </row>
    <row r="554" spans="1:39" x14ac:dyDescent="0.2">
      <c r="A554" s="44">
        <v>43759</v>
      </c>
      <c r="B554" s="48">
        <v>0.4513888888888889</v>
      </c>
      <c r="C554" s="48"/>
      <c r="D554" s="48" t="s">
        <v>150</v>
      </c>
      <c r="E554" s="13">
        <v>2</v>
      </c>
      <c r="F554" s="38" t="str">
        <f>VLOOKUP(E554,[1]Key!$A$17:$B$21,2,FALSE)</f>
        <v>Road Vehicle</v>
      </c>
      <c r="G554" s="49">
        <v>2</v>
      </c>
      <c r="H554" s="39" t="str">
        <f>VLOOKUP(G554,[2]Key!$A$2:$B$14,2,FALSE)</f>
        <v>Station Wagon</v>
      </c>
      <c r="I554" s="13" t="s">
        <v>109</v>
      </c>
      <c r="J554" s="13">
        <v>2</v>
      </c>
      <c r="K554" s="40" t="str">
        <f>VLOOKUP(J554,[1]Key!$A$24:$B$29,2,FALSE)</f>
        <v>30-39</v>
      </c>
      <c r="L554" s="11" t="s">
        <v>396</v>
      </c>
      <c r="M554" s="23" t="s">
        <v>220</v>
      </c>
      <c r="N554" s="13" t="s">
        <v>221</v>
      </c>
      <c r="O554" s="46">
        <v>1</v>
      </c>
      <c r="P554" s="30" t="str">
        <f>VLOOKUP(O554,[1]Key!$E$2:$F$9,2,FALSE)</f>
        <v>Home</v>
      </c>
      <c r="Q554" s="13" t="s">
        <v>297</v>
      </c>
      <c r="R554" s="23" t="s">
        <v>297</v>
      </c>
      <c r="S554" s="13" t="s">
        <v>221</v>
      </c>
      <c r="T554" s="23">
        <v>7</v>
      </c>
      <c r="U554" s="30" t="str">
        <f>VLOOKUP(T554,[1]Key!$E$2:$F$9,2,FALSE)</f>
        <v>Hospital</v>
      </c>
      <c r="V554" s="30" t="str">
        <f t="shared" si="32"/>
        <v>Home-Hospital</v>
      </c>
      <c r="W554" s="41">
        <v>50000</v>
      </c>
      <c r="X554" s="50">
        <v>50</v>
      </c>
      <c r="Y554" s="50" t="str">
        <f t="shared" si="33"/>
        <v>40-70</v>
      </c>
      <c r="Z554" s="50">
        <v>0.66659999999999997</v>
      </c>
      <c r="AA554" s="50" t="str">
        <f t="shared" si="34"/>
        <v>0.5-1.0</v>
      </c>
      <c r="AB554" s="23">
        <v>5</v>
      </c>
      <c r="AC554" s="30" t="str">
        <f>VLOOKUP(AB554,[1]Key!$C$20:$D$29,2,FALSE)</f>
        <v>Professional</v>
      </c>
      <c r="AD554" s="23">
        <v>3</v>
      </c>
      <c r="AE554" s="30" t="str">
        <f>VLOOKUP(AD554,[1]Key!$E$20:$F$24,2,FALSE)</f>
        <v>500,000-750,000</v>
      </c>
      <c r="AF554" s="23">
        <v>1</v>
      </c>
      <c r="AG554" s="50">
        <v>2</v>
      </c>
      <c r="AH554" s="50">
        <v>5</v>
      </c>
      <c r="AI554" s="50">
        <v>3</v>
      </c>
      <c r="AJ554" s="50">
        <v>4</v>
      </c>
      <c r="AK554" s="46" t="s">
        <v>94</v>
      </c>
      <c r="AL554" s="36">
        <v>5000</v>
      </c>
      <c r="AM554" t="str">
        <f t="shared" si="35"/>
        <v>5000-10000</v>
      </c>
    </row>
    <row r="555" spans="1:39" x14ac:dyDescent="0.2">
      <c r="A555" s="44">
        <v>43759</v>
      </c>
      <c r="B555" s="48">
        <v>0.43333333333333335</v>
      </c>
      <c r="C555" s="48"/>
      <c r="D555" s="48" t="s">
        <v>150</v>
      </c>
      <c r="E555" s="13">
        <v>2</v>
      </c>
      <c r="F555" s="38" t="str">
        <f>VLOOKUP(E555,[1]Key!$A$17:$B$21,2,FALSE)</f>
        <v>Road Vehicle</v>
      </c>
      <c r="G555" s="49">
        <v>2</v>
      </c>
      <c r="H555" s="39" t="str">
        <f>VLOOKUP(G555,[2]Key!$A$2:$B$14,2,FALSE)</f>
        <v>Station Wagon</v>
      </c>
      <c r="I555" s="13" t="s">
        <v>109</v>
      </c>
      <c r="J555" s="13">
        <v>2</v>
      </c>
      <c r="K555" s="40" t="str">
        <f>VLOOKUP(J555,[1]Key!$A$24:$B$29,2,FALSE)</f>
        <v>30-39</v>
      </c>
      <c r="L555" s="11" t="s">
        <v>266</v>
      </c>
      <c r="M555" s="23" t="s">
        <v>247</v>
      </c>
      <c r="N555" s="13" t="s">
        <v>221</v>
      </c>
      <c r="O555" s="46">
        <v>4</v>
      </c>
      <c r="P555" s="30" t="str">
        <f>VLOOKUP(O555,[1]Key!$E$2:$F$9,2,FALSE)</f>
        <v>Commercial</v>
      </c>
      <c r="Q555" s="13" t="s">
        <v>364</v>
      </c>
      <c r="R555" s="23" t="s">
        <v>263</v>
      </c>
      <c r="S555" s="13" t="s">
        <v>221</v>
      </c>
      <c r="T555" s="23">
        <v>2</v>
      </c>
      <c r="U555" s="30" t="str">
        <f>VLOOKUP(T555,[1]Key!$E$2:$F$9,2,FALSE)</f>
        <v>Work</v>
      </c>
      <c r="V555" s="30" t="str">
        <f t="shared" si="32"/>
        <v>Commercial-Work</v>
      </c>
      <c r="W555" s="41">
        <v>8000</v>
      </c>
      <c r="X555" s="50"/>
      <c r="Y555" s="50" t="str">
        <f t="shared" si="33"/>
        <v>0-10</v>
      </c>
      <c r="Z555" s="50">
        <v>1.5</v>
      </c>
      <c r="AA555" s="50" t="str">
        <f t="shared" si="34"/>
        <v>1.0-2.0</v>
      </c>
      <c r="AB555" s="23">
        <v>6</v>
      </c>
      <c r="AC555" s="30" t="str">
        <f>VLOOKUP(AB555,[1]Key!$C$20:$D$29,2,FALSE)</f>
        <v>Businessman</v>
      </c>
      <c r="AD555" s="23">
        <v>2</v>
      </c>
      <c r="AE555" s="30" t="str">
        <f>VLOOKUP(AD555,[1]Key!$E$20:$F$24,2,FALSE)</f>
        <v>300,000-500,000</v>
      </c>
      <c r="AF555" s="23">
        <v>2</v>
      </c>
      <c r="AG555" s="50">
        <v>3</v>
      </c>
      <c r="AH555" s="50">
        <v>4</v>
      </c>
      <c r="AI555" s="50">
        <v>1</v>
      </c>
      <c r="AJ555" s="50">
        <v>5</v>
      </c>
      <c r="AK555" s="46" t="s">
        <v>94</v>
      </c>
      <c r="AL555" s="36">
        <v>2000</v>
      </c>
      <c r="AM555" t="str">
        <f t="shared" si="35"/>
        <v>2000-3000</v>
      </c>
    </row>
    <row r="556" spans="1:39" x14ac:dyDescent="0.2">
      <c r="A556" s="44">
        <v>43759</v>
      </c>
      <c r="B556" s="48">
        <v>0.42708333333333331</v>
      </c>
      <c r="C556" s="48"/>
      <c r="D556" s="48" t="s">
        <v>248</v>
      </c>
      <c r="E556" s="13">
        <v>2</v>
      </c>
      <c r="F556" s="38" t="str">
        <f>VLOOKUP(E556,[1]Key!$A$17:$B$21,2,FALSE)</f>
        <v>Road Vehicle</v>
      </c>
      <c r="G556" s="49">
        <v>2</v>
      </c>
      <c r="H556" s="39" t="str">
        <f>VLOOKUP(G556,[2]Key!$A$2:$B$14,2,FALSE)</f>
        <v>Station Wagon</v>
      </c>
      <c r="I556" s="13" t="s">
        <v>109</v>
      </c>
      <c r="J556" s="13">
        <v>2</v>
      </c>
      <c r="K556" s="40" t="str">
        <f>VLOOKUP(J556,[1]Key!$A$24:$B$29,2,FALSE)</f>
        <v>30-39</v>
      </c>
      <c r="L556" s="11" t="s">
        <v>328</v>
      </c>
      <c r="M556" s="23" t="s">
        <v>247</v>
      </c>
      <c r="N556" s="13" t="s">
        <v>221</v>
      </c>
      <c r="O556" s="46">
        <v>1</v>
      </c>
      <c r="P556" s="30" t="str">
        <f>VLOOKUP(O556,[1]Key!$E$2:$F$9,2,FALSE)</f>
        <v>Home</v>
      </c>
      <c r="Q556" s="13" t="s">
        <v>222</v>
      </c>
      <c r="R556" s="23" t="s">
        <v>223</v>
      </c>
      <c r="S556" s="13" t="s">
        <v>221</v>
      </c>
      <c r="T556" s="23">
        <v>5</v>
      </c>
      <c r="U556" s="30" t="str">
        <f>VLOOKUP(T556,[1]Key!$E$2:$F$9,2,FALSE)</f>
        <v>Tourism</v>
      </c>
      <c r="V556" s="30" t="str">
        <f t="shared" si="32"/>
        <v>Home-Tourism</v>
      </c>
      <c r="W556" s="41">
        <v>8000</v>
      </c>
      <c r="X556" s="50">
        <v>85</v>
      </c>
      <c r="Y556" s="50" t="str">
        <f t="shared" si="33"/>
        <v>70-100</v>
      </c>
      <c r="Z556" s="50">
        <v>1.5</v>
      </c>
      <c r="AA556" s="50" t="str">
        <f t="shared" si="34"/>
        <v>1.0-2.0</v>
      </c>
      <c r="AB556" s="23">
        <v>10</v>
      </c>
      <c r="AC556" s="30" t="str">
        <f>VLOOKUP(AB556,[1]Key!$C$20:$D$29,2,FALSE)</f>
        <v>Other</v>
      </c>
      <c r="AD556" s="23">
        <v>1</v>
      </c>
      <c r="AE556" s="30" t="str">
        <f>VLOOKUP(AD556,[1]Key!$E$20:$F$24,2,FALSE)</f>
        <v>&lt;300,000</v>
      </c>
      <c r="AF556" s="23">
        <v>5</v>
      </c>
      <c r="AG556" s="50">
        <v>2</v>
      </c>
      <c r="AH556" s="50">
        <v>4</v>
      </c>
      <c r="AI556" s="50">
        <v>1</v>
      </c>
      <c r="AJ556" s="50">
        <v>3</v>
      </c>
      <c r="AK556" s="46" t="s">
        <v>94</v>
      </c>
      <c r="AL556" s="36">
        <v>1000</v>
      </c>
      <c r="AM556" t="str">
        <f t="shared" si="35"/>
        <v>1000-2000</v>
      </c>
    </row>
    <row r="557" spans="1:39" x14ac:dyDescent="0.2">
      <c r="A557" s="44">
        <v>43759</v>
      </c>
      <c r="B557" s="48">
        <v>0.4770833333333333</v>
      </c>
      <c r="C557" s="48"/>
      <c r="D557" s="48" t="s">
        <v>150</v>
      </c>
      <c r="E557" s="13">
        <v>2</v>
      </c>
      <c r="F557" s="38" t="str">
        <f>VLOOKUP(E557,[1]Key!$A$17:$B$21,2,FALSE)</f>
        <v>Road Vehicle</v>
      </c>
      <c r="G557" s="49">
        <v>2</v>
      </c>
      <c r="H557" s="39" t="str">
        <f>VLOOKUP(G557,[2]Key!$A$2:$B$14,2,FALSE)</f>
        <v>Station Wagon</v>
      </c>
      <c r="I557" s="13" t="s">
        <v>109</v>
      </c>
      <c r="J557" s="13">
        <v>2</v>
      </c>
      <c r="K557" s="40" t="str">
        <f>VLOOKUP(J557,[1]Key!$A$24:$B$29,2,FALSE)</f>
        <v>30-39</v>
      </c>
      <c r="L557" s="11" t="s">
        <v>224</v>
      </c>
      <c r="M557" s="23" t="s">
        <v>220</v>
      </c>
      <c r="N557" s="13" t="s">
        <v>221</v>
      </c>
      <c r="O557" s="46">
        <v>1</v>
      </c>
      <c r="P557" s="30" t="str">
        <f>VLOOKUP(O557,[1]Key!$E$2:$F$9,2,FALSE)</f>
        <v>Home</v>
      </c>
      <c r="Q557" s="13" t="s">
        <v>222</v>
      </c>
      <c r="R557" s="23" t="s">
        <v>223</v>
      </c>
      <c r="S557" s="13" t="s">
        <v>221</v>
      </c>
      <c r="T557" s="23">
        <v>6</v>
      </c>
      <c r="U557" s="30" t="str">
        <f>VLOOKUP(T557,[1]Key!$E$2:$F$9,2,FALSE)</f>
        <v>Leisure/Social</v>
      </c>
      <c r="V557" s="30" t="str">
        <f t="shared" si="32"/>
        <v>Home-Leisure/Social</v>
      </c>
      <c r="W557" s="41">
        <v>20000</v>
      </c>
      <c r="X557" s="50">
        <v>50</v>
      </c>
      <c r="Y557" s="50" t="str">
        <f t="shared" si="33"/>
        <v>40-70</v>
      </c>
      <c r="Z557" s="50">
        <v>0.25</v>
      </c>
      <c r="AA557" s="50" t="str">
        <f t="shared" si="34"/>
        <v>0-0.5</v>
      </c>
      <c r="AB557" s="23">
        <v>5</v>
      </c>
      <c r="AC557" s="30" t="str">
        <f>VLOOKUP(AB557,[1]Key!$C$20:$D$29,2,FALSE)</f>
        <v>Professional</v>
      </c>
      <c r="AD557" s="23">
        <v>2</v>
      </c>
      <c r="AE557" s="30" t="str">
        <f>VLOOKUP(AD557,[1]Key!$E$20:$F$24,2,FALSE)</f>
        <v>300,000-500,000</v>
      </c>
      <c r="AF557" s="23">
        <v>3</v>
      </c>
      <c r="AG557" s="50">
        <v>2</v>
      </c>
      <c r="AH557" s="50">
        <v>4</v>
      </c>
      <c r="AI557" s="50">
        <v>1</v>
      </c>
      <c r="AJ557" s="50">
        <v>5</v>
      </c>
      <c r="AK557" s="46" t="s">
        <v>94</v>
      </c>
      <c r="AL557" s="36"/>
      <c r="AM557" t="str">
        <f t="shared" si="35"/>
        <v>0-1000</v>
      </c>
    </row>
    <row r="558" spans="1:39" x14ac:dyDescent="0.2">
      <c r="A558" s="44">
        <v>43760</v>
      </c>
      <c r="B558" s="48">
        <v>0.43263888888888885</v>
      </c>
      <c r="C558" s="48"/>
      <c r="D558" s="48" t="s">
        <v>150</v>
      </c>
      <c r="E558" s="13">
        <v>2</v>
      </c>
      <c r="F558" s="38" t="str">
        <f>VLOOKUP(E558,[2]Key!$A$17:$B$21,2,FALSE)</f>
        <v>Road Vehicle</v>
      </c>
      <c r="G558" s="49">
        <v>2</v>
      </c>
      <c r="H558" s="39" t="str">
        <f>VLOOKUP(G558,[2]Key!$A$2:$B$14,2,FALSE)</f>
        <v>Station Wagon</v>
      </c>
      <c r="I558" s="13" t="s">
        <v>109</v>
      </c>
      <c r="J558" s="13">
        <v>2</v>
      </c>
      <c r="K558" s="40" t="str">
        <f>VLOOKUP(J558,[2]Key!$A$24:$B$29,2,FALSE)</f>
        <v>30-39</v>
      </c>
      <c r="L558" s="11" t="s">
        <v>222</v>
      </c>
      <c r="M558" s="23" t="s">
        <v>223</v>
      </c>
      <c r="N558" s="13" t="s">
        <v>221</v>
      </c>
      <c r="O558" s="46">
        <v>1</v>
      </c>
      <c r="P558" s="30" t="str">
        <f>VLOOKUP(O558,[2]Key!$E$2:$F$9,2,FALSE)</f>
        <v>Home</v>
      </c>
      <c r="Q558" s="13" t="s">
        <v>222</v>
      </c>
      <c r="R558" s="23" t="s">
        <v>223</v>
      </c>
      <c r="S558" s="13" t="s">
        <v>221</v>
      </c>
      <c r="T558" s="23">
        <v>2</v>
      </c>
      <c r="U558" s="30" t="str">
        <f>VLOOKUP(T558,[2]Key!$E$2:$F$9,2,FALSE)</f>
        <v>Work</v>
      </c>
      <c r="V558" s="30" t="str">
        <f t="shared" si="32"/>
        <v>Home-Work</v>
      </c>
      <c r="W558" s="23">
        <v>1000</v>
      </c>
      <c r="X558" s="50">
        <v>28</v>
      </c>
      <c r="Y558" s="50" t="str">
        <f t="shared" si="33"/>
        <v>20-40</v>
      </c>
      <c r="Z558" s="50">
        <v>0.1666</v>
      </c>
      <c r="AA558" s="50" t="str">
        <f t="shared" si="34"/>
        <v>0-0.5</v>
      </c>
      <c r="AB558" s="23">
        <v>7</v>
      </c>
      <c r="AC558" s="30" t="str">
        <f>VLOOKUP(AB558,[2]Key!$C$20:$D$29,2,FALSE)</f>
        <v>Farmer</v>
      </c>
      <c r="AD558" s="23">
        <v>3</v>
      </c>
      <c r="AE558" s="30" t="str">
        <f>VLOOKUP(AD558,[2]Key!$E$20:$F$24,2,FALSE)</f>
        <v>500,000-750,000</v>
      </c>
      <c r="AF558" s="23">
        <v>4</v>
      </c>
      <c r="AG558" s="50">
        <v>5</v>
      </c>
      <c r="AH558" s="50">
        <v>1</v>
      </c>
      <c r="AI558" s="50">
        <v>2</v>
      </c>
      <c r="AJ558" s="50">
        <v>3</v>
      </c>
      <c r="AK558" s="46" t="s">
        <v>94</v>
      </c>
      <c r="AL558" s="36"/>
      <c r="AM558" t="str">
        <f t="shared" si="35"/>
        <v>0-1000</v>
      </c>
    </row>
    <row r="559" spans="1:39" x14ac:dyDescent="0.2">
      <c r="A559" s="44">
        <v>43760</v>
      </c>
      <c r="B559" s="48">
        <v>0.19097222222222221</v>
      </c>
      <c r="C559" s="48"/>
      <c r="D559" s="48"/>
      <c r="E559" s="13">
        <v>1</v>
      </c>
      <c r="F559" s="38" t="str">
        <f>VLOOKUP(E559,[2]Key!$A$17:$B$21,2,FALSE)</f>
        <v>Walking/Cycling</v>
      </c>
      <c r="G559" s="49">
        <v>13</v>
      </c>
      <c r="H559" s="39" t="str">
        <f>VLOOKUP(G559,[2]Key!$A$2:$B$14,2,FALSE)</f>
        <v>Bicycles</v>
      </c>
      <c r="I559" s="13" t="s">
        <v>109</v>
      </c>
      <c r="J559" s="13">
        <v>3</v>
      </c>
      <c r="K559" s="40" t="str">
        <f>VLOOKUP(J559,[2]Key!$A$24:$B$29,2,FALSE)</f>
        <v>40-49</v>
      </c>
      <c r="L559" s="11" t="s">
        <v>321</v>
      </c>
      <c r="M559" s="23" t="s">
        <v>223</v>
      </c>
      <c r="N559" s="13" t="s">
        <v>221</v>
      </c>
      <c r="O559" s="46">
        <v>2</v>
      </c>
      <c r="P559" s="30" t="str">
        <f>VLOOKUP(O559,[2]Key!$E$2:$F$9,2,FALSE)</f>
        <v>Work</v>
      </c>
      <c r="Q559" s="13" t="s">
        <v>378</v>
      </c>
      <c r="R559" s="23" t="s">
        <v>247</v>
      </c>
      <c r="S559" s="13" t="s">
        <v>221</v>
      </c>
      <c r="T559" s="23">
        <v>1</v>
      </c>
      <c r="U559" s="30" t="str">
        <f>VLOOKUP(T559,[2]Key!$E$2:$F$9,2,FALSE)</f>
        <v>Home</v>
      </c>
      <c r="V559" s="30" t="str">
        <f t="shared" si="32"/>
        <v>Work-Home</v>
      </c>
      <c r="W559" s="51">
        <v>3000</v>
      </c>
      <c r="X559" s="50">
        <v>20</v>
      </c>
      <c r="Y559" s="50" t="str">
        <f t="shared" si="33"/>
        <v>20-40</v>
      </c>
      <c r="Z559" s="50">
        <v>0.75</v>
      </c>
      <c r="AA559" s="50" t="str">
        <f t="shared" si="34"/>
        <v>0.5-1.0</v>
      </c>
      <c r="AB559" s="23">
        <v>3</v>
      </c>
      <c r="AC559" s="30" t="str">
        <f>VLOOKUP(AB559,[2]Key!$C$20:$D$29,2,FALSE)</f>
        <v>Artisan/Domestic</v>
      </c>
      <c r="AD559" s="23">
        <v>1</v>
      </c>
      <c r="AE559" s="30" t="str">
        <f>VLOOKUP(AD559,[2]Key!$E$20:$F$24,2,FALSE)</f>
        <v>&lt;300,000</v>
      </c>
      <c r="AF559" s="23">
        <v>1</v>
      </c>
      <c r="AG559" s="50">
        <v>2</v>
      </c>
      <c r="AH559" s="50">
        <v>5</v>
      </c>
      <c r="AI559" s="50">
        <v>3</v>
      </c>
      <c r="AJ559" s="50">
        <v>4</v>
      </c>
      <c r="AK559" s="46" t="s">
        <v>94</v>
      </c>
      <c r="AL559" s="36"/>
      <c r="AM559" t="str">
        <f t="shared" si="35"/>
        <v>0-1000</v>
      </c>
    </row>
    <row r="560" spans="1:39" x14ac:dyDescent="0.2">
      <c r="A560" s="44">
        <v>43760</v>
      </c>
      <c r="B560" s="48">
        <v>0.18611111111111112</v>
      </c>
      <c r="C560" s="48"/>
      <c r="D560" s="48"/>
      <c r="E560" s="13">
        <v>1</v>
      </c>
      <c r="F560" s="38" t="str">
        <f>VLOOKUP(E560,[2]Key!$A$17:$B$21,2,FALSE)</f>
        <v>Walking/Cycling</v>
      </c>
      <c r="G560" s="49">
        <v>13</v>
      </c>
      <c r="H560" s="39" t="str">
        <f>VLOOKUP(G560,[2]Key!$A$2:$B$14,2,FALSE)</f>
        <v>Bicycles</v>
      </c>
      <c r="I560" s="13" t="s">
        <v>109</v>
      </c>
      <c r="J560" s="13">
        <v>3</v>
      </c>
      <c r="K560" s="40" t="str">
        <f>VLOOKUP(J560,[2]Key!$A$24:$B$29,2,FALSE)</f>
        <v>40-49</v>
      </c>
      <c r="L560" s="11" t="s">
        <v>238</v>
      </c>
      <c r="M560" s="23" t="s">
        <v>220</v>
      </c>
      <c r="N560" s="13" t="s">
        <v>221</v>
      </c>
      <c r="O560" s="46">
        <v>1</v>
      </c>
      <c r="P560" s="30" t="str">
        <f>VLOOKUP(O560,[2]Key!$E$2:$F$9,2,FALSE)</f>
        <v>Home</v>
      </c>
      <c r="Q560" s="13" t="s">
        <v>223</v>
      </c>
      <c r="R560" s="23" t="s">
        <v>223</v>
      </c>
      <c r="S560" s="13" t="s">
        <v>221</v>
      </c>
      <c r="T560" s="23">
        <v>6</v>
      </c>
      <c r="U560" s="30" t="str">
        <f>VLOOKUP(T560,[2]Key!$E$2:$F$9,2,FALSE)</f>
        <v>Leisure/Social</v>
      </c>
      <c r="V560" s="30" t="str">
        <f t="shared" si="32"/>
        <v>Home-Leisure/Social</v>
      </c>
      <c r="W560" s="51">
        <v>1000</v>
      </c>
      <c r="X560" s="50"/>
      <c r="Y560" s="50" t="str">
        <f t="shared" si="33"/>
        <v>0-10</v>
      </c>
      <c r="Z560" s="50">
        <v>0.1</v>
      </c>
      <c r="AA560" s="50" t="str">
        <f t="shared" si="34"/>
        <v>0-0.5</v>
      </c>
      <c r="AB560" s="23">
        <v>7</v>
      </c>
      <c r="AC560" s="30" t="str">
        <f>VLOOKUP(AB560,[2]Key!$C$20:$D$29,2,FALSE)</f>
        <v>Farmer</v>
      </c>
      <c r="AD560" s="23">
        <v>2</v>
      </c>
      <c r="AE560" s="30" t="str">
        <f>VLOOKUP(AD560,[2]Key!$E$20:$F$24,2,FALSE)</f>
        <v>300,000-500,000</v>
      </c>
      <c r="AF560" s="23">
        <v>3</v>
      </c>
      <c r="AG560" s="50">
        <v>1</v>
      </c>
      <c r="AH560" s="50">
        <v>4</v>
      </c>
      <c r="AI560" s="50">
        <v>2</v>
      </c>
      <c r="AJ560" s="50">
        <v>5</v>
      </c>
      <c r="AK560" s="46" t="s">
        <v>94</v>
      </c>
      <c r="AL560" s="36">
        <v>1000</v>
      </c>
      <c r="AM560" t="str">
        <f t="shared" si="35"/>
        <v>1000-2000</v>
      </c>
    </row>
    <row r="561" spans="1:39" x14ac:dyDescent="0.2">
      <c r="A561" s="44">
        <v>43760</v>
      </c>
      <c r="B561" s="48">
        <v>0.12361111111111112</v>
      </c>
      <c r="C561" s="48"/>
      <c r="D561" s="48" t="s">
        <v>97</v>
      </c>
      <c r="E561" s="13">
        <v>1</v>
      </c>
      <c r="F561" s="38" t="str">
        <f>VLOOKUP(E561,[2]Key!$A$17:$B$21,2,FALSE)</f>
        <v>Walking/Cycling</v>
      </c>
      <c r="G561" s="49">
        <v>13</v>
      </c>
      <c r="H561" s="39" t="str">
        <f>VLOOKUP(G561,[2]Key!$A$2:$B$14,2,FALSE)</f>
        <v>Bicycles</v>
      </c>
      <c r="I561" s="13" t="s">
        <v>109</v>
      </c>
      <c r="J561" s="13">
        <v>3</v>
      </c>
      <c r="K561" s="40" t="str">
        <f>VLOOKUP(J561,[2]Key!$A$24:$B$29,2,FALSE)</f>
        <v>40-49</v>
      </c>
      <c r="L561" s="11" t="s">
        <v>331</v>
      </c>
      <c r="M561" s="23" t="s">
        <v>220</v>
      </c>
      <c r="N561" s="13" t="s">
        <v>221</v>
      </c>
      <c r="O561" s="46">
        <v>2</v>
      </c>
      <c r="P561" s="30" t="str">
        <f>VLOOKUP(O561,[2]Key!$E$2:$F$9,2,FALSE)</f>
        <v>Work</v>
      </c>
      <c r="Q561" s="13" t="s">
        <v>231</v>
      </c>
      <c r="R561" s="23" t="s">
        <v>223</v>
      </c>
      <c r="S561" s="13" t="s">
        <v>221</v>
      </c>
      <c r="T561" s="23">
        <v>1</v>
      </c>
      <c r="U561" s="30" t="str">
        <f>VLOOKUP(T561,[2]Key!$E$2:$F$9,2,FALSE)</f>
        <v>Home</v>
      </c>
      <c r="V561" s="30" t="str">
        <f t="shared" si="32"/>
        <v>Work-Home</v>
      </c>
      <c r="W561" s="51">
        <v>10000</v>
      </c>
      <c r="X561" s="50">
        <v>15</v>
      </c>
      <c r="Y561" s="50" t="str">
        <f t="shared" si="33"/>
        <v>10-20</v>
      </c>
      <c r="Z561" s="50">
        <v>0.33329999999999999</v>
      </c>
      <c r="AA561" s="50" t="str">
        <f t="shared" si="34"/>
        <v>0-0.5</v>
      </c>
      <c r="AB561" s="23">
        <v>2</v>
      </c>
      <c r="AC561" s="30" t="str">
        <f>VLOOKUP(AB561,[2]Key!$C$20:$D$29,2,FALSE)</f>
        <v>Manual Labour</v>
      </c>
      <c r="AD561" s="23">
        <v>1</v>
      </c>
      <c r="AE561" s="30" t="str">
        <f>VLOOKUP(AD561,[2]Key!$E$20:$F$24,2,FALSE)</f>
        <v>&lt;300,000</v>
      </c>
      <c r="AF561" s="23">
        <v>1</v>
      </c>
      <c r="AG561" s="50">
        <v>4</v>
      </c>
      <c r="AH561" s="50">
        <v>3</v>
      </c>
      <c r="AI561" s="50">
        <v>2</v>
      </c>
      <c r="AJ561" s="50">
        <v>5</v>
      </c>
      <c r="AK561" s="46" t="s">
        <v>94</v>
      </c>
      <c r="AL561" s="36">
        <v>1000</v>
      </c>
      <c r="AM561" t="str">
        <f t="shared" si="35"/>
        <v>1000-2000</v>
      </c>
    </row>
    <row r="562" spans="1:39" x14ac:dyDescent="0.2">
      <c r="A562" s="44">
        <v>43761</v>
      </c>
      <c r="B562" s="48">
        <v>0.27013888888888887</v>
      </c>
      <c r="C562" s="48"/>
      <c r="D562" s="48" t="s">
        <v>248</v>
      </c>
      <c r="E562" s="13">
        <v>2</v>
      </c>
      <c r="F562" s="38" t="str">
        <f>VLOOKUP(E562,[2]Key!$A$17:$B$21,2,FALSE)</f>
        <v>Road Vehicle</v>
      </c>
      <c r="G562" s="49">
        <v>1</v>
      </c>
      <c r="H562" s="39" t="str">
        <f>VLOOKUP(G562,[2]Key!$A$2:$B$14,2,FALSE)</f>
        <v>Car</v>
      </c>
      <c r="I562" s="13" t="s">
        <v>156</v>
      </c>
      <c r="J562" s="13">
        <v>3</v>
      </c>
      <c r="K562" s="40" t="str">
        <f>VLOOKUP(J562,[2]Key!$A$24:$B$29,2,FALSE)</f>
        <v>40-49</v>
      </c>
      <c r="L562" s="11" t="s">
        <v>397</v>
      </c>
      <c r="M562" s="23" t="s">
        <v>274</v>
      </c>
      <c r="N562" s="13" t="s">
        <v>221</v>
      </c>
      <c r="O562" s="46">
        <v>1</v>
      </c>
      <c r="P562" s="30" t="str">
        <f>VLOOKUP(O562,[2]Key!$E$2:$F$9,2,FALSE)</f>
        <v>Home</v>
      </c>
      <c r="Q562" s="13" t="s">
        <v>398</v>
      </c>
      <c r="R562" s="23" t="s">
        <v>223</v>
      </c>
      <c r="S562" s="13" t="s">
        <v>221</v>
      </c>
      <c r="T562" s="23">
        <v>6</v>
      </c>
      <c r="U562" s="30" t="str">
        <f>VLOOKUP(T562,[2]Key!$E$2:$F$9,2,FALSE)</f>
        <v>Leisure/Social</v>
      </c>
      <c r="V562" s="30" t="str">
        <f t="shared" si="32"/>
        <v>Home-Leisure/Social</v>
      </c>
      <c r="W562" s="51">
        <v>40000</v>
      </c>
      <c r="X562" s="50"/>
      <c r="Y562" s="50" t="str">
        <f t="shared" si="33"/>
        <v>0-10</v>
      </c>
      <c r="Z562" s="50">
        <v>10</v>
      </c>
      <c r="AA562" s="50" t="str">
        <f t="shared" si="34"/>
        <v>Over 3.5</v>
      </c>
      <c r="AB562" s="23">
        <v>5</v>
      </c>
      <c r="AC562" s="30" t="str">
        <f>VLOOKUP(AB562,[2]Key!$C$20:$D$29,2,FALSE)</f>
        <v>Professional</v>
      </c>
      <c r="AD562" s="23">
        <v>2</v>
      </c>
      <c r="AE562" s="30" t="str">
        <f>VLOOKUP(AD562,[2]Key!$E$20:$F$24,2,FALSE)</f>
        <v>300,000-500,000</v>
      </c>
      <c r="AF562" s="23">
        <v>3</v>
      </c>
      <c r="AG562" s="50">
        <v>2</v>
      </c>
      <c r="AH562" s="50">
        <v>4</v>
      </c>
      <c r="AI562" s="50">
        <v>1</v>
      </c>
      <c r="AJ562" s="50">
        <v>5</v>
      </c>
      <c r="AK562" s="46" t="s">
        <v>94</v>
      </c>
      <c r="AL562" s="36"/>
      <c r="AM562" t="str">
        <f t="shared" si="35"/>
        <v>0-1000</v>
      </c>
    </row>
    <row r="563" spans="1:39" x14ac:dyDescent="0.2">
      <c r="A563" s="44">
        <v>43759</v>
      </c>
      <c r="B563" s="48">
        <v>0.46458333333333335</v>
      </c>
      <c r="C563" s="48"/>
      <c r="D563" s="48" t="s">
        <v>97</v>
      </c>
      <c r="E563" s="13">
        <v>2</v>
      </c>
      <c r="F563" s="38" t="str">
        <f>VLOOKUP(E563,[2]Key!$A$17:$B$21,2,FALSE)</f>
        <v>Road Vehicle</v>
      </c>
      <c r="G563" s="49">
        <v>1</v>
      </c>
      <c r="H563" s="39" t="str">
        <f>VLOOKUP(G563,[2]Key!$A$2:$B$14,2,FALSE)</f>
        <v>Car</v>
      </c>
      <c r="I563" s="13" t="s">
        <v>109</v>
      </c>
      <c r="J563" s="13">
        <v>3</v>
      </c>
      <c r="K563" s="40" t="str">
        <f>VLOOKUP(J563,[2]Key!$A$24:$B$29,2,FALSE)</f>
        <v>40-49</v>
      </c>
      <c r="L563" s="11" t="s">
        <v>253</v>
      </c>
      <c r="M563" s="23" t="s">
        <v>223</v>
      </c>
      <c r="N563" s="13" t="s">
        <v>221</v>
      </c>
      <c r="O563" s="46">
        <v>2</v>
      </c>
      <c r="P563" s="30" t="str">
        <f>VLOOKUP(O563,[2]Key!$E$2:$F$9,2,FALSE)</f>
        <v>Work</v>
      </c>
      <c r="Q563" s="13" t="s">
        <v>231</v>
      </c>
      <c r="R563" s="23" t="s">
        <v>338</v>
      </c>
      <c r="S563" s="13" t="s">
        <v>221</v>
      </c>
      <c r="T563" s="23">
        <v>2</v>
      </c>
      <c r="U563" s="30" t="str">
        <f>VLOOKUP(T563,[2]Key!$E$2:$F$9,2,FALSE)</f>
        <v>Work</v>
      </c>
      <c r="V563" s="30" t="str">
        <f t="shared" si="32"/>
        <v>Work-Work</v>
      </c>
      <c r="W563" s="41">
        <v>800000</v>
      </c>
      <c r="X563" s="50">
        <v>200</v>
      </c>
      <c r="Y563" s="50" t="str">
        <f t="shared" si="33"/>
        <v>Over 200</v>
      </c>
      <c r="Z563" s="50">
        <v>5</v>
      </c>
      <c r="AA563" s="50" t="str">
        <f t="shared" si="34"/>
        <v>Over 3.5</v>
      </c>
      <c r="AB563" s="23">
        <v>10</v>
      </c>
      <c r="AC563" s="30" t="str">
        <f>VLOOKUP(AB563,[2]Key!$C$20:$D$29,2,FALSE)</f>
        <v>Other</v>
      </c>
      <c r="AD563" s="23">
        <v>1</v>
      </c>
      <c r="AE563" s="30" t="str">
        <f>VLOOKUP(AD563,[2]Key!$E$20:$F$24,2,FALSE)</f>
        <v>&lt;300,000</v>
      </c>
      <c r="AF563" s="23">
        <v>3</v>
      </c>
      <c r="AG563" s="50">
        <v>2</v>
      </c>
      <c r="AH563" s="50">
        <v>4</v>
      </c>
      <c r="AI563" s="50">
        <v>1</v>
      </c>
      <c r="AJ563" s="50">
        <v>5</v>
      </c>
      <c r="AK563" s="46" t="s">
        <v>94</v>
      </c>
      <c r="AL563" s="36">
        <v>500</v>
      </c>
      <c r="AM563" t="str">
        <f t="shared" si="35"/>
        <v>0-1000</v>
      </c>
    </row>
    <row r="564" spans="1:39" x14ac:dyDescent="0.2">
      <c r="A564" s="44">
        <v>43761</v>
      </c>
      <c r="B564" s="48">
        <v>0.26041666666666669</v>
      </c>
      <c r="C564" s="48"/>
      <c r="D564" s="48" t="s">
        <v>97</v>
      </c>
      <c r="E564" s="13">
        <v>2</v>
      </c>
      <c r="F564" s="38" t="str">
        <f>VLOOKUP(E564,[2]Key!$A$17:$B$21,2,FALSE)</f>
        <v>Road Vehicle</v>
      </c>
      <c r="G564" s="49">
        <v>1</v>
      </c>
      <c r="H564" s="39" t="str">
        <f>VLOOKUP(G564,[2]Key!$A$2:$B$14,2,FALSE)</f>
        <v>Car</v>
      </c>
      <c r="I564" s="13" t="s">
        <v>109</v>
      </c>
      <c r="J564" s="13">
        <v>3</v>
      </c>
      <c r="K564" s="40" t="str">
        <f>VLOOKUP(J564,[2]Key!$A$24:$B$29,2,FALSE)</f>
        <v>40-49</v>
      </c>
      <c r="L564" s="11" t="s">
        <v>257</v>
      </c>
      <c r="M564" s="23" t="s">
        <v>220</v>
      </c>
      <c r="N564" s="13" t="s">
        <v>221</v>
      </c>
      <c r="O564" s="46">
        <v>2</v>
      </c>
      <c r="P564" s="30" t="str">
        <f>VLOOKUP(O564,[2]Key!$E$2:$F$9,2,FALSE)</f>
        <v>Work</v>
      </c>
      <c r="Q564" s="13" t="s">
        <v>231</v>
      </c>
      <c r="R564" s="23" t="s">
        <v>338</v>
      </c>
      <c r="S564" s="13" t="s">
        <v>221</v>
      </c>
      <c r="T564" s="23">
        <v>2</v>
      </c>
      <c r="U564" s="30" t="str">
        <f>VLOOKUP(T564,[2]Key!$E$2:$F$9,2,FALSE)</f>
        <v>Work</v>
      </c>
      <c r="V564" s="30" t="str">
        <f t="shared" si="32"/>
        <v>Work-Work</v>
      </c>
      <c r="W564" s="23"/>
      <c r="X564" s="50">
        <v>160</v>
      </c>
      <c r="Y564" s="50" t="str">
        <f t="shared" si="33"/>
        <v>100-200</v>
      </c>
      <c r="Z564" s="50">
        <v>4</v>
      </c>
      <c r="AA564" s="50" t="str">
        <f t="shared" si="34"/>
        <v>Over 3.5</v>
      </c>
      <c r="AB564" s="23">
        <v>10</v>
      </c>
      <c r="AC564" s="30" t="str">
        <f>VLOOKUP(AB564,[2]Key!$C$20:$D$29,2,FALSE)</f>
        <v>Other</v>
      </c>
      <c r="AD564" s="23">
        <v>1</v>
      </c>
      <c r="AE564" s="30" t="str">
        <f>VLOOKUP(AD564,[2]Key!$E$20:$F$24,2,FALSE)</f>
        <v>&lt;300,000</v>
      </c>
      <c r="AF564" s="23">
        <v>4</v>
      </c>
      <c r="AG564" s="50">
        <v>2</v>
      </c>
      <c r="AH564" s="50">
        <v>3</v>
      </c>
      <c r="AI564" s="50">
        <v>4</v>
      </c>
      <c r="AJ564" s="50">
        <v>5</v>
      </c>
      <c r="AK564" s="46" t="s">
        <v>94</v>
      </c>
      <c r="AL564" s="36" t="s">
        <v>399</v>
      </c>
      <c r="AM564" t="str">
        <f t="shared" si="35"/>
        <v>Over 10000</v>
      </c>
    </row>
    <row r="565" spans="1:39" x14ac:dyDescent="0.2">
      <c r="A565" s="44">
        <v>43761</v>
      </c>
      <c r="B565" s="48"/>
      <c r="C565" s="48"/>
      <c r="D565" s="48" t="s">
        <v>248</v>
      </c>
      <c r="E565" s="13">
        <v>2</v>
      </c>
      <c r="F565" s="38" t="str">
        <f>VLOOKUP(E565,[2]Key!$A$17:$B$21,2,FALSE)</f>
        <v>Road Vehicle</v>
      </c>
      <c r="G565" s="49">
        <v>1</v>
      </c>
      <c r="H565" s="39" t="str">
        <f>VLOOKUP(G565,[2]Key!$A$2:$B$14,2,FALSE)</f>
        <v>Car</v>
      </c>
      <c r="I565" s="13" t="s">
        <v>109</v>
      </c>
      <c r="J565" s="13">
        <v>3</v>
      </c>
      <c r="K565" s="40" t="str">
        <f>VLOOKUP(J565,[2]Key!$A$24:$B$29,2,FALSE)</f>
        <v>40-49</v>
      </c>
      <c r="L565" s="11" t="s">
        <v>257</v>
      </c>
      <c r="M565" s="23" t="s">
        <v>220</v>
      </c>
      <c r="N565" s="13" t="s">
        <v>221</v>
      </c>
      <c r="O565" s="46">
        <v>2</v>
      </c>
      <c r="P565" s="30" t="str">
        <f>VLOOKUP(O565,[2]Key!$E$2:$F$9,2,FALSE)</f>
        <v>Work</v>
      </c>
      <c r="Q565" s="13" t="s">
        <v>400</v>
      </c>
      <c r="R565" s="23" t="s">
        <v>278</v>
      </c>
      <c r="S565" s="13" t="s">
        <v>221</v>
      </c>
      <c r="T565" s="23">
        <v>1</v>
      </c>
      <c r="U565" s="30" t="str">
        <f>VLOOKUP(T565,[2]Key!$E$2:$F$9,2,FALSE)</f>
        <v>Home</v>
      </c>
      <c r="V565" s="30" t="str">
        <f t="shared" si="32"/>
        <v>Work-Home</v>
      </c>
      <c r="W565" s="51">
        <v>13000</v>
      </c>
      <c r="X565" s="50"/>
      <c r="Y565" s="50" t="str">
        <f t="shared" si="33"/>
        <v>0-10</v>
      </c>
      <c r="Z565" s="50">
        <v>3.5</v>
      </c>
      <c r="AA565" s="50" t="str">
        <f t="shared" si="34"/>
        <v>Over 3.5</v>
      </c>
      <c r="AB565" s="23">
        <v>6</v>
      </c>
      <c r="AC565" s="30" t="str">
        <f>VLOOKUP(AB565,[2]Key!$C$20:$D$29,2,FALSE)</f>
        <v>Businessman</v>
      </c>
      <c r="AD565" s="23">
        <v>3</v>
      </c>
      <c r="AE565" s="30" t="str">
        <f>VLOOKUP(AD565,[2]Key!$E$20:$F$24,2,FALSE)</f>
        <v>500,000-750,000</v>
      </c>
      <c r="AF565" s="23">
        <v>4</v>
      </c>
      <c r="AG565" s="50">
        <v>1</v>
      </c>
      <c r="AH565" s="50">
        <v>3</v>
      </c>
      <c r="AI565" s="50">
        <v>2</v>
      </c>
      <c r="AJ565" s="50">
        <v>5</v>
      </c>
      <c r="AK565" s="46" t="s">
        <v>94</v>
      </c>
      <c r="AL565" s="36">
        <v>1500</v>
      </c>
      <c r="AM565" t="str">
        <f t="shared" si="35"/>
        <v>1000-2000</v>
      </c>
    </row>
    <row r="566" spans="1:39" x14ac:dyDescent="0.2">
      <c r="A566" s="44">
        <v>43761</v>
      </c>
      <c r="B566" s="48">
        <v>0.39999999999999997</v>
      </c>
      <c r="C566" s="48"/>
      <c r="D566" s="48" t="s">
        <v>97</v>
      </c>
      <c r="E566" s="13">
        <v>2</v>
      </c>
      <c r="F566" s="38" t="str">
        <f>VLOOKUP(E566,[2]Key!$A$17:$B$21,2,FALSE)</f>
        <v>Road Vehicle</v>
      </c>
      <c r="G566" s="49">
        <v>1</v>
      </c>
      <c r="H566" s="39" t="str">
        <f>VLOOKUP(G566,[2]Key!$A$2:$B$14,2,FALSE)</f>
        <v>Car</v>
      </c>
      <c r="I566" s="13" t="s">
        <v>109</v>
      </c>
      <c r="J566" s="13">
        <v>3</v>
      </c>
      <c r="K566" s="40" t="str">
        <f>VLOOKUP(J566,[2]Key!$A$24:$B$29,2,FALSE)</f>
        <v>40-49</v>
      </c>
      <c r="L566" s="11" t="s">
        <v>225</v>
      </c>
      <c r="M566" s="23" t="s">
        <v>223</v>
      </c>
      <c r="N566" s="13" t="s">
        <v>221</v>
      </c>
      <c r="O566" s="46">
        <v>2</v>
      </c>
      <c r="P566" s="30" t="str">
        <f>VLOOKUP(O566,[2]Key!$E$2:$F$9,2,FALSE)</f>
        <v>Work</v>
      </c>
      <c r="Q566" s="13" t="s">
        <v>401</v>
      </c>
      <c r="R566" s="23" t="s">
        <v>278</v>
      </c>
      <c r="S566" s="13" t="s">
        <v>221</v>
      </c>
      <c r="T566" s="23">
        <v>1</v>
      </c>
      <c r="U566" s="30" t="str">
        <f>VLOOKUP(T566,[2]Key!$E$2:$F$9,2,FALSE)</f>
        <v>Home</v>
      </c>
      <c r="V566" s="30" t="str">
        <f t="shared" si="32"/>
        <v>Work-Home</v>
      </c>
      <c r="W566" s="51">
        <v>98000</v>
      </c>
      <c r="X566" s="50"/>
      <c r="Y566" s="50" t="str">
        <f t="shared" si="33"/>
        <v>0-10</v>
      </c>
      <c r="Z566" s="50">
        <v>4</v>
      </c>
      <c r="AA566" s="50" t="str">
        <f t="shared" si="34"/>
        <v>Over 3.5</v>
      </c>
      <c r="AB566" s="23">
        <v>5</v>
      </c>
      <c r="AC566" s="30" t="str">
        <f>VLOOKUP(AB566,[2]Key!$C$20:$D$29,2,FALSE)</f>
        <v>Professional</v>
      </c>
      <c r="AD566" s="23">
        <v>4</v>
      </c>
      <c r="AE566" s="30" t="str">
        <f>VLOOKUP(AD566,[2]Key!$E$20:$F$24,2,FALSE)</f>
        <v>750,000-1,000,000</v>
      </c>
      <c r="AF566" s="23">
        <v>2</v>
      </c>
      <c r="AG566" s="50">
        <v>5</v>
      </c>
      <c r="AH566" s="50">
        <v>4</v>
      </c>
      <c r="AI566" s="50">
        <v>1</v>
      </c>
      <c r="AJ566" s="50">
        <v>3</v>
      </c>
      <c r="AK566" s="46" t="s">
        <v>94</v>
      </c>
      <c r="AL566" s="36">
        <v>5000</v>
      </c>
      <c r="AM566" t="str">
        <f t="shared" si="35"/>
        <v>5000-10000</v>
      </c>
    </row>
    <row r="567" spans="1:39" x14ac:dyDescent="0.2">
      <c r="A567" s="44">
        <v>43761</v>
      </c>
      <c r="B567" s="48">
        <v>0.20069444444444443</v>
      </c>
      <c r="C567" s="48"/>
      <c r="D567" s="48" t="s">
        <v>150</v>
      </c>
      <c r="E567" s="13">
        <v>2</v>
      </c>
      <c r="F567" s="38" t="str">
        <f>VLOOKUP(E567,[2]Key!$A$17:$B$21,2,FALSE)</f>
        <v>Road Vehicle</v>
      </c>
      <c r="G567" s="49">
        <v>6</v>
      </c>
      <c r="H567" s="39" t="str">
        <f>VLOOKUP(G567,[2]Key!$A$2:$B$14,2,FALSE)</f>
        <v>Large Bus</v>
      </c>
      <c r="I567" s="13" t="s">
        <v>156</v>
      </c>
      <c r="J567" s="13">
        <v>3</v>
      </c>
      <c r="K567" s="40" t="str">
        <f>VLOOKUP(J567,[2]Key!$A$24:$B$29,2,FALSE)</f>
        <v>40-49</v>
      </c>
      <c r="L567" s="11" t="s">
        <v>259</v>
      </c>
      <c r="M567" s="23" t="s">
        <v>220</v>
      </c>
      <c r="N567" s="13" t="s">
        <v>221</v>
      </c>
      <c r="O567" s="46">
        <v>8</v>
      </c>
      <c r="P567" s="30" t="str">
        <f>VLOOKUP(O567,[2]Key!$E$2:$F$9,2,FALSE)</f>
        <v>Others</v>
      </c>
      <c r="Q567" s="13" t="s">
        <v>255</v>
      </c>
      <c r="R567" s="23" t="s">
        <v>256</v>
      </c>
      <c r="S567" s="13" t="s">
        <v>221</v>
      </c>
      <c r="T567" s="23">
        <v>1</v>
      </c>
      <c r="U567" s="30" t="str">
        <f>VLOOKUP(T567,[2]Key!$E$2:$F$9,2,FALSE)</f>
        <v>Home</v>
      </c>
      <c r="V567" s="30" t="str">
        <f t="shared" si="32"/>
        <v>Others-Home</v>
      </c>
      <c r="W567" s="51">
        <v>11000</v>
      </c>
      <c r="X567" s="50"/>
      <c r="Y567" s="50" t="str">
        <f t="shared" si="33"/>
        <v>0-10</v>
      </c>
      <c r="Z567" s="50">
        <v>4</v>
      </c>
      <c r="AA567" s="50" t="str">
        <f t="shared" si="34"/>
        <v>Over 3.5</v>
      </c>
      <c r="AB567" s="23">
        <v>1</v>
      </c>
      <c r="AC567" s="30" t="str">
        <f>VLOOKUP(AB567,[2]Key!$C$20:$D$29,2,FALSE)</f>
        <v>Unemployed</v>
      </c>
      <c r="AD567" s="23">
        <v>1</v>
      </c>
      <c r="AE567" s="30" t="str">
        <f>VLOOKUP(AD567,[2]Key!$E$20:$F$24,2,FALSE)</f>
        <v>&lt;300,000</v>
      </c>
      <c r="AF567" s="23">
        <v>2</v>
      </c>
      <c r="AG567" s="50">
        <v>3</v>
      </c>
      <c r="AH567" s="50">
        <v>4</v>
      </c>
      <c r="AI567" s="50">
        <v>1</v>
      </c>
      <c r="AJ567" s="50">
        <v>5</v>
      </c>
      <c r="AK567" s="46" t="s">
        <v>94</v>
      </c>
      <c r="AL567" s="36">
        <v>1000</v>
      </c>
      <c r="AM567" t="str">
        <f t="shared" si="35"/>
        <v>1000-2000</v>
      </c>
    </row>
    <row r="568" spans="1:39" x14ac:dyDescent="0.2">
      <c r="A568" s="44">
        <v>43759</v>
      </c>
      <c r="B568" s="48">
        <v>0.46249999999999997</v>
      </c>
      <c r="C568" s="48"/>
      <c r="D568" s="48" t="s">
        <v>248</v>
      </c>
      <c r="E568" s="13">
        <v>2</v>
      </c>
      <c r="F568" s="38" t="str">
        <f>VLOOKUP(E568,[2]Key!$A$17:$B$21,2,FALSE)</f>
        <v>Road Vehicle</v>
      </c>
      <c r="G568" s="49">
        <v>6</v>
      </c>
      <c r="H568" s="39" t="str">
        <f>VLOOKUP(G568,[2]Key!$A$2:$B$14,2,FALSE)</f>
        <v>Large Bus</v>
      </c>
      <c r="I568" s="13" t="s">
        <v>109</v>
      </c>
      <c r="J568" s="13">
        <v>3</v>
      </c>
      <c r="K568" s="40" t="str">
        <f>VLOOKUP(J568,[2]Key!$A$24:$B$29,2,FALSE)</f>
        <v>40-49</v>
      </c>
      <c r="L568" s="11" t="s">
        <v>402</v>
      </c>
      <c r="M568" s="23" t="s">
        <v>223</v>
      </c>
      <c r="N568" s="13" t="s">
        <v>221</v>
      </c>
      <c r="O568" s="46">
        <v>6</v>
      </c>
      <c r="P568" s="30" t="str">
        <f>VLOOKUP(O568,[2]Key!$E$2:$F$9,2,FALSE)</f>
        <v>Leisure/Social</v>
      </c>
      <c r="Q568" s="13" t="s">
        <v>403</v>
      </c>
      <c r="R568" s="23" t="s">
        <v>404</v>
      </c>
      <c r="S568" s="13" t="s">
        <v>221</v>
      </c>
      <c r="T568" s="23">
        <v>1</v>
      </c>
      <c r="U568" s="30" t="str">
        <f>VLOOKUP(T568,[2]Key!$E$2:$F$9,2,FALSE)</f>
        <v>Home</v>
      </c>
      <c r="V568" s="30" t="str">
        <f t="shared" si="32"/>
        <v>Leisure/Social-Home</v>
      </c>
      <c r="W568" s="41" t="s">
        <v>405</v>
      </c>
      <c r="X568" s="50"/>
      <c r="Y568" s="50" t="str">
        <f t="shared" si="33"/>
        <v>0-10</v>
      </c>
      <c r="Z568" s="50">
        <v>7</v>
      </c>
      <c r="AA568" s="50" t="str">
        <f t="shared" si="34"/>
        <v>Over 3.5</v>
      </c>
      <c r="AB568" s="23">
        <v>6</v>
      </c>
      <c r="AC568" s="30" t="str">
        <f>VLOOKUP(AB568,[2]Key!$C$20:$D$29,2,FALSE)</f>
        <v>Businessman</v>
      </c>
      <c r="AD568" s="23">
        <v>3</v>
      </c>
      <c r="AE568" s="30" t="str">
        <f>VLOOKUP(AD568,[2]Key!$E$20:$F$24,2,FALSE)</f>
        <v>500,000-750,000</v>
      </c>
      <c r="AF568" s="23">
        <v>2</v>
      </c>
      <c r="AG568" s="50">
        <v>1</v>
      </c>
      <c r="AH568" s="50">
        <v>4</v>
      </c>
      <c r="AI568" s="50">
        <v>5</v>
      </c>
      <c r="AJ568" s="50">
        <v>3</v>
      </c>
      <c r="AK568" s="46" t="s">
        <v>94</v>
      </c>
      <c r="AL568" s="36">
        <v>2000</v>
      </c>
      <c r="AM568" t="str">
        <f t="shared" si="35"/>
        <v>2000-3000</v>
      </c>
    </row>
    <row r="569" spans="1:39" x14ac:dyDescent="0.2">
      <c r="A569" s="44">
        <v>43759</v>
      </c>
      <c r="B569" s="48">
        <v>5.9722222222222225E-2</v>
      </c>
      <c r="C569" s="48"/>
      <c r="D569" s="48" t="s">
        <v>150</v>
      </c>
      <c r="E569" s="13">
        <v>2</v>
      </c>
      <c r="F569" s="38" t="str">
        <f>VLOOKUP(E569,[2]Key!$A$17:$B$21,2,FALSE)</f>
        <v>Road Vehicle</v>
      </c>
      <c r="G569" s="49">
        <v>6</v>
      </c>
      <c r="H569" s="39" t="str">
        <f>VLOOKUP(G569,[2]Key!$A$2:$B$14,2,FALSE)</f>
        <v>Large Bus</v>
      </c>
      <c r="I569" s="13" t="s">
        <v>109</v>
      </c>
      <c r="J569" s="13">
        <v>3</v>
      </c>
      <c r="K569" s="40" t="str">
        <f>VLOOKUP(J569,[2]Key!$A$24:$B$29,2,FALSE)</f>
        <v>40-49</v>
      </c>
      <c r="L569" s="11" t="s">
        <v>329</v>
      </c>
      <c r="M569" s="23" t="s">
        <v>223</v>
      </c>
      <c r="N569" s="13" t="s">
        <v>221</v>
      </c>
      <c r="O569" s="46">
        <v>6</v>
      </c>
      <c r="P569" s="30" t="str">
        <f>VLOOKUP(O569,[2]Key!$E$2:$F$9,2,FALSE)</f>
        <v>Leisure/Social</v>
      </c>
      <c r="Q569" s="13" t="s">
        <v>406</v>
      </c>
      <c r="R569" s="23" t="s">
        <v>404</v>
      </c>
      <c r="S569" s="13" t="s">
        <v>221</v>
      </c>
      <c r="T569" s="23">
        <v>1</v>
      </c>
      <c r="U569" s="30" t="str">
        <f>VLOOKUP(T569,[2]Key!$E$2:$F$9,2,FALSE)</f>
        <v>Home</v>
      </c>
      <c r="V569" s="30" t="str">
        <f t="shared" si="32"/>
        <v>Leisure/Social-Home</v>
      </c>
      <c r="W569" s="41">
        <v>35000</v>
      </c>
      <c r="X569" s="50"/>
      <c r="Y569" s="50" t="str">
        <f t="shared" si="33"/>
        <v>0-10</v>
      </c>
      <c r="Z569" s="50">
        <v>10</v>
      </c>
      <c r="AA569" s="50" t="str">
        <f t="shared" si="34"/>
        <v>Over 3.5</v>
      </c>
      <c r="AB569" s="23">
        <v>6</v>
      </c>
      <c r="AC569" s="30" t="str">
        <f>VLOOKUP(AB569,[2]Key!$C$20:$D$29,2,FALSE)</f>
        <v>Businessman</v>
      </c>
      <c r="AD569" s="23">
        <v>2</v>
      </c>
      <c r="AE569" s="30" t="str">
        <f>VLOOKUP(AD569,[2]Key!$E$20:$F$24,2,FALSE)</f>
        <v>300,000-500,000</v>
      </c>
      <c r="AF569" s="23">
        <v>5</v>
      </c>
      <c r="AG569" s="50">
        <v>2</v>
      </c>
      <c r="AH569" s="50">
        <v>4</v>
      </c>
      <c r="AI569" s="50">
        <v>1</v>
      </c>
      <c r="AJ569" s="50">
        <v>3</v>
      </c>
      <c r="AK569" s="46" t="s">
        <v>94</v>
      </c>
      <c r="AL569" s="36"/>
      <c r="AM569" t="str">
        <f t="shared" si="35"/>
        <v>0-1000</v>
      </c>
    </row>
    <row r="570" spans="1:39" x14ac:dyDescent="0.2">
      <c r="A570" s="44">
        <v>43759</v>
      </c>
      <c r="B570" s="48">
        <v>7.3611111111111113E-2</v>
      </c>
      <c r="C570" s="48"/>
      <c r="D570" s="48" t="s">
        <v>97</v>
      </c>
      <c r="E570" s="13">
        <v>2</v>
      </c>
      <c r="F570" s="38" t="str">
        <f>VLOOKUP(E570,[2]Key!$A$17:$B$21,2,FALSE)</f>
        <v>Road Vehicle</v>
      </c>
      <c r="G570" s="49">
        <v>6</v>
      </c>
      <c r="H570" s="39" t="str">
        <f>VLOOKUP(G570,[2]Key!$A$2:$B$14,2,FALSE)</f>
        <v>Large Bus</v>
      </c>
      <c r="I570" s="13" t="s">
        <v>109</v>
      </c>
      <c r="J570" s="13">
        <v>3</v>
      </c>
      <c r="K570" s="40" t="str">
        <f>VLOOKUP(J570,[2]Key!$A$24:$B$29,2,FALSE)</f>
        <v>40-49</v>
      </c>
      <c r="L570" s="11" t="s">
        <v>253</v>
      </c>
      <c r="M570" s="23" t="s">
        <v>223</v>
      </c>
      <c r="N570" s="13" t="s">
        <v>221</v>
      </c>
      <c r="O570" s="46">
        <v>2</v>
      </c>
      <c r="P570" s="30" t="str">
        <f>VLOOKUP(O570,[2]Key!$E$2:$F$9,2,FALSE)</f>
        <v>Work</v>
      </c>
      <c r="Q570" s="13" t="s">
        <v>231</v>
      </c>
      <c r="R570" s="23" t="s">
        <v>274</v>
      </c>
      <c r="S570" s="13" t="s">
        <v>221</v>
      </c>
      <c r="T570" s="23">
        <v>2</v>
      </c>
      <c r="U570" s="30" t="str">
        <f>VLOOKUP(T570,[2]Key!$E$2:$F$9,2,FALSE)</f>
        <v>Work</v>
      </c>
      <c r="V570" s="30" t="str">
        <f t="shared" si="32"/>
        <v>Work-Work</v>
      </c>
      <c r="W570" s="41">
        <v>900000</v>
      </c>
      <c r="X570" s="50">
        <v>430</v>
      </c>
      <c r="Y570" s="50" t="str">
        <f t="shared" si="33"/>
        <v>Over 200</v>
      </c>
      <c r="Z570" s="50">
        <v>8.5</v>
      </c>
      <c r="AA570" s="50" t="str">
        <f t="shared" si="34"/>
        <v>Over 3.5</v>
      </c>
      <c r="AB570" s="23">
        <v>10</v>
      </c>
      <c r="AC570" s="30" t="str">
        <f>VLOOKUP(AB570,[2]Key!$C$20:$D$29,2,FALSE)</f>
        <v>Other</v>
      </c>
      <c r="AD570" s="23">
        <v>4</v>
      </c>
      <c r="AE570" s="30" t="str">
        <f>VLOOKUP(AD570,[2]Key!$E$20:$F$24,2,FALSE)</f>
        <v>750,000-1,000,000</v>
      </c>
      <c r="AF570" s="23">
        <v>2</v>
      </c>
      <c r="AG570" s="50">
        <v>3</v>
      </c>
      <c r="AH570" s="50">
        <v>4</v>
      </c>
      <c r="AI570" s="50"/>
      <c r="AJ570" s="50">
        <v>5</v>
      </c>
      <c r="AK570" s="46" t="s">
        <v>94</v>
      </c>
      <c r="AL570" s="36">
        <v>4000</v>
      </c>
      <c r="AM570" t="str">
        <f t="shared" si="35"/>
        <v>3000-5000</v>
      </c>
    </row>
    <row r="571" spans="1:39" x14ac:dyDescent="0.2">
      <c r="A571" s="44">
        <v>43760</v>
      </c>
      <c r="B571" s="48">
        <v>0.50555555555555554</v>
      </c>
      <c r="C571" s="48"/>
      <c r="D571" s="48" t="s">
        <v>248</v>
      </c>
      <c r="E571" s="13">
        <v>2</v>
      </c>
      <c r="F571" s="38" t="str">
        <f>VLOOKUP(E571,[2]Key!$A$17:$B$21,2,FALSE)</f>
        <v>Road Vehicle</v>
      </c>
      <c r="G571" s="49">
        <v>6</v>
      </c>
      <c r="H571" s="39" t="str">
        <f>VLOOKUP(G571,[2]Key!$A$2:$B$14,2,FALSE)</f>
        <v>Large Bus</v>
      </c>
      <c r="I571" s="13" t="s">
        <v>109</v>
      </c>
      <c r="J571" s="13">
        <v>3</v>
      </c>
      <c r="K571" s="40" t="str">
        <f>VLOOKUP(J571,[2]Key!$A$24:$B$29,2,FALSE)</f>
        <v>40-49</v>
      </c>
      <c r="L571" s="11" t="s">
        <v>329</v>
      </c>
      <c r="M571" s="23" t="s">
        <v>223</v>
      </c>
      <c r="N571" s="13" t="s">
        <v>221</v>
      </c>
      <c r="O571" s="46">
        <v>1</v>
      </c>
      <c r="P571" s="30" t="str">
        <f>VLOOKUP(O571,[2]Key!$E$2:$F$9,2,FALSE)</f>
        <v>Home</v>
      </c>
      <c r="Q571" s="13" t="s">
        <v>353</v>
      </c>
      <c r="R571" s="23" t="s">
        <v>274</v>
      </c>
      <c r="S571" s="13" t="s">
        <v>221</v>
      </c>
      <c r="T571" s="23">
        <v>4</v>
      </c>
      <c r="U571" s="30" t="str">
        <f>VLOOKUP(T571,[2]Key!$E$2:$F$9,2,FALSE)</f>
        <v>Commercial</v>
      </c>
      <c r="V571" s="30" t="str">
        <f t="shared" si="32"/>
        <v>Home-Commercial</v>
      </c>
      <c r="W571" s="51">
        <v>30000</v>
      </c>
      <c r="X571" s="50">
        <v>436</v>
      </c>
      <c r="Y571" s="50" t="str">
        <f t="shared" si="33"/>
        <v>Over 200</v>
      </c>
      <c r="Z571" s="50">
        <v>8.5</v>
      </c>
      <c r="AA571" s="50" t="str">
        <f t="shared" si="34"/>
        <v>Over 3.5</v>
      </c>
      <c r="AB571" s="23">
        <v>5</v>
      </c>
      <c r="AC571" s="30" t="str">
        <f>VLOOKUP(AB571,[2]Key!$C$20:$D$29,2,FALSE)</f>
        <v>Professional</v>
      </c>
      <c r="AD571" s="23">
        <v>2</v>
      </c>
      <c r="AE571" s="30" t="str">
        <f>VLOOKUP(AD571,[2]Key!$E$20:$F$24,2,FALSE)</f>
        <v>300,000-500,000</v>
      </c>
      <c r="AF571" s="23">
        <v>1</v>
      </c>
      <c r="AG571" s="50">
        <v>2</v>
      </c>
      <c r="AH571" s="50">
        <v>3</v>
      </c>
      <c r="AI571" s="50">
        <v>4</v>
      </c>
      <c r="AJ571" s="50">
        <v>5</v>
      </c>
      <c r="AK571" s="46" t="s">
        <v>94</v>
      </c>
      <c r="AL571" s="36">
        <v>2000</v>
      </c>
      <c r="AM571" t="str">
        <f t="shared" si="35"/>
        <v>2000-3000</v>
      </c>
    </row>
    <row r="572" spans="1:39" x14ac:dyDescent="0.2">
      <c r="A572" s="44">
        <v>43761</v>
      </c>
      <c r="B572" s="48">
        <v>0.16666666666666666</v>
      </c>
      <c r="C572" s="48"/>
      <c r="D572" s="48" t="s">
        <v>248</v>
      </c>
      <c r="E572" s="13">
        <v>2</v>
      </c>
      <c r="F572" s="38" t="str">
        <f>VLOOKUP(E572,[2]Key!$A$17:$B$21,2,FALSE)</f>
        <v>Road Vehicle</v>
      </c>
      <c r="G572" s="49">
        <v>6</v>
      </c>
      <c r="H572" s="39" t="str">
        <f>VLOOKUP(G572,[2]Key!$A$2:$B$14,2,FALSE)</f>
        <v>Large Bus</v>
      </c>
      <c r="I572" s="13" t="s">
        <v>109</v>
      </c>
      <c r="J572" s="13">
        <v>3</v>
      </c>
      <c r="K572" s="40" t="str">
        <f>VLOOKUP(J572,[2]Key!$A$24:$B$29,2,FALSE)</f>
        <v>40-49</v>
      </c>
      <c r="L572" s="11" t="s">
        <v>253</v>
      </c>
      <c r="M572" s="23" t="s">
        <v>223</v>
      </c>
      <c r="N572" s="13" t="s">
        <v>221</v>
      </c>
      <c r="O572" s="46">
        <v>2</v>
      </c>
      <c r="P572" s="30" t="str">
        <f>VLOOKUP(O572,[2]Key!$E$2:$F$9,2,FALSE)</f>
        <v>Work</v>
      </c>
      <c r="Q572" s="13" t="s">
        <v>309</v>
      </c>
      <c r="R572" s="23" t="s">
        <v>274</v>
      </c>
      <c r="S572" s="13" t="s">
        <v>221</v>
      </c>
      <c r="T572" s="23">
        <v>2</v>
      </c>
      <c r="U572" s="30" t="str">
        <f>VLOOKUP(T572,[2]Key!$E$2:$F$9,2,FALSE)</f>
        <v>Work</v>
      </c>
      <c r="V572" s="30" t="str">
        <f t="shared" si="32"/>
        <v>Work-Work</v>
      </c>
      <c r="W572" s="51">
        <v>1000000</v>
      </c>
      <c r="X572" s="50">
        <v>450</v>
      </c>
      <c r="Y572" s="50" t="str">
        <f t="shared" si="33"/>
        <v>Over 200</v>
      </c>
      <c r="Z572" s="50"/>
      <c r="AA572" s="50" t="str">
        <f t="shared" si="34"/>
        <v>0-0.5</v>
      </c>
      <c r="AB572" s="23">
        <v>8</v>
      </c>
      <c r="AC572" s="30" t="str">
        <f>VLOOKUP(AB572,[2]Key!$C$20:$D$29,2,FALSE)</f>
        <v>Student</v>
      </c>
      <c r="AD572" s="23">
        <v>4</v>
      </c>
      <c r="AE572" s="30" t="str">
        <f>VLOOKUP(AD572,[2]Key!$E$20:$F$24,2,FALSE)</f>
        <v>750,000-1,000,000</v>
      </c>
      <c r="AF572" s="23">
        <v>1</v>
      </c>
      <c r="AG572" s="50">
        <v>4</v>
      </c>
      <c r="AH572" s="50">
        <v>3</v>
      </c>
      <c r="AI572" s="50">
        <v>2</v>
      </c>
      <c r="AJ572" s="50">
        <v>5</v>
      </c>
      <c r="AK572" s="46" t="s">
        <v>94</v>
      </c>
      <c r="AL572" s="36">
        <v>2000</v>
      </c>
      <c r="AM572" t="str">
        <f t="shared" si="35"/>
        <v>2000-3000</v>
      </c>
    </row>
    <row r="573" spans="1:39" x14ac:dyDescent="0.2">
      <c r="A573" s="44">
        <v>43761</v>
      </c>
      <c r="B573" s="48">
        <v>0.35138888888888892</v>
      </c>
      <c r="C573" s="48"/>
      <c r="D573" s="48" t="s">
        <v>150</v>
      </c>
      <c r="E573" s="13">
        <v>2</v>
      </c>
      <c r="F573" s="38" t="str">
        <f>VLOOKUP(E573,[2]Key!$A$17:$B$21,2,FALSE)</f>
        <v>Road Vehicle</v>
      </c>
      <c r="G573" s="49">
        <v>6</v>
      </c>
      <c r="H573" s="39" t="str">
        <f>VLOOKUP(G573,[2]Key!$A$2:$B$14,2,FALSE)</f>
        <v>Large Bus</v>
      </c>
      <c r="I573" s="13" t="s">
        <v>109</v>
      </c>
      <c r="J573" s="13">
        <v>3</v>
      </c>
      <c r="K573" s="40" t="str">
        <f>VLOOKUP(J573,[2]Key!$A$24:$B$29,2,FALSE)</f>
        <v>40-49</v>
      </c>
      <c r="L573" s="11" t="s">
        <v>393</v>
      </c>
      <c r="M573" s="23" t="s">
        <v>220</v>
      </c>
      <c r="N573" s="13" t="s">
        <v>221</v>
      </c>
      <c r="O573" s="46">
        <v>6</v>
      </c>
      <c r="P573" s="30" t="str">
        <f>VLOOKUP(O573,[2]Key!$E$2:$F$9,2,FALSE)</f>
        <v>Leisure/Social</v>
      </c>
      <c r="Q573" s="13" t="s">
        <v>407</v>
      </c>
      <c r="R573" s="23" t="s">
        <v>274</v>
      </c>
      <c r="S573" s="13" t="s">
        <v>221</v>
      </c>
      <c r="T573" s="23">
        <v>1</v>
      </c>
      <c r="U573" s="30" t="str">
        <f>VLOOKUP(T573,[2]Key!$E$2:$F$9,2,FALSE)</f>
        <v>Home</v>
      </c>
      <c r="V573" s="30" t="str">
        <f t="shared" si="32"/>
        <v>Leisure/Social-Home</v>
      </c>
      <c r="W573" s="51">
        <v>30000</v>
      </c>
      <c r="X573" s="50"/>
      <c r="Y573" s="50" t="str">
        <f t="shared" si="33"/>
        <v>0-10</v>
      </c>
      <c r="Z573" s="50">
        <v>9</v>
      </c>
      <c r="AA573" s="50" t="str">
        <f t="shared" si="34"/>
        <v>Over 3.5</v>
      </c>
      <c r="AB573" s="23">
        <v>5</v>
      </c>
      <c r="AC573" s="30" t="str">
        <f>VLOOKUP(AB573,[2]Key!$C$20:$D$29,2,FALSE)</f>
        <v>Professional</v>
      </c>
      <c r="AD573" s="23">
        <v>4</v>
      </c>
      <c r="AE573" s="30" t="str">
        <f>VLOOKUP(AD573,[2]Key!$E$20:$F$24,2,FALSE)</f>
        <v>750,000-1,000,000</v>
      </c>
      <c r="AF573" s="23">
        <v>2</v>
      </c>
      <c r="AG573" s="50">
        <v>5</v>
      </c>
      <c r="AH573" s="50">
        <v>3</v>
      </c>
      <c r="AI573" s="50">
        <v>1</v>
      </c>
      <c r="AJ573" s="50">
        <v>4</v>
      </c>
      <c r="AK573" s="46" t="s">
        <v>94</v>
      </c>
      <c r="AL573" s="36"/>
      <c r="AM573" t="str">
        <f t="shared" si="35"/>
        <v>0-1000</v>
      </c>
    </row>
    <row r="574" spans="1:39" x14ac:dyDescent="0.2">
      <c r="A574" s="44">
        <v>43759</v>
      </c>
      <c r="B574" s="48">
        <v>0.52986111111111112</v>
      </c>
      <c r="C574" s="48"/>
      <c r="D574" s="48" t="s">
        <v>150</v>
      </c>
      <c r="E574" s="13">
        <v>2</v>
      </c>
      <c r="F574" s="38" t="str">
        <f>VLOOKUP(E574,[1]Key!$A$17:$B$21,2,FALSE)</f>
        <v>Road Vehicle</v>
      </c>
      <c r="G574" s="49">
        <v>4</v>
      </c>
      <c r="H574" s="39" t="str">
        <f>VLOOKUP(G574,[2]Key!$A$2:$B$14,2,FALSE)</f>
        <v>Minibus</v>
      </c>
      <c r="I574" s="13" t="s">
        <v>156</v>
      </c>
      <c r="J574" s="13">
        <v>3</v>
      </c>
      <c r="K574" s="40" t="str">
        <f>VLOOKUP(J574,[1]Key!$A$24:$B$29,2,FALSE)</f>
        <v>40-49</v>
      </c>
      <c r="L574" s="11" t="s">
        <v>408</v>
      </c>
      <c r="M574" s="23" t="s">
        <v>263</v>
      </c>
      <c r="N574" s="13" t="s">
        <v>221</v>
      </c>
      <c r="O574" s="46">
        <v>2</v>
      </c>
      <c r="P574" s="30" t="str">
        <f>VLOOKUP(O574,[1]Key!$E$2:$F$9,2,FALSE)</f>
        <v>Work</v>
      </c>
      <c r="Q574" s="13" t="s">
        <v>223</v>
      </c>
      <c r="R574" s="23" t="s">
        <v>223</v>
      </c>
      <c r="S574" s="13" t="s">
        <v>221</v>
      </c>
      <c r="T574" s="23">
        <v>1</v>
      </c>
      <c r="U574" s="30" t="str">
        <f>VLOOKUP(T574,[1]Key!$E$2:$F$9,2,FALSE)</f>
        <v>Home</v>
      </c>
      <c r="V574" s="30" t="str">
        <f t="shared" si="32"/>
        <v>Work-Home</v>
      </c>
      <c r="W574" s="51">
        <v>5000</v>
      </c>
      <c r="X574" s="50">
        <v>42</v>
      </c>
      <c r="Y574" s="50" t="str">
        <f t="shared" si="33"/>
        <v>40-70</v>
      </c>
      <c r="Z574" s="50">
        <v>0.1</v>
      </c>
      <c r="AA574" s="50" t="str">
        <f t="shared" si="34"/>
        <v>0-0.5</v>
      </c>
      <c r="AB574" s="23">
        <v>2</v>
      </c>
      <c r="AC574" s="30" t="str">
        <f>VLOOKUP(AB574,[1]Key!$C$20:$D$29,2,FALSE)</f>
        <v>Manual Labour</v>
      </c>
      <c r="AD574" s="23">
        <v>1</v>
      </c>
      <c r="AE574" s="30" t="str">
        <f>VLOOKUP(AD574,[1]Key!$E$20:$F$24,2,FALSE)</f>
        <v>&lt;300,000</v>
      </c>
      <c r="AF574" s="23">
        <v>1</v>
      </c>
      <c r="AG574" s="50">
        <v>2</v>
      </c>
      <c r="AH574" s="50">
        <v>3</v>
      </c>
      <c r="AI574" s="50">
        <v>4</v>
      </c>
      <c r="AJ574" s="50">
        <v>5</v>
      </c>
      <c r="AK574" s="46" t="s">
        <v>94</v>
      </c>
      <c r="AL574" s="36"/>
      <c r="AM574" t="str">
        <f t="shared" si="35"/>
        <v>0-1000</v>
      </c>
    </row>
    <row r="575" spans="1:39" x14ac:dyDescent="0.2">
      <c r="A575" s="44">
        <v>43759</v>
      </c>
      <c r="B575" s="48">
        <v>0.42222222222222222</v>
      </c>
      <c r="C575" s="48"/>
      <c r="D575" s="48" t="s">
        <v>150</v>
      </c>
      <c r="E575" s="13">
        <v>2</v>
      </c>
      <c r="F575" s="38" t="str">
        <f>VLOOKUP(E575,[1]Key!$A$17:$B$21,2,FALSE)</f>
        <v>Road Vehicle</v>
      </c>
      <c r="G575" s="49">
        <v>4</v>
      </c>
      <c r="H575" s="39" t="str">
        <f>VLOOKUP(G575,[2]Key!$A$2:$B$14,2,FALSE)</f>
        <v>Minibus</v>
      </c>
      <c r="I575" s="13" t="s">
        <v>109</v>
      </c>
      <c r="J575" s="13">
        <v>3</v>
      </c>
      <c r="K575" s="40" t="str">
        <f>VLOOKUP(J575,[1]Key!$A$24:$B$29,2,FALSE)</f>
        <v>40-49</v>
      </c>
      <c r="L575" s="11" t="s">
        <v>247</v>
      </c>
      <c r="M575" s="23" t="s">
        <v>247</v>
      </c>
      <c r="N575" s="13" t="s">
        <v>221</v>
      </c>
      <c r="O575" s="46">
        <v>1</v>
      </c>
      <c r="P575" s="30" t="str">
        <f>VLOOKUP(O575,[1]Key!$E$2:$F$9,2,FALSE)</f>
        <v>Home</v>
      </c>
      <c r="Q575" s="13" t="s">
        <v>253</v>
      </c>
      <c r="R575" s="23" t="s">
        <v>223</v>
      </c>
      <c r="S575" s="13" t="s">
        <v>221</v>
      </c>
      <c r="T575" s="23">
        <v>4</v>
      </c>
      <c r="U575" s="30" t="str">
        <f>VLOOKUP(T575,[1]Key!$E$2:$F$9,2,FALSE)</f>
        <v>Commercial</v>
      </c>
      <c r="V575" s="30" t="str">
        <f t="shared" si="32"/>
        <v>Home-Commercial</v>
      </c>
      <c r="W575" s="41">
        <v>10000</v>
      </c>
      <c r="X575" s="50">
        <v>101</v>
      </c>
      <c r="Y575" s="50" t="str">
        <f t="shared" si="33"/>
        <v>100-200</v>
      </c>
      <c r="Z575" s="50">
        <v>2</v>
      </c>
      <c r="AA575" s="50" t="str">
        <f t="shared" si="34"/>
        <v>2.0-3.5</v>
      </c>
      <c r="AB575" s="23">
        <v>6</v>
      </c>
      <c r="AC575" s="30" t="str">
        <f>VLOOKUP(AB575,[1]Key!$C$20:$D$29,2,FALSE)</f>
        <v>Businessman</v>
      </c>
      <c r="AD575" s="23">
        <v>4</v>
      </c>
      <c r="AE575" s="30" t="str">
        <f>VLOOKUP(AD575,[1]Key!$E$20:$F$24,2,FALSE)</f>
        <v>750,000-1,000,000</v>
      </c>
      <c r="AF575" s="23">
        <v>1</v>
      </c>
      <c r="AG575" s="50">
        <v>2</v>
      </c>
      <c r="AH575" s="50">
        <v>4</v>
      </c>
      <c r="AI575" s="50">
        <v>3</v>
      </c>
      <c r="AJ575" s="50">
        <v>5</v>
      </c>
      <c r="AK575" s="46" t="s">
        <v>94</v>
      </c>
      <c r="AL575" s="36">
        <v>2000</v>
      </c>
      <c r="AM575" t="str">
        <f t="shared" si="35"/>
        <v>2000-3000</v>
      </c>
    </row>
    <row r="576" spans="1:39" x14ac:dyDescent="0.2">
      <c r="A576" s="44">
        <v>43760</v>
      </c>
      <c r="B576" s="48">
        <v>0.40902777777777777</v>
      </c>
      <c r="C576" s="48"/>
      <c r="D576" s="48" t="s">
        <v>150</v>
      </c>
      <c r="E576" s="13">
        <v>2</v>
      </c>
      <c r="F576" s="38" t="str">
        <f>VLOOKUP(E576,[2]Key!$A$17:$B$21,2,FALSE)</f>
        <v>Road Vehicle</v>
      </c>
      <c r="G576" s="49">
        <v>4</v>
      </c>
      <c r="H576" s="39" t="str">
        <f>VLOOKUP(G576,[2]Key!$A$2:$B$14,2,FALSE)</f>
        <v>Minibus</v>
      </c>
      <c r="I576" s="13" t="s">
        <v>109</v>
      </c>
      <c r="J576" s="13">
        <v>3</v>
      </c>
      <c r="K576" s="40" t="str">
        <f>VLOOKUP(J576,[2]Key!$A$24:$B$29,2,FALSE)</f>
        <v>40-49</v>
      </c>
      <c r="L576" s="11" t="s">
        <v>220</v>
      </c>
      <c r="M576" s="23" t="s">
        <v>220</v>
      </c>
      <c r="N576" s="13" t="s">
        <v>221</v>
      </c>
      <c r="O576" s="46">
        <v>2</v>
      </c>
      <c r="P576" s="30" t="str">
        <f>VLOOKUP(O576,[2]Key!$E$2:$F$9,2,FALSE)</f>
        <v>Work</v>
      </c>
      <c r="Q576" s="13" t="s">
        <v>297</v>
      </c>
      <c r="R576" s="23" t="s">
        <v>297</v>
      </c>
      <c r="S576" s="13" t="s">
        <v>221</v>
      </c>
      <c r="T576" s="23">
        <v>4</v>
      </c>
      <c r="U576" s="30" t="str">
        <f>VLOOKUP(T576,[2]Key!$E$2:$F$9,2,FALSE)</f>
        <v>Commercial</v>
      </c>
      <c r="V576" s="30" t="str">
        <f t="shared" si="32"/>
        <v>Work-Commercial</v>
      </c>
      <c r="W576" s="23">
        <v>5000</v>
      </c>
      <c r="X576" s="50">
        <v>30</v>
      </c>
      <c r="Y576" s="50" t="str">
        <f t="shared" si="33"/>
        <v>20-40</v>
      </c>
      <c r="Z576" s="50">
        <v>0.57999999999999996</v>
      </c>
      <c r="AA576" s="50" t="str">
        <f t="shared" si="34"/>
        <v>0.5-1.0</v>
      </c>
      <c r="AB576" s="23">
        <v>6</v>
      </c>
      <c r="AC576" s="30" t="str">
        <f>VLOOKUP(AB576,[2]Key!$C$20:$D$29,2,FALSE)</f>
        <v>Businessman</v>
      </c>
      <c r="AD576" s="23">
        <v>2</v>
      </c>
      <c r="AE576" s="30" t="str">
        <f>VLOOKUP(AD576,[2]Key!$E$20:$F$24,2,FALSE)</f>
        <v>300,000-500,000</v>
      </c>
      <c r="AF576" s="23">
        <v>3</v>
      </c>
      <c r="AG576" s="50">
        <v>4</v>
      </c>
      <c r="AH576" s="50">
        <v>2</v>
      </c>
      <c r="AI576" s="50">
        <v>1</v>
      </c>
      <c r="AJ576" s="50">
        <v>5</v>
      </c>
      <c r="AK576" s="46" t="s">
        <v>94</v>
      </c>
      <c r="AL576" s="36">
        <v>2000</v>
      </c>
      <c r="AM576" t="str">
        <f t="shared" si="35"/>
        <v>2000-3000</v>
      </c>
    </row>
    <row r="577" spans="1:46" x14ac:dyDescent="0.2">
      <c r="A577" s="44">
        <v>43760</v>
      </c>
      <c r="B577" s="48">
        <v>0.42708333333333331</v>
      </c>
      <c r="C577" s="48"/>
      <c r="D577" s="48" t="s">
        <v>150</v>
      </c>
      <c r="E577" s="13">
        <v>2</v>
      </c>
      <c r="F577" s="38" t="str">
        <f>VLOOKUP(E577,[2]Key!$A$17:$B$21,2,FALSE)</f>
        <v>Road Vehicle</v>
      </c>
      <c r="G577" s="49">
        <v>4</v>
      </c>
      <c r="H577" s="39" t="str">
        <f>VLOOKUP(G577,[2]Key!$A$2:$B$14,2,FALSE)</f>
        <v>Minibus</v>
      </c>
      <c r="I577" s="13" t="s">
        <v>109</v>
      </c>
      <c r="J577" s="13">
        <v>3</v>
      </c>
      <c r="K577" s="40" t="str">
        <f>VLOOKUP(J577,[2]Key!$A$24:$B$29,2,FALSE)</f>
        <v>40-49</v>
      </c>
      <c r="L577" s="11" t="s">
        <v>290</v>
      </c>
      <c r="M577" s="23" t="s">
        <v>220</v>
      </c>
      <c r="N577" s="13" t="s">
        <v>221</v>
      </c>
      <c r="O577" s="46">
        <v>1</v>
      </c>
      <c r="P577" s="30" t="str">
        <f>VLOOKUP(O577,[2]Key!$E$2:$F$9,2,FALSE)</f>
        <v>Home</v>
      </c>
      <c r="Q577" s="13" t="s">
        <v>328</v>
      </c>
      <c r="R577" s="23" t="s">
        <v>247</v>
      </c>
      <c r="S577" s="13" t="s">
        <v>221</v>
      </c>
      <c r="T577" s="23">
        <v>4</v>
      </c>
      <c r="U577" s="30" t="str">
        <f>VLOOKUP(T577,[2]Key!$E$2:$F$9,2,FALSE)</f>
        <v>Commercial</v>
      </c>
      <c r="V577" s="30" t="str">
        <f t="shared" si="32"/>
        <v>Home-Commercial</v>
      </c>
      <c r="W577" s="23">
        <v>8000</v>
      </c>
      <c r="X577" s="50">
        <v>56</v>
      </c>
      <c r="Y577" s="50" t="str">
        <f t="shared" si="33"/>
        <v>40-70</v>
      </c>
      <c r="Z577" s="50">
        <v>2</v>
      </c>
      <c r="AA577" s="50" t="str">
        <f t="shared" si="34"/>
        <v>2.0-3.5</v>
      </c>
      <c r="AB577" s="23">
        <v>7</v>
      </c>
      <c r="AC577" s="30" t="str">
        <f>VLOOKUP(AB577,[2]Key!$C$20:$D$29,2,FALSE)</f>
        <v>Farmer</v>
      </c>
      <c r="AD577" s="23">
        <v>1</v>
      </c>
      <c r="AE577" s="30" t="str">
        <f>VLOOKUP(AD577,[2]Key!$E$20:$F$24,2,FALSE)</f>
        <v>&lt;300,000</v>
      </c>
      <c r="AF577" s="23">
        <v>1</v>
      </c>
      <c r="AG577" s="50">
        <v>2</v>
      </c>
      <c r="AH577" s="50">
        <v>5</v>
      </c>
      <c r="AI577" s="50">
        <v>3</v>
      </c>
      <c r="AJ577" s="50">
        <v>4</v>
      </c>
      <c r="AK577" s="46" t="s">
        <v>94</v>
      </c>
      <c r="AL577" s="36"/>
      <c r="AM577" t="str">
        <f t="shared" si="35"/>
        <v>0-1000</v>
      </c>
    </row>
    <row r="578" spans="1:46" x14ac:dyDescent="0.2">
      <c r="A578" s="44">
        <v>43760</v>
      </c>
      <c r="B578" s="48">
        <v>0.44236111111111115</v>
      </c>
      <c r="C578" s="48"/>
      <c r="D578" s="48" t="s">
        <v>150</v>
      </c>
      <c r="E578" s="13">
        <v>2</v>
      </c>
      <c r="F578" s="38" t="str">
        <f>VLOOKUP(E578,[2]Key!$A$17:$B$21,2,FALSE)</f>
        <v>Road Vehicle</v>
      </c>
      <c r="G578" s="49">
        <v>4</v>
      </c>
      <c r="H578" s="39" t="str">
        <f>VLOOKUP(G578,[2]Key!$A$2:$B$14,2,FALSE)</f>
        <v>Minibus</v>
      </c>
      <c r="I578" s="13" t="s">
        <v>109</v>
      </c>
      <c r="J578" s="13">
        <v>3</v>
      </c>
      <c r="K578" s="40" t="str">
        <f>VLOOKUP(J578,[2]Key!$A$24:$B$29,2,FALSE)</f>
        <v>40-49</v>
      </c>
      <c r="L578" s="11" t="s">
        <v>253</v>
      </c>
      <c r="M578" s="23" t="s">
        <v>220</v>
      </c>
      <c r="N578" s="13" t="s">
        <v>221</v>
      </c>
      <c r="O578" s="46">
        <v>1</v>
      </c>
      <c r="P578" s="30" t="str">
        <f>VLOOKUP(O578,[2]Key!$E$2:$F$9,2,FALSE)</f>
        <v>Home</v>
      </c>
      <c r="Q578" s="13" t="s">
        <v>256</v>
      </c>
      <c r="R578" s="23" t="s">
        <v>256</v>
      </c>
      <c r="S578" s="13" t="s">
        <v>221</v>
      </c>
      <c r="T578" s="23">
        <v>4</v>
      </c>
      <c r="U578" s="30" t="str">
        <f>VLOOKUP(T578,[2]Key!$E$2:$F$9,2,FALSE)</f>
        <v>Commercial</v>
      </c>
      <c r="V578" s="30" t="str">
        <f t="shared" ref="V578:V641" si="36">P578&amp;"-"&amp;U578</f>
        <v>Home-Commercial</v>
      </c>
      <c r="W578" s="51">
        <v>15000</v>
      </c>
      <c r="X578" s="50">
        <v>189</v>
      </c>
      <c r="Y578" s="50" t="str">
        <f t="shared" si="33"/>
        <v>100-200</v>
      </c>
      <c r="Z578" s="50">
        <v>3</v>
      </c>
      <c r="AA578" s="50" t="str">
        <f t="shared" si="34"/>
        <v>2.0-3.5</v>
      </c>
      <c r="AB578" s="23">
        <v>5</v>
      </c>
      <c r="AC578" s="30" t="str">
        <f>VLOOKUP(AB578,[2]Key!$C$20:$D$29,2,FALSE)</f>
        <v>Professional</v>
      </c>
      <c r="AD578" s="23">
        <v>2</v>
      </c>
      <c r="AE578" s="30" t="str">
        <f>VLOOKUP(AD578,[2]Key!$E$20:$F$24,2,FALSE)</f>
        <v>300,000-500,000</v>
      </c>
      <c r="AF578" s="23">
        <v>2</v>
      </c>
      <c r="AG578" s="50">
        <v>1</v>
      </c>
      <c r="AH578" s="50">
        <v>4</v>
      </c>
      <c r="AI578" s="50">
        <v>3</v>
      </c>
      <c r="AJ578" s="50">
        <v>5</v>
      </c>
      <c r="AK578" s="46" t="s">
        <v>94</v>
      </c>
      <c r="AL578" s="36">
        <v>2000</v>
      </c>
      <c r="AM578" t="str">
        <f t="shared" si="35"/>
        <v>2000-3000</v>
      </c>
    </row>
    <row r="579" spans="1:46" x14ac:dyDescent="0.2">
      <c r="A579" s="44">
        <v>43761</v>
      </c>
      <c r="B579" s="48"/>
      <c r="C579" s="48"/>
      <c r="D579" s="48" t="s">
        <v>97</v>
      </c>
      <c r="E579" s="13">
        <v>2</v>
      </c>
      <c r="F579" s="38" t="str">
        <f>VLOOKUP(E579,[2]Key!$A$17:$B$21,2,FALSE)</f>
        <v>Road Vehicle</v>
      </c>
      <c r="G579" s="49">
        <v>4</v>
      </c>
      <c r="H579" s="39" t="str">
        <f>VLOOKUP(G579,[2]Key!$A$2:$B$14,2,FALSE)</f>
        <v>Minibus</v>
      </c>
      <c r="I579" s="13" t="s">
        <v>109</v>
      </c>
      <c r="J579" s="13">
        <v>3</v>
      </c>
      <c r="K579" s="40" t="str">
        <f>VLOOKUP(J579,[2]Key!$A$24:$B$29,2,FALSE)</f>
        <v>40-49</v>
      </c>
      <c r="L579" s="11" t="s">
        <v>257</v>
      </c>
      <c r="M579" s="23" t="s">
        <v>223</v>
      </c>
      <c r="N579" s="13" t="s">
        <v>221</v>
      </c>
      <c r="O579" s="46">
        <v>2</v>
      </c>
      <c r="P579" s="30" t="str">
        <f>VLOOKUP(O579,[2]Key!$E$2:$F$9,2,FALSE)</f>
        <v>Work</v>
      </c>
      <c r="Q579" s="13" t="s">
        <v>231</v>
      </c>
      <c r="R579" s="23" t="s">
        <v>283</v>
      </c>
      <c r="S579" s="13" t="s">
        <v>221</v>
      </c>
      <c r="T579" s="23">
        <v>2</v>
      </c>
      <c r="U579" s="30" t="str">
        <f>VLOOKUP(T579,[2]Key!$E$2:$F$9,2,FALSE)</f>
        <v>Work</v>
      </c>
      <c r="V579" s="30" t="str">
        <f t="shared" si="36"/>
        <v>Work-Work</v>
      </c>
      <c r="W579" s="51">
        <v>100000</v>
      </c>
      <c r="X579" s="50">
        <v>120</v>
      </c>
      <c r="Y579" s="50" t="str">
        <f t="shared" ref="Y579:Y642" si="37">IF(X579&lt;10,"0-10",IF(X579&lt;20,"10-20",IF(X579&lt;40,"20-40",IF(X579&lt;70,"40-70",IF(X579&lt;100,"70-100",IF(X579&lt;200,"100-200","Over 200"))))))</f>
        <v>100-200</v>
      </c>
      <c r="Z579" s="50">
        <v>3</v>
      </c>
      <c r="AA579" s="50" t="str">
        <f t="shared" ref="AA579:AA642" si="38">IF(Z579&lt;0.5,"0-0.5",IF(Z579&lt;1,"0.5-1.0",IF(Z579&lt;2,"1.0-2.0",IF(Z579&lt;3.5,"2.0-3.5","Over 3.5"))))</f>
        <v>2.0-3.5</v>
      </c>
      <c r="AB579" s="23">
        <v>10</v>
      </c>
      <c r="AC579" s="30" t="str">
        <f>VLOOKUP(AB579,[2]Key!$C$20:$D$29,2,FALSE)</f>
        <v>Other</v>
      </c>
      <c r="AD579" s="23">
        <v>1</v>
      </c>
      <c r="AE579" s="30" t="str">
        <f>VLOOKUP(AD579,[2]Key!$E$20:$F$24,2,FALSE)</f>
        <v>&lt;300,000</v>
      </c>
      <c r="AF579" s="23">
        <v>5</v>
      </c>
      <c r="AG579" s="50">
        <v>2</v>
      </c>
      <c r="AH579" s="50">
        <v>1</v>
      </c>
      <c r="AI579" s="50">
        <v>4</v>
      </c>
      <c r="AJ579" s="50">
        <v>3</v>
      </c>
      <c r="AK579" s="46" t="s">
        <v>94</v>
      </c>
      <c r="AL579" s="36">
        <v>2000</v>
      </c>
      <c r="AM579" t="str">
        <f t="shared" ref="AM579:AM642" si="39">IF(AL579&lt;1000,"0-1000",IF(AL579&lt;2000,"1000-2000",IF(AL579&lt;3000,"2000-3000",IF(AL579&lt;5000,"3000-5000",IF(AL579&lt;10000,"5000-10000","Over 10000")))))</f>
        <v>2000-3000</v>
      </c>
    </row>
    <row r="580" spans="1:46" x14ac:dyDescent="0.2">
      <c r="A580" s="44">
        <v>43761</v>
      </c>
      <c r="B580" s="48">
        <v>0.26527777777777778</v>
      </c>
      <c r="C580" s="48"/>
      <c r="D580" s="48" t="s">
        <v>150</v>
      </c>
      <c r="E580" s="13">
        <v>2</v>
      </c>
      <c r="F580" s="38" t="str">
        <f>VLOOKUP(E580,[2]Key!$A$17:$B$21,2,FALSE)</f>
        <v>Road Vehicle</v>
      </c>
      <c r="G580" s="49">
        <v>4</v>
      </c>
      <c r="H580" s="39" t="str">
        <f>VLOOKUP(G580,[2]Key!$A$2:$B$14,2,FALSE)</f>
        <v>Minibus</v>
      </c>
      <c r="I580" s="13" t="s">
        <v>109</v>
      </c>
      <c r="J580" s="13">
        <v>3</v>
      </c>
      <c r="K580" s="40" t="str">
        <f>VLOOKUP(J580,[2]Key!$A$24:$B$29,2,FALSE)</f>
        <v>40-49</v>
      </c>
      <c r="L580" s="11" t="s">
        <v>265</v>
      </c>
      <c r="M580" s="23" t="s">
        <v>220</v>
      </c>
      <c r="N580" s="13" t="s">
        <v>221</v>
      </c>
      <c r="O580" s="46">
        <v>1</v>
      </c>
      <c r="P580" s="30" t="str">
        <f>VLOOKUP(O580,[2]Key!$E$2:$F$9,2,FALSE)</f>
        <v>Home</v>
      </c>
      <c r="Q580" s="13" t="s">
        <v>245</v>
      </c>
      <c r="R580" s="23" t="s">
        <v>223</v>
      </c>
      <c r="S580" s="13" t="s">
        <v>221</v>
      </c>
      <c r="T580" s="23">
        <v>6</v>
      </c>
      <c r="U580" s="30" t="str">
        <f>VLOOKUP(T580,[2]Key!$E$2:$F$9,2,FALSE)</f>
        <v>Leisure/Social</v>
      </c>
      <c r="V580" s="30" t="str">
        <f t="shared" si="36"/>
        <v>Home-Leisure/Social</v>
      </c>
      <c r="W580" s="51">
        <v>12000</v>
      </c>
      <c r="X580" s="50"/>
      <c r="Y580" s="50" t="str">
        <f t="shared" si="37"/>
        <v>0-10</v>
      </c>
      <c r="Z580" s="50">
        <v>2</v>
      </c>
      <c r="AA580" s="50" t="str">
        <f t="shared" si="38"/>
        <v>2.0-3.5</v>
      </c>
      <c r="AB580" s="23">
        <v>6</v>
      </c>
      <c r="AC580" s="30" t="str">
        <f>VLOOKUP(AB580,[2]Key!$C$20:$D$29,2,FALSE)</f>
        <v>Businessman</v>
      </c>
      <c r="AD580" s="23">
        <v>1</v>
      </c>
      <c r="AE580" s="30" t="str">
        <f>VLOOKUP(AD580,[2]Key!$E$20:$F$24,2,FALSE)</f>
        <v>&lt;300,000</v>
      </c>
      <c r="AF580" s="23">
        <v>2</v>
      </c>
      <c r="AG580" s="50">
        <v>5</v>
      </c>
      <c r="AH580" s="50">
        <v>4</v>
      </c>
      <c r="AI580" s="50">
        <v>1</v>
      </c>
      <c r="AJ580" s="50">
        <v>5</v>
      </c>
      <c r="AK580" s="46" t="s">
        <v>94</v>
      </c>
      <c r="AL580" s="36">
        <v>1000</v>
      </c>
      <c r="AM580" t="str">
        <f t="shared" si="39"/>
        <v>1000-2000</v>
      </c>
    </row>
    <row r="581" spans="1:46" x14ac:dyDescent="0.2">
      <c r="A581" s="44">
        <v>43761</v>
      </c>
      <c r="B581" s="48">
        <v>0.4458333333333333</v>
      </c>
      <c r="C581" s="48"/>
      <c r="D581" s="48" t="s">
        <v>248</v>
      </c>
      <c r="E581" s="13">
        <v>2</v>
      </c>
      <c r="F581" s="38" t="str">
        <f>VLOOKUP(E581,[2]Key!$A$17:$B$21,2,FALSE)</f>
        <v>Road Vehicle</v>
      </c>
      <c r="G581" s="49">
        <v>4</v>
      </c>
      <c r="H581" s="39" t="str">
        <f>VLOOKUP(G581,[2]Key!$A$2:$B$14,2,FALSE)</f>
        <v>Minibus</v>
      </c>
      <c r="I581" s="13" t="s">
        <v>109</v>
      </c>
      <c r="J581" s="13">
        <v>3</v>
      </c>
      <c r="K581" s="40" t="str">
        <f>VLOOKUP(J581,[2]Key!$A$24:$B$29,2,FALSE)</f>
        <v>40-49</v>
      </c>
      <c r="L581" s="11" t="s">
        <v>291</v>
      </c>
      <c r="M581" s="23" t="s">
        <v>268</v>
      </c>
      <c r="N581" s="13" t="s">
        <v>221</v>
      </c>
      <c r="O581" s="46">
        <v>6</v>
      </c>
      <c r="P581" s="30" t="str">
        <f>VLOOKUP(O581,[2]Key!$E$2:$F$9,2,FALSE)</f>
        <v>Leisure/Social</v>
      </c>
      <c r="Q581" s="13" t="s">
        <v>409</v>
      </c>
      <c r="R581" s="23" t="s">
        <v>223</v>
      </c>
      <c r="S581" s="13" t="s">
        <v>221</v>
      </c>
      <c r="T581" s="23">
        <v>1</v>
      </c>
      <c r="U581" s="30" t="str">
        <f>VLOOKUP(T581,[2]Key!$E$2:$F$9,2,FALSE)</f>
        <v>Home</v>
      </c>
      <c r="V581" s="30" t="str">
        <f t="shared" si="36"/>
        <v>Leisure/Social-Home</v>
      </c>
      <c r="W581" s="51">
        <v>13000</v>
      </c>
      <c r="X581" s="50"/>
      <c r="Y581" s="50" t="str">
        <f t="shared" si="37"/>
        <v>0-10</v>
      </c>
      <c r="Z581" s="50">
        <v>3</v>
      </c>
      <c r="AA581" s="50" t="str">
        <f t="shared" si="38"/>
        <v>2.0-3.5</v>
      </c>
      <c r="AB581" s="23">
        <v>2</v>
      </c>
      <c r="AC581" s="30" t="str">
        <f>VLOOKUP(AB581,[2]Key!$C$20:$D$29,2,FALSE)</f>
        <v>Manual Labour</v>
      </c>
      <c r="AD581" s="23">
        <v>1</v>
      </c>
      <c r="AE581" s="30" t="str">
        <f>VLOOKUP(AD581,[2]Key!$E$20:$F$24,2,FALSE)</f>
        <v>&lt;300,000</v>
      </c>
      <c r="AF581" s="23">
        <v>3</v>
      </c>
      <c r="AG581" s="50">
        <v>2</v>
      </c>
      <c r="AH581" s="50">
        <v>4</v>
      </c>
      <c r="AI581" s="50">
        <v>1</v>
      </c>
      <c r="AJ581" s="50">
        <v>5</v>
      </c>
      <c r="AK581" s="46" t="s">
        <v>94</v>
      </c>
      <c r="AL581" s="36"/>
      <c r="AM581" t="str">
        <f t="shared" si="39"/>
        <v>0-1000</v>
      </c>
    </row>
    <row r="582" spans="1:46" x14ac:dyDescent="0.2">
      <c r="A582" s="44">
        <v>43761</v>
      </c>
      <c r="B582" s="48">
        <v>0.32013888888888892</v>
      </c>
      <c r="C582" s="48"/>
      <c r="D582" s="48" t="s">
        <v>150</v>
      </c>
      <c r="E582" s="13">
        <v>2</v>
      </c>
      <c r="F582" s="38" t="str">
        <f>VLOOKUP(E582,[2]Key!$A$17:$B$21,2,FALSE)</f>
        <v>Road Vehicle</v>
      </c>
      <c r="G582" s="49">
        <v>4</v>
      </c>
      <c r="H582" s="39" t="str">
        <f>VLOOKUP(G582,[2]Key!$A$2:$B$14,2,FALSE)</f>
        <v>Minibus</v>
      </c>
      <c r="I582" s="13" t="s">
        <v>109</v>
      </c>
      <c r="J582" s="13">
        <v>3</v>
      </c>
      <c r="K582" s="40" t="str">
        <f>VLOOKUP(J582,[2]Key!$A$24:$B$29,2,FALSE)</f>
        <v>40-49</v>
      </c>
      <c r="L582" s="11" t="s">
        <v>257</v>
      </c>
      <c r="M582" s="23" t="s">
        <v>220</v>
      </c>
      <c r="N582" s="13" t="s">
        <v>221</v>
      </c>
      <c r="O582" s="46">
        <v>2</v>
      </c>
      <c r="P582" s="30" t="str">
        <f>VLOOKUP(O582,[2]Key!$E$2:$F$9,2,FALSE)</f>
        <v>Work</v>
      </c>
      <c r="Q582" s="13" t="s">
        <v>261</v>
      </c>
      <c r="R582" s="23" t="s">
        <v>318</v>
      </c>
      <c r="S582" s="13" t="s">
        <v>221</v>
      </c>
      <c r="T582" s="23">
        <v>2</v>
      </c>
      <c r="U582" s="30" t="str">
        <f>VLOOKUP(T582,[2]Key!$E$2:$F$9,2,FALSE)</f>
        <v>Work</v>
      </c>
      <c r="V582" s="30" t="str">
        <f t="shared" si="36"/>
        <v>Work-Work</v>
      </c>
      <c r="W582" s="51">
        <v>50000</v>
      </c>
      <c r="X582" s="50">
        <v>90</v>
      </c>
      <c r="Y582" s="50" t="str">
        <f t="shared" si="37"/>
        <v>70-100</v>
      </c>
      <c r="Z582" s="50">
        <v>2</v>
      </c>
      <c r="AA582" s="50" t="str">
        <f t="shared" si="38"/>
        <v>2.0-3.5</v>
      </c>
      <c r="AB582" s="23">
        <v>10</v>
      </c>
      <c r="AC582" s="30" t="str">
        <f>VLOOKUP(AB582,[2]Key!$C$20:$D$29,2,FALSE)</f>
        <v>Other</v>
      </c>
      <c r="AD582" s="23">
        <v>1</v>
      </c>
      <c r="AE582" s="30" t="str">
        <f>VLOOKUP(AD582,[2]Key!$E$20:$F$24,2,FALSE)</f>
        <v>&lt;300,000</v>
      </c>
      <c r="AF582" s="23">
        <v>2</v>
      </c>
      <c r="AG582" s="50">
        <v>1</v>
      </c>
      <c r="AH582" s="50">
        <v>5</v>
      </c>
      <c r="AI582" s="50">
        <v>4</v>
      </c>
      <c r="AJ582" s="50">
        <v>3</v>
      </c>
      <c r="AK582" s="46" t="s">
        <v>94</v>
      </c>
      <c r="AL582" s="36"/>
      <c r="AM582" t="str">
        <f t="shared" si="39"/>
        <v>0-1000</v>
      </c>
    </row>
    <row r="583" spans="1:46" x14ac:dyDescent="0.2">
      <c r="A583" s="44">
        <v>43759</v>
      </c>
      <c r="B583" s="48">
        <v>0.4458333333333333</v>
      </c>
      <c r="C583" s="48"/>
      <c r="D583" s="48" t="s">
        <v>97</v>
      </c>
      <c r="E583" s="13">
        <v>2</v>
      </c>
      <c r="F583" s="38" t="str">
        <f>VLOOKUP(E583,[2]Key!$A$17:$B$21,2,FALSE)</f>
        <v>Road Vehicle</v>
      </c>
      <c r="G583" s="49">
        <v>2</v>
      </c>
      <c r="H583" s="39" t="str">
        <f>VLOOKUP(G583,[2]Key!$A$2:$B$14,2,FALSE)</f>
        <v>Station Wagon</v>
      </c>
      <c r="I583" s="13" t="s">
        <v>109</v>
      </c>
      <c r="J583" s="13">
        <v>3</v>
      </c>
      <c r="K583" s="40" t="str">
        <f>VLOOKUP(J583,[2]Key!$A$24:$B$29,2,FALSE)</f>
        <v>40-49</v>
      </c>
      <c r="L583" s="11" t="s">
        <v>259</v>
      </c>
      <c r="M583" s="23" t="s">
        <v>410</v>
      </c>
      <c r="N583" s="13" t="s">
        <v>221</v>
      </c>
      <c r="O583" s="46">
        <v>2</v>
      </c>
      <c r="P583" s="30" t="str">
        <f>VLOOKUP(O583,[2]Key!$E$2:$F$9,2,FALSE)</f>
        <v>Work</v>
      </c>
      <c r="Q583" s="13" t="s">
        <v>231</v>
      </c>
      <c r="R583" s="23" t="s">
        <v>359</v>
      </c>
      <c r="S583" s="13" t="s">
        <v>221</v>
      </c>
      <c r="T583" s="23">
        <v>2</v>
      </c>
      <c r="U583" s="30" t="str">
        <f>VLOOKUP(T583,[2]Key!$E$2:$F$9,2,FALSE)</f>
        <v>Work</v>
      </c>
      <c r="V583" s="30" t="str">
        <f t="shared" si="36"/>
        <v>Work-Work</v>
      </c>
      <c r="W583" s="41">
        <v>100000</v>
      </c>
      <c r="X583" s="50">
        <v>150</v>
      </c>
      <c r="Y583" s="50" t="str">
        <f t="shared" si="37"/>
        <v>100-200</v>
      </c>
      <c r="Z583" s="50">
        <v>3</v>
      </c>
      <c r="AA583" s="50" t="str">
        <f t="shared" si="38"/>
        <v>2.0-3.5</v>
      </c>
      <c r="AB583" s="23">
        <v>10</v>
      </c>
      <c r="AC583" s="30" t="str">
        <f>VLOOKUP(AB583,[2]Key!$C$20:$D$29,2,FALSE)</f>
        <v>Other</v>
      </c>
      <c r="AD583" s="23">
        <v>2</v>
      </c>
      <c r="AE583" s="30" t="str">
        <f>VLOOKUP(AD583,[2]Key!$E$20:$F$24,2,FALSE)</f>
        <v>300,000-500,000</v>
      </c>
      <c r="AF583" s="23">
        <v>2</v>
      </c>
      <c r="AG583" s="50">
        <v>3</v>
      </c>
      <c r="AH583" s="50">
        <v>1</v>
      </c>
      <c r="AI583" s="50">
        <v>5</v>
      </c>
      <c r="AJ583" s="50">
        <v>4</v>
      </c>
      <c r="AK583" s="46" t="s">
        <v>94</v>
      </c>
      <c r="AL583" s="36"/>
      <c r="AM583" t="str">
        <f t="shared" si="39"/>
        <v>0-1000</v>
      </c>
      <c r="AN583" s="19"/>
      <c r="AO583" s="19"/>
      <c r="AP583" s="19"/>
      <c r="AQ583" s="19"/>
      <c r="AR583" s="19"/>
      <c r="AS583" s="19"/>
      <c r="AT583" s="19"/>
    </row>
    <row r="584" spans="1:46" x14ac:dyDescent="0.2">
      <c r="A584" s="44">
        <v>43759</v>
      </c>
      <c r="B584" s="48">
        <v>0.4458333333333333</v>
      </c>
      <c r="C584" s="48"/>
      <c r="D584" s="48" t="s">
        <v>150</v>
      </c>
      <c r="E584" s="13">
        <v>2</v>
      </c>
      <c r="F584" s="38" t="str">
        <f>VLOOKUP(E584,[1]Key!$A$17:$B$21,2,FALSE)</f>
        <v>Road Vehicle</v>
      </c>
      <c r="G584" s="49">
        <v>2</v>
      </c>
      <c r="H584" s="39" t="str">
        <f>VLOOKUP(G584,[2]Key!$A$2:$B$14,2,FALSE)</f>
        <v>Station Wagon</v>
      </c>
      <c r="I584" s="13" t="s">
        <v>109</v>
      </c>
      <c r="J584" s="13">
        <v>3</v>
      </c>
      <c r="K584" s="40" t="str">
        <f>VLOOKUP(J584,[1]Key!$A$24:$B$29,2,FALSE)</f>
        <v>40-49</v>
      </c>
      <c r="L584" s="11" t="s">
        <v>328</v>
      </c>
      <c r="M584" s="23" t="s">
        <v>247</v>
      </c>
      <c r="N584" s="13" t="s">
        <v>221</v>
      </c>
      <c r="O584" s="46">
        <v>1</v>
      </c>
      <c r="P584" s="30" t="str">
        <f>VLOOKUP(O584,[1]Key!$E$2:$F$9,2,FALSE)</f>
        <v>Home</v>
      </c>
      <c r="Q584" s="13" t="s">
        <v>222</v>
      </c>
      <c r="R584" s="23" t="s">
        <v>223</v>
      </c>
      <c r="S584" s="13" t="s">
        <v>221</v>
      </c>
      <c r="T584" s="23">
        <v>2</v>
      </c>
      <c r="U584" s="30" t="str">
        <f>VLOOKUP(T584,[1]Key!$E$2:$F$9,2,FALSE)</f>
        <v>Work</v>
      </c>
      <c r="V584" s="30" t="str">
        <f t="shared" si="36"/>
        <v>Home-Work</v>
      </c>
      <c r="W584" s="41">
        <v>5000</v>
      </c>
      <c r="X584" s="50">
        <v>50</v>
      </c>
      <c r="Y584" s="50" t="str">
        <f t="shared" si="37"/>
        <v>40-70</v>
      </c>
      <c r="Z584" s="50">
        <v>0.83330000000000004</v>
      </c>
      <c r="AA584" s="50" t="str">
        <f t="shared" si="38"/>
        <v>0.5-1.0</v>
      </c>
      <c r="AB584" s="23">
        <v>6</v>
      </c>
      <c r="AC584" s="30" t="str">
        <f>VLOOKUP(AB584,[1]Key!$C$20:$D$29,2,FALSE)</f>
        <v>Businessman</v>
      </c>
      <c r="AD584" s="23">
        <v>1</v>
      </c>
      <c r="AE584" s="30" t="str">
        <f>VLOOKUP(AD584,[1]Key!$E$20:$F$24,2,FALSE)</f>
        <v>&lt;300,000</v>
      </c>
      <c r="AF584" s="23">
        <v>1</v>
      </c>
      <c r="AG584" s="50">
        <v>3</v>
      </c>
      <c r="AH584" s="50">
        <v>4</v>
      </c>
      <c r="AI584" s="50">
        <v>2</v>
      </c>
      <c r="AJ584" s="50">
        <v>5</v>
      </c>
      <c r="AK584" s="46" t="s">
        <v>94</v>
      </c>
      <c r="AL584" s="36">
        <v>2000</v>
      </c>
      <c r="AM584" t="str">
        <f t="shared" si="39"/>
        <v>2000-3000</v>
      </c>
    </row>
    <row r="585" spans="1:46" x14ac:dyDescent="0.2">
      <c r="A585" s="44">
        <v>43760</v>
      </c>
      <c r="B585" s="48">
        <v>0.15833333333333333</v>
      </c>
      <c r="C585" s="48"/>
      <c r="D585" s="48" t="s">
        <v>97</v>
      </c>
      <c r="E585" s="13">
        <v>2</v>
      </c>
      <c r="F585" s="38" t="str">
        <f>VLOOKUP(E585,[2]Key!$A$17:$B$21,2,FALSE)</f>
        <v>Road Vehicle</v>
      </c>
      <c r="G585" s="49">
        <v>2</v>
      </c>
      <c r="H585" s="39" t="str">
        <f>VLOOKUP(G585,[2]Key!$A$2:$B$14,2,FALSE)</f>
        <v>Station Wagon</v>
      </c>
      <c r="I585" s="13" t="s">
        <v>109</v>
      </c>
      <c r="J585" s="13">
        <v>3</v>
      </c>
      <c r="K585" s="40" t="str">
        <f>VLOOKUP(J585,[2]Key!$A$24:$B$29,2,FALSE)</f>
        <v>40-49</v>
      </c>
      <c r="L585" s="11" t="s">
        <v>228</v>
      </c>
      <c r="M585" s="23" t="s">
        <v>220</v>
      </c>
      <c r="N585" s="13" t="s">
        <v>221</v>
      </c>
      <c r="O585" s="46">
        <v>1</v>
      </c>
      <c r="P585" s="30" t="str">
        <f>VLOOKUP(O585,[2]Key!$E$2:$F$9,2,FALSE)</f>
        <v>Home</v>
      </c>
      <c r="Q585" s="13" t="s">
        <v>385</v>
      </c>
      <c r="R585" s="23" t="s">
        <v>223</v>
      </c>
      <c r="S585" s="13" t="s">
        <v>221</v>
      </c>
      <c r="T585" s="23">
        <v>5</v>
      </c>
      <c r="U585" s="30" t="str">
        <f>VLOOKUP(T585,[2]Key!$E$2:$F$9,2,FALSE)</f>
        <v>Tourism</v>
      </c>
      <c r="V585" s="30" t="str">
        <f t="shared" si="36"/>
        <v>Home-Tourism</v>
      </c>
      <c r="W585" s="51">
        <v>30000</v>
      </c>
      <c r="X585" s="50">
        <v>12</v>
      </c>
      <c r="Y585" s="50" t="str">
        <f t="shared" si="37"/>
        <v>10-20</v>
      </c>
      <c r="Z585" s="50">
        <v>0.33329999999999999</v>
      </c>
      <c r="AA585" s="50" t="str">
        <f t="shared" si="38"/>
        <v>0-0.5</v>
      </c>
      <c r="AB585" s="23">
        <v>5</v>
      </c>
      <c r="AC585" s="30" t="str">
        <f>VLOOKUP(AB585,[2]Key!$C$20:$D$29,2,FALSE)</f>
        <v>Professional</v>
      </c>
      <c r="AD585" s="23">
        <v>3</v>
      </c>
      <c r="AE585" s="30" t="str">
        <f>VLOOKUP(AD585,[2]Key!$E$20:$F$24,2,FALSE)</f>
        <v>500,000-750,000</v>
      </c>
      <c r="AF585" s="23">
        <v>2</v>
      </c>
      <c r="AG585" s="50">
        <v>1</v>
      </c>
      <c r="AH585" s="50">
        <v>4</v>
      </c>
      <c r="AI585" s="50">
        <v>3</v>
      </c>
      <c r="AJ585" s="50">
        <v>5</v>
      </c>
      <c r="AK585" s="46" t="s">
        <v>94</v>
      </c>
      <c r="AL585" s="36">
        <v>2000</v>
      </c>
      <c r="AM585" t="str">
        <f t="shared" si="39"/>
        <v>2000-3000</v>
      </c>
    </row>
    <row r="586" spans="1:46" x14ac:dyDescent="0.2">
      <c r="A586" s="44">
        <v>43761</v>
      </c>
      <c r="B586" s="48"/>
      <c r="C586" s="48"/>
      <c r="D586" s="48" t="s">
        <v>150</v>
      </c>
      <c r="E586" s="13">
        <v>2</v>
      </c>
      <c r="F586" s="38" t="str">
        <f>VLOOKUP(E586,[2]Key!$A$17:$B$21,2,FALSE)</f>
        <v>Road Vehicle</v>
      </c>
      <c r="G586" s="49">
        <v>1</v>
      </c>
      <c r="H586" s="39" t="str">
        <f>VLOOKUP(G586,[2]Key!$A$2:$B$14,2,FALSE)</f>
        <v>Car</v>
      </c>
      <c r="I586" s="13" t="s">
        <v>109</v>
      </c>
      <c r="J586" s="13">
        <v>4</v>
      </c>
      <c r="K586" s="40" t="str">
        <f>VLOOKUP(J586,[2]Key!$A$24:$B$29,2,FALSE)</f>
        <v>50-59</v>
      </c>
      <c r="L586" s="11" t="s">
        <v>277</v>
      </c>
      <c r="M586" s="23" t="s">
        <v>220</v>
      </c>
      <c r="N586" s="13" t="s">
        <v>221</v>
      </c>
      <c r="O586" s="46">
        <v>2</v>
      </c>
      <c r="P586" s="30" t="str">
        <f>VLOOKUP(O586,[2]Key!$E$2:$F$9,2,FALSE)</f>
        <v>Work</v>
      </c>
      <c r="Q586" s="13" t="s">
        <v>411</v>
      </c>
      <c r="R586" s="23" t="s">
        <v>344</v>
      </c>
      <c r="S586" s="13" t="s">
        <v>221</v>
      </c>
      <c r="T586" s="23">
        <v>2</v>
      </c>
      <c r="U586" s="30" t="str">
        <f>VLOOKUP(T586,[2]Key!$E$2:$F$9,2,FALSE)</f>
        <v>Work</v>
      </c>
      <c r="V586" s="30" t="str">
        <f t="shared" si="36"/>
        <v>Work-Work</v>
      </c>
      <c r="W586" s="23">
        <v>5000</v>
      </c>
      <c r="X586" s="50"/>
      <c r="Y586" s="50" t="str">
        <f t="shared" si="37"/>
        <v>0-10</v>
      </c>
      <c r="Z586" s="50">
        <v>1.5</v>
      </c>
      <c r="AA586" s="50" t="str">
        <f t="shared" si="38"/>
        <v>1.0-2.0</v>
      </c>
      <c r="AB586" s="23">
        <v>7</v>
      </c>
      <c r="AC586" s="30" t="str">
        <f>VLOOKUP(AB586,[2]Key!$C$20:$D$29,2,FALSE)</f>
        <v>Farmer</v>
      </c>
      <c r="AD586" s="23">
        <v>2</v>
      </c>
      <c r="AE586" s="30" t="str">
        <f>VLOOKUP(AD586,[2]Key!$E$20:$F$24,2,FALSE)</f>
        <v>300,000-500,000</v>
      </c>
      <c r="AF586" s="23">
        <v>2</v>
      </c>
      <c r="AG586" s="50">
        <v>1</v>
      </c>
      <c r="AH586" s="50">
        <v>4</v>
      </c>
      <c r="AI586" s="50">
        <v>5</v>
      </c>
      <c r="AJ586" s="50">
        <v>3</v>
      </c>
      <c r="AK586" s="46" t="s">
        <v>94</v>
      </c>
      <c r="AL586" s="36">
        <v>3000</v>
      </c>
      <c r="AM586" t="str">
        <f t="shared" si="39"/>
        <v>3000-5000</v>
      </c>
    </row>
    <row r="587" spans="1:46" x14ac:dyDescent="0.2">
      <c r="A587" s="44">
        <v>43760</v>
      </c>
      <c r="B587" s="48">
        <v>0.47083333333333338</v>
      </c>
      <c r="C587" s="48"/>
      <c r="D587" s="48" t="s">
        <v>150</v>
      </c>
      <c r="E587" s="13">
        <v>2</v>
      </c>
      <c r="F587" s="38" t="str">
        <f>VLOOKUP(E587,[2]Key!$A$17:$B$21,2,FALSE)</f>
        <v>Road Vehicle</v>
      </c>
      <c r="G587" s="49">
        <v>6</v>
      </c>
      <c r="H587" s="39" t="str">
        <f>VLOOKUP(G587,[2]Key!$A$2:$B$14,2,FALSE)</f>
        <v>Large Bus</v>
      </c>
      <c r="I587" s="13" t="s">
        <v>109</v>
      </c>
      <c r="J587" s="13">
        <v>4</v>
      </c>
      <c r="K587" s="40" t="str">
        <f>VLOOKUP(J587,[2]Key!$A$24:$B$29,2,FALSE)</f>
        <v>50-59</v>
      </c>
      <c r="L587" s="11" t="s">
        <v>238</v>
      </c>
      <c r="M587" s="23" t="s">
        <v>220</v>
      </c>
      <c r="N587" s="13" t="s">
        <v>221</v>
      </c>
      <c r="O587" s="46">
        <v>1</v>
      </c>
      <c r="P587" s="30" t="str">
        <f>VLOOKUP(O587,[2]Key!$E$2:$F$9,2,FALSE)</f>
        <v>Home</v>
      </c>
      <c r="Q587" s="13" t="s">
        <v>412</v>
      </c>
      <c r="R587" s="23" t="s">
        <v>352</v>
      </c>
      <c r="S587" s="13" t="s">
        <v>221</v>
      </c>
      <c r="T587" s="23">
        <v>6</v>
      </c>
      <c r="U587" s="30" t="str">
        <f>VLOOKUP(T587,[2]Key!$E$2:$F$9,2,FALSE)</f>
        <v>Leisure/Social</v>
      </c>
      <c r="V587" s="30" t="str">
        <f t="shared" si="36"/>
        <v>Home-Leisure/Social</v>
      </c>
      <c r="W587" s="51">
        <v>20000</v>
      </c>
      <c r="X587" s="50"/>
      <c r="Y587" s="50" t="str">
        <f t="shared" si="37"/>
        <v>0-10</v>
      </c>
      <c r="Z587" s="50">
        <v>7</v>
      </c>
      <c r="AA587" s="50" t="str">
        <f t="shared" si="38"/>
        <v>Over 3.5</v>
      </c>
      <c r="AB587" s="23">
        <v>9</v>
      </c>
      <c r="AC587" s="30" t="str">
        <f>VLOOKUP(AB587,[2]Key!$C$20:$D$29,2,FALSE)</f>
        <v>Retired</v>
      </c>
      <c r="AD587" s="23">
        <v>3</v>
      </c>
      <c r="AE587" s="30" t="str">
        <f>VLOOKUP(AD587,[2]Key!$E$20:$F$24,2,FALSE)</f>
        <v>500,000-750,000</v>
      </c>
      <c r="AF587" s="23">
        <v>1</v>
      </c>
      <c r="AG587" s="50">
        <v>5</v>
      </c>
      <c r="AH587" s="50">
        <v>2</v>
      </c>
      <c r="AI587" s="50">
        <v>3</v>
      </c>
      <c r="AJ587" s="50">
        <v>4</v>
      </c>
      <c r="AK587" s="46" t="s">
        <v>94</v>
      </c>
      <c r="AL587" s="36">
        <v>2000</v>
      </c>
      <c r="AM587" t="str">
        <f t="shared" si="39"/>
        <v>2000-3000</v>
      </c>
    </row>
    <row r="588" spans="1:46" x14ac:dyDescent="0.2">
      <c r="A588" s="44">
        <v>43761</v>
      </c>
      <c r="B588" s="48">
        <v>0.42291666666666666</v>
      </c>
      <c r="C588" s="48"/>
      <c r="D588" s="48" t="s">
        <v>248</v>
      </c>
      <c r="E588" s="13">
        <v>2</v>
      </c>
      <c r="F588" s="38" t="str">
        <f>VLOOKUP(E588,[2]Key!$A$17:$B$21,2,FALSE)</f>
        <v>Road Vehicle</v>
      </c>
      <c r="G588" s="49">
        <v>6</v>
      </c>
      <c r="H588" s="39" t="str">
        <f>VLOOKUP(G588,[2]Key!$A$2:$B$14,2,FALSE)</f>
        <v>Large Bus</v>
      </c>
      <c r="I588" s="13" t="s">
        <v>109</v>
      </c>
      <c r="J588" s="13">
        <v>4</v>
      </c>
      <c r="K588" s="40" t="str">
        <f>VLOOKUP(J588,[2]Key!$A$24:$B$29,2,FALSE)</f>
        <v>50-59</v>
      </c>
      <c r="L588" s="11" t="s">
        <v>253</v>
      </c>
      <c r="M588" s="23" t="s">
        <v>223</v>
      </c>
      <c r="N588" s="13" t="s">
        <v>221</v>
      </c>
      <c r="O588" s="46">
        <v>6</v>
      </c>
      <c r="P588" s="30" t="str">
        <f>VLOOKUP(O588,[2]Key!$E$2:$F$9,2,FALSE)</f>
        <v>Leisure/Social</v>
      </c>
      <c r="Q588" s="13" t="s">
        <v>349</v>
      </c>
      <c r="R588" s="23" t="s">
        <v>256</v>
      </c>
      <c r="S588" s="13" t="s">
        <v>221</v>
      </c>
      <c r="T588" s="23">
        <v>1</v>
      </c>
      <c r="U588" s="30" t="str">
        <f>VLOOKUP(T588,[2]Key!$E$2:$F$9,2,FALSE)</f>
        <v>Home</v>
      </c>
      <c r="V588" s="30" t="str">
        <f t="shared" si="36"/>
        <v>Leisure/Social-Home</v>
      </c>
      <c r="W588" s="23">
        <v>12000</v>
      </c>
      <c r="X588" s="50"/>
      <c r="Y588" s="50" t="str">
        <f t="shared" si="37"/>
        <v>0-10</v>
      </c>
      <c r="Z588" s="50">
        <v>4</v>
      </c>
      <c r="AA588" s="50" t="str">
        <f t="shared" si="38"/>
        <v>Over 3.5</v>
      </c>
      <c r="AB588" s="23">
        <v>4</v>
      </c>
      <c r="AC588" s="30" t="str">
        <f>VLOOKUP(AB588,[2]Key!$C$20:$D$29,2,FALSE)</f>
        <v>Office Worker</v>
      </c>
      <c r="AD588" s="23">
        <v>3</v>
      </c>
      <c r="AE588" s="30" t="str">
        <f>VLOOKUP(AD588,[2]Key!$E$20:$F$24,2,FALSE)</f>
        <v>500,000-750,000</v>
      </c>
      <c r="AF588" s="23">
        <v>3</v>
      </c>
      <c r="AG588" s="50">
        <v>4</v>
      </c>
      <c r="AH588" s="50">
        <v>1</v>
      </c>
      <c r="AI588" s="50">
        <v>2</v>
      </c>
      <c r="AJ588" s="50">
        <v>5</v>
      </c>
      <c r="AK588" s="46" t="s">
        <v>94</v>
      </c>
      <c r="AL588" s="36">
        <v>1500</v>
      </c>
      <c r="AM588" t="str">
        <f t="shared" si="39"/>
        <v>1000-2000</v>
      </c>
    </row>
    <row r="589" spans="1:46" x14ac:dyDescent="0.2">
      <c r="A589" s="44">
        <v>43761</v>
      </c>
      <c r="B589" s="48">
        <v>0.29305555555555557</v>
      </c>
      <c r="C589" s="48"/>
      <c r="D589" s="48" t="s">
        <v>97</v>
      </c>
      <c r="E589" s="13">
        <v>2</v>
      </c>
      <c r="F589" s="38" t="str">
        <f>VLOOKUP(E589,[2]Key!$A$17:$B$21,2,FALSE)</f>
        <v>Road Vehicle</v>
      </c>
      <c r="G589" s="49">
        <v>6</v>
      </c>
      <c r="H589" s="39" t="str">
        <f>VLOOKUP(G589,[2]Key!$A$2:$B$14,2,FALSE)</f>
        <v>Large Bus</v>
      </c>
      <c r="I589" s="13" t="s">
        <v>109</v>
      </c>
      <c r="J589" s="13">
        <v>4</v>
      </c>
      <c r="K589" s="40" t="str">
        <f>VLOOKUP(J589,[2]Key!$A$24:$B$29,2,FALSE)</f>
        <v>50-59</v>
      </c>
      <c r="L589" s="11" t="s">
        <v>413</v>
      </c>
      <c r="M589" s="23" t="s">
        <v>220</v>
      </c>
      <c r="N589" s="13" t="s">
        <v>221</v>
      </c>
      <c r="O589" s="46">
        <v>2</v>
      </c>
      <c r="P589" s="30" t="str">
        <f>VLOOKUP(O589,[2]Key!$E$2:$F$9,2,FALSE)</f>
        <v>Work</v>
      </c>
      <c r="Q589" s="13" t="s">
        <v>413</v>
      </c>
      <c r="R589" s="23" t="s">
        <v>274</v>
      </c>
      <c r="S589" s="13" t="s">
        <v>221</v>
      </c>
      <c r="T589" s="23">
        <v>2</v>
      </c>
      <c r="U589" s="30" t="str">
        <f>VLOOKUP(T589,[2]Key!$E$2:$F$9,2,FALSE)</f>
        <v>Work</v>
      </c>
      <c r="V589" s="30" t="str">
        <f t="shared" si="36"/>
        <v>Work-Work</v>
      </c>
      <c r="W589" s="51">
        <v>1000000</v>
      </c>
      <c r="X589" s="50">
        <v>450</v>
      </c>
      <c r="Y589" s="50" t="str">
        <f t="shared" si="37"/>
        <v>Over 200</v>
      </c>
      <c r="Z589" s="50">
        <v>8</v>
      </c>
      <c r="AA589" s="50" t="str">
        <f t="shared" si="38"/>
        <v>Over 3.5</v>
      </c>
      <c r="AB589" s="23">
        <v>10</v>
      </c>
      <c r="AC589" s="30" t="str">
        <f>VLOOKUP(AB589,[2]Key!$C$20:$D$29,2,FALSE)</f>
        <v>Other</v>
      </c>
      <c r="AD589" s="23">
        <v>3</v>
      </c>
      <c r="AE589" s="30" t="str">
        <f>VLOOKUP(AD589,[2]Key!$E$20:$F$24,2,FALSE)</f>
        <v>500,000-750,000</v>
      </c>
      <c r="AF589" s="23">
        <v>2</v>
      </c>
      <c r="AG589" s="50">
        <v>3</v>
      </c>
      <c r="AH589" s="50">
        <v>5</v>
      </c>
      <c r="AI589" s="50">
        <v>1</v>
      </c>
      <c r="AJ589" s="50">
        <v>4</v>
      </c>
      <c r="AK589" s="46" t="s">
        <v>94</v>
      </c>
      <c r="AL589" s="36">
        <v>5000</v>
      </c>
      <c r="AM589" t="str">
        <f t="shared" si="39"/>
        <v>5000-10000</v>
      </c>
    </row>
    <row r="590" spans="1:46" x14ac:dyDescent="0.2">
      <c r="A590" s="44">
        <v>43759</v>
      </c>
      <c r="B590" s="48">
        <v>0.44444444444444442</v>
      </c>
      <c r="C590" s="48"/>
      <c r="D590" s="48" t="s">
        <v>150</v>
      </c>
      <c r="E590" s="13">
        <v>2</v>
      </c>
      <c r="F590" s="38" t="str">
        <f>VLOOKUP(E590,[1]Key!$A$17:$B$21,2,FALSE)</f>
        <v>Road Vehicle</v>
      </c>
      <c r="G590" s="49">
        <v>4</v>
      </c>
      <c r="H590" s="39" t="str">
        <f>VLOOKUP(G590,[2]Key!$A$2:$B$14,2,FALSE)</f>
        <v>Minibus</v>
      </c>
      <c r="I590" s="13" t="s">
        <v>156</v>
      </c>
      <c r="J590" s="13">
        <v>4</v>
      </c>
      <c r="K590" s="40" t="str">
        <f>VLOOKUP(J590,[1]Key!$A$24:$B$29,2,FALSE)</f>
        <v>50-59</v>
      </c>
      <c r="L590" s="11" t="s">
        <v>324</v>
      </c>
      <c r="M590" s="23" t="s">
        <v>220</v>
      </c>
      <c r="N590" s="13" t="s">
        <v>221</v>
      </c>
      <c r="O590" s="46">
        <v>2</v>
      </c>
      <c r="P590" s="30" t="str">
        <f>VLOOKUP(O590,[1]Key!$E$2:$F$9,2,FALSE)</f>
        <v>Work</v>
      </c>
      <c r="Q590" s="13" t="s">
        <v>263</v>
      </c>
      <c r="R590" s="23" t="s">
        <v>263</v>
      </c>
      <c r="S590" s="13" t="s">
        <v>221</v>
      </c>
      <c r="T590" s="23">
        <v>4</v>
      </c>
      <c r="U590" s="30" t="str">
        <f>VLOOKUP(T590,[1]Key!$E$2:$F$9,2,FALSE)</f>
        <v>Commercial</v>
      </c>
      <c r="V590" s="30" t="str">
        <f t="shared" si="36"/>
        <v>Work-Commercial</v>
      </c>
      <c r="W590" s="41">
        <v>7000</v>
      </c>
      <c r="X590" s="50">
        <v>78</v>
      </c>
      <c r="Y590" s="50" t="str">
        <f t="shared" si="37"/>
        <v>70-100</v>
      </c>
      <c r="Z590" s="50">
        <v>2</v>
      </c>
      <c r="AA590" s="50" t="str">
        <f t="shared" si="38"/>
        <v>2.0-3.5</v>
      </c>
      <c r="AB590" s="23">
        <v>6</v>
      </c>
      <c r="AC590" s="30" t="str">
        <f>VLOOKUP(AB590,[1]Key!$C$20:$D$29,2,FALSE)</f>
        <v>Businessman</v>
      </c>
      <c r="AD590" s="23">
        <v>5</v>
      </c>
      <c r="AE590" s="30" t="str">
        <f>VLOOKUP(AD590,[1]Key!$E$20:$F$24,2,FALSE)</f>
        <v>&gt;1,000,000</v>
      </c>
      <c r="AF590" s="23">
        <v>1</v>
      </c>
      <c r="AG590" s="50">
        <v>2</v>
      </c>
      <c r="AH590" s="50">
        <v>5</v>
      </c>
      <c r="AI590" s="50">
        <v>3</v>
      </c>
      <c r="AJ590" s="50">
        <v>4</v>
      </c>
      <c r="AK590" s="46" t="s">
        <v>94</v>
      </c>
      <c r="AL590" s="36"/>
      <c r="AM590" t="str">
        <f t="shared" si="39"/>
        <v>0-1000</v>
      </c>
    </row>
    <row r="591" spans="1:46" x14ac:dyDescent="0.2">
      <c r="A591" s="44">
        <v>43759</v>
      </c>
      <c r="B591" s="48">
        <v>0.50694444444444442</v>
      </c>
      <c r="C591" s="48"/>
      <c r="D591" s="48" t="s">
        <v>150</v>
      </c>
      <c r="E591" s="13">
        <v>2</v>
      </c>
      <c r="F591" s="38" t="str">
        <f>VLOOKUP(E591,[1]Key!$A$17:$B$21,2,FALSE)</f>
        <v>Road Vehicle</v>
      </c>
      <c r="G591" s="49">
        <v>4</v>
      </c>
      <c r="H591" s="39" t="str">
        <f>VLOOKUP(G591,[2]Key!$A$2:$B$14,2,FALSE)</f>
        <v>Minibus</v>
      </c>
      <c r="I591" s="13" t="s">
        <v>156</v>
      </c>
      <c r="J591" s="13">
        <v>4</v>
      </c>
      <c r="K591" s="40" t="str">
        <f>VLOOKUP(J591,[1]Key!$A$24:$B$29,2,FALSE)</f>
        <v>50-59</v>
      </c>
      <c r="L591" s="11" t="s">
        <v>228</v>
      </c>
      <c r="M591" s="23" t="s">
        <v>220</v>
      </c>
      <c r="N591" s="13" t="s">
        <v>221</v>
      </c>
      <c r="O591" s="46">
        <v>1</v>
      </c>
      <c r="P591" s="30" t="str">
        <f>VLOOKUP(O591,[1]Key!$E$2:$F$9,2,FALSE)</f>
        <v>Home</v>
      </c>
      <c r="Q591" s="13" t="s">
        <v>222</v>
      </c>
      <c r="R591" s="23" t="s">
        <v>223</v>
      </c>
      <c r="S591" s="13" t="s">
        <v>221</v>
      </c>
      <c r="T591" s="23">
        <v>6</v>
      </c>
      <c r="U591" s="30" t="str">
        <f>VLOOKUP(T591,[1]Key!$E$2:$F$9,2,FALSE)</f>
        <v>Leisure/Social</v>
      </c>
      <c r="V591" s="30" t="str">
        <f t="shared" si="36"/>
        <v>Home-Leisure/Social</v>
      </c>
      <c r="W591" s="23">
        <v>4000</v>
      </c>
      <c r="X591" s="50">
        <v>30</v>
      </c>
      <c r="Y591" s="50" t="str">
        <f t="shared" si="37"/>
        <v>20-40</v>
      </c>
      <c r="Z591" s="50">
        <v>0.25</v>
      </c>
      <c r="AA591" s="50" t="str">
        <f t="shared" si="38"/>
        <v>0-0.5</v>
      </c>
      <c r="AB591" s="23">
        <v>9</v>
      </c>
      <c r="AC591" s="30" t="str">
        <f>VLOOKUP(AB591,[1]Key!$C$20:$D$29,2,FALSE)</f>
        <v>Retired</v>
      </c>
      <c r="AD591" s="23">
        <v>2</v>
      </c>
      <c r="AE591" s="30" t="str">
        <f>VLOOKUP(AD591,[1]Key!$E$20:$F$24,2,FALSE)</f>
        <v>300,000-500,000</v>
      </c>
      <c r="AF591" s="23">
        <v>1</v>
      </c>
      <c r="AG591" s="50">
        <v>5</v>
      </c>
      <c r="AH591" s="50">
        <v>3</v>
      </c>
      <c r="AI591" s="50">
        <v>2</v>
      </c>
      <c r="AJ591" s="50">
        <v>4</v>
      </c>
      <c r="AK591" s="46" t="s">
        <v>94</v>
      </c>
      <c r="AL591" s="36"/>
      <c r="AM591" t="str">
        <f t="shared" si="39"/>
        <v>0-1000</v>
      </c>
    </row>
    <row r="592" spans="1:46" x14ac:dyDescent="0.2">
      <c r="A592" s="44">
        <v>43761</v>
      </c>
      <c r="B592" s="48">
        <v>0.17291666666666669</v>
      </c>
      <c r="C592" s="48"/>
      <c r="D592" s="48" t="s">
        <v>248</v>
      </c>
      <c r="E592" s="13">
        <v>2</v>
      </c>
      <c r="F592" s="38" t="str">
        <f>VLOOKUP(E592,[2]Key!$A$17:$B$21,2,FALSE)</f>
        <v>Road Vehicle</v>
      </c>
      <c r="G592" s="49">
        <v>4</v>
      </c>
      <c r="H592" s="39" t="str">
        <f>VLOOKUP(G592,[2]Key!$A$2:$B$14,2,FALSE)</f>
        <v>Minibus</v>
      </c>
      <c r="I592" s="13" t="s">
        <v>156</v>
      </c>
      <c r="J592" s="13">
        <v>4</v>
      </c>
      <c r="K592" s="40" t="str">
        <f>VLOOKUP(J592,[2]Key!$A$24:$B$29,2,FALSE)</f>
        <v>50-59</v>
      </c>
      <c r="L592" s="11" t="s">
        <v>393</v>
      </c>
      <c r="M592" s="23" t="s">
        <v>220</v>
      </c>
      <c r="N592" s="13" t="s">
        <v>221</v>
      </c>
      <c r="O592" s="46">
        <v>8</v>
      </c>
      <c r="P592" s="30" t="str">
        <f>VLOOKUP(O592,[2]Key!$E$2:$F$9,2,FALSE)</f>
        <v>Others</v>
      </c>
      <c r="Q592" s="13" t="s">
        <v>414</v>
      </c>
      <c r="R592" s="23" t="s">
        <v>318</v>
      </c>
      <c r="S592" s="13" t="s">
        <v>221</v>
      </c>
      <c r="T592" s="23">
        <v>2</v>
      </c>
      <c r="U592" s="30" t="str">
        <f>VLOOKUP(T592,[2]Key!$E$2:$F$9,2,FALSE)</f>
        <v>Work</v>
      </c>
      <c r="V592" s="30" t="str">
        <f t="shared" si="36"/>
        <v>Others-Work</v>
      </c>
      <c r="W592" s="51">
        <v>11000</v>
      </c>
      <c r="X592" s="50"/>
      <c r="Y592" s="50" t="str">
        <f t="shared" si="37"/>
        <v>0-10</v>
      </c>
      <c r="Z592" s="50">
        <v>2</v>
      </c>
      <c r="AA592" s="50" t="str">
        <f t="shared" si="38"/>
        <v>2.0-3.5</v>
      </c>
      <c r="AB592" s="23">
        <v>4</v>
      </c>
      <c r="AC592" s="30" t="str">
        <f>VLOOKUP(AB592,[2]Key!$C$20:$D$29,2,FALSE)</f>
        <v>Office Worker</v>
      </c>
      <c r="AD592" s="23">
        <v>2</v>
      </c>
      <c r="AE592" s="30" t="str">
        <f>VLOOKUP(AD592,[2]Key!$E$20:$F$24,2,FALSE)</f>
        <v>300,000-500,000</v>
      </c>
      <c r="AF592" s="23">
        <v>2</v>
      </c>
      <c r="AG592" s="50">
        <v>5</v>
      </c>
      <c r="AH592" s="50">
        <v>1</v>
      </c>
      <c r="AI592" s="50">
        <v>3</v>
      </c>
      <c r="AJ592" s="50">
        <v>4</v>
      </c>
      <c r="AK592" s="46" t="s">
        <v>94</v>
      </c>
      <c r="AL592" s="36"/>
      <c r="AM592" t="str">
        <f t="shared" si="39"/>
        <v>0-1000</v>
      </c>
    </row>
    <row r="593" spans="1:46" x14ac:dyDescent="0.2">
      <c r="A593" s="44">
        <v>43759</v>
      </c>
      <c r="B593" s="48">
        <v>0.47291666666666665</v>
      </c>
      <c r="C593" s="48"/>
      <c r="D593" s="48" t="s">
        <v>150</v>
      </c>
      <c r="E593" s="13">
        <v>2</v>
      </c>
      <c r="F593" s="38" t="str">
        <f>VLOOKUP(E593,[2]Key!$A$17:$B$21,2,FALSE)</f>
        <v>Road Vehicle</v>
      </c>
      <c r="G593" s="49">
        <v>4</v>
      </c>
      <c r="H593" s="39" t="str">
        <f>VLOOKUP(G593,[2]Key!$A$2:$B$14,2,FALSE)</f>
        <v>Minibus</v>
      </c>
      <c r="I593" s="13" t="s">
        <v>109</v>
      </c>
      <c r="J593" s="13">
        <v>4</v>
      </c>
      <c r="K593" s="40" t="str">
        <f>VLOOKUP(J593,[2]Key!$A$24:$B$29,2,FALSE)</f>
        <v>50-59</v>
      </c>
      <c r="L593" s="11" t="s">
        <v>225</v>
      </c>
      <c r="M593" s="23" t="s">
        <v>223</v>
      </c>
      <c r="N593" s="13" t="s">
        <v>221</v>
      </c>
      <c r="O593" s="46">
        <v>1</v>
      </c>
      <c r="P593" s="30" t="str">
        <f>VLOOKUP(O593,[2]Key!$E$2:$F$9,2,FALSE)</f>
        <v>Home</v>
      </c>
      <c r="Q593" s="13" t="s">
        <v>269</v>
      </c>
      <c r="R593" s="23" t="s">
        <v>285</v>
      </c>
      <c r="S593" s="13" t="s">
        <v>221</v>
      </c>
      <c r="T593" s="23">
        <v>1</v>
      </c>
      <c r="U593" s="30" t="str">
        <f>VLOOKUP(T593,[2]Key!$E$2:$F$9,2,FALSE)</f>
        <v>Home</v>
      </c>
      <c r="V593" s="30" t="str">
        <f t="shared" si="36"/>
        <v>Home-Home</v>
      </c>
      <c r="W593" s="41">
        <v>5000</v>
      </c>
      <c r="X593" s="50"/>
      <c r="Y593" s="50" t="str">
        <f t="shared" si="37"/>
        <v>0-10</v>
      </c>
      <c r="Z593" s="50">
        <v>3</v>
      </c>
      <c r="AA593" s="50" t="str">
        <f t="shared" si="38"/>
        <v>2.0-3.5</v>
      </c>
      <c r="AB593" s="23">
        <v>5</v>
      </c>
      <c r="AC593" s="30" t="str">
        <f>VLOOKUP(AB593,[2]Key!$C$20:$D$29,2,FALSE)</f>
        <v>Professional</v>
      </c>
      <c r="AD593" s="23">
        <v>2</v>
      </c>
      <c r="AE593" s="30" t="str">
        <f>VLOOKUP(AD593,[2]Key!$E$20:$F$24,2,FALSE)</f>
        <v>300,000-500,000</v>
      </c>
      <c r="AF593" s="23">
        <v>2</v>
      </c>
      <c r="AG593" s="50">
        <v>3</v>
      </c>
      <c r="AH593" s="50">
        <v>1</v>
      </c>
      <c r="AI593" s="50">
        <v>5</v>
      </c>
      <c r="AJ593" s="50">
        <v>4</v>
      </c>
      <c r="AK593" s="46" t="s">
        <v>94</v>
      </c>
      <c r="AL593" s="36">
        <v>500</v>
      </c>
      <c r="AM593" t="str">
        <f t="shared" si="39"/>
        <v>0-1000</v>
      </c>
    </row>
    <row r="594" spans="1:46" x14ac:dyDescent="0.2">
      <c r="A594" s="44">
        <v>43759</v>
      </c>
      <c r="B594" s="48">
        <v>0.48194444444444445</v>
      </c>
      <c r="C594" s="48"/>
      <c r="D594" s="48" t="s">
        <v>97</v>
      </c>
      <c r="E594" s="13">
        <v>2</v>
      </c>
      <c r="F594" s="38" t="str">
        <f>VLOOKUP(E594,[2]Key!$A$17:$B$21,2,FALSE)</f>
        <v>Road Vehicle</v>
      </c>
      <c r="G594" s="49">
        <v>4</v>
      </c>
      <c r="H594" s="39" t="str">
        <f>VLOOKUP(G594,[2]Key!$A$2:$B$14,2,FALSE)</f>
        <v>Minibus</v>
      </c>
      <c r="I594" s="13" t="s">
        <v>109</v>
      </c>
      <c r="J594" s="13">
        <v>4</v>
      </c>
      <c r="K594" s="40" t="str">
        <f>VLOOKUP(J594,[2]Key!$A$24:$B$29,2,FALSE)</f>
        <v>50-59</v>
      </c>
      <c r="L594" s="11" t="s">
        <v>415</v>
      </c>
      <c r="M594" s="23" t="s">
        <v>223</v>
      </c>
      <c r="N594" s="13" t="s">
        <v>221</v>
      </c>
      <c r="O594" s="46">
        <v>2</v>
      </c>
      <c r="P594" s="30" t="str">
        <f>VLOOKUP(O594,[2]Key!$E$2:$F$9,2,FALSE)</f>
        <v>Work</v>
      </c>
      <c r="Q594" s="13" t="s">
        <v>306</v>
      </c>
      <c r="R594" s="23" t="s">
        <v>223</v>
      </c>
      <c r="S594" s="13" t="s">
        <v>221</v>
      </c>
      <c r="T594" s="23">
        <v>2</v>
      </c>
      <c r="U594" s="30" t="str">
        <f>VLOOKUP(T594,[2]Key!$E$2:$F$9,2,FALSE)</f>
        <v>Work</v>
      </c>
      <c r="V594" s="30" t="str">
        <f t="shared" si="36"/>
        <v>Work-Work</v>
      </c>
      <c r="W594" s="41">
        <v>40000</v>
      </c>
      <c r="X594" s="50">
        <v>25</v>
      </c>
      <c r="Y594" s="50" t="str">
        <f t="shared" si="37"/>
        <v>20-40</v>
      </c>
      <c r="Z594" s="50">
        <v>0.7</v>
      </c>
      <c r="AA594" s="50" t="str">
        <f t="shared" si="38"/>
        <v>0.5-1.0</v>
      </c>
      <c r="AB594" s="23">
        <v>10</v>
      </c>
      <c r="AC594" s="30" t="str">
        <f>VLOOKUP(AB594,[2]Key!$C$20:$D$29,2,FALSE)</f>
        <v>Other</v>
      </c>
      <c r="AD594" s="23">
        <v>2</v>
      </c>
      <c r="AE594" s="30" t="str">
        <f>VLOOKUP(AD594,[2]Key!$E$20:$F$24,2,FALSE)</f>
        <v>300,000-500,000</v>
      </c>
      <c r="AF594" s="23">
        <v>5</v>
      </c>
      <c r="AG594" s="50">
        <v>2</v>
      </c>
      <c r="AH594" s="50">
        <v>3</v>
      </c>
      <c r="AI594" s="50">
        <v>1</v>
      </c>
      <c r="AJ594" s="50">
        <v>4</v>
      </c>
      <c r="AK594" s="46" t="s">
        <v>94</v>
      </c>
      <c r="AL594" s="36" t="s">
        <v>416</v>
      </c>
      <c r="AM594" t="str">
        <f t="shared" si="39"/>
        <v>Over 10000</v>
      </c>
    </row>
    <row r="595" spans="1:46" x14ac:dyDescent="0.2">
      <c r="A595" s="44">
        <v>43761</v>
      </c>
      <c r="B595" s="48">
        <v>4.7222222222222221E-2</v>
      </c>
      <c r="C595" s="48"/>
      <c r="D595" s="48" t="s">
        <v>150</v>
      </c>
      <c r="E595" s="13">
        <v>2</v>
      </c>
      <c r="F595" s="38" t="str">
        <f>VLOOKUP(E595,[2]Key!$A$17:$B$21,2,FALSE)</f>
        <v>Road Vehicle</v>
      </c>
      <c r="G595" s="49">
        <v>4</v>
      </c>
      <c r="H595" s="39" t="str">
        <f>VLOOKUP(G595,[2]Key!$A$2:$B$14,2,FALSE)</f>
        <v>Minibus</v>
      </c>
      <c r="I595" s="13" t="s">
        <v>109</v>
      </c>
      <c r="J595" s="13">
        <v>4</v>
      </c>
      <c r="K595" s="40" t="str">
        <f>VLOOKUP(J595,[2]Key!$A$24:$B$29,2,FALSE)</f>
        <v>50-59</v>
      </c>
      <c r="L595" s="11" t="s">
        <v>96</v>
      </c>
      <c r="M595" s="23" t="s">
        <v>223</v>
      </c>
      <c r="N595" s="13" t="s">
        <v>221</v>
      </c>
      <c r="O595" s="46">
        <v>7</v>
      </c>
      <c r="P595" s="30" t="str">
        <f>VLOOKUP(O595,[2]Key!$E$2:$F$9,2,FALSE)</f>
        <v>Hospital</v>
      </c>
      <c r="Q595" s="13" t="s">
        <v>417</v>
      </c>
      <c r="R595" s="23" t="s">
        <v>297</v>
      </c>
      <c r="S595" s="13" t="s">
        <v>221</v>
      </c>
      <c r="T595" s="23">
        <v>1</v>
      </c>
      <c r="U595" s="30" t="str">
        <f>VLOOKUP(T595,[2]Key!$E$2:$F$9,2,FALSE)</f>
        <v>Home</v>
      </c>
      <c r="V595" s="30" t="str">
        <f t="shared" si="36"/>
        <v>Hospital-Home</v>
      </c>
      <c r="W595" s="23">
        <v>6000</v>
      </c>
      <c r="X595" s="50"/>
      <c r="Y595" s="50" t="str">
        <f t="shared" si="37"/>
        <v>0-10</v>
      </c>
      <c r="Z595" s="50">
        <v>2</v>
      </c>
      <c r="AA595" s="50" t="str">
        <f t="shared" si="38"/>
        <v>2.0-3.5</v>
      </c>
      <c r="AB595" s="23">
        <v>7</v>
      </c>
      <c r="AC595" s="30" t="str">
        <f>VLOOKUP(AB595,[2]Key!$C$20:$D$29,2,FALSE)</f>
        <v>Farmer</v>
      </c>
      <c r="AD595" s="23">
        <v>2</v>
      </c>
      <c r="AE595" s="30" t="str">
        <f>VLOOKUP(AD595,[2]Key!$E$20:$F$24,2,FALSE)</f>
        <v>300,000-500,000</v>
      </c>
      <c r="AF595" s="23">
        <v>3</v>
      </c>
      <c r="AG595" s="50">
        <v>4</v>
      </c>
      <c r="AH595" s="50">
        <v>2</v>
      </c>
      <c r="AI595" s="50">
        <v>1</v>
      </c>
      <c r="AJ595" s="50">
        <v>5</v>
      </c>
      <c r="AK595" s="46" t="s">
        <v>94</v>
      </c>
      <c r="AL595" s="36">
        <v>1000</v>
      </c>
      <c r="AM595" t="str">
        <f t="shared" si="39"/>
        <v>1000-2000</v>
      </c>
    </row>
    <row r="596" spans="1:46" x14ac:dyDescent="0.2">
      <c r="A596" s="44">
        <v>43760</v>
      </c>
      <c r="B596" s="48">
        <v>0.24236111111111111</v>
      </c>
      <c r="C596" s="48"/>
      <c r="D596" s="48" t="s">
        <v>97</v>
      </c>
      <c r="E596" s="13">
        <v>2</v>
      </c>
      <c r="F596" s="38" t="str">
        <f>VLOOKUP(E596,[2]Key!$A$17:$B$21,2,FALSE)</f>
        <v>Road Vehicle</v>
      </c>
      <c r="G596" s="49">
        <v>2</v>
      </c>
      <c r="H596" s="39" t="str">
        <f>VLOOKUP(G596,[2]Key!$A$2:$B$14,2,FALSE)</f>
        <v>Station Wagon</v>
      </c>
      <c r="I596" s="13" t="s">
        <v>109</v>
      </c>
      <c r="J596" s="13">
        <v>4</v>
      </c>
      <c r="K596" s="40" t="str">
        <f>VLOOKUP(J596,[2]Key!$A$24:$B$29,2,FALSE)</f>
        <v>50-59</v>
      </c>
      <c r="L596" s="11" t="s">
        <v>378</v>
      </c>
      <c r="M596" s="23" t="s">
        <v>247</v>
      </c>
      <c r="N596" s="13" t="s">
        <v>221</v>
      </c>
      <c r="O596" s="46">
        <v>4</v>
      </c>
      <c r="P596" s="30" t="str">
        <f>VLOOKUP(O596,[2]Key!$E$2:$F$9,2,FALSE)</f>
        <v>Commercial</v>
      </c>
      <c r="Q596" s="13" t="s">
        <v>385</v>
      </c>
      <c r="R596" s="23" t="s">
        <v>223</v>
      </c>
      <c r="S596" s="13" t="s">
        <v>221</v>
      </c>
      <c r="T596" s="23">
        <v>1</v>
      </c>
      <c r="U596" s="30" t="str">
        <f>VLOOKUP(T596,[2]Key!$E$2:$F$9,2,FALSE)</f>
        <v>Home</v>
      </c>
      <c r="V596" s="30" t="str">
        <f t="shared" si="36"/>
        <v>Commercial-Home</v>
      </c>
      <c r="W596" s="51">
        <v>20000</v>
      </c>
      <c r="X596" s="50">
        <v>20</v>
      </c>
      <c r="Y596" s="50" t="str">
        <f t="shared" si="37"/>
        <v>20-40</v>
      </c>
      <c r="Z596" s="50">
        <v>0.66669999999999996</v>
      </c>
      <c r="AA596" s="50" t="str">
        <f t="shared" si="38"/>
        <v>0.5-1.0</v>
      </c>
      <c r="AB596" s="23">
        <v>5</v>
      </c>
      <c r="AC596" s="30" t="str">
        <f>VLOOKUP(AB596,[2]Key!$C$20:$D$29,2,FALSE)</f>
        <v>Professional</v>
      </c>
      <c r="AD596" s="23">
        <v>2</v>
      </c>
      <c r="AE596" s="30" t="str">
        <f>VLOOKUP(AD596,[2]Key!$E$20:$F$24,2,FALSE)</f>
        <v>300,000-500,000</v>
      </c>
      <c r="AF596" s="23">
        <v>2</v>
      </c>
      <c r="AG596" s="50">
        <v>3</v>
      </c>
      <c r="AH596" s="50">
        <v>5</v>
      </c>
      <c r="AI596" s="50">
        <v>1</v>
      </c>
      <c r="AJ596" s="50">
        <v>4</v>
      </c>
      <c r="AK596" s="46" t="s">
        <v>94</v>
      </c>
      <c r="AL596" s="36">
        <v>1000</v>
      </c>
      <c r="AM596" t="str">
        <f t="shared" si="39"/>
        <v>1000-2000</v>
      </c>
    </row>
    <row r="597" spans="1:46" x14ac:dyDescent="0.2">
      <c r="A597" s="44">
        <v>43759</v>
      </c>
      <c r="B597" s="48">
        <v>0.51250000000000007</v>
      </c>
      <c r="C597" s="48"/>
      <c r="D597" s="48" t="s">
        <v>150</v>
      </c>
      <c r="E597" s="13">
        <v>2</v>
      </c>
      <c r="F597" s="38" t="str">
        <f>VLOOKUP(E597,[1]Key!$A$17:$B$21,2,FALSE)</f>
        <v>Road Vehicle</v>
      </c>
      <c r="G597" s="49">
        <v>4</v>
      </c>
      <c r="H597" s="39" t="str">
        <f>VLOOKUP(G597,[2]Key!$A$2:$B$14,2,FALSE)</f>
        <v>Minibus</v>
      </c>
      <c r="I597" s="13" t="s">
        <v>109</v>
      </c>
      <c r="J597" s="13">
        <v>5</v>
      </c>
      <c r="K597" s="40" t="str">
        <f>VLOOKUP(J597,[1]Key!$A$24:$B$29,2,FALSE)</f>
        <v>60-69</v>
      </c>
      <c r="L597" s="11" t="s">
        <v>220</v>
      </c>
      <c r="M597" s="23" t="s">
        <v>220</v>
      </c>
      <c r="N597" s="13" t="s">
        <v>221</v>
      </c>
      <c r="O597" s="46">
        <v>4</v>
      </c>
      <c r="P597" s="30" t="str">
        <f>VLOOKUP(O597,[1]Key!$E$2:$F$9,2,FALSE)</f>
        <v>Commercial</v>
      </c>
      <c r="Q597" s="13" t="s">
        <v>283</v>
      </c>
      <c r="R597" s="23" t="s">
        <v>283</v>
      </c>
      <c r="S597" s="13" t="s">
        <v>221</v>
      </c>
      <c r="T597" s="23">
        <v>4</v>
      </c>
      <c r="U597" s="30" t="str">
        <f>VLOOKUP(T597,[1]Key!$E$2:$F$9,2,FALSE)</f>
        <v>Commercial</v>
      </c>
      <c r="V597" s="30" t="str">
        <f t="shared" si="36"/>
        <v>Commercial-Commercial</v>
      </c>
      <c r="W597" s="51">
        <v>120000</v>
      </c>
      <c r="X597" s="50">
        <v>128</v>
      </c>
      <c r="Y597" s="50" t="str">
        <f t="shared" si="37"/>
        <v>100-200</v>
      </c>
      <c r="Z597" s="50">
        <v>5</v>
      </c>
      <c r="AA597" s="50" t="str">
        <f t="shared" si="38"/>
        <v>Over 3.5</v>
      </c>
      <c r="AB597" s="23">
        <v>9</v>
      </c>
      <c r="AC597" s="30" t="str">
        <f>VLOOKUP(AB597,[1]Key!$C$20:$D$29,2,FALSE)</f>
        <v>Retired</v>
      </c>
      <c r="AD597" s="23">
        <v>3</v>
      </c>
      <c r="AE597" s="30" t="str">
        <f>VLOOKUP(AD597,[1]Key!$E$20:$F$24,2,FALSE)</f>
        <v>500,000-750,000</v>
      </c>
      <c r="AF597" s="23">
        <v>1</v>
      </c>
      <c r="AG597" s="50">
        <v>4</v>
      </c>
      <c r="AH597" s="50">
        <v>5</v>
      </c>
      <c r="AI597" s="50">
        <v>2</v>
      </c>
      <c r="AJ597" s="50">
        <v>3</v>
      </c>
      <c r="AK597" s="46" t="s">
        <v>94</v>
      </c>
      <c r="AL597" s="36">
        <v>500</v>
      </c>
      <c r="AM597" t="str">
        <f t="shared" si="39"/>
        <v>0-1000</v>
      </c>
    </row>
    <row r="598" spans="1:46" x14ac:dyDescent="0.2">
      <c r="A598" s="44">
        <v>43760</v>
      </c>
      <c r="B598" s="48">
        <v>0.53333333333333333</v>
      </c>
      <c r="C598" s="48"/>
      <c r="D598" s="48" t="s">
        <v>150</v>
      </c>
      <c r="E598" s="13">
        <v>2</v>
      </c>
      <c r="F598" s="38" t="str">
        <f>VLOOKUP(E598,[2]Key!$A$17:$B$21,2,FALSE)</f>
        <v>Road Vehicle</v>
      </c>
      <c r="G598" s="49">
        <v>1</v>
      </c>
      <c r="H598" s="39" t="str">
        <f>VLOOKUP(G598,[2]Key!$A$2:$B$14,2,FALSE)</f>
        <v>Car</v>
      </c>
      <c r="I598" s="13" t="s">
        <v>156</v>
      </c>
      <c r="J598" s="13">
        <v>6</v>
      </c>
      <c r="K598" s="40" t="str">
        <f>VLOOKUP(J598,[2]Key!$A$24:$B$29,2,FALSE)</f>
        <v>70-</v>
      </c>
      <c r="L598" s="11" t="s">
        <v>262</v>
      </c>
      <c r="M598" s="23" t="s">
        <v>220</v>
      </c>
      <c r="N598" s="13" t="s">
        <v>221</v>
      </c>
      <c r="O598" s="46">
        <v>1</v>
      </c>
      <c r="P598" s="30" t="str">
        <f>VLOOKUP(O598,[2]Key!$E$2:$F$9,2,FALSE)</f>
        <v>Home</v>
      </c>
      <c r="Q598" s="13" t="s">
        <v>418</v>
      </c>
      <c r="R598" s="23"/>
      <c r="S598" s="13" t="s">
        <v>221</v>
      </c>
      <c r="T598" s="23">
        <v>4</v>
      </c>
      <c r="U598" s="30" t="str">
        <f>VLOOKUP(T598,[2]Key!$E$2:$F$9,2,FALSE)</f>
        <v>Commercial</v>
      </c>
      <c r="V598" s="30" t="str">
        <f t="shared" si="36"/>
        <v>Home-Commercial</v>
      </c>
      <c r="W598" s="51">
        <v>20000</v>
      </c>
      <c r="X598" s="50"/>
      <c r="Y598" s="50" t="str">
        <f t="shared" si="37"/>
        <v>0-10</v>
      </c>
      <c r="Z598" s="50">
        <v>7</v>
      </c>
      <c r="AA598" s="50" t="str">
        <f t="shared" si="38"/>
        <v>Over 3.5</v>
      </c>
      <c r="AB598" s="23">
        <v>3</v>
      </c>
      <c r="AC598" s="30" t="str">
        <f>VLOOKUP(AB598,[2]Key!$C$20:$D$29,2,FALSE)</f>
        <v>Artisan/Domestic</v>
      </c>
      <c r="AD598" s="23">
        <v>1</v>
      </c>
      <c r="AE598" s="30" t="str">
        <f>VLOOKUP(AD598,[2]Key!$E$20:$F$24,2,FALSE)</f>
        <v>&lt;300,000</v>
      </c>
      <c r="AF598" s="23">
        <v>3</v>
      </c>
      <c r="AG598" s="50">
        <v>1</v>
      </c>
      <c r="AH598" s="50">
        <v>4</v>
      </c>
      <c r="AI598" s="50">
        <v>2</v>
      </c>
      <c r="AJ598" s="50">
        <v>5</v>
      </c>
      <c r="AK598" s="46" t="s">
        <v>94</v>
      </c>
      <c r="AL598" s="36">
        <v>1000</v>
      </c>
      <c r="AM598" t="str">
        <f t="shared" si="39"/>
        <v>1000-2000</v>
      </c>
    </row>
    <row r="599" spans="1:46" s="19" customFormat="1" x14ac:dyDescent="0.2">
      <c r="A599" s="44" t="s">
        <v>419</v>
      </c>
      <c r="B599" s="48">
        <v>0.56666666666666665</v>
      </c>
      <c r="C599" s="48"/>
      <c r="D599" s="48" t="s">
        <v>150</v>
      </c>
      <c r="E599" s="13">
        <v>1</v>
      </c>
      <c r="F599" s="38" t="str">
        <f>VLOOKUP(E599,[3]Key!$A$17:$B$21,2,FALSE)</f>
        <v>Walking/Cycling</v>
      </c>
      <c r="G599" s="49">
        <v>13</v>
      </c>
      <c r="H599" s="39" t="s">
        <v>987</v>
      </c>
      <c r="I599" s="13" t="s">
        <v>109</v>
      </c>
      <c r="J599" s="13">
        <v>1</v>
      </c>
      <c r="K599" s="40" t="str">
        <f>VLOOKUP(J599,[3]Key!$A$24:$B$29,2,FALSE)</f>
        <v>20-29</v>
      </c>
      <c r="L599" s="13" t="s">
        <v>420</v>
      </c>
      <c r="M599" s="23" t="s">
        <v>421</v>
      </c>
      <c r="N599" s="13" t="s">
        <v>152</v>
      </c>
      <c r="O599" s="46">
        <v>1</v>
      </c>
      <c r="P599" s="30" t="str">
        <f>VLOOKUP(O599,[3]Key!$E$2:$F$9,2,FALSE)</f>
        <v>Home</v>
      </c>
      <c r="Q599" s="13" t="s">
        <v>422</v>
      </c>
      <c r="R599" s="23" t="s">
        <v>153</v>
      </c>
      <c r="S599" s="13" t="s">
        <v>152</v>
      </c>
      <c r="T599" s="23">
        <v>2</v>
      </c>
      <c r="U599" s="30" t="str">
        <f>VLOOKUP(T599,[3]Key!$E$2:$F$9,2,FALSE)</f>
        <v>Work</v>
      </c>
      <c r="V599" s="30" t="str">
        <f t="shared" si="36"/>
        <v>Home-Work</v>
      </c>
      <c r="W599" s="51">
        <v>20000</v>
      </c>
      <c r="X599" s="50">
        <v>400</v>
      </c>
      <c r="Y599" s="50" t="str">
        <f t="shared" si="37"/>
        <v>Over 200</v>
      </c>
      <c r="Z599" s="50">
        <v>5</v>
      </c>
      <c r="AA599" s="50" t="str">
        <f t="shared" si="38"/>
        <v>Over 3.5</v>
      </c>
      <c r="AB599" s="23">
        <v>2</v>
      </c>
      <c r="AC599" s="30" t="str">
        <f>VLOOKUP(AB599,[3]Key!$C$20:$D$29,2,FALSE)</f>
        <v>Manual Labour</v>
      </c>
      <c r="AD599" s="23">
        <v>1</v>
      </c>
      <c r="AE599" s="30" t="str">
        <f>VLOOKUP(AD599,[3]Key!$E$20:$F$24,2,FALSE)</f>
        <v>&lt;300,000</v>
      </c>
      <c r="AF599" s="23">
        <v>1</v>
      </c>
      <c r="AG599" s="50">
        <v>5</v>
      </c>
      <c r="AH599" s="50">
        <v>4</v>
      </c>
      <c r="AI599" s="50">
        <v>3</v>
      </c>
      <c r="AJ599" s="50">
        <v>2</v>
      </c>
      <c r="AK599" s="46" t="s">
        <v>94</v>
      </c>
      <c r="AL599" s="36">
        <v>0</v>
      </c>
      <c r="AM599" t="str">
        <f t="shared" si="39"/>
        <v>0-1000</v>
      </c>
      <c r="AN599"/>
      <c r="AO599"/>
      <c r="AP599"/>
      <c r="AQ599"/>
      <c r="AR599"/>
      <c r="AS599"/>
      <c r="AT599"/>
    </row>
    <row r="600" spans="1:46" x14ac:dyDescent="0.2">
      <c r="A600" s="44" t="s">
        <v>423</v>
      </c>
      <c r="B600" s="48">
        <v>0.40972222222222227</v>
      </c>
      <c r="C600" s="48"/>
      <c r="D600" s="48" t="s">
        <v>150</v>
      </c>
      <c r="E600" s="13">
        <v>1</v>
      </c>
      <c r="F600" s="38" t="str">
        <f>VLOOKUP(E600,[3]Key!$A$17:$B$21,2,FALSE)</f>
        <v>Walking/Cycling</v>
      </c>
      <c r="G600" s="49">
        <v>13</v>
      </c>
      <c r="H600" s="39" t="s">
        <v>987</v>
      </c>
      <c r="I600" s="13" t="s">
        <v>109</v>
      </c>
      <c r="J600" s="13">
        <v>1</v>
      </c>
      <c r="K600" s="40" t="str">
        <f>VLOOKUP(J600,[3]Key!$A$24:$B$29,2,FALSE)</f>
        <v>20-29</v>
      </c>
      <c r="L600" s="13" t="s">
        <v>424</v>
      </c>
      <c r="M600" s="23" t="s">
        <v>421</v>
      </c>
      <c r="N600" s="13" t="s">
        <v>152</v>
      </c>
      <c r="O600" s="46">
        <v>8</v>
      </c>
      <c r="P600" s="30" t="str">
        <f>VLOOKUP(O600,[3]Key!$E$2:$F$9,2,FALSE)</f>
        <v>Others</v>
      </c>
      <c r="Q600" s="13" t="s">
        <v>425</v>
      </c>
      <c r="R600" s="23" t="s">
        <v>426</v>
      </c>
      <c r="S600" s="13" t="s">
        <v>152</v>
      </c>
      <c r="T600" s="23">
        <v>8</v>
      </c>
      <c r="U600" s="30" t="str">
        <f>VLOOKUP(T600,[3]Key!$E$2:$F$9,2,FALSE)</f>
        <v>Others</v>
      </c>
      <c r="V600" s="30" t="str">
        <f t="shared" si="36"/>
        <v>Others-Others</v>
      </c>
      <c r="W600" s="51">
        <v>10000</v>
      </c>
      <c r="X600" s="50"/>
      <c r="Y600" s="50" t="str">
        <f t="shared" si="37"/>
        <v>0-10</v>
      </c>
      <c r="Z600" s="50">
        <v>2.5</v>
      </c>
      <c r="AA600" s="50" t="str">
        <f t="shared" si="38"/>
        <v>2.0-3.5</v>
      </c>
      <c r="AB600" s="23">
        <v>2</v>
      </c>
      <c r="AC600" s="30" t="str">
        <f>VLOOKUP(AB600,[3]Key!$C$20:$D$29,2,FALSE)</f>
        <v>Manual Labour</v>
      </c>
      <c r="AD600" s="23">
        <v>2</v>
      </c>
      <c r="AE600" s="30" t="str">
        <f>VLOOKUP(AD600,[3]Key!$E$20:$F$24,2,FALSE)</f>
        <v>300,000-500,000</v>
      </c>
      <c r="AF600" s="23">
        <v>2</v>
      </c>
      <c r="AG600" s="50">
        <v>4</v>
      </c>
      <c r="AH600" s="50">
        <v>3</v>
      </c>
      <c r="AI600" s="50">
        <v>3</v>
      </c>
      <c r="AJ600" s="50">
        <v>4</v>
      </c>
      <c r="AK600" s="46" t="s">
        <v>94</v>
      </c>
      <c r="AL600" s="36">
        <v>10000</v>
      </c>
      <c r="AM600" t="str">
        <f t="shared" si="39"/>
        <v>Over 10000</v>
      </c>
    </row>
    <row r="601" spans="1:46" x14ac:dyDescent="0.2">
      <c r="A601" s="44" t="s">
        <v>423</v>
      </c>
      <c r="B601" s="48">
        <v>0.3743055555555555</v>
      </c>
      <c r="C601" s="48"/>
      <c r="D601" s="48" t="s">
        <v>150</v>
      </c>
      <c r="E601" s="13">
        <v>1</v>
      </c>
      <c r="F601" s="38" t="str">
        <f>VLOOKUP(E601,[3]Key!$A$17:$B$21,2,FALSE)</f>
        <v>Walking/Cycling</v>
      </c>
      <c r="G601" s="49">
        <v>13</v>
      </c>
      <c r="H601" s="39" t="s">
        <v>987</v>
      </c>
      <c r="I601" s="13" t="s">
        <v>109</v>
      </c>
      <c r="J601" s="13">
        <v>1</v>
      </c>
      <c r="K601" s="40" t="str">
        <f>VLOOKUP(J601,[3]Key!$A$24:$B$29,2,FALSE)</f>
        <v>20-29</v>
      </c>
      <c r="L601" s="13" t="s">
        <v>424</v>
      </c>
      <c r="M601" s="23" t="s">
        <v>421</v>
      </c>
      <c r="N601" s="13" t="s">
        <v>152</v>
      </c>
      <c r="O601" s="46">
        <v>2</v>
      </c>
      <c r="P601" s="30" t="str">
        <f>VLOOKUP(O601,[3]Key!$E$2:$F$9,2,FALSE)</f>
        <v>Work</v>
      </c>
      <c r="Q601" s="13" t="s">
        <v>427</v>
      </c>
      <c r="R601" s="23" t="s">
        <v>428</v>
      </c>
      <c r="S601" s="13" t="s">
        <v>152</v>
      </c>
      <c r="T601" s="23">
        <v>1</v>
      </c>
      <c r="U601" s="30" t="str">
        <f>VLOOKUP(T601,[3]Key!$E$2:$F$9,2,FALSE)</f>
        <v>Home</v>
      </c>
      <c r="V601" s="30" t="str">
        <f t="shared" si="36"/>
        <v>Work-Home</v>
      </c>
      <c r="W601" s="51">
        <v>10000</v>
      </c>
      <c r="X601" s="50"/>
      <c r="Y601" s="50" t="str">
        <f t="shared" si="37"/>
        <v>0-10</v>
      </c>
      <c r="Z601" s="50">
        <v>3</v>
      </c>
      <c r="AA601" s="50" t="str">
        <f t="shared" si="38"/>
        <v>2.0-3.5</v>
      </c>
      <c r="AB601" s="23">
        <v>2</v>
      </c>
      <c r="AC601" s="30" t="str">
        <f>VLOOKUP(AB601,[3]Key!$C$20:$D$29,2,FALSE)</f>
        <v>Manual Labour</v>
      </c>
      <c r="AD601" s="23">
        <v>2</v>
      </c>
      <c r="AE601" s="30" t="str">
        <f>VLOOKUP(AD601,[3]Key!$E$20:$F$24,2,FALSE)</f>
        <v>300,000-500,000</v>
      </c>
      <c r="AF601" s="23">
        <v>3</v>
      </c>
      <c r="AG601" s="50">
        <v>5</v>
      </c>
      <c r="AH601" s="50">
        <v>4</v>
      </c>
      <c r="AI601" s="50">
        <v>2</v>
      </c>
      <c r="AJ601" s="50">
        <v>1</v>
      </c>
      <c r="AK601" s="46" t="s">
        <v>94</v>
      </c>
      <c r="AL601" s="36">
        <v>5000</v>
      </c>
      <c r="AM601" t="str">
        <f t="shared" si="39"/>
        <v>5000-10000</v>
      </c>
    </row>
    <row r="602" spans="1:46" x14ac:dyDescent="0.2">
      <c r="A602" s="44" t="s">
        <v>419</v>
      </c>
      <c r="B602" s="48"/>
      <c r="C602" s="48"/>
      <c r="D602" s="48" t="s">
        <v>97</v>
      </c>
      <c r="E602" s="13">
        <v>2</v>
      </c>
      <c r="F602" s="38" t="s">
        <v>102</v>
      </c>
      <c r="G602" s="49">
        <v>1</v>
      </c>
      <c r="H602" s="39" t="str">
        <f>VLOOKUP(G602,[3]Key!$A$2:$B$14,2,FALSE)</f>
        <v>Car</v>
      </c>
      <c r="I602" s="13" t="s">
        <v>109</v>
      </c>
      <c r="J602" s="13">
        <v>1</v>
      </c>
      <c r="K602" s="40" t="str">
        <f>VLOOKUP(J602,[3]Key!$A$24:$B$29,2,FALSE)</f>
        <v>20-29</v>
      </c>
      <c r="L602" s="13" t="s">
        <v>424</v>
      </c>
      <c r="M602" s="23" t="s">
        <v>421</v>
      </c>
      <c r="N602" s="13" t="s">
        <v>152</v>
      </c>
      <c r="O602" s="46">
        <v>1</v>
      </c>
      <c r="P602" s="30" t="str">
        <f>VLOOKUP(O602,[3]Key!$E$2:$F$9,2,FALSE)</f>
        <v>Home</v>
      </c>
      <c r="Q602" s="13" t="s">
        <v>429</v>
      </c>
      <c r="R602" s="23" t="s">
        <v>430</v>
      </c>
      <c r="S602" s="13" t="s">
        <v>152</v>
      </c>
      <c r="T602" s="23">
        <v>2</v>
      </c>
      <c r="U602" s="30" t="str">
        <f>VLOOKUP(T602,[3]Key!$E$2:$F$9,2,FALSE)</f>
        <v>Work</v>
      </c>
      <c r="V602" s="30" t="str">
        <f t="shared" si="36"/>
        <v>Home-Work</v>
      </c>
      <c r="W602" s="51">
        <v>70000</v>
      </c>
      <c r="X602" s="50">
        <v>52</v>
      </c>
      <c r="Y602" s="50" t="str">
        <f t="shared" si="37"/>
        <v>40-70</v>
      </c>
      <c r="Z602" s="50">
        <v>1.5</v>
      </c>
      <c r="AA602" s="50" t="str">
        <f t="shared" si="38"/>
        <v>1.0-2.0</v>
      </c>
      <c r="AB602" s="23">
        <v>2</v>
      </c>
      <c r="AC602" s="30" t="s">
        <v>125</v>
      </c>
      <c r="AD602" s="23">
        <v>3</v>
      </c>
      <c r="AE602" s="30" t="str">
        <f>VLOOKUP(AD602,[3]Key!$E$20:$F$24,2,FALSE)</f>
        <v>500,000-750,000</v>
      </c>
      <c r="AF602" s="23">
        <v>5</v>
      </c>
      <c r="AG602" s="50">
        <v>5</v>
      </c>
      <c r="AH602" s="50">
        <v>1</v>
      </c>
      <c r="AI602" s="50">
        <v>1</v>
      </c>
      <c r="AJ602" s="50">
        <v>1</v>
      </c>
      <c r="AK602" s="46" t="s">
        <v>94</v>
      </c>
      <c r="AL602" s="36">
        <v>200</v>
      </c>
      <c r="AM602" t="str">
        <f t="shared" si="39"/>
        <v>0-1000</v>
      </c>
    </row>
    <row r="603" spans="1:46" x14ac:dyDescent="0.2">
      <c r="A603" s="44" t="s">
        <v>423</v>
      </c>
      <c r="B603" s="48"/>
      <c r="C603" s="48"/>
      <c r="D603" s="48" t="s">
        <v>97</v>
      </c>
      <c r="E603" s="13">
        <v>2</v>
      </c>
      <c r="F603" s="38" t="str">
        <f>VLOOKUP(E603,[3]Key!$A$17:$B$21,2,FALSE)</f>
        <v>Road Vehicle</v>
      </c>
      <c r="G603" s="49">
        <v>1</v>
      </c>
      <c r="H603" s="39" t="str">
        <f>VLOOKUP(G603,[3]Key!$A$2:$B$14,2,FALSE)</f>
        <v>Car</v>
      </c>
      <c r="I603" s="13" t="s">
        <v>109</v>
      </c>
      <c r="J603" s="13">
        <v>1</v>
      </c>
      <c r="K603" s="40" t="str">
        <f>VLOOKUP(J603,[3]Key!$A$24:$B$29,2,FALSE)</f>
        <v>20-29</v>
      </c>
      <c r="L603" s="13" t="s">
        <v>424</v>
      </c>
      <c r="M603" s="23" t="s">
        <v>421</v>
      </c>
      <c r="N603" s="13" t="s">
        <v>152</v>
      </c>
      <c r="O603" s="46">
        <v>1</v>
      </c>
      <c r="P603" s="30" t="str">
        <f>VLOOKUP(O603,[3]Key!$E$2:$F$9,2,FALSE)</f>
        <v>Home</v>
      </c>
      <c r="Q603" s="13" t="s">
        <v>431</v>
      </c>
      <c r="R603" s="23" t="s">
        <v>432</v>
      </c>
      <c r="S603" s="13" t="s">
        <v>152</v>
      </c>
      <c r="T603" s="23">
        <v>2</v>
      </c>
      <c r="U603" s="30" t="str">
        <f>VLOOKUP(T603,[3]Key!$E$2:$F$9,2,FALSE)</f>
        <v>Work</v>
      </c>
      <c r="V603" s="30" t="str">
        <f t="shared" si="36"/>
        <v>Home-Work</v>
      </c>
      <c r="W603" s="51">
        <v>140000</v>
      </c>
      <c r="X603" s="50">
        <v>100</v>
      </c>
      <c r="Y603" s="50" t="str">
        <f t="shared" si="37"/>
        <v>100-200</v>
      </c>
      <c r="Z603" s="50">
        <v>4</v>
      </c>
      <c r="AA603" s="50" t="str">
        <f t="shared" si="38"/>
        <v>Over 3.5</v>
      </c>
      <c r="AB603" s="23">
        <v>5</v>
      </c>
      <c r="AC603" s="30" t="str">
        <f>VLOOKUP(AB603,[3]Key!$C$20:$D$29,2,FALSE)</f>
        <v>Professional</v>
      </c>
      <c r="AD603" s="23">
        <v>3</v>
      </c>
      <c r="AE603" s="30" t="str">
        <f>VLOOKUP(AD603,[3]Key!$E$20:$F$24,2,FALSE)</f>
        <v>500,000-750,000</v>
      </c>
      <c r="AF603" s="23">
        <v>5</v>
      </c>
      <c r="AG603" s="50">
        <v>2</v>
      </c>
      <c r="AH603" s="50">
        <v>2</v>
      </c>
      <c r="AI603" s="50">
        <v>2</v>
      </c>
      <c r="AJ603" s="50">
        <v>2</v>
      </c>
      <c r="AK603" s="46" t="s">
        <v>94</v>
      </c>
      <c r="AL603" s="36">
        <v>5000</v>
      </c>
      <c r="AM603" t="str">
        <f t="shared" si="39"/>
        <v>5000-10000</v>
      </c>
    </row>
    <row r="604" spans="1:46" x14ac:dyDescent="0.2">
      <c r="A604" s="44" t="s">
        <v>423</v>
      </c>
      <c r="B604" s="48"/>
      <c r="C604" s="48"/>
      <c r="D604" s="48" t="s">
        <v>150</v>
      </c>
      <c r="E604" s="13">
        <v>2</v>
      </c>
      <c r="F604" s="38" t="str">
        <f>VLOOKUP(E604,[3]Key!$A$17:$B$21,2,FALSE)</f>
        <v>Road Vehicle</v>
      </c>
      <c r="G604" s="49">
        <v>1</v>
      </c>
      <c r="H604" s="39" t="str">
        <f>VLOOKUP(G604,[3]Key!$A$2:$B$14,2,FALSE)</f>
        <v>Car</v>
      </c>
      <c r="I604" s="13" t="s">
        <v>109</v>
      </c>
      <c r="J604" s="13">
        <v>1</v>
      </c>
      <c r="K604" s="40" t="str">
        <f>VLOOKUP(J604,[3]Key!$A$24:$B$29,2,FALSE)</f>
        <v>20-29</v>
      </c>
      <c r="L604" s="13" t="s">
        <v>424</v>
      </c>
      <c r="M604" s="23" t="s">
        <v>421</v>
      </c>
      <c r="N604" s="13" t="s">
        <v>152</v>
      </c>
      <c r="O604" s="46">
        <v>1</v>
      </c>
      <c r="P604" s="30" t="str">
        <f>VLOOKUP(O604,[3]Key!$E$2:$F$9,2,FALSE)</f>
        <v>Home</v>
      </c>
      <c r="Q604" s="13" t="s">
        <v>429</v>
      </c>
      <c r="R604" s="23" t="s">
        <v>430</v>
      </c>
      <c r="S604" s="13" t="s">
        <v>152</v>
      </c>
      <c r="T604" s="23">
        <v>2</v>
      </c>
      <c r="U604" s="30" t="str">
        <f>VLOOKUP(T604,[3]Key!$E$2:$F$9,2,FALSE)</f>
        <v>Work</v>
      </c>
      <c r="V604" s="30" t="str">
        <f t="shared" si="36"/>
        <v>Home-Work</v>
      </c>
      <c r="W604" s="51">
        <v>5000</v>
      </c>
      <c r="X604" s="50">
        <v>40</v>
      </c>
      <c r="Y604" s="50" t="str">
        <f t="shared" si="37"/>
        <v>40-70</v>
      </c>
      <c r="Z604" s="50">
        <v>0.5</v>
      </c>
      <c r="AA604" s="50" t="str">
        <f t="shared" si="38"/>
        <v>0.5-1.0</v>
      </c>
      <c r="AB604" s="23">
        <v>5</v>
      </c>
      <c r="AC604" s="30" t="str">
        <f>VLOOKUP(AB604,[3]Key!$C$20:$D$29,2,FALSE)</f>
        <v>Professional</v>
      </c>
      <c r="AD604" s="23">
        <v>1</v>
      </c>
      <c r="AE604" s="30" t="str">
        <f>VLOOKUP(AD604,[3]Key!$E$20:$F$24,2,FALSE)</f>
        <v>&lt;300,000</v>
      </c>
      <c r="AF604" s="23">
        <v>5</v>
      </c>
      <c r="AG604" s="50">
        <v>2</v>
      </c>
      <c r="AH604" s="50">
        <v>2</v>
      </c>
      <c r="AI604" s="50">
        <v>2</v>
      </c>
      <c r="AJ604" s="50">
        <v>2</v>
      </c>
      <c r="AK604" s="46" t="s">
        <v>94</v>
      </c>
      <c r="AL604" s="36">
        <v>0</v>
      </c>
      <c r="AM604" t="str">
        <f t="shared" si="39"/>
        <v>0-1000</v>
      </c>
    </row>
    <row r="605" spans="1:46" x14ac:dyDescent="0.2">
      <c r="A605" s="44" t="s">
        <v>433</v>
      </c>
      <c r="B605" s="48">
        <v>0.67013888888888884</v>
      </c>
      <c r="C605" s="48"/>
      <c r="D605" s="48" t="s">
        <v>150</v>
      </c>
      <c r="E605" s="13">
        <v>2</v>
      </c>
      <c r="F605" s="38" t="str">
        <f>VLOOKUP(E605,[3]Key!$A$17:$B$21,2,FALSE)</f>
        <v>Road Vehicle</v>
      </c>
      <c r="G605" s="49">
        <v>6</v>
      </c>
      <c r="H605" s="39" t="str">
        <f>VLOOKUP(G605,[3]Key!$A$2:$B$14,2,FALSE)</f>
        <v>Large Bus</v>
      </c>
      <c r="I605" s="13" t="s">
        <v>156</v>
      </c>
      <c r="J605" s="13">
        <v>1</v>
      </c>
      <c r="K605" s="40" t="str">
        <f>VLOOKUP(J605,[3]Key!$A$24:$B$29,2,FALSE)</f>
        <v>20-29</v>
      </c>
      <c r="L605" s="13" t="s">
        <v>195</v>
      </c>
      <c r="M605" s="23" t="s">
        <v>421</v>
      </c>
      <c r="N605" s="13" t="s">
        <v>152</v>
      </c>
      <c r="O605" s="46">
        <v>3</v>
      </c>
      <c r="P605" s="30" t="str">
        <f>VLOOKUP(O605,[3]Key!$E$2:$F$9,2,FALSE)</f>
        <v>Study</v>
      </c>
      <c r="Q605" s="13" t="s">
        <v>434</v>
      </c>
      <c r="R605" s="23" t="s">
        <v>153</v>
      </c>
      <c r="S605" s="13" t="s">
        <v>152</v>
      </c>
      <c r="T605" s="23">
        <v>1</v>
      </c>
      <c r="U605" s="30" t="str">
        <f>VLOOKUP(T605,[3]Key!$E$2:$F$9,2,FALSE)</f>
        <v>Home</v>
      </c>
      <c r="V605" s="30" t="str">
        <f t="shared" si="36"/>
        <v>Study-Home</v>
      </c>
      <c r="W605" s="51">
        <v>20000</v>
      </c>
      <c r="X605" s="50">
        <v>200</v>
      </c>
      <c r="Y605" s="50" t="str">
        <f t="shared" si="37"/>
        <v>Over 200</v>
      </c>
      <c r="Z605" s="50">
        <v>4</v>
      </c>
      <c r="AA605" s="50" t="str">
        <f t="shared" si="38"/>
        <v>Over 3.5</v>
      </c>
      <c r="AB605" s="23">
        <v>8</v>
      </c>
      <c r="AC605" s="30" t="str">
        <f>VLOOKUP(AB605,[3]Key!$C$20:$D$29,2,FALSE)</f>
        <v>Student</v>
      </c>
      <c r="AD605" s="23">
        <v>3</v>
      </c>
      <c r="AE605" s="30" t="str">
        <f>VLOOKUP(AD605,[3]Key!$E$20:$F$24,2,FALSE)</f>
        <v>500,000-750,000</v>
      </c>
      <c r="AF605" s="23">
        <v>2</v>
      </c>
      <c r="AG605" s="50">
        <v>1</v>
      </c>
      <c r="AH605" s="50">
        <v>5</v>
      </c>
      <c r="AI605" s="50">
        <v>4</v>
      </c>
      <c r="AJ605" s="50">
        <v>3</v>
      </c>
      <c r="AK605" s="46" t="s">
        <v>94</v>
      </c>
      <c r="AL605" s="36">
        <v>2000</v>
      </c>
      <c r="AM605" t="str">
        <f t="shared" si="39"/>
        <v>2000-3000</v>
      </c>
    </row>
    <row r="606" spans="1:46" x14ac:dyDescent="0.2">
      <c r="A606" s="44" t="s">
        <v>433</v>
      </c>
      <c r="B606" s="48">
        <v>0.69861111111111107</v>
      </c>
      <c r="C606" s="48"/>
      <c r="D606" s="48" t="s">
        <v>150</v>
      </c>
      <c r="E606" s="13">
        <v>2</v>
      </c>
      <c r="F606" s="38" t="str">
        <f>VLOOKUP(E606,[3]Key!$A$17:$B$21,2,FALSE)</f>
        <v>Road Vehicle</v>
      </c>
      <c r="G606" s="49">
        <v>6</v>
      </c>
      <c r="H606" s="39" t="str">
        <f>VLOOKUP(G606,[3]Key!$A$2:$B$14,2,FALSE)</f>
        <v>Large Bus</v>
      </c>
      <c r="I606" s="13" t="s">
        <v>156</v>
      </c>
      <c r="J606" s="13">
        <v>1</v>
      </c>
      <c r="K606" s="40" t="str">
        <f>VLOOKUP(J606,[3]Key!$A$24:$B$29,2,FALSE)</f>
        <v>20-29</v>
      </c>
      <c r="L606" s="13" t="s">
        <v>424</v>
      </c>
      <c r="M606" s="23" t="s">
        <v>421</v>
      </c>
      <c r="N606" s="13" t="s">
        <v>152</v>
      </c>
      <c r="O606" s="46">
        <v>2</v>
      </c>
      <c r="P606" s="30" t="str">
        <f>VLOOKUP(O606,[3]Key!$E$2:$F$9,2,FALSE)</f>
        <v>Work</v>
      </c>
      <c r="Q606" s="13" t="s">
        <v>434</v>
      </c>
      <c r="R606" s="23" t="s">
        <v>153</v>
      </c>
      <c r="S606" s="13" t="s">
        <v>152</v>
      </c>
      <c r="T606" s="23">
        <v>1</v>
      </c>
      <c r="U606" s="30" t="str">
        <f>VLOOKUP(T606,[3]Key!$E$2:$F$9,2,FALSE)</f>
        <v>Home</v>
      </c>
      <c r="V606" s="30" t="str">
        <f t="shared" si="36"/>
        <v>Work-Home</v>
      </c>
      <c r="W606" s="51">
        <v>20000</v>
      </c>
      <c r="X606" s="50">
        <v>216</v>
      </c>
      <c r="Y606" s="50" t="str">
        <f t="shared" si="37"/>
        <v>Over 200</v>
      </c>
      <c r="Z606" s="50">
        <v>4.5</v>
      </c>
      <c r="AA606" s="50" t="str">
        <f t="shared" si="38"/>
        <v>Over 3.5</v>
      </c>
      <c r="AB606" s="23">
        <v>4</v>
      </c>
      <c r="AC606" s="30" t="str">
        <f>VLOOKUP(AB606,[3]Key!$C$20:$D$29,2,FALSE)</f>
        <v>Office Worker</v>
      </c>
      <c r="AD606" s="23">
        <v>3</v>
      </c>
      <c r="AE606" s="30" t="str">
        <f>VLOOKUP(AD606,[3]Key!$E$20:$F$24,2,FALSE)</f>
        <v>500,000-750,000</v>
      </c>
      <c r="AF606" s="23">
        <v>3</v>
      </c>
      <c r="AG606" s="50">
        <v>1</v>
      </c>
      <c r="AH606" s="50">
        <v>2</v>
      </c>
      <c r="AI606" s="50">
        <v>4</v>
      </c>
      <c r="AJ606" s="50">
        <v>5</v>
      </c>
      <c r="AK606" s="46" t="s">
        <v>94</v>
      </c>
      <c r="AL606" s="36">
        <v>1000</v>
      </c>
      <c r="AM606" t="str">
        <f t="shared" si="39"/>
        <v>1000-2000</v>
      </c>
    </row>
    <row r="607" spans="1:46" x14ac:dyDescent="0.2">
      <c r="A607" s="44" t="s">
        <v>433</v>
      </c>
      <c r="B607" s="48">
        <v>0.76458333333333339</v>
      </c>
      <c r="C607" s="48"/>
      <c r="D607" s="48" t="s">
        <v>150</v>
      </c>
      <c r="E607" s="13">
        <v>2</v>
      </c>
      <c r="F607" s="38" t="str">
        <f>VLOOKUP(E607,[3]Key!$A$17:$B$21,2,FALSE)</f>
        <v>Road Vehicle</v>
      </c>
      <c r="G607" s="49">
        <v>6</v>
      </c>
      <c r="H607" s="39" t="str">
        <f>VLOOKUP(G607,[3]Key!$A$2:$B$14,2,FALSE)</f>
        <v>Large Bus</v>
      </c>
      <c r="I607" s="13" t="s">
        <v>156</v>
      </c>
      <c r="J607" s="13">
        <v>1</v>
      </c>
      <c r="K607" s="40" t="str">
        <f>VLOOKUP(J607,[3]Key!$A$24:$B$29,2,FALSE)</f>
        <v>20-29</v>
      </c>
      <c r="L607" s="13" t="s">
        <v>434</v>
      </c>
      <c r="M607" s="23" t="s">
        <v>153</v>
      </c>
      <c r="N607" s="13" t="s">
        <v>152</v>
      </c>
      <c r="O607" s="46">
        <v>2</v>
      </c>
      <c r="P607" s="30" t="str">
        <f>VLOOKUP(O607,[3]Key!$E$2:$F$9,2,FALSE)</f>
        <v>Work</v>
      </c>
      <c r="Q607" s="13" t="s">
        <v>424</v>
      </c>
      <c r="R607" s="23" t="s">
        <v>421</v>
      </c>
      <c r="S607" s="13" t="s">
        <v>152</v>
      </c>
      <c r="T607" s="23">
        <v>6</v>
      </c>
      <c r="U607" s="30" t="str">
        <f>VLOOKUP(T607,[3]Key!$E$2:$F$9,2,FALSE)</f>
        <v>Leisure/Social</v>
      </c>
      <c r="V607" s="30" t="str">
        <f t="shared" si="36"/>
        <v>Work-Leisure/Social</v>
      </c>
      <c r="W607" s="51">
        <v>20000</v>
      </c>
      <c r="X607" s="50"/>
      <c r="Y607" s="50" t="str">
        <f t="shared" si="37"/>
        <v>0-10</v>
      </c>
      <c r="Z607" s="50">
        <v>5</v>
      </c>
      <c r="AA607" s="50" t="str">
        <f t="shared" si="38"/>
        <v>Over 3.5</v>
      </c>
      <c r="AB607" s="23">
        <v>6</v>
      </c>
      <c r="AC607" s="30" t="str">
        <f>VLOOKUP(AB607,[3]Key!$C$20:$D$29,2,FALSE)</f>
        <v>Businessman</v>
      </c>
      <c r="AD607" s="23">
        <v>4</v>
      </c>
      <c r="AE607" s="30" t="str">
        <f>VLOOKUP(AD607,[3]Key!$E$20:$F$24,2,FALSE)</f>
        <v>750,000-1,000,000</v>
      </c>
      <c r="AF607" s="23">
        <v>4</v>
      </c>
      <c r="AG607" s="50">
        <v>5</v>
      </c>
      <c r="AH607" s="50">
        <v>3</v>
      </c>
      <c r="AI607" s="50">
        <v>2</v>
      </c>
      <c r="AJ607" s="50">
        <v>1</v>
      </c>
      <c r="AK607" s="46" t="s">
        <v>94</v>
      </c>
      <c r="AL607" s="36">
        <v>3000</v>
      </c>
      <c r="AM607" t="str">
        <f t="shared" si="39"/>
        <v>3000-5000</v>
      </c>
    </row>
    <row r="608" spans="1:46" x14ac:dyDescent="0.2">
      <c r="A608" s="44" t="s">
        <v>433</v>
      </c>
      <c r="B608" s="48">
        <v>0.77777777777777779</v>
      </c>
      <c r="C608" s="48"/>
      <c r="D608" s="48" t="s">
        <v>150</v>
      </c>
      <c r="E608" s="13">
        <v>2</v>
      </c>
      <c r="F608" s="38" t="str">
        <f>VLOOKUP(E608,[3]Key!$A$17:$B$21,2,FALSE)</f>
        <v>Road Vehicle</v>
      </c>
      <c r="G608" s="49">
        <v>6</v>
      </c>
      <c r="H608" s="39" t="str">
        <f>VLOOKUP(G608,[3]Key!$A$2:$B$14,2,FALSE)</f>
        <v>Large Bus</v>
      </c>
      <c r="I608" s="13" t="s">
        <v>156</v>
      </c>
      <c r="J608" s="13">
        <v>1</v>
      </c>
      <c r="K608" s="40" t="str">
        <f>VLOOKUP(J608,[3]Key!$A$24:$B$29,2,FALSE)</f>
        <v>20-29</v>
      </c>
      <c r="L608" s="13" t="s">
        <v>434</v>
      </c>
      <c r="M608" s="23" t="s">
        <v>153</v>
      </c>
      <c r="N608" s="13" t="s">
        <v>152</v>
      </c>
      <c r="O608" s="46">
        <v>2</v>
      </c>
      <c r="P608" s="30" t="str">
        <f>VLOOKUP(O608,[3]Key!$E$2:$F$9,2,FALSE)</f>
        <v>Work</v>
      </c>
      <c r="Q608" s="13" t="s">
        <v>424</v>
      </c>
      <c r="R608" s="23" t="s">
        <v>421</v>
      </c>
      <c r="S608" s="13" t="s">
        <v>152</v>
      </c>
      <c r="T608" s="23">
        <v>8</v>
      </c>
      <c r="U608" s="30" t="str">
        <f>VLOOKUP(T608,[3]Key!$E$2:$F$9,2,FALSE)</f>
        <v>Others</v>
      </c>
      <c r="V608" s="30" t="str">
        <f t="shared" si="36"/>
        <v>Work-Others</v>
      </c>
      <c r="W608" s="51">
        <v>20000</v>
      </c>
      <c r="X608" s="50"/>
      <c r="Y608" s="50" t="str">
        <f t="shared" si="37"/>
        <v>0-10</v>
      </c>
      <c r="Z608" s="50">
        <v>5</v>
      </c>
      <c r="AA608" s="50" t="str">
        <f t="shared" si="38"/>
        <v>Over 3.5</v>
      </c>
      <c r="AB608" s="23">
        <v>5</v>
      </c>
      <c r="AC608" s="30" t="str">
        <f>VLOOKUP(AB608,[3]Key!$C$20:$D$29,2,FALSE)</f>
        <v>Professional</v>
      </c>
      <c r="AD608" s="23">
        <v>4</v>
      </c>
      <c r="AE608" s="30" t="str">
        <f>VLOOKUP(AD608,[3]Key!$E$20:$F$24,2,FALSE)</f>
        <v>750,000-1,000,000</v>
      </c>
      <c r="AF608" s="23">
        <v>1</v>
      </c>
      <c r="AG608" s="50">
        <v>5</v>
      </c>
      <c r="AH608" s="50">
        <v>3</v>
      </c>
      <c r="AI608" s="50">
        <v>2</v>
      </c>
      <c r="AJ608" s="50">
        <v>4</v>
      </c>
      <c r="AK608" s="46" t="s">
        <v>94</v>
      </c>
      <c r="AL608" s="36">
        <v>5000</v>
      </c>
      <c r="AM608" t="str">
        <f t="shared" si="39"/>
        <v>5000-10000</v>
      </c>
    </row>
    <row r="609" spans="1:39" x14ac:dyDescent="0.2">
      <c r="A609" s="44" t="s">
        <v>433</v>
      </c>
      <c r="B609" s="48">
        <v>0.72291666666666676</v>
      </c>
      <c r="C609" s="48"/>
      <c r="D609" s="48" t="s">
        <v>150</v>
      </c>
      <c r="E609" s="13">
        <v>2</v>
      </c>
      <c r="F609" s="38" t="str">
        <f>VLOOKUP(E609,[3]Key!$A$17:$B$21,2,FALSE)</f>
        <v>Road Vehicle</v>
      </c>
      <c r="G609" s="49">
        <v>6</v>
      </c>
      <c r="H609" s="39" t="str">
        <f>VLOOKUP(G609,[3]Key!$A$2:$B$14,2,FALSE)</f>
        <v>Large Bus</v>
      </c>
      <c r="I609" s="13" t="s">
        <v>156</v>
      </c>
      <c r="J609" s="13">
        <v>1</v>
      </c>
      <c r="K609" s="40" t="str">
        <f>VLOOKUP(J609,[3]Key!$A$24:$B$29,2,FALSE)</f>
        <v>20-29</v>
      </c>
      <c r="L609" s="13" t="s">
        <v>434</v>
      </c>
      <c r="M609" s="23" t="s">
        <v>153</v>
      </c>
      <c r="N609" s="13" t="s">
        <v>152</v>
      </c>
      <c r="O609" s="46">
        <v>8</v>
      </c>
      <c r="P609" s="30" t="str">
        <f>VLOOKUP(O609,[3]Key!$E$2:$F$9,2,FALSE)</f>
        <v>Others</v>
      </c>
      <c r="Q609" s="13" t="s">
        <v>427</v>
      </c>
      <c r="R609" s="23" t="s">
        <v>428</v>
      </c>
      <c r="S609" s="13" t="s">
        <v>152</v>
      </c>
      <c r="T609" s="23">
        <v>1</v>
      </c>
      <c r="U609" s="30" t="str">
        <f>VLOOKUP(T609,[3]Key!$E$2:$F$9,2,FALSE)</f>
        <v>Home</v>
      </c>
      <c r="V609" s="30" t="str">
        <f t="shared" si="36"/>
        <v>Others-Home</v>
      </c>
      <c r="W609" s="51">
        <v>30000</v>
      </c>
      <c r="X609" s="50"/>
      <c r="Y609" s="50" t="str">
        <f t="shared" si="37"/>
        <v>0-10</v>
      </c>
      <c r="Z609" s="50">
        <v>8</v>
      </c>
      <c r="AA609" s="50" t="str">
        <f t="shared" si="38"/>
        <v>Over 3.5</v>
      </c>
      <c r="AB609" s="23">
        <v>6</v>
      </c>
      <c r="AC609" s="30" t="str">
        <f>VLOOKUP(AB609,[3]Key!$C$20:$D$29,2,FALSE)</f>
        <v>Businessman</v>
      </c>
      <c r="AD609" s="23">
        <v>3</v>
      </c>
      <c r="AE609" s="30" t="str">
        <f>VLOOKUP(AD609,[3]Key!$E$20:$F$24,2,FALSE)</f>
        <v>500,000-750,000</v>
      </c>
      <c r="AF609" s="23">
        <v>5</v>
      </c>
      <c r="AG609" s="50">
        <v>5</v>
      </c>
      <c r="AH609" s="50">
        <v>1</v>
      </c>
      <c r="AI609" s="50">
        <v>1</v>
      </c>
      <c r="AJ609" s="50">
        <v>1</v>
      </c>
      <c r="AK609" s="46" t="s">
        <v>94</v>
      </c>
      <c r="AL609" s="36">
        <v>3000</v>
      </c>
      <c r="AM609" t="str">
        <f t="shared" si="39"/>
        <v>3000-5000</v>
      </c>
    </row>
    <row r="610" spans="1:39" x14ac:dyDescent="0.2">
      <c r="A610" s="44" t="s">
        <v>433</v>
      </c>
      <c r="B610" s="48">
        <v>0.69791666666666663</v>
      </c>
      <c r="C610" s="48"/>
      <c r="D610" s="48" t="s">
        <v>150</v>
      </c>
      <c r="E610" s="13">
        <v>2</v>
      </c>
      <c r="F610" s="38" t="str">
        <f>VLOOKUP(E610,[3]Key!$A$17:$B$21,2,FALSE)</f>
        <v>Road Vehicle</v>
      </c>
      <c r="G610" s="49">
        <v>6</v>
      </c>
      <c r="H610" s="39" t="str">
        <f>VLOOKUP(G610,[3]Key!$A$2:$B$14,2,FALSE)</f>
        <v>Large Bus</v>
      </c>
      <c r="I610" s="13" t="s">
        <v>156</v>
      </c>
      <c r="J610" s="13">
        <v>1</v>
      </c>
      <c r="K610" s="40" t="str">
        <f>VLOOKUP(J610,[3]Key!$A$24:$B$29,2,FALSE)</f>
        <v>20-29</v>
      </c>
      <c r="L610" s="13" t="s">
        <v>434</v>
      </c>
      <c r="M610" s="23" t="s">
        <v>153</v>
      </c>
      <c r="N610" s="13" t="s">
        <v>152</v>
      </c>
      <c r="O610" s="46">
        <v>8</v>
      </c>
      <c r="P610" s="30" t="str">
        <f>VLOOKUP(O610,[3]Key!$E$2:$F$9,2,FALSE)</f>
        <v>Others</v>
      </c>
      <c r="Q610" s="13" t="s">
        <v>424</v>
      </c>
      <c r="R610" s="23" t="s">
        <v>421</v>
      </c>
      <c r="S610" s="13" t="s">
        <v>152</v>
      </c>
      <c r="T610" s="23">
        <v>1</v>
      </c>
      <c r="U610" s="30" t="str">
        <f>VLOOKUP(T610,[3]Key!$E$2:$F$9,2,FALSE)</f>
        <v>Home</v>
      </c>
      <c r="V610" s="30" t="str">
        <f t="shared" si="36"/>
        <v>Others-Home</v>
      </c>
      <c r="W610" s="51">
        <v>20000</v>
      </c>
      <c r="X610" s="50"/>
      <c r="Y610" s="50" t="str">
        <f t="shared" si="37"/>
        <v>0-10</v>
      </c>
      <c r="Z610" s="50">
        <v>4</v>
      </c>
      <c r="AA610" s="50" t="str">
        <f t="shared" si="38"/>
        <v>Over 3.5</v>
      </c>
      <c r="AB610" s="23">
        <v>4</v>
      </c>
      <c r="AC610" s="30" t="str">
        <f>VLOOKUP(AB610,[3]Key!$C$20:$D$29,2,FALSE)</f>
        <v>Office Worker</v>
      </c>
      <c r="AD610" s="23">
        <v>2</v>
      </c>
      <c r="AE610" s="30" t="str">
        <f>VLOOKUP(AD610,[3]Key!$E$20:$F$24,2,FALSE)</f>
        <v>300,000-500,000</v>
      </c>
      <c r="AF610" s="23">
        <v>2</v>
      </c>
      <c r="AG610" s="50">
        <v>1</v>
      </c>
      <c r="AH610" s="50">
        <v>3</v>
      </c>
      <c r="AI610" s="50">
        <v>2</v>
      </c>
      <c r="AJ610" s="50">
        <v>2</v>
      </c>
      <c r="AK610" s="46" t="s">
        <v>94</v>
      </c>
      <c r="AL610" s="36">
        <v>10000</v>
      </c>
      <c r="AM610" t="str">
        <f t="shared" si="39"/>
        <v>Over 10000</v>
      </c>
    </row>
    <row r="611" spans="1:39" x14ac:dyDescent="0.2">
      <c r="A611" s="44" t="s">
        <v>433</v>
      </c>
      <c r="B611" s="48">
        <v>0.63888888888888895</v>
      </c>
      <c r="C611" s="48"/>
      <c r="D611" s="48" t="s">
        <v>150</v>
      </c>
      <c r="E611" s="13">
        <v>2</v>
      </c>
      <c r="F611" s="38" t="str">
        <f>VLOOKUP(E611,[3]Key!$A$17:$B$21,2,FALSE)</f>
        <v>Road Vehicle</v>
      </c>
      <c r="G611" s="49">
        <v>6</v>
      </c>
      <c r="H611" s="39" t="str">
        <f>VLOOKUP(G611,[3]Key!$A$2:$B$14,2,FALSE)</f>
        <v>Large Bus</v>
      </c>
      <c r="I611" s="13" t="s">
        <v>156</v>
      </c>
      <c r="J611" s="13">
        <v>1</v>
      </c>
      <c r="K611" s="40" t="str">
        <f>VLOOKUP(J611,[3]Key!$A$24:$B$29,2,FALSE)</f>
        <v>20-29</v>
      </c>
      <c r="L611" s="13" t="s">
        <v>424</v>
      </c>
      <c r="M611" s="23" t="s">
        <v>421</v>
      </c>
      <c r="N611" s="13" t="s">
        <v>152</v>
      </c>
      <c r="O611" s="46">
        <v>1</v>
      </c>
      <c r="P611" s="30" t="str">
        <f>VLOOKUP(O611,[3]Key!$E$2:$F$9,2,FALSE)</f>
        <v>Home</v>
      </c>
      <c r="Q611" s="13" t="s">
        <v>435</v>
      </c>
      <c r="R611" s="23" t="s">
        <v>436</v>
      </c>
      <c r="S611" s="13" t="s">
        <v>152</v>
      </c>
      <c r="T611" s="23">
        <v>2</v>
      </c>
      <c r="U611" s="30" t="str">
        <f>VLOOKUP(T611,[3]Key!$E$2:$F$9,2,FALSE)</f>
        <v>Work</v>
      </c>
      <c r="V611" s="30" t="str">
        <f t="shared" si="36"/>
        <v>Home-Work</v>
      </c>
      <c r="W611" s="51">
        <v>6000</v>
      </c>
      <c r="X611" s="50"/>
      <c r="Y611" s="50" t="str">
        <f t="shared" si="37"/>
        <v>0-10</v>
      </c>
      <c r="Z611" s="50">
        <v>1</v>
      </c>
      <c r="AA611" s="50" t="str">
        <f t="shared" si="38"/>
        <v>1.0-2.0</v>
      </c>
      <c r="AB611" s="23">
        <v>4</v>
      </c>
      <c r="AC611" s="30" t="str">
        <f>VLOOKUP(AB611,[3]Key!$C$20:$D$29,2,FALSE)</f>
        <v>Office Worker</v>
      </c>
      <c r="AD611" s="23">
        <v>2</v>
      </c>
      <c r="AE611" s="30" t="str">
        <f>VLOOKUP(AD611,[3]Key!$E$20:$F$24,2,FALSE)</f>
        <v>300,000-500,000</v>
      </c>
      <c r="AF611" s="23">
        <v>2</v>
      </c>
      <c r="AG611" s="50">
        <v>3</v>
      </c>
      <c r="AH611" s="50">
        <v>4</v>
      </c>
      <c r="AI611" s="50">
        <v>2</v>
      </c>
      <c r="AJ611" s="50">
        <v>2</v>
      </c>
      <c r="AK611" s="46" t="s">
        <v>94</v>
      </c>
      <c r="AL611" s="36">
        <v>3000</v>
      </c>
      <c r="AM611" t="str">
        <f t="shared" si="39"/>
        <v>3000-5000</v>
      </c>
    </row>
    <row r="612" spans="1:39" x14ac:dyDescent="0.2">
      <c r="A612" s="44" t="s">
        <v>433</v>
      </c>
      <c r="B612" s="48">
        <v>0.65</v>
      </c>
      <c r="C612" s="48"/>
      <c r="D612" s="48" t="s">
        <v>150</v>
      </c>
      <c r="E612" s="13">
        <v>2</v>
      </c>
      <c r="F612" s="38" t="str">
        <f>VLOOKUP(E612,[3]Key!$A$17:$B$21,2,FALSE)</f>
        <v>Road Vehicle</v>
      </c>
      <c r="G612" s="49">
        <v>6</v>
      </c>
      <c r="H612" s="39" t="str">
        <f>VLOOKUP(G612,[3]Key!$A$2:$B$14,2,FALSE)</f>
        <v>Large Bus</v>
      </c>
      <c r="I612" s="13" t="s">
        <v>156</v>
      </c>
      <c r="J612" s="13">
        <v>1</v>
      </c>
      <c r="K612" s="40" t="str">
        <f>VLOOKUP(J612,[3]Key!$A$24:$B$29,2,FALSE)</f>
        <v>20-29</v>
      </c>
      <c r="L612" s="13" t="s">
        <v>424</v>
      </c>
      <c r="M612" s="23" t="s">
        <v>421</v>
      </c>
      <c r="N612" s="13" t="s">
        <v>152</v>
      </c>
      <c r="O612" s="46">
        <v>1</v>
      </c>
      <c r="P612" s="30" t="str">
        <f>VLOOKUP(O612,[3]Key!$E$2:$F$9,2,FALSE)</f>
        <v>Home</v>
      </c>
      <c r="Q612" s="13" t="s">
        <v>437</v>
      </c>
      <c r="R612" s="23" t="s">
        <v>175</v>
      </c>
      <c r="S612" s="13" t="s">
        <v>152</v>
      </c>
      <c r="T612" s="23">
        <v>3</v>
      </c>
      <c r="U612" s="30" t="str">
        <f>VLOOKUP(T612,[3]Key!$E$2:$F$9,2,FALSE)</f>
        <v>Study</v>
      </c>
      <c r="V612" s="30" t="str">
        <f t="shared" si="36"/>
        <v>Home-Study</v>
      </c>
      <c r="W612" s="51">
        <v>15000</v>
      </c>
      <c r="X612" s="50"/>
      <c r="Y612" s="50" t="str">
        <f t="shared" si="37"/>
        <v>0-10</v>
      </c>
      <c r="Z612" s="50">
        <v>2.5</v>
      </c>
      <c r="AA612" s="50" t="str">
        <f t="shared" si="38"/>
        <v>2.0-3.5</v>
      </c>
      <c r="AB612" s="23">
        <v>8</v>
      </c>
      <c r="AC612" s="30" t="str">
        <f>VLOOKUP(AB612,[3]Key!$C$20:$D$29,2,FALSE)</f>
        <v>Student</v>
      </c>
      <c r="AD612" s="23">
        <v>1</v>
      </c>
      <c r="AE612" s="30" t="str">
        <f>VLOOKUP(AD612,[3]Key!$E$20:$F$24,2,FALSE)</f>
        <v>&lt;300,000</v>
      </c>
      <c r="AF612" s="23">
        <v>2</v>
      </c>
      <c r="AG612" s="50">
        <v>4</v>
      </c>
      <c r="AH612" s="50">
        <v>4</v>
      </c>
      <c r="AI612" s="50">
        <v>3</v>
      </c>
      <c r="AJ612" s="50">
        <v>1</v>
      </c>
      <c r="AK612" s="46" t="s">
        <v>94</v>
      </c>
      <c r="AL612" s="36">
        <v>1000</v>
      </c>
      <c r="AM612" t="str">
        <f t="shared" si="39"/>
        <v>1000-2000</v>
      </c>
    </row>
    <row r="613" spans="1:39" x14ac:dyDescent="0.2">
      <c r="A613" s="44" t="s">
        <v>423</v>
      </c>
      <c r="B613" s="48">
        <v>0.74305555555555547</v>
      </c>
      <c r="C613" s="48"/>
      <c r="D613" s="48" t="s">
        <v>150</v>
      </c>
      <c r="E613" s="13">
        <v>2</v>
      </c>
      <c r="F613" s="38" t="str">
        <f>VLOOKUP(E613,[3]Key!$A$17:$B$21,2,FALSE)</f>
        <v>Road Vehicle</v>
      </c>
      <c r="G613" s="49">
        <v>6</v>
      </c>
      <c r="H613" s="39" t="str">
        <f>VLOOKUP(G613,[3]Key!$A$2:$B$14,2,FALSE)</f>
        <v>Large Bus</v>
      </c>
      <c r="I613" s="13" t="s">
        <v>156</v>
      </c>
      <c r="J613" s="13">
        <v>1</v>
      </c>
      <c r="K613" s="40" t="str">
        <f>VLOOKUP(J613,[3]Key!$A$24:$B$29,2,FALSE)</f>
        <v>20-29</v>
      </c>
      <c r="L613" s="13" t="s">
        <v>434</v>
      </c>
      <c r="M613" s="23" t="s">
        <v>153</v>
      </c>
      <c r="N613" s="13" t="s">
        <v>152</v>
      </c>
      <c r="O613" s="46">
        <v>1</v>
      </c>
      <c r="P613" s="30" t="s">
        <v>64</v>
      </c>
      <c r="Q613" s="13" t="s">
        <v>424</v>
      </c>
      <c r="R613" s="23" t="s">
        <v>421</v>
      </c>
      <c r="S613" s="13" t="s">
        <v>152</v>
      </c>
      <c r="T613" s="23">
        <v>1</v>
      </c>
      <c r="U613" s="30" t="str">
        <f>VLOOKUP(T613,[3]Key!$E$2:$F$9,2,FALSE)</f>
        <v>Home</v>
      </c>
      <c r="V613" s="30" t="str">
        <f t="shared" si="36"/>
        <v>Home-Home</v>
      </c>
      <c r="W613" s="51">
        <v>20000</v>
      </c>
      <c r="X613" s="50"/>
      <c r="Y613" s="50" t="str">
        <f t="shared" si="37"/>
        <v>0-10</v>
      </c>
      <c r="Z613" s="50">
        <v>5.5</v>
      </c>
      <c r="AA613" s="50" t="str">
        <f t="shared" si="38"/>
        <v>Over 3.5</v>
      </c>
      <c r="AB613" s="23">
        <v>4</v>
      </c>
      <c r="AC613" s="30" t="str">
        <f>VLOOKUP(AB613,[3]Key!$C$20:$D$29,2,FALSE)</f>
        <v>Office Worker</v>
      </c>
      <c r="AD613" s="23">
        <v>2</v>
      </c>
      <c r="AE613" s="30" t="str">
        <f>VLOOKUP(AD613,[3]Key!$E$20:$F$24,2,FALSE)</f>
        <v>300,000-500,000</v>
      </c>
      <c r="AF613" s="23">
        <v>2</v>
      </c>
      <c r="AG613" s="50">
        <v>1</v>
      </c>
      <c r="AH613" s="50">
        <v>3</v>
      </c>
      <c r="AI613" s="50">
        <v>4</v>
      </c>
      <c r="AJ613" s="50">
        <v>5</v>
      </c>
      <c r="AK613" s="46" t="s">
        <v>94</v>
      </c>
      <c r="AL613" s="36">
        <v>2000</v>
      </c>
      <c r="AM613" t="str">
        <f t="shared" si="39"/>
        <v>2000-3000</v>
      </c>
    </row>
    <row r="614" spans="1:39" x14ac:dyDescent="0.2">
      <c r="A614" s="44" t="s">
        <v>423</v>
      </c>
      <c r="B614" s="48">
        <v>0.72569444444444453</v>
      </c>
      <c r="C614" s="48"/>
      <c r="D614" s="48" t="s">
        <v>150</v>
      </c>
      <c r="E614" s="13">
        <v>2</v>
      </c>
      <c r="F614" s="38" t="str">
        <f>VLOOKUP(E614,[3]Key!$A$17:$B$21,2,FALSE)</f>
        <v>Road Vehicle</v>
      </c>
      <c r="G614" s="49">
        <v>6</v>
      </c>
      <c r="H614" s="39" t="str">
        <f>VLOOKUP(G614,[3]Key!$A$2:$B$14,2,FALSE)</f>
        <v>Large Bus</v>
      </c>
      <c r="I614" s="13" t="s">
        <v>156</v>
      </c>
      <c r="J614" s="13">
        <v>1</v>
      </c>
      <c r="K614" s="40" t="str">
        <f>VLOOKUP(J614,[3]Key!$A$24:$B$29,2,FALSE)</f>
        <v>20-29</v>
      </c>
      <c r="L614" s="13" t="s">
        <v>434</v>
      </c>
      <c r="M614" s="23" t="s">
        <v>153</v>
      </c>
      <c r="N614" s="13" t="s">
        <v>152</v>
      </c>
      <c r="O614" s="46">
        <v>1</v>
      </c>
      <c r="P614" s="30" t="str">
        <f>VLOOKUP(O614,[3]Key!$E$2:$F$9,2,FALSE)</f>
        <v>Home</v>
      </c>
      <c r="Q614" s="13" t="s">
        <v>424</v>
      </c>
      <c r="R614" s="23" t="s">
        <v>421</v>
      </c>
      <c r="S614" s="13" t="s">
        <v>152</v>
      </c>
      <c r="T614" s="23">
        <v>2</v>
      </c>
      <c r="U614" s="30" t="str">
        <f>VLOOKUP(T614,[3]Key!$E$2:$F$9,2,FALSE)</f>
        <v>Work</v>
      </c>
      <c r="V614" s="30" t="str">
        <f t="shared" si="36"/>
        <v>Home-Work</v>
      </c>
      <c r="W614" s="51">
        <v>20000</v>
      </c>
      <c r="X614" s="50"/>
      <c r="Y614" s="50" t="str">
        <f t="shared" si="37"/>
        <v>0-10</v>
      </c>
      <c r="Z614" s="50">
        <v>3.5</v>
      </c>
      <c r="AA614" s="50" t="str">
        <f t="shared" si="38"/>
        <v>Over 3.5</v>
      </c>
      <c r="AB614" s="23">
        <v>6</v>
      </c>
      <c r="AC614" s="30" t="str">
        <f>VLOOKUP(AB614,[3]Key!$C$20:$D$29,2,FALSE)</f>
        <v>Businessman</v>
      </c>
      <c r="AD614" s="23">
        <v>2</v>
      </c>
      <c r="AE614" s="30" t="str">
        <f>VLOOKUP(AD614,[3]Key!$E$20:$F$24,2,FALSE)</f>
        <v>300,000-500,000</v>
      </c>
      <c r="AF614" s="23">
        <v>1</v>
      </c>
      <c r="AG614" s="50">
        <v>4</v>
      </c>
      <c r="AH614" s="50">
        <v>3</v>
      </c>
      <c r="AI614" s="50">
        <v>2</v>
      </c>
      <c r="AJ614" s="50">
        <v>3</v>
      </c>
      <c r="AK614" s="46" t="s">
        <v>94</v>
      </c>
      <c r="AL614" s="36">
        <v>0</v>
      </c>
      <c r="AM614" t="str">
        <f t="shared" si="39"/>
        <v>0-1000</v>
      </c>
    </row>
    <row r="615" spans="1:39" x14ac:dyDescent="0.2">
      <c r="A615" s="44" t="s">
        <v>423</v>
      </c>
      <c r="B615" s="48">
        <v>0.39999999999999997</v>
      </c>
      <c r="C615" s="48"/>
      <c r="D615" s="48" t="s">
        <v>150</v>
      </c>
      <c r="E615" s="13">
        <v>2</v>
      </c>
      <c r="F615" s="38" t="str">
        <f>VLOOKUP(E615,[3]Key!$A$17:$B$21,2,FALSE)</f>
        <v>Road Vehicle</v>
      </c>
      <c r="G615" s="49">
        <v>6</v>
      </c>
      <c r="H615" s="39" t="str">
        <f>VLOOKUP(G615,[3]Key!$A$2:$B$14,2,FALSE)</f>
        <v>Large Bus</v>
      </c>
      <c r="I615" s="13" t="s">
        <v>156</v>
      </c>
      <c r="J615" s="13">
        <v>1</v>
      </c>
      <c r="K615" s="40" t="str">
        <f>VLOOKUP(J615,[3]Key!$A$24:$B$29,2,FALSE)</f>
        <v>20-29</v>
      </c>
      <c r="L615" s="13" t="s">
        <v>438</v>
      </c>
      <c r="M615" s="23" t="s">
        <v>439</v>
      </c>
      <c r="N615" s="13" t="s">
        <v>152</v>
      </c>
      <c r="O615" s="46">
        <v>1</v>
      </c>
      <c r="P615" s="30" t="str">
        <f>VLOOKUP(O615,[3]Key!$E$2:$F$9,2,FALSE)</f>
        <v>Home</v>
      </c>
      <c r="Q615" s="13" t="s">
        <v>424</v>
      </c>
      <c r="R615" s="23" t="s">
        <v>421</v>
      </c>
      <c r="S615" s="13" t="s">
        <v>152</v>
      </c>
      <c r="T615" s="23">
        <v>2</v>
      </c>
      <c r="U615" s="30" t="str">
        <f>VLOOKUP(T615,[3]Key!$E$2:$F$9,2,FALSE)</f>
        <v>Work</v>
      </c>
      <c r="V615" s="30" t="str">
        <f t="shared" si="36"/>
        <v>Home-Work</v>
      </c>
      <c r="W615" s="51">
        <v>15000</v>
      </c>
      <c r="X615" s="50"/>
      <c r="Y615" s="50" t="str">
        <f t="shared" si="37"/>
        <v>0-10</v>
      </c>
      <c r="Z615" s="50">
        <v>2</v>
      </c>
      <c r="AA615" s="50" t="str">
        <f t="shared" si="38"/>
        <v>2.0-3.5</v>
      </c>
      <c r="AB615" s="23">
        <v>2</v>
      </c>
      <c r="AC615" s="30" t="str">
        <f>VLOOKUP(AB615,[3]Key!$C$20:$D$29,2,FALSE)</f>
        <v>Manual Labour</v>
      </c>
      <c r="AD615" s="23">
        <v>1</v>
      </c>
      <c r="AE615" s="30" t="str">
        <f>VLOOKUP(AD615,[3]Key!$E$20:$F$24,2,FALSE)</f>
        <v>&lt;300,000</v>
      </c>
      <c r="AF615" s="23">
        <v>3</v>
      </c>
      <c r="AG615" s="50">
        <v>3</v>
      </c>
      <c r="AH615" s="50">
        <v>2</v>
      </c>
      <c r="AI615" s="50">
        <v>1</v>
      </c>
      <c r="AJ615" s="50">
        <v>4</v>
      </c>
      <c r="AK615" s="46" t="s">
        <v>94</v>
      </c>
      <c r="AL615" s="36">
        <v>2000</v>
      </c>
      <c r="AM615" t="str">
        <f t="shared" si="39"/>
        <v>2000-3000</v>
      </c>
    </row>
    <row r="616" spans="1:39" x14ac:dyDescent="0.2">
      <c r="A616" s="44" t="s">
        <v>423</v>
      </c>
      <c r="B616" s="48">
        <v>0.72013888888888899</v>
      </c>
      <c r="C616" s="48"/>
      <c r="D616" s="48" t="s">
        <v>150</v>
      </c>
      <c r="E616" s="13">
        <v>2</v>
      </c>
      <c r="F616" s="38" t="str">
        <f>VLOOKUP(E616,[3]Key!$A$17:$B$21,2,FALSE)</f>
        <v>Road Vehicle</v>
      </c>
      <c r="G616" s="49">
        <v>6</v>
      </c>
      <c r="H616" s="39" t="str">
        <f>VLOOKUP(G616,[3]Key!$A$2:$B$14,2,FALSE)</f>
        <v>Large Bus</v>
      </c>
      <c r="I616" s="13" t="s">
        <v>156</v>
      </c>
      <c r="J616" s="13">
        <v>1</v>
      </c>
      <c r="K616" s="40" t="str">
        <f>VLOOKUP(J616,[3]Key!$A$24:$B$29,2,FALSE)</f>
        <v>20-29</v>
      </c>
      <c r="L616" s="13" t="s">
        <v>438</v>
      </c>
      <c r="M616" s="23" t="s">
        <v>439</v>
      </c>
      <c r="N616" s="13" t="s">
        <v>152</v>
      </c>
      <c r="O616" s="46">
        <v>1</v>
      </c>
      <c r="P616" s="30" t="str">
        <f>VLOOKUP(O616,[3]Key!$E$2:$F$9,2,FALSE)</f>
        <v>Home</v>
      </c>
      <c r="Q616" s="13" t="s">
        <v>424</v>
      </c>
      <c r="R616" s="23" t="s">
        <v>421</v>
      </c>
      <c r="S616" s="13" t="s">
        <v>152</v>
      </c>
      <c r="T616" s="23">
        <v>2</v>
      </c>
      <c r="U616" s="30" t="str">
        <f>VLOOKUP(T616,[3]Key!$E$2:$F$9,2,FALSE)</f>
        <v>Work</v>
      </c>
      <c r="V616" s="30" t="str">
        <f t="shared" si="36"/>
        <v>Home-Work</v>
      </c>
      <c r="W616" s="51">
        <v>9000</v>
      </c>
      <c r="X616" s="50"/>
      <c r="Y616" s="50" t="str">
        <f t="shared" si="37"/>
        <v>0-10</v>
      </c>
      <c r="Z616" s="50">
        <v>1</v>
      </c>
      <c r="AA616" s="50" t="str">
        <f t="shared" si="38"/>
        <v>1.0-2.0</v>
      </c>
      <c r="AB616" s="23">
        <v>2</v>
      </c>
      <c r="AC616" s="30" t="str">
        <f>VLOOKUP(AB616,[3]Key!$C$20:$D$29,2,FALSE)</f>
        <v>Manual Labour</v>
      </c>
      <c r="AD616" s="23">
        <v>1</v>
      </c>
      <c r="AE616" s="30" t="str">
        <f>VLOOKUP(AD616,[3]Key!$E$20:$F$24,2,FALSE)</f>
        <v>&lt;300,000</v>
      </c>
      <c r="AF616" s="23">
        <v>2</v>
      </c>
      <c r="AG616" s="50">
        <v>4</v>
      </c>
      <c r="AH616" s="50">
        <v>3</v>
      </c>
      <c r="AI616" s="50">
        <v>4</v>
      </c>
      <c r="AJ616" s="50">
        <v>3</v>
      </c>
      <c r="AK616" s="46" t="s">
        <v>94</v>
      </c>
      <c r="AL616" s="36">
        <v>1000</v>
      </c>
      <c r="AM616" t="str">
        <f t="shared" si="39"/>
        <v>1000-2000</v>
      </c>
    </row>
    <row r="617" spans="1:39" x14ac:dyDescent="0.2">
      <c r="A617" s="44" t="s">
        <v>423</v>
      </c>
      <c r="B617" s="48">
        <v>0.71319444444444446</v>
      </c>
      <c r="C617" s="48"/>
      <c r="D617" s="48" t="s">
        <v>150</v>
      </c>
      <c r="E617" s="13">
        <v>2</v>
      </c>
      <c r="F617" s="38" t="str">
        <f>VLOOKUP(E617,[3]Key!$A$17:$B$21,2,FALSE)</f>
        <v>Road Vehicle</v>
      </c>
      <c r="G617" s="49">
        <v>6</v>
      </c>
      <c r="H617" s="39" t="str">
        <f>VLOOKUP(G617,[3]Key!$A$2:$B$14,2,FALSE)</f>
        <v>Large Bus</v>
      </c>
      <c r="I617" s="13" t="s">
        <v>156</v>
      </c>
      <c r="J617" s="13">
        <v>1</v>
      </c>
      <c r="K617" s="40" t="str">
        <f>VLOOKUP(J617,[3]Key!$A$24:$B$29,2,FALSE)</f>
        <v>20-29</v>
      </c>
      <c r="L617" s="13" t="s">
        <v>440</v>
      </c>
      <c r="M617" s="23" t="s">
        <v>441</v>
      </c>
      <c r="N617" s="13" t="s">
        <v>152</v>
      </c>
      <c r="O617" s="46">
        <v>1</v>
      </c>
      <c r="P617" s="30" t="str">
        <f>VLOOKUP(O617,[3]Key!$E$2:$F$9,2,FALSE)</f>
        <v>Home</v>
      </c>
      <c r="Q617" s="13" t="s">
        <v>424</v>
      </c>
      <c r="R617" s="23" t="s">
        <v>421</v>
      </c>
      <c r="S617" s="13" t="s">
        <v>152</v>
      </c>
      <c r="T617" s="23">
        <v>8</v>
      </c>
      <c r="U617" s="30" t="str">
        <f>VLOOKUP(T617,[3]Key!$E$2:$F$9,2,FALSE)</f>
        <v>Others</v>
      </c>
      <c r="V617" s="30" t="str">
        <f t="shared" si="36"/>
        <v>Home-Others</v>
      </c>
      <c r="W617" s="51">
        <v>5000</v>
      </c>
      <c r="X617" s="50"/>
      <c r="Y617" s="50" t="str">
        <f t="shared" si="37"/>
        <v>0-10</v>
      </c>
      <c r="Z617" s="50">
        <v>0.66</v>
      </c>
      <c r="AA617" s="50" t="str">
        <f t="shared" si="38"/>
        <v>0.5-1.0</v>
      </c>
      <c r="AB617" s="23">
        <v>2</v>
      </c>
      <c r="AC617" s="30" t="str">
        <f>VLOOKUP(AB617,[3]Key!$C$20:$D$29,2,FALSE)</f>
        <v>Manual Labour</v>
      </c>
      <c r="AD617" s="23">
        <v>1</v>
      </c>
      <c r="AE617" s="30" t="str">
        <f>VLOOKUP(AD617,[3]Key!$E$20:$F$24,2,FALSE)</f>
        <v>&lt;300,000</v>
      </c>
      <c r="AF617" s="23">
        <v>3</v>
      </c>
      <c r="AG617" s="50">
        <v>3</v>
      </c>
      <c r="AH617" s="50">
        <v>4</v>
      </c>
      <c r="AI617" s="50">
        <v>2</v>
      </c>
      <c r="AJ617" s="50">
        <v>4</v>
      </c>
      <c r="AK617" s="46" t="s">
        <v>94</v>
      </c>
      <c r="AL617" s="36">
        <v>1000</v>
      </c>
      <c r="AM617" t="str">
        <f t="shared" si="39"/>
        <v>1000-2000</v>
      </c>
    </row>
    <row r="618" spans="1:39" x14ac:dyDescent="0.2">
      <c r="A618" s="44" t="s">
        <v>423</v>
      </c>
      <c r="B618" s="48">
        <v>0.76874999999999993</v>
      </c>
      <c r="C618" s="48"/>
      <c r="D618" s="48" t="s">
        <v>150</v>
      </c>
      <c r="E618" s="13">
        <v>2</v>
      </c>
      <c r="F618" s="38" t="str">
        <f>VLOOKUP(E618,[3]Key!$A$17:$B$21,2,FALSE)</f>
        <v>Road Vehicle</v>
      </c>
      <c r="G618" s="49">
        <v>6</v>
      </c>
      <c r="H618" s="39" t="str">
        <f>VLOOKUP(G618,[3]Key!$A$2:$B$14,2,FALSE)</f>
        <v>Large Bus</v>
      </c>
      <c r="I618" s="13" t="s">
        <v>156</v>
      </c>
      <c r="J618" s="13">
        <v>1</v>
      </c>
      <c r="K618" s="40" t="str">
        <f>VLOOKUP(J618,[3]Key!$A$24:$B$29,2,FALSE)</f>
        <v>20-29</v>
      </c>
      <c r="L618" s="13" t="s">
        <v>434</v>
      </c>
      <c r="M618" s="23" t="s">
        <v>153</v>
      </c>
      <c r="N618" s="13" t="s">
        <v>152</v>
      </c>
      <c r="O618" s="46">
        <v>3</v>
      </c>
      <c r="P618" s="30" t="str">
        <f>VLOOKUP(O618,[3]Key!$E$2:$F$9,2,FALSE)</f>
        <v>Study</v>
      </c>
      <c r="Q618" s="13" t="s">
        <v>424</v>
      </c>
      <c r="R618" s="23" t="s">
        <v>421</v>
      </c>
      <c r="S618" s="13" t="s">
        <v>152</v>
      </c>
      <c r="T618" s="23">
        <v>1</v>
      </c>
      <c r="U618" s="30" t="str">
        <f>VLOOKUP(T618,[3]Key!$E$2:$F$9,2,FALSE)</f>
        <v>Home</v>
      </c>
      <c r="V618" s="30" t="str">
        <f t="shared" si="36"/>
        <v>Study-Home</v>
      </c>
      <c r="W618" s="51">
        <v>20000</v>
      </c>
      <c r="X618" s="50">
        <v>210</v>
      </c>
      <c r="Y618" s="50" t="str">
        <f t="shared" si="37"/>
        <v>Over 200</v>
      </c>
      <c r="Z618" s="50">
        <v>5</v>
      </c>
      <c r="AA618" s="50" t="str">
        <f t="shared" si="38"/>
        <v>Over 3.5</v>
      </c>
      <c r="AB618" s="23">
        <v>8</v>
      </c>
      <c r="AC618" s="30" t="str">
        <f>VLOOKUP(AB618,[3]Key!$C$20:$D$29,2,FALSE)</f>
        <v>Student</v>
      </c>
      <c r="AD618" s="23">
        <v>1</v>
      </c>
      <c r="AE618" s="30" t="str">
        <f>VLOOKUP(AD618,[3]Key!$E$20:$F$24,2,FALSE)</f>
        <v>&lt;300,000</v>
      </c>
      <c r="AF618" s="23">
        <v>1</v>
      </c>
      <c r="AG618" s="50">
        <v>5</v>
      </c>
      <c r="AH618" s="50">
        <v>2</v>
      </c>
      <c r="AI618" s="50">
        <v>3</v>
      </c>
      <c r="AJ618" s="50">
        <v>4</v>
      </c>
      <c r="AK618" s="46" t="s">
        <v>94</v>
      </c>
      <c r="AL618" s="36">
        <v>1000</v>
      </c>
      <c r="AM618" t="str">
        <f t="shared" si="39"/>
        <v>1000-2000</v>
      </c>
    </row>
    <row r="619" spans="1:39" x14ac:dyDescent="0.2">
      <c r="A619" s="44" t="s">
        <v>423</v>
      </c>
      <c r="B619" s="48">
        <v>0.74375000000000002</v>
      </c>
      <c r="C619" s="48"/>
      <c r="D619" s="48" t="s">
        <v>150</v>
      </c>
      <c r="E619" s="13">
        <v>2</v>
      </c>
      <c r="F619" s="38" t="str">
        <f>VLOOKUP(E619,[3]Key!$A$17:$B$21,2,FALSE)</f>
        <v>Road Vehicle</v>
      </c>
      <c r="G619" s="49">
        <v>6</v>
      </c>
      <c r="H619" s="39" t="str">
        <f>VLOOKUP(G619,[3]Key!$A$2:$B$14,2,FALSE)</f>
        <v>Large Bus</v>
      </c>
      <c r="I619" s="13" t="s">
        <v>156</v>
      </c>
      <c r="J619" s="13">
        <v>1</v>
      </c>
      <c r="K619" s="40" t="str">
        <f>VLOOKUP(J619,[3]Key!$A$24:$B$29,2,FALSE)</f>
        <v>20-29</v>
      </c>
      <c r="L619" s="13" t="s">
        <v>434</v>
      </c>
      <c r="M619" s="23" t="s">
        <v>153</v>
      </c>
      <c r="N619" s="13" t="s">
        <v>152</v>
      </c>
      <c r="O619" s="46">
        <v>2</v>
      </c>
      <c r="P619" s="30" t="str">
        <f>VLOOKUP(O619,[3]Key!$E$2:$F$9,2,FALSE)</f>
        <v>Work</v>
      </c>
      <c r="Q619" s="13" t="s">
        <v>442</v>
      </c>
      <c r="R619" s="23" t="s">
        <v>421</v>
      </c>
      <c r="S619" s="13" t="s">
        <v>152</v>
      </c>
      <c r="T619" s="23">
        <v>1</v>
      </c>
      <c r="U619" s="30" t="str">
        <f>VLOOKUP(T619,[3]Key!$E$2:$F$9,2,FALSE)</f>
        <v>Home</v>
      </c>
      <c r="V619" s="30" t="str">
        <f t="shared" si="36"/>
        <v>Work-Home</v>
      </c>
      <c r="W619" s="51">
        <v>40000</v>
      </c>
      <c r="X619" s="50">
        <v>390</v>
      </c>
      <c r="Y619" s="50" t="str">
        <f t="shared" si="37"/>
        <v>Over 200</v>
      </c>
      <c r="Z619" s="50">
        <v>8</v>
      </c>
      <c r="AA619" s="50" t="str">
        <f t="shared" si="38"/>
        <v>Over 3.5</v>
      </c>
      <c r="AB619" s="23">
        <v>5</v>
      </c>
      <c r="AC619" s="30" t="str">
        <f>VLOOKUP(AB619,[3]Key!$C$20:$D$29,2,FALSE)</f>
        <v>Professional</v>
      </c>
      <c r="AD619" s="23">
        <v>4</v>
      </c>
      <c r="AE619" s="30" t="s">
        <v>140</v>
      </c>
      <c r="AF619" s="23">
        <v>2</v>
      </c>
      <c r="AG619" s="50">
        <v>1</v>
      </c>
      <c r="AH619" s="50">
        <v>5</v>
      </c>
      <c r="AI619" s="50">
        <v>3</v>
      </c>
      <c r="AJ619" s="50">
        <v>4</v>
      </c>
      <c r="AK619" s="46" t="s">
        <v>94</v>
      </c>
      <c r="AL619" s="36">
        <v>5000</v>
      </c>
      <c r="AM619" t="str">
        <f t="shared" si="39"/>
        <v>5000-10000</v>
      </c>
    </row>
    <row r="620" spans="1:39" x14ac:dyDescent="0.2">
      <c r="A620" s="44" t="s">
        <v>423</v>
      </c>
      <c r="B620" s="48">
        <v>0.66736111111111107</v>
      </c>
      <c r="C620" s="48"/>
      <c r="D620" s="48" t="s">
        <v>150</v>
      </c>
      <c r="E620" s="13">
        <v>2</v>
      </c>
      <c r="F620" s="38" t="str">
        <f>VLOOKUP(E620,[3]Key!$A$17:$B$21,2,FALSE)</f>
        <v>Road Vehicle</v>
      </c>
      <c r="G620" s="49">
        <v>6</v>
      </c>
      <c r="H620" s="39" t="str">
        <f>VLOOKUP(G620,[3]Key!$A$2:$B$14,2,FALSE)</f>
        <v>Large Bus</v>
      </c>
      <c r="I620" s="13" t="s">
        <v>156</v>
      </c>
      <c r="J620" s="13">
        <v>1</v>
      </c>
      <c r="K620" s="40" t="str">
        <f>VLOOKUP(J620,[3]Key!$A$24:$B$29,2,FALSE)</f>
        <v>20-29</v>
      </c>
      <c r="L620" s="13" t="s">
        <v>443</v>
      </c>
      <c r="M620" s="23" t="s">
        <v>444</v>
      </c>
      <c r="N620" s="13" t="s">
        <v>152</v>
      </c>
      <c r="O620" s="46">
        <v>1</v>
      </c>
      <c r="P620" s="30" t="str">
        <f>VLOOKUP(O620,[3]Key!$E$2:$F$9,2,FALSE)</f>
        <v>Home</v>
      </c>
      <c r="Q620" s="13" t="s">
        <v>445</v>
      </c>
      <c r="R620" s="23" t="s">
        <v>153</v>
      </c>
      <c r="S620" s="13" t="s">
        <v>152</v>
      </c>
      <c r="T620" s="23">
        <v>2</v>
      </c>
      <c r="U620" s="30" t="str">
        <f>VLOOKUP(T620,[3]Key!$E$2:$F$9,2,FALSE)</f>
        <v>Work</v>
      </c>
      <c r="V620" s="30" t="str">
        <f t="shared" si="36"/>
        <v>Home-Work</v>
      </c>
      <c r="W620" s="51">
        <v>40000</v>
      </c>
      <c r="X620" s="50">
        <v>415</v>
      </c>
      <c r="Y620" s="50" t="str">
        <f t="shared" si="37"/>
        <v>Over 200</v>
      </c>
      <c r="Z620" s="50">
        <v>12</v>
      </c>
      <c r="AA620" s="50" t="str">
        <f t="shared" si="38"/>
        <v>Over 3.5</v>
      </c>
      <c r="AB620" s="23">
        <v>7</v>
      </c>
      <c r="AC620" s="30" t="str">
        <f>VLOOKUP(AB620,[3]Key!$C$20:$D$29,2,FALSE)</f>
        <v>Farmer</v>
      </c>
      <c r="AD620" s="23">
        <v>2</v>
      </c>
      <c r="AE620" s="30" t="str">
        <f>VLOOKUP(AD620,[3]Key!$E$20:$F$24,2,FALSE)</f>
        <v>300,000-500,000</v>
      </c>
      <c r="AF620" s="23">
        <v>5</v>
      </c>
      <c r="AG620" s="50">
        <v>2</v>
      </c>
      <c r="AH620" s="50">
        <v>4</v>
      </c>
      <c r="AI620" s="50">
        <v>1</v>
      </c>
      <c r="AJ620" s="50">
        <v>3</v>
      </c>
      <c r="AK620" s="46" t="s">
        <v>94</v>
      </c>
      <c r="AL620" s="36">
        <v>500</v>
      </c>
      <c r="AM620" t="str">
        <f t="shared" si="39"/>
        <v>0-1000</v>
      </c>
    </row>
    <row r="621" spans="1:39" x14ac:dyDescent="0.2">
      <c r="A621" s="44" t="s">
        <v>423</v>
      </c>
      <c r="B621" s="48">
        <v>0.71736111111111101</v>
      </c>
      <c r="C621" s="48"/>
      <c r="D621" s="48" t="s">
        <v>150</v>
      </c>
      <c r="E621" s="13">
        <v>2</v>
      </c>
      <c r="F621" s="38" t="str">
        <f>VLOOKUP(E621,[3]Key!$A$17:$B$21,2,FALSE)</f>
        <v>Road Vehicle</v>
      </c>
      <c r="G621" s="49">
        <v>6</v>
      </c>
      <c r="H621" s="39" t="str">
        <f>VLOOKUP(G621,[3]Key!$A$2:$B$14,2,FALSE)</f>
        <v>Large Bus</v>
      </c>
      <c r="I621" s="13" t="s">
        <v>156</v>
      </c>
      <c r="J621" s="13">
        <v>1</v>
      </c>
      <c r="K621" s="40" t="str">
        <f>VLOOKUP(J621,[3]Key!$A$24:$B$29,2,FALSE)</f>
        <v>20-29</v>
      </c>
      <c r="L621" s="13" t="s">
        <v>438</v>
      </c>
      <c r="M621" s="23" t="s">
        <v>446</v>
      </c>
      <c r="N621" s="13" t="s">
        <v>152</v>
      </c>
      <c r="O621" s="46">
        <v>2</v>
      </c>
      <c r="P621" s="30" t="str">
        <f>VLOOKUP(O621,[3]Key!$E$2:$F$9,2,FALSE)</f>
        <v>Work</v>
      </c>
      <c r="Q621" s="13" t="s">
        <v>447</v>
      </c>
      <c r="R621" s="23" t="s">
        <v>153</v>
      </c>
      <c r="S621" s="13" t="s">
        <v>152</v>
      </c>
      <c r="T621" s="23">
        <v>1</v>
      </c>
      <c r="U621" s="30" t="str">
        <f>VLOOKUP(T621,[3]Key!$E$2:$F$9,2,FALSE)</f>
        <v>Home</v>
      </c>
      <c r="V621" s="30" t="str">
        <f t="shared" si="36"/>
        <v>Work-Home</v>
      </c>
      <c r="W621" s="51">
        <v>20000</v>
      </c>
      <c r="X621" s="50">
        <v>230</v>
      </c>
      <c r="Y621" s="50" t="str">
        <f t="shared" si="37"/>
        <v>Over 200</v>
      </c>
      <c r="Z621" s="50">
        <v>5</v>
      </c>
      <c r="AA621" s="50" t="str">
        <f t="shared" si="38"/>
        <v>Over 3.5</v>
      </c>
      <c r="AB621" s="23">
        <v>8</v>
      </c>
      <c r="AC621" s="30" t="str">
        <f>VLOOKUP(AB621,[3]Key!$C$20:$D$29,2,FALSE)</f>
        <v>Student</v>
      </c>
      <c r="AD621" s="23">
        <v>1</v>
      </c>
      <c r="AE621" s="30" t="str">
        <f>VLOOKUP(AD621,[3]Key!$E$20:$F$24,2,FALSE)</f>
        <v>&lt;300,000</v>
      </c>
      <c r="AF621" s="23">
        <v>2</v>
      </c>
      <c r="AG621" s="50">
        <v>4</v>
      </c>
      <c r="AH621" s="50">
        <v>5</v>
      </c>
      <c r="AI621" s="50">
        <v>3</v>
      </c>
      <c r="AJ621" s="50">
        <v>1</v>
      </c>
      <c r="AK621" s="46" t="s">
        <v>94</v>
      </c>
      <c r="AL621" s="36">
        <v>1000</v>
      </c>
      <c r="AM621" t="str">
        <f t="shared" si="39"/>
        <v>1000-2000</v>
      </c>
    </row>
    <row r="622" spans="1:39" x14ac:dyDescent="0.2">
      <c r="A622" s="44" t="s">
        <v>433</v>
      </c>
      <c r="B622" s="48">
        <v>0.66805555555555562</v>
      </c>
      <c r="C622" s="48"/>
      <c r="D622" s="48" t="s">
        <v>150</v>
      </c>
      <c r="E622" s="13">
        <v>2</v>
      </c>
      <c r="F622" s="38" t="str">
        <f>VLOOKUP(E622,[3]Key!$A$17:$B$21,2,FALSE)</f>
        <v>Road Vehicle</v>
      </c>
      <c r="G622" s="49">
        <v>6</v>
      </c>
      <c r="H622" s="39" t="str">
        <f>VLOOKUP(G622,[3]Key!$A$2:$B$14,2,FALSE)</f>
        <v>Large Bus</v>
      </c>
      <c r="I622" s="13" t="s">
        <v>109</v>
      </c>
      <c r="J622" s="13">
        <v>1</v>
      </c>
      <c r="K622" s="40" t="str">
        <f>VLOOKUP(J622,[3]Key!$A$24:$B$29,2,FALSE)</f>
        <v>20-29</v>
      </c>
      <c r="L622" s="13" t="s">
        <v>434</v>
      </c>
      <c r="M622" s="23" t="s">
        <v>153</v>
      </c>
      <c r="N622" s="13" t="s">
        <v>152</v>
      </c>
      <c r="O622" s="46">
        <v>1</v>
      </c>
      <c r="P622" s="30" t="str">
        <f>VLOOKUP(O622,[3]Key!$E$2:$F$9,2,FALSE)</f>
        <v>Home</v>
      </c>
      <c r="Q622" s="13" t="s">
        <v>424</v>
      </c>
      <c r="R622" s="23" t="s">
        <v>421</v>
      </c>
      <c r="S622" s="13" t="s">
        <v>152</v>
      </c>
      <c r="T622" s="23">
        <v>4</v>
      </c>
      <c r="U622" s="30" t="str">
        <f>VLOOKUP(T622,[3]Key!$E$2:$F$9,2,FALSE)</f>
        <v>Commercial</v>
      </c>
      <c r="V622" s="30" t="str">
        <f t="shared" si="36"/>
        <v>Home-Commercial</v>
      </c>
      <c r="W622" s="51">
        <v>20000</v>
      </c>
      <c r="X622" s="50"/>
      <c r="Y622" s="50" t="str">
        <f t="shared" si="37"/>
        <v>0-10</v>
      </c>
      <c r="Z622" s="50">
        <v>5</v>
      </c>
      <c r="AA622" s="50" t="str">
        <f t="shared" si="38"/>
        <v>Over 3.5</v>
      </c>
      <c r="AB622" s="23">
        <v>6</v>
      </c>
      <c r="AC622" s="30" t="str">
        <f>VLOOKUP(AB622,[3]Key!$C$20:$D$29,2,FALSE)</f>
        <v>Businessman</v>
      </c>
      <c r="AD622" s="23">
        <v>5</v>
      </c>
      <c r="AE622" s="30" t="str">
        <f>VLOOKUP(AD622,[3]Key!$E$20:$F$24,2,FALSE)</f>
        <v>&gt;1,000,000</v>
      </c>
      <c r="AF622" s="23">
        <v>3</v>
      </c>
      <c r="AG622" s="50">
        <v>4</v>
      </c>
      <c r="AH622" s="50">
        <v>4</v>
      </c>
      <c r="AI622" s="50">
        <v>5</v>
      </c>
      <c r="AJ622" s="50">
        <v>4</v>
      </c>
      <c r="AK622" s="46" t="s">
        <v>94</v>
      </c>
      <c r="AL622" s="36">
        <v>3000</v>
      </c>
      <c r="AM622" t="str">
        <f t="shared" si="39"/>
        <v>3000-5000</v>
      </c>
    </row>
    <row r="623" spans="1:39" x14ac:dyDescent="0.2">
      <c r="A623" s="44" t="s">
        <v>433</v>
      </c>
      <c r="B623" s="48">
        <v>0.68263888888888891</v>
      </c>
      <c r="C623" s="48"/>
      <c r="D623" s="48" t="s">
        <v>150</v>
      </c>
      <c r="E623" s="13">
        <v>2</v>
      </c>
      <c r="F623" s="38" t="str">
        <f>VLOOKUP(E623,[3]Key!$A$17:$B$21,2,FALSE)</f>
        <v>Road Vehicle</v>
      </c>
      <c r="G623" s="49">
        <v>6</v>
      </c>
      <c r="H623" s="39" t="str">
        <f>VLOOKUP(G623,[3]Key!$A$2:$B$14,2,FALSE)</f>
        <v>Large Bus</v>
      </c>
      <c r="I623" s="13" t="s">
        <v>109</v>
      </c>
      <c r="J623" s="13">
        <v>1</v>
      </c>
      <c r="K623" s="40" t="str">
        <f>VLOOKUP(J623,[3]Key!$A$24:$B$29,2,FALSE)</f>
        <v>20-29</v>
      </c>
      <c r="L623" s="13" t="s">
        <v>448</v>
      </c>
      <c r="M623" s="23" t="s">
        <v>444</v>
      </c>
      <c r="N623" s="13" t="s">
        <v>152</v>
      </c>
      <c r="O623" s="46">
        <v>1</v>
      </c>
      <c r="P623" s="30" t="str">
        <f>VLOOKUP(O623,[3]Key!$E$2:$F$9,2,FALSE)</f>
        <v>Home</v>
      </c>
      <c r="Q623" s="13" t="s">
        <v>424</v>
      </c>
      <c r="R623" s="23" t="s">
        <v>421</v>
      </c>
      <c r="S623" s="13" t="s">
        <v>152</v>
      </c>
      <c r="T623" s="23">
        <v>2</v>
      </c>
      <c r="U623" s="30" t="str">
        <f>VLOOKUP(T623,[3]Key!$E$2:$F$9,2,FALSE)</f>
        <v>Work</v>
      </c>
      <c r="V623" s="30" t="str">
        <f t="shared" si="36"/>
        <v>Home-Work</v>
      </c>
      <c r="W623" s="51">
        <v>15000</v>
      </c>
      <c r="X623" s="50"/>
      <c r="Y623" s="50" t="str">
        <f t="shared" si="37"/>
        <v>0-10</v>
      </c>
      <c r="Z623" s="50">
        <v>2.5</v>
      </c>
      <c r="AA623" s="50" t="str">
        <f t="shared" si="38"/>
        <v>2.0-3.5</v>
      </c>
      <c r="AB623" s="23">
        <v>7</v>
      </c>
      <c r="AC623" s="30" t="str">
        <f>VLOOKUP(AB623,[3]Key!$C$20:$D$29,2,FALSE)</f>
        <v>Farmer</v>
      </c>
      <c r="AD623" s="23">
        <v>2</v>
      </c>
      <c r="AE623" s="30" t="str">
        <f>VLOOKUP(AD623,[3]Key!$E$20:$F$24,2,FALSE)</f>
        <v>300,000-500,000</v>
      </c>
      <c r="AF623" s="23">
        <v>2</v>
      </c>
      <c r="AG623" s="50">
        <v>3</v>
      </c>
      <c r="AH623" s="50">
        <v>2</v>
      </c>
      <c r="AI623" s="50">
        <v>1</v>
      </c>
      <c r="AJ623" s="50">
        <v>2</v>
      </c>
      <c r="AK623" s="46" t="s">
        <v>94</v>
      </c>
      <c r="AL623" s="36">
        <v>0</v>
      </c>
      <c r="AM623" t="str">
        <f t="shared" si="39"/>
        <v>0-1000</v>
      </c>
    </row>
    <row r="624" spans="1:39" x14ac:dyDescent="0.2">
      <c r="A624" s="44" t="s">
        <v>419</v>
      </c>
      <c r="B624" s="48">
        <v>0.53333333333333333</v>
      </c>
      <c r="C624" s="48"/>
      <c r="D624" s="48" t="s">
        <v>150</v>
      </c>
      <c r="E624" s="13">
        <v>2</v>
      </c>
      <c r="F624" s="38" t="str">
        <f>VLOOKUP(E624,[3]Key!$A$17:$B$21,2,FALSE)</f>
        <v>Road Vehicle</v>
      </c>
      <c r="G624" s="49">
        <v>6</v>
      </c>
      <c r="H624" s="39" t="str">
        <f>VLOOKUP(G624,[3]Key!$A$2:$B$14,2,FALSE)</f>
        <v>Large Bus</v>
      </c>
      <c r="I624" s="13" t="s">
        <v>109</v>
      </c>
      <c r="J624" s="13">
        <v>1</v>
      </c>
      <c r="K624" s="40" t="str">
        <f>VLOOKUP(J624,[3]Key!$A$24:$B$29,2,FALSE)</f>
        <v>20-29</v>
      </c>
      <c r="L624" s="13" t="s">
        <v>449</v>
      </c>
      <c r="M624" s="23" t="s">
        <v>441</v>
      </c>
      <c r="N624" s="13" t="s">
        <v>152</v>
      </c>
      <c r="O624" s="46">
        <v>1</v>
      </c>
      <c r="P624" s="30" t="str">
        <f>VLOOKUP(O624,[3]Key!$E$2:$F$9,2,FALSE)</f>
        <v>Home</v>
      </c>
      <c r="Q624" s="13" t="s">
        <v>450</v>
      </c>
      <c r="R624" s="23" t="s">
        <v>153</v>
      </c>
      <c r="S624" s="13" t="s">
        <v>152</v>
      </c>
      <c r="T624" s="23">
        <v>2</v>
      </c>
      <c r="U624" s="30" t="str">
        <f>VLOOKUP(T624,[3]Key!$E$2:$F$9,2,FALSE)</f>
        <v>Work</v>
      </c>
      <c r="V624" s="30" t="str">
        <f t="shared" si="36"/>
        <v>Home-Work</v>
      </c>
      <c r="W624" s="51">
        <v>20000</v>
      </c>
      <c r="X624" s="50">
        <v>400</v>
      </c>
      <c r="Y624" s="50" t="str">
        <f t="shared" si="37"/>
        <v>Over 200</v>
      </c>
      <c r="Z624" s="50">
        <v>4.5</v>
      </c>
      <c r="AA624" s="50" t="str">
        <f t="shared" si="38"/>
        <v>Over 3.5</v>
      </c>
      <c r="AB624" s="23">
        <v>10</v>
      </c>
      <c r="AC624" s="30" t="str">
        <f>VLOOKUP(AB624,[3]Key!$C$20:$D$29,2,FALSE)</f>
        <v>Other</v>
      </c>
      <c r="AD624" s="23">
        <v>3</v>
      </c>
      <c r="AE624" s="30" t="str">
        <f>VLOOKUP(AD624,[3]Key!$E$20:$F$24,2,FALSE)</f>
        <v>500,000-750,000</v>
      </c>
      <c r="AF624" s="23">
        <v>1</v>
      </c>
      <c r="AG624" s="50">
        <v>2</v>
      </c>
      <c r="AH624" s="50">
        <v>5</v>
      </c>
      <c r="AI624" s="50">
        <v>4</v>
      </c>
      <c r="AJ624" s="50">
        <v>3</v>
      </c>
      <c r="AK624" s="46" t="s">
        <v>94</v>
      </c>
      <c r="AL624" s="36">
        <v>7000</v>
      </c>
      <c r="AM624" t="str">
        <f t="shared" si="39"/>
        <v>5000-10000</v>
      </c>
    </row>
    <row r="625" spans="1:39" x14ac:dyDescent="0.2">
      <c r="A625" s="44" t="s">
        <v>423</v>
      </c>
      <c r="B625" s="48">
        <v>0.73611111111111116</v>
      </c>
      <c r="C625" s="48"/>
      <c r="D625" s="48" t="s">
        <v>150</v>
      </c>
      <c r="E625" s="13">
        <v>2</v>
      </c>
      <c r="F625" s="38" t="str">
        <f>VLOOKUP(E625,[3]Key!$A$17:$B$21,2,FALSE)</f>
        <v>Road Vehicle</v>
      </c>
      <c r="G625" s="49">
        <v>6</v>
      </c>
      <c r="H625" s="39" t="str">
        <f>VLOOKUP(G625,[3]Key!$A$2:$B$14,2,FALSE)</f>
        <v>Large Bus</v>
      </c>
      <c r="I625" s="13" t="s">
        <v>109</v>
      </c>
      <c r="J625" s="13">
        <v>1</v>
      </c>
      <c r="K625" s="40" t="str">
        <f>VLOOKUP(J625,[3]Key!$A$24:$B$29,2,FALSE)</f>
        <v>20-29</v>
      </c>
      <c r="L625" s="13" t="s">
        <v>424</v>
      </c>
      <c r="M625" s="23" t="s">
        <v>421</v>
      </c>
      <c r="N625" s="13" t="s">
        <v>152</v>
      </c>
      <c r="O625" s="46">
        <v>2</v>
      </c>
      <c r="P625" s="30" t="str">
        <f>VLOOKUP(O625,[3]Key!$E$2:$F$9,2,FALSE)</f>
        <v>Work</v>
      </c>
      <c r="Q625" s="13" t="s">
        <v>451</v>
      </c>
      <c r="R625" s="23" t="s">
        <v>452</v>
      </c>
      <c r="S625" s="13" t="s">
        <v>152</v>
      </c>
      <c r="T625" s="23">
        <v>1</v>
      </c>
      <c r="U625" s="30" t="str">
        <f>VLOOKUP(T625,[3]Key!$E$2:$F$9,2,FALSE)</f>
        <v>Home</v>
      </c>
      <c r="V625" s="30" t="str">
        <f t="shared" si="36"/>
        <v>Work-Home</v>
      </c>
      <c r="W625" s="51">
        <v>20000</v>
      </c>
      <c r="X625" s="50">
        <v>130</v>
      </c>
      <c r="Y625" s="50" t="str">
        <f t="shared" si="37"/>
        <v>100-200</v>
      </c>
      <c r="Z625" s="50">
        <v>4</v>
      </c>
      <c r="AA625" s="50" t="str">
        <f t="shared" si="38"/>
        <v>Over 3.5</v>
      </c>
      <c r="AB625" s="23">
        <v>5</v>
      </c>
      <c r="AC625" s="30" t="str">
        <f>VLOOKUP(AB625,[3]Key!$C$20:$D$29,2,FALSE)</f>
        <v>Professional</v>
      </c>
      <c r="AD625" s="23">
        <v>2</v>
      </c>
      <c r="AE625" s="30" t="str">
        <f>VLOOKUP(AD625,[3]Key!$E$20:$F$24,2,FALSE)</f>
        <v>300,000-500,000</v>
      </c>
      <c r="AF625" s="23">
        <v>3</v>
      </c>
      <c r="AG625" s="50">
        <v>4</v>
      </c>
      <c r="AH625" s="50">
        <v>2</v>
      </c>
      <c r="AI625" s="50">
        <v>1</v>
      </c>
      <c r="AJ625" s="50">
        <v>5</v>
      </c>
      <c r="AK625" s="46" t="s">
        <v>94</v>
      </c>
      <c r="AL625" s="36">
        <v>5000</v>
      </c>
      <c r="AM625" t="str">
        <f t="shared" si="39"/>
        <v>5000-10000</v>
      </c>
    </row>
    <row r="626" spans="1:39" x14ac:dyDescent="0.2">
      <c r="A626" s="44" t="s">
        <v>423</v>
      </c>
      <c r="B626" s="48">
        <v>0.68055555555555547</v>
      </c>
      <c r="C626" s="48"/>
      <c r="D626" s="48" t="s">
        <v>150</v>
      </c>
      <c r="E626" s="13">
        <v>2</v>
      </c>
      <c r="F626" s="38" t="str">
        <f>VLOOKUP(E626,[3]Key!$A$17:$B$21,2,FALSE)</f>
        <v>Road Vehicle</v>
      </c>
      <c r="G626" s="49">
        <v>6</v>
      </c>
      <c r="H626" s="39" t="str">
        <f>VLOOKUP(G626,[3]Key!$A$2:$B$14,2,FALSE)</f>
        <v>Large Bus</v>
      </c>
      <c r="I626" s="13" t="s">
        <v>109</v>
      </c>
      <c r="J626" s="13">
        <v>1</v>
      </c>
      <c r="K626" s="40" t="str">
        <f>VLOOKUP(J626,[3]Key!$A$24:$B$29,2,FALSE)</f>
        <v>20-29</v>
      </c>
      <c r="L626" s="13" t="s">
        <v>453</v>
      </c>
      <c r="M626" s="23" t="s">
        <v>153</v>
      </c>
      <c r="N626" s="13" t="s">
        <v>152</v>
      </c>
      <c r="O626" s="46">
        <v>1</v>
      </c>
      <c r="P626" s="30" t="str">
        <f>VLOOKUP(O626,[3]Key!$E$2:$F$9,2,FALSE)</f>
        <v>Home</v>
      </c>
      <c r="Q626" s="13" t="s">
        <v>424</v>
      </c>
      <c r="R626" s="23" t="s">
        <v>421</v>
      </c>
      <c r="S626" s="13" t="s">
        <v>152</v>
      </c>
      <c r="T626" s="23">
        <v>2</v>
      </c>
      <c r="U626" s="30" t="str">
        <f>VLOOKUP(T626,[3]Key!$E$2:$F$9,2,FALSE)</f>
        <v>Work</v>
      </c>
      <c r="V626" s="30" t="str">
        <f t="shared" si="36"/>
        <v>Home-Work</v>
      </c>
      <c r="W626" s="51">
        <v>23000</v>
      </c>
      <c r="X626" s="50"/>
      <c r="Y626" s="50" t="str">
        <f t="shared" si="37"/>
        <v>0-10</v>
      </c>
      <c r="Z626" s="50">
        <v>6</v>
      </c>
      <c r="AA626" s="50" t="str">
        <f t="shared" si="38"/>
        <v>Over 3.5</v>
      </c>
      <c r="AB626" s="23">
        <v>6</v>
      </c>
      <c r="AC626" s="30" t="str">
        <f>VLOOKUP(AB626,[3]Key!$C$20:$D$29,2,FALSE)</f>
        <v>Businessman</v>
      </c>
      <c r="AD626" s="23">
        <v>1</v>
      </c>
      <c r="AE626" s="30" t="str">
        <f>VLOOKUP(AD626,[3]Key!$E$20:$F$24,2,FALSE)</f>
        <v>&lt;300,000</v>
      </c>
      <c r="AF626" s="23">
        <v>5</v>
      </c>
      <c r="AG626" s="50">
        <v>5</v>
      </c>
      <c r="AH626" s="50">
        <v>3</v>
      </c>
      <c r="AI626" s="50">
        <v>1</v>
      </c>
      <c r="AJ626" s="50">
        <v>3</v>
      </c>
      <c r="AK626" s="46" t="s">
        <v>94</v>
      </c>
      <c r="AL626" s="36">
        <v>3000</v>
      </c>
      <c r="AM626" t="str">
        <f t="shared" si="39"/>
        <v>3000-5000</v>
      </c>
    </row>
    <row r="627" spans="1:39" x14ac:dyDescent="0.2">
      <c r="A627" s="44" t="s">
        <v>423</v>
      </c>
      <c r="B627" s="48">
        <v>0.65277777777777779</v>
      </c>
      <c r="C627" s="48"/>
      <c r="D627" s="48" t="s">
        <v>150</v>
      </c>
      <c r="E627" s="13">
        <v>2</v>
      </c>
      <c r="F627" s="38" t="str">
        <f>VLOOKUP(E627,[3]Key!$A$17:$B$21,2,FALSE)</f>
        <v>Road Vehicle</v>
      </c>
      <c r="G627" s="49">
        <v>6</v>
      </c>
      <c r="H627" s="39" t="str">
        <f>VLOOKUP(G627,[3]Key!$A$2:$B$14,2,FALSE)</f>
        <v>Large Bus</v>
      </c>
      <c r="I627" s="13" t="s">
        <v>109</v>
      </c>
      <c r="J627" s="13">
        <v>1</v>
      </c>
      <c r="K627" s="40" t="str">
        <f>VLOOKUP(J627,[3]Key!$A$24:$B$29,2,FALSE)</f>
        <v>20-29</v>
      </c>
      <c r="L627" s="13" t="s">
        <v>424</v>
      </c>
      <c r="M627" s="23" t="s">
        <v>421</v>
      </c>
      <c r="N627" s="13" t="s">
        <v>152</v>
      </c>
      <c r="O627" s="46">
        <v>2</v>
      </c>
      <c r="P627" s="30" t="str">
        <f>VLOOKUP(O627,[3]Key!$E$2:$F$9,2,FALSE)</f>
        <v>Work</v>
      </c>
      <c r="Q627" s="13" t="s">
        <v>434</v>
      </c>
      <c r="R627" s="23" t="s">
        <v>153</v>
      </c>
      <c r="S627" s="13" t="s">
        <v>152</v>
      </c>
      <c r="T627" s="23">
        <v>4</v>
      </c>
      <c r="U627" s="30" t="str">
        <f>VLOOKUP(T627,[3]Key!$E$2:$F$9,2,FALSE)</f>
        <v>Commercial</v>
      </c>
      <c r="V627" s="30" t="str">
        <f t="shared" si="36"/>
        <v>Work-Commercial</v>
      </c>
      <c r="W627" s="51">
        <v>20000</v>
      </c>
      <c r="X627" s="50"/>
      <c r="Y627" s="50" t="str">
        <f t="shared" si="37"/>
        <v>0-10</v>
      </c>
      <c r="Z627" s="50">
        <v>4</v>
      </c>
      <c r="AA627" s="50" t="str">
        <f t="shared" si="38"/>
        <v>Over 3.5</v>
      </c>
      <c r="AB627" s="23">
        <v>6</v>
      </c>
      <c r="AC627" s="30" t="str">
        <f>VLOOKUP(AB627,[3]Key!$C$20:$D$29,2,FALSE)</f>
        <v>Businessman</v>
      </c>
      <c r="AD627" s="23">
        <v>2</v>
      </c>
      <c r="AE627" s="30" t="str">
        <f>VLOOKUP(AD627,[3]Key!$E$20:$F$24,2,FALSE)</f>
        <v>300,000-500,000</v>
      </c>
      <c r="AF627" s="23">
        <v>2</v>
      </c>
      <c r="AG627" s="50">
        <v>3</v>
      </c>
      <c r="AH627" s="50">
        <v>2</v>
      </c>
      <c r="AI627" s="50">
        <v>2</v>
      </c>
      <c r="AJ627" s="50">
        <v>4</v>
      </c>
      <c r="AK627" s="46" t="s">
        <v>94</v>
      </c>
      <c r="AL627" s="36">
        <v>0</v>
      </c>
      <c r="AM627" t="str">
        <f t="shared" si="39"/>
        <v>0-1000</v>
      </c>
    </row>
    <row r="628" spans="1:39" x14ac:dyDescent="0.2">
      <c r="A628" s="44" t="s">
        <v>423</v>
      </c>
      <c r="B628" s="48"/>
      <c r="C628" s="48"/>
      <c r="D628" s="48" t="s">
        <v>150</v>
      </c>
      <c r="E628" s="13">
        <v>2</v>
      </c>
      <c r="F628" s="38" t="str">
        <f>VLOOKUP(E628,[3]Key!$A$17:$B$21,2,FALSE)</f>
        <v>Road Vehicle</v>
      </c>
      <c r="G628" s="49">
        <v>6</v>
      </c>
      <c r="H628" s="39" t="str">
        <f>VLOOKUP(G628,[3]Key!$A$2:$B$14,2,FALSE)</f>
        <v>Large Bus</v>
      </c>
      <c r="I628" s="13" t="s">
        <v>109</v>
      </c>
      <c r="J628" s="13">
        <v>1</v>
      </c>
      <c r="K628" s="40" t="str">
        <f>VLOOKUP(J628,[3]Key!$A$24:$B$29,2,FALSE)</f>
        <v>20-29</v>
      </c>
      <c r="L628" s="13" t="s">
        <v>424</v>
      </c>
      <c r="M628" s="23" t="s">
        <v>421</v>
      </c>
      <c r="N628" s="13" t="s">
        <v>152</v>
      </c>
      <c r="O628" s="46">
        <v>1</v>
      </c>
      <c r="P628" s="30" t="str">
        <f>VLOOKUP(O628,[3]Key!$E$2:$F$9,2,FALSE)</f>
        <v>Home</v>
      </c>
      <c r="Q628" s="13" t="s">
        <v>454</v>
      </c>
      <c r="R628" s="23" t="s">
        <v>455</v>
      </c>
      <c r="S628" s="13" t="s">
        <v>152</v>
      </c>
      <c r="T628" s="23">
        <v>4</v>
      </c>
      <c r="U628" s="30" t="str">
        <f>VLOOKUP(T628,[3]Key!$E$2:$F$9,2,FALSE)</f>
        <v>Commercial</v>
      </c>
      <c r="V628" s="30" t="str">
        <f t="shared" si="36"/>
        <v>Home-Commercial</v>
      </c>
      <c r="W628" s="51">
        <v>15000</v>
      </c>
      <c r="X628" s="50">
        <v>120</v>
      </c>
      <c r="Y628" s="50" t="str">
        <f t="shared" si="37"/>
        <v>100-200</v>
      </c>
      <c r="Z628" s="50">
        <v>2.5</v>
      </c>
      <c r="AA628" s="50" t="str">
        <f t="shared" si="38"/>
        <v>2.0-3.5</v>
      </c>
      <c r="AB628" s="23">
        <v>5</v>
      </c>
      <c r="AC628" s="30" t="s">
        <v>128</v>
      </c>
      <c r="AD628" s="23">
        <v>2</v>
      </c>
      <c r="AE628" s="30" t="str">
        <f>VLOOKUP(AD628,[3]Key!$E$20:$F$24,2,FALSE)</f>
        <v>300,000-500,000</v>
      </c>
      <c r="AF628" s="23">
        <v>2</v>
      </c>
      <c r="AG628" s="50">
        <v>2</v>
      </c>
      <c r="AH628" s="50">
        <v>2</v>
      </c>
      <c r="AI628" s="50">
        <v>2</v>
      </c>
      <c r="AJ628" s="50">
        <v>2</v>
      </c>
      <c r="AK628" s="46" t="s">
        <v>94</v>
      </c>
      <c r="AL628" s="36">
        <v>5000</v>
      </c>
      <c r="AM628" t="str">
        <f t="shared" si="39"/>
        <v>5000-10000</v>
      </c>
    </row>
    <row r="629" spans="1:39" x14ac:dyDescent="0.2">
      <c r="A629" s="44" t="s">
        <v>423</v>
      </c>
      <c r="B629" s="48"/>
      <c r="C629" s="48"/>
      <c r="D629" s="48" t="s">
        <v>150</v>
      </c>
      <c r="E629" s="13">
        <v>2</v>
      </c>
      <c r="F629" s="38" t="str">
        <f>VLOOKUP(E629,[3]Key!$A$17:$B$21,2,FALSE)</f>
        <v>Road Vehicle</v>
      </c>
      <c r="G629" s="49">
        <v>6</v>
      </c>
      <c r="H629" s="39" t="str">
        <f>VLOOKUP(G629,[3]Key!$A$2:$B$14,2,FALSE)</f>
        <v>Large Bus</v>
      </c>
      <c r="I629" s="13" t="s">
        <v>109</v>
      </c>
      <c r="J629" s="13">
        <v>1</v>
      </c>
      <c r="K629" s="40" t="str">
        <f>VLOOKUP(J629,[3]Key!$A$24:$B$29,2,FALSE)</f>
        <v>20-29</v>
      </c>
      <c r="L629" s="13" t="s">
        <v>424</v>
      </c>
      <c r="M629" s="23" t="s">
        <v>421</v>
      </c>
      <c r="N629" s="13" t="s">
        <v>152</v>
      </c>
      <c r="O629" s="46">
        <v>2</v>
      </c>
      <c r="P629" s="30" t="str">
        <f>VLOOKUP(O629,[3]Key!$E$2:$F$9,2,FALSE)</f>
        <v>Work</v>
      </c>
      <c r="Q629" s="13" t="s">
        <v>434</v>
      </c>
      <c r="R629" s="23" t="s">
        <v>153</v>
      </c>
      <c r="S629" s="13" t="s">
        <v>152</v>
      </c>
      <c r="T629" s="23">
        <v>1</v>
      </c>
      <c r="U629" s="30" t="str">
        <f>VLOOKUP(T629,[3]Key!$E$2:$F$9,2,FALSE)</f>
        <v>Home</v>
      </c>
      <c r="V629" s="30" t="str">
        <f t="shared" si="36"/>
        <v>Work-Home</v>
      </c>
      <c r="W629" s="51">
        <v>20000</v>
      </c>
      <c r="X629" s="50">
        <v>260</v>
      </c>
      <c r="Y629" s="50" t="str">
        <f t="shared" si="37"/>
        <v>Over 200</v>
      </c>
      <c r="Z629" s="50">
        <v>5</v>
      </c>
      <c r="AA629" s="50" t="str">
        <f t="shared" si="38"/>
        <v>Over 3.5</v>
      </c>
      <c r="AB629" s="23">
        <v>5</v>
      </c>
      <c r="AC629" s="30" t="str">
        <f>VLOOKUP(AB629,[3]Key!$C$20:$D$29,2,FALSE)</f>
        <v>Professional</v>
      </c>
      <c r="AD629" s="23">
        <v>2</v>
      </c>
      <c r="AE629" s="30" t="str">
        <f>VLOOKUP(AD629,[3]Key!$E$20:$F$24,2,FALSE)</f>
        <v>300,000-500,000</v>
      </c>
      <c r="AF629" s="23">
        <v>5</v>
      </c>
      <c r="AG629" s="50">
        <v>2</v>
      </c>
      <c r="AH629" s="50">
        <v>2</v>
      </c>
      <c r="AI629" s="50">
        <v>2</v>
      </c>
      <c r="AJ629" s="50">
        <v>2</v>
      </c>
      <c r="AK629" s="46" t="s">
        <v>94</v>
      </c>
      <c r="AL629" s="36">
        <v>2000</v>
      </c>
      <c r="AM629" t="str">
        <f t="shared" si="39"/>
        <v>2000-3000</v>
      </c>
    </row>
    <row r="630" spans="1:39" x14ac:dyDescent="0.2">
      <c r="A630" s="44" t="s">
        <v>423</v>
      </c>
      <c r="B630" s="48"/>
      <c r="C630" s="48"/>
      <c r="D630" s="48" t="s">
        <v>150</v>
      </c>
      <c r="E630" s="13">
        <v>2</v>
      </c>
      <c r="F630" s="38" t="str">
        <f>VLOOKUP(E630,[3]Key!$A$17:$B$21,2,FALSE)</f>
        <v>Road Vehicle</v>
      </c>
      <c r="G630" s="49">
        <v>6</v>
      </c>
      <c r="H630" s="39" t="str">
        <f>VLOOKUP(G630,[3]Key!$A$2:$B$14,2,FALSE)</f>
        <v>Large Bus</v>
      </c>
      <c r="I630" s="13" t="s">
        <v>109</v>
      </c>
      <c r="J630" s="13">
        <v>1</v>
      </c>
      <c r="K630" s="40" t="str">
        <f>VLOOKUP(J630,[3]Key!$A$24:$B$29,2,FALSE)</f>
        <v>20-29</v>
      </c>
      <c r="L630" s="13" t="s">
        <v>424</v>
      </c>
      <c r="M630" s="23" t="s">
        <v>421</v>
      </c>
      <c r="N630" s="13" t="s">
        <v>152</v>
      </c>
      <c r="O630" s="46">
        <v>1</v>
      </c>
      <c r="P630" s="30" t="str">
        <f>VLOOKUP(O630,[3]Key!$E$2:$F$9,2,FALSE)</f>
        <v>Home</v>
      </c>
      <c r="Q630" s="13" t="s">
        <v>437</v>
      </c>
      <c r="R630" s="23" t="s">
        <v>175</v>
      </c>
      <c r="S630" s="13" t="s">
        <v>152</v>
      </c>
      <c r="T630" s="23">
        <v>4</v>
      </c>
      <c r="U630" s="30" t="str">
        <f>VLOOKUP(T630,[3]Key!$E$2:$F$9,2,FALSE)</f>
        <v>Commercial</v>
      </c>
      <c r="V630" s="30" t="str">
        <f t="shared" si="36"/>
        <v>Home-Commercial</v>
      </c>
      <c r="W630" s="51">
        <v>10000</v>
      </c>
      <c r="X630" s="50">
        <v>135</v>
      </c>
      <c r="Y630" s="50" t="str">
        <f t="shared" si="37"/>
        <v>100-200</v>
      </c>
      <c r="Z630" s="50">
        <v>2</v>
      </c>
      <c r="AA630" s="50" t="str">
        <f t="shared" si="38"/>
        <v>2.0-3.5</v>
      </c>
      <c r="AB630" s="23">
        <v>2</v>
      </c>
      <c r="AC630" s="30" t="str">
        <f>VLOOKUP(AB630,[3]Key!$C$20:$D$29,2,FALSE)</f>
        <v>Manual Labour</v>
      </c>
      <c r="AD630" s="23">
        <v>1</v>
      </c>
      <c r="AE630" s="30" t="str">
        <f>VLOOKUP(AD630,[3]Key!$E$20:$F$24,2,FALSE)</f>
        <v>&lt;300,000</v>
      </c>
      <c r="AF630" s="23">
        <v>5</v>
      </c>
      <c r="AG630" s="50">
        <v>2</v>
      </c>
      <c r="AH630" s="50">
        <v>2</v>
      </c>
      <c r="AI630" s="50">
        <v>2</v>
      </c>
      <c r="AJ630" s="50">
        <v>2</v>
      </c>
      <c r="AK630" s="46" t="s">
        <v>94</v>
      </c>
      <c r="AL630" s="36">
        <v>5000</v>
      </c>
      <c r="AM630" t="str">
        <f t="shared" si="39"/>
        <v>5000-10000</v>
      </c>
    </row>
    <row r="631" spans="1:39" x14ac:dyDescent="0.2">
      <c r="A631" s="44" t="s">
        <v>423</v>
      </c>
      <c r="B631" s="48"/>
      <c r="C631" s="48"/>
      <c r="D631" s="48" t="s">
        <v>150</v>
      </c>
      <c r="E631" s="13">
        <v>2</v>
      </c>
      <c r="F631" s="38" t="str">
        <f>VLOOKUP(E631,[3]Key!$A$17:$B$21,2,FALSE)</f>
        <v>Road Vehicle</v>
      </c>
      <c r="G631" s="49">
        <v>6</v>
      </c>
      <c r="H631" s="39" t="str">
        <f>VLOOKUP(G631,[3]Key!$A$2:$B$14,2,FALSE)</f>
        <v>Large Bus</v>
      </c>
      <c r="I631" s="13" t="s">
        <v>109</v>
      </c>
      <c r="J631" s="13">
        <v>1</v>
      </c>
      <c r="K631" s="40" t="str">
        <f>VLOOKUP(J631,[3]Key!$A$24:$B$29,2,FALSE)</f>
        <v>20-29</v>
      </c>
      <c r="L631" s="13" t="s">
        <v>424</v>
      </c>
      <c r="M631" s="23" t="s">
        <v>421</v>
      </c>
      <c r="N631" s="13" t="s">
        <v>152</v>
      </c>
      <c r="O631" s="46">
        <v>1</v>
      </c>
      <c r="P631" s="30" t="str">
        <f>VLOOKUP(O631,[3]Key!$E$2:$F$9,2,FALSE)</f>
        <v>Home</v>
      </c>
      <c r="Q631" s="13" t="s">
        <v>434</v>
      </c>
      <c r="R631" s="23" t="s">
        <v>153</v>
      </c>
      <c r="S631" s="13" t="s">
        <v>152</v>
      </c>
      <c r="T631" s="23">
        <v>4</v>
      </c>
      <c r="U631" s="30" t="str">
        <f>VLOOKUP(T631,[3]Key!$E$2:$F$9,2,FALSE)</f>
        <v>Commercial</v>
      </c>
      <c r="V631" s="30" t="str">
        <f t="shared" si="36"/>
        <v>Home-Commercial</v>
      </c>
      <c r="W631" s="51">
        <v>20000</v>
      </c>
      <c r="X631" s="50">
        <v>260</v>
      </c>
      <c r="Y631" s="50" t="str">
        <f t="shared" si="37"/>
        <v>Over 200</v>
      </c>
      <c r="Z631" s="50">
        <v>4</v>
      </c>
      <c r="AA631" s="50" t="str">
        <f t="shared" si="38"/>
        <v>Over 3.5</v>
      </c>
      <c r="AB631" s="23">
        <v>2</v>
      </c>
      <c r="AC631" s="30" t="str">
        <f>VLOOKUP(AB631,[3]Key!$C$20:$D$29,2,FALSE)</f>
        <v>Manual Labour</v>
      </c>
      <c r="AD631" s="23">
        <v>1</v>
      </c>
      <c r="AE631" s="30" t="str">
        <f>VLOOKUP(AD631,[3]Key!$E$20:$F$24,2,FALSE)</f>
        <v>&lt;300,000</v>
      </c>
      <c r="AF631" s="23">
        <v>5</v>
      </c>
      <c r="AG631" s="50">
        <v>2</v>
      </c>
      <c r="AH631" s="50">
        <v>2</v>
      </c>
      <c r="AI631" s="50">
        <v>2</v>
      </c>
      <c r="AJ631" s="50">
        <v>2</v>
      </c>
      <c r="AK631" s="46" t="s">
        <v>94</v>
      </c>
      <c r="AL631" s="36">
        <v>10000</v>
      </c>
      <c r="AM631" t="str">
        <f t="shared" si="39"/>
        <v>Over 10000</v>
      </c>
    </row>
    <row r="632" spans="1:39" x14ac:dyDescent="0.2">
      <c r="A632" s="44" t="s">
        <v>423</v>
      </c>
      <c r="B632" s="48">
        <v>0.54027777777777775</v>
      </c>
      <c r="C632" s="48"/>
      <c r="D632" s="48" t="s">
        <v>97</v>
      </c>
      <c r="E632" s="13">
        <v>2</v>
      </c>
      <c r="F632" s="38" t="str">
        <f>VLOOKUP(E632,[3]Key!$A$17:$B$21,2,FALSE)</f>
        <v>Road Vehicle</v>
      </c>
      <c r="G632" s="49">
        <v>7</v>
      </c>
      <c r="H632" s="39" t="str">
        <f>VLOOKUP(G632,[3]Key!$A$2:$B$14,2,FALSE)</f>
        <v xml:space="preserve">Light Truck </v>
      </c>
      <c r="I632" s="13" t="s">
        <v>109</v>
      </c>
      <c r="J632" s="13">
        <v>1</v>
      </c>
      <c r="K632" s="40" t="str">
        <f>VLOOKUP(J632,[3]Key!$A$24:$B$29,2,FALSE)</f>
        <v>20-29</v>
      </c>
      <c r="L632" s="13" t="s">
        <v>456</v>
      </c>
      <c r="M632" s="23" t="s">
        <v>421</v>
      </c>
      <c r="N632" s="13" t="s">
        <v>152</v>
      </c>
      <c r="O632" s="46">
        <v>1</v>
      </c>
      <c r="P632" s="30" t="str">
        <f>VLOOKUP(O632,[3]Key!$E$2:$F$9,2,FALSE)</f>
        <v>Home</v>
      </c>
      <c r="Q632" s="13" t="s">
        <v>457</v>
      </c>
      <c r="R632" s="23" t="s">
        <v>421</v>
      </c>
      <c r="S632" s="13" t="s">
        <v>152</v>
      </c>
      <c r="T632" s="23">
        <v>2</v>
      </c>
      <c r="U632" s="30" t="str">
        <f>VLOOKUP(T632,[3]Key!$E$2:$F$9,2,FALSE)</f>
        <v>Work</v>
      </c>
      <c r="V632" s="30" t="str">
        <f t="shared" si="36"/>
        <v>Home-Work</v>
      </c>
      <c r="W632" s="51">
        <v>1000</v>
      </c>
      <c r="X632" s="50"/>
      <c r="Y632" s="50" t="str">
        <f t="shared" si="37"/>
        <v>0-10</v>
      </c>
      <c r="Z632" s="50">
        <v>0.08</v>
      </c>
      <c r="AA632" s="50" t="str">
        <f t="shared" si="38"/>
        <v>0-0.5</v>
      </c>
      <c r="AB632" s="23">
        <v>2</v>
      </c>
      <c r="AC632" s="30" t="str">
        <f>VLOOKUP(AB632,[3]Key!$C$20:$D$29,2,FALSE)</f>
        <v>Manual Labour</v>
      </c>
      <c r="AD632" s="23">
        <v>1</v>
      </c>
      <c r="AE632" s="30" t="str">
        <f>VLOOKUP(AD632,[3]Key!$E$20:$F$24,2,FALSE)</f>
        <v>&lt;300,000</v>
      </c>
      <c r="AF632" s="23">
        <v>2</v>
      </c>
      <c r="AG632" s="50">
        <v>5</v>
      </c>
      <c r="AH632" s="50">
        <v>4</v>
      </c>
      <c r="AI632" s="50">
        <v>2</v>
      </c>
      <c r="AJ632" s="50">
        <v>1</v>
      </c>
      <c r="AK632" s="46" t="s">
        <v>94</v>
      </c>
      <c r="AL632" s="36">
        <v>5000</v>
      </c>
      <c r="AM632" t="str">
        <f t="shared" si="39"/>
        <v>5000-10000</v>
      </c>
    </row>
    <row r="633" spans="1:39" x14ac:dyDescent="0.2">
      <c r="A633" s="44" t="s">
        <v>419</v>
      </c>
      <c r="B633" s="48">
        <v>0.53749999999999998</v>
      </c>
      <c r="C633" s="48"/>
      <c r="D633" s="48" t="s">
        <v>150</v>
      </c>
      <c r="E633" s="13">
        <v>2</v>
      </c>
      <c r="F633" s="38" t="str">
        <f>VLOOKUP(E633,[3]Key!$A$17:$B$21,2,FALSE)</f>
        <v>Road Vehicle</v>
      </c>
      <c r="G633" s="49">
        <v>5</v>
      </c>
      <c r="H633" s="39" t="str">
        <f>VLOOKUP(G633,[3]Key!$A$2:$B$14,2,FALSE)</f>
        <v xml:space="preserve">Medium bus </v>
      </c>
      <c r="I633" s="13" t="s">
        <v>156</v>
      </c>
      <c r="J633" s="13">
        <v>1</v>
      </c>
      <c r="K633" s="40" t="str">
        <f>VLOOKUP(J633,[3]Key!$A$24:$B$29,2,FALSE)</f>
        <v>20-29</v>
      </c>
      <c r="L633" s="13" t="s">
        <v>458</v>
      </c>
      <c r="M633" s="23" t="s">
        <v>459</v>
      </c>
      <c r="N633" s="13" t="s">
        <v>152</v>
      </c>
      <c r="O633" s="46">
        <v>1</v>
      </c>
      <c r="P633" s="30" t="str">
        <f>VLOOKUP(O633,[3]Key!$E$2:$F$9,2,FALSE)</f>
        <v>Home</v>
      </c>
      <c r="Q633" s="13" t="s">
        <v>460</v>
      </c>
      <c r="R633" s="23" t="s">
        <v>421</v>
      </c>
      <c r="S633" s="13" t="s">
        <v>152</v>
      </c>
      <c r="T633" s="23">
        <v>4</v>
      </c>
      <c r="U633" s="30" t="str">
        <f>VLOOKUP(T633,[3]Key!$E$2:$F$9,2,FALSE)</f>
        <v>Commercial</v>
      </c>
      <c r="V633" s="30" t="str">
        <f t="shared" si="36"/>
        <v>Home-Commercial</v>
      </c>
      <c r="W633" s="51">
        <v>5000</v>
      </c>
      <c r="X633" s="50">
        <v>20</v>
      </c>
      <c r="Y633" s="50" t="str">
        <f t="shared" si="37"/>
        <v>20-40</v>
      </c>
      <c r="Z633" s="50">
        <v>2.5</v>
      </c>
      <c r="AA633" s="50" t="str">
        <f t="shared" si="38"/>
        <v>2.0-3.5</v>
      </c>
      <c r="AB633" s="23">
        <v>5</v>
      </c>
      <c r="AC633" s="30" t="str">
        <f>VLOOKUP(AB633,[3]Key!$C$20:$D$29,2,FALSE)</f>
        <v>Professional</v>
      </c>
      <c r="AD633" s="23">
        <v>2</v>
      </c>
      <c r="AE633" s="30" t="str">
        <f>VLOOKUP(AD633,[3]Key!$E$20:$F$24,2,FALSE)</f>
        <v>300,000-500,000</v>
      </c>
      <c r="AF633" s="23">
        <v>2</v>
      </c>
      <c r="AG633" s="50">
        <v>1</v>
      </c>
      <c r="AH633" s="50">
        <v>3</v>
      </c>
      <c r="AI633" s="50">
        <v>4</v>
      </c>
      <c r="AJ633" s="50">
        <v>3</v>
      </c>
      <c r="AK633" s="46" t="s">
        <v>94</v>
      </c>
      <c r="AL633" s="36">
        <v>2000</v>
      </c>
      <c r="AM633" t="str">
        <f t="shared" si="39"/>
        <v>2000-3000</v>
      </c>
    </row>
    <row r="634" spans="1:39" x14ac:dyDescent="0.2">
      <c r="A634" s="44" t="s">
        <v>419</v>
      </c>
      <c r="B634" s="48">
        <v>0.4152777777777778</v>
      </c>
      <c r="C634" s="48"/>
      <c r="D634" s="48" t="s">
        <v>150</v>
      </c>
      <c r="E634" s="13">
        <v>2</v>
      </c>
      <c r="F634" s="38" t="str">
        <f>VLOOKUP(E634,[3]Key!$A$17:$B$21,2,FALSE)</f>
        <v>Road Vehicle</v>
      </c>
      <c r="G634" s="49">
        <v>5</v>
      </c>
      <c r="H634" s="39" t="str">
        <f>VLOOKUP(G634,[3]Key!$A$2:$B$14,2,FALSE)</f>
        <v xml:space="preserve">Medium bus </v>
      </c>
      <c r="I634" s="13" t="s">
        <v>156</v>
      </c>
      <c r="J634" s="13">
        <v>1</v>
      </c>
      <c r="K634" s="40" t="str">
        <f>VLOOKUP(J634,[3]Key!$A$24:$B$29,2,FALSE)</f>
        <v>20-29</v>
      </c>
      <c r="L634" s="13" t="s">
        <v>461</v>
      </c>
      <c r="M634" s="23" t="s">
        <v>441</v>
      </c>
      <c r="N634" s="13" t="s">
        <v>152</v>
      </c>
      <c r="O634" s="46">
        <v>3</v>
      </c>
      <c r="P634" s="30" t="str">
        <f>VLOOKUP(O634,[3]Key!$E$2:$F$9,2,FALSE)</f>
        <v>Study</v>
      </c>
      <c r="Q634" s="13" t="s">
        <v>460</v>
      </c>
      <c r="R634" s="23" t="s">
        <v>421</v>
      </c>
      <c r="S634" s="13" t="s">
        <v>152</v>
      </c>
      <c r="T634" s="23">
        <v>1</v>
      </c>
      <c r="U634" s="30" t="str">
        <f>VLOOKUP(T634,[3]Key!$E$2:$F$9,2,FALSE)</f>
        <v>Home</v>
      </c>
      <c r="V634" s="30" t="str">
        <f t="shared" si="36"/>
        <v>Study-Home</v>
      </c>
      <c r="W634" s="51">
        <v>5000</v>
      </c>
      <c r="X634" s="50">
        <v>15</v>
      </c>
      <c r="Y634" s="50" t="str">
        <f t="shared" si="37"/>
        <v>10-20</v>
      </c>
      <c r="Z634" s="50">
        <v>1.5</v>
      </c>
      <c r="AA634" s="50" t="str">
        <f t="shared" si="38"/>
        <v>1.0-2.0</v>
      </c>
      <c r="AB634" s="23">
        <v>8</v>
      </c>
      <c r="AC634" s="30" t="str">
        <f>VLOOKUP(AB634,[3]Key!$C$20:$D$29,2,FALSE)</f>
        <v>Student</v>
      </c>
      <c r="AD634" s="23">
        <v>1</v>
      </c>
      <c r="AE634" s="30" t="str">
        <f>VLOOKUP(AD634,[3]Key!$E$20:$F$24,2,FALSE)</f>
        <v>&lt;300,000</v>
      </c>
      <c r="AF634" s="23">
        <v>3</v>
      </c>
      <c r="AG634" s="50">
        <v>1</v>
      </c>
      <c r="AH634" s="50">
        <v>2</v>
      </c>
      <c r="AI634" s="50">
        <v>5</v>
      </c>
      <c r="AJ634" s="50">
        <v>4</v>
      </c>
      <c r="AK634" s="46" t="s">
        <v>94</v>
      </c>
      <c r="AL634" s="36">
        <v>5000</v>
      </c>
      <c r="AM634" t="str">
        <f t="shared" si="39"/>
        <v>5000-10000</v>
      </c>
    </row>
    <row r="635" spans="1:39" x14ac:dyDescent="0.2">
      <c r="A635" s="44" t="s">
        <v>423</v>
      </c>
      <c r="B635" s="48">
        <v>0.625</v>
      </c>
      <c r="C635" s="48"/>
      <c r="D635" s="48" t="s">
        <v>97</v>
      </c>
      <c r="E635" s="13">
        <v>2</v>
      </c>
      <c r="F635" s="38" t="str">
        <f>VLOOKUP(E635,[3]Key!$A$17:$B$21,2,FALSE)</f>
        <v>Road Vehicle</v>
      </c>
      <c r="G635" s="49">
        <v>5</v>
      </c>
      <c r="H635" s="39" t="str">
        <f>VLOOKUP(G635,[3]Key!$A$2:$B$14,2,FALSE)</f>
        <v xml:space="preserve">Medium bus </v>
      </c>
      <c r="I635" s="13" t="s">
        <v>109</v>
      </c>
      <c r="J635" s="13">
        <v>1</v>
      </c>
      <c r="K635" s="40" t="str">
        <f>VLOOKUP(J635,[3]Key!$A$24:$B$29,2,FALSE)</f>
        <v>20-29</v>
      </c>
      <c r="L635" s="13" t="s">
        <v>434</v>
      </c>
      <c r="M635" s="23" t="s">
        <v>153</v>
      </c>
      <c r="N635" s="13" t="s">
        <v>152</v>
      </c>
      <c r="O635" s="46">
        <v>2</v>
      </c>
      <c r="P635" s="30" t="str">
        <f>VLOOKUP(O635,[3]Key!$E$2:$F$9,2,FALSE)</f>
        <v>Work</v>
      </c>
      <c r="Q635" s="13" t="s">
        <v>427</v>
      </c>
      <c r="R635" s="23" t="s">
        <v>428</v>
      </c>
      <c r="S635" s="13" t="s">
        <v>152</v>
      </c>
      <c r="T635" s="23">
        <v>1</v>
      </c>
      <c r="U635" s="30" t="str">
        <f>VLOOKUP(T635,[3]Key!$E$2:$F$9,2,FALSE)</f>
        <v>Home</v>
      </c>
      <c r="V635" s="30" t="str">
        <f t="shared" si="36"/>
        <v>Work-Home</v>
      </c>
      <c r="W635" s="51">
        <v>650000</v>
      </c>
      <c r="X635" s="50">
        <v>380</v>
      </c>
      <c r="Y635" s="50" t="str">
        <f t="shared" si="37"/>
        <v>Over 200</v>
      </c>
      <c r="Z635" s="50">
        <v>7</v>
      </c>
      <c r="AA635" s="50" t="str">
        <f t="shared" si="38"/>
        <v>Over 3.5</v>
      </c>
      <c r="AB635" s="23">
        <v>10</v>
      </c>
      <c r="AC635" s="30" t="str">
        <f>VLOOKUP(AB635,[3]Key!$C$20:$D$29,2,FALSE)</f>
        <v>Other</v>
      </c>
      <c r="AD635" s="23">
        <v>4</v>
      </c>
      <c r="AE635" s="30" t="str">
        <f>VLOOKUP(AD635,[3]Key!$E$20:$F$24,2,FALSE)</f>
        <v>750,000-1,000,000</v>
      </c>
      <c r="AF635" s="23">
        <v>1</v>
      </c>
      <c r="AG635" s="50">
        <v>2</v>
      </c>
      <c r="AH635" s="50">
        <v>5</v>
      </c>
      <c r="AI635" s="50">
        <v>4</v>
      </c>
      <c r="AJ635" s="50">
        <v>3</v>
      </c>
      <c r="AK635" s="46" t="s">
        <v>94</v>
      </c>
      <c r="AL635" s="36">
        <v>4000</v>
      </c>
      <c r="AM635" t="str">
        <f t="shared" si="39"/>
        <v>3000-5000</v>
      </c>
    </row>
    <row r="636" spans="1:39" x14ac:dyDescent="0.2">
      <c r="A636" s="44" t="s">
        <v>419</v>
      </c>
      <c r="B636" s="48"/>
      <c r="C636" s="48"/>
      <c r="D636" s="48" t="s">
        <v>150</v>
      </c>
      <c r="E636" s="13">
        <v>2</v>
      </c>
      <c r="F636" s="38" t="str">
        <f>VLOOKUP(E636,[3]Key!$A$17:$B$21,2,FALSE)</f>
        <v>Road Vehicle</v>
      </c>
      <c r="G636" s="49">
        <v>4</v>
      </c>
      <c r="H636" s="39" t="str">
        <f>VLOOKUP(G636,[3]Key!$A$2:$B$14,2,FALSE)</f>
        <v>Minibus</v>
      </c>
      <c r="I636" s="13" t="s">
        <v>156</v>
      </c>
      <c r="J636" s="13">
        <v>1</v>
      </c>
      <c r="K636" s="40" t="str">
        <f>VLOOKUP(J636,[3]Key!$A$24:$B$29,2,FALSE)</f>
        <v>20-29</v>
      </c>
      <c r="L636" s="13" t="s">
        <v>424</v>
      </c>
      <c r="M636" s="23" t="s">
        <v>421</v>
      </c>
      <c r="N636" s="13" t="s">
        <v>152</v>
      </c>
      <c r="O636" s="46">
        <v>1</v>
      </c>
      <c r="P636" s="30" t="str">
        <f>VLOOKUP(O636,[3]Key!$E$2:$F$9,2,FALSE)</f>
        <v>Home</v>
      </c>
      <c r="Q636" s="13" t="s">
        <v>434</v>
      </c>
      <c r="R636" s="23" t="s">
        <v>153</v>
      </c>
      <c r="S636" s="13" t="s">
        <v>152</v>
      </c>
      <c r="T636" s="23">
        <v>4</v>
      </c>
      <c r="U636" s="30" t="str">
        <f>VLOOKUP(T636,[3]Key!$E$2:$F$9,2,FALSE)</f>
        <v>Commercial</v>
      </c>
      <c r="V636" s="30" t="str">
        <f t="shared" si="36"/>
        <v>Home-Commercial</v>
      </c>
      <c r="W636" s="51">
        <v>20000</v>
      </c>
      <c r="X636" s="50">
        <v>160</v>
      </c>
      <c r="Y636" s="50" t="str">
        <f t="shared" si="37"/>
        <v>100-200</v>
      </c>
      <c r="Z636" s="50">
        <v>5</v>
      </c>
      <c r="AA636" s="50" t="str">
        <f t="shared" si="38"/>
        <v>Over 3.5</v>
      </c>
      <c r="AB636" s="23">
        <v>2</v>
      </c>
      <c r="AC636" s="30" t="str">
        <f>VLOOKUP(AB636,[3]Key!$C$20:$D$29,2,FALSE)</f>
        <v>Manual Labour</v>
      </c>
      <c r="AD636" s="23">
        <v>2</v>
      </c>
      <c r="AE636" s="30" t="str">
        <f>VLOOKUP(AD636,[3]Key!$E$20:$F$24,2,FALSE)</f>
        <v>300,000-500,000</v>
      </c>
      <c r="AF636" s="23">
        <v>2</v>
      </c>
      <c r="AG636" s="50">
        <v>2</v>
      </c>
      <c r="AH636" s="50">
        <v>1</v>
      </c>
      <c r="AI636" s="50">
        <v>1</v>
      </c>
      <c r="AJ636" s="50">
        <v>1</v>
      </c>
      <c r="AK636" s="46" t="s">
        <v>94</v>
      </c>
      <c r="AL636" s="36">
        <v>5000</v>
      </c>
      <c r="AM636" t="str">
        <f t="shared" si="39"/>
        <v>5000-10000</v>
      </c>
    </row>
    <row r="637" spans="1:39" x14ac:dyDescent="0.2">
      <c r="A637" s="44" t="s">
        <v>423</v>
      </c>
      <c r="B637" s="48"/>
      <c r="C637" s="48"/>
      <c r="D637" s="48" t="s">
        <v>150</v>
      </c>
      <c r="E637" s="13">
        <v>2</v>
      </c>
      <c r="F637" s="38" t="str">
        <f>VLOOKUP(E637,[3]Key!$A$17:$B$21,2,FALSE)</f>
        <v>Road Vehicle</v>
      </c>
      <c r="G637" s="49">
        <v>4</v>
      </c>
      <c r="H637" s="39" t="str">
        <f>VLOOKUP(G637,[3]Key!$A$2:$B$14,2,FALSE)</f>
        <v>Minibus</v>
      </c>
      <c r="I637" s="13" t="s">
        <v>156</v>
      </c>
      <c r="J637" s="13">
        <v>1</v>
      </c>
      <c r="K637" s="40" t="str">
        <f>VLOOKUP(J637,[3]Key!$A$24:$B$29,2,FALSE)</f>
        <v>20-29</v>
      </c>
      <c r="L637" s="13" t="s">
        <v>424</v>
      </c>
      <c r="M637" s="23" t="s">
        <v>421</v>
      </c>
      <c r="N637" s="13" t="s">
        <v>152</v>
      </c>
      <c r="O637" s="46">
        <v>1</v>
      </c>
      <c r="P637" s="30" t="str">
        <f>VLOOKUP(O637,[3]Key!$E$2:$F$9,2,FALSE)</f>
        <v>Home</v>
      </c>
      <c r="Q637" s="13" t="s">
        <v>434</v>
      </c>
      <c r="R637" s="23" t="s">
        <v>153</v>
      </c>
      <c r="S637" s="13" t="s">
        <v>152</v>
      </c>
      <c r="T637" s="23">
        <v>2</v>
      </c>
      <c r="U637" s="30" t="s">
        <v>65</v>
      </c>
      <c r="V637" s="30" t="str">
        <f t="shared" si="36"/>
        <v>Home-Work</v>
      </c>
      <c r="W637" s="51">
        <v>20000</v>
      </c>
      <c r="X637" s="50">
        <v>260</v>
      </c>
      <c r="Y637" s="50" t="str">
        <f t="shared" si="37"/>
        <v>Over 200</v>
      </c>
      <c r="Z637" s="50">
        <v>5</v>
      </c>
      <c r="AA637" s="50" t="str">
        <f t="shared" si="38"/>
        <v>Over 3.5</v>
      </c>
      <c r="AB637" s="23">
        <v>2</v>
      </c>
      <c r="AC637" s="30" t="str">
        <f>VLOOKUP(AB637,[3]Key!$C$20:$D$29,2,FALSE)</f>
        <v>Manual Labour</v>
      </c>
      <c r="AD637" s="23">
        <v>1</v>
      </c>
      <c r="AE637" s="30" t="str">
        <f>VLOOKUP(AD637,[3]Key!$E$20:$F$24,2,FALSE)</f>
        <v>&lt;300,000</v>
      </c>
      <c r="AF637" s="23">
        <v>5</v>
      </c>
      <c r="AG637" s="50">
        <v>2</v>
      </c>
      <c r="AH637" s="50">
        <v>2</v>
      </c>
      <c r="AI637" s="50">
        <v>2</v>
      </c>
      <c r="AJ637" s="50">
        <v>2</v>
      </c>
      <c r="AK637" s="46" t="s">
        <v>94</v>
      </c>
      <c r="AL637" s="36">
        <v>0</v>
      </c>
      <c r="AM637" t="str">
        <f t="shared" si="39"/>
        <v>0-1000</v>
      </c>
    </row>
    <row r="638" spans="1:39" x14ac:dyDescent="0.2">
      <c r="A638" s="44" t="s">
        <v>423</v>
      </c>
      <c r="B638" s="48"/>
      <c r="C638" s="48"/>
      <c r="D638" s="48" t="s">
        <v>150</v>
      </c>
      <c r="E638" s="13">
        <v>2</v>
      </c>
      <c r="F638" s="38" t="str">
        <f>VLOOKUP(E638,[3]Key!$A$17:$B$21,2,FALSE)</f>
        <v>Road Vehicle</v>
      </c>
      <c r="G638" s="49">
        <v>4</v>
      </c>
      <c r="H638" s="39" t="str">
        <f>VLOOKUP(G638,[3]Key!$A$2:$B$14,2,FALSE)</f>
        <v>Minibus</v>
      </c>
      <c r="I638" s="13" t="s">
        <v>156</v>
      </c>
      <c r="J638" s="13">
        <v>1</v>
      </c>
      <c r="K638" s="40" t="str">
        <f>VLOOKUP(J638,[3]Key!$A$24:$B$29,2,FALSE)</f>
        <v>20-29</v>
      </c>
      <c r="L638" s="13" t="s">
        <v>424</v>
      </c>
      <c r="M638" s="23" t="s">
        <v>421</v>
      </c>
      <c r="N638" s="13" t="s">
        <v>152</v>
      </c>
      <c r="O638" s="46">
        <v>1</v>
      </c>
      <c r="P638" s="30" t="str">
        <f>VLOOKUP(O638,[3]Key!$E$2:$F$9,2,FALSE)</f>
        <v>Home</v>
      </c>
      <c r="Q638" s="13" t="s">
        <v>454</v>
      </c>
      <c r="R638" s="23" t="s">
        <v>455</v>
      </c>
      <c r="S638" s="13" t="s">
        <v>152</v>
      </c>
      <c r="T638" s="23">
        <v>4</v>
      </c>
      <c r="U638" s="30" t="str">
        <f>VLOOKUP(T638,[3]Key!$E$2:$F$9,2,FALSE)</f>
        <v>Commercial</v>
      </c>
      <c r="V638" s="30" t="str">
        <f t="shared" si="36"/>
        <v>Home-Commercial</v>
      </c>
      <c r="W638" s="51">
        <v>15000</v>
      </c>
      <c r="X638" s="50">
        <v>220</v>
      </c>
      <c r="Y638" s="50" t="str">
        <f t="shared" si="37"/>
        <v>Over 200</v>
      </c>
      <c r="Z638" s="50">
        <v>3</v>
      </c>
      <c r="AA638" s="50" t="str">
        <f t="shared" si="38"/>
        <v>2.0-3.5</v>
      </c>
      <c r="AB638" s="23">
        <v>2</v>
      </c>
      <c r="AC638" s="30" t="str">
        <f>VLOOKUP(AB638,[3]Key!$C$20:$D$29,2,FALSE)</f>
        <v>Manual Labour</v>
      </c>
      <c r="AD638" s="23">
        <v>1</v>
      </c>
      <c r="AE638" s="30" t="str">
        <f>VLOOKUP(AD638,[3]Key!$E$20:$F$24,2,FALSE)</f>
        <v>&lt;300,000</v>
      </c>
      <c r="AF638" s="23">
        <v>2</v>
      </c>
      <c r="AG638" s="50">
        <v>2</v>
      </c>
      <c r="AH638" s="50">
        <v>2</v>
      </c>
      <c r="AI638" s="50">
        <v>2</v>
      </c>
      <c r="AJ638" s="50">
        <v>2</v>
      </c>
      <c r="AK638" s="46" t="s">
        <v>94</v>
      </c>
      <c r="AL638" s="36">
        <v>0</v>
      </c>
      <c r="AM638" t="str">
        <f t="shared" si="39"/>
        <v>0-1000</v>
      </c>
    </row>
    <row r="639" spans="1:39" x14ac:dyDescent="0.2">
      <c r="A639" s="44" t="s">
        <v>433</v>
      </c>
      <c r="B639" s="48"/>
      <c r="C639" s="48"/>
      <c r="D639" s="48" t="s">
        <v>150</v>
      </c>
      <c r="E639" s="13">
        <v>2</v>
      </c>
      <c r="F639" s="38" t="str">
        <f>VLOOKUP(E639,[3]Key!$A$17:$B$21,2,FALSE)</f>
        <v>Road Vehicle</v>
      </c>
      <c r="G639" s="49">
        <v>4</v>
      </c>
      <c r="H639" s="39" t="str">
        <f>VLOOKUP(G639,[3]Key!$A$2:$B$14,2,FALSE)</f>
        <v>Minibus</v>
      </c>
      <c r="I639" s="13" t="s">
        <v>109</v>
      </c>
      <c r="J639" s="13">
        <v>1</v>
      </c>
      <c r="K639" s="40" t="str">
        <f>VLOOKUP(J639,[3]Key!$A$24:$B$29,2,FALSE)</f>
        <v>20-29</v>
      </c>
      <c r="L639" s="13" t="s">
        <v>424</v>
      </c>
      <c r="M639" s="23" t="s">
        <v>421</v>
      </c>
      <c r="N639" s="13" t="s">
        <v>152</v>
      </c>
      <c r="O639" s="46">
        <v>1</v>
      </c>
      <c r="P639" s="30" t="str">
        <f>VLOOKUP(O639,[3]Key!$E$2:$F$9,2,FALSE)</f>
        <v>Home</v>
      </c>
      <c r="Q639" s="13" t="s">
        <v>451</v>
      </c>
      <c r="R639" s="23" t="s">
        <v>452</v>
      </c>
      <c r="S639" s="13" t="s">
        <v>152</v>
      </c>
      <c r="T639" s="23">
        <v>2</v>
      </c>
      <c r="U639" s="30" t="str">
        <f>VLOOKUP(T639,[3]Key!$E$2:$F$9,2,FALSE)</f>
        <v>Work</v>
      </c>
      <c r="V639" s="30" t="str">
        <f t="shared" si="36"/>
        <v>Home-Work</v>
      </c>
      <c r="W639" s="51">
        <v>15000</v>
      </c>
      <c r="X639" s="50">
        <v>25</v>
      </c>
      <c r="Y639" s="50" t="str">
        <f t="shared" si="37"/>
        <v>20-40</v>
      </c>
      <c r="Z639" s="50">
        <v>3</v>
      </c>
      <c r="AA639" s="50" t="str">
        <f t="shared" si="38"/>
        <v>2.0-3.5</v>
      </c>
      <c r="AB639" s="23">
        <v>2</v>
      </c>
      <c r="AC639" s="30" t="str">
        <f>VLOOKUP(AB639,[3]Key!$C$20:$D$29,2,FALSE)</f>
        <v>Manual Labour</v>
      </c>
      <c r="AD639" s="23">
        <v>5</v>
      </c>
      <c r="AE639" s="30" t="str">
        <f>VLOOKUP(AD639,[3]Key!$E$20:$F$24,2,FALSE)</f>
        <v>&gt;1,000,000</v>
      </c>
      <c r="AF639" s="23">
        <v>5</v>
      </c>
      <c r="AG639" s="50">
        <v>1</v>
      </c>
      <c r="AH639" s="50">
        <v>1</v>
      </c>
      <c r="AI639" s="50">
        <v>1</v>
      </c>
      <c r="AJ639" s="50">
        <v>1</v>
      </c>
      <c r="AK639" s="46" t="s">
        <v>94</v>
      </c>
      <c r="AL639" s="36">
        <v>5000</v>
      </c>
      <c r="AM639" t="str">
        <f t="shared" si="39"/>
        <v>5000-10000</v>
      </c>
    </row>
    <row r="640" spans="1:39" x14ac:dyDescent="0.2">
      <c r="A640" s="44" t="s">
        <v>419</v>
      </c>
      <c r="B640" s="48"/>
      <c r="C640" s="48"/>
      <c r="D640" s="48" t="s">
        <v>97</v>
      </c>
      <c r="E640" s="13">
        <v>2</v>
      </c>
      <c r="F640" s="38" t="s">
        <v>102</v>
      </c>
      <c r="G640" s="49">
        <v>4</v>
      </c>
      <c r="H640" s="39" t="str">
        <f>VLOOKUP(G640,[3]Key!$A$2:$B$14,2,FALSE)</f>
        <v>Minibus</v>
      </c>
      <c r="I640" s="13" t="s">
        <v>109</v>
      </c>
      <c r="J640" s="13">
        <v>1</v>
      </c>
      <c r="K640" s="40" t="str">
        <f>VLOOKUP(J640,[3]Key!$A$24:$B$29,2,FALSE)</f>
        <v>20-29</v>
      </c>
      <c r="L640" s="13" t="s">
        <v>424</v>
      </c>
      <c r="M640" s="23" t="s">
        <v>421</v>
      </c>
      <c r="N640" s="13" t="s">
        <v>152</v>
      </c>
      <c r="O640" s="46">
        <v>1</v>
      </c>
      <c r="P640" s="30" t="str">
        <f>VLOOKUP(O640,[3]Key!$E$2:$F$9,2,FALSE)</f>
        <v>Home</v>
      </c>
      <c r="Q640" s="13" t="s">
        <v>462</v>
      </c>
      <c r="R640" s="23" t="s">
        <v>463</v>
      </c>
      <c r="S640" s="13" t="s">
        <v>152</v>
      </c>
      <c r="T640" s="23">
        <v>2</v>
      </c>
      <c r="U640" s="30" t="str">
        <f>VLOOKUP(T640,[3]Key!$E$2:$F$9,2,FALSE)</f>
        <v>Work</v>
      </c>
      <c r="V640" s="30" t="str">
        <f t="shared" si="36"/>
        <v>Home-Work</v>
      </c>
      <c r="W640" s="51">
        <v>100000</v>
      </c>
      <c r="X640" s="50">
        <v>110</v>
      </c>
      <c r="Y640" s="50" t="str">
        <f t="shared" si="37"/>
        <v>100-200</v>
      </c>
      <c r="Z640" s="50">
        <v>4</v>
      </c>
      <c r="AA640" s="50" t="str">
        <f t="shared" si="38"/>
        <v>Over 3.5</v>
      </c>
      <c r="AB640" s="23">
        <v>2</v>
      </c>
      <c r="AC640" s="30" t="s">
        <v>125</v>
      </c>
      <c r="AD640" s="23">
        <v>1</v>
      </c>
      <c r="AE640" s="30" t="str">
        <f>VLOOKUP(AD640,[3]Key!$E$20:$F$24,2,FALSE)</f>
        <v>&lt;300,000</v>
      </c>
      <c r="AF640" s="23">
        <v>1</v>
      </c>
      <c r="AG640" s="50">
        <v>1</v>
      </c>
      <c r="AH640" s="50">
        <v>1</v>
      </c>
      <c r="AI640" s="50">
        <v>1</v>
      </c>
      <c r="AJ640" s="50">
        <v>1</v>
      </c>
      <c r="AK640" s="46" t="s">
        <v>94</v>
      </c>
      <c r="AL640" s="36">
        <v>5000</v>
      </c>
      <c r="AM640" t="str">
        <f t="shared" si="39"/>
        <v>5000-10000</v>
      </c>
    </row>
    <row r="641" spans="1:39" x14ac:dyDescent="0.2">
      <c r="A641" s="44" t="s">
        <v>419</v>
      </c>
      <c r="B641" s="48"/>
      <c r="C641" s="48"/>
      <c r="D641" s="48" t="s">
        <v>97</v>
      </c>
      <c r="E641" s="13">
        <v>2</v>
      </c>
      <c r="F641" s="38" t="str">
        <f>VLOOKUP(E641,[3]Key!$A$17:$B$21,2,FALSE)</f>
        <v>Road Vehicle</v>
      </c>
      <c r="G641" s="49">
        <v>4</v>
      </c>
      <c r="H641" s="39" t="str">
        <f>VLOOKUP(G641,[3]Key!$A$2:$B$14,2,FALSE)</f>
        <v>Minibus</v>
      </c>
      <c r="I641" s="13" t="s">
        <v>109</v>
      </c>
      <c r="J641" s="13">
        <v>1</v>
      </c>
      <c r="K641" s="40" t="str">
        <f>VLOOKUP(J641,[3]Key!$A$24:$B$29,2,FALSE)</f>
        <v>20-29</v>
      </c>
      <c r="L641" s="13" t="s">
        <v>424</v>
      </c>
      <c r="M641" s="23" t="s">
        <v>421</v>
      </c>
      <c r="N641" s="13" t="s">
        <v>152</v>
      </c>
      <c r="O641" s="46">
        <v>2</v>
      </c>
      <c r="P641" s="30" t="str">
        <f>VLOOKUP(O641,[3]Key!$E$2:$F$9,2,FALSE)</f>
        <v>Work</v>
      </c>
      <c r="Q641" s="13" t="s">
        <v>429</v>
      </c>
      <c r="R641" s="23" t="s">
        <v>430</v>
      </c>
      <c r="S641" s="13" t="s">
        <v>152</v>
      </c>
      <c r="T641" s="23">
        <v>2</v>
      </c>
      <c r="U641" s="30" t="str">
        <f>VLOOKUP(T641,[3]Key!$E$2:$F$9,2,FALSE)</f>
        <v>Work</v>
      </c>
      <c r="V641" s="30" t="str">
        <f t="shared" si="36"/>
        <v>Work-Work</v>
      </c>
      <c r="W641" s="51">
        <v>100000</v>
      </c>
      <c r="X641" s="50">
        <v>30</v>
      </c>
      <c r="Y641" s="50" t="str">
        <f t="shared" si="37"/>
        <v>20-40</v>
      </c>
      <c r="Z641" s="50">
        <v>3</v>
      </c>
      <c r="AA641" s="50" t="str">
        <f t="shared" si="38"/>
        <v>2.0-3.5</v>
      </c>
      <c r="AB641" s="23">
        <v>2</v>
      </c>
      <c r="AC641" s="30" t="str">
        <f>VLOOKUP(AB641,[3]Key!$C$20:$D$29,2,FALSE)</f>
        <v>Manual Labour</v>
      </c>
      <c r="AD641" s="23">
        <v>1</v>
      </c>
      <c r="AE641" s="30" t="str">
        <f>VLOOKUP(AD641,[3]Key!$E$20:$F$24,2,FALSE)</f>
        <v>&lt;300,000</v>
      </c>
      <c r="AF641" s="23">
        <v>4</v>
      </c>
      <c r="AG641" s="50">
        <v>4</v>
      </c>
      <c r="AH641" s="50">
        <v>1</v>
      </c>
      <c r="AI641" s="50">
        <v>1</v>
      </c>
      <c r="AJ641" s="50">
        <v>1</v>
      </c>
      <c r="AK641" s="46" t="s">
        <v>94</v>
      </c>
      <c r="AL641" s="36">
        <v>0</v>
      </c>
      <c r="AM641" t="str">
        <f t="shared" si="39"/>
        <v>0-1000</v>
      </c>
    </row>
    <row r="642" spans="1:39" x14ac:dyDescent="0.2">
      <c r="A642" s="44" t="s">
        <v>419</v>
      </c>
      <c r="B642" s="48"/>
      <c r="C642" s="48"/>
      <c r="D642" s="48" t="s">
        <v>97</v>
      </c>
      <c r="E642" s="13">
        <v>2</v>
      </c>
      <c r="F642" s="38" t="str">
        <f>VLOOKUP(E642,[3]Key!$A$17:$B$21,2,FALSE)</f>
        <v>Road Vehicle</v>
      </c>
      <c r="G642" s="49">
        <v>4</v>
      </c>
      <c r="H642" s="39" t="str">
        <f>VLOOKUP(G642,[3]Key!$A$2:$B$14,2,FALSE)</f>
        <v>Minibus</v>
      </c>
      <c r="I642" s="13" t="s">
        <v>109</v>
      </c>
      <c r="J642" s="13">
        <v>1</v>
      </c>
      <c r="K642" s="40" t="str">
        <f>VLOOKUP(J642,[3]Key!$A$24:$B$29,2,FALSE)</f>
        <v>20-29</v>
      </c>
      <c r="L642" s="13" t="s">
        <v>424</v>
      </c>
      <c r="M642" s="23" t="s">
        <v>421</v>
      </c>
      <c r="N642" s="13" t="s">
        <v>152</v>
      </c>
      <c r="O642" s="46">
        <v>1</v>
      </c>
      <c r="P642" s="30" t="str">
        <f>VLOOKUP(O642,[3]Key!$E$2:$F$9,2,FALSE)</f>
        <v>Home</v>
      </c>
      <c r="Q642" s="13" t="s">
        <v>425</v>
      </c>
      <c r="R642" s="23" t="s">
        <v>426</v>
      </c>
      <c r="S642" s="13" t="s">
        <v>152</v>
      </c>
      <c r="T642" s="23">
        <v>2</v>
      </c>
      <c r="U642" s="30" t="str">
        <f>VLOOKUP(T642,[3]Key!$E$2:$F$9,2,FALSE)</f>
        <v>Work</v>
      </c>
      <c r="V642" s="30" t="str">
        <f t="shared" ref="V642:V705" si="40">P642&amp;"-"&amp;U642</f>
        <v>Home-Work</v>
      </c>
      <c r="W642" s="51">
        <v>50000</v>
      </c>
      <c r="X642" s="50">
        <v>54</v>
      </c>
      <c r="Y642" s="50" t="str">
        <f t="shared" si="37"/>
        <v>40-70</v>
      </c>
      <c r="Z642" s="50">
        <v>1.5</v>
      </c>
      <c r="AA642" s="50" t="str">
        <f t="shared" si="38"/>
        <v>1.0-2.0</v>
      </c>
      <c r="AB642" s="23">
        <v>2</v>
      </c>
      <c r="AC642" s="30" t="str">
        <f>VLOOKUP(AB642,[3]Key!$C$20:$D$29,2,FALSE)</f>
        <v>Manual Labour</v>
      </c>
      <c r="AD642" s="23">
        <v>1</v>
      </c>
      <c r="AE642" s="30" t="str">
        <f>VLOOKUP(AD642,[3]Key!$E$20:$F$24,2,FALSE)</f>
        <v>&lt;300,000</v>
      </c>
      <c r="AF642" s="23">
        <v>2</v>
      </c>
      <c r="AG642" s="50">
        <v>2</v>
      </c>
      <c r="AH642" s="50">
        <v>1</v>
      </c>
      <c r="AI642" s="50">
        <v>1</v>
      </c>
      <c r="AJ642" s="50">
        <v>1</v>
      </c>
      <c r="AK642" s="46" t="s">
        <v>94</v>
      </c>
      <c r="AL642" s="36">
        <v>1000</v>
      </c>
      <c r="AM642" t="str">
        <f t="shared" si="39"/>
        <v>1000-2000</v>
      </c>
    </row>
    <row r="643" spans="1:39" x14ac:dyDescent="0.2">
      <c r="A643" s="44" t="s">
        <v>419</v>
      </c>
      <c r="B643" s="48"/>
      <c r="C643" s="48"/>
      <c r="D643" s="48" t="s">
        <v>150</v>
      </c>
      <c r="E643" s="13">
        <v>2</v>
      </c>
      <c r="F643" s="38" t="str">
        <f>VLOOKUP(E643,[3]Key!$A$17:$B$21,2,FALSE)</f>
        <v>Road Vehicle</v>
      </c>
      <c r="G643" s="49">
        <v>4</v>
      </c>
      <c r="H643" s="39" t="str">
        <f>VLOOKUP(G643,[3]Key!$A$2:$B$14,2,FALSE)</f>
        <v>Minibus</v>
      </c>
      <c r="I643" s="13" t="s">
        <v>109</v>
      </c>
      <c r="J643" s="13">
        <v>1</v>
      </c>
      <c r="K643" s="40" t="str">
        <f>VLOOKUP(J643,[3]Key!$A$24:$B$29,2,FALSE)</f>
        <v>20-29</v>
      </c>
      <c r="L643" s="13" t="s">
        <v>464</v>
      </c>
      <c r="M643" s="23" t="s">
        <v>421</v>
      </c>
      <c r="N643" s="13" t="s">
        <v>152</v>
      </c>
      <c r="O643" s="46">
        <v>1</v>
      </c>
      <c r="P643" s="30" t="str">
        <f>VLOOKUP(O643,[3]Key!$E$2:$F$9,2,FALSE)</f>
        <v>Home</v>
      </c>
      <c r="Q643" s="13" t="s">
        <v>465</v>
      </c>
      <c r="R643" s="23" t="s">
        <v>466</v>
      </c>
      <c r="S643" s="13" t="s">
        <v>152</v>
      </c>
      <c r="T643" s="23">
        <v>2</v>
      </c>
      <c r="U643" s="30" t="str">
        <f>VLOOKUP(T643,[3]Key!$E$2:$F$9,2,FALSE)</f>
        <v>Work</v>
      </c>
      <c r="V643" s="30" t="str">
        <f t="shared" si="40"/>
        <v>Home-Work</v>
      </c>
      <c r="W643" s="51">
        <v>12000</v>
      </c>
      <c r="X643" s="50">
        <v>200</v>
      </c>
      <c r="Y643" s="50" t="str">
        <f t="shared" ref="Y643:Y706" si="41">IF(X643&lt;10,"0-10",IF(X643&lt;20,"10-20",IF(X643&lt;40,"20-40",IF(X643&lt;70,"40-70",IF(X643&lt;100,"70-100",IF(X643&lt;200,"100-200","Over 200"))))))</f>
        <v>Over 200</v>
      </c>
      <c r="Z643" s="50">
        <v>4</v>
      </c>
      <c r="AA643" s="50" t="str">
        <f t="shared" ref="AA643:AA706" si="42">IF(Z643&lt;0.5,"0-0.5",IF(Z643&lt;1,"0.5-1.0",IF(Z643&lt;2,"1.0-2.0",IF(Z643&lt;3.5,"2.0-3.5","Over 3.5"))))</f>
        <v>Over 3.5</v>
      </c>
      <c r="AB643" s="23">
        <v>2</v>
      </c>
      <c r="AC643" s="30" t="str">
        <f>VLOOKUP(AB643,[3]Key!$C$20:$D$29,2,FALSE)</f>
        <v>Manual Labour</v>
      </c>
      <c r="AD643" s="23">
        <v>1</v>
      </c>
      <c r="AE643" s="30" t="str">
        <f>VLOOKUP(AD643,[3]Key!$E$20:$F$24,2,FALSE)</f>
        <v>&lt;300,000</v>
      </c>
      <c r="AF643" s="23">
        <v>2</v>
      </c>
      <c r="AG643" s="50">
        <v>2</v>
      </c>
      <c r="AH643" s="50">
        <v>1</v>
      </c>
      <c r="AI643" s="50">
        <v>1</v>
      </c>
      <c r="AJ643" s="50">
        <v>1</v>
      </c>
      <c r="AK643" s="46" t="s">
        <v>94</v>
      </c>
      <c r="AL643" s="36">
        <v>0</v>
      </c>
      <c r="AM643" t="str">
        <f t="shared" ref="AM643:AM706" si="43">IF(AL643&lt;1000,"0-1000",IF(AL643&lt;2000,"1000-2000",IF(AL643&lt;3000,"2000-3000",IF(AL643&lt;5000,"3000-5000",IF(AL643&lt;10000,"5000-10000","Over 10000")))))</f>
        <v>0-1000</v>
      </c>
    </row>
    <row r="644" spans="1:39" x14ac:dyDescent="0.2">
      <c r="A644" s="44" t="s">
        <v>419</v>
      </c>
      <c r="B644" s="48"/>
      <c r="C644" s="48"/>
      <c r="D644" s="48" t="s">
        <v>97</v>
      </c>
      <c r="E644" s="13">
        <v>2</v>
      </c>
      <c r="F644" s="38" t="str">
        <f>VLOOKUP(E644,[3]Key!$A$17:$B$21,2,FALSE)</f>
        <v>Road Vehicle</v>
      </c>
      <c r="G644" s="49">
        <v>4</v>
      </c>
      <c r="H644" s="39" t="str">
        <f>VLOOKUP(G644,[3]Key!$A$2:$B$14,2,FALSE)</f>
        <v>Minibus</v>
      </c>
      <c r="I644" s="13" t="s">
        <v>109</v>
      </c>
      <c r="J644" s="13">
        <v>1</v>
      </c>
      <c r="K644" s="40" t="str">
        <f>VLOOKUP(J644,[3]Key!$A$24:$B$29,2,FALSE)</f>
        <v>20-29</v>
      </c>
      <c r="L644" s="13" t="s">
        <v>424</v>
      </c>
      <c r="M644" s="23" t="s">
        <v>421</v>
      </c>
      <c r="N644" s="13" t="s">
        <v>152</v>
      </c>
      <c r="O644" s="46">
        <v>1</v>
      </c>
      <c r="P644" s="30" t="str">
        <f>VLOOKUP(O644,[3]Key!$E$2:$F$9,2,FALSE)</f>
        <v>Home</v>
      </c>
      <c r="Q644" s="13" t="s">
        <v>467</v>
      </c>
      <c r="R644" s="23" t="s">
        <v>468</v>
      </c>
      <c r="S644" s="13" t="s">
        <v>152</v>
      </c>
      <c r="T644" s="23">
        <v>2</v>
      </c>
      <c r="U644" s="30" t="str">
        <f>VLOOKUP(T644,[3]Key!$E$2:$F$9,2,FALSE)</f>
        <v>Work</v>
      </c>
      <c r="V644" s="30" t="str">
        <f t="shared" si="40"/>
        <v>Home-Work</v>
      </c>
      <c r="W644" s="51">
        <v>120000</v>
      </c>
      <c r="X644" s="50">
        <v>75</v>
      </c>
      <c r="Y644" s="50" t="str">
        <f t="shared" si="41"/>
        <v>70-100</v>
      </c>
      <c r="Z644" s="50">
        <v>2</v>
      </c>
      <c r="AA644" s="50" t="str">
        <f t="shared" si="42"/>
        <v>2.0-3.5</v>
      </c>
      <c r="AB644" s="23">
        <v>2</v>
      </c>
      <c r="AC644" s="30" t="str">
        <f>VLOOKUP(AB644,[3]Key!$C$20:$D$29,2,FALSE)</f>
        <v>Manual Labour</v>
      </c>
      <c r="AD644" s="23">
        <v>2</v>
      </c>
      <c r="AE644" s="30" t="str">
        <f>VLOOKUP(AD644,[3]Key!$E$20:$F$24,2,FALSE)</f>
        <v>300,000-500,000</v>
      </c>
      <c r="AF644" s="23">
        <v>5</v>
      </c>
      <c r="AG644" s="50">
        <v>2</v>
      </c>
      <c r="AH644" s="50">
        <v>1</v>
      </c>
      <c r="AI644" s="50">
        <v>1</v>
      </c>
      <c r="AJ644" s="50">
        <v>1</v>
      </c>
      <c r="AK644" s="46" t="s">
        <v>94</v>
      </c>
      <c r="AL644" s="36">
        <v>0</v>
      </c>
      <c r="AM644" t="str">
        <f t="shared" si="43"/>
        <v>0-1000</v>
      </c>
    </row>
    <row r="645" spans="1:39" x14ac:dyDescent="0.2">
      <c r="A645" s="44" t="s">
        <v>423</v>
      </c>
      <c r="B645" s="48">
        <v>0.54375000000000007</v>
      </c>
      <c r="C645" s="48"/>
      <c r="D645" s="48" t="s">
        <v>150</v>
      </c>
      <c r="E645" s="13">
        <v>2</v>
      </c>
      <c r="F645" s="38" t="str">
        <f>VLOOKUP(E645,[3]Key!$A$17:$B$21,2,FALSE)</f>
        <v>Road Vehicle</v>
      </c>
      <c r="G645" s="49">
        <v>4</v>
      </c>
      <c r="H645" s="39" t="str">
        <f>VLOOKUP(G645,[3]Key!$A$2:$B$14,2,FALSE)</f>
        <v>Minibus</v>
      </c>
      <c r="I645" s="13" t="s">
        <v>109</v>
      </c>
      <c r="J645" s="13">
        <v>1</v>
      </c>
      <c r="K645" s="40" t="str">
        <f>VLOOKUP(J645,[3]Key!$A$24:$B$29,2,FALSE)</f>
        <v>20-29</v>
      </c>
      <c r="L645" s="13" t="s">
        <v>469</v>
      </c>
      <c r="M645" s="23" t="s">
        <v>421</v>
      </c>
      <c r="N645" s="13" t="s">
        <v>152</v>
      </c>
      <c r="O645" s="46">
        <v>1</v>
      </c>
      <c r="P645" s="30" t="str">
        <f>VLOOKUP(O645,[3]Key!$E$2:$F$9,2,FALSE)</f>
        <v>Home</v>
      </c>
      <c r="Q645" s="13" t="s">
        <v>457</v>
      </c>
      <c r="R645" s="23" t="s">
        <v>421</v>
      </c>
      <c r="S645" s="13" t="s">
        <v>152</v>
      </c>
      <c r="T645" s="23">
        <v>2</v>
      </c>
      <c r="U645" s="30" t="str">
        <f>VLOOKUP(T645,[3]Key!$E$2:$F$9,2,FALSE)</f>
        <v>Work</v>
      </c>
      <c r="V645" s="30" t="str">
        <f t="shared" si="40"/>
        <v>Home-Work</v>
      </c>
      <c r="W645" s="51">
        <v>2000</v>
      </c>
      <c r="X645" s="50"/>
      <c r="Y645" s="50" t="str">
        <f t="shared" si="41"/>
        <v>0-10</v>
      </c>
      <c r="Z645" s="50">
        <v>0.11600000000000001</v>
      </c>
      <c r="AA645" s="50" t="str">
        <f t="shared" si="42"/>
        <v>0-0.5</v>
      </c>
      <c r="AB645" s="23">
        <v>5</v>
      </c>
      <c r="AC645" s="30" t="str">
        <f>VLOOKUP(AB645,[3]Key!$C$20:$D$29,2,FALSE)</f>
        <v>Professional</v>
      </c>
      <c r="AD645" s="23">
        <v>2</v>
      </c>
      <c r="AE645" s="30" t="str">
        <f>VLOOKUP(AD645,[3]Key!$E$20:$F$24,2,FALSE)</f>
        <v>300,000-500,000</v>
      </c>
      <c r="AF645" s="23">
        <v>3</v>
      </c>
      <c r="AG645" s="50">
        <v>4</v>
      </c>
      <c r="AH645" s="50">
        <v>4</v>
      </c>
      <c r="AI645" s="50">
        <v>5</v>
      </c>
      <c r="AJ645" s="50">
        <v>5</v>
      </c>
      <c r="AK645" s="46" t="s">
        <v>94</v>
      </c>
      <c r="AL645" s="36">
        <v>10000</v>
      </c>
      <c r="AM645" t="str">
        <f t="shared" si="43"/>
        <v>Over 10000</v>
      </c>
    </row>
    <row r="646" spans="1:39" x14ac:dyDescent="0.2">
      <c r="A646" s="44" t="s">
        <v>423</v>
      </c>
      <c r="B646" s="48">
        <v>0.51736111111111105</v>
      </c>
      <c r="C646" s="48"/>
      <c r="D646" s="48" t="s">
        <v>150</v>
      </c>
      <c r="E646" s="13">
        <v>2</v>
      </c>
      <c r="F646" s="38" t="str">
        <f>VLOOKUP(E646,[3]Key!$A$17:$B$21,2,FALSE)</f>
        <v>Road Vehicle</v>
      </c>
      <c r="G646" s="49">
        <v>4</v>
      </c>
      <c r="H646" s="39" t="str">
        <f>VLOOKUP(G646,[3]Key!$A$2:$B$14,2,FALSE)</f>
        <v>Minibus</v>
      </c>
      <c r="I646" s="13" t="s">
        <v>109</v>
      </c>
      <c r="J646" s="13">
        <v>1</v>
      </c>
      <c r="K646" s="40" t="str">
        <f>VLOOKUP(J646,[3]Key!$A$24:$B$29,2,FALSE)</f>
        <v>20-29</v>
      </c>
      <c r="L646" s="13" t="s">
        <v>470</v>
      </c>
      <c r="M646" s="23" t="s">
        <v>421</v>
      </c>
      <c r="N646" s="13" t="s">
        <v>152</v>
      </c>
      <c r="O646" s="46">
        <v>1</v>
      </c>
      <c r="P646" s="30" t="str">
        <f>VLOOKUP(O646,[3]Key!$E$2:$F$9,2,FALSE)</f>
        <v>Home</v>
      </c>
      <c r="Q646" s="13" t="s">
        <v>457</v>
      </c>
      <c r="R646" s="23" t="s">
        <v>421</v>
      </c>
      <c r="S646" s="13" t="s">
        <v>152</v>
      </c>
      <c r="T646" s="23">
        <v>7</v>
      </c>
      <c r="U646" s="30" t="str">
        <f>VLOOKUP(T646,[3]Key!$E$2:$F$9,2,FALSE)</f>
        <v>Hospital</v>
      </c>
      <c r="V646" s="30" t="str">
        <f t="shared" si="40"/>
        <v>Home-Hospital</v>
      </c>
      <c r="W646" s="51">
        <v>2000</v>
      </c>
      <c r="X646" s="50"/>
      <c r="Y646" s="50" t="str">
        <f t="shared" si="41"/>
        <v>0-10</v>
      </c>
      <c r="Z646" s="50">
        <v>0.06</v>
      </c>
      <c r="AA646" s="50" t="str">
        <f t="shared" si="42"/>
        <v>0-0.5</v>
      </c>
      <c r="AB646" s="23">
        <v>2</v>
      </c>
      <c r="AC646" s="30" t="str">
        <f>VLOOKUP(AB646,[3]Key!$C$20:$D$29,2,FALSE)</f>
        <v>Manual Labour</v>
      </c>
      <c r="AD646" s="23">
        <v>2</v>
      </c>
      <c r="AE646" s="30" t="str">
        <f>VLOOKUP(AD646,[3]Key!$E$20:$F$24,2,FALSE)</f>
        <v>300,000-500,000</v>
      </c>
      <c r="AF646" s="23">
        <v>5</v>
      </c>
      <c r="AG646" s="50">
        <v>3</v>
      </c>
      <c r="AH646" s="50">
        <v>4</v>
      </c>
      <c r="AI646" s="50">
        <v>1</v>
      </c>
      <c r="AJ646" s="50">
        <v>2</v>
      </c>
      <c r="AK646" s="46" t="s">
        <v>94</v>
      </c>
      <c r="AL646" s="36">
        <v>10000</v>
      </c>
      <c r="AM646" t="str">
        <f t="shared" si="43"/>
        <v>Over 10000</v>
      </c>
    </row>
    <row r="647" spans="1:39" x14ac:dyDescent="0.2">
      <c r="A647" s="44" t="s">
        <v>423</v>
      </c>
      <c r="B647" s="48">
        <v>0.46875</v>
      </c>
      <c r="C647" s="48"/>
      <c r="D647" s="48" t="s">
        <v>150</v>
      </c>
      <c r="E647" s="13">
        <v>2</v>
      </c>
      <c r="F647" s="38" t="str">
        <f>VLOOKUP(E647,[3]Key!$A$17:$B$21,2,FALSE)</f>
        <v>Road Vehicle</v>
      </c>
      <c r="G647" s="49">
        <v>4</v>
      </c>
      <c r="H647" s="39" t="str">
        <f>VLOOKUP(G647,[3]Key!$A$2:$B$14,2,FALSE)</f>
        <v>Minibus</v>
      </c>
      <c r="I647" s="13" t="s">
        <v>109</v>
      </c>
      <c r="J647" s="13">
        <v>1</v>
      </c>
      <c r="K647" s="40" t="str">
        <f>VLOOKUP(J647,[3]Key!$A$24:$B$29,2,FALSE)</f>
        <v>20-29</v>
      </c>
      <c r="L647" s="13" t="s">
        <v>195</v>
      </c>
      <c r="M647" s="23" t="s">
        <v>421</v>
      </c>
      <c r="N647" s="13" t="s">
        <v>152</v>
      </c>
      <c r="O647" s="46">
        <v>1</v>
      </c>
      <c r="P647" s="30" t="str">
        <f>VLOOKUP(O647,[3]Key!$E$2:$F$9,2,FALSE)</f>
        <v>Home</v>
      </c>
      <c r="Q647" s="13" t="s">
        <v>424</v>
      </c>
      <c r="R647" s="23" t="s">
        <v>421</v>
      </c>
      <c r="S647" s="13" t="s">
        <v>152</v>
      </c>
      <c r="T647" s="23">
        <v>2</v>
      </c>
      <c r="U647" s="30" t="str">
        <f>VLOOKUP(T647,[3]Key!$E$2:$F$9,2,FALSE)</f>
        <v>Work</v>
      </c>
      <c r="V647" s="30" t="str">
        <f t="shared" si="40"/>
        <v>Home-Work</v>
      </c>
      <c r="W647" s="51">
        <v>1000</v>
      </c>
      <c r="X647" s="50"/>
      <c r="Y647" s="50" t="str">
        <f t="shared" si="41"/>
        <v>0-10</v>
      </c>
      <c r="Z647" s="50">
        <v>0.5</v>
      </c>
      <c r="AA647" s="50" t="str">
        <f t="shared" si="42"/>
        <v>0.5-1.0</v>
      </c>
      <c r="AB647" s="23">
        <v>6</v>
      </c>
      <c r="AC647" s="30" t="str">
        <f>VLOOKUP(AB647,[3]Key!$C$20:$D$29,2,FALSE)</f>
        <v>Businessman</v>
      </c>
      <c r="AD647" s="23">
        <v>1</v>
      </c>
      <c r="AE647" s="30" t="str">
        <f>VLOOKUP(AD647,[3]Key!$E$20:$F$24,2,FALSE)</f>
        <v>&lt;300,000</v>
      </c>
      <c r="AF647" s="23">
        <v>5</v>
      </c>
      <c r="AG647" s="50">
        <v>4</v>
      </c>
      <c r="AH647" s="50">
        <v>3</v>
      </c>
      <c r="AI647" s="50">
        <v>1</v>
      </c>
      <c r="AJ647" s="50">
        <v>2</v>
      </c>
      <c r="AK647" s="46" t="s">
        <v>94</v>
      </c>
      <c r="AL647" s="36">
        <v>5000</v>
      </c>
      <c r="AM647" t="str">
        <f t="shared" si="43"/>
        <v>5000-10000</v>
      </c>
    </row>
    <row r="648" spans="1:39" x14ac:dyDescent="0.2">
      <c r="A648" s="44" t="s">
        <v>423</v>
      </c>
      <c r="B648" s="48">
        <v>0.49791666666666662</v>
      </c>
      <c r="C648" s="48"/>
      <c r="D648" s="48" t="s">
        <v>150</v>
      </c>
      <c r="E648" s="13">
        <v>2</v>
      </c>
      <c r="F648" s="38" t="str">
        <f>VLOOKUP(E648,[3]Key!$A$17:$B$21,2,FALSE)</f>
        <v>Road Vehicle</v>
      </c>
      <c r="G648" s="49">
        <v>4</v>
      </c>
      <c r="H648" s="39" t="str">
        <f>VLOOKUP(G648,[3]Key!$A$2:$B$14,2,FALSE)</f>
        <v>Minibus</v>
      </c>
      <c r="I648" s="13" t="s">
        <v>109</v>
      </c>
      <c r="J648" s="13">
        <v>1</v>
      </c>
      <c r="K648" s="40" t="str">
        <f>VLOOKUP(J648,[3]Key!$A$24:$B$29,2,FALSE)</f>
        <v>20-29</v>
      </c>
      <c r="L648" s="13" t="s">
        <v>471</v>
      </c>
      <c r="M648" s="23" t="s">
        <v>421</v>
      </c>
      <c r="N648" s="13" t="s">
        <v>152</v>
      </c>
      <c r="O648" s="46">
        <v>1</v>
      </c>
      <c r="P648" s="30" t="str">
        <f>VLOOKUP(O648,[3]Key!$E$2:$F$9,2,FALSE)</f>
        <v>Home</v>
      </c>
      <c r="Q648" s="13" t="s">
        <v>457</v>
      </c>
      <c r="R648" s="23" t="s">
        <v>421</v>
      </c>
      <c r="S648" s="13" t="s">
        <v>152</v>
      </c>
      <c r="T648" s="23">
        <v>2</v>
      </c>
      <c r="U648" s="30" t="str">
        <f>VLOOKUP(T648,[3]Key!$E$2:$F$9,2,FALSE)</f>
        <v>Work</v>
      </c>
      <c r="V648" s="30" t="str">
        <f t="shared" si="40"/>
        <v>Home-Work</v>
      </c>
      <c r="W648" s="51">
        <v>2000</v>
      </c>
      <c r="X648" s="50">
        <v>2</v>
      </c>
      <c r="Y648" s="50" t="str">
        <f t="shared" si="41"/>
        <v>0-10</v>
      </c>
      <c r="Z648" s="50">
        <v>0.16600000000000001</v>
      </c>
      <c r="AA648" s="50" t="str">
        <f t="shared" si="42"/>
        <v>0-0.5</v>
      </c>
      <c r="AB648" s="23">
        <v>6</v>
      </c>
      <c r="AC648" s="30" t="str">
        <f>VLOOKUP(AB648,[3]Key!$C$20:$D$29,2,FALSE)</f>
        <v>Businessman</v>
      </c>
      <c r="AD648" s="23">
        <v>1</v>
      </c>
      <c r="AE648" s="30" t="str">
        <f>VLOOKUP(AD648,[3]Key!$E$20:$F$24,2,FALSE)</f>
        <v>&lt;300,000</v>
      </c>
      <c r="AF648" s="23">
        <v>4</v>
      </c>
      <c r="AG648" s="50">
        <v>2</v>
      </c>
      <c r="AH648" s="50">
        <v>4</v>
      </c>
      <c r="AI648" s="50">
        <v>3</v>
      </c>
      <c r="AJ648" s="50">
        <v>3</v>
      </c>
      <c r="AK648" s="46" t="s">
        <v>94</v>
      </c>
      <c r="AL648" s="36">
        <v>3000</v>
      </c>
      <c r="AM648" t="str">
        <f t="shared" si="43"/>
        <v>3000-5000</v>
      </c>
    </row>
    <row r="649" spans="1:39" x14ac:dyDescent="0.2">
      <c r="A649" s="44" t="s">
        <v>423</v>
      </c>
      <c r="B649" s="48"/>
      <c r="C649" s="48"/>
      <c r="D649" s="48" t="s">
        <v>150</v>
      </c>
      <c r="E649" s="13">
        <v>2</v>
      </c>
      <c r="F649" s="38" t="str">
        <f>VLOOKUP(E649,[3]Key!$A$17:$B$21,2,FALSE)</f>
        <v>Road Vehicle</v>
      </c>
      <c r="G649" s="49">
        <v>4</v>
      </c>
      <c r="H649" s="39" t="str">
        <f>VLOOKUP(G649,[3]Key!$A$2:$B$14,2,FALSE)</f>
        <v>Minibus</v>
      </c>
      <c r="I649" s="13" t="s">
        <v>109</v>
      </c>
      <c r="J649" s="13">
        <v>1</v>
      </c>
      <c r="K649" s="40" t="str">
        <f>VLOOKUP(J649,[3]Key!$A$24:$B$29,2,FALSE)</f>
        <v>20-29</v>
      </c>
      <c r="L649" s="13" t="s">
        <v>424</v>
      </c>
      <c r="M649" s="23" t="s">
        <v>421</v>
      </c>
      <c r="N649" s="13" t="s">
        <v>152</v>
      </c>
      <c r="O649" s="46">
        <v>1</v>
      </c>
      <c r="P649" s="30" t="str">
        <f>VLOOKUP(O649,[3]Key!$E$2:$F$9,2,FALSE)</f>
        <v>Home</v>
      </c>
      <c r="Q649" s="13" t="s">
        <v>462</v>
      </c>
      <c r="R649" s="23" t="s">
        <v>463</v>
      </c>
      <c r="S649" s="13" t="s">
        <v>152</v>
      </c>
      <c r="T649" s="23">
        <v>8</v>
      </c>
      <c r="U649" s="30" t="str">
        <f>VLOOKUP(T649,[3]Key!$E$2:$F$9,2,FALSE)</f>
        <v>Others</v>
      </c>
      <c r="V649" s="30" t="str">
        <f t="shared" si="40"/>
        <v>Home-Others</v>
      </c>
      <c r="W649" s="51">
        <v>10000</v>
      </c>
      <c r="X649" s="50"/>
      <c r="Y649" s="50" t="str">
        <f t="shared" si="41"/>
        <v>0-10</v>
      </c>
      <c r="Z649" s="50">
        <v>2.5</v>
      </c>
      <c r="AA649" s="50" t="str">
        <f t="shared" si="42"/>
        <v>2.0-3.5</v>
      </c>
      <c r="AB649" s="23">
        <v>2</v>
      </c>
      <c r="AC649" s="30" t="str">
        <f>VLOOKUP(AB649,[3]Key!$C$20:$D$29,2,FALSE)</f>
        <v>Manual Labour</v>
      </c>
      <c r="AD649" s="23">
        <v>1</v>
      </c>
      <c r="AE649" s="30" t="str">
        <f>VLOOKUP(AD649,[3]Key!$E$20:$F$24,2,FALSE)</f>
        <v>&lt;300,000</v>
      </c>
      <c r="AF649" s="23">
        <v>5</v>
      </c>
      <c r="AG649" s="50">
        <v>2</v>
      </c>
      <c r="AH649" s="50">
        <v>2</v>
      </c>
      <c r="AI649" s="50">
        <v>2</v>
      </c>
      <c r="AJ649" s="50">
        <v>2</v>
      </c>
      <c r="AK649" s="46" t="s">
        <v>94</v>
      </c>
      <c r="AL649" s="36">
        <v>7000</v>
      </c>
      <c r="AM649" t="str">
        <f t="shared" si="43"/>
        <v>5000-10000</v>
      </c>
    </row>
    <row r="650" spans="1:39" x14ac:dyDescent="0.2">
      <c r="A650" s="44" t="s">
        <v>423</v>
      </c>
      <c r="B650" s="48"/>
      <c r="C650" s="48"/>
      <c r="D650" s="48" t="s">
        <v>150</v>
      </c>
      <c r="E650" s="13">
        <v>2</v>
      </c>
      <c r="F650" s="38" t="str">
        <f>VLOOKUP(E650,[3]Key!$A$17:$B$21,2,FALSE)</f>
        <v>Road Vehicle</v>
      </c>
      <c r="G650" s="49">
        <v>4</v>
      </c>
      <c r="H650" s="39" t="str">
        <f>VLOOKUP(G650,[3]Key!$A$2:$B$14,2,FALSE)</f>
        <v>Minibus</v>
      </c>
      <c r="I650" s="13" t="s">
        <v>109</v>
      </c>
      <c r="J650" s="13">
        <v>1</v>
      </c>
      <c r="K650" s="40" t="str">
        <f>VLOOKUP(J650,[3]Key!$A$24:$B$29,2,FALSE)</f>
        <v>20-29</v>
      </c>
      <c r="L650" s="13" t="s">
        <v>424</v>
      </c>
      <c r="M650" s="23" t="s">
        <v>421</v>
      </c>
      <c r="N650" s="13" t="s">
        <v>152</v>
      </c>
      <c r="O650" s="46">
        <v>1</v>
      </c>
      <c r="P650" s="30" t="str">
        <f>VLOOKUP(O650,[3]Key!$E$2:$F$9,2,FALSE)</f>
        <v>Home</v>
      </c>
      <c r="Q650" s="13" t="s">
        <v>472</v>
      </c>
      <c r="R650" s="23" t="s">
        <v>439</v>
      </c>
      <c r="S650" s="13" t="s">
        <v>152</v>
      </c>
      <c r="T650" s="23">
        <v>2</v>
      </c>
      <c r="U650" s="30" t="str">
        <f>VLOOKUP(T650,[3]Key!$E$2:$F$9,2,FALSE)</f>
        <v>Work</v>
      </c>
      <c r="V650" s="30" t="str">
        <f t="shared" si="40"/>
        <v>Home-Work</v>
      </c>
      <c r="W650" s="51">
        <v>7000</v>
      </c>
      <c r="X650" s="50"/>
      <c r="Y650" s="50" t="str">
        <f t="shared" si="41"/>
        <v>0-10</v>
      </c>
      <c r="Z650" s="50">
        <v>3</v>
      </c>
      <c r="AA650" s="50" t="str">
        <f t="shared" si="42"/>
        <v>2.0-3.5</v>
      </c>
      <c r="AB650" s="23">
        <v>2</v>
      </c>
      <c r="AC650" s="30" t="str">
        <f>VLOOKUP(AB650,[3]Key!$C$20:$D$29,2,FALSE)</f>
        <v>Manual Labour</v>
      </c>
      <c r="AD650" s="23">
        <v>1</v>
      </c>
      <c r="AE650" s="30" t="str">
        <f>VLOOKUP(AD650,[3]Key!$E$20:$F$24,2,FALSE)</f>
        <v>&lt;300,000</v>
      </c>
      <c r="AF650" s="23">
        <v>2</v>
      </c>
      <c r="AG650" s="50">
        <v>2</v>
      </c>
      <c r="AH650" s="50">
        <v>2</v>
      </c>
      <c r="AI650" s="50">
        <v>2</v>
      </c>
      <c r="AJ650" s="50">
        <v>2</v>
      </c>
      <c r="AK650" s="46" t="s">
        <v>94</v>
      </c>
      <c r="AL650" s="36">
        <v>4000</v>
      </c>
      <c r="AM650" t="str">
        <f t="shared" si="43"/>
        <v>3000-5000</v>
      </c>
    </row>
    <row r="651" spans="1:39" x14ac:dyDescent="0.2">
      <c r="A651" s="44" t="s">
        <v>423</v>
      </c>
      <c r="B651" s="48"/>
      <c r="C651" s="48"/>
      <c r="D651" s="48" t="s">
        <v>150</v>
      </c>
      <c r="E651" s="13">
        <v>2</v>
      </c>
      <c r="F651" s="38" t="str">
        <f>VLOOKUP(E651,[3]Key!$A$17:$B$21,2,FALSE)</f>
        <v>Road Vehicle</v>
      </c>
      <c r="G651" s="49">
        <v>4</v>
      </c>
      <c r="H651" s="39" t="str">
        <f>VLOOKUP(G651,[3]Key!$A$2:$B$14,2,FALSE)</f>
        <v>Minibus</v>
      </c>
      <c r="I651" s="13" t="s">
        <v>109</v>
      </c>
      <c r="J651" s="13">
        <v>1</v>
      </c>
      <c r="K651" s="40" t="str">
        <f>VLOOKUP(J651,[3]Key!$A$24:$B$29,2,FALSE)</f>
        <v>20-29</v>
      </c>
      <c r="L651" s="13" t="s">
        <v>424</v>
      </c>
      <c r="M651" s="23" t="s">
        <v>421</v>
      </c>
      <c r="N651" s="13" t="s">
        <v>152</v>
      </c>
      <c r="O651" s="46">
        <v>1</v>
      </c>
      <c r="P651" s="30" t="str">
        <f>VLOOKUP(O651,[3]Key!$E$2:$F$9,2,FALSE)</f>
        <v>Home</v>
      </c>
      <c r="Q651" s="13" t="s">
        <v>454</v>
      </c>
      <c r="R651" s="23" t="s">
        <v>455</v>
      </c>
      <c r="S651" s="13" t="s">
        <v>152</v>
      </c>
      <c r="T651" s="23">
        <v>2</v>
      </c>
      <c r="U651" s="30" t="str">
        <f>VLOOKUP(T651,[3]Key!$E$2:$F$9,2,FALSE)</f>
        <v>Work</v>
      </c>
      <c r="V651" s="30" t="str">
        <f t="shared" si="40"/>
        <v>Home-Work</v>
      </c>
      <c r="W651" s="51">
        <v>15000</v>
      </c>
      <c r="X651" s="50">
        <v>220</v>
      </c>
      <c r="Y651" s="50" t="str">
        <f t="shared" si="41"/>
        <v>Over 200</v>
      </c>
      <c r="Z651" s="50">
        <v>2</v>
      </c>
      <c r="AA651" s="50" t="str">
        <f t="shared" si="42"/>
        <v>2.0-3.5</v>
      </c>
      <c r="AB651" s="23">
        <v>3</v>
      </c>
      <c r="AC651" s="30" t="str">
        <f>VLOOKUP(AB651,[3]Key!$C$20:$D$29,2,FALSE)</f>
        <v>Artisan/Domestic</v>
      </c>
      <c r="AD651" s="23">
        <v>1</v>
      </c>
      <c r="AE651" s="30" t="str">
        <f>VLOOKUP(AD651,[3]Key!$E$20:$F$24,2,FALSE)</f>
        <v>&lt;300,000</v>
      </c>
      <c r="AF651" s="23">
        <v>2</v>
      </c>
      <c r="AG651" s="50">
        <v>2</v>
      </c>
      <c r="AH651" s="50">
        <v>2</v>
      </c>
      <c r="AI651" s="50">
        <v>2</v>
      </c>
      <c r="AJ651" s="50">
        <v>2</v>
      </c>
      <c r="AK651" s="46" t="s">
        <v>94</v>
      </c>
      <c r="AL651" s="36">
        <v>0</v>
      </c>
      <c r="AM651" t="str">
        <f t="shared" si="43"/>
        <v>0-1000</v>
      </c>
    </row>
    <row r="652" spans="1:39" x14ac:dyDescent="0.2">
      <c r="A652" s="44" t="s">
        <v>423</v>
      </c>
      <c r="B652" s="48"/>
      <c r="C652" s="48"/>
      <c r="D652" s="48" t="s">
        <v>150</v>
      </c>
      <c r="E652" s="13">
        <v>2</v>
      </c>
      <c r="F652" s="38" t="str">
        <f>VLOOKUP(E652,[3]Key!$A$17:$B$21,2,FALSE)</f>
        <v>Road Vehicle</v>
      </c>
      <c r="G652" s="49">
        <v>4</v>
      </c>
      <c r="H652" s="39" t="str">
        <f>VLOOKUP(G652,[3]Key!$A$2:$B$14,2,FALSE)</f>
        <v>Minibus</v>
      </c>
      <c r="I652" s="13" t="s">
        <v>109</v>
      </c>
      <c r="J652" s="13">
        <v>1</v>
      </c>
      <c r="K652" s="40" t="str">
        <f>VLOOKUP(J652,[3]Key!$A$24:$B$29,2,FALSE)</f>
        <v>20-29</v>
      </c>
      <c r="L652" s="13" t="s">
        <v>424</v>
      </c>
      <c r="M652" s="23" t="s">
        <v>421</v>
      </c>
      <c r="N652" s="13" t="s">
        <v>152</v>
      </c>
      <c r="O652" s="46">
        <v>1</v>
      </c>
      <c r="P652" s="30" t="str">
        <f>VLOOKUP(O652,[3]Key!$E$2:$F$9,2,FALSE)</f>
        <v>Home</v>
      </c>
      <c r="Q652" s="13" t="s">
        <v>473</v>
      </c>
      <c r="R652" s="23" t="s">
        <v>444</v>
      </c>
      <c r="S652" s="13" t="s">
        <v>152</v>
      </c>
      <c r="T652" s="23">
        <v>8</v>
      </c>
      <c r="U652" s="30" t="str">
        <f>VLOOKUP(T652,[3]Key!$E$2:$F$9,2,FALSE)</f>
        <v>Others</v>
      </c>
      <c r="V652" s="30" t="str">
        <f t="shared" si="40"/>
        <v>Home-Others</v>
      </c>
      <c r="W652" s="51">
        <v>15000</v>
      </c>
      <c r="X652" s="50">
        <v>200</v>
      </c>
      <c r="Y652" s="50" t="str">
        <f t="shared" si="41"/>
        <v>Over 200</v>
      </c>
      <c r="Z652" s="50">
        <v>5</v>
      </c>
      <c r="AA652" s="50" t="str">
        <f t="shared" si="42"/>
        <v>Over 3.5</v>
      </c>
      <c r="AB652" s="23">
        <v>5</v>
      </c>
      <c r="AC652" s="30" t="str">
        <f>VLOOKUP(AB652,[3]Key!$C$20:$D$29,2,FALSE)</f>
        <v>Professional</v>
      </c>
      <c r="AD652" s="23">
        <v>2</v>
      </c>
      <c r="AE652" s="30" t="str">
        <f>VLOOKUP(AD652,[3]Key!$E$20:$F$24,2,FALSE)</f>
        <v>300,000-500,000</v>
      </c>
      <c r="AF652" s="23">
        <v>5</v>
      </c>
      <c r="AG652" s="50">
        <v>2</v>
      </c>
      <c r="AH652" s="50">
        <v>2</v>
      </c>
      <c r="AI652" s="50">
        <v>2</v>
      </c>
      <c r="AJ652" s="50">
        <v>2</v>
      </c>
      <c r="AK652" s="46" t="s">
        <v>94</v>
      </c>
      <c r="AL652" s="36">
        <v>0</v>
      </c>
      <c r="AM652" t="str">
        <f t="shared" si="43"/>
        <v>0-1000</v>
      </c>
    </row>
    <row r="653" spans="1:39" x14ac:dyDescent="0.2">
      <c r="A653" s="44" t="s">
        <v>423</v>
      </c>
      <c r="B653" s="48"/>
      <c r="C653" s="48"/>
      <c r="D653" s="48" t="s">
        <v>150</v>
      </c>
      <c r="E653" s="13">
        <v>2</v>
      </c>
      <c r="F653" s="38" t="str">
        <f>VLOOKUP(E653,[3]Key!$A$17:$B$21,2,FALSE)</f>
        <v>Road Vehicle</v>
      </c>
      <c r="G653" s="49">
        <v>4</v>
      </c>
      <c r="H653" s="39" t="str">
        <f>VLOOKUP(G653,[3]Key!$A$2:$B$14,2,FALSE)</f>
        <v>Minibus</v>
      </c>
      <c r="I653" s="13" t="s">
        <v>109</v>
      </c>
      <c r="J653" s="13">
        <v>1</v>
      </c>
      <c r="K653" s="40" t="str">
        <f>VLOOKUP(J653,[3]Key!$A$24:$B$29,2,FALSE)</f>
        <v>20-29</v>
      </c>
      <c r="L653" s="13" t="s">
        <v>424</v>
      </c>
      <c r="M653" s="23" t="s">
        <v>421</v>
      </c>
      <c r="N653" s="13" t="s">
        <v>152</v>
      </c>
      <c r="O653" s="46">
        <v>1</v>
      </c>
      <c r="P653" s="30" t="str">
        <f>VLOOKUP(O653,[3]Key!$E$2:$F$9,2,FALSE)</f>
        <v>Home</v>
      </c>
      <c r="Q653" s="13" t="s">
        <v>425</v>
      </c>
      <c r="R653" s="23" t="s">
        <v>426</v>
      </c>
      <c r="S653" s="13" t="s">
        <v>152</v>
      </c>
      <c r="T653" s="23">
        <v>6</v>
      </c>
      <c r="U653" s="30" t="str">
        <f>VLOOKUP(T653,[3]Key!$E$2:$F$9,2,FALSE)</f>
        <v>Leisure/Social</v>
      </c>
      <c r="V653" s="30" t="str">
        <f t="shared" si="40"/>
        <v>Home-Leisure/Social</v>
      </c>
      <c r="W653" s="51">
        <v>8000</v>
      </c>
      <c r="X653" s="50">
        <v>45</v>
      </c>
      <c r="Y653" s="50" t="str">
        <f t="shared" si="41"/>
        <v>40-70</v>
      </c>
      <c r="Z653" s="50">
        <v>1</v>
      </c>
      <c r="AA653" s="50" t="str">
        <f t="shared" si="42"/>
        <v>1.0-2.0</v>
      </c>
      <c r="AB653" s="23">
        <v>2</v>
      </c>
      <c r="AC653" s="30" t="str">
        <f>VLOOKUP(AB653,[3]Key!$C$20:$D$29,2,FALSE)</f>
        <v>Manual Labour</v>
      </c>
      <c r="AD653" s="23">
        <v>1</v>
      </c>
      <c r="AE653" s="30" t="str">
        <f>VLOOKUP(AD653,[3]Key!$E$20:$F$24,2,FALSE)</f>
        <v>&lt;300,000</v>
      </c>
      <c r="AF653" s="23">
        <v>5</v>
      </c>
      <c r="AG653" s="50">
        <v>2</v>
      </c>
      <c r="AH653" s="50">
        <v>2</v>
      </c>
      <c r="AI653" s="50">
        <v>2</v>
      </c>
      <c r="AJ653" s="50">
        <v>2</v>
      </c>
      <c r="AK653" s="46" t="s">
        <v>94</v>
      </c>
      <c r="AL653" s="36">
        <v>0</v>
      </c>
      <c r="AM653" t="str">
        <f t="shared" si="43"/>
        <v>0-1000</v>
      </c>
    </row>
    <row r="654" spans="1:39" x14ac:dyDescent="0.2">
      <c r="A654" s="44" t="s">
        <v>423</v>
      </c>
      <c r="B654" s="48"/>
      <c r="C654" s="48"/>
      <c r="D654" s="48" t="s">
        <v>150</v>
      </c>
      <c r="E654" s="13">
        <v>2</v>
      </c>
      <c r="F654" s="38" t="str">
        <f>VLOOKUP(E654,[3]Key!$A$17:$B$21,2,FALSE)</f>
        <v>Road Vehicle</v>
      </c>
      <c r="G654" s="49">
        <v>4</v>
      </c>
      <c r="H654" s="39" t="str">
        <f>VLOOKUP(G654,[3]Key!$A$2:$B$14,2,FALSE)</f>
        <v>Minibus</v>
      </c>
      <c r="I654" s="13" t="s">
        <v>109</v>
      </c>
      <c r="J654" s="13">
        <v>1</v>
      </c>
      <c r="K654" s="40" t="str">
        <f>VLOOKUP(J654,[3]Key!$A$24:$B$29,2,FALSE)</f>
        <v>20-29</v>
      </c>
      <c r="L654" s="13" t="s">
        <v>424</v>
      </c>
      <c r="M654" s="23" t="s">
        <v>421</v>
      </c>
      <c r="N654" s="13" t="s">
        <v>152</v>
      </c>
      <c r="O654" s="46">
        <v>1</v>
      </c>
      <c r="P654" s="30" t="str">
        <f>VLOOKUP(O654,[3]Key!$E$2:$F$9,2,FALSE)</f>
        <v>Home</v>
      </c>
      <c r="Q654" s="13" t="s">
        <v>451</v>
      </c>
      <c r="R654" s="23" t="s">
        <v>452</v>
      </c>
      <c r="S654" s="13" t="s">
        <v>152</v>
      </c>
      <c r="T654" s="23">
        <v>2</v>
      </c>
      <c r="U654" s="30" t="str">
        <f>VLOOKUP(T654,[3]Key!$E$2:$F$9,2,FALSE)</f>
        <v>Work</v>
      </c>
      <c r="V654" s="30" t="str">
        <f t="shared" si="40"/>
        <v>Home-Work</v>
      </c>
      <c r="W654" s="51">
        <v>20000</v>
      </c>
      <c r="X654" s="50">
        <v>130</v>
      </c>
      <c r="Y654" s="50" t="str">
        <f t="shared" si="41"/>
        <v>100-200</v>
      </c>
      <c r="Z654" s="50">
        <v>1</v>
      </c>
      <c r="AA654" s="50" t="str">
        <f t="shared" si="42"/>
        <v>1.0-2.0</v>
      </c>
      <c r="AB654" s="23">
        <v>6</v>
      </c>
      <c r="AC654" s="30" t="str">
        <f>VLOOKUP(AB654,[3]Key!$C$20:$D$29,2,FALSE)</f>
        <v>Businessman</v>
      </c>
      <c r="AD654" s="23">
        <v>1</v>
      </c>
      <c r="AE654" s="30" t="str">
        <f>VLOOKUP(AD654,[3]Key!$E$20:$F$24,2,FALSE)</f>
        <v>&lt;300,000</v>
      </c>
      <c r="AF654" s="23">
        <v>5</v>
      </c>
      <c r="AG654" s="50">
        <v>5</v>
      </c>
      <c r="AH654" s="50">
        <v>2</v>
      </c>
      <c r="AI654" s="50">
        <v>2</v>
      </c>
      <c r="AJ654" s="50">
        <v>2</v>
      </c>
      <c r="AK654" s="46" t="s">
        <v>94</v>
      </c>
      <c r="AL654" s="36">
        <v>5000</v>
      </c>
      <c r="AM654" t="str">
        <f t="shared" si="43"/>
        <v>5000-10000</v>
      </c>
    </row>
    <row r="655" spans="1:39" x14ac:dyDescent="0.2">
      <c r="A655" s="44" t="s">
        <v>423</v>
      </c>
      <c r="B655" s="48"/>
      <c r="C655" s="48"/>
      <c r="D655" s="48" t="s">
        <v>150</v>
      </c>
      <c r="E655" s="13">
        <v>2</v>
      </c>
      <c r="F655" s="38" t="str">
        <f>VLOOKUP(E655,[3]Key!$A$17:$B$21,2,FALSE)</f>
        <v>Road Vehicle</v>
      </c>
      <c r="G655" s="49">
        <v>4</v>
      </c>
      <c r="H655" s="39" t="str">
        <f>VLOOKUP(G655,[3]Key!$A$2:$B$14,2,FALSE)</f>
        <v>Minibus</v>
      </c>
      <c r="I655" s="13" t="s">
        <v>109</v>
      </c>
      <c r="J655" s="13">
        <v>1</v>
      </c>
      <c r="K655" s="40" t="str">
        <f>VLOOKUP(J655,[3]Key!$A$24:$B$29,2,FALSE)</f>
        <v>20-29</v>
      </c>
      <c r="L655" s="13" t="s">
        <v>424</v>
      </c>
      <c r="M655" s="23" t="s">
        <v>421</v>
      </c>
      <c r="N655" s="13" t="s">
        <v>152</v>
      </c>
      <c r="O655" s="46">
        <v>1</v>
      </c>
      <c r="P655" s="30" t="str">
        <f>VLOOKUP(O655,[3]Key!$E$2:$F$9,2,FALSE)</f>
        <v>Home</v>
      </c>
      <c r="Q655" s="13" t="s">
        <v>434</v>
      </c>
      <c r="R655" s="23" t="s">
        <v>153</v>
      </c>
      <c r="S655" s="13" t="s">
        <v>152</v>
      </c>
      <c r="T655" s="23">
        <v>2</v>
      </c>
      <c r="U655" s="30" t="str">
        <f>VLOOKUP(T655,[3]Key!$E$2:$F$9,2,FALSE)</f>
        <v>Work</v>
      </c>
      <c r="V655" s="30" t="str">
        <f t="shared" si="40"/>
        <v>Home-Work</v>
      </c>
      <c r="W655" s="51">
        <v>20000</v>
      </c>
      <c r="X655" s="50">
        <v>270</v>
      </c>
      <c r="Y655" s="50" t="str">
        <f t="shared" si="41"/>
        <v>Over 200</v>
      </c>
      <c r="Z655" s="50">
        <v>4.5</v>
      </c>
      <c r="AA655" s="50" t="str">
        <f t="shared" si="42"/>
        <v>Over 3.5</v>
      </c>
      <c r="AB655" s="23">
        <v>2</v>
      </c>
      <c r="AC655" s="30" t="str">
        <f>VLOOKUP(AB655,[3]Key!$C$20:$D$29,2,FALSE)</f>
        <v>Manual Labour</v>
      </c>
      <c r="AD655" s="23">
        <v>1</v>
      </c>
      <c r="AE655" s="30" t="str">
        <f>VLOOKUP(AD655,[3]Key!$E$20:$F$24,2,FALSE)</f>
        <v>&lt;300,000</v>
      </c>
      <c r="AF655" s="23">
        <v>2</v>
      </c>
      <c r="AG655" s="50">
        <v>2</v>
      </c>
      <c r="AH655" s="50">
        <v>2</v>
      </c>
      <c r="AI655" s="50">
        <v>2</v>
      </c>
      <c r="AJ655" s="50">
        <v>2</v>
      </c>
      <c r="AK655" s="46" t="s">
        <v>94</v>
      </c>
      <c r="AL655" s="36">
        <v>3000</v>
      </c>
      <c r="AM655" t="str">
        <f t="shared" si="43"/>
        <v>3000-5000</v>
      </c>
    </row>
    <row r="656" spans="1:39" x14ac:dyDescent="0.2">
      <c r="A656" s="44" t="s">
        <v>423</v>
      </c>
      <c r="B656" s="48"/>
      <c r="C656" s="48"/>
      <c r="D656" s="48" t="s">
        <v>150</v>
      </c>
      <c r="E656" s="13">
        <v>2</v>
      </c>
      <c r="F656" s="38" t="str">
        <f>VLOOKUP(E656,[3]Key!$A$17:$B$21,2,FALSE)</f>
        <v>Road Vehicle</v>
      </c>
      <c r="G656" s="49">
        <v>4</v>
      </c>
      <c r="H656" s="39" t="str">
        <f>VLOOKUP(G656,[3]Key!$A$2:$B$14,2,FALSE)</f>
        <v>Minibus</v>
      </c>
      <c r="I656" s="13" t="s">
        <v>109</v>
      </c>
      <c r="J656" s="13">
        <v>1</v>
      </c>
      <c r="K656" s="40" t="str">
        <f>VLOOKUP(J656,[3]Key!$A$24:$B$29,2,FALSE)</f>
        <v>20-29</v>
      </c>
      <c r="L656" s="13" t="s">
        <v>424</v>
      </c>
      <c r="M656" s="23" t="s">
        <v>421</v>
      </c>
      <c r="N656" s="13" t="s">
        <v>152</v>
      </c>
      <c r="O656" s="46">
        <v>1</v>
      </c>
      <c r="P656" s="30" t="str">
        <f>VLOOKUP(O656,[3]Key!$E$2:$F$9,2,FALSE)</f>
        <v>Home</v>
      </c>
      <c r="Q656" s="13" t="s">
        <v>437</v>
      </c>
      <c r="R656" s="23" t="s">
        <v>175</v>
      </c>
      <c r="S656" s="13" t="s">
        <v>152</v>
      </c>
      <c r="T656" s="23">
        <v>2</v>
      </c>
      <c r="U656" s="30" t="str">
        <f>VLOOKUP(T656,[3]Key!$E$2:$F$9,2,FALSE)</f>
        <v>Work</v>
      </c>
      <c r="V656" s="30" t="str">
        <f t="shared" si="40"/>
        <v>Home-Work</v>
      </c>
      <c r="W656" s="51">
        <v>15000</v>
      </c>
      <c r="X656" s="50">
        <v>130</v>
      </c>
      <c r="Y656" s="50" t="str">
        <f t="shared" si="41"/>
        <v>100-200</v>
      </c>
      <c r="Z656" s="50">
        <v>1.5</v>
      </c>
      <c r="AA656" s="50" t="str">
        <f t="shared" si="42"/>
        <v>1.0-2.0</v>
      </c>
      <c r="AB656" s="23">
        <v>2</v>
      </c>
      <c r="AC656" s="30" t="str">
        <f>VLOOKUP(AB656,[3]Key!$C$20:$D$29,2,FALSE)</f>
        <v>Manual Labour</v>
      </c>
      <c r="AD656" s="23">
        <v>2</v>
      </c>
      <c r="AE656" s="30" t="str">
        <f>VLOOKUP(AD656,[3]Key!$E$20:$F$24,2,FALSE)</f>
        <v>300,000-500,000</v>
      </c>
      <c r="AF656" s="23">
        <v>5</v>
      </c>
      <c r="AG656" s="50">
        <v>5</v>
      </c>
      <c r="AH656" s="50">
        <v>2</v>
      </c>
      <c r="AI656" s="50">
        <v>2</v>
      </c>
      <c r="AJ656" s="50">
        <v>2</v>
      </c>
      <c r="AK656" s="46" t="s">
        <v>94</v>
      </c>
      <c r="AL656" s="36">
        <v>0</v>
      </c>
      <c r="AM656" t="str">
        <f t="shared" si="43"/>
        <v>0-1000</v>
      </c>
    </row>
    <row r="657" spans="1:39" x14ac:dyDescent="0.2">
      <c r="A657" s="44" t="s">
        <v>419</v>
      </c>
      <c r="B657" s="48">
        <v>0.55555555555555558</v>
      </c>
      <c r="C657" s="48"/>
      <c r="D657" s="48" t="s">
        <v>150</v>
      </c>
      <c r="E657" s="13">
        <v>2</v>
      </c>
      <c r="F657" s="38" t="str">
        <f>VLOOKUP(E657,[3]Key!$A$17:$B$21,2,FALSE)</f>
        <v>Road Vehicle</v>
      </c>
      <c r="G657" s="49">
        <v>1</v>
      </c>
      <c r="H657" s="39" t="str">
        <f>VLOOKUP(G657,[3]Key!$A$2:$B$14,2,FALSE)</f>
        <v>Car</v>
      </c>
      <c r="I657" s="13" t="s">
        <v>156</v>
      </c>
      <c r="J657" s="13">
        <v>2</v>
      </c>
      <c r="K657" s="40" t="str">
        <f>VLOOKUP(J657,[3]Key!$A$24:$B$29,2,FALSE)</f>
        <v>30-39</v>
      </c>
      <c r="L657" s="13" t="s">
        <v>474</v>
      </c>
      <c r="M657" s="23" t="s">
        <v>421</v>
      </c>
      <c r="N657" s="13" t="s">
        <v>152</v>
      </c>
      <c r="O657" s="46">
        <v>2</v>
      </c>
      <c r="P657" s="30" t="str">
        <f>VLOOKUP(O657,[3]Key!$E$2:$F$9,2,FALSE)</f>
        <v>Work</v>
      </c>
      <c r="Q657" s="13" t="s">
        <v>195</v>
      </c>
      <c r="R657" s="23" t="s">
        <v>421</v>
      </c>
      <c r="S657" s="13" t="s">
        <v>152</v>
      </c>
      <c r="T657" s="23">
        <v>1</v>
      </c>
      <c r="U657" s="30" t="str">
        <f>VLOOKUP(T657,[3]Key!$E$2:$F$9,2,FALSE)</f>
        <v>Home</v>
      </c>
      <c r="V657" s="30" t="str">
        <f t="shared" si="40"/>
        <v>Work-Home</v>
      </c>
      <c r="W657" s="51">
        <v>1000</v>
      </c>
      <c r="X657" s="50">
        <v>2</v>
      </c>
      <c r="Y657" s="50" t="str">
        <f t="shared" si="41"/>
        <v>0-10</v>
      </c>
      <c r="Z657" s="50">
        <v>0.33</v>
      </c>
      <c r="AA657" s="50" t="str">
        <f t="shared" si="42"/>
        <v>0-0.5</v>
      </c>
      <c r="AB657" s="23">
        <v>5</v>
      </c>
      <c r="AC657" s="30" t="str">
        <f>VLOOKUP(AB657,[3]Key!$C$20:$D$29,2,FALSE)</f>
        <v>Professional</v>
      </c>
      <c r="AD657" s="23">
        <v>2</v>
      </c>
      <c r="AE657" s="30" t="str">
        <f>VLOOKUP(AD657,[3]Key!$E$20:$F$24,2,FALSE)</f>
        <v>300,000-500,000</v>
      </c>
      <c r="AF657" s="23">
        <v>2</v>
      </c>
      <c r="AG657" s="50">
        <v>1</v>
      </c>
      <c r="AH657" s="50">
        <v>3</v>
      </c>
      <c r="AI657" s="50">
        <v>3</v>
      </c>
      <c r="AJ657" s="50">
        <v>4</v>
      </c>
      <c r="AK657" s="46" t="s">
        <v>94</v>
      </c>
      <c r="AL657" s="36">
        <v>0</v>
      </c>
      <c r="AM657" t="str">
        <f t="shared" si="43"/>
        <v>0-1000</v>
      </c>
    </row>
    <row r="658" spans="1:39" x14ac:dyDescent="0.2">
      <c r="A658" s="44" t="s">
        <v>419</v>
      </c>
      <c r="B658" s="48">
        <v>0.54305555555555551</v>
      </c>
      <c r="C658" s="48"/>
      <c r="D658" s="48" t="s">
        <v>150</v>
      </c>
      <c r="E658" s="13">
        <v>2</v>
      </c>
      <c r="F658" s="38" t="str">
        <f>VLOOKUP(E658,[3]Key!$A$17:$B$21,2,FALSE)</f>
        <v>Road Vehicle</v>
      </c>
      <c r="G658" s="49">
        <v>1</v>
      </c>
      <c r="H658" s="39" t="str">
        <f>VLOOKUP(G658,[3]Key!$A$2:$B$14,2,FALSE)</f>
        <v>Car</v>
      </c>
      <c r="I658" s="13" t="s">
        <v>156</v>
      </c>
      <c r="J658" s="13">
        <v>2</v>
      </c>
      <c r="K658" s="40" t="str">
        <f>VLOOKUP(J658,[3]Key!$A$24:$B$29,2,FALSE)</f>
        <v>30-39</v>
      </c>
      <c r="L658" s="13" t="s">
        <v>475</v>
      </c>
      <c r="M658" s="23" t="s">
        <v>421</v>
      </c>
      <c r="N658" s="13" t="s">
        <v>152</v>
      </c>
      <c r="O658" s="46">
        <v>1</v>
      </c>
      <c r="P658" s="30" t="str">
        <f>VLOOKUP(O658,[3]Key!$E$2:$F$9,2,FALSE)</f>
        <v>Home</v>
      </c>
      <c r="Q658" s="13" t="s">
        <v>195</v>
      </c>
      <c r="R658" s="23" t="s">
        <v>421</v>
      </c>
      <c r="S658" s="13" t="s">
        <v>152</v>
      </c>
      <c r="T658" s="23">
        <v>2</v>
      </c>
      <c r="U658" s="30" t="str">
        <f>VLOOKUP(T658,[3]Key!$E$2:$F$9,2,FALSE)</f>
        <v>Work</v>
      </c>
      <c r="V658" s="30" t="str">
        <f t="shared" si="40"/>
        <v>Home-Work</v>
      </c>
      <c r="W658" s="51">
        <v>1000</v>
      </c>
      <c r="X658" s="50">
        <v>1</v>
      </c>
      <c r="Y658" s="50" t="str">
        <f t="shared" si="41"/>
        <v>0-10</v>
      </c>
      <c r="Z658" s="50">
        <v>0.16</v>
      </c>
      <c r="AA658" s="50" t="str">
        <f t="shared" si="42"/>
        <v>0-0.5</v>
      </c>
      <c r="AB658" s="23">
        <v>2</v>
      </c>
      <c r="AC658" s="30" t="str">
        <f>VLOOKUP(AB658,[3]Key!$C$20:$D$29,2,FALSE)</f>
        <v>Manual Labour</v>
      </c>
      <c r="AD658" s="23">
        <v>1</v>
      </c>
      <c r="AE658" s="30" t="str">
        <f>VLOOKUP(AD658,[3]Key!$E$20:$F$24,2,FALSE)</f>
        <v>&lt;300,000</v>
      </c>
      <c r="AF658" s="23">
        <v>2</v>
      </c>
      <c r="AG658" s="50">
        <v>1</v>
      </c>
      <c r="AH658" s="50">
        <v>3</v>
      </c>
      <c r="AI658" s="50">
        <v>4</v>
      </c>
      <c r="AJ658" s="50">
        <v>3</v>
      </c>
      <c r="AK658" s="46" t="s">
        <v>94</v>
      </c>
      <c r="AL658" s="36">
        <v>1000</v>
      </c>
      <c r="AM658" t="str">
        <f t="shared" si="43"/>
        <v>1000-2000</v>
      </c>
    </row>
    <row r="659" spans="1:39" x14ac:dyDescent="0.2">
      <c r="A659" s="44" t="s">
        <v>433</v>
      </c>
      <c r="B659" s="48"/>
      <c r="C659" s="48"/>
      <c r="D659" s="48" t="s">
        <v>97</v>
      </c>
      <c r="E659" s="13">
        <v>2</v>
      </c>
      <c r="F659" s="38" t="str">
        <f>VLOOKUP(E659,[3]Key!$A$17:$B$21,2,FALSE)</f>
        <v>Road Vehicle</v>
      </c>
      <c r="G659" s="49">
        <v>1</v>
      </c>
      <c r="H659" s="39" t="str">
        <f>VLOOKUP(G659,[3]Key!$A$2:$B$14,2,FALSE)</f>
        <v>Car</v>
      </c>
      <c r="I659" s="13" t="s">
        <v>109</v>
      </c>
      <c r="J659" s="13">
        <v>2</v>
      </c>
      <c r="K659" s="40" t="str">
        <f>VLOOKUP(J659,[3]Key!$A$24:$B$29,2,FALSE)</f>
        <v>30-39</v>
      </c>
      <c r="L659" s="13" t="s">
        <v>424</v>
      </c>
      <c r="M659" s="23" t="s">
        <v>421</v>
      </c>
      <c r="N659" s="13" t="s">
        <v>152</v>
      </c>
      <c r="O659" s="46">
        <v>1</v>
      </c>
      <c r="P659" s="30" t="str">
        <f>VLOOKUP(O659,[3]Key!$E$2:$F$9,2,FALSE)</f>
        <v>Home</v>
      </c>
      <c r="Q659" s="13" t="s">
        <v>427</v>
      </c>
      <c r="R659" s="23" t="s">
        <v>428</v>
      </c>
      <c r="S659" s="13" t="s">
        <v>152</v>
      </c>
      <c r="T659" s="23">
        <v>2</v>
      </c>
      <c r="U659" s="30" t="str">
        <f>VLOOKUP(T659,[3]Key!$E$2:$F$9,2,FALSE)</f>
        <v>Work</v>
      </c>
      <c r="V659" s="30" t="str">
        <f t="shared" si="40"/>
        <v>Home-Work</v>
      </c>
      <c r="W659" s="51">
        <v>400000</v>
      </c>
      <c r="X659" s="50">
        <v>65</v>
      </c>
      <c r="Y659" s="50" t="str">
        <f t="shared" si="41"/>
        <v>40-70</v>
      </c>
      <c r="Z659" s="50">
        <v>2</v>
      </c>
      <c r="AA659" s="50" t="str">
        <f t="shared" si="42"/>
        <v>2.0-3.5</v>
      </c>
      <c r="AB659" s="23">
        <v>2</v>
      </c>
      <c r="AC659" s="30" t="str">
        <f>VLOOKUP(AB659,[3]Key!$C$20:$D$29,2,FALSE)</f>
        <v>Manual Labour</v>
      </c>
      <c r="AD659" s="23">
        <v>2</v>
      </c>
      <c r="AE659" s="30" t="str">
        <f>VLOOKUP(AD659,[3]Key!$E$20:$F$24,2,FALSE)</f>
        <v>300,000-500,000</v>
      </c>
      <c r="AF659" s="23">
        <v>5</v>
      </c>
      <c r="AG659" s="50">
        <v>1</v>
      </c>
      <c r="AH659" s="50">
        <v>1</v>
      </c>
      <c r="AI659" s="50">
        <v>1</v>
      </c>
      <c r="AJ659" s="50">
        <v>1</v>
      </c>
      <c r="AK659" s="46" t="s">
        <v>94</v>
      </c>
      <c r="AL659" s="36">
        <v>5000</v>
      </c>
      <c r="AM659" t="str">
        <f t="shared" si="43"/>
        <v>5000-10000</v>
      </c>
    </row>
    <row r="660" spans="1:39" x14ac:dyDescent="0.2">
      <c r="A660" s="44" t="s">
        <v>419</v>
      </c>
      <c r="B660" s="48"/>
      <c r="C660" s="48"/>
      <c r="D660" s="48" t="s">
        <v>97</v>
      </c>
      <c r="E660" s="13">
        <v>2</v>
      </c>
      <c r="F660" s="38" t="str">
        <f>VLOOKUP(E660,[3]Key!$A$17:$B$21,2,FALSE)</f>
        <v>Road Vehicle</v>
      </c>
      <c r="G660" s="49">
        <v>1</v>
      </c>
      <c r="H660" s="39" t="str">
        <f>VLOOKUP(G660,[3]Key!$A$2:$B$14,2,FALSE)</f>
        <v>Car</v>
      </c>
      <c r="I660" s="13" t="s">
        <v>109</v>
      </c>
      <c r="J660" s="13">
        <v>2</v>
      </c>
      <c r="K660" s="40" t="str">
        <f>VLOOKUP(J660,[3]Key!$A$24:$B$29,2,FALSE)</f>
        <v>30-39</v>
      </c>
      <c r="L660" s="13" t="s">
        <v>424</v>
      </c>
      <c r="M660" s="23" t="s">
        <v>421</v>
      </c>
      <c r="N660" s="13" t="s">
        <v>152</v>
      </c>
      <c r="O660" s="46">
        <v>1</v>
      </c>
      <c r="P660" s="30" t="str">
        <f>VLOOKUP(O660,[3]Key!$E$2:$F$9,2,FALSE)</f>
        <v>Home</v>
      </c>
      <c r="Q660" s="13" t="s">
        <v>476</v>
      </c>
      <c r="R660" s="23" t="s">
        <v>430</v>
      </c>
      <c r="S660" s="13" t="s">
        <v>152</v>
      </c>
      <c r="T660" s="23">
        <v>2</v>
      </c>
      <c r="U660" s="30" t="str">
        <f>VLOOKUP(T660,[3]Key!$E$2:$F$9,2,FALSE)</f>
        <v>Work</v>
      </c>
      <c r="V660" s="30" t="str">
        <f t="shared" si="40"/>
        <v>Home-Work</v>
      </c>
      <c r="W660" s="51">
        <v>60000</v>
      </c>
      <c r="X660" s="50">
        <v>80</v>
      </c>
      <c r="Y660" s="50" t="str">
        <f t="shared" si="41"/>
        <v>70-100</v>
      </c>
      <c r="Z660" s="50">
        <v>1.5</v>
      </c>
      <c r="AA660" s="50" t="str">
        <f t="shared" si="42"/>
        <v>1.0-2.0</v>
      </c>
      <c r="AB660" s="23">
        <v>5</v>
      </c>
      <c r="AC660" s="30" t="str">
        <f>VLOOKUP(AB660,[3]Key!$C$20:$D$29,2,FALSE)</f>
        <v>Professional</v>
      </c>
      <c r="AD660" s="23">
        <v>5</v>
      </c>
      <c r="AE660" s="30" t="str">
        <f>VLOOKUP(AD660,[3]Key!$E$20:$F$24,2,FALSE)</f>
        <v>&gt;1,000,000</v>
      </c>
      <c r="AF660" s="23">
        <v>5</v>
      </c>
      <c r="AG660" s="50">
        <v>2</v>
      </c>
      <c r="AH660" s="50">
        <v>1</v>
      </c>
      <c r="AI660" s="50">
        <v>1</v>
      </c>
      <c r="AJ660" s="50">
        <v>1</v>
      </c>
      <c r="AK660" s="46" t="s">
        <v>94</v>
      </c>
      <c r="AL660" s="36">
        <v>2000</v>
      </c>
      <c r="AM660" t="str">
        <f t="shared" si="43"/>
        <v>2000-3000</v>
      </c>
    </row>
    <row r="661" spans="1:39" x14ac:dyDescent="0.2">
      <c r="A661" s="44" t="s">
        <v>419</v>
      </c>
      <c r="B661" s="48">
        <v>0.47222222222222227</v>
      </c>
      <c r="C661" s="48"/>
      <c r="D661" s="48" t="s">
        <v>97</v>
      </c>
      <c r="E661" s="13">
        <v>2</v>
      </c>
      <c r="F661" s="38" t="str">
        <f>VLOOKUP(E661,[3]Key!$A$17:$B$21,2,FALSE)</f>
        <v>Road Vehicle</v>
      </c>
      <c r="G661" s="49">
        <v>1</v>
      </c>
      <c r="H661" s="39" t="str">
        <f>VLOOKUP(G661,[3]Key!$A$2:$B$14,2,FALSE)</f>
        <v>Car</v>
      </c>
      <c r="I661" s="13" t="s">
        <v>109</v>
      </c>
      <c r="J661" s="13">
        <v>2</v>
      </c>
      <c r="K661" s="40" t="str">
        <f>VLOOKUP(J661,[3]Key!$A$24:$B$29,2,FALSE)</f>
        <v>30-39</v>
      </c>
      <c r="L661" s="13" t="s">
        <v>460</v>
      </c>
      <c r="M661" s="23" t="s">
        <v>421</v>
      </c>
      <c r="N661" s="13" t="s">
        <v>152</v>
      </c>
      <c r="O661" s="46">
        <v>2</v>
      </c>
      <c r="P661" s="30" t="str">
        <f>VLOOKUP(O661,[3]Key!$E$2:$F$9,2,FALSE)</f>
        <v>Work</v>
      </c>
      <c r="Q661" s="13" t="s">
        <v>477</v>
      </c>
      <c r="R661" s="23" t="s">
        <v>421</v>
      </c>
      <c r="S661" s="13" t="s">
        <v>152</v>
      </c>
      <c r="T661" s="23">
        <v>1</v>
      </c>
      <c r="U661" s="30" t="str">
        <f>VLOOKUP(T661,[3]Key!$E$2:$F$9,2,FALSE)</f>
        <v>Home</v>
      </c>
      <c r="V661" s="30" t="str">
        <f t="shared" si="40"/>
        <v>Work-Home</v>
      </c>
      <c r="W661" s="51">
        <v>2000</v>
      </c>
      <c r="X661" s="50">
        <v>6</v>
      </c>
      <c r="Y661" s="50" t="str">
        <f t="shared" si="41"/>
        <v>0-10</v>
      </c>
      <c r="Z661" s="50">
        <v>0.25</v>
      </c>
      <c r="AA661" s="50" t="str">
        <f t="shared" si="42"/>
        <v>0-0.5</v>
      </c>
      <c r="AB661" s="23">
        <v>10</v>
      </c>
      <c r="AC661" s="30" t="str">
        <f>VLOOKUP(AB661,[3]Key!$C$20:$D$29,2,FALSE)</f>
        <v>Other</v>
      </c>
      <c r="AD661" s="23">
        <v>4</v>
      </c>
      <c r="AE661" s="30" t="str">
        <f>VLOOKUP(AD661,[3]Key!$E$20:$F$24,2,FALSE)</f>
        <v>750,000-1,000,000</v>
      </c>
      <c r="AF661" s="23">
        <v>2</v>
      </c>
      <c r="AG661" s="50">
        <v>1</v>
      </c>
      <c r="AH661" s="50">
        <v>3</v>
      </c>
      <c r="AI661" s="50">
        <v>3</v>
      </c>
      <c r="AJ661" s="50">
        <v>4</v>
      </c>
      <c r="AK661" s="46" t="s">
        <v>94</v>
      </c>
      <c r="AL661" s="36">
        <v>500</v>
      </c>
      <c r="AM661" t="str">
        <f t="shared" si="43"/>
        <v>0-1000</v>
      </c>
    </row>
    <row r="662" spans="1:39" x14ac:dyDescent="0.2">
      <c r="A662" s="44" t="s">
        <v>423</v>
      </c>
      <c r="B662" s="48">
        <v>0.41666666666666669</v>
      </c>
      <c r="C662" s="48"/>
      <c r="D662" s="48" t="s">
        <v>97</v>
      </c>
      <c r="E662" s="13">
        <v>2</v>
      </c>
      <c r="F662" s="38" t="s">
        <v>102</v>
      </c>
      <c r="G662" s="49">
        <v>1</v>
      </c>
      <c r="H662" s="39" t="str">
        <f>VLOOKUP(G662,[3]Key!$A$2:$B$14,2,FALSE)</f>
        <v>Car</v>
      </c>
      <c r="I662" s="13" t="s">
        <v>109</v>
      </c>
      <c r="J662" s="13">
        <v>2</v>
      </c>
      <c r="K662" s="40" t="str">
        <f>VLOOKUP(J662,[3]Key!$A$24:$B$29,2,FALSE)</f>
        <v>30-39</v>
      </c>
      <c r="L662" s="13" t="s">
        <v>424</v>
      </c>
      <c r="M662" s="23" t="s">
        <v>421</v>
      </c>
      <c r="N662" s="13" t="s">
        <v>152</v>
      </c>
      <c r="O662" s="46">
        <v>2</v>
      </c>
      <c r="P662" s="30" t="str">
        <f>VLOOKUP(O662,[3]Key!$E$2:$F$9,2,FALSE)</f>
        <v>Work</v>
      </c>
      <c r="Q662" s="13" t="s">
        <v>429</v>
      </c>
      <c r="R662" s="23" t="s">
        <v>430</v>
      </c>
      <c r="S662" s="13" t="s">
        <v>152</v>
      </c>
      <c r="T662" s="23">
        <v>1</v>
      </c>
      <c r="U662" s="30" t="str">
        <f>VLOOKUP(T662,[3]Key!$E$2:$F$9,2,FALSE)</f>
        <v>Home</v>
      </c>
      <c r="V662" s="30" t="str">
        <f t="shared" si="40"/>
        <v>Work-Home</v>
      </c>
      <c r="W662" s="51">
        <v>40000</v>
      </c>
      <c r="X662" s="50"/>
      <c r="Y662" s="50" t="str">
        <f t="shared" si="41"/>
        <v>0-10</v>
      </c>
      <c r="Z662" s="50">
        <v>1</v>
      </c>
      <c r="AA662" s="50" t="str">
        <f t="shared" si="42"/>
        <v>1.0-2.0</v>
      </c>
      <c r="AB662" s="23">
        <v>10</v>
      </c>
      <c r="AC662" s="30" t="str">
        <f>VLOOKUP(AB662,[3]Key!$C$20:$D$29,2,FALSE)</f>
        <v>Other</v>
      </c>
      <c r="AD662" s="23">
        <v>1</v>
      </c>
      <c r="AE662" s="30" t="str">
        <f>VLOOKUP(AD662,[3]Key!$E$20:$F$24,2,FALSE)</f>
        <v>&lt;300,000</v>
      </c>
      <c r="AF662" s="23">
        <v>3</v>
      </c>
      <c r="AG662" s="50">
        <v>4</v>
      </c>
      <c r="AH662" s="50">
        <v>2</v>
      </c>
      <c r="AI662" s="50">
        <v>3</v>
      </c>
      <c r="AJ662" s="50">
        <v>4</v>
      </c>
      <c r="AK662" s="46" t="s">
        <v>94</v>
      </c>
      <c r="AL662" s="36">
        <v>1000</v>
      </c>
      <c r="AM662" t="str">
        <f t="shared" si="43"/>
        <v>1000-2000</v>
      </c>
    </row>
    <row r="663" spans="1:39" x14ac:dyDescent="0.2">
      <c r="A663" s="44" t="s">
        <v>423</v>
      </c>
      <c r="B663" s="48">
        <v>0.42569444444444443</v>
      </c>
      <c r="C663" s="48"/>
      <c r="D663" s="48" t="s">
        <v>97</v>
      </c>
      <c r="E663" s="13">
        <v>2</v>
      </c>
      <c r="F663" s="38" t="str">
        <f>VLOOKUP(E663,[3]Key!$A$17:$B$21,2,FALSE)</f>
        <v>Road Vehicle</v>
      </c>
      <c r="G663" s="49">
        <v>1</v>
      </c>
      <c r="H663" s="39" t="str">
        <f>VLOOKUP(G663,[3]Key!$A$2:$B$14,2,FALSE)</f>
        <v>Car</v>
      </c>
      <c r="I663" s="13" t="s">
        <v>109</v>
      </c>
      <c r="J663" s="13">
        <v>2</v>
      </c>
      <c r="K663" s="40" t="str">
        <f>VLOOKUP(J663,[3]Key!$A$24:$B$29,2,FALSE)</f>
        <v>30-39</v>
      </c>
      <c r="L663" s="13" t="s">
        <v>478</v>
      </c>
      <c r="M663" s="23" t="s">
        <v>421</v>
      </c>
      <c r="N663" s="13" t="s">
        <v>152</v>
      </c>
      <c r="O663" s="46">
        <v>1</v>
      </c>
      <c r="P663" s="30" t="str">
        <f>VLOOKUP(O663,[3]Key!$E$2:$F$9,2,FALSE)</f>
        <v>Home</v>
      </c>
      <c r="Q663" s="13" t="s">
        <v>424</v>
      </c>
      <c r="R663" s="23" t="s">
        <v>421</v>
      </c>
      <c r="S663" s="13" t="s">
        <v>152</v>
      </c>
      <c r="T663" s="23">
        <v>2</v>
      </c>
      <c r="U663" s="30" t="str">
        <f>VLOOKUP(T663,[3]Key!$E$2:$F$9,2,FALSE)</f>
        <v>Work</v>
      </c>
      <c r="V663" s="30" t="str">
        <f t="shared" si="40"/>
        <v>Home-Work</v>
      </c>
      <c r="W663" s="51">
        <v>10000</v>
      </c>
      <c r="X663" s="50"/>
      <c r="Y663" s="50" t="str">
        <f t="shared" si="41"/>
        <v>0-10</v>
      </c>
      <c r="Z663" s="50">
        <v>0.5</v>
      </c>
      <c r="AA663" s="50" t="str">
        <f t="shared" si="42"/>
        <v>0.5-1.0</v>
      </c>
      <c r="AB663" s="23">
        <v>6</v>
      </c>
      <c r="AC663" s="30" t="str">
        <f>VLOOKUP(AB663,[3]Key!$C$20:$D$29,2,FALSE)</f>
        <v>Businessman</v>
      </c>
      <c r="AD663" s="23">
        <v>2</v>
      </c>
      <c r="AE663" s="30" t="str">
        <f>VLOOKUP(AD663,[3]Key!$E$20:$F$24,2,FALSE)</f>
        <v>300,000-500,000</v>
      </c>
      <c r="AF663" s="23">
        <v>4</v>
      </c>
      <c r="AG663" s="50">
        <v>3</v>
      </c>
      <c r="AH663" s="50">
        <v>2</v>
      </c>
      <c r="AI663" s="50">
        <v>4</v>
      </c>
      <c r="AJ663" s="50">
        <v>5</v>
      </c>
      <c r="AK663" s="46" t="s">
        <v>94</v>
      </c>
      <c r="AL663" s="36">
        <v>3000</v>
      </c>
      <c r="AM663" t="str">
        <f t="shared" si="43"/>
        <v>3000-5000</v>
      </c>
    </row>
    <row r="664" spans="1:39" x14ac:dyDescent="0.2">
      <c r="A664" s="44" t="s">
        <v>423</v>
      </c>
      <c r="B664" s="48">
        <v>0.38541666666666669</v>
      </c>
      <c r="C664" s="48"/>
      <c r="D664" s="48" t="s">
        <v>97</v>
      </c>
      <c r="E664" s="13">
        <v>2</v>
      </c>
      <c r="F664" s="38" t="str">
        <f>VLOOKUP(E664,[3]Key!$A$17:$B$21,2,FALSE)</f>
        <v>Road Vehicle</v>
      </c>
      <c r="G664" s="49">
        <v>1</v>
      </c>
      <c r="H664" s="39" t="str">
        <f>VLOOKUP(G664,[3]Key!$A$2:$B$14,2,FALSE)</f>
        <v>Car</v>
      </c>
      <c r="I664" s="13" t="s">
        <v>109</v>
      </c>
      <c r="J664" s="13">
        <v>2</v>
      </c>
      <c r="K664" s="40" t="str">
        <f>VLOOKUP(J664,[3]Key!$A$24:$B$29,2,FALSE)</f>
        <v>30-39</v>
      </c>
      <c r="L664" s="13" t="s">
        <v>424</v>
      </c>
      <c r="M664" s="23" t="s">
        <v>421</v>
      </c>
      <c r="N664" s="13" t="s">
        <v>152</v>
      </c>
      <c r="O664" s="46">
        <v>4</v>
      </c>
      <c r="P664" s="30" t="str">
        <f>VLOOKUP(O664,[3]Key!$E$2:$F$9,2,FALSE)</f>
        <v>Commercial</v>
      </c>
      <c r="Q664" s="13" t="s">
        <v>472</v>
      </c>
      <c r="R664" s="23" t="s">
        <v>439</v>
      </c>
      <c r="S664" s="13" t="s">
        <v>152</v>
      </c>
      <c r="T664" s="23">
        <v>4</v>
      </c>
      <c r="U664" s="30" t="str">
        <f>VLOOKUP(T664,[3]Key!$E$2:$F$9,2,FALSE)</f>
        <v>Commercial</v>
      </c>
      <c r="V664" s="30" t="str">
        <f t="shared" si="40"/>
        <v>Commercial-Commercial</v>
      </c>
      <c r="W664" s="51">
        <v>50000</v>
      </c>
      <c r="X664" s="50">
        <v>64</v>
      </c>
      <c r="Y664" s="50" t="str">
        <f t="shared" si="41"/>
        <v>40-70</v>
      </c>
      <c r="Z664" s="50">
        <v>1.5</v>
      </c>
      <c r="AA664" s="50" t="str">
        <f t="shared" si="42"/>
        <v>1.0-2.0</v>
      </c>
      <c r="AB664" s="23">
        <v>10</v>
      </c>
      <c r="AC664" s="30" t="str">
        <f>VLOOKUP(AB664,[3]Key!$C$20:$D$29,2,FALSE)</f>
        <v>Other</v>
      </c>
      <c r="AD664" s="23">
        <v>1</v>
      </c>
      <c r="AE664" s="30" t="str">
        <f>VLOOKUP(AD664,[3]Key!$E$20:$F$24,2,FALSE)</f>
        <v>&lt;300,000</v>
      </c>
      <c r="AF664" s="23">
        <v>4</v>
      </c>
      <c r="AG664" s="50">
        <v>4</v>
      </c>
      <c r="AH664" s="50">
        <v>1</v>
      </c>
      <c r="AI664" s="50">
        <v>3</v>
      </c>
      <c r="AJ664" s="50">
        <v>5</v>
      </c>
      <c r="AK664" s="46" t="s">
        <v>94</v>
      </c>
      <c r="AL664" s="36">
        <v>0</v>
      </c>
      <c r="AM664" t="str">
        <f t="shared" si="43"/>
        <v>0-1000</v>
      </c>
    </row>
    <row r="665" spans="1:39" x14ac:dyDescent="0.2">
      <c r="A665" s="44" t="s">
        <v>423</v>
      </c>
      <c r="B665" s="48"/>
      <c r="C665" s="48"/>
      <c r="D665" s="48" t="s">
        <v>97</v>
      </c>
      <c r="E665" s="13">
        <v>2</v>
      </c>
      <c r="F665" s="38" t="str">
        <f>VLOOKUP(E665,[3]Key!$A$17:$B$21,2,FALSE)</f>
        <v>Road Vehicle</v>
      </c>
      <c r="G665" s="49">
        <v>1</v>
      </c>
      <c r="H665" s="39" t="str">
        <f>VLOOKUP(G665,[3]Key!$A$2:$B$14,2,FALSE)</f>
        <v>Car</v>
      </c>
      <c r="I665" s="13" t="s">
        <v>109</v>
      </c>
      <c r="J665" s="13">
        <v>2</v>
      </c>
      <c r="K665" s="40" t="str">
        <f>VLOOKUP(J665,[3]Key!$A$24:$B$29,2,FALSE)</f>
        <v>30-39</v>
      </c>
      <c r="L665" s="13" t="s">
        <v>424</v>
      </c>
      <c r="M665" s="23" t="s">
        <v>421</v>
      </c>
      <c r="N665" s="13" t="s">
        <v>152</v>
      </c>
      <c r="O665" s="46">
        <v>2</v>
      </c>
      <c r="P665" s="30" t="str">
        <f>VLOOKUP(O665,[3]Key!$E$2:$F$9,2,FALSE)</f>
        <v>Work</v>
      </c>
      <c r="Q665" s="13" t="s">
        <v>479</v>
      </c>
      <c r="R665" s="23" t="s">
        <v>421</v>
      </c>
      <c r="S665" s="13" t="s">
        <v>152</v>
      </c>
      <c r="T665" s="23">
        <v>1</v>
      </c>
      <c r="U665" s="30" t="str">
        <f>VLOOKUP(T665,[3]Key!$E$2:$F$9,2,FALSE)</f>
        <v>Home</v>
      </c>
      <c r="V665" s="30" t="str">
        <f t="shared" si="40"/>
        <v>Work-Home</v>
      </c>
      <c r="W665" s="51">
        <v>6000</v>
      </c>
      <c r="X665" s="50">
        <v>15</v>
      </c>
      <c r="Y665" s="50" t="str">
        <f t="shared" si="41"/>
        <v>10-20</v>
      </c>
      <c r="Z665" s="50">
        <v>0.33</v>
      </c>
      <c r="AA665" s="50" t="str">
        <f t="shared" si="42"/>
        <v>0-0.5</v>
      </c>
      <c r="AB665" s="23">
        <v>6</v>
      </c>
      <c r="AC665" s="30" t="str">
        <f>VLOOKUP(AB665,[3]Key!$C$20:$D$29,2,FALSE)</f>
        <v>Businessman</v>
      </c>
      <c r="AD665" s="23">
        <v>1</v>
      </c>
      <c r="AE665" s="30" t="str">
        <f>VLOOKUP(AD665,[3]Key!$E$20:$F$24,2,FALSE)</f>
        <v>&lt;300,000</v>
      </c>
      <c r="AF665" s="23">
        <v>5</v>
      </c>
      <c r="AG665" s="50">
        <v>2</v>
      </c>
      <c r="AH665" s="50">
        <v>2</v>
      </c>
      <c r="AI665" s="50">
        <v>2</v>
      </c>
      <c r="AJ665" s="50">
        <v>2</v>
      </c>
      <c r="AK665" s="46" t="s">
        <v>94</v>
      </c>
      <c r="AL665" s="36">
        <v>0</v>
      </c>
      <c r="AM665" t="str">
        <f t="shared" si="43"/>
        <v>0-1000</v>
      </c>
    </row>
    <row r="666" spans="1:39" x14ac:dyDescent="0.2">
      <c r="A666" s="44" t="s">
        <v>423</v>
      </c>
      <c r="B666" s="48"/>
      <c r="C666" s="48"/>
      <c r="D666" s="48" t="s">
        <v>150</v>
      </c>
      <c r="E666" s="13">
        <v>2</v>
      </c>
      <c r="F666" s="38" t="str">
        <f>VLOOKUP(E666,[3]Key!$A$17:$B$21,2,FALSE)</f>
        <v>Road Vehicle</v>
      </c>
      <c r="G666" s="49">
        <v>1</v>
      </c>
      <c r="H666" s="39" t="str">
        <f>VLOOKUP(G666,[3]Key!$A$2:$B$14,2,FALSE)</f>
        <v>Car</v>
      </c>
      <c r="I666" s="13" t="s">
        <v>109</v>
      </c>
      <c r="J666" s="13">
        <v>2</v>
      </c>
      <c r="K666" s="40" t="str">
        <f>VLOOKUP(J666,[3]Key!$A$24:$B$29,2,FALSE)</f>
        <v>30-39</v>
      </c>
      <c r="L666" s="13" t="s">
        <v>424</v>
      </c>
      <c r="M666" s="23" t="s">
        <v>421</v>
      </c>
      <c r="N666" s="13" t="s">
        <v>152</v>
      </c>
      <c r="O666" s="46">
        <v>1</v>
      </c>
      <c r="P666" s="30" t="str">
        <f>VLOOKUP(O666,[3]Key!$E$2:$F$9,2,FALSE)</f>
        <v>Home</v>
      </c>
      <c r="Q666" s="13" t="s">
        <v>480</v>
      </c>
      <c r="R666" s="23" t="s">
        <v>153</v>
      </c>
      <c r="S666" s="13" t="s">
        <v>152</v>
      </c>
      <c r="T666" s="23">
        <v>6</v>
      </c>
      <c r="U666" s="30" t="str">
        <f>VLOOKUP(T666,[3]Key!$E$2:$F$9,2,FALSE)</f>
        <v>Leisure/Social</v>
      </c>
      <c r="V666" s="30" t="str">
        <f t="shared" si="40"/>
        <v>Home-Leisure/Social</v>
      </c>
      <c r="W666" s="51">
        <v>30000</v>
      </c>
      <c r="X666" s="50">
        <v>260</v>
      </c>
      <c r="Y666" s="50" t="str">
        <f t="shared" si="41"/>
        <v>Over 200</v>
      </c>
      <c r="Z666" s="50">
        <v>3</v>
      </c>
      <c r="AA666" s="50" t="str">
        <f t="shared" si="42"/>
        <v>2.0-3.5</v>
      </c>
      <c r="AB666" s="23">
        <v>5</v>
      </c>
      <c r="AC666" s="30" t="str">
        <f>VLOOKUP(AB666,[3]Key!$C$20:$D$29,2,FALSE)</f>
        <v>Professional</v>
      </c>
      <c r="AD666" s="23">
        <v>2</v>
      </c>
      <c r="AE666" s="30" t="str">
        <f>VLOOKUP(AD666,[3]Key!$E$20:$F$24,2,FALSE)</f>
        <v>300,000-500,000</v>
      </c>
      <c r="AF666" s="23">
        <v>2</v>
      </c>
      <c r="AG666" s="50">
        <v>2</v>
      </c>
      <c r="AH666" s="50">
        <v>2</v>
      </c>
      <c r="AI666" s="50">
        <v>2</v>
      </c>
      <c r="AJ666" s="50">
        <v>2</v>
      </c>
      <c r="AK666" s="46" t="s">
        <v>94</v>
      </c>
      <c r="AL666" s="36">
        <v>0</v>
      </c>
      <c r="AM666" t="str">
        <f t="shared" si="43"/>
        <v>0-1000</v>
      </c>
    </row>
    <row r="667" spans="1:39" x14ac:dyDescent="0.2">
      <c r="A667" s="44" t="s">
        <v>419</v>
      </c>
      <c r="B667" s="48">
        <v>1.7361111111111112E-2</v>
      </c>
      <c r="C667" s="48"/>
      <c r="D667" s="48" t="s">
        <v>97</v>
      </c>
      <c r="E667" s="13">
        <v>2</v>
      </c>
      <c r="F667" s="38" t="str">
        <f>VLOOKUP(E667,[3]Key!$A$17:$B$21,2,FALSE)</f>
        <v>Road Vehicle</v>
      </c>
      <c r="G667" s="49">
        <v>9</v>
      </c>
      <c r="H667" s="39" t="str">
        <f>VLOOKUP(G667,[3]Key!$A$2:$B$14,2,FALSE)</f>
        <v xml:space="preserve">Heavy truck </v>
      </c>
      <c r="I667" s="13" t="s">
        <v>109</v>
      </c>
      <c r="J667" s="13">
        <v>2</v>
      </c>
      <c r="K667" s="40" t="str">
        <f>VLOOKUP(J667,[3]Key!$A$24:$B$29,2,FALSE)</f>
        <v>30-39</v>
      </c>
      <c r="L667" s="13" t="s">
        <v>481</v>
      </c>
      <c r="M667" s="23" t="s">
        <v>175</v>
      </c>
      <c r="N667" s="13" t="s">
        <v>152</v>
      </c>
      <c r="O667" s="46">
        <v>2</v>
      </c>
      <c r="P667" s="30" t="str">
        <f>VLOOKUP(O667,[3]Key!$E$2:$F$9,2,FALSE)</f>
        <v>Work</v>
      </c>
      <c r="Q667" s="13" t="s">
        <v>482</v>
      </c>
      <c r="R667" s="23" t="s">
        <v>153</v>
      </c>
      <c r="S667" s="13" t="s">
        <v>152</v>
      </c>
      <c r="T667" s="23">
        <v>1</v>
      </c>
      <c r="U667" s="30" t="str">
        <f>VLOOKUP(T667,[3]Key!$E$2:$F$9,2,FALSE)</f>
        <v>Home</v>
      </c>
      <c r="V667" s="30" t="str">
        <f t="shared" si="40"/>
        <v>Work-Home</v>
      </c>
      <c r="W667" s="51">
        <v>600000</v>
      </c>
      <c r="X667" s="50">
        <v>138</v>
      </c>
      <c r="Y667" s="50" t="str">
        <f t="shared" si="41"/>
        <v>100-200</v>
      </c>
      <c r="Z667" s="50">
        <v>3</v>
      </c>
      <c r="AA667" s="50" t="str">
        <f t="shared" si="42"/>
        <v>2.0-3.5</v>
      </c>
      <c r="AB667" s="23">
        <v>10</v>
      </c>
      <c r="AC667" s="30" t="str">
        <f>VLOOKUP(AB667,[3]Key!$C$20:$D$29,2,FALSE)</f>
        <v>Other</v>
      </c>
      <c r="AD667" s="23">
        <v>1</v>
      </c>
      <c r="AE667" s="30" t="str">
        <f>VLOOKUP(AD667,[3]Key!$E$20:$F$24,2,FALSE)</f>
        <v>&lt;300,000</v>
      </c>
      <c r="AF667" s="23">
        <v>2</v>
      </c>
      <c r="AG667" s="50">
        <v>1</v>
      </c>
      <c r="AH667" s="50">
        <v>3</v>
      </c>
      <c r="AI667" s="50">
        <v>4</v>
      </c>
      <c r="AJ667" s="50">
        <v>5</v>
      </c>
      <c r="AK667" s="46" t="s">
        <v>94</v>
      </c>
      <c r="AL667" s="36">
        <v>5000</v>
      </c>
      <c r="AM667" t="str">
        <f t="shared" si="43"/>
        <v>5000-10000</v>
      </c>
    </row>
    <row r="668" spans="1:39" x14ac:dyDescent="0.2">
      <c r="A668" s="44" t="s">
        <v>433</v>
      </c>
      <c r="B668" s="48">
        <v>0.67708333333333337</v>
      </c>
      <c r="C668" s="48"/>
      <c r="D668" s="48" t="s">
        <v>150</v>
      </c>
      <c r="E668" s="13">
        <v>2</v>
      </c>
      <c r="F668" s="38" t="str">
        <f>VLOOKUP(E668,[3]Key!$A$17:$B$21,2,FALSE)</f>
        <v>Road Vehicle</v>
      </c>
      <c r="G668" s="49">
        <v>6</v>
      </c>
      <c r="H668" s="39" t="str">
        <f>VLOOKUP(G668,[3]Key!$A$2:$B$14,2,FALSE)</f>
        <v>Large Bus</v>
      </c>
      <c r="I668" s="13" t="s">
        <v>156</v>
      </c>
      <c r="J668" s="13">
        <v>2</v>
      </c>
      <c r="K668" s="40" t="str">
        <f>VLOOKUP(J668,[3]Key!$A$24:$B$29,2,FALSE)</f>
        <v>30-39</v>
      </c>
      <c r="L668" s="13" t="s">
        <v>437</v>
      </c>
      <c r="M668" s="23" t="s">
        <v>175</v>
      </c>
      <c r="N668" s="13" t="s">
        <v>152</v>
      </c>
      <c r="O668" s="46">
        <v>4</v>
      </c>
      <c r="P668" s="30" t="str">
        <f>VLOOKUP(O668,[3]Key!$E$2:$F$9,2,FALSE)</f>
        <v>Commercial</v>
      </c>
      <c r="Q668" s="13" t="s">
        <v>424</v>
      </c>
      <c r="R668" s="23" t="s">
        <v>421</v>
      </c>
      <c r="S668" s="13" t="s">
        <v>152</v>
      </c>
      <c r="T668" s="23">
        <v>4</v>
      </c>
      <c r="U668" s="30" t="str">
        <f>VLOOKUP(T668,[3]Key!$E$2:$F$9,2,FALSE)</f>
        <v>Commercial</v>
      </c>
      <c r="V668" s="30" t="str">
        <f t="shared" si="40"/>
        <v>Commercial-Commercial</v>
      </c>
      <c r="W668" s="51">
        <v>15000</v>
      </c>
      <c r="X668" s="50"/>
      <c r="Y668" s="50" t="str">
        <f t="shared" si="41"/>
        <v>0-10</v>
      </c>
      <c r="Z668" s="50">
        <v>2</v>
      </c>
      <c r="AA668" s="50" t="str">
        <f t="shared" si="42"/>
        <v>2.0-3.5</v>
      </c>
      <c r="AB668" s="23">
        <v>6</v>
      </c>
      <c r="AC668" s="30" t="str">
        <f>VLOOKUP(AB668,[3]Key!$C$20:$D$29,2,FALSE)</f>
        <v>Businessman</v>
      </c>
      <c r="AD668" s="23">
        <v>5</v>
      </c>
      <c r="AE668" s="30" t="str">
        <f>VLOOKUP(AD668,[3]Key!$E$20:$F$24,2,FALSE)</f>
        <v>&gt;1,000,000</v>
      </c>
      <c r="AF668" s="23">
        <v>2</v>
      </c>
      <c r="AG668" s="50">
        <v>4</v>
      </c>
      <c r="AH668" s="50">
        <v>2</v>
      </c>
      <c r="AI668" s="50">
        <v>3</v>
      </c>
      <c r="AJ668" s="50">
        <v>2</v>
      </c>
      <c r="AK668" s="46" t="s">
        <v>94</v>
      </c>
      <c r="AL668" s="36">
        <v>500</v>
      </c>
      <c r="AM668" t="str">
        <f t="shared" si="43"/>
        <v>0-1000</v>
      </c>
    </row>
    <row r="669" spans="1:39" x14ac:dyDescent="0.2">
      <c r="A669" s="44" t="s">
        <v>433</v>
      </c>
      <c r="B669" s="48">
        <v>0.63194444444444442</v>
      </c>
      <c r="C669" s="48"/>
      <c r="D669" s="48" t="s">
        <v>150</v>
      </c>
      <c r="E669" s="13">
        <v>2</v>
      </c>
      <c r="F669" s="38" t="str">
        <f>VLOOKUP(E669,[3]Key!$A$17:$B$21,2,FALSE)</f>
        <v>Road Vehicle</v>
      </c>
      <c r="G669" s="49">
        <v>6</v>
      </c>
      <c r="H669" s="39" t="str">
        <f>VLOOKUP(G669,[3]Key!$A$2:$B$14,2,FALSE)</f>
        <v>Large Bus</v>
      </c>
      <c r="I669" s="13" t="s">
        <v>156</v>
      </c>
      <c r="J669" s="13">
        <v>2</v>
      </c>
      <c r="K669" s="40" t="str">
        <f>VLOOKUP(J669,[3]Key!$A$24:$B$29,2,FALSE)</f>
        <v>30-39</v>
      </c>
      <c r="L669" s="13" t="s">
        <v>424</v>
      </c>
      <c r="M669" s="23" t="s">
        <v>421</v>
      </c>
      <c r="N669" s="13" t="s">
        <v>152</v>
      </c>
      <c r="O669" s="46">
        <v>1</v>
      </c>
      <c r="P669" s="30" t="str">
        <f>VLOOKUP(O669,[3]Key!$E$2:$F$9,2,FALSE)</f>
        <v>Home</v>
      </c>
      <c r="Q669" s="13" t="s">
        <v>434</v>
      </c>
      <c r="R669" s="23" t="s">
        <v>153</v>
      </c>
      <c r="S669" s="13" t="s">
        <v>152</v>
      </c>
      <c r="T669" s="23">
        <v>4</v>
      </c>
      <c r="U669" s="30" t="str">
        <f>VLOOKUP(T669,[3]Key!$E$2:$F$9,2,FALSE)</f>
        <v>Commercial</v>
      </c>
      <c r="V669" s="30" t="str">
        <f t="shared" si="40"/>
        <v>Home-Commercial</v>
      </c>
      <c r="W669" s="51">
        <v>20000</v>
      </c>
      <c r="X669" s="50"/>
      <c r="Y669" s="50" t="str">
        <f t="shared" si="41"/>
        <v>0-10</v>
      </c>
      <c r="Z669" s="50">
        <v>4.5</v>
      </c>
      <c r="AA669" s="50" t="str">
        <f t="shared" si="42"/>
        <v>Over 3.5</v>
      </c>
      <c r="AB669" s="23">
        <v>6</v>
      </c>
      <c r="AC669" s="30" t="str">
        <f>VLOOKUP(AB669,[3]Key!$C$20:$D$29,2,FALSE)</f>
        <v>Businessman</v>
      </c>
      <c r="AD669" s="23">
        <v>5</v>
      </c>
      <c r="AE669" s="30" t="str">
        <f>VLOOKUP(AD669,[3]Key!$E$20:$F$24,2,FALSE)</f>
        <v>&gt;1,000,000</v>
      </c>
      <c r="AF669" s="23">
        <v>3</v>
      </c>
      <c r="AG669" s="50">
        <v>3</v>
      </c>
      <c r="AH669" s="50">
        <v>3</v>
      </c>
      <c r="AI669" s="50">
        <v>1</v>
      </c>
      <c r="AJ669" s="50">
        <v>2</v>
      </c>
      <c r="AK669" s="46" t="s">
        <v>94</v>
      </c>
      <c r="AL669" s="36">
        <v>2000</v>
      </c>
      <c r="AM669" t="str">
        <f t="shared" si="43"/>
        <v>2000-3000</v>
      </c>
    </row>
    <row r="670" spans="1:39" x14ac:dyDescent="0.2">
      <c r="A670" s="44" t="s">
        <v>433</v>
      </c>
      <c r="B670" s="48">
        <v>0.65277777777777779</v>
      </c>
      <c r="C670" s="48"/>
      <c r="D670" s="48" t="s">
        <v>150</v>
      </c>
      <c r="E670" s="13">
        <v>2</v>
      </c>
      <c r="F670" s="38" t="str">
        <f>VLOOKUP(E670,[3]Key!$A$17:$B$21,2,FALSE)</f>
        <v>Road Vehicle</v>
      </c>
      <c r="G670" s="49">
        <v>6</v>
      </c>
      <c r="H670" s="39" t="str">
        <f>VLOOKUP(G670,[3]Key!$A$2:$B$14,2,FALSE)</f>
        <v>Large Bus</v>
      </c>
      <c r="I670" s="13" t="s">
        <v>156</v>
      </c>
      <c r="J670" s="13">
        <v>2</v>
      </c>
      <c r="K670" s="40" t="str">
        <f>VLOOKUP(J670,[3]Key!$A$24:$B$29,2,FALSE)</f>
        <v>30-39</v>
      </c>
      <c r="L670" s="13" t="s">
        <v>424</v>
      </c>
      <c r="M670" s="23" t="s">
        <v>421</v>
      </c>
      <c r="N670" s="13" t="s">
        <v>152</v>
      </c>
      <c r="O670" s="46">
        <v>1</v>
      </c>
      <c r="P670" s="30" t="str">
        <f>VLOOKUP(O670,[3]Key!$E$2:$F$9,2,FALSE)</f>
        <v>Home</v>
      </c>
      <c r="Q670" s="13" t="s">
        <v>434</v>
      </c>
      <c r="R670" s="23" t="s">
        <v>153</v>
      </c>
      <c r="S670" s="13" t="s">
        <v>152</v>
      </c>
      <c r="T670" s="23">
        <v>8</v>
      </c>
      <c r="U670" s="30" t="str">
        <f>VLOOKUP(T670,[3]Key!$E$2:$F$9,2,FALSE)</f>
        <v>Others</v>
      </c>
      <c r="V670" s="30" t="str">
        <f t="shared" si="40"/>
        <v>Home-Others</v>
      </c>
      <c r="W670" s="51">
        <v>20000</v>
      </c>
      <c r="X670" s="50"/>
      <c r="Y670" s="50" t="str">
        <f t="shared" si="41"/>
        <v>0-10</v>
      </c>
      <c r="Z670" s="50">
        <v>5.5</v>
      </c>
      <c r="AA670" s="50" t="str">
        <f t="shared" si="42"/>
        <v>Over 3.5</v>
      </c>
      <c r="AB670" s="23">
        <v>5</v>
      </c>
      <c r="AC670" s="30" t="str">
        <f>VLOOKUP(AB670,[3]Key!$C$20:$D$29,2,FALSE)</f>
        <v>Professional</v>
      </c>
      <c r="AD670" s="23">
        <v>3</v>
      </c>
      <c r="AE670" s="30" t="str">
        <f>VLOOKUP(AD670,[3]Key!$E$20:$F$24,2,FALSE)</f>
        <v>500,000-750,000</v>
      </c>
      <c r="AF670" s="23">
        <v>2</v>
      </c>
      <c r="AG670" s="50">
        <v>2</v>
      </c>
      <c r="AH670" s="50">
        <v>4</v>
      </c>
      <c r="AI670" s="50">
        <v>2</v>
      </c>
      <c r="AJ670" s="50">
        <v>3</v>
      </c>
      <c r="AK670" s="46" t="s">
        <v>94</v>
      </c>
      <c r="AL670" s="36">
        <v>3000</v>
      </c>
      <c r="AM670" t="str">
        <f t="shared" si="43"/>
        <v>3000-5000</v>
      </c>
    </row>
    <row r="671" spans="1:39" x14ac:dyDescent="0.2">
      <c r="A671" s="44" t="s">
        <v>423</v>
      </c>
      <c r="B671" s="48">
        <v>0.71736111111111101</v>
      </c>
      <c r="C671" s="48"/>
      <c r="D671" s="48" t="s">
        <v>150</v>
      </c>
      <c r="E671" s="13">
        <v>2</v>
      </c>
      <c r="F671" s="38" t="s">
        <v>102</v>
      </c>
      <c r="G671" s="49">
        <v>6</v>
      </c>
      <c r="H671" s="39" t="str">
        <f>VLOOKUP(G671,[3]Key!$A$2:$B$14,2,FALSE)</f>
        <v>Large Bus</v>
      </c>
      <c r="I671" s="13" t="s">
        <v>156</v>
      </c>
      <c r="J671" s="13">
        <v>2</v>
      </c>
      <c r="K671" s="40" t="str">
        <f>VLOOKUP(J671,[3]Key!$A$24:$B$29,2,FALSE)</f>
        <v>30-39</v>
      </c>
      <c r="L671" s="13" t="s">
        <v>472</v>
      </c>
      <c r="M671" s="23" t="s">
        <v>439</v>
      </c>
      <c r="N671" s="13" t="s">
        <v>152</v>
      </c>
      <c r="O671" s="46">
        <v>8</v>
      </c>
      <c r="P671" s="30" t="str">
        <f>VLOOKUP(O671,[3]Key!$E$2:$F$9,2,FALSE)</f>
        <v>Others</v>
      </c>
      <c r="Q671" s="13" t="s">
        <v>424</v>
      </c>
      <c r="R671" s="23" t="s">
        <v>421</v>
      </c>
      <c r="S671" s="13" t="s">
        <v>152</v>
      </c>
      <c r="T671" s="23">
        <v>1</v>
      </c>
      <c r="U671" s="30" t="str">
        <f>VLOOKUP(T671,[3]Key!$E$2:$F$9,2,FALSE)</f>
        <v>Home</v>
      </c>
      <c r="V671" s="30" t="str">
        <f t="shared" si="40"/>
        <v>Others-Home</v>
      </c>
      <c r="W671" s="51">
        <v>6000</v>
      </c>
      <c r="X671" s="50"/>
      <c r="Y671" s="50" t="str">
        <f t="shared" si="41"/>
        <v>0-10</v>
      </c>
      <c r="Z671" s="50">
        <v>0.91</v>
      </c>
      <c r="AA671" s="50" t="str">
        <f t="shared" si="42"/>
        <v>0.5-1.0</v>
      </c>
      <c r="AB671" s="23">
        <v>4</v>
      </c>
      <c r="AC671" s="30" t="str">
        <f>VLOOKUP(AB671,[3]Key!$C$20:$D$29,2,FALSE)</f>
        <v>Office Worker</v>
      </c>
      <c r="AD671" s="23">
        <v>2</v>
      </c>
      <c r="AE671" s="30" t="str">
        <f>VLOOKUP(AD671,[3]Key!$E$20:$F$24,2,FALSE)</f>
        <v>300,000-500,000</v>
      </c>
      <c r="AF671" s="23">
        <v>3</v>
      </c>
      <c r="AG671" s="50">
        <v>4</v>
      </c>
      <c r="AH671" s="50">
        <v>5</v>
      </c>
      <c r="AI671" s="50">
        <v>2</v>
      </c>
      <c r="AJ671" s="50">
        <v>4</v>
      </c>
      <c r="AK671" s="46" t="s">
        <v>94</v>
      </c>
      <c r="AL671" s="36">
        <v>3000</v>
      </c>
      <c r="AM671" t="str">
        <f t="shared" si="43"/>
        <v>3000-5000</v>
      </c>
    </row>
    <row r="672" spans="1:39" x14ac:dyDescent="0.2">
      <c r="A672" s="44" t="s">
        <v>423</v>
      </c>
      <c r="B672" s="48">
        <v>0.75208333333333333</v>
      </c>
      <c r="C672" s="48"/>
      <c r="D672" s="48" t="s">
        <v>150</v>
      </c>
      <c r="E672" s="13">
        <v>2</v>
      </c>
      <c r="F672" s="38" t="str">
        <f>VLOOKUP(E672,[3]Key!$A$17:$B$21,2,FALSE)</f>
        <v>Road Vehicle</v>
      </c>
      <c r="G672" s="49">
        <v>6</v>
      </c>
      <c r="H672" s="39" t="str">
        <f>VLOOKUP(G672,[3]Key!$A$2:$B$14,2,FALSE)</f>
        <v>Large Bus</v>
      </c>
      <c r="I672" s="13" t="s">
        <v>156</v>
      </c>
      <c r="J672" s="13">
        <v>2</v>
      </c>
      <c r="K672" s="40" t="str">
        <f>VLOOKUP(J672,[3]Key!$A$24:$B$29,2,FALSE)</f>
        <v>30-39</v>
      </c>
      <c r="L672" s="13" t="s">
        <v>483</v>
      </c>
      <c r="M672" s="23" t="s">
        <v>421</v>
      </c>
      <c r="N672" s="13" t="s">
        <v>152</v>
      </c>
      <c r="O672" s="46">
        <v>2</v>
      </c>
      <c r="P672" s="30" t="str">
        <f>VLOOKUP(O672,[3]Key!$E$2:$F$9,2,FALSE)</f>
        <v>Work</v>
      </c>
      <c r="Q672" s="13" t="s">
        <v>484</v>
      </c>
      <c r="R672" s="23" t="s">
        <v>485</v>
      </c>
      <c r="S672" s="13" t="s">
        <v>152</v>
      </c>
      <c r="T672" s="23">
        <v>1</v>
      </c>
      <c r="U672" s="30" t="str">
        <f>VLOOKUP(T672,[3]Key!$E$2:$F$9,2,FALSE)</f>
        <v>Home</v>
      </c>
      <c r="V672" s="30" t="str">
        <f t="shared" si="40"/>
        <v>Work-Home</v>
      </c>
      <c r="W672" s="51">
        <v>10000</v>
      </c>
      <c r="X672" s="50">
        <v>74</v>
      </c>
      <c r="Y672" s="50" t="str">
        <f t="shared" si="41"/>
        <v>70-100</v>
      </c>
      <c r="Z672" s="50">
        <v>1.5</v>
      </c>
      <c r="AA672" s="50" t="str">
        <f t="shared" si="42"/>
        <v>1.0-2.0</v>
      </c>
      <c r="AB672" s="23">
        <v>6</v>
      </c>
      <c r="AC672" s="30" t="str">
        <f>VLOOKUP(AB672,[3]Key!$C$20:$D$29,2,FALSE)</f>
        <v>Businessman</v>
      </c>
      <c r="AD672" s="23">
        <v>1</v>
      </c>
      <c r="AE672" s="30" t="str">
        <f>VLOOKUP(AD672,[3]Key!$E$20:$F$24,2,FALSE)</f>
        <v>&lt;300,000</v>
      </c>
      <c r="AF672" s="23">
        <v>3</v>
      </c>
      <c r="AG672" s="50">
        <v>1</v>
      </c>
      <c r="AH672" s="50">
        <v>4</v>
      </c>
      <c r="AI672" s="50">
        <v>2</v>
      </c>
      <c r="AJ672" s="50">
        <v>5</v>
      </c>
      <c r="AK672" s="46" t="s">
        <v>94</v>
      </c>
      <c r="AL672" s="36">
        <v>2000</v>
      </c>
      <c r="AM672" t="str">
        <f t="shared" si="43"/>
        <v>2000-3000</v>
      </c>
    </row>
    <row r="673" spans="1:39" x14ac:dyDescent="0.2">
      <c r="A673" s="44" t="s">
        <v>423</v>
      </c>
      <c r="B673" s="48">
        <v>0.61875000000000002</v>
      </c>
      <c r="C673" s="48"/>
      <c r="D673" s="48" t="s">
        <v>150</v>
      </c>
      <c r="E673" s="13">
        <v>2</v>
      </c>
      <c r="F673" s="38" t="str">
        <f>VLOOKUP(E673,[3]Key!$A$17:$B$21,2,FALSE)</f>
        <v>Road Vehicle</v>
      </c>
      <c r="G673" s="49">
        <v>6</v>
      </c>
      <c r="H673" s="39" t="str">
        <f>VLOOKUP(G673,[3]Key!$A$2:$B$14,2,FALSE)</f>
        <v>Large Bus</v>
      </c>
      <c r="I673" s="13" t="s">
        <v>156</v>
      </c>
      <c r="J673" s="13">
        <v>2</v>
      </c>
      <c r="K673" s="40" t="str">
        <f>VLOOKUP(J673,[3]Key!$A$24:$B$29,2,FALSE)</f>
        <v>30-39</v>
      </c>
      <c r="L673" s="13" t="s">
        <v>424</v>
      </c>
      <c r="M673" s="23" t="s">
        <v>421</v>
      </c>
      <c r="N673" s="13" t="s">
        <v>152</v>
      </c>
      <c r="O673" s="46">
        <v>1</v>
      </c>
      <c r="P673" s="30" t="str">
        <f>VLOOKUP(O673,[3]Key!$E$2:$F$9,2,FALSE)</f>
        <v>Home</v>
      </c>
      <c r="Q673" s="13" t="s">
        <v>434</v>
      </c>
      <c r="R673" s="23" t="s">
        <v>153</v>
      </c>
      <c r="S673" s="13" t="s">
        <v>152</v>
      </c>
      <c r="T673" s="23">
        <v>3</v>
      </c>
      <c r="U673" s="30" t="str">
        <f>VLOOKUP(T673,[3]Key!$E$2:$F$9,2,FALSE)</f>
        <v>Study</v>
      </c>
      <c r="V673" s="30" t="str">
        <f t="shared" si="40"/>
        <v>Home-Study</v>
      </c>
      <c r="W673" s="51">
        <v>20000</v>
      </c>
      <c r="X673" s="50">
        <v>280</v>
      </c>
      <c r="Y673" s="50" t="str">
        <f t="shared" si="41"/>
        <v>Over 200</v>
      </c>
      <c r="Z673" s="50">
        <v>5</v>
      </c>
      <c r="AA673" s="50" t="str">
        <f t="shared" si="42"/>
        <v>Over 3.5</v>
      </c>
      <c r="AB673" s="23">
        <v>8</v>
      </c>
      <c r="AC673" s="30" t="str">
        <f>VLOOKUP(AB673,[3]Key!$C$20:$D$29,2,FALSE)</f>
        <v>Student</v>
      </c>
      <c r="AD673" s="23">
        <v>1</v>
      </c>
      <c r="AE673" s="30" t="str">
        <f>VLOOKUP(AD673,[3]Key!$E$20:$F$24,2,FALSE)</f>
        <v>&lt;300,000</v>
      </c>
      <c r="AF673" s="23">
        <v>1</v>
      </c>
      <c r="AG673" s="50">
        <v>2</v>
      </c>
      <c r="AH673" s="50">
        <v>3</v>
      </c>
      <c r="AI673" s="50">
        <v>5</v>
      </c>
      <c r="AJ673" s="50">
        <v>4</v>
      </c>
      <c r="AK673" s="46" t="s">
        <v>94</v>
      </c>
      <c r="AL673" s="36">
        <v>0</v>
      </c>
      <c r="AM673" t="str">
        <f t="shared" si="43"/>
        <v>0-1000</v>
      </c>
    </row>
    <row r="674" spans="1:39" x14ac:dyDescent="0.2">
      <c r="A674" s="44" t="s">
        <v>423</v>
      </c>
      <c r="B674" s="48">
        <v>0.61249999999999993</v>
      </c>
      <c r="C674" s="48"/>
      <c r="D674" s="48" t="s">
        <v>150</v>
      </c>
      <c r="E674" s="13">
        <v>2</v>
      </c>
      <c r="F674" s="38" t="str">
        <f>VLOOKUP(E674,[3]Key!$A$17:$B$21,2,FALSE)</f>
        <v>Road Vehicle</v>
      </c>
      <c r="G674" s="49">
        <v>6</v>
      </c>
      <c r="H674" s="39" t="str">
        <f>VLOOKUP(G674,[3]Key!$A$2:$B$14,2,FALSE)</f>
        <v>Large Bus</v>
      </c>
      <c r="I674" s="13" t="s">
        <v>156</v>
      </c>
      <c r="J674" s="13">
        <v>2</v>
      </c>
      <c r="K674" s="40" t="str">
        <f>VLOOKUP(J674,[3]Key!$A$24:$B$29,2,FALSE)</f>
        <v>30-39</v>
      </c>
      <c r="L674" s="13" t="s">
        <v>195</v>
      </c>
      <c r="M674" s="23" t="s">
        <v>421</v>
      </c>
      <c r="N674" s="13" t="s">
        <v>152</v>
      </c>
      <c r="O674" s="46">
        <v>2</v>
      </c>
      <c r="P674" s="30" t="str">
        <f>VLOOKUP(O674,[3]Key!$E$2:$F$9,2,FALSE)</f>
        <v>Work</v>
      </c>
      <c r="Q674" s="13" t="s">
        <v>203</v>
      </c>
      <c r="R674" s="23" t="s">
        <v>168</v>
      </c>
      <c r="S674" s="13" t="s">
        <v>152</v>
      </c>
      <c r="T674" s="23">
        <v>1</v>
      </c>
      <c r="U674" s="30" t="str">
        <f>VLOOKUP(T674,[3]Key!$E$2:$F$9,2,FALSE)</f>
        <v>Home</v>
      </c>
      <c r="V674" s="30" t="str">
        <f t="shared" si="40"/>
        <v>Work-Home</v>
      </c>
      <c r="W674" s="51">
        <v>20000</v>
      </c>
      <c r="X674" s="50">
        <v>270</v>
      </c>
      <c r="Y674" s="50" t="str">
        <f t="shared" si="41"/>
        <v>Over 200</v>
      </c>
      <c r="Z674" s="50">
        <v>4.5</v>
      </c>
      <c r="AA674" s="50" t="str">
        <f t="shared" si="42"/>
        <v>Over 3.5</v>
      </c>
      <c r="AB674" s="23">
        <v>4</v>
      </c>
      <c r="AC674" s="30" t="str">
        <f>VLOOKUP(AB674,[3]Key!$C$20:$D$29,2,FALSE)</f>
        <v>Office Worker</v>
      </c>
      <c r="AD674" s="23">
        <v>3</v>
      </c>
      <c r="AE674" s="30" t="str">
        <f>VLOOKUP(AD674,[3]Key!$E$20:$F$24,2,FALSE)</f>
        <v>500,000-750,000</v>
      </c>
      <c r="AF674" s="23">
        <v>5</v>
      </c>
      <c r="AG674" s="50">
        <v>4</v>
      </c>
      <c r="AH674" s="50">
        <v>3</v>
      </c>
      <c r="AI674" s="50">
        <v>2</v>
      </c>
      <c r="AJ674" s="50">
        <v>1</v>
      </c>
      <c r="AK674" s="46" t="s">
        <v>94</v>
      </c>
      <c r="AL674" s="36">
        <v>3000</v>
      </c>
      <c r="AM674" t="str">
        <f t="shared" si="43"/>
        <v>3000-5000</v>
      </c>
    </row>
    <row r="675" spans="1:39" x14ac:dyDescent="0.2">
      <c r="A675" s="44" t="s">
        <v>423</v>
      </c>
      <c r="B675" s="48">
        <v>0.60972222222222217</v>
      </c>
      <c r="C675" s="48"/>
      <c r="D675" s="48" t="s">
        <v>150</v>
      </c>
      <c r="E675" s="13">
        <v>2</v>
      </c>
      <c r="F675" s="38" t="str">
        <f>VLOOKUP(E675,[3]Key!$A$17:$B$21,2,FALSE)</f>
        <v>Road Vehicle</v>
      </c>
      <c r="G675" s="49">
        <v>6</v>
      </c>
      <c r="H675" s="39" t="str">
        <f>VLOOKUP(G675,[3]Key!$A$2:$B$14,2,FALSE)</f>
        <v>Large Bus</v>
      </c>
      <c r="I675" s="13" t="s">
        <v>156</v>
      </c>
      <c r="J675" s="13">
        <v>2</v>
      </c>
      <c r="K675" s="40" t="str">
        <f>VLOOKUP(J675,[3]Key!$A$24:$B$29,2,FALSE)</f>
        <v>30-39</v>
      </c>
      <c r="L675" s="13" t="s">
        <v>424</v>
      </c>
      <c r="M675" s="23" t="s">
        <v>421</v>
      </c>
      <c r="N675" s="13" t="s">
        <v>152</v>
      </c>
      <c r="O675" s="46">
        <v>2</v>
      </c>
      <c r="P675" s="30" t="str">
        <f>VLOOKUP(O675,[3]Key!$E$2:$F$9,2,FALSE)</f>
        <v>Work</v>
      </c>
      <c r="Q675" s="13" t="s">
        <v>484</v>
      </c>
      <c r="R675" s="23" t="s">
        <v>485</v>
      </c>
      <c r="S675" s="13" t="s">
        <v>152</v>
      </c>
      <c r="T675" s="23">
        <v>3</v>
      </c>
      <c r="U675" s="30" t="str">
        <f>VLOOKUP(T675,[3]Key!$E$2:$F$9,2,FALSE)</f>
        <v>Study</v>
      </c>
      <c r="V675" s="30" t="str">
        <f t="shared" si="40"/>
        <v>Work-Study</v>
      </c>
      <c r="W675" s="51">
        <v>40000</v>
      </c>
      <c r="X675" s="50">
        <v>370</v>
      </c>
      <c r="Y675" s="50" t="str">
        <f t="shared" si="41"/>
        <v>Over 200</v>
      </c>
      <c r="Z675" s="50">
        <v>9</v>
      </c>
      <c r="AA675" s="50" t="str">
        <f t="shared" si="42"/>
        <v>Over 3.5</v>
      </c>
      <c r="AB675" s="23">
        <v>4</v>
      </c>
      <c r="AC675" s="30" t="str">
        <f>VLOOKUP(AB675,[3]Key!$C$20:$D$29,2,FALSE)</f>
        <v>Office Worker</v>
      </c>
      <c r="AD675" s="23">
        <v>3</v>
      </c>
      <c r="AE675" s="30" t="str">
        <f>VLOOKUP(AD675,[3]Key!$E$20:$F$24,2,FALSE)</f>
        <v>500,000-750,000</v>
      </c>
      <c r="AF675" s="23">
        <v>1</v>
      </c>
      <c r="AG675" s="50">
        <v>2</v>
      </c>
      <c r="AH675" s="50">
        <v>5</v>
      </c>
      <c r="AI675" s="50">
        <v>4</v>
      </c>
      <c r="AJ675" s="50">
        <v>3</v>
      </c>
      <c r="AK675" s="46" t="s">
        <v>94</v>
      </c>
      <c r="AL675" s="36">
        <v>0</v>
      </c>
      <c r="AM675" t="str">
        <f t="shared" si="43"/>
        <v>0-1000</v>
      </c>
    </row>
    <row r="676" spans="1:39" x14ac:dyDescent="0.2">
      <c r="A676" s="44" t="s">
        <v>433</v>
      </c>
      <c r="B676" s="48">
        <v>0.74305555555555547</v>
      </c>
      <c r="C676" s="48"/>
      <c r="D676" s="48" t="s">
        <v>97</v>
      </c>
      <c r="E676" s="13">
        <v>2</v>
      </c>
      <c r="F676" s="38" t="str">
        <f>VLOOKUP(E676,[3]Key!$A$17:$B$21,2,FALSE)</f>
        <v>Road Vehicle</v>
      </c>
      <c r="G676" s="49">
        <v>6</v>
      </c>
      <c r="H676" s="39" t="str">
        <f>VLOOKUP(G676,[3]Key!$A$2:$B$14,2,FALSE)</f>
        <v>Large Bus</v>
      </c>
      <c r="I676" s="13" t="s">
        <v>109</v>
      </c>
      <c r="J676" s="13">
        <v>2</v>
      </c>
      <c r="K676" s="40" t="str">
        <f>VLOOKUP(J676,[3]Key!$A$24:$B$29,2,FALSE)</f>
        <v>30-39</v>
      </c>
      <c r="L676" s="13" t="s">
        <v>486</v>
      </c>
      <c r="M676" s="23" t="s">
        <v>441</v>
      </c>
      <c r="N676" s="13" t="s">
        <v>152</v>
      </c>
      <c r="O676" s="46">
        <v>2</v>
      </c>
      <c r="P676" s="30" t="str">
        <f>VLOOKUP(O676,[3]Key!$E$2:$F$9,2,FALSE)</f>
        <v>Work</v>
      </c>
      <c r="Q676" s="13" t="s">
        <v>169</v>
      </c>
      <c r="R676" s="23" t="s">
        <v>168</v>
      </c>
      <c r="S676" s="13" t="s">
        <v>152</v>
      </c>
      <c r="T676" s="23">
        <v>1</v>
      </c>
      <c r="U676" s="30" t="str">
        <f>VLOOKUP(T676,[3]Key!$E$2:$F$9,2,FALSE)</f>
        <v>Home</v>
      </c>
      <c r="V676" s="30" t="str">
        <f t="shared" si="40"/>
        <v>Work-Home</v>
      </c>
      <c r="W676" s="51">
        <v>800000</v>
      </c>
      <c r="X676" s="50">
        <v>400</v>
      </c>
      <c r="Y676" s="50" t="str">
        <f t="shared" si="41"/>
        <v>Over 200</v>
      </c>
      <c r="Z676" s="50">
        <v>5</v>
      </c>
      <c r="AA676" s="50" t="str">
        <f t="shared" si="42"/>
        <v>Over 3.5</v>
      </c>
      <c r="AB676" s="23">
        <v>10</v>
      </c>
      <c r="AC676" s="30" t="str">
        <f>VLOOKUP(AB676,[3]Key!$C$20:$D$29,2,FALSE)</f>
        <v>Other</v>
      </c>
      <c r="AD676" s="23">
        <v>1</v>
      </c>
      <c r="AE676" s="30" t="str">
        <f>VLOOKUP(AD676,[3]Key!$E$20:$F$24,2,FALSE)</f>
        <v>&lt;300,000</v>
      </c>
      <c r="AF676" s="23">
        <v>2</v>
      </c>
      <c r="AG676" s="50">
        <v>4</v>
      </c>
      <c r="AH676" s="50">
        <v>1</v>
      </c>
      <c r="AI676" s="50">
        <v>5</v>
      </c>
      <c r="AJ676" s="50">
        <v>3</v>
      </c>
      <c r="AK676" s="46" t="s">
        <v>94</v>
      </c>
      <c r="AL676" s="36">
        <v>10000</v>
      </c>
      <c r="AM676" t="str">
        <f t="shared" si="43"/>
        <v>Over 10000</v>
      </c>
    </row>
    <row r="677" spans="1:39" x14ac:dyDescent="0.2">
      <c r="A677" s="44" t="s">
        <v>433</v>
      </c>
      <c r="B677" s="48">
        <v>0.68055555555555547</v>
      </c>
      <c r="C677" s="48"/>
      <c r="D677" s="48" t="s">
        <v>97</v>
      </c>
      <c r="E677" s="13">
        <v>2</v>
      </c>
      <c r="F677" s="38" t="str">
        <f>VLOOKUP(E677,[3]Key!$A$17:$B$21,2,FALSE)</f>
        <v>Road Vehicle</v>
      </c>
      <c r="G677" s="49">
        <v>6</v>
      </c>
      <c r="H677" s="39" t="str">
        <f>VLOOKUP(G677,[3]Key!$A$2:$B$14,2,FALSE)</f>
        <v>Large Bus</v>
      </c>
      <c r="I677" s="13" t="s">
        <v>109</v>
      </c>
      <c r="J677" s="13">
        <v>2</v>
      </c>
      <c r="K677" s="40" t="str">
        <f>VLOOKUP(J677,[3]Key!$A$24:$B$29,2,FALSE)</f>
        <v>30-39</v>
      </c>
      <c r="L677" s="13" t="s">
        <v>424</v>
      </c>
      <c r="M677" s="23" t="s">
        <v>421</v>
      </c>
      <c r="N677" s="13" t="s">
        <v>152</v>
      </c>
      <c r="O677" s="46">
        <v>2</v>
      </c>
      <c r="P677" s="30" t="str">
        <f>VLOOKUP(O677,[3]Key!$E$2:$F$9,2,FALSE)</f>
        <v>Work</v>
      </c>
      <c r="Q677" s="13" t="s">
        <v>434</v>
      </c>
      <c r="R677" s="23" t="s">
        <v>153</v>
      </c>
      <c r="S677" s="13" t="s">
        <v>152</v>
      </c>
      <c r="T677" s="23">
        <v>1</v>
      </c>
      <c r="U677" s="30" t="str">
        <f>VLOOKUP(T677,[3]Key!$E$2:$F$9,2,FALSE)</f>
        <v>Home</v>
      </c>
      <c r="V677" s="30" t="str">
        <f t="shared" si="40"/>
        <v>Work-Home</v>
      </c>
      <c r="W677" s="51">
        <v>800000</v>
      </c>
      <c r="X677" s="50">
        <v>215</v>
      </c>
      <c r="Y677" s="50" t="str">
        <f t="shared" si="41"/>
        <v>Over 200</v>
      </c>
      <c r="Z677" s="50">
        <v>5</v>
      </c>
      <c r="AA677" s="50" t="str">
        <f t="shared" si="42"/>
        <v>Over 3.5</v>
      </c>
      <c r="AB677" s="23">
        <v>10</v>
      </c>
      <c r="AC677" s="30" t="str">
        <f>VLOOKUP(AB677,[3]Key!$C$20:$D$29,2,FALSE)</f>
        <v>Other</v>
      </c>
      <c r="AD677" s="23">
        <v>4</v>
      </c>
      <c r="AE677" s="30" t="str">
        <f>VLOOKUP(AD677,[3]Key!$E$20:$F$24,2,FALSE)</f>
        <v>750,000-1,000,000</v>
      </c>
      <c r="AF677" s="23">
        <v>2</v>
      </c>
      <c r="AG677" s="50">
        <v>3</v>
      </c>
      <c r="AH677" s="50">
        <v>1</v>
      </c>
      <c r="AI677" s="50">
        <v>4</v>
      </c>
      <c r="AJ677" s="50">
        <v>5</v>
      </c>
      <c r="AK677" s="46" t="s">
        <v>94</v>
      </c>
      <c r="AL677" s="36">
        <v>0</v>
      </c>
      <c r="AM677" t="str">
        <f t="shared" si="43"/>
        <v>0-1000</v>
      </c>
    </row>
    <row r="678" spans="1:39" x14ac:dyDescent="0.2">
      <c r="A678" s="44" t="s">
        <v>433</v>
      </c>
      <c r="B678" s="48">
        <v>0.68472222222222223</v>
      </c>
      <c r="C678" s="48"/>
      <c r="D678" s="48" t="s">
        <v>97</v>
      </c>
      <c r="E678" s="13">
        <v>2</v>
      </c>
      <c r="F678" s="38" t="str">
        <f>VLOOKUP(E678,[3]Key!$A$17:$B$21,2,FALSE)</f>
        <v>Road Vehicle</v>
      </c>
      <c r="G678" s="49">
        <v>6</v>
      </c>
      <c r="H678" s="39" t="str">
        <f>VLOOKUP(G678,[3]Key!$A$2:$B$14,2,FALSE)</f>
        <v>Large Bus</v>
      </c>
      <c r="I678" s="13" t="s">
        <v>109</v>
      </c>
      <c r="J678" s="13">
        <v>2</v>
      </c>
      <c r="K678" s="40" t="str">
        <f>VLOOKUP(J678,[3]Key!$A$24:$B$29,2,FALSE)</f>
        <v>30-39</v>
      </c>
      <c r="L678" s="13" t="s">
        <v>424</v>
      </c>
      <c r="M678" s="23" t="s">
        <v>421</v>
      </c>
      <c r="N678" s="13" t="s">
        <v>152</v>
      </c>
      <c r="O678" s="46">
        <v>2</v>
      </c>
      <c r="P678" s="30" t="str">
        <f>VLOOKUP(O678,[3]Key!$E$2:$F$9,2,FALSE)</f>
        <v>Work</v>
      </c>
      <c r="Q678" s="13" t="s">
        <v>434</v>
      </c>
      <c r="R678" s="23" t="s">
        <v>153</v>
      </c>
      <c r="S678" s="13" t="s">
        <v>152</v>
      </c>
      <c r="T678" s="23">
        <v>1</v>
      </c>
      <c r="U678" s="30" t="str">
        <f>VLOOKUP(T678,[3]Key!$E$2:$F$9,2,FALSE)</f>
        <v>Home</v>
      </c>
      <c r="V678" s="30" t="str">
        <f t="shared" si="40"/>
        <v>Work-Home</v>
      </c>
      <c r="W678" s="51">
        <v>650000</v>
      </c>
      <c r="X678" s="50">
        <v>200</v>
      </c>
      <c r="Y678" s="50" t="str">
        <f t="shared" si="41"/>
        <v>Over 200</v>
      </c>
      <c r="Z678" s="50">
        <v>4.5</v>
      </c>
      <c r="AA678" s="50" t="str">
        <f t="shared" si="42"/>
        <v>Over 3.5</v>
      </c>
      <c r="AB678" s="23">
        <v>10</v>
      </c>
      <c r="AC678" s="30" t="str">
        <f>VLOOKUP(AB678,[3]Key!$C$20:$D$29,2,FALSE)</f>
        <v>Other</v>
      </c>
      <c r="AD678" s="23">
        <v>3</v>
      </c>
      <c r="AE678" s="30" t="str">
        <f>VLOOKUP(AD678,[3]Key!$E$20:$F$24,2,FALSE)</f>
        <v>500,000-750,000</v>
      </c>
      <c r="AF678" s="23">
        <v>2</v>
      </c>
      <c r="AG678" s="50">
        <v>3</v>
      </c>
      <c r="AH678" s="50">
        <v>5</v>
      </c>
      <c r="AI678" s="50">
        <v>4</v>
      </c>
      <c r="AJ678" s="50">
        <v>1</v>
      </c>
      <c r="AK678" s="46" t="s">
        <v>94</v>
      </c>
      <c r="AL678" s="36">
        <v>6000</v>
      </c>
      <c r="AM678" t="str">
        <f t="shared" si="43"/>
        <v>5000-10000</v>
      </c>
    </row>
    <row r="679" spans="1:39" x14ac:dyDescent="0.2">
      <c r="A679" s="44" t="s">
        <v>433</v>
      </c>
      <c r="B679" s="48">
        <v>0.71180555555555547</v>
      </c>
      <c r="C679" s="48"/>
      <c r="D679" s="48" t="s">
        <v>97</v>
      </c>
      <c r="E679" s="13">
        <v>2</v>
      </c>
      <c r="F679" s="38" t="str">
        <f>VLOOKUP(E679,[3]Key!$A$17:$B$21,2,FALSE)</f>
        <v>Road Vehicle</v>
      </c>
      <c r="G679" s="49">
        <v>6</v>
      </c>
      <c r="H679" s="39" t="str">
        <f>VLOOKUP(G679,[3]Key!$A$2:$B$14,2,FALSE)</f>
        <v>Large Bus</v>
      </c>
      <c r="I679" s="13" t="s">
        <v>109</v>
      </c>
      <c r="J679" s="13">
        <v>2</v>
      </c>
      <c r="K679" s="40" t="str">
        <f>VLOOKUP(J679,[3]Key!$A$24:$B$29,2,FALSE)</f>
        <v>30-39</v>
      </c>
      <c r="L679" s="13" t="s">
        <v>424</v>
      </c>
      <c r="M679" s="23" t="s">
        <v>421</v>
      </c>
      <c r="N679" s="13" t="s">
        <v>152</v>
      </c>
      <c r="O679" s="46">
        <v>2</v>
      </c>
      <c r="P679" s="30" t="str">
        <f>VLOOKUP(O679,[3]Key!$E$2:$F$9,2,FALSE)</f>
        <v>Work</v>
      </c>
      <c r="Q679" s="13" t="s">
        <v>434</v>
      </c>
      <c r="R679" s="23" t="s">
        <v>153</v>
      </c>
      <c r="S679" s="13" t="s">
        <v>152</v>
      </c>
      <c r="T679" s="23">
        <v>1</v>
      </c>
      <c r="U679" s="30" t="str">
        <f>VLOOKUP(T679,[3]Key!$E$2:$F$9,2,FALSE)</f>
        <v>Home</v>
      </c>
      <c r="V679" s="30" t="str">
        <f t="shared" si="40"/>
        <v>Work-Home</v>
      </c>
      <c r="W679" s="51">
        <v>650000</v>
      </c>
      <c r="X679" s="50">
        <v>217</v>
      </c>
      <c r="Y679" s="50" t="str">
        <f t="shared" si="41"/>
        <v>Over 200</v>
      </c>
      <c r="Z679" s="50">
        <v>4.5</v>
      </c>
      <c r="AA679" s="50" t="str">
        <f t="shared" si="42"/>
        <v>Over 3.5</v>
      </c>
      <c r="AB679" s="23">
        <v>10</v>
      </c>
      <c r="AC679" s="30" t="str">
        <f>VLOOKUP(AB679,[3]Key!$C$20:$D$29,2,FALSE)</f>
        <v>Other</v>
      </c>
      <c r="AD679" s="23">
        <v>4</v>
      </c>
      <c r="AE679" s="30" t="str">
        <f>VLOOKUP(AD679,[3]Key!$E$20:$F$24,2,FALSE)</f>
        <v>750,000-1,000,000</v>
      </c>
      <c r="AF679" s="23">
        <v>2</v>
      </c>
      <c r="AG679" s="50">
        <v>1</v>
      </c>
      <c r="AH679" s="50">
        <v>3</v>
      </c>
      <c r="AI679" s="50">
        <v>4</v>
      </c>
      <c r="AJ679" s="50">
        <v>5</v>
      </c>
      <c r="AK679" s="46" t="s">
        <v>94</v>
      </c>
      <c r="AL679" s="36">
        <v>0</v>
      </c>
      <c r="AM679" t="str">
        <f t="shared" si="43"/>
        <v>0-1000</v>
      </c>
    </row>
    <row r="680" spans="1:39" x14ac:dyDescent="0.2">
      <c r="A680" s="44" t="s">
        <v>433</v>
      </c>
      <c r="B680" s="48">
        <v>0.71875</v>
      </c>
      <c r="C680" s="48"/>
      <c r="D680" s="48" t="s">
        <v>150</v>
      </c>
      <c r="E680" s="13">
        <v>2</v>
      </c>
      <c r="F680" s="38" t="str">
        <f>VLOOKUP(E680,[3]Key!$A$17:$B$21,2,FALSE)</f>
        <v>Road Vehicle</v>
      </c>
      <c r="G680" s="49">
        <v>6</v>
      </c>
      <c r="H680" s="39" t="str">
        <f>VLOOKUP(G680,[3]Key!$A$2:$B$14,2,FALSE)</f>
        <v>Large Bus</v>
      </c>
      <c r="I680" s="13" t="s">
        <v>109</v>
      </c>
      <c r="J680" s="13">
        <v>2</v>
      </c>
      <c r="K680" s="40" t="str">
        <f>VLOOKUP(J680,[3]Key!$A$24:$B$29,2,FALSE)</f>
        <v>30-39</v>
      </c>
      <c r="L680" s="13" t="s">
        <v>434</v>
      </c>
      <c r="M680" s="23" t="s">
        <v>153</v>
      </c>
      <c r="N680" s="13" t="s">
        <v>152</v>
      </c>
      <c r="O680" s="46">
        <v>2</v>
      </c>
      <c r="P680" s="30" t="str">
        <f>VLOOKUP(O680,[3]Key!$E$2:$F$9,2,FALSE)</f>
        <v>Work</v>
      </c>
      <c r="Q680" s="13" t="s">
        <v>487</v>
      </c>
      <c r="R680" s="23" t="s">
        <v>488</v>
      </c>
      <c r="S680" s="13" t="s">
        <v>152</v>
      </c>
      <c r="T680" s="23">
        <v>1</v>
      </c>
      <c r="U680" s="30" t="str">
        <f>VLOOKUP(T680,[3]Key!$E$2:$F$9,2,FALSE)</f>
        <v>Home</v>
      </c>
      <c r="V680" s="30" t="str">
        <f t="shared" si="40"/>
        <v>Work-Home</v>
      </c>
      <c r="W680" s="51">
        <v>30000</v>
      </c>
      <c r="X680" s="50"/>
      <c r="Y680" s="50" t="str">
        <f t="shared" si="41"/>
        <v>0-10</v>
      </c>
      <c r="Z680" s="50">
        <v>5</v>
      </c>
      <c r="AA680" s="50" t="str">
        <f t="shared" si="42"/>
        <v>Over 3.5</v>
      </c>
      <c r="AB680" s="23">
        <v>6</v>
      </c>
      <c r="AC680" s="30" t="str">
        <f>VLOOKUP(AB680,[3]Key!$C$20:$D$29,2,FALSE)</f>
        <v>Businessman</v>
      </c>
      <c r="AD680" s="23">
        <v>3</v>
      </c>
      <c r="AE680" s="30" t="str">
        <f>VLOOKUP(AD680,[3]Key!$E$20:$F$24,2,FALSE)</f>
        <v>500,000-750,000</v>
      </c>
      <c r="AF680" s="23">
        <v>2</v>
      </c>
      <c r="AG680" s="50">
        <v>4</v>
      </c>
      <c r="AH680" s="50">
        <v>2</v>
      </c>
      <c r="AI680" s="50">
        <v>2</v>
      </c>
      <c r="AJ680" s="50">
        <v>2</v>
      </c>
      <c r="AK680" s="46" t="s">
        <v>94</v>
      </c>
      <c r="AL680" s="36">
        <v>0</v>
      </c>
      <c r="AM680" t="str">
        <f t="shared" si="43"/>
        <v>0-1000</v>
      </c>
    </row>
    <row r="681" spans="1:39" x14ac:dyDescent="0.2">
      <c r="A681" s="44" t="s">
        <v>433</v>
      </c>
      <c r="B681" s="48">
        <v>0.70486111111111116</v>
      </c>
      <c r="C681" s="48"/>
      <c r="D681" s="48" t="s">
        <v>150</v>
      </c>
      <c r="E681" s="13">
        <v>2</v>
      </c>
      <c r="F681" s="38" t="str">
        <f>VLOOKUP(E681,[3]Key!$A$17:$B$21,2,FALSE)</f>
        <v>Road Vehicle</v>
      </c>
      <c r="G681" s="49">
        <v>6</v>
      </c>
      <c r="H681" s="39" t="str">
        <f>VLOOKUP(G681,[3]Key!$A$2:$B$14,2,FALSE)</f>
        <v>Large Bus</v>
      </c>
      <c r="I681" s="13" t="s">
        <v>109</v>
      </c>
      <c r="J681" s="13">
        <v>2</v>
      </c>
      <c r="K681" s="40" t="str">
        <f>VLOOKUP(J681,[3]Key!$A$24:$B$29,2,FALSE)</f>
        <v>30-39</v>
      </c>
      <c r="L681" s="13" t="s">
        <v>434</v>
      </c>
      <c r="M681" s="23" t="s">
        <v>153</v>
      </c>
      <c r="N681" s="13" t="s">
        <v>152</v>
      </c>
      <c r="O681" s="46">
        <v>3</v>
      </c>
      <c r="P681" s="30" t="str">
        <f>VLOOKUP(O681,[3]Key!$E$2:$F$9,2,FALSE)</f>
        <v>Study</v>
      </c>
      <c r="Q681" s="13" t="s">
        <v>454</v>
      </c>
      <c r="R681" s="23" t="s">
        <v>455</v>
      </c>
      <c r="S681" s="13" t="s">
        <v>152</v>
      </c>
      <c r="T681" s="23">
        <v>1</v>
      </c>
      <c r="U681" s="30" t="str">
        <f>VLOOKUP(T681,[3]Key!$E$2:$F$9,2,FALSE)</f>
        <v>Home</v>
      </c>
      <c r="V681" s="30" t="str">
        <f t="shared" si="40"/>
        <v>Study-Home</v>
      </c>
      <c r="W681" s="51">
        <v>35000</v>
      </c>
      <c r="X681" s="50"/>
      <c r="Y681" s="50" t="str">
        <f t="shared" si="41"/>
        <v>0-10</v>
      </c>
      <c r="Z681" s="50">
        <v>7</v>
      </c>
      <c r="AA681" s="50" t="str">
        <f t="shared" si="42"/>
        <v>Over 3.5</v>
      </c>
      <c r="AB681" s="23">
        <v>5</v>
      </c>
      <c r="AC681" s="30" t="str">
        <f>VLOOKUP(AB681,[3]Key!$C$20:$D$29,2,FALSE)</f>
        <v>Professional</v>
      </c>
      <c r="AD681" s="23">
        <v>5</v>
      </c>
      <c r="AE681" s="30" t="str">
        <f>VLOOKUP(AD681,[3]Key!$E$20:$F$24,2,FALSE)</f>
        <v>&gt;1,000,000</v>
      </c>
      <c r="AF681" s="23">
        <v>3</v>
      </c>
      <c r="AG681" s="50">
        <v>2</v>
      </c>
      <c r="AH681" s="50">
        <v>2</v>
      </c>
      <c r="AI681" s="50">
        <v>1</v>
      </c>
      <c r="AJ681" s="50">
        <v>2</v>
      </c>
      <c r="AK681" s="46" t="s">
        <v>94</v>
      </c>
      <c r="AL681" s="36">
        <v>10000</v>
      </c>
      <c r="AM681" t="str">
        <f t="shared" si="43"/>
        <v>Over 10000</v>
      </c>
    </row>
    <row r="682" spans="1:39" x14ac:dyDescent="0.2">
      <c r="A682" s="44" t="s">
        <v>433</v>
      </c>
      <c r="B682" s="48">
        <v>0.65625</v>
      </c>
      <c r="C682" s="48"/>
      <c r="D682" s="48" t="s">
        <v>150</v>
      </c>
      <c r="E682" s="13">
        <v>2</v>
      </c>
      <c r="F682" s="38" t="s">
        <v>102</v>
      </c>
      <c r="G682" s="49">
        <v>6</v>
      </c>
      <c r="H682" s="39" t="str">
        <f>VLOOKUP(G682,[3]Key!$A$2:$B$14,2,FALSE)</f>
        <v>Large Bus</v>
      </c>
      <c r="I682" s="13" t="s">
        <v>109</v>
      </c>
      <c r="J682" s="13">
        <v>2</v>
      </c>
      <c r="K682" s="40" t="str">
        <f>VLOOKUP(J682,[3]Key!$A$24:$B$29,2,FALSE)</f>
        <v>30-39</v>
      </c>
      <c r="L682" s="13" t="s">
        <v>438</v>
      </c>
      <c r="M682" s="23" t="s">
        <v>439</v>
      </c>
      <c r="N682" s="13" t="s">
        <v>152</v>
      </c>
      <c r="O682" s="46">
        <v>1</v>
      </c>
      <c r="P682" s="30" t="str">
        <f>VLOOKUP(O682,[3]Key!$E$2:$F$9,2,FALSE)</f>
        <v>Home</v>
      </c>
      <c r="Q682" s="13" t="s">
        <v>424</v>
      </c>
      <c r="R682" s="23" t="s">
        <v>421</v>
      </c>
      <c r="S682" s="13" t="s">
        <v>152</v>
      </c>
      <c r="T682" s="23">
        <v>2</v>
      </c>
      <c r="U682" s="30" t="str">
        <f>VLOOKUP(T682,[3]Key!$E$2:$F$9,2,FALSE)</f>
        <v>Work</v>
      </c>
      <c r="V682" s="30" t="str">
        <f t="shared" si="40"/>
        <v>Home-Work</v>
      </c>
      <c r="W682" s="51">
        <v>15000</v>
      </c>
      <c r="X682" s="50"/>
      <c r="Y682" s="50" t="str">
        <f t="shared" si="41"/>
        <v>0-10</v>
      </c>
      <c r="Z682" s="50">
        <v>2</v>
      </c>
      <c r="AA682" s="50" t="str">
        <f t="shared" si="42"/>
        <v>2.0-3.5</v>
      </c>
      <c r="AB682" s="23">
        <v>4</v>
      </c>
      <c r="AC682" s="30" t="str">
        <f>VLOOKUP(AB682,[3]Key!$C$20:$D$29,2,FALSE)</f>
        <v>Office Worker</v>
      </c>
      <c r="AD682" s="23">
        <v>3</v>
      </c>
      <c r="AE682" s="30" t="str">
        <f>VLOOKUP(AD682,[3]Key!$E$20:$F$24,2,FALSE)</f>
        <v>500,000-750,000</v>
      </c>
      <c r="AF682" s="23">
        <v>2</v>
      </c>
      <c r="AG682" s="50">
        <v>4</v>
      </c>
      <c r="AH682" s="50">
        <v>4</v>
      </c>
      <c r="AI682" s="50">
        <v>2</v>
      </c>
      <c r="AJ682" s="50">
        <v>3</v>
      </c>
      <c r="AK682" s="46" t="s">
        <v>94</v>
      </c>
      <c r="AL682" s="36">
        <v>4000</v>
      </c>
      <c r="AM682" t="str">
        <f t="shared" si="43"/>
        <v>3000-5000</v>
      </c>
    </row>
    <row r="683" spans="1:39" x14ac:dyDescent="0.2">
      <c r="A683" s="44" t="s">
        <v>419</v>
      </c>
      <c r="B683" s="48"/>
      <c r="C683" s="48"/>
      <c r="D683" s="48" t="s">
        <v>150</v>
      </c>
      <c r="E683" s="13">
        <v>2</v>
      </c>
      <c r="F683" s="38" t="str">
        <f>VLOOKUP(E683,[3]Key!$A$17:$B$21,2,FALSE)</f>
        <v>Road Vehicle</v>
      </c>
      <c r="G683" s="49">
        <v>6</v>
      </c>
      <c r="H683" s="39" t="str">
        <f>VLOOKUP(G683,[3]Key!$A$2:$B$14,2,FALSE)</f>
        <v>Large Bus</v>
      </c>
      <c r="I683" s="13" t="s">
        <v>109</v>
      </c>
      <c r="J683" s="13">
        <v>2</v>
      </c>
      <c r="K683" s="40" t="str">
        <f>VLOOKUP(J683,[3]Key!$A$24:$B$29,2,FALSE)</f>
        <v>30-39</v>
      </c>
      <c r="L683" s="13" t="s">
        <v>424</v>
      </c>
      <c r="M683" s="23" t="s">
        <v>421</v>
      </c>
      <c r="N683" s="13" t="s">
        <v>152</v>
      </c>
      <c r="O683" s="46">
        <v>1</v>
      </c>
      <c r="P683" s="30" t="str">
        <f>VLOOKUP(O683,[3]Key!$E$2:$F$9,2,FALSE)</f>
        <v>Home</v>
      </c>
      <c r="Q683" s="13" t="s">
        <v>434</v>
      </c>
      <c r="R683" s="23" t="s">
        <v>153</v>
      </c>
      <c r="S683" s="13" t="s">
        <v>152</v>
      </c>
      <c r="T683" s="23">
        <v>4</v>
      </c>
      <c r="U683" s="30" t="str">
        <f>VLOOKUP(T683,[3]Key!$E$2:$F$9,2,FALSE)</f>
        <v>Commercial</v>
      </c>
      <c r="V683" s="30" t="str">
        <f t="shared" si="40"/>
        <v>Home-Commercial</v>
      </c>
      <c r="W683" s="51">
        <v>20000</v>
      </c>
      <c r="X683" s="50">
        <v>260</v>
      </c>
      <c r="Y683" s="50" t="str">
        <f t="shared" si="41"/>
        <v>Over 200</v>
      </c>
      <c r="Z683" s="50">
        <v>4</v>
      </c>
      <c r="AA683" s="50" t="str">
        <f t="shared" si="42"/>
        <v>Over 3.5</v>
      </c>
      <c r="AB683" s="23">
        <v>6</v>
      </c>
      <c r="AC683" s="30" t="str">
        <f>VLOOKUP(AB683,[3]Key!$C$20:$D$29,2,FALSE)</f>
        <v>Businessman</v>
      </c>
      <c r="AD683" s="23">
        <v>2</v>
      </c>
      <c r="AE683" s="30" t="str">
        <f>VLOOKUP(AD683,[3]Key!$E$20:$F$24,2,FALSE)</f>
        <v>300,000-500,000</v>
      </c>
      <c r="AF683" s="23">
        <v>3</v>
      </c>
      <c r="AG683" s="50">
        <v>4</v>
      </c>
      <c r="AH683" s="50">
        <v>1</v>
      </c>
      <c r="AI683" s="50">
        <v>2</v>
      </c>
      <c r="AJ683" s="50">
        <v>2</v>
      </c>
      <c r="AK683" s="46" t="s">
        <v>94</v>
      </c>
      <c r="AL683" s="36">
        <v>5000</v>
      </c>
      <c r="AM683" t="str">
        <f t="shared" si="43"/>
        <v>5000-10000</v>
      </c>
    </row>
    <row r="684" spans="1:39" x14ac:dyDescent="0.2">
      <c r="A684" s="44" t="s">
        <v>419</v>
      </c>
      <c r="B684" s="48">
        <v>0.46875</v>
      </c>
      <c r="C684" s="48"/>
      <c r="D684" s="48" t="s">
        <v>150</v>
      </c>
      <c r="E684" s="13">
        <v>2</v>
      </c>
      <c r="F684" s="38" t="str">
        <f>VLOOKUP(E684,[3]Key!$A$17:$B$21,2,FALSE)</f>
        <v>Road Vehicle</v>
      </c>
      <c r="G684" s="49">
        <v>6</v>
      </c>
      <c r="H684" s="39" t="str">
        <f>VLOOKUP(G684,[3]Key!$A$2:$B$14,2,FALSE)</f>
        <v>Large Bus</v>
      </c>
      <c r="I684" s="13" t="s">
        <v>109</v>
      </c>
      <c r="J684" s="13">
        <v>2</v>
      </c>
      <c r="K684" s="40" t="str">
        <f>VLOOKUP(J684,[3]Key!$A$24:$B$29,2,FALSE)</f>
        <v>30-39</v>
      </c>
      <c r="L684" s="13" t="s">
        <v>489</v>
      </c>
      <c r="M684" s="23" t="s">
        <v>421</v>
      </c>
      <c r="N684" s="13" t="s">
        <v>152</v>
      </c>
      <c r="O684" s="46">
        <v>1</v>
      </c>
      <c r="P684" s="30" t="str">
        <f>VLOOKUP(O684,[3]Key!$E$2:$F$9,2,FALSE)</f>
        <v>Home</v>
      </c>
      <c r="Q684" s="13" t="s">
        <v>195</v>
      </c>
      <c r="R684" s="23" t="s">
        <v>421</v>
      </c>
      <c r="S684" s="13" t="s">
        <v>152</v>
      </c>
      <c r="T684" s="23">
        <v>2</v>
      </c>
      <c r="U684" s="30" t="str">
        <f>VLOOKUP(T684,[3]Key!$E$2:$F$9,2,FALSE)</f>
        <v>Work</v>
      </c>
      <c r="V684" s="30" t="str">
        <f t="shared" si="40"/>
        <v>Home-Work</v>
      </c>
      <c r="W684" s="51">
        <v>2000</v>
      </c>
      <c r="X684" s="50">
        <v>3</v>
      </c>
      <c r="Y684" s="50" t="str">
        <f t="shared" si="41"/>
        <v>0-10</v>
      </c>
      <c r="Z684" s="50">
        <v>0.16600000000000001</v>
      </c>
      <c r="AA684" s="50" t="str">
        <f t="shared" si="42"/>
        <v>0-0.5</v>
      </c>
      <c r="AB684" s="23">
        <v>5</v>
      </c>
      <c r="AC684" s="30" t="str">
        <f>VLOOKUP(AB684,[3]Key!$C$20:$D$29,2,FALSE)</f>
        <v>Professional</v>
      </c>
      <c r="AD684" s="23">
        <v>3</v>
      </c>
      <c r="AE684" s="30" t="str">
        <f>VLOOKUP(AD684,[3]Key!$E$20:$F$24,2,FALSE)</f>
        <v>500,000-750,000</v>
      </c>
      <c r="AF684" s="23">
        <v>4</v>
      </c>
      <c r="AG684" s="50">
        <v>5</v>
      </c>
      <c r="AH684" s="50">
        <v>3</v>
      </c>
      <c r="AI684" s="50">
        <v>1</v>
      </c>
      <c r="AJ684" s="50">
        <v>2</v>
      </c>
      <c r="AK684" s="46" t="s">
        <v>94</v>
      </c>
      <c r="AL684" s="36">
        <v>1000</v>
      </c>
      <c r="AM684" t="str">
        <f t="shared" si="43"/>
        <v>1000-2000</v>
      </c>
    </row>
    <row r="685" spans="1:39" x14ac:dyDescent="0.2">
      <c r="A685" s="44" t="s">
        <v>419</v>
      </c>
      <c r="B685" s="48">
        <v>0.54999999999999993</v>
      </c>
      <c r="C685" s="48"/>
      <c r="D685" s="48" t="s">
        <v>150</v>
      </c>
      <c r="E685" s="13">
        <v>2</v>
      </c>
      <c r="F685" s="38" t="str">
        <f>VLOOKUP(E685,[3]Key!$A$17:$B$21,2,FALSE)</f>
        <v>Road Vehicle</v>
      </c>
      <c r="G685" s="49">
        <v>6</v>
      </c>
      <c r="H685" s="39" t="str">
        <f>VLOOKUP(G685,[3]Key!$A$2:$B$14,2,FALSE)</f>
        <v>Large Bus</v>
      </c>
      <c r="I685" s="13" t="s">
        <v>109</v>
      </c>
      <c r="J685" s="13">
        <v>2</v>
      </c>
      <c r="K685" s="40" t="str">
        <f>VLOOKUP(J685,[3]Key!$A$24:$B$29,2,FALSE)</f>
        <v>30-39</v>
      </c>
      <c r="L685" s="13" t="s">
        <v>429</v>
      </c>
      <c r="M685" s="23" t="s">
        <v>430</v>
      </c>
      <c r="N685" s="13" t="s">
        <v>152</v>
      </c>
      <c r="O685" s="46">
        <v>2</v>
      </c>
      <c r="P685" s="30" t="str">
        <f>VLOOKUP(O685,[3]Key!$E$2:$F$9,2,FALSE)</f>
        <v>Work</v>
      </c>
      <c r="Q685" s="13" t="s">
        <v>490</v>
      </c>
      <c r="R685" s="23" t="s">
        <v>153</v>
      </c>
      <c r="S685" s="13" t="s">
        <v>152</v>
      </c>
      <c r="T685" s="23">
        <v>1</v>
      </c>
      <c r="U685" s="30" t="str">
        <f>VLOOKUP(T685,[3]Key!$E$2:$F$9,2,FALSE)</f>
        <v>Home</v>
      </c>
      <c r="V685" s="30" t="str">
        <f t="shared" si="40"/>
        <v>Work-Home</v>
      </c>
      <c r="W685" s="51">
        <v>20000</v>
      </c>
      <c r="X685" s="50">
        <v>380</v>
      </c>
      <c r="Y685" s="50" t="str">
        <f t="shared" si="41"/>
        <v>Over 200</v>
      </c>
      <c r="Z685" s="50">
        <v>6</v>
      </c>
      <c r="AA685" s="50" t="str">
        <f t="shared" si="42"/>
        <v>Over 3.5</v>
      </c>
      <c r="AB685" s="23">
        <v>2</v>
      </c>
      <c r="AC685" s="30" t="str">
        <f>VLOOKUP(AB685,[3]Key!$C$20:$D$29,2,FALSE)</f>
        <v>Manual Labour</v>
      </c>
      <c r="AD685" s="23">
        <v>1</v>
      </c>
      <c r="AE685" s="30" t="str">
        <f>VLOOKUP(AD685,[3]Key!$E$20:$F$24,2,FALSE)</f>
        <v>&lt;300,000</v>
      </c>
      <c r="AF685" s="23">
        <v>2</v>
      </c>
      <c r="AG685" s="50">
        <v>1</v>
      </c>
      <c r="AH685" s="50">
        <v>3</v>
      </c>
      <c r="AI685" s="50">
        <v>4</v>
      </c>
      <c r="AJ685" s="50">
        <v>3</v>
      </c>
      <c r="AK685" s="46" t="s">
        <v>94</v>
      </c>
      <c r="AL685" s="36">
        <v>500</v>
      </c>
      <c r="AM685" t="str">
        <f t="shared" si="43"/>
        <v>0-1000</v>
      </c>
    </row>
    <row r="686" spans="1:39" x14ac:dyDescent="0.2">
      <c r="A686" s="44" t="s">
        <v>419</v>
      </c>
      <c r="B686" s="48">
        <v>0.43611111111111112</v>
      </c>
      <c r="C686" s="48"/>
      <c r="D686" s="48" t="s">
        <v>150</v>
      </c>
      <c r="E686" s="13">
        <v>2</v>
      </c>
      <c r="F686" s="38" t="str">
        <f>VLOOKUP(E686,[3]Key!$A$17:$B$21,2,FALSE)</f>
        <v>Road Vehicle</v>
      </c>
      <c r="G686" s="49">
        <v>6</v>
      </c>
      <c r="H686" s="39" t="str">
        <f>VLOOKUP(G686,[3]Key!$A$2:$B$14,2,FALSE)</f>
        <v>Large Bus</v>
      </c>
      <c r="I686" s="13" t="s">
        <v>109</v>
      </c>
      <c r="J686" s="13">
        <v>2</v>
      </c>
      <c r="K686" s="40" t="str">
        <f>VLOOKUP(J686,[3]Key!$A$24:$B$29,2,FALSE)</f>
        <v>30-39</v>
      </c>
      <c r="L686" s="13" t="s">
        <v>479</v>
      </c>
      <c r="M686" s="23" t="s">
        <v>421</v>
      </c>
      <c r="N686" s="13" t="s">
        <v>152</v>
      </c>
      <c r="O686" s="46">
        <v>2</v>
      </c>
      <c r="P686" s="30" t="str">
        <f>VLOOKUP(O686,[3]Key!$E$2:$F$9,2,FALSE)</f>
        <v>Work</v>
      </c>
      <c r="Q686" s="13" t="s">
        <v>176</v>
      </c>
      <c r="R686" s="23" t="s">
        <v>153</v>
      </c>
      <c r="S686" s="13" t="s">
        <v>152</v>
      </c>
      <c r="T686" s="23">
        <v>1</v>
      </c>
      <c r="U686" s="30" t="str">
        <f>VLOOKUP(T686,[3]Key!$E$2:$F$9,2,FALSE)</f>
        <v>Home</v>
      </c>
      <c r="V686" s="30" t="str">
        <f t="shared" si="40"/>
        <v>Work-Home</v>
      </c>
      <c r="W686" s="51">
        <v>20000</v>
      </c>
      <c r="X686" s="50">
        <v>200</v>
      </c>
      <c r="Y686" s="50" t="str">
        <f t="shared" si="41"/>
        <v>Over 200</v>
      </c>
      <c r="Z686" s="50">
        <v>4.5</v>
      </c>
      <c r="AA686" s="50" t="str">
        <f t="shared" si="42"/>
        <v>Over 3.5</v>
      </c>
      <c r="AB686" s="23">
        <v>6</v>
      </c>
      <c r="AC686" s="30" t="str">
        <f>VLOOKUP(AB686,[3]Key!$C$20:$D$29,2,FALSE)</f>
        <v>Businessman</v>
      </c>
      <c r="AD686" s="23">
        <v>3</v>
      </c>
      <c r="AE686" s="30" t="str">
        <f>VLOOKUP(AD686,[3]Key!$E$20:$F$24,2,FALSE)</f>
        <v>500,000-750,000</v>
      </c>
      <c r="AF686" s="23">
        <v>4</v>
      </c>
      <c r="AG686" s="50">
        <v>3</v>
      </c>
      <c r="AH686" s="50">
        <v>5</v>
      </c>
      <c r="AI686" s="50">
        <v>1</v>
      </c>
      <c r="AJ686" s="50">
        <v>2</v>
      </c>
      <c r="AK686" s="46" t="s">
        <v>94</v>
      </c>
      <c r="AL686" s="36">
        <v>5000</v>
      </c>
      <c r="AM686" t="str">
        <f t="shared" si="43"/>
        <v>5000-10000</v>
      </c>
    </row>
    <row r="687" spans="1:39" x14ac:dyDescent="0.2">
      <c r="A687" s="44" t="s">
        <v>423</v>
      </c>
      <c r="B687" s="48">
        <v>0.75069444444444444</v>
      </c>
      <c r="C687" s="48"/>
      <c r="D687" s="48" t="s">
        <v>150</v>
      </c>
      <c r="E687" s="13">
        <v>2</v>
      </c>
      <c r="F687" s="38" t="str">
        <f>VLOOKUP(E687,[3]Key!$A$17:$B$21,2,FALSE)</f>
        <v>Road Vehicle</v>
      </c>
      <c r="G687" s="49">
        <v>6</v>
      </c>
      <c r="H687" s="39" t="str">
        <f>VLOOKUP(G687,[3]Key!$A$2:$B$14,2,FALSE)</f>
        <v>Large Bus</v>
      </c>
      <c r="I687" s="13" t="s">
        <v>109</v>
      </c>
      <c r="J687" s="13">
        <v>2</v>
      </c>
      <c r="K687" s="40" t="str">
        <f>VLOOKUP(J687,[3]Key!$A$24:$B$29,2,FALSE)</f>
        <v>30-39</v>
      </c>
      <c r="L687" s="13" t="s">
        <v>448</v>
      </c>
      <c r="M687" s="23" t="s">
        <v>428</v>
      </c>
      <c r="N687" s="13" t="s">
        <v>152</v>
      </c>
      <c r="O687" s="46">
        <v>4</v>
      </c>
      <c r="P687" s="30" t="str">
        <f>VLOOKUP(O687,[3]Key!$E$2:$F$9,2,FALSE)</f>
        <v>Commercial</v>
      </c>
      <c r="Q687" s="13" t="s">
        <v>424</v>
      </c>
      <c r="R687" s="23" t="s">
        <v>421</v>
      </c>
      <c r="S687" s="13" t="s">
        <v>152</v>
      </c>
      <c r="T687" s="23">
        <v>4</v>
      </c>
      <c r="U687" s="30" t="str">
        <f>VLOOKUP(T687,[3]Key!$E$2:$F$9,2,FALSE)</f>
        <v>Commercial</v>
      </c>
      <c r="V687" s="30" t="str">
        <f t="shared" si="40"/>
        <v>Commercial-Commercial</v>
      </c>
      <c r="W687" s="51">
        <v>10000</v>
      </c>
      <c r="X687" s="50"/>
      <c r="Y687" s="50" t="str">
        <f t="shared" si="41"/>
        <v>0-10</v>
      </c>
      <c r="Z687" s="50">
        <v>2</v>
      </c>
      <c r="AA687" s="50" t="str">
        <f t="shared" si="42"/>
        <v>2.0-3.5</v>
      </c>
      <c r="AB687" s="23">
        <v>6</v>
      </c>
      <c r="AC687" s="30" t="str">
        <f>VLOOKUP(AB687,[3]Key!$C$20:$D$29,2,FALSE)</f>
        <v>Businessman</v>
      </c>
      <c r="AD687" s="23">
        <v>4</v>
      </c>
      <c r="AE687" s="30" t="str">
        <f>VLOOKUP(AD687,[3]Key!$E$20:$F$24,2,FALSE)</f>
        <v>750,000-1,000,000</v>
      </c>
      <c r="AF687" s="23">
        <v>3</v>
      </c>
      <c r="AG687" s="50">
        <v>5</v>
      </c>
      <c r="AH687" s="50">
        <v>1</v>
      </c>
      <c r="AI687" s="50">
        <v>4</v>
      </c>
      <c r="AJ687" s="50">
        <v>5</v>
      </c>
      <c r="AK687" s="46" t="s">
        <v>94</v>
      </c>
      <c r="AL687" s="36">
        <v>0</v>
      </c>
      <c r="AM687" t="str">
        <f t="shared" si="43"/>
        <v>0-1000</v>
      </c>
    </row>
    <row r="688" spans="1:39" x14ac:dyDescent="0.2">
      <c r="A688" s="44" t="s">
        <v>423</v>
      </c>
      <c r="B688" s="48">
        <v>0.73888888888888893</v>
      </c>
      <c r="C688" s="48"/>
      <c r="D688" s="48" t="s">
        <v>150</v>
      </c>
      <c r="E688" s="13">
        <v>2</v>
      </c>
      <c r="F688" s="38" t="str">
        <f>VLOOKUP(E688,[3]Key!$A$17:$B$21,2,FALSE)</f>
        <v>Road Vehicle</v>
      </c>
      <c r="G688" s="49">
        <v>6</v>
      </c>
      <c r="H688" s="39" t="str">
        <f>VLOOKUP(G688,[3]Key!$A$2:$B$14,2,FALSE)</f>
        <v>Large Bus</v>
      </c>
      <c r="I688" s="13" t="s">
        <v>109</v>
      </c>
      <c r="J688" s="13">
        <v>2</v>
      </c>
      <c r="K688" s="40" t="str">
        <f>VLOOKUP(J688,[3]Key!$A$24:$B$29,2,FALSE)</f>
        <v>30-39</v>
      </c>
      <c r="L688" s="13" t="s">
        <v>437</v>
      </c>
      <c r="M688" s="23" t="s">
        <v>175</v>
      </c>
      <c r="N688" s="13" t="s">
        <v>152</v>
      </c>
      <c r="O688" s="46">
        <v>1</v>
      </c>
      <c r="P688" s="30" t="str">
        <f>VLOOKUP(O688,[3]Key!$E$2:$F$9,2,FALSE)</f>
        <v>Home</v>
      </c>
      <c r="Q688" s="13" t="s">
        <v>424</v>
      </c>
      <c r="R688" s="23" t="s">
        <v>421</v>
      </c>
      <c r="S688" s="13" t="s">
        <v>152</v>
      </c>
      <c r="T688" s="23">
        <v>2</v>
      </c>
      <c r="U688" s="30" t="str">
        <f>VLOOKUP(T688,[3]Key!$E$2:$F$9,2,FALSE)</f>
        <v>Work</v>
      </c>
      <c r="V688" s="30" t="str">
        <f t="shared" si="40"/>
        <v>Home-Work</v>
      </c>
      <c r="W688" s="51">
        <v>10000</v>
      </c>
      <c r="X688" s="50"/>
      <c r="Y688" s="50" t="str">
        <f t="shared" si="41"/>
        <v>0-10</v>
      </c>
      <c r="Z688" s="50">
        <v>2.5</v>
      </c>
      <c r="AA688" s="50" t="str">
        <f t="shared" si="42"/>
        <v>2.0-3.5</v>
      </c>
      <c r="AB688" s="23">
        <v>2</v>
      </c>
      <c r="AC688" s="30" t="str">
        <f>VLOOKUP(AB688,[3]Key!$C$20:$D$29,2,FALSE)</f>
        <v>Manual Labour</v>
      </c>
      <c r="AD688" s="23">
        <v>1</v>
      </c>
      <c r="AE688" s="30" t="str">
        <f>VLOOKUP(AD688,[3]Key!$E$20:$F$24,2,FALSE)</f>
        <v>&lt;300,000</v>
      </c>
      <c r="AF688" s="23">
        <v>3</v>
      </c>
      <c r="AG688" s="50">
        <v>2</v>
      </c>
      <c r="AH688" s="50">
        <v>1</v>
      </c>
      <c r="AI688" s="50">
        <v>3</v>
      </c>
      <c r="AJ688" s="50">
        <v>4</v>
      </c>
      <c r="AK688" s="46" t="s">
        <v>94</v>
      </c>
      <c r="AL688" s="36">
        <v>2000</v>
      </c>
      <c r="AM688" t="str">
        <f t="shared" si="43"/>
        <v>2000-3000</v>
      </c>
    </row>
    <row r="689" spans="1:39" x14ac:dyDescent="0.2">
      <c r="A689" s="44" t="s">
        <v>423</v>
      </c>
      <c r="B689" s="48">
        <v>0.67361111111111116</v>
      </c>
      <c r="C689" s="48"/>
      <c r="D689" s="48" t="s">
        <v>150</v>
      </c>
      <c r="E689" s="13">
        <v>2</v>
      </c>
      <c r="F689" s="38" t="s">
        <v>102</v>
      </c>
      <c r="G689" s="49">
        <v>6</v>
      </c>
      <c r="H689" s="39" t="str">
        <f>VLOOKUP(G689,[3]Key!$A$2:$B$14,2,FALSE)</f>
        <v>Large Bus</v>
      </c>
      <c r="I689" s="13" t="s">
        <v>109</v>
      </c>
      <c r="J689" s="13">
        <v>2</v>
      </c>
      <c r="K689" s="40" t="str">
        <f>VLOOKUP(J689,[3]Key!$A$24:$B$29,2,FALSE)</f>
        <v>30-39</v>
      </c>
      <c r="L689" s="13" t="s">
        <v>424</v>
      </c>
      <c r="M689" s="23" t="s">
        <v>421</v>
      </c>
      <c r="N689" s="13" t="s">
        <v>152</v>
      </c>
      <c r="O689" s="46">
        <v>8</v>
      </c>
      <c r="P689" s="30" t="str">
        <f>VLOOKUP(O689,[3]Key!$E$2:$F$9,2,FALSE)</f>
        <v>Others</v>
      </c>
      <c r="Q689" s="13" t="s">
        <v>434</v>
      </c>
      <c r="R689" s="23" t="s">
        <v>153</v>
      </c>
      <c r="S689" s="13" t="s">
        <v>152</v>
      </c>
      <c r="T689" s="23">
        <v>8</v>
      </c>
      <c r="U689" s="30" t="str">
        <f>VLOOKUP(T689,[3]Key!$E$2:$F$9,2,FALSE)</f>
        <v>Others</v>
      </c>
      <c r="V689" s="30" t="str">
        <f t="shared" si="40"/>
        <v>Others-Others</v>
      </c>
      <c r="W689" s="51">
        <v>20000</v>
      </c>
      <c r="X689" s="50"/>
      <c r="Y689" s="50" t="str">
        <f t="shared" si="41"/>
        <v>0-10</v>
      </c>
      <c r="Z689" s="50">
        <v>5</v>
      </c>
      <c r="AA689" s="50" t="str">
        <f t="shared" si="42"/>
        <v>Over 3.5</v>
      </c>
      <c r="AB689" s="23">
        <v>6</v>
      </c>
      <c r="AC689" s="30" t="str">
        <f>VLOOKUP(AB689,[3]Key!$C$20:$D$29,2,FALSE)</f>
        <v>Businessman</v>
      </c>
      <c r="AD689" s="23">
        <v>1</v>
      </c>
      <c r="AE689" s="30" t="str">
        <f>VLOOKUP(AD689,[3]Key!$E$20:$F$24,2,FALSE)</f>
        <v>&lt;300,000</v>
      </c>
      <c r="AF689" s="23">
        <v>3</v>
      </c>
      <c r="AG689" s="50">
        <v>4</v>
      </c>
      <c r="AH689" s="50">
        <v>3</v>
      </c>
      <c r="AI689" s="50">
        <v>2</v>
      </c>
      <c r="AJ689" s="50">
        <v>3</v>
      </c>
      <c r="AK689" s="46" t="s">
        <v>94</v>
      </c>
      <c r="AL689" s="36">
        <v>2000</v>
      </c>
      <c r="AM689" t="str">
        <f t="shared" si="43"/>
        <v>2000-3000</v>
      </c>
    </row>
    <row r="690" spans="1:39" x14ac:dyDescent="0.2">
      <c r="A690" s="44" t="s">
        <v>423</v>
      </c>
      <c r="B690" s="48">
        <v>0.4916666666666667</v>
      </c>
      <c r="C690" s="48"/>
      <c r="D690" s="48" t="s">
        <v>150</v>
      </c>
      <c r="E690" s="13">
        <v>2</v>
      </c>
      <c r="F690" s="38" t="str">
        <f>VLOOKUP(E690,[3]Key!$A$17:$B$21,2,FALSE)</f>
        <v>Road Vehicle</v>
      </c>
      <c r="G690" s="49">
        <v>6</v>
      </c>
      <c r="H690" s="39" t="str">
        <f>VLOOKUP(G690,[3]Key!$A$2:$B$14,2,FALSE)</f>
        <v>Large Bus</v>
      </c>
      <c r="I690" s="13" t="s">
        <v>109</v>
      </c>
      <c r="J690" s="13">
        <v>2</v>
      </c>
      <c r="K690" s="40" t="str">
        <f>VLOOKUP(J690,[3]Key!$A$24:$B$29,2,FALSE)</f>
        <v>30-39</v>
      </c>
      <c r="L690" s="13" t="s">
        <v>203</v>
      </c>
      <c r="M690" s="23" t="s">
        <v>168</v>
      </c>
      <c r="N690" s="13" t="s">
        <v>152</v>
      </c>
      <c r="O690" s="46">
        <v>4</v>
      </c>
      <c r="P690" s="30" t="str">
        <f>VLOOKUP(O690,[3]Key!$E$2:$F$9,2,FALSE)</f>
        <v>Commercial</v>
      </c>
      <c r="Q690" s="13" t="s">
        <v>424</v>
      </c>
      <c r="R690" s="23" t="s">
        <v>421</v>
      </c>
      <c r="S690" s="13" t="s">
        <v>152</v>
      </c>
      <c r="T690" s="23">
        <v>4</v>
      </c>
      <c r="U690" s="30" t="str">
        <f>VLOOKUP(T690,[3]Key!$E$2:$F$9,2,FALSE)</f>
        <v>Commercial</v>
      </c>
      <c r="V690" s="30" t="str">
        <f t="shared" si="40"/>
        <v>Commercial-Commercial</v>
      </c>
      <c r="W690" s="51">
        <v>50000</v>
      </c>
      <c r="X690" s="50"/>
      <c r="Y690" s="50" t="str">
        <f t="shared" si="41"/>
        <v>0-10</v>
      </c>
      <c r="Z690" s="50">
        <v>6</v>
      </c>
      <c r="AA690" s="50" t="str">
        <f t="shared" si="42"/>
        <v>Over 3.5</v>
      </c>
      <c r="AB690" s="23">
        <v>6</v>
      </c>
      <c r="AC690" s="30" t="str">
        <f>VLOOKUP(AB690,[3]Key!$C$20:$D$29,2,FALSE)</f>
        <v>Businessman</v>
      </c>
      <c r="AD690" s="23">
        <v>2</v>
      </c>
      <c r="AE690" s="30" t="str">
        <f>VLOOKUP(AD690,[3]Key!$E$20:$F$24,2,FALSE)</f>
        <v>300,000-500,000</v>
      </c>
      <c r="AF690" s="23">
        <v>5</v>
      </c>
      <c r="AG690" s="50">
        <v>4</v>
      </c>
      <c r="AH690" s="50">
        <v>3</v>
      </c>
      <c r="AI690" s="50">
        <v>4</v>
      </c>
      <c r="AJ690" s="50">
        <v>2</v>
      </c>
      <c r="AK690" s="46" t="s">
        <v>94</v>
      </c>
      <c r="AL690" s="36">
        <v>10000</v>
      </c>
      <c r="AM690" t="str">
        <f t="shared" si="43"/>
        <v>Over 10000</v>
      </c>
    </row>
    <row r="691" spans="1:39" x14ac:dyDescent="0.2">
      <c r="A691" s="44" t="s">
        <v>423</v>
      </c>
      <c r="B691" s="48">
        <v>0.3923611111111111</v>
      </c>
      <c r="C691" s="48"/>
      <c r="D691" s="48" t="s">
        <v>150</v>
      </c>
      <c r="E691" s="13">
        <v>2</v>
      </c>
      <c r="F691" s="38" t="str">
        <f>VLOOKUP(E691,[3]Key!$A$17:$B$21,2,FALSE)</f>
        <v>Road Vehicle</v>
      </c>
      <c r="G691" s="49">
        <v>6</v>
      </c>
      <c r="H691" s="39" t="str">
        <f>VLOOKUP(G691,[3]Key!$A$2:$B$14,2,FALSE)</f>
        <v>Large Bus</v>
      </c>
      <c r="I691" s="13" t="s">
        <v>109</v>
      </c>
      <c r="J691" s="13">
        <v>2</v>
      </c>
      <c r="K691" s="40" t="str">
        <f>VLOOKUP(J691,[3]Key!$A$24:$B$29,2,FALSE)</f>
        <v>30-39</v>
      </c>
      <c r="L691" s="13" t="s">
        <v>491</v>
      </c>
      <c r="M691" s="23" t="s">
        <v>444</v>
      </c>
      <c r="N691" s="13" t="s">
        <v>152</v>
      </c>
      <c r="O691" s="46">
        <v>1</v>
      </c>
      <c r="P691" s="30" t="str">
        <f>VLOOKUP(O691,[3]Key!$E$2:$F$9,2,FALSE)</f>
        <v>Home</v>
      </c>
      <c r="Q691" s="13" t="s">
        <v>434</v>
      </c>
      <c r="R691" s="23" t="s">
        <v>153</v>
      </c>
      <c r="S691" s="13" t="s">
        <v>152</v>
      </c>
      <c r="T691" s="23">
        <v>2</v>
      </c>
      <c r="U691" s="30" t="str">
        <f>VLOOKUP(T691,[3]Key!$E$2:$F$9,2,FALSE)</f>
        <v>Work</v>
      </c>
      <c r="V691" s="30" t="str">
        <f t="shared" si="40"/>
        <v>Home-Work</v>
      </c>
      <c r="W691" s="51">
        <v>40000</v>
      </c>
      <c r="X691" s="50"/>
      <c r="Y691" s="50" t="str">
        <f t="shared" si="41"/>
        <v>0-10</v>
      </c>
      <c r="Z691" s="50">
        <v>9</v>
      </c>
      <c r="AA691" s="50" t="str">
        <f t="shared" si="42"/>
        <v>Over 3.5</v>
      </c>
      <c r="AB691" s="23">
        <v>6</v>
      </c>
      <c r="AC691" s="30" t="str">
        <f>VLOOKUP(AB691,[3]Key!$C$20:$D$29,2,FALSE)</f>
        <v>Businessman</v>
      </c>
      <c r="AD691" s="23">
        <v>4</v>
      </c>
      <c r="AE691" s="30" t="str">
        <f>VLOOKUP(AD691,[3]Key!$E$20:$F$24,2,FALSE)</f>
        <v>750,000-1,000,000</v>
      </c>
      <c r="AF691" s="23">
        <v>2</v>
      </c>
      <c r="AG691" s="50">
        <v>4</v>
      </c>
      <c r="AH691" s="50">
        <v>3</v>
      </c>
      <c r="AI691" s="50">
        <v>3</v>
      </c>
      <c r="AJ691" s="50">
        <v>4</v>
      </c>
      <c r="AK691" s="46" t="s">
        <v>94</v>
      </c>
      <c r="AL691" s="36">
        <v>5000</v>
      </c>
      <c r="AM691" t="str">
        <f t="shared" si="43"/>
        <v>5000-10000</v>
      </c>
    </row>
    <row r="692" spans="1:39" x14ac:dyDescent="0.2">
      <c r="A692" s="44" t="s">
        <v>423</v>
      </c>
      <c r="B692" s="48">
        <v>0.72291666666666676</v>
      </c>
      <c r="C692" s="48"/>
      <c r="D692" s="48" t="s">
        <v>150</v>
      </c>
      <c r="E692" s="13">
        <v>2</v>
      </c>
      <c r="F692" s="38" t="str">
        <f>VLOOKUP(E692,[3]Key!$A$17:$B$21,2,FALSE)</f>
        <v>Road Vehicle</v>
      </c>
      <c r="G692" s="49">
        <v>6</v>
      </c>
      <c r="H692" s="39" t="str">
        <f>VLOOKUP(G692,[3]Key!$A$2:$B$14,2,FALSE)</f>
        <v>Large Bus</v>
      </c>
      <c r="I692" s="13" t="s">
        <v>109</v>
      </c>
      <c r="J692" s="13">
        <v>2</v>
      </c>
      <c r="K692" s="40" t="str">
        <f>VLOOKUP(J692,[3]Key!$A$24:$B$29,2,FALSE)</f>
        <v>30-39</v>
      </c>
      <c r="L692" s="13" t="s">
        <v>487</v>
      </c>
      <c r="M692" s="23" t="s">
        <v>488</v>
      </c>
      <c r="N692" s="13" t="s">
        <v>152</v>
      </c>
      <c r="O692" s="46">
        <v>8</v>
      </c>
      <c r="P692" s="30" t="str">
        <f>VLOOKUP(O692,[3]Key!$E$2:$F$9,2,FALSE)</f>
        <v>Others</v>
      </c>
      <c r="Q692" s="13" t="s">
        <v>424</v>
      </c>
      <c r="R692" s="23" t="s">
        <v>421</v>
      </c>
      <c r="S692" s="13" t="s">
        <v>152</v>
      </c>
      <c r="T692" s="23">
        <v>8</v>
      </c>
      <c r="U692" s="30" t="str">
        <f>VLOOKUP(T692,[3]Key!$E$2:$F$9,2,FALSE)</f>
        <v>Others</v>
      </c>
      <c r="V692" s="30" t="str">
        <f t="shared" si="40"/>
        <v>Others-Others</v>
      </c>
      <c r="W692" s="51">
        <v>12000</v>
      </c>
      <c r="X692" s="50"/>
      <c r="Y692" s="50" t="str">
        <f t="shared" si="41"/>
        <v>0-10</v>
      </c>
      <c r="Z692" s="50">
        <v>1.5</v>
      </c>
      <c r="AA692" s="50" t="str">
        <f t="shared" si="42"/>
        <v>1.0-2.0</v>
      </c>
      <c r="AB692" s="23">
        <v>2</v>
      </c>
      <c r="AC692" s="30" t="str">
        <f>VLOOKUP(AB692,[3]Key!$C$20:$D$29,2,FALSE)</f>
        <v>Manual Labour</v>
      </c>
      <c r="AD692" s="23">
        <v>2</v>
      </c>
      <c r="AE692" s="30" t="str">
        <f>VLOOKUP(AD692,[3]Key!$E$20:$F$24,2,FALSE)</f>
        <v>300,000-500,000</v>
      </c>
      <c r="AF692" s="23">
        <v>3</v>
      </c>
      <c r="AG692" s="50">
        <v>4</v>
      </c>
      <c r="AH692" s="50">
        <v>4</v>
      </c>
      <c r="AI692" s="50">
        <v>3</v>
      </c>
      <c r="AJ692" s="50">
        <v>4</v>
      </c>
      <c r="AK692" s="46" t="s">
        <v>94</v>
      </c>
      <c r="AL692" s="36">
        <v>0</v>
      </c>
      <c r="AM692" t="str">
        <f t="shared" si="43"/>
        <v>0-1000</v>
      </c>
    </row>
    <row r="693" spans="1:39" x14ac:dyDescent="0.2">
      <c r="A693" s="44" t="s">
        <v>423</v>
      </c>
      <c r="B693" s="48">
        <v>0.31736111111111115</v>
      </c>
      <c r="C693" s="48"/>
      <c r="D693" s="48" t="s">
        <v>97</v>
      </c>
      <c r="E693" s="13">
        <v>2</v>
      </c>
      <c r="F693" s="38" t="str">
        <f>VLOOKUP(E693,[3]Key!$A$17:$B$21,2,FALSE)</f>
        <v>Road Vehicle</v>
      </c>
      <c r="G693" s="49">
        <v>6</v>
      </c>
      <c r="H693" s="39" t="str">
        <f>VLOOKUP(G693,[3]Key!$A$2:$B$14,2,FALSE)</f>
        <v>Large Bus</v>
      </c>
      <c r="I693" s="13" t="s">
        <v>109</v>
      </c>
      <c r="J693" s="13">
        <v>2</v>
      </c>
      <c r="K693" s="40" t="str">
        <f>VLOOKUP(J693,[3]Key!$A$24:$B$29,2,FALSE)</f>
        <v>30-39</v>
      </c>
      <c r="L693" s="13" t="s">
        <v>492</v>
      </c>
      <c r="M693" s="23" t="s">
        <v>421</v>
      </c>
      <c r="N693" s="13" t="s">
        <v>152</v>
      </c>
      <c r="O693" s="46">
        <v>2</v>
      </c>
      <c r="P693" s="30" t="str">
        <f>VLOOKUP(O693,[3]Key!$E$2:$F$9,2,FALSE)</f>
        <v>Work</v>
      </c>
      <c r="Q693" s="13" t="s">
        <v>493</v>
      </c>
      <c r="R693" s="23" t="s">
        <v>153</v>
      </c>
      <c r="S693" s="13" t="s">
        <v>152</v>
      </c>
      <c r="T693" s="23">
        <v>1</v>
      </c>
      <c r="U693" s="30" t="str">
        <f>VLOOKUP(T693,[3]Key!$E$2:$F$9,2,FALSE)</f>
        <v>Home</v>
      </c>
      <c r="V693" s="30" t="str">
        <f t="shared" si="40"/>
        <v>Work-Home</v>
      </c>
      <c r="W693" s="51">
        <v>200000</v>
      </c>
      <c r="X693" s="50">
        <v>280</v>
      </c>
      <c r="Y693" s="50" t="str">
        <f t="shared" si="41"/>
        <v>Over 200</v>
      </c>
      <c r="Z693" s="50">
        <v>5</v>
      </c>
      <c r="AA693" s="50" t="str">
        <f t="shared" si="42"/>
        <v>Over 3.5</v>
      </c>
      <c r="AB693" s="23">
        <v>10</v>
      </c>
      <c r="AC693" s="30" t="str">
        <f>VLOOKUP(AB693,[3]Key!$C$20:$D$29,2,FALSE)</f>
        <v>Other</v>
      </c>
      <c r="AD693" s="23">
        <v>1</v>
      </c>
      <c r="AE693" s="30" t="str">
        <f>VLOOKUP(AD693,[3]Key!$E$20:$F$24,2,FALSE)</f>
        <v>&lt;300,000</v>
      </c>
      <c r="AF693" s="23">
        <v>5</v>
      </c>
      <c r="AG693" s="50">
        <v>1</v>
      </c>
      <c r="AH693" s="50">
        <v>2</v>
      </c>
      <c r="AI693" s="50">
        <v>3</v>
      </c>
      <c r="AJ693" s="50">
        <v>4</v>
      </c>
      <c r="AK693" s="46" t="s">
        <v>94</v>
      </c>
      <c r="AL693" s="36">
        <v>4000</v>
      </c>
      <c r="AM693" t="str">
        <f t="shared" si="43"/>
        <v>3000-5000</v>
      </c>
    </row>
    <row r="694" spans="1:39" x14ac:dyDescent="0.2">
      <c r="A694" s="44" t="s">
        <v>423</v>
      </c>
      <c r="B694" s="48">
        <v>0.33333333333333331</v>
      </c>
      <c r="C694" s="48"/>
      <c r="D694" s="48" t="s">
        <v>97</v>
      </c>
      <c r="E694" s="13">
        <v>2</v>
      </c>
      <c r="F694" s="38" t="str">
        <f>VLOOKUP(E694,[3]Key!$A$17:$B$21,2,FALSE)</f>
        <v>Road Vehicle</v>
      </c>
      <c r="G694" s="49">
        <v>6</v>
      </c>
      <c r="H694" s="39" t="str">
        <f>VLOOKUP(G694,[3]Key!$A$2:$B$14,2,FALSE)</f>
        <v>Large Bus</v>
      </c>
      <c r="I694" s="13" t="s">
        <v>109</v>
      </c>
      <c r="J694" s="13">
        <v>2</v>
      </c>
      <c r="K694" s="40" t="str">
        <f>VLOOKUP(J694,[3]Key!$A$24:$B$29,2,FALSE)</f>
        <v>30-39</v>
      </c>
      <c r="L694" s="13" t="s">
        <v>195</v>
      </c>
      <c r="M694" s="23" t="s">
        <v>421</v>
      </c>
      <c r="N694" s="13" t="s">
        <v>152</v>
      </c>
      <c r="O694" s="46">
        <v>2</v>
      </c>
      <c r="P694" s="30" t="str">
        <f>VLOOKUP(O694,[3]Key!$E$2:$F$9,2,FALSE)</f>
        <v>Work</v>
      </c>
      <c r="Q694" s="13" t="s">
        <v>434</v>
      </c>
      <c r="R694" s="23" t="s">
        <v>153</v>
      </c>
      <c r="S694" s="13" t="s">
        <v>152</v>
      </c>
      <c r="T694" s="23">
        <v>1</v>
      </c>
      <c r="U694" s="30" t="str">
        <f>VLOOKUP(T694,[3]Key!$E$2:$F$9,2,FALSE)</f>
        <v>Home</v>
      </c>
      <c r="V694" s="30" t="str">
        <f t="shared" si="40"/>
        <v>Work-Home</v>
      </c>
      <c r="W694" s="51">
        <v>750000</v>
      </c>
      <c r="X694" s="50">
        <v>290</v>
      </c>
      <c r="Y694" s="50" t="str">
        <f t="shared" si="41"/>
        <v>Over 200</v>
      </c>
      <c r="Z694" s="50">
        <v>4.5</v>
      </c>
      <c r="AA694" s="50" t="str">
        <f t="shared" si="42"/>
        <v>Over 3.5</v>
      </c>
      <c r="AB694" s="23">
        <v>10</v>
      </c>
      <c r="AC694" s="30" t="str">
        <f>VLOOKUP(AB694,[3]Key!$C$20:$D$29,2,FALSE)</f>
        <v>Other</v>
      </c>
      <c r="AD694" s="23">
        <v>4</v>
      </c>
      <c r="AE694" s="30" t="str">
        <f>VLOOKUP(AD694,[3]Key!$E$20:$F$24,2,FALSE)</f>
        <v>750,000-1,000,000</v>
      </c>
      <c r="AF694" s="23">
        <v>2</v>
      </c>
      <c r="AG694" s="50">
        <v>1</v>
      </c>
      <c r="AH694" s="50">
        <v>5</v>
      </c>
      <c r="AI694" s="50">
        <v>4</v>
      </c>
      <c r="AJ694" s="50">
        <v>3</v>
      </c>
      <c r="AK694" s="46" t="s">
        <v>94</v>
      </c>
      <c r="AL694" s="36">
        <v>2000</v>
      </c>
      <c r="AM694" t="str">
        <f t="shared" si="43"/>
        <v>2000-3000</v>
      </c>
    </row>
    <row r="695" spans="1:39" ht="12" customHeight="1" x14ac:dyDescent="0.2">
      <c r="A695" s="44" t="s">
        <v>423</v>
      </c>
      <c r="B695" s="48">
        <v>0.7368055555555556</v>
      </c>
      <c r="C695" s="48"/>
      <c r="D695" s="48" t="s">
        <v>97</v>
      </c>
      <c r="E695" s="13">
        <v>2</v>
      </c>
      <c r="F695" s="38" t="str">
        <f>VLOOKUP(E695,[3]Key!$A$17:$B$21,2,FALSE)</f>
        <v>Road Vehicle</v>
      </c>
      <c r="G695" s="49">
        <v>6</v>
      </c>
      <c r="H695" s="39" t="str">
        <f>VLOOKUP(G695,[3]Key!$A$2:$B$14,2,FALSE)</f>
        <v>Large Bus</v>
      </c>
      <c r="I695" s="13" t="s">
        <v>109</v>
      </c>
      <c r="J695" s="13">
        <v>2</v>
      </c>
      <c r="K695" s="40" t="str">
        <f>VLOOKUP(J695,[3]Key!$A$24:$B$29,2,FALSE)</f>
        <v>30-39</v>
      </c>
      <c r="L695" s="13" t="s">
        <v>434</v>
      </c>
      <c r="M695" s="23" t="s">
        <v>153</v>
      </c>
      <c r="N695" s="13" t="s">
        <v>152</v>
      </c>
      <c r="O695" s="46">
        <v>2</v>
      </c>
      <c r="P695" s="30" t="str">
        <f>VLOOKUP(O695,[3]Key!$E$2:$F$9,2,FALSE)</f>
        <v>Work</v>
      </c>
      <c r="Q695" s="13" t="s">
        <v>424</v>
      </c>
      <c r="R695" s="23" t="s">
        <v>421</v>
      </c>
      <c r="S695" s="13" t="s">
        <v>152</v>
      </c>
      <c r="T695" s="23">
        <v>1</v>
      </c>
      <c r="U695" s="30" t="str">
        <f>VLOOKUP(T695,[3]Key!$E$2:$F$9,2,FALSE)</f>
        <v>Home</v>
      </c>
      <c r="V695" s="30" t="str">
        <f t="shared" si="40"/>
        <v>Work-Home</v>
      </c>
      <c r="W695" s="51">
        <v>800000</v>
      </c>
      <c r="X695" s="50">
        <v>216</v>
      </c>
      <c r="Y695" s="50" t="str">
        <f t="shared" si="41"/>
        <v>Over 200</v>
      </c>
      <c r="Z695" s="50">
        <v>5</v>
      </c>
      <c r="AA695" s="50" t="str">
        <f t="shared" si="42"/>
        <v>Over 3.5</v>
      </c>
      <c r="AB695" s="23">
        <v>10</v>
      </c>
      <c r="AC695" s="30" t="str">
        <f>VLOOKUP(AB695,[3]Key!$C$20:$D$29,2,FALSE)</f>
        <v>Other</v>
      </c>
      <c r="AD695" s="23">
        <v>4</v>
      </c>
      <c r="AE695" s="30" t="str">
        <f>VLOOKUP(AD695,[3]Key!$E$20:$F$24,2,FALSE)</f>
        <v>750,000-1,000,000</v>
      </c>
      <c r="AF695" s="23">
        <v>1</v>
      </c>
      <c r="AG695" s="50">
        <v>5</v>
      </c>
      <c r="AH695" s="50">
        <v>4</v>
      </c>
      <c r="AI695" s="50">
        <v>2</v>
      </c>
      <c r="AJ695" s="50">
        <v>3</v>
      </c>
      <c r="AK695" s="46" t="s">
        <v>94</v>
      </c>
      <c r="AL695" s="36">
        <v>0</v>
      </c>
      <c r="AM695" t="str">
        <f t="shared" si="43"/>
        <v>0-1000</v>
      </c>
    </row>
    <row r="696" spans="1:39" x14ac:dyDescent="0.2">
      <c r="A696" s="44" t="s">
        <v>423</v>
      </c>
      <c r="B696" s="48">
        <v>0.60416666666666663</v>
      </c>
      <c r="C696" s="48"/>
      <c r="D696" s="48" t="s">
        <v>97</v>
      </c>
      <c r="E696" s="13">
        <v>2</v>
      </c>
      <c r="F696" s="38" t="str">
        <f>VLOOKUP(E696,[3]Key!$A$17:$B$21,2,FALSE)</f>
        <v>Road Vehicle</v>
      </c>
      <c r="G696" s="49">
        <v>6</v>
      </c>
      <c r="H696" s="39" t="str">
        <f>VLOOKUP(G696,[3]Key!$A$2:$B$14,2,FALSE)</f>
        <v>Large Bus</v>
      </c>
      <c r="I696" s="13" t="s">
        <v>109</v>
      </c>
      <c r="J696" s="13">
        <v>2</v>
      </c>
      <c r="K696" s="40" t="str">
        <f>VLOOKUP(J696,[3]Key!$A$24:$B$29,2,FALSE)</f>
        <v>30-39</v>
      </c>
      <c r="L696" s="13" t="s">
        <v>434</v>
      </c>
      <c r="M696" s="23" t="s">
        <v>153</v>
      </c>
      <c r="N696" s="13" t="s">
        <v>152</v>
      </c>
      <c r="O696" s="46">
        <v>2</v>
      </c>
      <c r="P696" s="30" t="str">
        <f>VLOOKUP(O696,[3]Key!$E$2:$F$9,2,FALSE)</f>
        <v>Work</v>
      </c>
      <c r="Q696" s="13" t="s">
        <v>484</v>
      </c>
      <c r="R696" s="23" t="s">
        <v>485</v>
      </c>
      <c r="S696" s="13" t="s">
        <v>152</v>
      </c>
      <c r="T696" s="23">
        <v>1</v>
      </c>
      <c r="U696" s="30" t="str">
        <f>VLOOKUP(T696,[3]Key!$E$2:$F$9,2,FALSE)</f>
        <v>Home</v>
      </c>
      <c r="V696" s="30" t="str">
        <f t="shared" si="40"/>
        <v>Work-Home</v>
      </c>
      <c r="W696" s="51">
        <v>650000</v>
      </c>
      <c r="X696" s="50">
        <v>380</v>
      </c>
      <c r="Y696" s="50" t="str">
        <f t="shared" si="41"/>
        <v>Over 200</v>
      </c>
      <c r="Z696" s="50">
        <v>9</v>
      </c>
      <c r="AA696" s="50" t="str">
        <f t="shared" si="42"/>
        <v>Over 3.5</v>
      </c>
      <c r="AB696" s="23">
        <v>10</v>
      </c>
      <c r="AC696" s="30" t="str">
        <f>VLOOKUP(AB696,[3]Key!$C$20:$D$29,2,FALSE)</f>
        <v>Other</v>
      </c>
      <c r="AD696" s="23">
        <v>4</v>
      </c>
      <c r="AE696" s="30" t="str">
        <f>VLOOKUP(AD696,[3]Key!$E$20:$F$24,2,FALSE)</f>
        <v>750,000-1,000,000</v>
      </c>
      <c r="AF696" s="23">
        <v>1</v>
      </c>
      <c r="AG696" s="50">
        <v>2</v>
      </c>
      <c r="AH696" s="50">
        <v>3</v>
      </c>
      <c r="AI696" s="50">
        <v>4</v>
      </c>
      <c r="AJ696" s="50">
        <v>5</v>
      </c>
      <c r="AK696" s="46" t="s">
        <v>94</v>
      </c>
      <c r="AL696" s="36">
        <v>2000</v>
      </c>
      <c r="AM696" t="str">
        <f t="shared" si="43"/>
        <v>2000-3000</v>
      </c>
    </row>
    <row r="697" spans="1:39" x14ac:dyDescent="0.2">
      <c r="A697" s="44" t="s">
        <v>423</v>
      </c>
      <c r="B697" s="48">
        <v>0.58472222222222225</v>
      </c>
      <c r="C697" s="48"/>
      <c r="D697" s="48" t="s">
        <v>97</v>
      </c>
      <c r="E697" s="13">
        <v>2</v>
      </c>
      <c r="F697" s="38" t="str">
        <f>VLOOKUP(E697,[3]Key!$A$17:$B$21,2,FALSE)</f>
        <v>Road Vehicle</v>
      </c>
      <c r="G697" s="49">
        <v>6</v>
      </c>
      <c r="H697" s="39" t="str">
        <f>VLOOKUP(G697,[3]Key!$A$2:$B$14,2,FALSE)</f>
        <v>Large Bus</v>
      </c>
      <c r="I697" s="13" t="s">
        <v>109</v>
      </c>
      <c r="J697" s="13">
        <v>2</v>
      </c>
      <c r="K697" s="40" t="str">
        <f>VLOOKUP(J697,[3]Key!$A$24:$B$29,2,FALSE)</f>
        <v>30-39</v>
      </c>
      <c r="L697" s="13" t="s">
        <v>424</v>
      </c>
      <c r="M697" s="23" t="s">
        <v>421</v>
      </c>
      <c r="N697" s="13" t="s">
        <v>152</v>
      </c>
      <c r="O697" s="46">
        <v>2</v>
      </c>
      <c r="P697" s="30" t="str">
        <f>VLOOKUP(O697,[3]Key!$E$2:$F$9,2,FALSE)</f>
        <v>Work</v>
      </c>
      <c r="Q697" s="13" t="s">
        <v>434</v>
      </c>
      <c r="R697" s="23" t="s">
        <v>153</v>
      </c>
      <c r="S697" s="13" t="s">
        <v>152</v>
      </c>
      <c r="T697" s="23">
        <v>1</v>
      </c>
      <c r="U697" s="30" t="str">
        <f>VLOOKUP(T697,[3]Key!$E$2:$F$9,2,FALSE)</f>
        <v>Home</v>
      </c>
      <c r="V697" s="30" t="str">
        <f t="shared" si="40"/>
        <v>Work-Home</v>
      </c>
      <c r="W697" s="51">
        <v>750000</v>
      </c>
      <c r="X697" s="50">
        <v>300</v>
      </c>
      <c r="Y697" s="50" t="str">
        <f t="shared" si="41"/>
        <v>Over 200</v>
      </c>
      <c r="Z697" s="50">
        <v>5.5</v>
      </c>
      <c r="AA697" s="50" t="str">
        <f t="shared" si="42"/>
        <v>Over 3.5</v>
      </c>
      <c r="AB697" s="23">
        <v>10</v>
      </c>
      <c r="AC697" s="30" t="str">
        <f>VLOOKUP(AB697,[3]Key!$C$20:$D$29,2,FALSE)</f>
        <v>Other</v>
      </c>
      <c r="AD697" s="23">
        <v>3</v>
      </c>
      <c r="AE697" s="30" t="str">
        <f>VLOOKUP(AD697,[3]Key!$E$20:$F$24,2,FALSE)</f>
        <v>500,000-750,000</v>
      </c>
      <c r="AF697" s="23">
        <v>3</v>
      </c>
      <c r="AG697" s="50">
        <v>4</v>
      </c>
      <c r="AH697" s="50">
        <v>5</v>
      </c>
      <c r="AI697" s="50">
        <v>2</v>
      </c>
      <c r="AJ697" s="50">
        <v>1</v>
      </c>
      <c r="AK697" s="46" t="s">
        <v>94</v>
      </c>
      <c r="AL697" s="36">
        <v>1000</v>
      </c>
      <c r="AM697" t="str">
        <f t="shared" si="43"/>
        <v>1000-2000</v>
      </c>
    </row>
    <row r="698" spans="1:39" x14ac:dyDescent="0.2">
      <c r="A698" s="44" t="s">
        <v>423</v>
      </c>
      <c r="B698" s="48">
        <v>0.8208333333333333</v>
      </c>
      <c r="C698" s="48"/>
      <c r="D698" s="48" t="s">
        <v>97</v>
      </c>
      <c r="E698" s="13">
        <v>2</v>
      </c>
      <c r="F698" s="38" t="str">
        <f>VLOOKUP(E698,[3]Key!$A$17:$B$21,2,FALSE)</f>
        <v>Road Vehicle</v>
      </c>
      <c r="G698" s="49">
        <v>6</v>
      </c>
      <c r="H698" s="39" t="str">
        <f>VLOOKUP(G698,[3]Key!$A$2:$B$14,2,FALSE)</f>
        <v>Large Bus</v>
      </c>
      <c r="I698" s="13" t="s">
        <v>109</v>
      </c>
      <c r="J698" s="13">
        <v>2</v>
      </c>
      <c r="K698" s="40" t="str">
        <f>VLOOKUP(J698,[3]Key!$A$24:$B$29,2,FALSE)</f>
        <v>30-39</v>
      </c>
      <c r="L698" s="13" t="s">
        <v>424</v>
      </c>
      <c r="M698" s="23" t="s">
        <v>421</v>
      </c>
      <c r="N698" s="13" t="s">
        <v>152</v>
      </c>
      <c r="O698" s="46">
        <v>2</v>
      </c>
      <c r="P698" s="30" t="str">
        <f>VLOOKUP(O698,[3]Key!$E$2:$F$9,2,FALSE)</f>
        <v>Work</v>
      </c>
      <c r="Q698" s="13" t="s">
        <v>434</v>
      </c>
      <c r="R698" s="23" t="s">
        <v>153</v>
      </c>
      <c r="S698" s="13" t="s">
        <v>152</v>
      </c>
      <c r="T698" s="23">
        <v>1</v>
      </c>
      <c r="U698" s="30" t="str">
        <f>VLOOKUP(T698,[3]Key!$E$2:$F$9,2,FALSE)</f>
        <v>Home</v>
      </c>
      <c r="V698" s="30" t="str">
        <f t="shared" si="40"/>
        <v>Work-Home</v>
      </c>
      <c r="W698" s="51">
        <v>600000</v>
      </c>
      <c r="X698" s="50">
        <v>215</v>
      </c>
      <c r="Y698" s="50" t="str">
        <f t="shared" si="41"/>
        <v>Over 200</v>
      </c>
      <c r="Z698" s="50">
        <v>5</v>
      </c>
      <c r="AA698" s="50" t="str">
        <f t="shared" si="42"/>
        <v>Over 3.5</v>
      </c>
      <c r="AB698" s="23">
        <v>10</v>
      </c>
      <c r="AC698" s="30" t="str">
        <f>VLOOKUP(AB698,[3]Key!$C$20:$D$29,2,FALSE)</f>
        <v>Other</v>
      </c>
      <c r="AD698" s="23">
        <v>4</v>
      </c>
      <c r="AE698" s="30" t="str">
        <f>VLOOKUP(AD698,[3]Key!$E$20:$F$24,2,FALSE)</f>
        <v>750,000-1,000,000</v>
      </c>
      <c r="AF698" s="23">
        <v>1</v>
      </c>
      <c r="AG698" s="50">
        <v>2</v>
      </c>
      <c r="AH698" s="50">
        <v>3</v>
      </c>
      <c r="AI698" s="50">
        <v>4</v>
      </c>
      <c r="AJ698" s="50">
        <v>5</v>
      </c>
      <c r="AK698" s="46" t="s">
        <v>94</v>
      </c>
      <c r="AL698" s="36">
        <v>3000</v>
      </c>
      <c r="AM698" t="str">
        <f t="shared" si="43"/>
        <v>3000-5000</v>
      </c>
    </row>
    <row r="699" spans="1:39" x14ac:dyDescent="0.2">
      <c r="A699" s="44" t="s">
        <v>423</v>
      </c>
      <c r="B699" s="48">
        <v>0.81388888888888899</v>
      </c>
      <c r="C699" s="48"/>
      <c r="D699" s="48" t="s">
        <v>97</v>
      </c>
      <c r="E699" s="13">
        <v>2</v>
      </c>
      <c r="F699" s="38" t="str">
        <f>VLOOKUP(E699,[3]Key!$A$17:$B$21,2,FALSE)</f>
        <v>Road Vehicle</v>
      </c>
      <c r="G699" s="49">
        <v>6</v>
      </c>
      <c r="H699" s="39" t="str">
        <f>VLOOKUP(G699,[3]Key!$A$2:$B$14,2,FALSE)</f>
        <v>Large Bus</v>
      </c>
      <c r="I699" s="13" t="s">
        <v>109</v>
      </c>
      <c r="J699" s="13">
        <v>2</v>
      </c>
      <c r="K699" s="40" t="str">
        <f>VLOOKUP(J699,[3]Key!$A$24:$B$29,2,FALSE)</f>
        <v>30-39</v>
      </c>
      <c r="L699" s="13" t="s">
        <v>494</v>
      </c>
      <c r="M699" s="23" t="s">
        <v>421</v>
      </c>
      <c r="N699" s="13" t="s">
        <v>152</v>
      </c>
      <c r="O699" s="46">
        <v>1</v>
      </c>
      <c r="P699" s="30" t="str">
        <f>VLOOKUP(O699,[3]Key!$E$2:$F$9,2,FALSE)</f>
        <v>Home</v>
      </c>
      <c r="Q699" s="13" t="s">
        <v>445</v>
      </c>
      <c r="R699" s="23" t="s">
        <v>153</v>
      </c>
      <c r="S699" s="13" t="s">
        <v>152</v>
      </c>
      <c r="T699" s="23">
        <v>2</v>
      </c>
      <c r="U699" s="30" t="str">
        <f>VLOOKUP(T699,[3]Key!$E$2:$F$9,2,FALSE)</f>
        <v>Work</v>
      </c>
      <c r="V699" s="30" t="str">
        <f t="shared" si="40"/>
        <v>Home-Work</v>
      </c>
      <c r="W699" s="51">
        <v>800000</v>
      </c>
      <c r="X699" s="50">
        <v>215</v>
      </c>
      <c r="Y699" s="50" t="str">
        <f t="shared" si="41"/>
        <v>Over 200</v>
      </c>
      <c r="Z699" s="50">
        <v>4.5</v>
      </c>
      <c r="AA699" s="50" t="str">
        <f t="shared" si="42"/>
        <v>Over 3.5</v>
      </c>
      <c r="AB699" s="23">
        <v>10</v>
      </c>
      <c r="AC699" s="30" t="str">
        <f>VLOOKUP(AB699,[3]Key!$C$20:$D$29,2,FALSE)</f>
        <v>Other</v>
      </c>
      <c r="AD699" s="23">
        <v>3</v>
      </c>
      <c r="AE699" s="30" t="str">
        <f>VLOOKUP(AD699,[3]Key!$E$20:$F$24,2,FALSE)</f>
        <v>500,000-750,000</v>
      </c>
      <c r="AF699" s="23">
        <v>2</v>
      </c>
      <c r="AG699" s="50">
        <v>1</v>
      </c>
      <c r="AH699" s="50">
        <v>3</v>
      </c>
      <c r="AI699" s="50">
        <v>4</v>
      </c>
      <c r="AJ699" s="50">
        <v>5</v>
      </c>
      <c r="AK699" s="46" t="s">
        <v>94</v>
      </c>
      <c r="AL699" s="36">
        <v>0</v>
      </c>
      <c r="AM699" t="str">
        <f t="shared" si="43"/>
        <v>0-1000</v>
      </c>
    </row>
    <row r="700" spans="1:39" x14ac:dyDescent="0.2">
      <c r="A700" s="44" t="s">
        <v>423</v>
      </c>
      <c r="B700" s="48"/>
      <c r="C700" s="48"/>
      <c r="D700" s="48" t="s">
        <v>150</v>
      </c>
      <c r="E700" s="13">
        <v>2</v>
      </c>
      <c r="F700" s="38" t="str">
        <f>VLOOKUP(E700,[3]Key!$A$17:$B$21,2,FALSE)</f>
        <v>Road Vehicle</v>
      </c>
      <c r="G700" s="49">
        <v>6</v>
      </c>
      <c r="H700" s="39" t="str">
        <f>VLOOKUP(G700,[3]Key!$A$2:$B$14,2,FALSE)</f>
        <v>Large Bus</v>
      </c>
      <c r="I700" s="13" t="s">
        <v>109</v>
      </c>
      <c r="J700" s="13">
        <v>2</v>
      </c>
      <c r="K700" s="40" t="str">
        <f>VLOOKUP(J700,[3]Key!$A$24:$B$29,2,FALSE)</f>
        <v>30-39</v>
      </c>
      <c r="L700" s="13" t="s">
        <v>424</v>
      </c>
      <c r="M700" s="23" t="s">
        <v>421</v>
      </c>
      <c r="N700" s="13" t="s">
        <v>152</v>
      </c>
      <c r="O700" s="46">
        <v>1</v>
      </c>
      <c r="P700" s="30" t="str">
        <f>VLOOKUP(O700,[3]Key!$E$2:$F$9,2,FALSE)</f>
        <v>Home</v>
      </c>
      <c r="Q700" s="13" t="s">
        <v>434</v>
      </c>
      <c r="R700" s="23" t="s">
        <v>153</v>
      </c>
      <c r="S700" s="13" t="s">
        <v>152</v>
      </c>
      <c r="T700" s="23">
        <v>2</v>
      </c>
      <c r="U700" s="30" t="str">
        <f>VLOOKUP(T700,[3]Key!$E$2:$F$9,2,FALSE)</f>
        <v>Work</v>
      </c>
      <c r="V700" s="30" t="str">
        <f t="shared" si="40"/>
        <v>Home-Work</v>
      </c>
      <c r="W700" s="51">
        <v>20000</v>
      </c>
      <c r="X700" s="50">
        <v>160</v>
      </c>
      <c r="Y700" s="50" t="str">
        <f t="shared" si="41"/>
        <v>100-200</v>
      </c>
      <c r="Z700" s="50">
        <v>4</v>
      </c>
      <c r="AA700" s="50" t="str">
        <f t="shared" si="42"/>
        <v>Over 3.5</v>
      </c>
      <c r="AB700" s="23">
        <v>2</v>
      </c>
      <c r="AC700" s="30" t="str">
        <f>VLOOKUP(AB700,[3]Key!$C$20:$D$29,2,FALSE)</f>
        <v>Manual Labour</v>
      </c>
      <c r="AD700" s="23">
        <v>2</v>
      </c>
      <c r="AE700" s="30" t="str">
        <f>VLOOKUP(AD700,[3]Key!$E$20:$F$24,2,FALSE)</f>
        <v>300,000-500,000</v>
      </c>
      <c r="AF700" s="23">
        <v>5</v>
      </c>
      <c r="AG700" s="50">
        <v>2</v>
      </c>
      <c r="AH700" s="50">
        <v>2</v>
      </c>
      <c r="AI700" s="50">
        <v>2</v>
      </c>
      <c r="AJ700" s="50">
        <v>2</v>
      </c>
      <c r="AK700" s="46" t="s">
        <v>94</v>
      </c>
      <c r="AL700" s="36">
        <v>0</v>
      </c>
      <c r="AM700" t="str">
        <f t="shared" si="43"/>
        <v>0-1000</v>
      </c>
    </row>
    <row r="701" spans="1:39" x14ac:dyDescent="0.2">
      <c r="A701" s="44" t="s">
        <v>423</v>
      </c>
      <c r="B701" s="48"/>
      <c r="C701" s="48"/>
      <c r="D701" s="48" t="s">
        <v>150</v>
      </c>
      <c r="E701" s="13">
        <v>2</v>
      </c>
      <c r="F701" s="38" t="str">
        <f>VLOOKUP(E701,[3]Key!$A$17:$B$21,2,FALSE)</f>
        <v>Road Vehicle</v>
      </c>
      <c r="G701" s="49">
        <v>6</v>
      </c>
      <c r="H701" s="39" t="str">
        <f>VLOOKUP(G701,[3]Key!$A$2:$B$14,2,FALSE)</f>
        <v>Large Bus</v>
      </c>
      <c r="I701" s="13" t="s">
        <v>109</v>
      </c>
      <c r="J701" s="13">
        <v>2</v>
      </c>
      <c r="K701" s="40" t="str">
        <f>VLOOKUP(J701,[3]Key!$A$24:$B$29,2,FALSE)</f>
        <v>30-39</v>
      </c>
      <c r="L701" s="13" t="s">
        <v>424</v>
      </c>
      <c r="M701" s="23" t="s">
        <v>421</v>
      </c>
      <c r="N701" s="13" t="s">
        <v>152</v>
      </c>
      <c r="O701" s="46">
        <v>1</v>
      </c>
      <c r="P701" s="30" t="str">
        <f>VLOOKUP(O701,[3]Key!$E$2:$F$9,2,FALSE)</f>
        <v>Home</v>
      </c>
      <c r="Q701" s="13" t="s">
        <v>434</v>
      </c>
      <c r="R701" s="23" t="s">
        <v>153</v>
      </c>
      <c r="S701" s="13" t="s">
        <v>152</v>
      </c>
      <c r="T701" s="23">
        <v>4</v>
      </c>
      <c r="U701" s="30" t="str">
        <f>VLOOKUP(T701,[3]Key!$E$2:$F$9,2,FALSE)</f>
        <v>Commercial</v>
      </c>
      <c r="V701" s="30" t="str">
        <f t="shared" si="40"/>
        <v>Home-Commercial</v>
      </c>
      <c r="W701" s="51">
        <v>20000</v>
      </c>
      <c r="X701" s="50">
        <v>260</v>
      </c>
      <c r="Y701" s="50" t="str">
        <f t="shared" si="41"/>
        <v>Over 200</v>
      </c>
      <c r="Z701" s="50">
        <v>4</v>
      </c>
      <c r="AA701" s="50" t="str">
        <f t="shared" si="42"/>
        <v>Over 3.5</v>
      </c>
      <c r="AB701" s="23">
        <v>6</v>
      </c>
      <c r="AC701" s="30" t="str">
        <f>VLOOKUP(AB701,[3]Key!$C$20:$D$29,2,FALSE)</f>
        <v>Businessman</v>
      </c>
      <c r="AD701" s="23">
        <v>1</v>
      </c>
      <c r="AE701" s="30" t="str">
        <f>VLOOKUP(AD701,[3]Key!$E$20:$F$24,2,FALSE)</f>
        <v>&lt;300,000</v>
      </c>
      <c r="AF701" s="23">
        <v>2</v>
      </c>
      <c r="AG701" s="50">
        <v>2</v>
      </c>
      <c r="AH701" s="50">
        <v>2</v>
      </c>
      <c r="AI701" s="50">
        <v>2</v>
      </c>
      <c r="AJ701" s="50">
        <v>2</v>
      </c>
      <c r="AK701" s="46" t="s">
        <v>94</v>
      </c>
      <c r="AL701" s="36">
        <v>0</v>
      </c>
      <c r="AM701" t="str">
        <f t="shared" si="43"/>
        <v>0-1000</v>
      </c>
    </row>
    <row r="702" spans="1:39" x14ac:dyDescent="0.2">
      <c r="A702" s="44" t="s">
        <v>423</v>
      </c>
      <c r="B702" s="48">
        <v>0.76041666666666663</v>
      </c>
      <c r="C702" s="48"/>
      <c r="D702" s="48" t="s">
        <v>150</v>
      </c>
      <c r="E702" s="13">
        <v>2</v>
      </c>
      <c r="F702" s="38" t="str">
        <f>VLOOKUP(E702,[3]Key!$A$17:$B$21,2,FALSE)</f>
        <v>Road Vehicle</v>
      </c>
      <c r="G702" s="49">
        <v>5</v>
      </c>
      <c r="H702" s="39" t="str">
        <f>VLOOKUP(G702,[3]Key!$A$2:$B$14,2,FALSE)</f>
        <v xml:space="preserve">Medium bus </v>
      </c>
      <c r="I702" s="13" t="s">
        <v>156</v>
      </c>
      <c r="J702" s="13">
        <v>2</v>
      </c>
      <c r="K702" s="40" t="str">
        <f>VLOOKUP(J702,[3]Key!$A$24:$B$29,2,FALSE)</f>
        <v>30-39</v>
      </c>
      <c r="L702" s="13" t="s">
        <v>427</v>
      </c>
      <c r="M702" s="23" t="s">
        <v>428</v>
      </c>
      <c r="N702" s="13" t="s">
        <v>152</v>
      </c>
      <c r="O702" s="46">
        <v>1</v>
      </c>
      <c r="P702" s="30" t="str">
        <f>VLOOKUP(O702,[3]Key!$E$2:$F$9,2,FALSE)</f>
        <v>Home</v>
      </c>
      <c r="Q702" s="13" t="s">
        <v>424</v>
      </c>
      <c r="R702" s="23" t="s">
        <v>421</v>
      </c>
      <c r="S702" s="13" t="s">
        <v>152</v>
      </c>
      <c r="T702" s="23">
        <v>2</v>
      </c>
      <c r="U702" s="30" t="str">
        <f>VLOOKUP(T702,[3]Key!$E$2:$F$9,2,FALSE)</f>
        <v>Work</v>
      </c>
      <c r="V702" s="30" t="str">
        <f t="shared" si="40"/>
        <v>Home-Work</v>
      </c>
      <c r="W702" s="51">
        <v>15000</v>
      </c>
      <c r="X702" s="50"/>
      <c r="Y702" s="50" t="str">
        <f t="shared" si="41"/>
        <v>0-10</v>
      </c>
      <c r="Z702" s="50">
        <v>2</v>
      </c>
      <c r="AA702" s="50" t="str">
        <f t="shared" si="42"/>
        <v>2.0-3.5</v>
      </c>
      <c r="AB702" s="23">
        <v>5</v>
      </c>
      <c r="AC702" s="30" t="str">
        <f>VLOOKUP(AB702,[3]Key!$C$20:$D$29,2,FALSE)</f>
        <v>Professional</v>
      </c>
      <c r="AD702" s="23">
        <v>3</v>
      </c>
      <c r="AE702" s="30" t="str">
        <f>VLOOKUP(AD702,[3]Key!$E$20:$F$24,2,FALSE)</f>
        <v>500,000-750,000</v>
      </c>
      <c r="AF702" s="23">
        <v>3</v>
      </c>
      <c r="AG702" s="50">
        <v>3</v>
      </c>
      <c r="AH702" s="50">
        <v>5</v>
      </c>
      <c r="AI702" s="50">
        <v>4</v>
      </c>
      <c r="AJ702" s="50">
        <v>4</v>
      </c>
      <c r="AK702" s="46" t="s">
        <v>94</v>
      </c>
      <c r="AL702" s="36">
        <v>10000</v>
      </c>
      <c r="AM702" t="str">
        <f t="shared" si="43"/>
        <v>Over 10000</v>
      </c>
    </row>
    <row r="703" spans="1:39" x14ac:dyDescent="0.2">
      <c r="A703" s="44" t="s">
        <v>423</v>
      </c>
      <c r="B703" s="48">
        <v>0.41597222222222219</v>
      </c>
      <c r="C703" s="48"/>
      <c r="D703" s="48" t="s">
        <v>150</v>
      </c>
      <c r="E703" s="13">
        <v>2</v>
      </c>
      <c r="F703" s="38" t="str">
        <f>VLOOKUP(E703,[3]Key!$A$17:$B$21,2,FALSE)</f>
        <v>Road Vehicle</v>
      </c>
      <c r="G703" s="49">
        <v>5</v>
      </c>
      <c r="H703" s="39" t="str">
        <f>VLOOKUP(G703,[3]Key!$A$2:$B$14,2,FALSE)</f>
        <v xml:space="preserve">Medium bus </v>
      </c>
      <c r="I703" s="13" t="s">
        <v>156</v>
      </c>
      <c r="J703" s="13">
        <v>2</v>
      </c>
      <c r="K703" s="40" t="str">
        <f>VLOOKUP(J703,[3]Key!$A$24:$B$29,2,FALSE)</f>
        <v>30-39</v>
      </c>
      <c r="L703" s="13" t="s">
        <v>424</v>
      </c>
      <c r="M703" s="23" t="s">
        <v>421</v>
      </c>
      <c r="N703" s="13" t="s">
        <v>152</v>
      </c>
      <c r="O703" s="46">
        <v>2</v>
      </c>
      <c r="P703" s="30" t="str">
        <f>VLOOKUP(O703,[3]Key!$E$2:$F$9,2,FALSE)</f>
        <v>Work</v>
      </c>
      <c r="Q703" s="13" t="s">
        <v>495</v>
      </c>
      <c r="R703" s="23" t="s">
        <v>421</v>
      </c>
      <c r="S703" s="13" t="s">
        <v>152</v>
      </c>
      <c r="T703" s="23">
        <v>1</v>
      </c>
      <c r="U703" s="30" t="str">
        <f>VLOOKUP(T703,[3]Key!$E$2:$F$9,2,FALSE)</f>
        <v>Home</v>
      </c>
      <c r="V703" s="30" t="str">
        <f t="shared" si="40"/>
        <v>Work-Home</v>
      </c>
      <c r="W703" s="51">
        <v>20000</v>
      </c>
      <c r="X703" s="50">
        <v>70</v>
      </c>
      <c r="Y703" s="50" t="str">
        <f t="shared" si="41"/>
        <v>70-100</v>
      </c>
      <c r="Z703" s="50">
        <v>2</v>
      </c>
      <c r="AA703" s="50" t="str">
        <f t="shared" si="42"/>
        <v>2.0-3.5</v>
      </c>
      <c r="AB703" s="23">
        <v>10</v>
      </c>
      <c r="AC703" s="30" t="str">
        <f>VLOOKUP(AB703,[3]Key!$C$20:$D$29,2,FALSE)</f>
        <v>Other</v>
      </c>
      <c r="AD703" s="23">
        <v>4</v>
      </c>
      <c r="AE703" s="30" t="str">
        <f>VLOOKUP(AD703,[3]Key!$E$20:$F$24,2,FALSE)</f>
        <v>750,000-1,000,000</v>
      </c>
      <c r="AF703" s="23">
        <v>5</v>
      </c>
      <c r="AG703" s="50">
        <v>3</v>
      </c>
      <c r="AH703" s="50">
        <v>4</v>
      </c>
      <c r="AI703" s="50">
        <v>2</v>
      </c>
      <c r="AJ703" s="50">
        <v>1</v>
      </c>
      <c r="AK703" s="46" t="s">
        <v>94</v>
      </c>
      <c r="AL703" s="36">
        <v>8000</v>
      </c>
      <c r="AM703" t="str">
        <f t="shared" si="43"/>
        <v>5000-10000</v>
      </c>
    </row>
    <row r="704" spans="1:39" x14ac:dyDescent="0.2">
      <c r="A704" s="44" t="s">
        <v>419</v>
      </c>
      <c r="B704" s="48">
        <v>0.50763888888888886</v>
      </c>
      <c r="C704" s="48"/>
      <c r="D704" s="48" t="s">
        <v>150</v>
      </c>
      <c r="E704" s="13">
        <v>2</v>
      </c>
      <c r="F704" s="38" t="str">
        <f>VLOOKUP(E704,[3]Key!$A$17:$B$21,2,FALSE)</f>
        <v>Road Vehicle</v>
      </c>
      <c r="G704" s="49">
        <v>5</v>
      </c>
      <c r="H704" s="39" t="str">
        <f>VLOOKUP(G704,[3]Key!$A$2:$B$14,2,FALSE)</f>
        <v xml:space="preserve">Medium bus </v>
      </c>
      <c r="I704" s="13" t="s">
        <v>109</v>
      </c>
      <c r="J704" s="13">
        <v>2</v>
      </c>
      <c r="K704" s="40" t="str">
        <f>VLOOKUP(J704,[3]Key!$A$24:$B$29,2,FALSE)</f>
        <v>30-39</v>
      </c>
      <c r="L704" s="13" t="s">
        <v>496</v>
      </c>
      <c r="M704" s="23" t="s">
        <v>421</v>
      </c>
      <c r="N704" s="13" t="s">
        <v>152</v>
      </c>
      <c r="O704" s="46">
        <v>2</v>
      </c>
      <c r="P704" s="30" t="str">
        <f>VLOOKUP(O704,[3]Key!$E$2:$F$9,2,FALSE)</f>
        <v>Work</v>
      </c>
      <c r="Q704" s="13" t="s">
        <v>490</v>
      </c>
      <c r="R704" s="23" t="s">
        <v>153</v>
      </c>
      <c r="S704" s="13" t="s">
        <v>152</v>
      </c>
      <c r="T704" s="23">
        <v>1</v>
      </c>
      <c r="U704" s="30" t="str">
        <f>VLOOKUP(T704,[3]Key!$E$2:$F$9,2,FALSE)</f>
        <v>Home</v>
      </c>
      <c r="V704" s="30" t="str">
        <f t="shared" si="40"/>
        <v>Work-Home</v>
      </c>
      <c r="W704" s="51">
        <v>20000</v>
      </c>
      <c r="X704" s="50">
        <v>400</v>
      </c>
      <c r="Y704" s="50" t="str">
        <f t="shared" si="41"/>
        <v>Over 200</v>
      </c>
      <c r="Z704" s="50">
        <v>4.5</v>
      </c>
      <c r="AA704" s="50" t="str">
        <f t="shared" si="42"/>
        <v>Over 3.5</v>
      </c>
      <c r="AB704" s="23">
        <v>2</v>
      </c>
      <c r="AC704" s="30" t="str">
        <f>VLOOKUP(AB704,[3]Key!$C$20:$D$29,2,FALSE)</f>
        <v>Manual Labour</v>
      </c>
      <c r="AD704" s="23">
        <v>1</v>
      </c>
      <c r="AE704" s="30" t="str">
        <f>VLOOKUP(AD704,[3]Key!$E$20:$F$24,2,FALSE)</f>
        <v>&lt;300,000</v>
      </c>
      <c r="AF704" s="23">
        <v>1</v>
      </c>
      <c r="AG704" s="50">
        <v>3</v>
      </c>
      <c r="AH704" s="50">
        <v>2</v>
      </c>
      <c r="AI704" s="50">
        <v>3</v>
      </c>
      <c r="AJ704" s="50">
        <v>4</v>
      </c>
      <c r="AK704" s="46" t="s">
        <v>94</v>
      </c>
      <c r="AL704" s="36">
        <v>10000</v>
      </c>
      <c r="AM704" t="str">
        <f t="shared" si="43"/>
        <v>Over 10000</v>
      </c>
    </row>
    <row r="705" spans="1:39" x14ac:dyDescent="0.2">
      <c r="A705" s="44" t="s">
        <v>423</v>
      </c>
      <c r="B705" s="48">
        <v>0.41805555555555557</v>
      </c>
      <c r="C705" s="48"/>
      <c r="D705" s="48" t="s">
        <v>97</v>
      </c>
      <c r="E705" s="13">
        <v>2</v>
      </c>
      <c r="F705" s="38" t="str">
        <f>VLOOKUP(E705,[3]Key!$A$17:$B$21,2,FALSE)</f>
        <v>Road Vehicle</v>
      </c>
      <c r="G705" s="49">
        <v>5</v>
      </c>
      <c r="H705" s="39" t="str">
        <f>VLOOKUP(G705,[3]Key!$A$2:$B$14,2,FALSE)</f>
        <v xml:space="preserve">Medium bus </v>
      </c>
      <c r="I705" s="13" t="s">
        <v>109</v>
      </c>
      <c r="J705" s="13">
        <v>2</v>
      </c>
      <c r="K705" s="40" t="str">
        <f>VLOOKUP(J705,[3]Key!$A$24:$B$29,2,FALSE)</f>
        <v>30-39</v>
      </c>
      <c r="L705" s="13" t="s">
        <v>424</v>
      </c>
      <c r="M705" s="23" t="s">
        <v>421</v>
      </c>
      <c r="N705" s="13" t="s">
        <v>152</v>
      </c>
      <c r="O705" s="46">
        <v>2</v>
      </c>
      <c r="P705" s="30" t="str">
        <f>VLOOKUP(O705,[3]Key!$E$2:$F$9,2,FALSE)</f>
        <v>Work</v>
      </c>
      <c r="Q705" s="13" t="s">
        <v>497</v>
      </c>
      <c r="R705" s="23" t="s">
        <v>498</v>
      </c>
      <c r="S705" s="13" t="s">
        <v>152</v>
      </c>
      <c r="T705" s="23">
        <v>1</v>
      </c>
      <c r="U705" s="30" t="str">
        <f>VLOOKUP(T705,[3]Key!$E$2:$F$9,2,FALSE)</f>
        <v>Home</v>
      </c>
      <c r="V705" s="30" t="str">
        <f t="shared" si="40"/>
        <v>Work-Home</v>
      </c>
      <c r="W705" s="51">
        <v>90000</v>
      </c>
      <c r="X705" s="50">
        <v>86</v>
      </c>
      <c r="Y705" s="50" t="str">
        <f t="shared" si="41"/>
        <v>70-100</v>
      </c>
      <c r="Z705" s="50">
        <v>2</v>
      </c>
      <c r="AA705" s="50" t="str">
        <f t="shared" si="42"/>
        <v>2.0-3.5</v>
      </c>
      <c r="AB705" s="23">
        <v>10</v>
      </c>
      <c r="AC705" s="30" t="str">
        <f>VLOOKUP(AB705,[3]Key!$C$20:$D$29,2,FALSE)</f>
        <v>Other</v>
      </c>
      <c r="AD705" s="23">
        <v>3</v>
      </c>
      <c r="AE705" s="30" t="str">
        <f>VLOOKUP(AD705,[3]Key!$E$20:$F$24,2,FALSE)</f>
        <v>500,000-750,000</v>
      </c>
      <c r="AF705" s="23">
        <v>5</v>
      </c>
      <c r="AG705" s="50">
        <v>4</v>
      </c>
      <c r="AH705" s="50">
        <v>1</v>
      </c>
      <c r="AI705" s="50">
        <v>2</v>
      </c>
      <c r="AJ705" s="50">
        <v>3</v>
      </c>
      <c r="AK705" s="46" t="s">
        <v>94</v>
      </c>
      <c r="AL705" s="36">
        <v>0</v>
      </c>
      <c r="AM705" t="str">
        <f t="shared" si="43"/>
        <v>0-1000</v>
      </c>
    </row>
    <row r="706" spans="1:39" x14ac:dyDescent="0.2">
      <c r="A706" s="44" t="s">
        <v>423</v>
      </c>
      <c r="B706" s="48">
        <v>0.3756944444444445</v>
      </c>
      <c r="C706" s="48"/>
      <c r="D706" s="48" t="s">
        <v>97</v>
      </c>
      <c r="E706" s="13">
        <v>2</v>
      </c>
      <c r="F706" s="38" t="str">
        <f>VLOOKUP(E706,[3]Key!$A$17:$B$21,2,FALSE)</f>
        <v>Road Vehicle</v>
      </c>
      <c r="G706" s="49">
        <v>5</v>
      </c>
      <c r="H706" s="39" t="str">
        <f>VLOOKUP(G706,[3]Key!$A$2:$B$14,2,FALSE)</f>
        <v xml:space="preserve">Medium bus </v>
      </c>
      <c r="I706" s="13" t="s">
        <v>109</v>
      </c>
      <c r="J706" s="13">
        <v>2</v>
      </c>
      <c r="K706" s="40" t="str">
        <f>VLOOKUP(J706,[3]Key!$A$24:$B$29,2,FALSE)</f>
        <v>30-39</v>
      </c>
      <c r="L706" s="13" t="s">
        <v>424</v>
      </c>
      <c r="M706" s="23" t="s">
        <v>421</v>
      </c>
      <c r="N706" s="13" t="s">
        <v>152</v>
      </c>
      <c r="O706" s="46">
        <v>1</v>
      </c>
      <c r="P706" s="30" t="str">
        <f>VLOOKUP(O706,[3]Key!$E$2:$F$9,2,FALSE)</f>
        <v>Home</v>
      </c>
      <c r="Q706" s="13" t="s">
        <v>454</v>
      </c>
      <c r="R706" s="23" t="s">
        <v>455</v>
      </c>
      <c r="S706" s="13" t="s">
        <v>152</v>
      </c>
      <c r="T706" s="23">
        <v>2</v>
      </c>
      <c r="U706" s="30" t="str">
        <f>VLOOKUP(T706,[3]Key!$E$2:$F$9,2,FALSE)</f>
        <v>Work</v>
      </c>
      <c r="V706" s="30" t="str">
        <f t="shared" ref="V706:V769" si="44">P706&amp;"-"&amp;U706</f>
        <v>Home-Work</v>
      </c>
      <c r="W706" s="51">
        <v>250000</v>
      </c>
      <c r="X706" s="50">
        <v>61</v>
      </c>
      <c r="Y706" s="50" t="str">
        <f t="shared" si="41"/>
        <v>40-70</v>
      </c>
      <c r="Z706" s="50">
        <v>1</v>
      </c>
      <c r="AA706" s="50" t="str">
        <f t="shared" si="42"/>
        <v>1.0-2.0</v>
      </c>
      <c r="AB706" s="23">
        <v>10</v>
      </c>
      <c r="AC706" s="30" t="str">
        <f>VLOOKUP(AB706,[3]Key!$C$20:$D$29,2,FALSE)</f>
        <v>Other</v>
      </c>
      <c r="AD706" s="23">
        <v>3</v>
      </c>
      <c r="AE706" s="30" t="str">
        <f>VLOOKUP(AD706,[3]Key!$E$20:$F$24,2,FALSE)</f>
        <v>500,000-750,000</v>
      </c>
      <c r="AF706" s="23">
        <v>1</v>
      </c>
      <c r="AG706" s="50">
        <v>2</v>
      </c>
      <c r="AH706" s="50">
        <v>5</v>
      </c>
      <c r="AI706" s="50">
        <v>4</v>
      </c>
      <c r="AJ706" s="50">
        <v>3</v>
      </c>
      <c r="AK706" s="46" t="s">
        <v>94</v>
      </c>
      <c r="AL706" s="36">
        <v>2000</v>
      </c>
      <c r="AM706" t="str">
        <f t="shared" si="43"/>
        <v>2000-3000</v>
      </c>
    </row>
    <row r="707" spans="1:39" x14ac:dyDescent="0.2">
      <c r="A707" s="44" t="s">
        <v>423</v>
      </c>
      <c r="B707" s="48">
        <v>0.3520833333333333</v>
      </c>
      <c r="C707" s="48"/>
      <c r="D707" s="48" t="s">
        <v>97</v>
      </c>
      <c r="E707" s="13">
        <v>2</v>
      </c>
      <c r="F707" s="38" t="str">
        <f>VLOOKUP(E707,[3]Key!$A$17:$B$21,2,FALSE)</f>
        <v>Road Vehicle</v>
      </c>
      <c r="G707" s="49">
        <v>5</v>
      </c>
      <c r="H707" s="39" t="str">
        <f>VLOOKUP(G707,[3]Key!$A$2:$B$14,2,FALSE)</f>
        <v xml:space="preserve">Medium bus </v>
      </c>
      <c r="I707" s="13" t="s">
        <v>109</v>
      </c>
      <c r="J707" s="13">
        <v>2</v>
      </c>
      <c r="K707" s="40" t="str">
        <f>VLOOKUP(J707,[3]Key!$A$24:$B$29,2,FALSE)</f>
        <v>30-39</v>
      </c>
      <c r="L707" s="13" t="s">
        <v>195</v>
      </c>
      <c r="M707" s="23" t="s">
        <v>421</v>
      </c>
      <c r="N707" s="13" t="s">
        <v>152</v>
      </c>
      <c r="O707" s="46">
        <v>2</v>
      </c>
      <c r="P707" s="30" t="str">
        <f>VLOOKUP(O707,[3]Key!$E$2:$F$9,2,FALSE)</f>
        <v>Work</v>
      </c>
      <c r="Q707" s="13" t="s">
        <v>454</v>
      </c>
      <c r="R707" s="23" t="s">
        <v>455</v>
      </c>
      <c r="S707" s="13" t="s">
        <v>152</v>
      </c>
      <c r="T707" s="23">
        <v>1</v>
      </c>
      <c r="U707" s="30" t="str">
        <f>VLOOKUP(T707,[3]Key!$E$2:$F$9,2,FALSE)</f>
        <v>Home</v>
      </c>
      <c r="V707" s="30" t="str">
        <f t="shared" si="44"/>
        <v>Work-Home</v>
      </c>
      <c r="W707" s="51">
        <v>200000</v>
      </c>
      <c r="X707" s="50">
        <v>74</v>
      </c>
      <c r="Y707" s="50" t="str">
        <f t="shared" ref="Y707:Y770" si="45">IF(X707&lt;10,"0-10",IF(X707&lt;20,"10-20",IF(X707&lt;40,"20-40",IF(X707&lt;70,"40-70",IF(X707&lt;100,"70-100",IF(X707&lt;200,"100-200","Over 200"))))))</f>
        <v>70-100</v>
      </c>
      <c r="Z707" s="50">
        <v>1.5</v>
      </c>
      <c r="AA707" s="50" t="str">
        <f t="shared" ref="AA707:AA770" si="46">IF(Z707&lt;0.5,"0-0.5",IF(Z707&lt;1,"0.5-1.0",IF(Z707&lt;2,"1.0-2.0",IF(Z707&lt;3.5,"2.0-3.5","Over 3.5"))))</f>
        <v>1.0-2.0</v>
      </c>
      <c r="AB707" s="23">
        <v>10</v>
      </c>
      <c r="AC707" s="30" t="str">
        <f>VLOOKUP(AB707,[3]Key!$C$20:$D$29,2,FALSE)</f>
        <v>Other</v>
      </c>
      <c r="AD707" s="23">
        <v>2</v>
      </c>
      <c r="AE707" s="30" t="str">
        <f>VLOOKUP(AD707,[3]Key!$E$20:$F$24,2,FALSE)</f>
        <v>300,000-500,000</v>
      </c>
      <c r="AF707" s="23">
        <v>2</v>
      </c>
      <c r="AG707" s="50">
        <v>1</v>
      </c>
      <c r="AH707" s="50">
        <v>3</v>
      </c>
      <c r="AI707" s="50">
        <v>4</v>
      </c>
      <c r="AJ707" s="50">
        <v>5</v>
      </c>
      <c r="AK707" s="46" t="s">
        <v>94</v>
      </c>
      <c r="AL707" s="36">
        <v>1000</v>
      </c>
      <c r="AM707" t="str">
        <f t="shared" ref="AM707:AM770" si="47">IF(AL707&lt;1000,"0-1000",IF(AL707&lt;2000,"1000-2000",IF(AL707&lt;3000,"2000-3000",IF(AL707&lt;5000,"3000-5000",IF(AL707&lt;10000,"5000-10000","Over 10000")))))</f>
        <v>1000-2000</v>
      </c>
    </row>
    <row r="708" spans="1:39" x14ac:dyDescent="0.2">
      <c r="A708" s="44" t="s">
        <v>419</v>
      </c>
      <c r="B708" s="48"/>
      <c r="C708" s="48"/>
      <c r="D708" s="48" t="s">
        <v>150</v>
      </c>
      <c r="E708" s="13">
        <v>2</v>
      </c>
      <c r="F708" s="38" t="s">
        <v>102</v>
      </c>
      <c r="G708" s="49">
        <v>4</v>
      </c>
      <c r="H708" s="39" t="str">
        <f>VLOOKUP(G708,[3]Key!$A$2:$B$14,2,FALSE)</f>
        <v>Minibus</v>
      </c>
      <c r="I708" s="13" t="s">
        <v>156</v>
      </c>
      <c r="J708" s="13">
        <v>2</v>
      </c>
      <c r="K708" s="40" t="str">
        <f>VLOOKUP(J708,[3]Key!$A$24:$B$29,2,FALSE)</f>
        <v>30-39</v>
      </c>
      <c r="L708" s="13" t="s">
        <v>424</v>
      </c>
      <c r="M708" s="23" t="s">
        <v>421</v>
      </c>
      <c r="N708" s="13" t="s">
        <v>152</v>
      </c>
      <c r="O708" s="46">
        <v>1</v>
      </c>
      <c r="P708" s="30" t="str">
        <f>VLOOKUP(O708,[3]Key!$E$2:$F$9,2,FALSE)</f>
        <v>Home</v>
      </c>
      <c r="Q708" s="13" t="s">
        <v>499</v>
      </c>
      <c r="R708" s="23" t="s">
        <v>430</v>
      </c>
      <c r="S708" s="13" t="s">
        <v>152</v>
      </c>
      <c r="T708" s="23">
        <v>8</v>
      </c>
      <c r="U708" s="30" t="str">
        <f>VLOOKUP(T708,[3]Key!$E$2:$F$9,2,FALSE)</f>
        <v>Others</v>
      </c>
      <c r="V708" s="30" t="str">
        <f t="shared" si="44"/>
        <v>Home-Others</v>
      </c>
      <c r="W708" s="51">
        <v>15000</v>
      </c>
      <c r="X708" s="50">
        <v>67</v>
      </c>
      <c r="Y708" s="50" t="str">
        <f t="shared" si="45"/>
        <v>40-70</v>
      </c>
      <c r="Z708" s="50">
        <v>2</v>
      </c>
      <c r="AA708" s="50" t="str">
        <f t="shared" si="46"/>
        <v>2.0-3.5</v>
      </c>
      <c r="AB708" s="23">
        <v>7</v>
      </c>
      <c r="AC708" s="30" t="str">
        <f>VLOOKUP(AB708,[3]Key!$C$20:$D$29,2,FALSE)</f>
        <v>Farmer</v>
      </c>
      <c r="AD708" s="23">
        <v>2</v>
      </c>
      <c r="AE708" s="30" t="str">
        <f>VLOOKUP(AD708,[3]Key!$E$20:$F$24,2,FALSE)</f>
        <v>300,000-500,000</v>
      </c>
      <c r="AF708" s="23">
        <v>1</v>
      </c>
      <c r="AG708" s="50">
        <v>1</v>
      </c>
      <c r="AH708" s="50">
        <v>1</v>
      </c>
      <c r="AI708" s="50">
        <v>1</v>
      </c>
      <c r="AJ708" s="50">
        <v>1</v>
      </c>
      <c r="AK708" s="46" t="s">
        <v>94</v>
      </c>
      <c r="AL708" s="36">
        <v>4000</v>
      </c>
      <c r="AM708" t="str">
        <f t="shared" si="47"/>
        <v>3000-5000</v>
      </c>
    </row>
    <row r="709" spans="1:39" x14ac:dyDescent="0.2">
      <c r="A709" s="44" t="s">
        <v>419</v>
      </c>
      <c r="B709" s="48"/>
      <c r="C709" s="48"/>
      <c r="D709" s="48" t="s">
        <v>150</v>
      </c>
      <c r="E709" s="13">
        <v>2</v>
      </c>
      <c r="F709" s="38" t="str">
        <f>VLOOKUP(E709,[3]Key!$A$17:$B$21,2,FALSE)</f>
        <v>Road Vehicle</v>
      </c>
      <c r="G709" s="49">
        <v>4</v>
      </c>
      <c r="H709" s="39" t="str">
        <f>VLOOKUP(G709,[3]Key!$A$2:$B$14,2,FALSE)</f>
        <v>Minibus</v>
      </c>
      <c r="I709" s="13" t="s">
        <v>156</v>
      </c>
      <c r="J709" s="13">
        <v>2</v>
      </c>
      <c r="K709" s="40" t="str">
        <f>VLOOKUP(J709,[3]Key!$A$24:$B$29,2,FALSE)</f>
        <v>30-39</v>
      </c>
      <c r="L709" s="13" t="s">
        <v>424</v>
      </c>
      <c r="M709" s="23" t="s">
        <v>421</v>
      </c>
      <c r="N709" s="13" t="s">
        <v>152</v>
      </c>
      <c r="O709" s="46">
        <v>1</v>
      </c>
      <c r="P709" s="30" t="str">
        <f>VLOOKUP(O709,[3]Key!$E$2:$F$9,2,FALSE)</f>
        <v>Home</v>
      </c>
      <c r="Q709" s="13" t="s">
        <v>500</v>
      </c>
      <c r="R709" s="23" t="s">
        <v>430</v>
      </c>
      <c r="S709" s="13" t="s">
        <v>152</v>
      </c>
      <c r="T709" s="23">
        <v>8</v>
      </c>
      <c r="U709" s="30" t="str">
        <f>VLOOKUP(T709,[3]Key!$E$2:$F$9,2,FALSE)</f>
        <v>Others</v>
      </c>
      <c r="V709" s="30" t="str">
        <f t="shared" si="44"/>
        <v>Home-Others</v>
      </c>
      <c r="W709" s="51">
        <v>15000</v>
      </c>
      <c r="X709" s="50">
        <v>57</v>
      </c>
      <c r="Y709" s="50" t="str">
        <f t="shared" si="45"/>
        <v>40-70</v>
      </c>
      <c r="Z709" s="50">
        <v>1.5</v>
      </c>
      <c r="AA709" s="50" t="str">
        <f t="shared" si="46"/>
        <v>1.0-2.0</v>
      </c>
      <c r="AB709" s="23">
        <v>2</v>
      </c>
      <c r="AC709" s="30" t="s">
        <v>125</v>
      </c>
      <c r="AD709" s="23">
        <v>1</v>
      </c>
      <c r="AE709" s="30" t="str">
        <f>VLOOKUP(AD709,[3]Key!$E$20:$F$24,2,FALSE)</f>
        <v>&lt;300,000</v>
      </c>
      <c r="AF709" s="23">
        <v>1</v>
      </c>
      <c r="AG709" s="50">
        <v>1</v>
      </c>
      <c r="AH709" s="50">
        <v>1</v>
      </c>
      <c r="AI709" s="50">
        <v>1</v>
      </c>
      <c r="AJ709" s="50">
        <v>1</v>
      </c>
      <c r="AK709" s="46" t="s">
        <v>94</v>
      </c>
      <c r="AL709" s="36">
        <v>4000</v>
      </c>
      <c r="AM709" t="str">
        <f t="shared" si="47"/>
        <v>3000-5000</v>
      </c>
    </row>
    <row r="710" spans="1:39" x14ac:dyDescent="0.2">
      <c r="A710" s="44" t="s">
        <v>419</v>
      </c>
      <c r="B710" s="48"/>
      <c r="C710" s="48"/>
      <c r="D710" s="48" t="s">
        <v>150</v>
      </c>
      <c r="E710" s="13">
        <v>2</v>
      </c>
      <c r="F710" s="38" t="str">
        <f>VLOOKUP(E710,[3]Key!$A$17:$B$21,2,FALSE)</f>
        <v>Road Vehicle</v>
      </c>
      <c r="G710" s="49">
        <v>4</v>
      </c>
      <c r="H710" s="39" t="str">
        <f>VLOOKUP(G710,[3]Key!$A$2:$B$14,2,FALSE)</f>
        <v>Minibus</v>
      </c>
      <c r="I710" s="13" t="s">
        <v>156</v>
      </c>
      <c r="J710" s="13">
        <v>2</v>
      </c>
      <c r="K710" s="40" t="str">
        <f>VLOOKUP(J710,[3]Key!$A$24:$B$29,2,FALSE)</f>
        <v>30-39</v>
      </c>
      <c r="L710" s="13" t="s">
        <v>424</v>
      </c>
      <c r="M710" s="23" t="s">
        <v>421</v>
      </c>
      <c r="N710" s="13" t="s">
        <v>152</v>
      </c>
      <c r="O710" s="46">
        <v>1</v>
      </c>
      <c r="P710" s="30" t="str">
        <f>VLOOKUP(O710,[3]Key!$E$2:$F$9,2,FALSE)</f>
        <v>Home</v>
      </c>
      <c r="Q710" s="13" t="s">
        <v>429</v>
      </c>
      <c r="R710" s="23" t="s">
        <v>430</v>
      </c>
      <c r="S710" s="13" t="s">
        <v>152</v>
      </c>
      <c r="T710" s="23">
        <v>4</v>
      </c>
      <c r="U710" s="30" t="str">
        <f>VLOOKUP(T710,[3]Key!$E$2:$F$9,2,FALSE)</f>
        <v>Commercial</v>
      </c>
      <c r="V710" s="30" t="str">
        <f t="shared" si="44"/>
        <v>Home-Commercial</v>
      </c>
      <c r="W710" s="23"/>
      <c r="X710" s="50"/>
      <c r="Y710" s="50" t="str">
        <f t="shared" si="45"/>
        <v>0-10</v>
      </c>
      <c r="Z710" s="50"/>
      <c r="AA710" s="50" t="str">
        <f t="shared" si="46"/>
        <v>0-0.5</v>
      </c>
      <c r="AB710" s="23">
        <v>6</v>
      </c>
      <c r="AC710" s="30" t="str">
        <f>VLOOKUP(AB710,[3]Key!$C$20:$D$29,2,FALSE)</f>
        <v>Businessman</v>
      </c>
      <c r="AD710" s="23">
        <v>2</v>
      </c>
      <c r="AE710" s="30" t="str">
        <f>VLOOKUP(AD710,[3]Key!$E$20:$F$24,2,FALSE)</f>
        <v>300,000-500,000</v>
      </c>
      <c r="AF710" s="23">
        <v>2</v>
      </c>
      <c r="AG710" s="50">
        <v>2</v>
      </c>
      <c r="AH710" s="50">
        <v>1</v>
      </c>
      <c r="AI710" s="50">
        <v>1</v>
      </c>
      <c r="AJ710" s="50">
        <v>1</v>
      </c>
      <c r="AK710" s="46" t="s">
        <v>94</v>
      </c>
      <c r="AL710" s="36">
        <v>1000</v>
      </c>
      <c r="AM710" t="str">
        <f t="shared" si="47"/>
        <v>1000-2000</v>
      </c>
    </row>
    <row r="711" spans="1:39" x14ac:dyDescent="0.2">
      <c r="A711" s="52" t="s">
        <v>423</v>
      </c>
      <c r="B711" s="53">
        <v>0.76736111111111116</v>
      </c>
      <c r="C711" s="53"/>
      <c r="D711" s="48" t="s">
        <v>150</v>
      </c>
      <c r="E711" s="13">
        <v>2</v>
      </c>
      <c r="F711" s="38" t="str">
        <f>VLOOKUP(E711,[3]Key!$A$17:$B$21,2,FALSE)</f>
        <v>Road Vehicle</v>
      </c>
      <c r="G711" s="49">
        <v>4</v>
      </c>
      <c r="H711" s="39" t="str">
        <f>VLOOKUP(G711,[3]Key!$A$2:$B$14,2,FALSE)</f>
        <v>Minibus</v>
      </c>
      <c r="I711" s="13" t="s">
        <v>156</v>
      </c>
      <c r="J711" s="13">
        <v>2</v>
      </c>
      <c r="K711" s="40" t="str">
        <f>VLOOKUP(J711,[3]Key!$A$24:$B$29,2,FALSE)</f>
        <v>30-39</v>
      </c>
      <c r="L711" s="13" t="s">
        <v>472</v>
      </c>
      <c r="M711" s="23" t="s">
        <v>439</v>
      </c>
      <c r="N711" s="13" t="s">
        <v>152</v>
      </c>
      <c r="O711" s="46">
        <v>2</v>
      </c>
      <c r="P711" s="30" t="str">
        <f>VLOOKUP(O711,[3]Key!$E$2:$F$9,2,FALSE)</f>
        <v>Work</v>
      </c>
      <c r="Q711" s="13" t="s">
        <v>424</v>
      </c>
      <c r="R711" s="23" t="s">
        <v>421</v>
      </c>
      <c r="S711" s="13" t="s">
        <v>152</v>
      </c>
      <c r="T711" s="23">
        <v>8</v>
      </c>
      <c r="U711" s="30" t="str">
        <f>VLOOKUP(T711,[3]Key!$E$2:$F$9,2,FALSE)</f>
        <v>Others</v>
      </c>
      <c r="V711" s="30" t="str">
        <f t="shared" si="44"/>
        <v>Work-Others</v>
      </c>
      <c r="W711" s="51">
        <v>8000</v>
      </c>
      <c r="X711" s="50"/>
      <c r="Y711" s="50" t="str">
        <f t="shared" si="45"/>
        <v>0-10</v>
      </c>
      <c r="Z711" s="50">
        <v>0.93</v>
      </c>
      <c r="AA711" s="50" t="str">
        <f t="shared" si="46"/>
        <v>0.5-1.0</v>
      </c>
      <c r="AB711" s="23">
        <v>6</v>
      </c>
      <c r="AC711" s="30" t="str">
        <f>VLOOKUP(AB711,[3]Key!$C$20:$D$29,2,FALSE)</f>
        <v>Businessman</v>
      </c>
      <c r="AD711" s="23">
        <v>4</v>
      </c>
      <c r="AE711" s="30" t="str">
        <f>VLOOKUP(AD711,[3]Key!$E$20:$F$24,2,FALSE)</f>
        <v>750,000-1,000,000</v>
      </c>
      <c r="AF711" s="23">
        <v>2</v>
      </c>
      <c r="AG711" s="50">
        <v>5</v>
      </c>
      <c r="AH711" s="50">
        <v>3</v>
      </c>
      <c r="AI711" s="50">
        <v>5</v>
      </c>
      <c r="AJ711" s="50">
        <v>4</v>
      </c>
      <c r="AK711" s="46" t="s">
        <v>94</v>
      </c>
      <c r="AL711" s="36">
        <v>0</v>
      </c>
      <c r="AM711" t="str">
        <f t="shared" si="47"/>
        <v>0-1000</v>
      </c>
    </row>
    <row r="712" spans="1:39" x14ac:dyDescent="0.2">
      <c r="A712" s="44" t="s">
        <v>423</v>
      </c>
      <c r="B712" s="48">
        <v>0.30277777777777776</v>
      </c>
      <c r="C712" s="48"/>
      <c r="D712" s="48" t="s">
        <v>150</v>
      </c>
      <c r="E712" s="13">
        <v>2</v>
      </c>
      <c r="F712" s="38" t="str">
        <f>VLOOKUP(E712,[3]Key!$A$17:$B$21,2,FALSE)</f>
        <v>Road Vehicle</v>
      </c>
      <c r="G712" s="49">
        <v>4</v>
      </c>
      <c r="H712" s="39" t="str">
        <f>VLOOKUP(G712,[3]Key!$A$2:$B$14,2,FALSE)</f>
        <v>Minibus</v>
      </c>
      <c r="I712" s="13" t="s">
        <v>156</v>
      </c>
      <c r="J712" s="13">
        <v>2</v>
      </c>
      <c r="K712" s="40" t="str">
        <f>VLOOKUP(J712,[3]Key!$A$24:$B$29,2,FALSE)</f>
        <v>30-39</v>
      </c>
      <c r="L712" s="13" t="s">
        <v>173</v>
      </c>
      <c r="M712" s="23" t="s">
        <v>421</v>
      </c>
      <c r="N712" s="13" t="s">
        <v>152</v>
      </c>
      <c r="O712" s="46">
        <v>4</v>
      </c>
      <c r="P712" s="30" t="str">
        <f>VLOOKUP(O712,[3]Key!$E$2:$F$9,2,FALSE)</f>
        <v>Commercial</v>
      </c>
      <c r="Q712" s="13" t="s">
        <v>501</v>
      </c>
      <c r="R712" s="23" t="s">
        <v>488</v>
      </c>
      <c r="S712" s="13" t="s">
        <v>152</v>
      </c>
      <c r="T712" s="23">
        <v>1</v>
      </c>
      <c r="U712" s="30" t="str">
        <f>VLOOKUP(T712,[3]Key!$E$2:$F$9,2,FALSE)</f>
        <v>Home</v>
      </c>
      <c r="V712" s="30" t="str">
        <f t="shared" si="44"/>
        <v>Commercial-Home</v>
      </c>
      <c r="W712" s="51">
        <v>5000</v>
      </c>
      <c r="X712" s="50">
        <v>45</v>
      </c>
      <c r="Y712" s="50" t="str">
        <f t="shared" si="45"/>
        <v>40-70</v>
      </c>
      <c r="Z712" s="50">
        <v>1</v>
      </c>
      <c r="AA712" s="50" t="str">
        <f t="shared" si="46"/>
        <v>1.0-2.0</v>
      </c>
      <c r="AB712" s="23">
        <v>6</v>
      </c>
      <c r="AC712" s="30" t="str">
        <f>VLOOKUP(AB712,[3]Key!$C$20:$D$29,2,FALSE)</f>
        <v>Businessman</v>
      </c>
      <c r="AD712" s="23">
        <v>1</v>
      </c>
      <c r="AE712" s="30" t="str">
        <f>VLOOKUP(AD712,[3]Key!$E$20:$F$24,2,FALSE)</f>
        <v>&lt;300,000</v>
      </c>
      <c r="AF712" s="23">
        <v>1</v>
      </c>
      <c r="AG712" s="50">
        <v>2</v>
      </c>
      <c r="AH712" s="50">
        <v>3</v>
      </c>
      <c r="AI712" s="50">
        <v>4</v>
      </c>
      <c r="AJ712" s="50">
        <v>5</v>
      </c>
      <c r="AK712" s="46" t="s">
        <v>94</v>
      </c>
      <c r="AL712" s="36">
        <v>0</v>
      </c>
      <c r="AM712" t="str">
        <f t="shared" si="47"/>
        <v>0-1000</v>
      </c>
    </row>
    <row r="713" spans="1:39" x14ac:dyDescent="0.2">
      <c r="A713" s="44" t="s">
        <v>423</v>
      </c>
      <c r="B713" s="48">
        <v>0.3833333333333333</v>
      </c>
      <c r="C713" s="48"/>
      <c r="D713" s="48" t="s">
        <v>150</v>
      </c>
      <c r="E713" s="13">
        <v>2</v>
      </c>
      <c r="F713" s="38" t="str">
        <f>VLOOKUP(E713,[3]Key!$A$17:$B$21,2,FALSE)</f>
        <v>Road Vehicle</v>
      </c>
      <c r="G713" s="49">
        <v>4</v>
      </c>
      <c r="H713" s="39" t="str">
        <f>VLOOKUP(G713,[3]Key!$A$2:$B$14,2,FALSE)</f>
        <v>Minibus</v>
      </c>
      <c r="I713" s="13" t="s">
        <v>156</v>
      </c>
      <c r="J713" s="13">
        <v>2</v>
      </c>
      <c r="K713" s="40" t="str">
        <f>VLOOKUP(J713,[3]Key!$A$24:$B$29,2,FALSE)</f>
        <v>30-39</v>
      </c>
      <c r="L713" s="13" t="s">
        <v>424</v>
      </c>
      <c r="M713" s="23" t="s">
        <v>421</v>
      </c>
      <c r="N713" s="13" t="s">
        <v>152</v>
      </c>
      <c r="O713" s="46">
        <v>2</v>
      </c>
      <c r="P713" s="30" t="str">
        <f>VLOOKUP(O713,[3]Key!$E$2:$F$9,2,FALSE)</f>
        <v>Work</v>
      </c>
      <c r="Q713" s="13" t="s">
        <v>502</v>
      </c>
      <c r="R713" s="23" t="s">
        <v>498</v>
      </c>
      <c r="S713" s="13" t="s">
        <v>152</v>
      </c>
      <c r="T713" s="23">
        <v>1</v>
      </c>
      <c r="U713" s="30" t="str">
        <f>VLOOKUP(T713,[3]Key!$E$2:$F$9,2,FALSE)</f>
        <v>Home</v>
      </c>
      <c r="V713" s="30" t="str">
        <f t="shared" si="44"/>
        <v>Work-Home</v>
      </c>
      <c r="W713" s="51">
        <v>70000</v>
      </c>
      <c r="X713" s="50">
        <v>25</v>
      </c>
      <c r="Y713" s="50" t="str">
        <f t="shared" si="45"/>
        <v>20-40</v>
      </c>
      <c r="Z713" s="50">
        <v>0.45</v>
      </c>
      <c r="AA713" s="50" t="str">
        <f t="shared" si="46"/>
        <v>0-0.5</v>
      </c>
      <c r="AB713" s="23">
        <v>10</v>
      </c>
      <c r="AC713" s="30" t="str">
        <f>VLOOKUP(AB713,[3]Key!$C$20:$D$29,2,FALSE)</f>
        <v>Other</v>
      </c>
      <c r="AD713" s="23">
        <v>3</v>
      </c>
      <c r="AE713" s="30" t="str">
        <f>VLOOKUP(AD713,[3]Key!$E$20:$F$24,2,FALSE)</f>
        <v>500,000-750,000</v>
      </c>
      <c r="AF713" s="23">
        <v>5</v>
      </c>
      <c r="AG713" s="50">
        <v>2</v>
      </c>
      <c r="AH713" s="50">
        <v>4</v>
      </c>
      <c r="AI713" s="50">
        <v>3</v>
      </c>
      <c r="AJ713" s="50">
        <v>1</v>
      </c>
      <c r="AK713" s="46" t="s">
        <v>94</v>
      </c>
      <c r="AL713" s="36">
        <v>3000</v>
      </c>
      <c r="AM713" t="str">
        <f t="shared" si="47"/>
        <v>3000-5000</v>
      </c>
    </row>
    <row r="714" spans="1:39" x14ac:dyDescent="0.2">
      <c r="A714" s="44" t="s">
        <v>423</v>
      </c>
      <c r="B714" s="48">
        <v>0.76111111111111107</v>
      </c>
      <c r="C714" s="48"/>
      <c r="D714" s="48" t="s">
        <v>150</v>
      </c>
      <c r="E714" s="13">
        <v>2</v>
      </c>
      <c r="F714" s="38" t="str">
        <f>VLOOKUP(E714,[3]Key!$A$17:$B$21,2,FALSE)</f>
        <v>Road Vehicle</v>
      </c>
      <c r="G714" s="49">
        <v>4</v>
      </c>
      <c r="H714" s="39" t="str">
        <f>VLOOKUP(G714,[3]Key!$A$2:$B$14,2,FALSE)</f>
        <v>Minibus</v>
      </c>
      <c r="I714" s="13" t="s">
        <v>156</v>
      </c>
      <c r="J714" s="13">
        <v>2</v>
      </c>
      <c r="K714" s="40" t="str">
        <f>VLOOKUP(J714,[3]Key!$A$24:$B$29,2,FALSE)</f>
        <v>30-39</v>
      </c>
      <c r="L714" s="13" t="s">
        <v>503</v>
      </c>
      <c r="M714" s="23" t="s">
        <v>421</v>
      </c>
      <c r="N714" s="13" t="s">
        <v>152</v>
      </c>
      <c r="O714" s="46">
        <v>2</v>
      </c>
      <c r="P714" s="30" t="str">
        <f>VLOOKUP(O714,[3]Key!$E$2:$F$9,2,FALSE)</f>
        <v>Work</v>
      </c>
      <c r="Q714" s="13" t="s">
        <v>195</v>
      </c>
      <c r="R714" s="23" t="s">
        <v>421</v>
      </c>
      <c r="S714" s="13" t="s">
        <v>152</v>
      </c>
      <c r="T714" s="23">
        <v>1</v>
      </c>
      <c r="U714" s="30" t="str">
        <f>VLOOKUP(T714,[3]Key!$E$2:$F$9,2,FALSE)</f>
        <v>Home</v>
      </c>
      <c r="V714" s="30" t="str">
        <f t="shared" si="44"/>
        <v>Work-Home</v>
      </c>
      <c r="W714" s="51">
        <v>10000</v>
      </c>
      <c r="X714" s="50">
        <v>61</v>
      </c>
      <c r="Y714" s="50" t="str">
        <f t="shared" si="45"/>
        <v>40-70</v>
      </c>
      <c r="Z714" s="50">
        <v>1</v>
      </c>
      <c r="AA714" s="50" t="str">
        <f t="shared" si="46"/>
        <v>1.0-2.0</v>
      </c>
      <c r="AB714" s="23">
        <v>7</v>
      </c>
      <c r="AC714" s="30" t="str">
        <f>VLOOKUP(AB714,[3]Key!$C$20:$D$29,2,FALSE)</f>
        <v>Farmer</v>
      </c>
      <c r="AD714" s="23">
        <v>1</v>
      </c>
      <c r="AE714" s="30" t="str">
        <f>VLOOKUP(AD714,[3]Key!$E$20:$F$24,2,FALSE)</f>
        <v>&lt;300,000</v>
      </c>
      <c r="AF714" s="23">
        <v>1</v>
      </c>
      <c r="AG714" s="50">
        <v>2</v>
      </c>
      <c r="AH714" s="50">
        <v>4</v>
      </c>
      <c r="AI714" s="50">
        <v>5</v>
      </c>
      <c r="AJ714" s="50">
        <v>3</v>
      </c>
      <c r="AK714" s="46" t="s">
        <v>94</v>
      </c>
      <c r="AL714" s="36">
        <v>500</v>
      </c>
      <c r="AM714" t="str">
        <f t="shared" si="47"/>
        <v>0-1000</v>
      </c>
    </row>
    <row r="715" spans="1:39" x14ac:dyDescent="0.2">
      <c r="A715" s="44" t="s">
        <v>433</v>
      </c>
      <c r="B715" s="48"/>
      <c r="C715" s="48"/>
      <c r="D715" s="48" t="s">
        <v>97</v>
      </c>
      <c r="E715" s="13">
        <v>2</v>
      </c>
      <c r="F715" s="38" t="str">
        <f>VLOOKUP(E715,[3]Key!$A$17:$B$21,2,FALSE)</f>
        <v>Road Vehicle</v>
      </c>
      <c r="G715" s="49">
        <v>4</v>
      </c>
      <c r="H715" s="39" t="str">
        <f>VLOOKUP(G715,[3]Key!$A$2:$B$14,2,FALSE)</f>
        <v>Minibus</v>
      </c>
      <c r="I715" s="13" t="s">
        <v>109</v>
      </c>
      <c r="J715" s="13">
        <v>2</v>
      </c>
      <c r="K715" s="40" t="str">
        <f>VLOOKUP(J715,[3]Key!$A$24:$B$29,2,FALSE)</f>
        <v>30-39</v>
      </c>
      <c r="L715" s="13" t="s">
        <v>424</v>
      </c>
      <c r="M715" s="23" t="s">
        <v>421</v>
      </c>
      <c r="N715" s="13" t="s">
        <v>152</v>
      </c>
      <c r="O715" s="46">
        <v>1</v>
      </c>
      <c r="P715" s="30" t="str">
        <f>VLOOKUP(O715,[3]Key!$E$2:$F$9,2,FALSE)</f>
        <v>Home</v>
      </c>
      <c r="Q715" s="13" t="s">
        <v>434</v>
      </c>
      <c r="R715" s="23" t="s">
        <v>153</v>
      </c>
      <c r="S715" s="13" t="s">
        <v>152</v>
      </c>
      <c r="T715" s="23">
        <v>2</v>
      </c>
      <c r="U715" s="30" t="str">
        <f>VLOOKUP(T715,[3]Key!$E$2:$F$9,2,FALSE)</f>
        <v>Work</v>
      </c>
      <c r="V715" s="30" t="str">
        <f t="shared" si="44"/>
        <v>Home-Work</v>
      </c>
      <c r="W715" s="51">
        <v>350000</v>
      </c>
      <c r="X715" s="50">
        <v>286</v>
      </c>
      <c r="Y715" s="50" t="str">
        <f t="shared" si="45"/>
        <v>Over 200</v>
      </c>
      <c r="Z715" s="50">
        <v>5</v>
      </c>
      <c r="AA715" s="50" t="str">
        <f t="shared" si="46"/>
        <v>Over 3.5</v>
      </c>
      <c r="AB715" s="23">
        <v>5</v>
      </c>
      <c r="AC715" s="30" t="str">
        <f>VLOOKUP(AB715,[3]Key!$C$20:$D$29,2,FALSE)</f>
        <v>Professional</v>
      </c>
      <c r="AD715" s="23">
        <v>3</v>
      </c>
      <c r="AE715" s="30" t="str">
        <f>VLOOKUP(AD715,[3]Key!$E$20:$F$24,2,FALSE)</f>
        <v>500,000-750,000</v>
      </c>
      <c r="AF715" s="23">
        <v>5</v>
      </c>
      <c r="AG715" s="50">
        <v>1</v>
      </c>
      <c r="AH715" s="50">
        <v>1</v>
      </c>
      <c r="AI715" s="50">
        <v>1</v>
      </c>
      <c r="AJ715" s="50">
        <v>1</v>
      </c>
      <c r="AK715" s="46" t="s">
        <v>94</v>
      </c>
      <c r="AL715" s="36">
        <v>3000</v>
      </c>
      <c r="AM715" t="str">
        <f t="shared" si="47"/>
        <v>3000-5000</v>
      </c>
    </row>
    <row r="716" spans="1:39" x14ac:dyDescent="0.2">
      <c r="A716" s="44" t="s">
        <v>433</v>
      </c>
      <c r="B716" s="48"/>
      <c r="C716" s="48"/>
      <c r="D716" s="48" t="s">
        <v>150</v>
      </c>
      <c r="E716" s="13">
        <v>2</v>
      </c>
      <c r="F716" s="38" t="str">
        <f>VLOOKUP(E716,[3]Key!$A$17:$B$21,2,FALSE)</f>
        <v>Road Vehicle</v>
      </c>
      <c r="G716" s="49">
        <v>4</v>
      </c>
      <c r="H716" s="39" t="str">
        <f>VLOOKUP(G716,[3]Key!$A$2:$B$14,2,FALSE)</f>
        <v>Minibus</v>
      </c>
      <c r="I716" s="13" t="s">
        <v>109</v>
      </c>
      <c r="J716" s="13">
        <v>2</v>
      </c>
      <c r="K716" s="40" t="str">
        <f>VLOOKUP(J716,[3]Key!$A$24:$B$29,2,FALSE)</f>
        <v>30-39</v>
      </c>
      <c r="L716" s="13" t="s">
        <v>424</v>
      </c>
      <c r="M716" s="23" t="s">
        <v>421</v>
      </c>
      <c r="N716" s="13" t="s">
        <v>152</v>
      </c>
      <c r="O716" s="46">
        <v>1</v>
      </c>
      <c r="P716" s="30" t="str">
        <f>VLOOKUP(O716,[3]Key!$E$2:$F$9,2,FALSE)</f>
        <v>Home</v>
      </c>
      <c r="Q716" s="13" t="s">
        <v>434</v>
      </c>
      <c r="R716" s="23" t="s">
        <v>153</v>
      </c>
      <c r="S716" s="13" t="s">
        <v>152</v>
      </c>
      <c r="T716" s="23">
        <v>2</v>
      </c>
      <c r="U716" s="30" t="str">
        <f>VLOOKUP(T716,[3]Key!$E$2:$F$9,2,FALSE)</f>
        <v>Work</v>
      </c>
      <c r="V716" s="30" t="str">
        <f t="shared" si="44"/>
        <v>Home-Work</v>
      </c>
      <c r="W716" s="51">
        <v>20000</v>
      </c>
      <c r="X716" s="50">
        <v>160</v>
      </c>
      <c r="Y716" s="50" t="str">
        <f t="shared" si="45"/>
        <v>100-200</v>
      </c>
      <c r="Z716" s="50">
        <v>5</v>
      </c>
      <c r="AA716" s="50" t="str">
        <f t="shared" si="46"/>
        <v>Over 3.5</v>
      </c>
      <c r="AB716" s="23">
        <v>2</v>
      </c>
      <c r="AC716" s="30" t="str">
        <f>VLOOKUP(AB716,[3]Key!$C$20:$D$29,2,FALSE)</f>
        <v>Manual Labour</v>
      </c>
      <c r="AD716" s="23">
        <v>1</v>
      </c>
      <c r="AE716" s="30" t="str">
        <f>VLOOKUP(AD716,[3]Key!$E$20:$F$24,2,FALSE)</f>
        <v>&lt;300,000</v>
      </c>
      <c r="AF716" s="23">
        <v>1</v>
      </c>
      <c r="AG716" s="50">
        <v>3</v>
      </c>
      <c r="AH716" s="50">
        <v>1</v>
      </c>
      <c r="AI716" s="50">
        <v>1</v>
      </c>
      <c r="AJ716" s="50">
        <v>1</v>
      </c>
      <c r="AK716" s="46" t="s">
        <v>94</v>
      </c>
      <c r="AL716" s="36">
        <v>3000</v>
      </c>
      <c r="AM716" t="str">
        <f t="shared" si="47"/>
        <v>3000-5000</v>
      </c>
    </row>
    <row r="717" spans="1:39" x14ac:dyDescent="0.2">
      <c r="A717" s="44" t="s">
        <v>433</v>
      </c>
      <c r="B717" s="48"/>
      <c r="C717" s="48"/>
      <c r="D717" s="48" t="s">
        <v>97</v>
      </c>
      <c r="E717" s="13">
        <v>2</v>
      </c>
      <c r="F717" s="38" t="str">
        <f>VLOOKUP(E717,[3]Key!$A$17:$B$21,2,FALSE)</f>
        <v>Road Vehicle</v>
      </c>
      <c r="G717" s="49">
        <v>4</v>
      </c>
      <c r="H717" s="39" t="str">
        <f>VLOOKUP(G717,[3]Key!$A$2:$B$14,2,FALSE)</f>
        <v>Minibus</v>
      </c>
      <c r="I717" s="13" t="s">
        <v>109</v>
      </c>
      <c r="J717" s="13">
        <v>2</v>
      </c>
      <c r="K717" s="40" t="str">
        <f>VLOOKUP(J717,[3]Key!$A$24:$B$29,2,FALSE)</f>
        <v>30-39</v>
      </c>
      <c r="L717" s="13" t="s">
        <v>424</v>
      </c>
      <c r="M717" s="23" t="s">
        <v>421</v>
      </c>
      <c r="N717" s="13" t="s">
        <v>152</v>
      </c>
      <c r="O717" s="46">
        <v>1</v>
      </c>
      <c r="P717" s="30" t="str">
        <f>VLOOKUP(O717,[3]Key!$E$2:$F$9,2,FALSE)</f>
        <v>Home</v>
      </c>
      <c r="Q717" s="13" t="s">
        <v>427</v>
      </c>
      <c r="R717" s="23" t="s">
        <v>428</v>
      </c>
      <c r="S717" s="13" t="s">
        <v>152</v>
      </c>
      <c r="T717" s="23">
        <v>2</v>
      </c>
      <c r="U717" s="30" t="str">
        <f>VLOOKUP(T717,[3]Key!$E$2:$F$9,2,FALSE)</f>
        <v>Work</v>
      </c>
      <c r="V717" s="30" t="str">
        <f t="shared" si="44"/>
        <v>Home-Work</v>
      </c>
      <c r="W717" s="51">
        <v>90000</v>
      </c>
      <c r="X717" s="50"/>
      <c r="Y717" s="50" t="str">
        <f t="shared" si="45"/>
        <v>0-10</v>
      </c>
      <c r="Z717" s="50">
        <v>5</v>
      </c>
      <c r="AA717" s="50" t="str">
        <f t="shared" si="46"/>
        <v>Over 3.5</v>
      </c>
      <c r="AB717" s="23">
        <v>2</v>
      </c>
      <c r="AC717" s="30" t="str">
        <f>VLOOKUP(AB717,[3]Key!$C$20:$D$29,2,FALSE)</f>
        <v>Manual Labour</v>
      </c>
      <c r="AD717" s="23">
        <v>3</v>
      </c>
      <c r="AE717" s="30" t="str">
        <f>VLOOKUP(AD717,[3]Key!$E$20:$F$24,2,FALSE)</f>
        <v>500,000-750,000</v>
      </c>
      <c r="AF717" s="23">
        <v>5</v>
      </c>
      <c r="AG717" s="50">
        <v>1</v>
      </c>
      <c r="AH717" s="50">
        <v>1</v>
      </c>
      <c r="AI717" s="50">
        <v>1</v>
      </c>
      <c r="AJ717" s="50">
        <v>1</v>
      </c>
      <c r="AK717" s="46" t="s">
        <v>94</v>
      </c>
      <c r="AL717" s="36">
        <v>1000</v>
      </c>
      <c r="AM717" t="str">
        <f t="shared" si="47"/>
        <v>1000-2000</v>
      </c>
    </row>
    <row r="718" spans="1:39" x14ac:dyDescent="0.2">
      <c r="A718" s="44" t="s">
        <v>419</v>
      </c>
      <c r="B718" s="48"/>
      <c r="C718" s="48"/>
      <c r="D718" s="48" t="s">
        <v>97</v>
      </c>
      <c r="E718" s="13">
        <v>2</v>
      </c>
      <c r="F718" s="38" t="str">
        <f>VLOOKUP(E718,[3]Key!$A$17:$B$21,2,FALSE)</f>
        <v>Road Vehicle</v>
      </c>
      <c r="G718" s="49">
        <v>4</v>
      </c>
      <c r="H718" s="39" t="str">
        <f>VLOOKUP(G718,[3]Key!$A$2:$B$14,2,FALSE)</f>
        <v>Minibus</v>
      </c>
      <c r="I718" s="13" t="s">
        <v>109</v>
      </c>
      <c r="J718" s="13">
        <v>2</v>
      </c>
      <c r="K718" s="40" t="str">
        <f>VLOOKUP(J718,[3]Key!$A$24:$B$29,2,FALSE)</f>
        <v>30-39</v>
      </c>
      <c r="L718" s="13" t="s">
        <v>424</v>
      </c>
      <c r="M718" s="23" t="s">
        <v>421</v>
      </c>
      <c r="N718" s="13" t="s">
        <v>152</v>
      </c>
      <c r="O718" s="46">
        <v>1</v>
      </c>
      <c r="P718" s="30" t="str">
        <f>VLOOKUP(O718,[3]Key!$E$2:$F$9,2,FALSE)</f>
        <v>Home</v>
      </c>
      <c r="Q718" s="13" t="s">
        <v>427</v>
      </c>
      <c r="R718" s="23" t="s">
        <v>428</v>
      </c>
      <c r="S718" s="13" t="s">
        <v>152</v>
      </c>
      <c r="T718" s="23">
        <v>2</v>
      </c>
      <c r="U718" s="30" t="str">
        <f>VLOOKUP(T718,[3]Key!$E$2:$F$9,2,FALSE)</f>
        <v>Work</v>
      </c>
      <c r="V718" s="30" t="str">
        <f t="shared" si="44"/>
        <v>Home-Work</v>
      </c>
      <c r="W718" s="51">
        <v>130000</v>
      </c>
      <c r="X718" s="50">
        <v>47</v>
      </c>
      <c r="Y718" s="50" t="str">
        <f t="shared" si="45"/>
        <v>40-70</v>
      </c>
      <c r="Z718" s="50">
        <v>3</v>
      </c>
      <c r="AA718" s="50" t="str">
        <f t="shared" si="46"/>
        <v>2.0-3.5</v>
      </c>
      <c r="AB718" s="23">
        <v>2</v>
      </c>
      <c r="AC718" s="30" t="str">
        <f>VLOOKUP(AB718,[3]Key!$C$20:$D$29,2,FALSE)</f>
        <v>Manual Labour</v>
      </c>
      <c r="AD718" s="23">
        <v>2</v>
      </c>
      <c r="AE718" s="30" t="str">
        <f>VLOOKUP(AD718,[3]Key!$E$20:$F$24,2,FALSE)</f>
        <v>300,000-500,000</v>
      </c>
      <c r="AF718" s="23">
        <v>5</v>
      </c>
      <c r="AG718" s="50">
        <v>2</v>
      </c>
      <c r="AH718" s="50">
        <v>1</v>
      </c>
      <c r="AI718" s="50">
        <v>1</v>
      </c>
      <c r="AJ718" s="50">
        <v>1</v>
      </c>
      <c r="AK718" s="46" t="s">
        <v>94</v>
      </c>
      <c r="AL718" s="36">
        <v>2000</v>
      </c>
      <c r="AM718" t="str">
        <f t="shared" si="47"/>
        <v>2000-3000</v>
      </c>
    </row>
    <row r="719" spans="1:39" x14ac:dyDescent="0.2">
      <c r="A719" s="44" t="s">
        <v>419</v>
      </c>
      <c r="B719" s="48"/>
      <c r="C719" s="48"/>
      <c r="D719" s="48" t="s">
        <v>97</v>
      </c>
      <c r="E719" s="13">
        <v>2</v>
      </c>
      <c r="F719" s="38" t="str">
        <f>VLOOKUP(E719,[3]Key!$A$17:$B$21,2,FALSE)</f>
        <v>Road Vehicle</v>
      </c>
      <c r="G719" s="49">
        <v>4</v>
      </c>
      <c r="H719" s="39" t="str">
        <f>VLOOKUP(G719,[3]Key!$A$2:$B$14,2,FALSE)</f>
        <v>Minibus</v>
      </c>
      <c r="I719" s="13" t="s">
        <v>109</v>
      </c>
      <c r="J719" s="13">
        <v>2</v>
      </c>
      <c r="K719" s="40" t="str">
        <f>VLOOKUP(J719,[3]Key!$A$24:$B$29,2,FALSE)</f>
        <v>30-39</v>
      </c>
      <c r="L719" s="13" t="s">
        <v>424</v>
      </c>
      <c r="M719" s="23" t="s">
        <v>421</v>
      </c>
      <c r="N719" s="13" t="s">
        <v>152</v>
      </c>
      <c r="O719" s="46">
        <v>1</v>
      </c>
      <c r="P719" s="30" t="str">
        <f>VLOOKUP(O719,[3]Key!$E$2:$F$9,2,FALSE)</f>
        <v>Home</v>
      </c>
      <c r="Q719" s="13" t="s">
        <v>504</v>
      </c>
      <c r="R719" s="23" t="s">
        <v>505</v>
      </c>
      <c r="S719" s="13" t="s">
        <v>152</v>
      </c>
      <c r="T719" s="23">
        <v>2</v>
      </c>
      <c r="U719" s="30" t="str">
        <f>VLOOKUP(T719,[3]Key!$E$2:$F$9,2,FALSE)</f>
        <v>Work</v>
      </c>
      <c r="V719" s="30" t="str">
        <f t="shared" si="44"/>
        <v>Home-Work</v>
      </c>
      <c r="W719" s="51">
        <v>250000</v>
      </c>
      <c r="X719" s="50">
        <v>250</v>
      </c>
      <c r="Y719" s="50" t="str">
        <f t="shared" si="45"/>
        <v>Over 200</v>
      </c>
      <c r="Z719" s="50">
        <v>4</v>
      </c>
      <c r="AA719" s="50" t="str">
        <f t="shared" si="46"/>
        <v>Over 3.5</v>
      </c>
      <c r="AB719" s="23">
        <v>2</v>
      </c>
      <c r="AC719" s="30" t="str">
        <f>VLOOKUP(AB719,[3]Key!$C$20:$D$29,2,FALSE)</f>
        <v>Manual Labour</v>
      </c>
      <c r="AD719" s="23">
        <v>1</v>
      </c>
      <c r="AE719" s="30" t="str">
        <f>VLOOKUP(AD719,[3]Key!$E$20:$F$24,2,FALSE)</f>
        <v>&lt;300,000</v>
      </c>
      <c r="AF719" s="23">
        <v>5</v>
      </c>
      <c r="AG719" s="50">
        <v>2</v>
      </c>
      <c r="AH719" s="50">
        <v>1</v>
      </c>
      <c r="AI719" s="50">
        <v>1</v>
      </c>
      <c r="AJ719" s="50">
        <v>1</v>
      </c>
      <c r="AK719" s="46" t="s">
        <v>94</v>
      </c>
      <c r="AL719" s="36">
        <v>0</v>
      </c>
      <c r="AM719" t="str">
        <f t="shared" si="47"/>
        <v>0-1000</v>
      </c>
    </row>
    <row r="720" spans="1:39" x14ac:dyDescent="0.2">
      <c r="A720" s="44" t="s">
        <v>419</v>
      </c>
      <c r="B720" s="48"/>
      <c r="C720" s="48"/>
      <c r="D720" s="48" t="s">
        <v>150</v>
      </c>
      <c r="E720" s="13">
        <v>2</v>
      </c>
      <c r="F720" s="38" t="str">
        <f>VLOOKUP(E720,[3]Key!$A$17:$B$21,2,FALSE)</f>
        <v>Road Vehicle</v>
      </c>
      <c r="G720" s="49">
        <v>4</v>
      </c>
      <c r="H720" s="39" t="str">
        <f>VLOOKUP(G720,[3]Key!$A$2:$B$14,2,FALSE)</f>
        <v>Minibus</v>
      </c>
      <c r="I720" s="13" t="s">
        <v>109</v>
      </c>
      <c r="J720" s="13">
        <v>2</v>
      </c>
      <c r="K720" s="40" t="str">
        <f>VLOOKUP(J720,[3]Key!$A$24:$B$29,2,FALSE)</f>
        <v>30-39</v>
      </c>
      <c r="L720" s="13" t="s">
        <v>424</v>
      </c>
      <c r="M720" s="23" t="s">
        <v>421</v>
      </c>
      <c r="N720" s="13" t="s">
        <v>152</v>
      </c>
      <c r="O720" s="46">
        <v>1</v>
      </c>
      <c r="P720" s="30" t="str">
        <f>VLOOKUP(O720,[3]Key!$E$2:$F$9,2,FALSE)</f>
        <v>Home</v>
      </c>
      <c r="Q720" s="13" t="s">
        <v>429</v>
      </c>
      <c r="R720" s="23" t="s">
        <v>430</v>
      </c>
      <c r="S720" s="13" t="s">
        <v>152</v>
      </c>
      <c r="T720" s="23">
        <v>1</v>
      </c>
      <c r="U720" s="30" t="str">
        <f>VLOOKUP(T720,[3]Key!$E$2:$F$9,2,FALSE)</f>
        <v>Home</v>
      </c>
      <c r="V720" s="30" t="str">
        <f t="shared" si="44"/>
        <v>Home-Home</v>
      </c>
      <c r="W720" s="51">
        <v>10000</v>
      </c>
      <c r="X720" s="50">
        <v>45</v>
      </c>
      <c r="Y720" s="50" t="str">
        <f t="shared" si="45"/>
        <v>40-70</v>
      </c>
      <c r="Z720" s="50">
        <v>3</v>
      </c>
      <c r="AA720" s="50" t="str">
        <f t="shared" si="46"/>
        <v>2.0-3.5</v>
      </c>
      <c r="AB720" s="23">
        <v>2</v>
      </c>
      <c r="AC720" s="30" t="str">
        <f>VLOOKUP(AB720,[3]Key!$C$20:$D$29,2,FALSE)</f>
        <v>Manual Labour</v>
      </c>
      <c r="AD720" s="23">
        <v>1</v>
      </c>
      <c r="AE720" s="30" t="str">
        <f>VLOOKUP(AD720,[3]Key!$E$20:$F$24,2,FALSE)</f>
        <v>&lt;300,000</v>
      </c>
      <c r="AF720" s="23">
        <v>1</v>
      </c>
      <c r="AG720" s="50">
        <v>1</v>
      </c>
      <c r="AH720" s="50">
        <v>1</v>
      </c>
      <c r="AI720" s="50">
        <v>1</v>
      </c>
      <c r="AJ720" s="50">
        <v>1</v>
      </c>
      <c r="AK720" s="46" t="s">
        <v>94</v>
      </c>
      <c r="AL720" s="36">
        <v>5000</v>
      </c>
      <c r="AM720" t="str">
        <f t="shared" si="47"/>
        <v>5000-10000</v>
      </c>
    </row>
    <row r="721" spans="1:39" x14ac:dyDescent="0.2">
      <c r="A721" s="44" t="s">
        <v>419</v>
      </c>
      <c r="B721" s="48"/>
      <c r="C721" s="48"/>
      <c r="D721" s="48" t="s">
        <v>97</v>
      </c>
      <c r="E721" s="13">
        <v>2</v>
      </c>
      <c r="F721" s="38" t="str">
        <f>VLOOKUP(E721,[3]Key!$A$17:$B$21,2,FALSE)</f>
        <v>Road Vehicle</v>
      </c>
      <c r="G721" s="49">
        <v>4</v>
      </c>
      <c r="H721" s="39" t="str">
        <f>VLOOKUP(G721,[3]Key!$A$2:$B$14,2,FALSE)</f>
        <v>Minibus</v>
      </c>
      <c r="I721" s="13" t="s">
        <v>109</v>
      </c>
      <c r="J721" s="13">
        <v>2</v>
      </c>
      <c r="K721" s="40" t="str">
        <f>VLOOKUP(J721,[3]Key!$A$24:$B$29,2,FALSE)</f>
        <v>30-39</v>
      </c>
      <c r="L721" s="13" t="s">
        <v>424</v>
      </c>
      <c r="M721" s="23" t="s">
        <v>421</v>
      </c>
      <c r="N721" s="13" t="s">
        <v>152</v>
      </c>
      <c r="O721" s="46">
        <v>1</v>
      </c>
      <c r="P721" s="30" t="str">
        <f>VLOOKUP(O721,[3]Key!$E$2:$F$9,2,FALSE)</f>
        <v>Home</v>
      </c>
      <c r="Q721" s="13" t="s">
        <v>506</v>
      </c>
      <c r="R721" s="23" t="s">
        <v>507</v>
      </c>
      <c r="S721" s="13" t="s">
        <v>152</v>
      </c>
      <c r="T721" s="23">
        <v>2</v>
      </c>
      <c r="U721" s="30" t="str">
        <f>VLOOKUP(T721,[3]Key!$E$2:$F$9,2,FALSE)</f>
        <v>Work</v>
      </c>
      <c r="V721" s="30" t="str">
        <f t="shared" si="44"/>
        <v>Home-Work</v>
      </c>
      <c r="W721" s="51">
        <v>220000</v>
      </c>
      <c r="X721" s="50">
        <v>200</v>
      </c>
      <c r="Y721" s="50" t="str">
        <f t="shared" si="45"/>
        <v>Over 200</v>
      </c>
      <c r="Z721" s="50">
        <v>3.5</v>
      </c>
      <c r="AA721" s="50" t="str">
        <f t="shared" si="46"/>
        <v>Over 3.5</v>
      </c>
      <c r="AB721" s="23">
        <v>2</v>
      </c>
      <c r="AC721" s="30" t="str">
        <f>VLOOKUP(AB721,[3]Key!$C$20:$D$29,2,FALSE)</f>
        <v>Manual Labour</v>
      </c>
      <c r="AD721" s="23">
        <v>4</v>
      </c>
      <c r="AE721" s="30" t="str">
        <f>VLOOKUP(AD721,[3]Key!$E$20:$F$24,2,FALSE)</f>
        <v>750,000-1,000,000</v>
      </c>
      <c r="AF721" s="23">
        <v>5</v>
      </c>
      <c r="AG721" s="50">
        <v>4</v>
      </c>
      <c r="AH721" s="50">
        <v>1</v>
      </c>
      <c r="AI721" s="50">
        <v>1</v>
      </c>
      <c r="AJ721" s="50">
        <v>1</v>
      </c>
      <c r="AK721" s="46" t="s">
        <v>94</v>
      </c>
      <c r="AL721" s="36">
        <v>0</v>
      </c>
      <c r="AM721" t="str">
        <f t="shared" si="47"/>
        <v>0-1000</v>
      </c>
    </row>
    <row r="722" spans="1:39" x14ac:dyDescent="0.2">
      <c r="A722" s="44" t="s">
        <v>419</v>
      </c>
      <c r="B722" s="48"/>
      <c r="C722" s="48"/>
      <c r="D722" s="48" t="s">
        <v>150</v>
      </c>
      <c r="E722" s="13">
        <v>2</v>
      </c>
      <c r="F722" s="38" t="str">
        <f>VLOOKUP(E722,[3]Key!$A$17:$B$21,2,FALSE)</f>
        <v>Road Vehicle</v>
      </c>
      <c r="G722" s="49">
        <v>4</v>
      </c>
      <c r="H722" s="39" t="str">
        <f>VLOOKUP(G722,[3]Key!$A$2:$B$14,2,FALSE)</f>
        <v>Minibus</v>
      </c>
      <c r="I722" s="13" t="s">
        <v>109</v>
      </c>
      <c r="J722" s="13">
        <v>2</v>
      </c>
      <c r="K722" s="40" t="str">
        <f>VLOOKUP(J722,[3]Key!$A$24:$B$29,2,FALSE)</f>
        <v>30-39</v>
      </c>
      <c r="L722" s="13" t="s">
        <v>424</v>
      </c>
      <c r="M722" s="23" t="s">
        <v>421</v>
      </c>
      <c r="N722" s="13" t="s">
        <v>152</v>
      </c>
      <c r="O722" s="46">
        <v>1</v>
      </c>
      <c r="P722" s="30" t="str">
        <f>VLOOKUP(O722,[3]Key!$E$2:$F$9,2,FALSE)</f>
        <v>Home</v>
      </c>
      <c r="Q722" s="13" t="s">
        <v>508</v>
      </c>
      <c r="R722" s="23" t="s">
        <v>507</v>
      </c>
      <c r="S722" s="13" t="s">
        <v>152</v>
      </c>
      <c r="T722" s="23">
        <v>8</v>
      </c>
      <c r="U722" s="30" t="str">
        <f>VLOOKUP(T722,[3]Key!$E$2:$F$9,2,FALSE)</f>
        <v>Others</v>
      </c>
      <c r="V722" s="30" t="str">
        <f t="shared" si="44"/>
        <v>Home-Others</v>
      </c>
      <c r="W722" s="51">
        <v>25000</v>
      </c>
      <c r="X722" s="50">
        <v>190</v>
      </c>
      <c r="Y722" s="50" t="str">
        <f t="shared" si="45"/>
        <v>100-200</v>
      </c>
      <c r="Z722" s="50">
        <v>4</v>
      </c>
      <c r="AA722" s="50" t="str">
        <f t="shared" si="46"/>
        <v>Over 3.5</v>
      </c>
      <c r="AB722" s="23">
        <v>5</v>
      </c>
      <c r="AC722" s="30" t="str">
        <f>VLOOKUP(AB722,[3]Key!$C$20:$D$29,2,FALSE)</f>
        <v>Professional</v>
      </c>
      <c r="AD722" s="23">
        <v>1</v>
      </c>
      <c r="AE722" s="30" t="str">
        <f>VLOOKUP(AD722,[3]Key!$E$20:$F$24,2,FALSE)</f>
        <v>&lt;300,000</v>
      </c>
      <c r="AF722" s="23">
        <v>5</v>
      </c>
      <c r="AG722" s="50">
        <v>2</v>
      </c>
      <c r="AH722" s="50">
        <v>1</v>
      </c>
      <c r="AI722" s="50">
        <v>1</v>
      </c>
      <c r="AJ722" s="50">
        <v>1</v>
      </c>
      <c r="AK722" s="46" t="s">
        <v>94</v>
      </c>
      <c r="AL722" s="36">
        <v>1000</v>
      </c>
      <c r="AM722" t="str">
        <f t="shared" si="47"/>
        <v>1000-2000</v>
      </c>
    </row>
    <row r="723" spans="1:39" x14ac:dyDescent="0.2">
      <c r="A723" s="44" t="s">
        <v>419</v>
      </c>
      <c r="B723" s="48"/>
      <c r="C723" s="48"/>
      <c r="D723" s="48" t="s">
        <v>97</v>
      </c>
      <c r="E723" s="13">
        <v>2</v>
      </c>
      <c r="F723" s="38" t="str">
        <f>VLOOKUP(E723,[3]Key!$A$17:$B$21,2,FALSE)</f>
        <v>Road Vehicle</v>
      </c>
      <c r="G723" s="49">
        <v>4</v>
      </c>
      <c r="H723" s="39" t="str">
        <f>VLOOKUP(G723,[3]Key!$A$2:$B$14,2,FALSE)</f>
        <v>Minibus</v>
      </c>
      <c r="I723" s="13" t="s">
        <v>109</v>
      </c>
      <c r="J723" s="13">
        <v>2</v>
      </c>
      <c r="K723" s="40" t="str">
        <f>VLOOKUP(J723,[3]Key!$A$24:$B$29,2,FALSE)</f>
        <v>30-39</v>
      </c>
      <c r="L723" s="13" t="s">
        <v>424</v>
      </c>
      <c r="M723" s="23" t="s">
        <v>421</v>
      </c>
      <c r="N723" s="13" t="s">
        <v>152</v>
      </c>
      <c r="O723" s="46">
        <v>1</v>
      </c>
      <c r="P723" s="30" t="s">
        <v>64</v>
      </c>
      <c r="Q723" s="13" t="s">
        <v>425</v>
      </c>
      <c r="R723" s="23" t="s">
        <v>426</v>
      </c>
      <c r="S723" s="13" t="s">
        <v>152</v>
      </c>
      <c r="T723" s="23">
        <v>2</v>
      </c>
      <c r="U723" s="30" t="str">
        <f>VLOOKUP(T723,[3]Key!$E$2:$F$9,2,FALSE)</f>
        <v>Work</v>
      </c>
      <c r="V723" s="30" t="str">
        <f t="shared" si="44"/>
        <v>Home-Work</v>
      </c>
      <c r="W723" s="51">
        <v>520000</v>
      </c>
      <c r="X723" s="50">
        <v>75</v>
      </c>
      <c r="Y723" s="50" t="str">
        <f t="shared" si="45"/>
        <v>70-100</v>
      </c>
      <c r="Z723" s="50">
        <v>2</v>
      </c>
      <c r="AA723" s="50" t="str">
        <f t="shared" si="46"/>
        <v>2.0-3.5</v>
      </c>
      <c r="AB723" s="23">
        <v>5</v>
      </c>
      <c r="AC723" s="30" t="str">
        <f>VLOOKUP(AB723,[3]Key!$C$20:$D$29,2,FALSE)</f>
        <v>Professional</v>
      </c>
      <c r="AD723" s="23">
        <v>4</v>
      </c>
      <c r="AE723" s="30" t="str">
        <f>VLOOKUP(AD723,[3]Key!$E$20:$F$24,2,FALSE)</f>
        <v>750,000-1,000,000</v>
      </c>
      <c r="AF723" s="23">
        <v>5</v>
      </c>
      <c r="AG723" s="50">
        <v>2</v>
      </c>
      <c r="AH723" s="50">
        <v>1</v>
      </c>
      <c r="AI723" s="50">
        <v>1</v>
      </c>
      <c r="AJ723" s="50">
        <v>1</v>
      </c>
      <c r="AK723" s="46" t="s">
        <v>94</v>
      </c>
      <c r="AL723" s="36">
        <v>4000</v>
      </c>
      <c r="AM723" t="str">
        <f t="shared" si="47"/>
        <v>3000-5000</v>
      </c>
    </row>
    <row r="724" spans="1:39" x14ac:dyDescent="0.2">
      <c r="A724" s="44" t="s">
        <v>419</v>
      </c>
      <c r="B724" s="48"/>
      <c r="C724" s="48"/>
      <c r="D724" s="48" t="s">
        <v>150</v>
      </c>
      <c r="E724" s="13">
        <v>2</v>
      </c>
      <c r="F724" s="38" t="str">
        <f>VLOOKUP(E724,[3]Key!$A$17:$B$21,2,FALSE)</f>
        <v>Road Vehicle</v>
      </c>
      <c r="G724" s="49">
        <v>4</v>
      </c>
      <c r="H724" s="39" t="str">
        <f>VLOOKUP(G724,[3]Key!$A$2:$B$14,2,FALSE)</f>
        <v>Minibus</v>
      </c>
      <c r="I724" s="13" t="s">
        <v>109</v>
      </c>
      <c r="J724" s="13">
        <v>2</v>
      </c>
      <c r="K724" s="40" t="str">
        <f>VLOOKUP(J724,[3]Key!$A$24:$B$29,2,FALSE)</f>
        <v>30-39</v>
      </c>
      <c r="L724" s="13" t="s">
        <v>424</v>
      </c>
      <c r="M724" s="23" t="s">
        <v>421</v>
      </c>
      <c r="N724" s="13" t="s">
        <v>152</v>
      </c>
      <c r="O724" s="46">
        <v>1</v>
      </c>
      <c r="P724" s="30" t="str">
        <f>VLOOKUP(O724,[3]Key!$E$2:$F$9,2,FALSE)</f>
        <v>Home</v>
      </c>
      <c r="Q724" s="13" t="s">
        <v>429</v>
      </c>
      <c r="R724" s="23" t="s">
        <v>430</v>
      </c>
      <c r="S724" s="13" t="s">
        <v>152</v>
      </c>
      <c r="T724" s="23">
        <v>8</v>
      </c>
      <c r="U724" s="30" t="str">
        <f>VLOOKUP(T724,[3]Key!$E$2:$F$9,2,FALSE)</f>
        <v>Others</v>
      </c>
      <c r="V724" s="30" t="str">
        <f t="shared" si="44"/>
        <v>Home-Others</v>
      </c>
      <c r="W724" s="23"/>
      <c r="X724" s="50"/>
      <c r="Y724" s="50" t="str">
        <f t="shared" si="45"/>
        <v>0-10</v>
      </c>
      <c r="Z724" s="50"/>
      <c r="AA724" s="50" t="str">
        <f t="shared" si="46"/>
        <v>0-0.5</v>
      </c>
      <c r="AB724" s="23">
        <v>7</v>
      </c>
      <c r="AC724" s="30" t="str">
        <f>VLOOKUP(AB724,[3]Key!$C$20:$D$29,2,FALSE)</f>
        <v>Farmer</v>
      </c>
      <c r="AD724" s="23">
        <v>1</v>
      </c>
      <c r="AE724" s="30" t="str">
        <f>VLOOKUP(AD724,[3]Key!$E$20:$F$24,2,FALSE)</f>
        <v>&lt;300,000</v>
      </c>
      <c r="AF724" s="23">
        <v>5</v>
      </c>
      <c r="AG724" s="50">
        <v>2</v>
      </c>
      <c r="AH724" s="50">
        <v>1</v>
      </c>
      <c r="AI724" s="50">
        <v>1</v>
      </c>
      <c r="AJ724" s="50">
        <v>1</v>
      </c>
      <c r="AK724" s="46" t="s">
        <v>94</v>
      </c>
      <c r="AL724" s="36">
        <v>5000</v>
      </c>
      <c r="AM724" t="str">
        <f t="shared" si="47"/>
        <v>5000-10000</v>
      </c>
    </row>
    <row r="725" spans="1:39" x14ac:dyDescent="0.2">
      <c r="A725" s="44" t="s">
        <v>419</v>
      </c>
      <c r="B725" s="48"/>
      <c r="C725" s="48"/>
      <c r="D725" s="48" t="s">
        <v>150</v>
      </c>
      <c r="E725" s="13">
        <v>2</v>
      </c>
      <c r="F725" s="38" t="str">
        <f>VLOOKUP(E725,[3]Key!$A$17:$B$21,2,FALSE)</f>
        <v>Road Vehicle</v>
      </c>
      <c r="G725" s="49">
        <v>4</v>
      </c>
      <c r="H725" s="39" t="str">
        <f>VLOOKUP(G725,[3]Key!$A$2:$B$14,2,FALSE)</f>
        <v>Minibus</v>
      </c>
      <c r="I725" s="13" t="s">
        <v>109</v>
      </c>
      <c r="J725" s="13">
        <v>2</v>
      </c>
      <c r="K725" s="40" t="str">
        <f>VLOOKUP(J725,[3]Key!$A$24:$B$29,2,FALSE)</f>
        <v>30-39</v>
      </c>
      <c r="L725" s="13" t="s">
        <v>424</v>
      </c>
      <c r="M725" s="23" t="s">
        <v>421</v>
      </c>
      <c r="N725" s="13" t="s">
        <v>152</v>
      </c>
      <c r="O725" s="46">
        <v>1</v>
      </c>
      <c r="P725" s="30" t="str">
        <f>VLOOKUP(O725,[3]Key!$E$2:$F$9,2,FALSE)</f>
        <v>Home</v>
      </c>
      <c r="Q725" s="13" t="s">
        <v>509</v>
      </c>
      <c r="R725" s="23" t="s">
        <v>430</v>
      </c>
      <c r="S725" s="13" t="s">
        <v>152</v>
      </c>
      <c r="T725" s="23">
        <v>2</v>
      </c>
      <c r="U725" s="30" t="str">
        <f>VLOOKUP(T725,[3]Key!$E$2:$F$9,2,FALSE)</f>
        <v>Work</v>
      </c>
      <c r="V725" s="30" t="str">
        <f t="shared" si="44"/>
        <v>Home-Work</v>
      </c>
      <c r="W725" s="51">
        <v>10000</v>
      </c>
      <c r="X725" s="50">
        <v>30</v>
      </c>
      <c r="Y725" s="50" t="str">
        <f t="shared" si="45"/>
        <v>20-40</v>
      </c>
      <c r="Z725" s="50">
        <v>2.5</v>
      </c>
      <c r="AA725" s="50" t="str">
        <f t="shared" si="46"/>
        <v>2.0-3.5</v>
      </c>
      <c r="AB725" s="23">
        <v>2</v>
      </c>
      <c r="AC725" s="30" t="str">
        <f>VLOOKUP(AB725,[3]Key!$C$20:$D$29,2,FALSE)</f>
        <v>Manual Labour</v>
      </c>
      <c r="AD725" s="23">
        <v>1</v>
      </c>
      <c r="AE725" s="30" t="str">
        <f>VLOOKUP(AD725,[3]Key!$E$20:$F$24,2,FALSE)</f>
        <v>&lt;300,000</v>
      </c>
      <c r="AF725" s="23">
        <v>2</v>
      </c>
      <c r="AG725" s="50">
        <v>2</v>
      </c>
      <c r="AH725" s="50">
        <v>1</v>
      </c>
      <c r="AI725" s="50">
        <v>1</v>
      </c>
      <c r="AJ725" s="50">
        <v>1</v>
      </c>
      <c r="AK725" s="46" t="s">
        <v>94</v>
      </c>
      <c r="AL725" s="36">
        <v>10000</v>
      </c>
      <c r="AM725" t="str">
        <f t="shared" si="47"/>
        <v>Over 10000</v>
      </c>
    </row>
    <row r="726" spans="1:39" x14ac:dyDescent="0.2">
      <c r="A726" s="44" t="s">
        <v>419</v>
      </c>
      <c r="B726" s="48"/>
      <c r="C726" s="48"/>
      <c r="D726" s="48" t="s">
        <v>97</v>
      </c>
      <c r="E726" s="13">
        <v>2</v>
      </c>
      <c r="F726" s="38" t="str">
        <f>VLOOKUP(E726,[3]Key!$A$17:$B$21,2,FALSE)</f>
        <v>Road Vehicle</v>
      </c>
      <c r="G726" s="49">
        <v>4</v>
      </c>
      <c r="H726" s="39" t="str">
        <f>VLOOKUP(G726,[3]Key!$A$2:$B$14,2,FALSE)</f>
        <v>Minibus</v>
      </c>
      <c r="I726" s="13" t="s">
        <v>109</v>
      </c>
      <c r="J726" s="13">
        <v>2</v>
      </c>
      <c r="K726" s="40" t="str">
        <f>VLOOKUP(J726,[3]Key!$A$24:$B$29,2,FALSE)</f>
        <v>30-39</v>
      </c>
      <c r="L726" s="13" t="s">
        <v>424</v>
      </c>
      <c r="M726" s="23" t="s">
        <v>421</v>
      </c>
      <c r="N726" s="13" t="s">
        <v>152</v>
      </c>
      <c r="O726" s="46">
        <v>1</v>
      </c>
      <c r="P726" s="30" t="str">
        <f>VLOOKUP(O726,[3]Key!$E$2:$F$9,2,FALSE)</f>
        <v>Home</v>
      </c>
      <c r="Q726" s="13" t="s">
        <v>467</v>
      </c>
      <c r="R726" s="23" t="s">
        <v>468</v>
      </c>
      <c r="S726" s="13" t="s">
        <v>152</v>
      </c>
      <c r="T726" s="23">
        <v>2</v>
      </c>
      <c r="U726" s="30" t="str">
        <f>VLOOKUP(T726,[3]Key!$E$2:$F$9,2,FALSE)</f>
        <v>Work</v>
      </c>
      <c r="V726" s="30" t="str">
        <f t="shared" si="44"/>
        <v>Home-Work</v>
      </c>
      <c r="W726" s="51">
        <v>150000</v>
      </c>
      <c r="X726" s="50">
        <v>75</v>
      </c>
      <c r="Y726" s="50" t="str">
        <f t="shared" si="45"/>
        <v>70-100</v>
      </c>
      <c r="Z726" s="50">
        <v>3</v>
      </c>
      <c r="AA726" s="50" t="str">
        <f t="shared" si="46"/>
        <v>2.0-3.5</v>
      </c>
      <c r="AB726" s="23">
        <v>5</v>
      </c>
      <c r="AC726" s="30" t="str">
        <f>VLOOKUP(AB726,[3]Key!$C$20:$D$29,2,FALSE)</f>
        <v>Professional</v>
      </c>
      <c r="AD726" s="23">
        <v>4</v>
      </c>
      <c r="AE726" s="30" t="str">
        <f>VLOOKUP(AD726,[3]Key!$E$20:$F$24,2,FALSE)</f>
        <v>750,000-1,000,000</v>
      </c>
      <c r="AF726" s="23">
        <v>5</v>
      </c>
      <c r="AG726" s="50">
        <v>2</v>
      </c>
      <c r="AH726" s="50">
        <v>1</v>
      </c>
      <c r="AI726" s="50">
        <v>1</v>
      </c>
      <c r="AJ726" s="50">
        <v>1</v>
      </c>
      <c r="AK726" s="46" t="s">
        <v>94</v>
      </c>
      <c r="AL726" s="36">
        <v>2000</v>
      </c>
      <c r="AM726" t="str">
        <f t="shared" si="47"/>
        <v>2000-3000</v>
      </c>
    </row>
    <row r="727" spans="1:39" x14ac:dyDescent="0.2">
      <c r="A727" s="44" t="s">
        <v>419</v>
      </c>
      <c r="B727" s="48"/>
      <c r="C727" s="48"/>
      <c r="D727" s="48" t="s">
        <v>97</v>
      </c>
      <c r="E727" s="13">
        <v>2</v>
      </c>
      <c r="F727" s="38" t="str">
        <f>VLOOKUP(E727,[3]Key!$A$17:$B$21,2,FALSE)</f>
        <v>Road Vehicle</v>
      </c>
      <c r="G727" s="49">
        <v>4</v>
      </c>
      <c r="H727" s="39" t="str">
        <f>VLOOKUP(G727,[3]Key!$A$2:$B$14,2,FALSE)</f>
        <v>Minibus</v>
      </c>
      <c r="I727" s="13" t="s">
        <v>109</v>
      </c>
      <c r="J727" s="13">
        <v>2</v>
      </c>
      <c r="K727" s="40" t="str">
        <f>VLOOKUP(J727,[3]Key!$A$24:$B$29,2,FALSE)</f>
        <v>30-39</v>
      </c>
      <c r="L727" s="13" t="s">
        <v>424</v>
      </c>
      <c r="M727" s="23" t="s">
        <v>421</v>
      </c>
      <c r="N727" s="13" t="s">
        <v>152</v>
      </c>
      <c r="O727" s="46">
        <v>1</v>
      </c>
      <c r="P727" s="30" t="str">
        <f>VLOOKUP(O727,[3]Key!$E$2:$F$9,2,FALSE)</f>
        <v>Home</v>
      </c>
      <c r="Q727" s="13" t="s">
        <v>510</v>
      </c>
      <c r="R727" s="23" t="s">
        <v>511</v>
      </c>
      <c r="S727" s="13" t="s">
        <v>152</v>
      </c>
      <c r="T727" s="23">
        <v>2</v>
      </c>
      <c r="U727" s="30" t="str">
        <f>VLOOKUP(T727,[3]Key!$E$2:$F$9,2,FALSE)</f>
        <v>Work</v>
      </c>
      <c r="V727" s="30" t="str">
        <f t="shared" si="44"/>
        <v>Home-Work</v>
      </c>
      <c r="W727" s="51">
        <v>250000</v>
      </c>
      <c r="X727" s="50">
        <v>200</v>
      </c>
      <c r="Y727" s="50" t="str">
        <f t="shared" si="45"/>
        <v>Over 200</v>
      </c>
      <c r="Z727" s="50">
        <v>2</v>
      </c>
      <c r="AA727" s="50" t="str">
        <f t="shared" si="46"/>
        <v>2.0-3.5</v>
      </c>
      <c r="AB727" s="23">
        <v>5</v>
      </c>
      <c r="AC727" s="30" t="str">
        <f>VLOOKUP(AB727,[3]Key!$C$20:$D$29,2,FALSE)</f>
        <v>Professional</v>
      </c>
      <c r="AD727" s="23">
        <v>4</v>
      </c>
      <c r="AE727" s="30" t="str">
        <f>VLOOKUP(AD727,[3]Key!$E$20:$F$24,2,FALSE)</f>
        <v>750,000-1,000,000</v>
      </c>
      <c r="AF727" s="23">
        <v>2</v>
      </c>
      <c r="AG727" s="50">
        <v>2</v>
      </c>
      <c r="AH727" s="50">
        <v>1</v>
      </c>
      <c r="AI727" s="50">
        <v>1</v>
      </c>
      <c r="AJ727" s="50">
        <v>1</v>
      </c>
      <c r="AK727" s="46" t="s">
        <v>94</v>
      </c>
      <c r="AL727" s="36">
        <v>3000</v>
      </c>
      <c r="AM727" t="str">
        <f t="shared" si="47"/>
        <v>3000-5000</v>
      </c>
    </row>
    <row r="728" spans="1:39" x14ac:dyDescent="0.2">
      <c r="A728" s="44" t="s">
        <v>419</v>
      </c>
      <c r="B728" s="48"/>
      <c r="C728" s="48"/>
      <c r="D728" s="48" t="s">
        <v>97</v>
      </c>
      <c r="E728" s="13">
        <v>2</v>
      </c>
      <c r="F728" s="38" t="str">
        <f>VLOOKUP(E728,[3]Key!$A$17:$B$21,2,FALSE)</f>
        <v>Road Vehicle</v>
      </c>
      <c r="G728" s="49">
        <v>4</v>
      </c>
      <c r="H728" s="39" t="str">
        <f>VLOOKUP(G728,[3]Key!$A$2:$B$14,2,FALSE)</f>
        <v>Minibus</v>
      </c>
      <c r="I728" s="13" t="s">
        <v>109</v>
      </c>
      <c r="J728" s="13">
        <v>2</v>
      </c>
      <c r="K728" s="40" t="str">
        <f>VLOOKUP(J728,[3]Key!$A$24:$B$29,2,FALSE)</f>
        <v>30-39</v>
      </c>
      <c r="L728" s="13" t="s">
        <v>424</v>
      </c>
      <c r="M728" s="23" t="s">
        <v>421</v>
      </c>
      <c r="N728" s="13" t="s">
        <v>152</v>
      </c>
      <c r="O728" s="46">
        <v>1</v>
      </c>
      <c r="P728" s="30" t="str">
        <f>VLOOKUP(O728,[3]Key!$E$2:$F$9,2,FALSE)</f>
        <v>Home</v>
      </c>
      <c r="Q728" s="13" t="s">
        <v>431</v>
      </c>
      <c r="R728" s="23" t="s">
        <v>432</v>
      </c>
      <c r="S728" s="13" t="s">
        <v>152</v>
      </c>
      <c r="T728" s="23">
        <v>2</v>
      </c>
      <c r="U728" s="30" t="str">
        <f>VLOOKUP(T728,[3]Key!$E$2:$F$9,2,FALSE)</f>
        <v>Work</v>
      </c>
      <c r="V728" s="30" t="str">
        <f t="shared" si="44"/>
        <v>Home-Work</v>
      </c>
      <c r="W728" s="51">
        <v>210000</v>
      </c>
      <c r="X728" s="50">
        <v>250</v>
      </c>
      <c r="Y728" s="50" t="str">
        <f t="shared" si="45"/>
        <v>Over 200</v>
      </c>
      <c r="Z728" s="50">
        <v>3</v>
      </c>
      <c r="AA728" s="50" t="str">
        <f t="shared" si="46"/>
        <v>2.0-3.5</v>
      </c>
      <c r="AB728" s="23">
        <v>5</v>
      </c>
      <c r="AC728" s="30" t="str">
        <f>VLOOKUP(AB728,[3]Key!$C$20:$D$29,2,FALSE)</f>
        <v>Professional</v>
      </c>
      <c r="AD728" s="23">
        <v>4</v>
      </c>
      <c r="AE728" s="30" t="str">
        <f>VLOOKUP(AD728,[3]Key!$E$20:$F$24,2,FALSE)</f>
        <v>750,000-1,000,000</v>
      </c>
      <c r="AF728" s="23">
        <v>5</v>
      </c>
      <c r="AG728" s="50">
        <v>4</v>
      </c>
      <c r="AH728" s="50">
        <v>1</v>
      </c>
      <c r="AI728" s="50">
        <v>1</v>
      </c>
      <c r="AJ728" s="50">
        <v>1</v>
      </c>
      <c r="AK728" s="46" t="s">
        <v>94</v>
      </c>
      <c r="AL728" s="36">
        <v>0</v>
      </c>
      <c r="AM728" t="str">
        <f t="shared" si="47"/>
        <v>0-1000</v>
      </c>
    </row>
    <row r="729" spans="1:39" x14ac:dyDescent="0.2">
      <c r="A729" s="44" t="s">
        <v>419</v>
      </c>
      <c r="B729" s="48"/>
      <c r="C729" s="48"/>
      <c r="D729" s="48" t="s">
        <v>97</v>
      </c>
      <c r="E729" s="13">
        <v>2</v>
      </c>
      <c r="F729" s="38" t="str">
        <f>VLOOKUP(E729,[3]Key!$A$17:$B$21,2,FALSE)</f>
        <v>Road Vehicle</v>
      </c>
      <c r="G729" s="49">
        <v>4</v>
      </c>
      <c r="H729" s="39" t="str">
        <f>VLOOKUP(G729,[3]Key!$A$2:$B$14,2,FALSE)</f>
        <v>Minibus</v>
      </c>
      <c r="I729" s="13" t="s">
        <v>109</v>
      </c>
      <c r="J729" s="13">
        <v>2</v>
      </c>
      <c r="K729" s="40" t="str">
        <f>VLOOKUP(J729,[3]Key!$A$24:$B$29,2,FALSE)</f>
        <v>30-39</v>
      </c>
      <c r="L729" s="13" t="s">
        <v>424</v>
      </c>
      <c r="M729" s="23" t="s">
        <v>421</v>
      </c>
      <c r="N729" s="13" t="s">
        <v>152</v>
      </c>
      <c r="O729" s="46">
        <v>1</v>
      </c>
      <c r="P729" s="30" t="str">
        <f>VLOOKUP(O729,[3]Key!$E$2:$F$9,2,FALSE)</f>
        <v>Home</v>
      </c>
      <c r="Q729" s="13" t="s">
        <v>512</v>
      </c>
      <c r="R729" s="23" t="s">
        <v>421</v>
      </c>
      <c r="S729" s="13" t="s">
        <v>152</v>
      </c>
      <c r="T729" s="23">
        <v>2</v>
      </c>
      <c r="U729" s="30" t="str">
        <f>VLOOKUP(T729,[3]Key!$E$2:$F$9,2,FALSE)</f>
        <v>Work</v>
      </c>
      <c r="V729" s="30" t="str">
        <f t="shared" si="44"/>
        <v>Home-Work</v>
      </c>
      <c r="W729" s="51">
        <v>75000</v>
      </c>
      <c r="X729" s="50">
        <v>20</v>
      </c>
      <c r="Y729" s="50" t="str">
        <f t="shared" si="45"/>
        <v>20-40</v>
      </c>
      <c r="Z729" s="50">
        <v>1.5</v>
      </c>
      <c r="AA729" s="50" t="str">
        <f t="shared" si="46"/>
        <v>1.0-2.0</v>
      </c>
      <c r="AB729" s="23">
        <v>5</v>
      </c>
      <c r="AC729" s="30" t="str">
        <f>VLOOKUP(AB729,[3]Key!$C$20:$D$29,2,FALSE)</f>
        <v>Professional</v>
      </c>
      <c r="AD729" s="23">
        <v>3</v>
      </c>
      <c r="AE729" s="30" t="str">
        <f>VLOOKUP(AD729,[3]Key!$E$20:$F$24,2,FALSE)</f>
        <v>500,000-750,000</v>
      </c>
      <c r="AF729" s="23">
        <v>2</v>
      </c>
      <c r="AG729" s="50">
        <v>2</v>
      </c>
      <c r="AH729" s="50">
        <v>1</v>
      </c>
      <c r="AI729" s="50">
        <v>1</v>
      </c>
      <c r="AJ729" s="50">
        <v>1</v>
      </c>
      <c r="AK729" s="46" t="s">
        <v>94</v>
      </c>
      <c r="AL729" s="36">
        <v>0</v>
      </c>
      <c r="AM729" t="str">
        <f t="shared" si="47"/>
        <v>0-1000</v>
      </c>
    </row>
    <row r="730" spans="1:39" x14ac:dyDescent="0.2">
      <c r="A730" s="44" t="s">
        <v>419</v>
      </c>
      <c r="B730" s="48"/>
      <c r="C730" s="48"/>
      <c r="D730" s="48" t="s">
        <v>97</v>
      </c>
      <c r="E730" s="13">
        <v>2</v>
      </c>
      <c r="F730" s="38" t="str">
        <f>VLOOKUP(E730,[3]Key!$A$17:$B$21,2,FALSE)</f>
        <v>Road Vehicle</v>
      </c>
      <c r="G730" s="49">
        <v>4</v>
      </c>
      <c r="H730" s="39" t="str">
        <f>VLOOKUP(G730,[3]Key!$A$2:$B$14,2,FALSE)</f>
        <v>Minibus</v>
      </c>
      <c r="I730" s="13" t="s">
        <v>109</v>
      </c>
      <c r="J730" s="13">
        <v>2</v>
      </c>
      <c r="K730" s="40" t="str">
        <f>VLOOKUP(J730,[3]Key!$A$24:$B$29,2,FALSE)</f>
        <v>30-39</v>
      </c>
      <c r="L730" s="13" t="s">
        <v>424</v>
      </c>
      <c r="M730" s="23" t="s">
        <v>421</v>
      </c>
      <c r="N730" s="13" t="s">
        <v>152</v>
      </c>
      <c r="O730" s="46">
        <v>1</v>
      </c>
      <c r="P730" s="30" t="str">
        <f>VLOOKUP(O730,[3]Key!$E$2:$F$9,2,FALSE)</f>
        <v>Home</v>
      </c>
      <c r="Q730" s="13" t="s">
        <v>510</v>
      </c>
      <c r="R730" s="23" t="s">
        <v>511</v>
      </c>
      <c r="S730" s="13" t="s">
        <v>152</v>
      </c>
      <c r="T730" s="23">
        <v>2</v>
      </c>
      <c r="U730" s="30" t="str">
        <f>VLOOKUP(T730,[3]Key!$E$2:$F$9,2,FALSE)</f>
        <v>Work</v>
      </c>
      <c r="V730" s="30" t="str">
        <f t="shared" si="44"/>
        <v>Home-Work</v>
      </c>
      <c r="W730" s="51">
        <v>220000</v>
      </c>
      <c r="X730" s="50">
        <v>207</v>
      </c>
      <c r="Y730" s="50" t="str">
        <f t="shared" si="45"/>
        <v>Over 200</v>
      </c>
      <c r="Z730" s="50">
        <v>1.5</v>
      </c>
      <c r="AA730" s="50" t="str">
        <f t="shared" si="46"/>
        <v>1.0-2.0</v>
      </c>
      <c r="AB730" s="23">
        <v>5</v>
      </c>
      <c r="AC730" s="30" t="str">
        <f>VLOOKUP(AB730,[3]Key!$C$20:$D$29,2,FALSE)</f>
        <v>Professional</v>
      </c>
      <c r="AD730" s="23">
        <v>5</v>
      </c>
      <c r="AE730" s="30" t="str">
        <f>VLOOKUP(AD730,[3]Key!$E$20:$F$24,2,FALSE)</f>
        <v>&gt;1,000,000</v>
      </c>
      <c r="AF730" s="23">
        <v>5</v>
      </c>
      <c r="AG730" s="50">
        <v>4</v>
      </c>
      <c r="AH730" s="50">
        <v>1</v>
      </c>
      <c r="AI730" s="50">
        <v>1</v>
      </c>
      <c r="AJ730" s="50">
        <v>1</v>
      </c>
      <c r="AK730" s="46" t="s">
        <v>94</v>
      </c>
      <c r="AL730" s="36">
        <v>0</v>
      </c>
      <c r="AM730" t="str">
        <f t="shared" si="47"/>
        <v>0-1000</v>
      </c>
    </row>
    <row r="731" spans="1:39" x14ac:dyDescent="0.2">
      <c r="A731" s="44" t="s">
        <v>419</v>
      </c>
      <c r="B731" s="48"/>
      <c r="C731" s="48"/>
      <c r="D731" s="48" t="s">
        <v>97</v>
      </c>
      <c r="E731" s="13">
        <v>2</v>
      </c>
      <c r="F731" s="38" t="str">
        <f>VLOOKUP(E731,[3]Key!$A$17:$B$21,2,FALSE)</f>
        <v>Road Vehicle</v>
      </c>
      <c r="G731" s="49">
        <v>4</v>
      </c>
      <c r="H731" s="39" t="str">
        <f>VLOOKUP(G731,[3]Key!$A$2:$B$14,2,FALSE)</f>
        <v>Minibus</v>
      </c>
      <c r="I731" s="13" t="s">
        <v>109</v>
      </c>
      <c r="J731" s="13">
        <v>2</v>
      </c>
      <c r="K731" s="40" t="str">
        <f>VLOOKUP(J731,[3]Key!$A$24:$B$29,2,FALSE)</f>
        <v>30-39</v>
      </c>
      <c r="L731" s="13" t="s">
        <v>424</v>
      </c>
      <c r="M731" s="23" t="s">
        <v>421</v>
      </c>
      <c r="N731" s="13" t="s">
        <v>152</v>
      </c>
      <c r="O731" s="46">
        <v>1</v>
      </c>
      <c r="P731" s="30" t="str">
        <f>VLOOKUP(O731,[3]Key!$E$2:$F$9,2,FALSE)</f>
        <v>Home</v>
      </c>
      <c r="Q731" s="13" t="s">
        <v>427</v>
      </c>
      <c r="R731" s="23" t="s">
        <v>428</v>
      </c>
      <c r="S731" s="13" t="s">
        <v>152</v>
      </c>
      <c r="T731" s="23">
        <v>2</v>
      </c>
      <c r="U731" s="30" t="str">
        <f>VLOOKUP(T731,[3]Key!$E$2:$F$9,2,FALSE)</f>
        <v>Work</v>
      </c>
      <c r="V731" s="30" t="str">
        <f t="shared" si="44"/>
        <v>Home-Work</v>
      </c>
      <c r="W731" s="51">
        <v>450000</v>
      </c>
      <c r="X731" s="50">
        <v>65</v>
      </c>
      <c r="Y731" s="50" t="str">
        <f t="shared" si="45"/>
        <v>40-70</v>
      </c>
      <c r="Z731" s="50">
        <v>2.5</v>
      </c>
      <c r="AA731" s="50" t="str">
        <f t="shared" si="46"/>
        <v>2.0-3.5</v>
      </c>
      <c r="AB731" s="23">
        <v>2</v>
      </c>
      <c r="AC731" s="30" t="str">
        <f>VLOOKUP(AB731,[3]Key!$C$20:$D$29,2,FALSE)</f>
        <v>Manual Labour</v>
      </c>
      <c r="AD731" s="23">
        <v>3</v>
      </c>
      <c r="AE731" s="30" t="str">
        <f>VLOOKUP(AD731,[3]Key!$E$20:$F$24,2,FALSE)</f>
        <v>500,000-750,000</v>
      </c>
      <c r="AF731" s="23">
        <v>5</v>
      </c>
      <c r="AG731" s="50">
        <v>3</v>
      </c>
      <c r="AH731" s="50">
        <v>1</v>
      </c>
      <c r="AI731" s="50">
        <v>1</v>
      </c>
      <c r="AJ731" s="50">
        <v>1</v>
      </c>
      <c r="AK731" s="46" t="s">
        <v>94</v>
      </c>
      <c r="AL731" s="36">
        <v>5000</v>
      </c>
      <c r="AM731" t="str">
        <f t="shared" si="47"/>
        <v>5000-10000</v>
      </c>
    </row>
    <row r="732" spans="1:39" x14ac:dyDescent="0.2">
      <c r="A732" s="44" t="s">
        <v>419</v>
      </c>
      <c r="B732" s="48"/>
      <c r="C732" s="48"/>
      <c r="D732" s="48" t="s">
        <v>97</v>
      </c>
      <c r="E732" s="13">
        <v>2</v>
      </c>
      <c r="F732" s="38" t="str">
        <f>VLOOKUP(E732,[3]Key!$A$17:$B$21,2,FALSE)</f>
        <v>Road Vehicle</v>
      </c>
      <c r="G732" s="49">
        <v>4</v>
      </c>
      <c r="H732" s="39" t="str">
        <f>VLOOKUP(G732,[3]Key!$A$2:$B$14,2,FALSE)</f>
        <v>Minibus</v>
      </c>
      <c r="I732" s="13" t="s">
        <v>109</v>
      </c>
      <c r="J732" s="13">
        <v>2</v>
      </c>
      <c r="K732" s="40" t="str">
        <f>VLOOKUP(J732,[3]Key!$A$24:$B$29,2,FALSE)</f>
        <v>30-39</v>
      </c>
      <c r="L732" s="13" t="s">
        <v>424</v>
      </c>
      <c r="M732" s="23" t="s">
        <v>421</v>
      </c>
      <c r="N732" s="13" t="s">
        <v>152</v>
      </c>
      <c r="O732" s="46">
        <v>1</v>
      </c>
      <c r="P732" s="30" t="str">
        <f>VLOOKUP(O732,[3]Key!$E$2:$F$9,2,FALSE)</f>
        <v>Home</v>
      </c>
      <c r="Q732" s="13" t="s">
        <v>427</v>
      </c>
      <c r="R732" s="23" t="s">
        <v>428</v>
      </c>
      <c r="S732" s="13" t="s">
        <v>152</v>
      </c>
      <c r="T732" s="23">
        <v>2</v>
      </c>
      <c r="U732" s="30" t="str">
        <f>VLOOKUP(T732,[3]Key!$E$2:$F$9,2,FALSE)</f>
        <v>Work</v>
      </c>
      <c r="V732" s="30" t="str">
        <f t="shared" si="44"/>
        <v>Home-Work</v>
      </c>
      <c r="W732" s="51">
        <v>150000</v>
      </c>
      <c r="X732" s="50">
        <v>80</v>
      </c>
      <c r="Y732" s="50" t="str">
        <f t="shared" si="45"/>
        <v>70-100</v>
      </c>
      <c r="Z732" s="50">
        <v>3</v>
      </c>
      <c r="AA732" s="50" t="str">
        <f t="shared" si="46"/>
        <v>2.0-3.5</v>
      </c>
      <c r="AB732" s="23">
        <v>5</v>
      </c>
      <c r="AC732" s="30" t="str">
        <f>VLOOKUP(AB732,[3]Key!$C$20:$D$29,2,FALSE)</f>
        <v>Professional</v>
      </c>
      <c r="AD732" s="23">
        <v>4</v>
      </c>
      <c r="AE732" s="30" t="str">
        <f>VLOOKUP(AD732,[3]Key!$E$20:$F$24,2,FALSE)</f>
        <v>750,000-1,000,000</v>
      </c>
      <c r="AF732" s="23">
        <v>5</v>
      </c>
      <c r="AG732" s="50">
        <v>3</v>
      </c>
      <c r="AH732" s="50">
        <v>1</v>
      </c>
      <c r="AI732" s="50">
        <v>1</v>
      </c>
      <c r="AJ732" s="50">
        <v>1</v>
      </c>
      <c r="AK732" s="46" t="s">
        <v>94</v>
      </c>
      <c r="AL732" s="36">
        <v>5000</v>
      </c>
      <c r="AM732" t="str">
        <f t="shared" si="47"/>
        <v>5000-10000</v>
      </c>
    </row>
    <row r="733" spans="1:39" x14ac:dyDescent="0.2">
      <c r="A733" s="44" t="s">
        <v>419</v>
      </c>
      <c r="B733" s="48">
        <v>0.5625</v>
      </c>
      <c r="C733" s="48"/>
      <c r="D733" s="48" t="s">
        <v>150</v>
      </c>
      <c r="E733" s="13">
        <v>2</v>
      </c>
      <c r="F733" s="38" t="str">
        <f>VLOOKUP(E733,[3]Key!$A$17:$B$21,2,FALSE)</f>
        <v>Road Vehicle</v>
      </c>
      <c r="G733" s="49">
        <v>4</v>
      </c>
      <c r="H733" s="39" t="str">
        <f>VLOOKUP(G733,[3]Key!$A$2:$B$14,2,FALSE)</f>
        <v>Minibus</v>
      </c>
      <c r="I733" s="13" t="s">
        <v>109</v>
      </c>
      <c r="J733" s="13">
        <v>2</v>
      </c>
      <c r="K733" s="40" t="str">
        <f>VLOOKUP(J733,[3]Key!$A$24:$B$29,2,FALSE)</f>
        <v>30-39</v>
      </c>
      <c r="L733" s="13" t="s">
        <v>496</v>
      </c>
      <c r="M733" s="23" t="s">
        <v>421</v>
      </c>
      <c r="N733" s="13" t="s">
        <v>152</v>
      </c>
      <c r="O733" s="46">
        <v>2</v>
      </c>
      <c r="P733" s="30" t="str">
        <f>VLOOKUP(O733,[3]Key!$E$2:$F$9,2,FALSE)</f>
        <v>Work</v>
      </c>
      <c r="Q733" s="13" t="s">
        <v>513</v>
      </c>
      <c r="R733" s="23" t="s">
        <v>421</v>
      </c>
      <c r="S733" s="13" t="s">
        <v>152</v>
      </c>
      <c r="T733" s="23">
        <v>1</v>
      </c>
      <c r="U733" s="30" t="str">
        <f>VLOOKUP(T733,[3]Key!$E$2:$F$9,2,FALSE)</f>
        <v>Home</v>
      </c>
      <c r="V733" s="30" t="str">
        <f t="shared" si="44"/>
        <v>Work-Home</v>
      </c>
      <c r="W733" s="51">
        <v>10000</v>
      </c>
      <c r="X733" s="50">
        <v>2</v>
      </c>
      <c r="Y733" s="50" t="str">
        <f t="shared" si="45"/>
        <v>0-10</v>
      </c>
      <c r="Z733" s="50">
        <v>0.16</v>
      </c>
      <c r="AA733" s="50" t="str">
        <f t="shared" si="46"/>
        <v>0-0.5</v>
      </c>
      <c r="AB733" s="23">
        <v>10</v>
      </c>
      <c r="AC733" s="30" t="str">
        <f>VLOOKUP(AB733,[3]Key!$C$20:$D$29,2,FALSE)</f>
        <v>Other</v>
      </c>
      <c r="AD733" s="23">
        <v>3</v>
      </c>
      <c r="AE733" s="30" t="str">
        <f>VLOOKUP(AD733,[3]Key!$E$20:$F$24,2,FALSE)</f>
        <v>500,000-750,000</v>
      </c>
      <c r="AF733" s="23">
        <v>4</v>
      </c>
      <c r="AG733" s="50">
        <v>3</v>
      </c>
      <c r="AH733" s="50">
        <v>1</v>
      </c>
      <c r="AI733" s="50">
        <v>5</v>
      </c>
      <c r="AJ733" s="50">
        <v>2</v>
      </c>
      <c r="AK733" s="46" t="s">
        <v>94</v>
      </c>
      <c r="AL733" s="36">
        <v>0</v>
      </c>
      <c r="AM733" t="str">
        <f t="shared" si="47"/>
        <v>0-1000</v>
      </c>
    </row>
    <row r="734" spans="1:39" x14ac:dyDescent="0.2">
      <c r="A734" s="44" t="s">
        <v>423</v>
      </c>
      <c r="B734" s="48">
        <v>0.47638888888888892</v>
      </c>
      <c r="C734" s="48"/>
      <c r="D734" s="48" t="s">
        <v>150</v>
      </c>
      <c r="E734" s="13">
        <v>2</v>
      </c>
      <c r="F734" s="38" t="str">
        <f>VLOOKUP(E734,[3]Key!$A$17:$B$21,2,FALSE)</f>
        <v>Road Vehicle</v>
      </c>
      <c r="G734" s="49">
        <v>4</v>
      </c>
      <c r="H734" s="39" t="str">
        <f>VLOOKUP(G734,[3]Key!$A$2:$B$14,2,FALSE)</f>
        <v>Minibus</v>
      </c>
      <c r="I734" s="13" t="s">
        <v>109</v>
      </c>
      <c r="J734" s="13">
        <v>2</v>
      </c>
      <c r="K734" s="40" t="str">
        <f>VLOOKUP(J734,[3]Key!$A$24:$B$29,2,FALSE)</f>
        <v>30-39</v>
      </c>
      <c r="L734" s="13" t="s">
        <v>514</v>
      </c>
      <c r="M734" s="23" t="s">
        <v>421</v>
      </c>
      <c r="N734" s="13" t="s">
        <v>152</v>
      </c>
      <c r="O734" s="46">
        <v>1</v>
      </c>
      <c r="P734" s="30" t="str">
        <f>VLOOKUP(O734,[3]Key!$E$2:$F$9,2,FALSE)</f>
        <v>Home</v>
      </c>
      <c r="Q734" s="13" t="s">
        <v>457</v>
      </c>
      <c r="R734" s="23" t="s">
        <v>421</v>
      </c>
      <c r="S734" s="13" t="s">
        <v>152</v>
      </c>
      <c r="T734" s="23">
        <v>2</v>
      </c>
      <c r="U734" s="30" t="str">
        <f>VLOOKUP(T734,[3]Key!$E$2:$F$9,2,FALSE)</f>
        <v>Work</v>
      </c>
      <c r="V734" s="30" t="str">
        <f t="shared" si="44"/>
        <v>Home-Work</v>
      </c>
      <c r="W734" s="51">
        <v>3000</v>
      </c>
      <c r="X734" s="50">
        <v>5</v>
      </c>
      <c r="Y734" s="50" t="str">
        <f t="shared" si="45"/>
        <v>0-10</v>
      </c>
      <c r="Z734" s="50">
        <v>0.25</v>
      </c>
      <c r="AA734" s="50" t="str">
        <f t="shared" si="46"/>
        <v>0-0.5</v>
      </c>
      <c r="AB734" s="23">
        <v>6</v>
      </c>
      <c r="AC734" s="30" t="str">
        <f>VLOOKUP(AB734,[3]Key!$C$20:$D$29,2,FALSE)</f>
        <v>Businessman</v>
      </c>
      <c r="AD734" s="23">
        <v>2</v>
      </c>
      <c r="AE734" s="30" t="str">
        <f>VLOOKUP(AD734,[3]Key!$E$20:$F$24,2,FALSE)</f>
        <v>300,000-500,000</v>
      </c>
      <c r="AF734" s="23">
        <v>4</v>
      </c>
      <c r="AG734" s="50">
        <v>3</v>
      </c>
      <c r="AH734" s="50">
        <v>5</v>
      </c>
      <c r="AI734" s="50">
        <v>4</v>
      </c>
      <c r="AJ734" s="50">
        <v>2</v>
      </c>
      <c r="AK734" s="46" t="s">
        <v>94</v>
      </c>
      <c r="AL734" s="36">
        <v>1000</v>
      </c>
      <c r="AM734" t="str">
        <f t="shared" si="47"/>
        <v>1000-2000</v>
      </c>
    </row>
    <row r="735" spans="1:39" x14ac:dyDescent="0.2">
      <c r="A735" s="44" t="s">
        <v>423</v>
      </c>
      <c r="B735" s="48">
        <v>0.45902777777777781</v>
      </c>
      <c r="C735" s="48"/>
      <c r="D735" s="48" t="s">
        <v>150</v>
      </c>
      <c r="E735" s="13">
        <v>2</v>
      </c>
      <c r="F735" s="38" t="str">
        <f>VLOOKUP(E735,[3]Key!$A$17:$B$21,2,FALSE)</f>
        <v>Road Vehicle</v>
      </c>
      <c r="G735" s="49">
        <v>4</v>
      </c>
      <c r="H735" s="39" t="str">
        <f>VLOOKUP(G735,[3]Key!$A$2:$B$14,2,FALSE)</f>
        <v>Minibus</v>
      </c>
      <c r="I735" s="13" t="s">
        <v>109</v>
      </c>
      <c r="J735" s="13">
        <v>2</v>
      </c>
      <c r="K735" s="40" t="str">
        <f>VLOOKUP(J735,[3]Key!$A$24:$B$29,2,FALSE)</f>
        <v>30-39</v>
      </c>
      <c r="L735" s="13" t="s">
        <v>515</v>
      </c>
      <c r="M735" s="23" t="s">
        <v>421</v>
      </c>
      <c r="N735" s="13" t="s">
        <v>152</v>
      </c>
      <c r="O735" s="46">
        <v>1</v>
      </c>
      <c r="P735" s="30" t="str">
        <f>VLOOKUP(O735,[3]Key!$E$2:$F$9,2,FALSE)</f>
        <v>Home</v>
      </c>
      <c r="Q735" s="13" t="s">
        <v>424</v>
      </c>
      <c r="R735" s="23" t="s">
        <v>421</v>
      </c>
      <c r="S735" s="13" t="s">
        <v>152</v>
      </c>
      <c r="T735" s="23">
        <v>2</v>
      </c>
      <c r="U735" s="30" t="str">
        <f>VLOOKUP(T735,[3]Key!$E$2:$F$9,2,FALSE)</f>
        <v>Work</v>
      </c>
      <c r="V735" s="30" t="str">
        <f t="shared" si="44"/>
        <v>Home-Work</v>
      </c>
      <c r="W735" s="51">
        <v>6000</v>
      </c>
      <c r="X735" s="50">
        <v>3</v>
      </c>
      <c r="Y735" s="50" t="str">
        <f t="shared" si="45"/>
        <v>0-10</v>
      </c>
      <c r="Z735" s="50">
        <v>0.33</v>
      </c>
      <c r="AA735" s="50" t="str">
        <f t="shared" si="46"/>
        <v>0-0.5</v>
      </c>
      <c r="AB735" s="23">
        <v>6</v>
      </c>
      <c r="AC735" s="30" t="str">
        <f>VLOOKUP(AB735,[3]Key!$C$20:$D$29,2,FALSE)</f>
        <v>Businessman</v>
      </c>
      <c r="AD735" s="23">
        <v>1</v>
      </c>
      <c r="AE735" s="30" t="str">
        <f>VLOOKUP(AD735,[3]Key!$E$20:$F$24,2,FALSE)</f>
        <v>&lt;300,000</v>
      </c>
      <c r="AF735" s="23">
        <v>4</v>
      </c>
      <c r="AG735" s="50">
        <v>2</v>
      </c>
      <c r="AH735" s="50">
        <v>4</v>
      </c>
      <c r="AI735" s="50">
        <v>3</v>
      </c>
      <c r="AJ735" s="50">
        <v>5</v>
      </c>
      <c r="AK735" s="46" t="s">
        <v>94</v>
      </c>
      <c r="AL735" s="36">
        <v>1000</v>
      </c>
      <c r="AM735" t="str">
        <f t="shared" si="47"/>
        <v>1000-2000</v>
      </c>
    </row>
    <row r="736" spans="1:39" x14ac:dyDescent="0.2">
      <c r="A736" s="44" t="s">
        <v>423</v>
      </c>
      <c r="B736" s="48">
        <v>0.45347222222222222</v>
      </c>
      <c r="C736" s="48"/>
      <c r="D736" s="48" t="s">
        <v>150</v>
      </c>
      <c r="E736" s="13">
        <v>2</v>
      </c>
      <c r="F736" s="38" t="str">
        <f>VLOOKUP(E736,[3]Key!$A$17:$B$21,2,FALSE)</f>
        <v>Road Vehicle</v>
      </c>
      <c r="G736" s="49">
        <v>4</v>
      </c>
      <c r="H736" s="39" t="str">
        <f>VLOOKUP(G736,[3]Key!$A$2:$B$14,2,FALSE)</f>
        <v>Minibus</v>
      </c>
      <c r="I736" s="13" t="s">
        <v>109</v>
      </c>
      <c r="J736" s="13">
        <v>2</v>
      </c>
      <c r="K736" s="40" t="str">
        <f>VLOOKUP(J736,[3]Key!$A$24:$B$29,2,FALSE)</f>
        <v>30-39</v>
      </c>
      <c r="L736" s="13" t="s">
        <v>496</v>
      </c>
      <c r="M736" s="23" t="s">
        <v>421</v>
      </c>
      <c r="N736" s="13" t="s">
        <v>152</v>
      </c>
      <c r="O736" s="46">
        <v>1</v>
      </c>
      <c r="P736" s="30" t="str">
        <f>VLOOKUP(O736,[3]Key!$E$2:$F$9,2,FALSE)</f>
        <v>Home</v>
      </c>
      <c r="Q736" s="13" t="s">
        <v>424</v>
      </c>
      <c r="R736" s="23" t="s">
        <v>421</v>
      </c>
      <c r="S736" s="13" t="s">
        <v>152</v>
      </c>
      <c r="T736" s="23">
        <v>2</v>
      </c>
      <c r="U736" s="30" t="str">
        <f>VLOOKUP(T736,[3]Key!$E$2:$F$9,2,FALSE)</f>
        <v>Work</v>
      </c>
      <c r="V736" s="30" t="str">
        <f t="shared" si="44"/>
        <v>Home-Work</v>
      </c>
      <c r="W736" s="51">
        <v>2000</v>
      </c>
      <c r="X736" s="50">
        <v>2</v>
      </c>
      <c r="Y736" s="50" t="str">
        <f t="shared" si="45"/>
        <v>0-10</v>
      </c>
      <c r="Z736" s="50">
        <v>0.16</v>
      </c>
      <c r="AA736" s="50" t="str">
        <f t="shared" si="46"/>
        <v>0-0.5</v>
      </c>
      <c r="AB736" s="23">
        <v>6</v>
      </c>
      <c r="AC736" s="30" t="str">
        <f>VLOOKUP(AB736,[3]Key!$C$20:$D$29,2,FALSE)</f>
        <v>Businessman</v>
      </c>
      <c r="AD736" s="23">
        <v>1</v>
      </c>
      <c r="AE736" s="30" t="str">
        <f>VLOOKUP(AD736,[3]Key!$E$20:$F$24,2,FALSE)</f>
        <v>&lt;300,000</v>
      </c>
      <c r="AF736" s="23">
        <v>5</v>
      </c>
      <c r="AG736" s="50">
        <v>4</v>
      </c>
      <c r="AH736" s="50">
        <v>4</v>
      </c>
      <c r="AI736" s="50">
        <v>2</v>
      </c>
      <c r="AJ736" s="50">
        <v>3</v>
      </c>
      <c r="AK736" s="46" t="s">
        <v>94</v>
      </c>
      <c r="AL736" s="36">
        <v>5000</v>
      </c>
      <c r="AM736" t="str">
        <f t="shared" si="47"/>
        <v>5000-10000</v>
      </c>
    </row>
    <row r="737" spans="1:39" x14ac:dyDescent="0.2">
      <c r="A737" s="44" t="s">
        <v>423</v>
      </c>
      <c r="B737" s="48">
        <v>0.44513888888888892</v>
      </c>
      <c r="C737" s="48"/>
      <c r="D737" s="48" t="s">
        <v>150</v>
      </c>
      <c r="E737" s="13">
        <v>2</v>
      </c>
      <c r="F737" s="38" t="str">
        <f>VLOOKUP(E737,[3]Key!$A$17:$B$21,2,FALSE)</f>
        <v>Road Vehicle</v>
      </c>
      <c r="G737" s="49">
        <v>4</v>
      </c>
      <c r="H737" s="39" t="str">
        <f>VLOOKUP(G737,[3]Key!$A$2:$B$14,2,FALSE)</f>
        <v>Minibus</v>
      </c>
      <c r="I737" s="13" t="s">
        <v>109</v>
      </c>
      <c r="J737" s="13">
        <v>2</v>
      </c>
      <c r="K737" s="40" t="str">
        <f>VLOOKUP(J737,[3]Key!$A$24:$B$29,2,FALSE)</f>
        <v>30-39</v>
      </c>
      <c r="L737" s="13" t="s">
        <v>516</v>
      </c>
      <c r="M737" s="23" t="s">
        <v>421</v>
      </c>
      <c r="N737" s="13" t="s">
        <v>152</v>
      </c>
      <c r="O737" s="46">
        <v>1</v>
      </c>
      <c r="P737" s="30" t="str">
        <f>VLOOKUP(O737,[3]Key!$E$2:$F$9,2,FALSE)</f>
        <v>Home</v>
      </c>
      <c r="Q737" s="13" t="s">
        <v>424</v>
      </c>
      <c r="R737" s="23" t="s">
        <v>421</v>
      </c>
      <c r="S737" s="13" t="s">
        <v>152</v>
      </c>
      <c r="T737" s="23">
        <v>2</v>
      </c>
      <c r="U737" s="30" t="str">
        <f>VLOOKUP(T737,[3]Key!$E$2:$F$9,2,FALSE)</f>
        <v>Work</v>
      </c>
      <c r="V737" s="30" t="str">
        <f t="shared" si="44"/>
        <v>Home-Work</v>
      </c>
      <c r="W737" s="51">
        <v>1500</v>
      </c>
      <c r="X737" s="50">
        <v>2</v>
      </c>
      <c r="Y737" s="50" t="str">
        <f t="shared" si="45"/>
        <v>0-10</v>
      </c>
      <c r="Z737" s="50">
        <v>0.13300000000000001</v>
      </c>
      <c r="AA737" s="50" t="str">
        <f t="shared" si="46"/>
        <v>0-0.5</v>
      </c>
      <c r="AB737" s="23">
        <v>4</v>
      </c>
      <c r="AC737" s="30" t="str">
        <f>VLOOKUP(AB737,[3]Key!$C$20:$D$29,2,FALSE)</f>
        <v>Office Worker</v>
      </c>
      <c r="AD737" s="23">
        <v>1</v>
      </c>
      <c r="AE737" s="30" t="str">
        <f>VLOOKUP(AD737,[3]Key!$E$20:$F$24,2,FALSE)</f>
        <v>&lt;300,000</v>
      </c>
      <c r="AF737" s="23">
        <v>2</v>
      </c>
      <c r="AG737" s="50">
        <v>3</v>
      </c>
      <c r="AH737" s="50">
        <v>1</v>
      </c>
      <c r="AI737" s="50">
        <v>5</v>
      </c>
      <c r="AJ737" s="50">
        <v>4</v>
      </c>
      <c r="AK737" s="46" t="s">
        <v>94</v>
      </c>
      <c r="AL737" s="36">
        <v>5000</v>
      </c>
      <c r="AM737" t="str">
        <f t="shared" si="47"/>
        <v>5000-10000</v>
      </c>
    </row>
    <row r="738" spans="1:39" x14ac:dyDescent="0.2">
      <c r="A738" s="44" t="s">
        <v>423</v>
      </c>
      <c r="B738" s="48"/>
      <c r="C738" s="48"/>
      <c r="D738" s="48" t="s">
        <v>150</v>
      </c>
      <c r="E738" s="13">
        <v>2</v>
      </c>
      <c r="F738" s="38" t="str">
        <f>VLOOKUP(E738,[3]Key!$A$17:$B$21,2,FALSE)</f>
        <v>Road Vehicle</v>
      </c>
      <c r="G738" s="49">
        <v>4</v>
      </c>
      <c r="H738" s="39" t="str">
        <f>VLOOKUP(G738,[3]Key!$A$2:$B$14,2,FALSE)</f>
        <v>Minibus</v>
      </c>
      <c r="I738" s="13" t="s">
        <v>109</v>
      </c>
      <c r="J738" s="13">
        <v>2</v>
      </c>
      <c r="K738" s="40" t="str">
        <f>VLOOKUP(J738,[3]Key!$A$24:$B$29,2,FALSE)</f>
        <v>30-39</v>
      </c>
      <c r="L738" s="13" t="s">
        <v>424</v>
      </c>
      <c r="M738" s="23" t="s">
        <v>421</v>
      </c>
      <c r="N738" s="13" t="s">
        <v>152</v>
      </c>
      <c r="O738" s="46">
        <v>1</v>
      </c>
      <c r="P738" s="30" t="str">
        <f>VLOOKUP(O738,[3]Key!$E$2:$F$9,2,FALSE)</f>
        <v>Home</v>
      </c>
      <c r="Q738" s="13" t="s">
        <v>434</v>
      </c>
      <c r="R738" s="23" t="s">
        <v>153</v>
      </c>
      <c r="S738" s="13" t="s">
        <v>152</v>
      </c>
      <c r="T738" s="23">
        <v>4</v>
      </c>
      <c r="U738" s="30" t="str">
        <f>VLOOKUP(T738,[3]Key!$E$2:$F$9,2,FALSE)</f>
        <v>Commercial</v>
      </c>
      <c r="V738" s="30" t="str">
        <f t="shared" si="44"/>
        <v>Home-Commercial</v>
      </c>
      <c r="W738" s="51">
        <v>20000</v>
      </c>
      <c r="X738" s="50">
        <v>240</v>
      </c>
      <c r="Y738" s="50" t="str">
        <f t="shared" si="45"/>
        <v>Over 200</v>
      </c>
      <c r="Z738" s="50">
        <v>4</v>
      </c>
      <c r="AA738" s="50" t="str">
        <f t="shared" si="46"/>
        <v>Over 3.5</v>
      </c>
      <c r="AB738" s="23">
        <v>6</v>
      </c>
      <c r="AC738" s="30" t="str">
        <f>VLOOKUP(AB738,[3]Key!$C$20:$D$29,2,FALSE)</f>
        <v>Businessman</v>
      </c>
      <c r="AD738" s="23">
        <v>1</v>
      </c>
      <c r="AE738" s="30" t="str">
        <f>VLOOKUP(AD738,[3]Key!$E$20:$F$24,2,FALSE)</f>
        <v>&lt;300,000</v>
      </c>
      <c r="AF738" s="23">
        <v>2</v>
      </c>
      <c r="AG738" s="50">
        <v>2</v>
      </c>
      <c r="AH738" s="50">
        <v>2</v>
      </c>
      <c r="AI738" s="50">
        <v>2</v>
      </c>
      <c r="AJ738" s="50">
        <v>2</v>
      </c>
      <c r="AK738" s="46" t="s">
        <v>94</v>
      </c>
      <c r="AL738" s="36">
        <v>4000</v>
      </c>
      <c r="AM738" t="str">
        <f t="shared" si="47"/>
        <v>3000-5000</v>
      </c>
    </row>
    <row r="739" spans="1:39" x14ac:dyDescent="0.2">
      <c r="A739" s="44" t="s">
        <v>423</v>
      </c>
      <c r="B739" s="48"/>
      <c r="C739" s="48"/>
      <c r="D739" s="48" t="s">
        <v>150</v>
      </c>
      <c r="E739" s="13">
        <v>2</v>
      </c>
      <c r="F739" s="38" t="str">
        <f>VLOOKUP(E739,[3]Key!$A$17:$B$21,2,FALSE)</f>
        <v>Road Vehicle</v>
      </c>
      <c r="G739" s="49">
        <v>4</v>
      </c>
      <c r="H739" s="39" t="str">
        <f>VLOOKUP(G739,[3]Key!$A$2:$B$14,2,FALSE)</f>
        <v>Minibus</v>
      </c>
      <c r="I739" s="13" t="s">
        <v>109</v>
      </c>
      <c r="J739" s="13">
        <v>2</v>
      </c>
      <c r="K739" s="40" t="str">
        <f>VLOOKUP(J739,[3]Key!$A$24:$B$29,2,FALSE)</f>
        <v>30-39</v>
      </c>
      <c r="L739" s="13" t="s">
        <v>424</v>
      </c>
      <c r="M739" s="23" t="s">
        <v>421</v>
      </c>
      <c r="N739" s="13" t="s">
        <v>152</v>
      </c>
      <c r="O739" s="46">
        <v>1</v>
      </c>
      <c r="P739" s="30" t="str">
        <f>VLOOKUP(O739,[3]Key!$E$2:$F$9,2,FALSE)</f>
        <v>Home</v>
      </c>
      <c r="Q739" s="13" t="s">
        <v>501</v>
      </c>
      <c r="R739" s="23" t="s">
        <v>488</v>
      </c>
      <c r="S739" s="13" t="s">
        <v>152</v>
      </c>
      <c r="T739" s="23">
        <v>2</v>
      </c>
      <c r="U739" s="30" t="str">
        <f>VLOOKUP(T739,[3]Key!$E$2:$F$9,2,FALSE)</f>
        <v>Work</v>
      </c>
      <c r="V739" s="30" t="str">
        <f t="shared" si="44"/>
        <v>Home-Work</v>
      </c>
      <c r="W739" s="51">
        <v>7000</v>
      </c>
      <c r="X739" s="50">
        <v>50</v>
      </c>
      <c r="Y739" s="50" t="str">
        <f t="shared" si="45"/>
        <v>40-70</v>
      </c>
      <c r="Z739" s="50">
        <v>1</v>
      </c>
      <c r="AA739" s="50" t="str">
        <f t="shared" si="46"/>
        <v>1.0-2.0</v>
      </c>
      <c r="AB739" s="23">
        <v>2</v>
      </c>
      <c r="AC739" s="30" t="str">
        <f>VLOOKUP(AB739,[3]Key!$C$20:$D$29,2,FALSE)</f>
        <v>Manual Labour</v>
      </c>
      <c r="AD739" s="23">
        <v>1</v>
      </c>
      <c r="AE739" s="30" t="str">
        <f>VLOOKUP(AD739,[3]Key!$E$20:$F$24,2,FALSE)</f>
        <v>&lt;300,000</v>
      </c>
      <c r="AF739" s="23">
        <v>2</v>
      </c>
      <c r="AG739" s="50">
        <v>2</v>
      </c>
      <c r="AH739" s="50">
        <v>2</v>
      </c>
      <c r="AI739" s="50">
        <v>2</v>
      </c>
      <c r="AJ739" s="50">
        <v>2</v>
      </c>
      <c r="AK739" s="46" t="s">
        <v>94</v>
      </c>
      <c r="AL739" s="36">
        <v>0</v>
      </c>
      <c r="AM739" t="str">
        <f t="shared" si="47"/>
        <v>0-1000</v>
      </c>
    </row>
    <row r="740" spans="1:39" x14ac:dyDescent="0.2">
      <c r="A740" s="44" t="s">
        <v>423</v>
      </c>
      <c r="B740" s="48"/>
      <c r="C740" s="48"/>
      <c r="D740" s="48" t="s">
        <v>150</v>
      </c>
      <c r="E740" s="13">
        <v>2</v>
      </c>
      <c r="F740" s="38" t="str">
        <f>VLOOKUP(E740,[3]Key!$A$17:$B$21,2,FALSE)</f>
        <v>Road Vehicle</v>
      </c>
      <c r="G740" s="49">
        <v>4</v>
      </c>
      <c r="H740" s="39" t="str">
        <f>VLOOKUP(G740,[3]Key!$A$2:$B$14,2,FALSE)</f>
        <v>Minibus</v>
      </c>
      <c r="I740" s="13" t="s">
        <v>109</v>
      </c>
      <c r="J740" s="13">
        <v>2</v>
      </c>
      <c r="K740" s="40" t="str">
        <f>VLOOKUP(J740,[3]Key!$A$24:$B$29,2,FALSE)</f>
        <v>30-39</v>
      </c>
      <c r="L740" s="13" t="s">
        <v>424</v>
      </c>
      <c r="M740" s="23" t="s">
        <v>421</v>
      </c>
      <c r="N740" s="13" t="s">
        <v>152</v>
      </c>
      <c r="O740" s="46">
        <v>1</v>
      </c>
      <c r="P740" s="30" t="str">
        <f>VLOOKUP(O740,[3]Key!$E$2:$F$9,2,FALSE)</f>
        <v>Home</v>
      </c>
      <c r="Q740" s="13" t="s">
        <v>472</v>
      </c>
      <c r="R740" s="23" t="s">
        <v>439</v>
      </c>
      <c r="S740" s="13" t="s">
        <v>152</v>
      </c>
      <c r="T740" s="23">
        <v>2</v>
      </c>
      <c r="U740" s="30" t="str">
        <f>VLOOKUP(T740,[3]Key!$E$2:$F$9,2,FALSE)</f>
        <v>Work</v>
      </c>
      <c r="V740" s="30" t="str">
        <f t="shared" si="44"/>
        <v>Home-Work</v>
      </c>
      <c r="W740" s="51">
        <v>7000</v>
      </c>
      <c r="X740" s="50">
        <v>75</v>
      </c>
      <c r="Y740" s="50" t="str">
        <f t="shared" si="45"/>
        <v>70-100</v>
      </c>
      <c r="Z740" s="50">
        <v>1.5</v>
      </c>
      <c r="AA740" s="50" t="str">
        <f t="shared" si="46"/>
        <v>1.0-2.0</v>
      </c>
      <c r="AB740" s="23">
        <v>5</v>
      </c>
      <c r="AC740" s="30" t="str">
        <f>VLOOKUP(AB740,[3]Key!$C$20:$D$29,2,FALSE)</f>
        <v>Professional</v>
      </c>
      <c r="AD740" s="23">
        <v>2</v>
      </c>
      <c r="AE740" s="30" t="str">
        <f>VLOOKUP(AD740,[3]Key!$E$20:$F$24,2,FALSE)</f>
        <v>300,000-500,000</v>
      </c>
      <c r="AF740" s="23">
        <v>5</v>
      </c>
      <c r="AG740" s="50">
        <v>5</v>
      </c>
      <c r="AH740" s="50">
        <v>2</v>
      </c>
      <c r="AI740" s="50">
        <v>2</v>
      </c>
      <c r="AJ740" s="50">
        <v>2</v>
      </c>
      <c r="AK740" s="46" t="s">
        <v>94</v>
      </c>
      <c r="AL740" s="36">
        <v>5000</v>
      </c>
      <c r="AM740" t="str">
        <f t="shared" si="47"/>
        <v>5000-10000</v>
      </c>
    </row>
    <row r="741" spans="1:39" x14ac:dyDescent="0.2">
      <c r="A741" s="44" t="s">
        <v>423</v>
      </c>
      <c r="B741" s="48"/>
      <c r="C741" s="48"/>
      <c r="D741" s="48" t="s">
        <v>97</v>
      </c>
      <c r="E741" s="13">
        <v>2</v>
      </c>
      <c r="F741" s="38" t="str">
        <f>VLOOKUP(E741,[3]Key!$A$17:$B$21,2,FALSE)</f>
        <v>Road Vehicle</v>
      </c>
      <c r="G741" s="49">
        <v>3</v>
      </c>
      <c r="H741" s="39" t="str">
        <f>VLOOKUP(G741,[3]Key!$A$2:$B$14,2,FALSE)</f>
        <v>Pickups</v>
      </c>
      <c r="I741" s="13" t="s">
        <v>109</v>
      </c>
      <c r="J741" s="13">
        <v>2</v>
      </c>
      <c r="K741" s="40" t="str">
        <f>VLOOKUP(J741,[3]Key!$A$24:$B$29,2,FALSE)</f>
        <v>30-39</v>
      </c>
      <c r="L741" s="13" t="s">
        <v>424</v>
      </c>
      <c r="M741" s="23" t="s">
        <v>421</v>
      </c>
      <c r="N741" s="13" t="s">
        <v>152</v>
      </c>
      <c r="O741" s="46">
        <v>1</v>
      </c>
      <c r="P741" s="30" t="str">
        <f>VLOOKUP(O741,[3]Key!$E$2:$F$9,2,FALSE)</f>
        <v>Home</v>
      </c>
      <c r="Q741" s="13" t="s">
        <v>517</v>
      </c>
      <c r="R741" s="23" t="s">
        <v>421</v>
      </c>
      <c r="S741" s="13" t="s">
        <v>152</v>
      </c>
      <c r="T741" s="23">
        <v>2</v>
      </c>
      <c r="U741" s="30" t="str">
        <f>VLOOKUP(T741,[3]Key!$E$2:$F$9,2,FALSE)</f>
        <v>Work</v>
      </c>
      <c r="V741" s="30" t="str">
        <f t="shared" si="44"/>
        <v>Home-Work</v>
      </c>
      <c r="W741" s="51">
        <v>8000</v>
      </c>
      <c r="X741" s="50">
        <v>66</v>
      </c>
      <c r="Y741" s="50" t="str">
        <f t="shared" si="45"/>
        <v>40-70</v>
      </c>
      <c r="Z741" s="50">
        <v>1.5</v>
      </c>
      <c r="AA741" s="50" t="str">
        <f t="shared" si="46"/>
        <v>1.0-2.0</v>
      </c>
      <c r="AB741" s="23">
        <v>2</v>
      </c>
      <c r="AC741" s="30" t="str">
        <f>VLOOKUP(AB741,[3]Key!$C$20:$D$29,2,FALSE)</f>
        <v>Manual Labour</v>
      </c>
      <c r="AD741" s="23">
        <v>1</v>
      </c>
      <c r="AE741" s="30" t="str">
        <f>VLOOKUP(AD741,[3]Key!$E$20:$F$24,2,FALSE)</f>
        <v>&lt;300,000</v>
      </c>
      <c r="AF741" s="23">
        <v>2</v>
      </c>
      <c r="AG741" s="50">
        <v>2</v>
      </c>
      <c r="AH741" s="50">
        <v>2</v>
      </c>
      <c r="AI741" s="50">
        <v>2</v>
      </c>
      <c r="AJ741" s="50">
        <v>2</v>
      </c>
      <c r="AK741" s="46" t="s">
        <v>94</v>
      </c>
      <c r="AL741" s="36">
        <v>7000</v>
      </c>
      <c r="AM741" t="str">
        <f t="shared" si="47"/>
        <v>5000-10000</v>
      </c>
    </row>
    <row r="742" spans="1:39" x14ac:dyDescent="0.2">
      <c r="A742" s="44" t="s">
        <v>433</v>
      </c>
      <c r="B742" s="48">
        <v>0.62777777777777777</v>
      </c>
      <c r="C742" s="48"/>
      <c r="D742" s="48" t="s">
        <v>97</v>
      </c>
      <c r="E742" s="13">
        <v>2</v>
      </c>
      <c r="F742" s="38" t="str">
        <f>VLOOKUP(E742,[3]Key!$A$17:$B$21,2,FALSE)</f>
        <v>Road Vehicle</v>
      </c>
      <c r="G742" s="49">
        <v>6</v>
      </c>
      <c r="H742" s="39" t="str">
        <f>VLOOKUP(G742,[3]Key!$A$2:$B$14,2,FALSE)</f>
        <v>Large Bus</v>
      </c>
      <c r="I742" s="13" t="s">
        <v>109</v>
      </c>
      <c r="J742" s="13">
        <v>3</v>
      </c>
      <c r="K742" s="40" t="str">
        <f>VLOOKUP(J742,[3]Key!$A$24:$B$29,2,FALSE)</f>
        <v>40-49</v>
      </c>
      <c r="L742" s="13" t="s">
        <v>483</v>
      </c>
      <c r="M742" s="23" t="s">
        <v>421</v>
      </c>
      <c r="N742" s="13" t="s">
        <v>152</v>
      </c>
      <c r="O742" s="46">
        <v>2</v>
      </c>
      <c r="P742" s="30" t="str">
        <f>VLOOKUP(O742,[3]Key!$E$2:$F$9,2,FALSE)</f>
        <v>Work</v>
      </c>
      <c r="Q742" s="13" t="s">
        <v>195</v>
      </c>
      <c r="R742" s="23" t="s">
        <v>153</v>
      </c>
      <c r="S742" s="13" t="s">
        <v>152</v>
      </c>
      <c r="T742" s="23">
        <v>1</v>
      </c>
      <c r="U742" s="30" t="str">
        <f>VLOOKUP(T742,[3]Key!$E$2:$F$9,2,FALSE)</f>
        <v>Home</v>
      </c>
      <c r="V742" s="30" t="str">
        <f t="shared" si="44"/>
        <v>Work-Home</v>
      </c>
      <c r="W742" s="51">
        <v>750000</v>
      </c>
      <c r="X742" s="50">
        <v>280</v>
      </c>
      <c r="Y742" s="50" t="str">
        <f t="shared" si="45"/>
        <v>Over 200</v>
      </c>
      <c r="Z742" s="50">
        <v>5</v>
      </c>
      <c r="AA742" s="50" t="str">
        <f t="shared" si="46"/>
        <v>Over 3.5</v>
      </c>
      <c r="AB742" s="23">
        <v>10</v>
      </c>
      <c r="AC742" s="30" t="str">
        <f>VLOOKUP(AB742,[3]Key!$C$20:$D$29,2,FALSE)</f>
        <v>Other</v>
      </c>
      <c r="AD742" s="23">
        <v>3</v>
      </c>
      <c r="AE742" s="30" t="str">
        <f>VLOOKUP(AD742,[3]Key!$E$20:$F$24,2,FALSE)</f>
        <v>500,000-750,000</v>
      </c>
      <c r="AF742" s="23">
        <v>1</v>
      </c>
      <c r="AG742" s="50">
        <v>2</v>
      </c>
      <c r="AH742" s="50">
        <v>5</v>
      </c>
      <c r="AI742" s="50">
        <v>4</v>
      </c>
      <c r="AJ742" s="50">
        <v>5</v>
      </c>
      <c r="AK742" s="46" t="s">
        <v>94</v>
      </c>
      <c r="AL742" s="36">
        <v>5000</v>
      </c>
      <c r="AM742" t="str">
        <f t="shared" si="47"/>
        <v>5000-10000</v>
      </c>
    </row>
    <row r="743" spans="1:39" x14ac:dyDescent="0.2">
      <c r="A743" s="44" t="s">
        <v>433</v>
      </c>
      <c r="B743" s="48">
        <v>0.63888888888888895</v>
      </c>
      <c r="C743" s="48"/>
      <c r="D743" s="48" t="s">
        <v>97</v>
      </c>
      <c r="E743" s="13">
        <v>2</v>
      </c>
      <c r="F743" s="38" t="str">
        <f>VLOOKUP(E743,[3]Key!$A$17:$B$21,2,FALSE)</f>
        <v>Road Vehicle</v>
      </c>
      <c r="G743" s="49">
        <v>6</v>
      </c>
      <c r="H743" s="39" t="str">
        <f>VLOOKUP(G743,[3]Key!$A$2:$B$14,2,FALSE)</f>
        <v>Large Bus</v>
      </c>
      <c r="I743" s="13" t="s">
        <v>109</v>
      </c>
      <c r="J743" s="13">
        <v>3</v>
      </c>
      <c r="K743" s="40" t="str">
        <f>VLOOKUP(J743,[3]Key!$A$24:$B$29,2,FALSE)</f>
        <v>40-49</v>
      </c>
      <c r="L743" s="13" t="s">
        <v>492</v>
      </c>
      <c r="M743" s="23" t="s">
        <v>421</v>
      </c>
      <c r="N743" s="13" t="s">
        <v>152</v>
      </c>
      <c r="O743" s="46">
        <v>1</v>
      </c>
      <c r="P743" s="30" t="str">
        <f>VLOOKUP(O743,[3]Key!$E$2:$F$9,2,FALSE)</f>
        <v>Home</v>
      </c>
      <c r="Q743" s="13" t="s">
        <v>434</v>
      </c>
      <c r="R743" s="23" t="s">
        <v>153</v>
      </c>
      <c r="S743" s="13" t="s">
        <v>152</v>
      </c>
      <c r="T743" s="23">
        <v>2</v>
      </c>
      <c r="U743" s="30" t="str">
        <f>VLOOKUP(T743,[3]Key!$E$2:$F$9,2,FALSE)</f>
        <v>Work</v>
      </c>
      <c r="V743" s="30" t="str">
        <f t="shared" si="44"/>
        <v>Home-Work</v>
      </c>
      <c r="W743" s="51">
        <v>650000</v>
      </c>
      <c r="X743" s="50">
        <v>215</v>
      </c>
      <c r="Y743" s="50" t="str">
        <f t="shared" si="45"/>
        <v>Over 200</v>
      </c>
      <c r="Z743" s="50">
        <v>4</v>
      </c>
      <c r="AA743" s="50" t="str">
        <f t="shared" si="46"/>
        <v>Over 3.5</v>
      </c>
      <c r="AB743" s="23">
        <v>10</v>
      </c>
      <c r="AC743" s="30" t="str">
        <f>VLOOKUP(AB743,[3]Key!$C$20:$D$29,2,FALSE)</f>
        <v>Other</v>
      </c>
      <c r="AD743" s="23">
        <v>3</v>
      </c>
      <c r="AE743" s="30" t="str">
        <f>VLOOKUP(AD743,[3]Key!$E$20:$F$24,2,FALSE)</f>
        <v>500,000-750,000</v>
      </c>
      <c r="AF743" s="23">
        <v>2</v>
      </c>
      <c r="AG743" s="50">
        <v>3</v>
      </c>
      <c r="AH743" s="50">
        <v>4</v>
      </c>
      <c r="AI743" s="50">
        <v>5</v>
      </c>
      <c r="AJ743" s="50">
        <v>1</v>
      </c>
      <c r="AK743" s="46" t="s">
        <v>94</v>
      </c>
      <c r="AL743" s="36">
        <v>4000</v>
      </c>
      <c r="AM743" t="str">
        <f t="shared" si="47"/>
        <v>3000-5000</v>
      </c>
    </row>
    <row r="744" spans="1:39" x14ac:dyDescent="0.2">
      <c r="A744" s="44" t="s">
        <v>433</v>
      </c>
      <c r="B744" s="48">
        <v>0.65069444444444446</v>
      </c>
      <c r="C744" s="48"/>
      <c r="D744" s="48" t="s">
        <v>97</v>
      </c>
      <c r="E744" s="13">
        <v>2</v>
      </c>
      <c r="F744" s="38" t="str">
        <f>VLOOKUP(E744,[3]Key!$A$17:$B$21,2,FALSE)</f>
        <v>Road Vehicle</v>
      </c>
      <c r="G744" s="49">
        <v>6</v>
      </c>
      <c r="H744" s="39" t="str">
        <f>VLOOKUP(G744,[3]Key!$A$2:$B$14,2,FALSE)</f>
        <v>Large Bus</v>
      </c>
      <c r="I744" s="13" t="s">
        <v>109</v>
      </c>
      <c r="J744" s="13">
        <v>3</v>
      </c>
      <c r="K744" s="40" t="str">
        <f>VLOOKUP(J744,[3]Key!$A$24:$B$29,2,FALSE)</f>
        <v>40-49</v>
      </c>
      <c r="L744" s="13" t="s">
        <v>497</v>
      </c>
      <c r="M744" s="23" t="s">
        <v>421</v>
      </c>
      <c r="N744" s="13" t="s">
        <v>152</v>
      </c>
      <c r="O744" s="46">
        <v>2</v>
      </c>
      <c r="P744" s="30" t="str">
        <f>VLOOKUP(O744,[3]Key!$E$2:$F$9,2,FALSE)</f>
        <v>Work</v>
      </c>
      <c r="Q744" s="13" t="s">
        <v>195</v>
      </c>
      <c r="R744" s="23" t="s">
        <v>153</v>
      </c>
      <c r="S744" s="13" t="s">
        <v>152</v>
      </c>
      <c r="T744" s="23">
        <v>1</v>
      </c>
      <c r="U744" s="30" t="str">
        <f>VLOOKUP(T744,[3]Key!$E$2:$F$9,2,FALSE)</f>
        <v>Home</v>
      </c>
      <c r="V744" s="30" t="str">
        <f t="shared" si="44"/>
        <v>Work-Home</v>
      </c>
      <c r="W744" s="51">
        <v>750000</v>
      </c>
      <c r="X744" s="50">
        <v>218</v>
      </c>
      <c r="Y744" s="50" t="str">
        <f t="shared" si="45"/>
        <v>Over 200</v>
      </c>
      <c r="Z744" s="50">
        <v>4.5</v>
      </c>
      <c r="AA744" s="50" t="str">
        <f t="shared" si="46"/>
        <v>Over 3.5</v>
      </c>
      <c r="AB744" s="23">
        <v>10</v>
      </c>
      <c r="AC744" s="30" t="str">
        <f>VLOOKUP(AB744,[3]Key!$C$20:$D$29,2,FALSE)</f>
        <v>Other</v>
      </c>
      <c r="AD744" s="23">
        <v>3</v>
      </c>
      <c r="AE744" s="30" t="str">
        <f>VLOOKUP(AD744,[3]Key!$E$20:$F$24,2,FALSE)</f>
        <v>500,000-750,000</v>
      </c>
      <c r="AF744" s="23">
        <v>1</v>
      </c>
      <c r="AG744" s="50">
        <v>2</v>
      </c>
      <c r="AH744" s="50">
        <v>3</v>
      </c>
      <c r="AI744" s="50">
        <v>5</v>
      </c>
      <c r="AJ744" s="50">
        <v>4</v>
      </c>
      <c r="AK744" s="46" t="s">
        <v>94</v>
      </c>
      <c r="AL744" s="36">
        <v>0</v>
      </c>
      <c r="AM744" t="str">
        <f t="shared" si="47"/>
        <v>0-1000</v>
      </c>
    </row>
    <row r="745" spans="1:39" x14ac:dyDescent="0.2">
      <c r="A745" s="44" t="s">
        <v>433</v>
      </c>
      <c r="B745" s="48">
        <v>0.65833333333333333</v>
      </c>
      <c r="C745" s="48"/>
      <c r="D745" s="48" t="s">
        <v>97</v>
      </c>
      <c r="E745" s="13">
        <v>2</v>
      </c>
      <c r="F745" s="38" t="str">
        <f>VLOOKUP(E745,[3]Key!$A$17:$B$21,2,FALSE)</f>
        <v>Road Vehicle</v>
      </c>
      <c r="G745" s="49">
        <v>6</v>
      </c>
      <c r="H745" s="39" t="str">
        <f>VLOOKUP(G745,[3]Key!$A$2:$B$14,2,FALSE)</f>
        <v>Large Bus</v>
      </c>
      <c r="I745" s="13" t="s">
        <v>109</v>
      </c>
      <c r="J745" s="13">
        <v>3</v>
      </c>
      <c r="K745" s="40" t="str">
        <f>VLOOKUP(J745,[3]Key!$A$24:$B$29,2,FALSE)</f>
        <v>40-49</v>
      </c>
      <c r="L745" s="13"/>
      <c r="M745" s="23"/>
      <c r="N745" s="13" t="s">
        <v>152</v>
      </c>
      <c r="O745" s="46">
        <v>1</v>
      </c>
      <c r="P745" s="30" t="str">
        <f>VLOOKUP(O745,[3]Key!$E$2:$F$9,2,FALSE)</f>
        <v>Home</v>
      </c>
      <c r="Q745" s="13"/>
      <c r="R745" s="23"/>
      <c r="S745" s="13" t="s">
        <v>152</v>
      </c>
      <c r="T745" s="23">
        <v>2</v>
      </c>
      <c r="U745" s="30" t="str">
        <f>VLOOKUP(T745,[3]Key!$E$2:$F$9,2,FALSE)</f>
        <v>Work</v>
      </c>
      <c r="V745" s="30" t="str">
        <f t="shared" si="44"/>
        <v>Home-Work</v>
      </c>
      <c r="W745" s="51">
        <v>850000</v>
      </c>
      <c r="X745" s="50">
        <v>220</v>
      </c>
      <c r="Y745" s="50" t="str">
        <f t="shared" si="45"/>
        <v>Over 200</v>
      </c>
      <c r="Z745" s="50">
        <v>5.5</v>
      </c>
      <c r="AA745" s="50" t="str">
        <f t="shared" si="46"/>
        <v>Over 3.5</v>
      </c>
      <c r="AB745" s="23">
        <v>10</v>
      </c>
      <c r="AC745" s="30" t="str">
        <f>VLOOKUP(AB745,[3]Key!$C$20:$D$29,2,FALSE)</f>
        <v>Other</v>
      </c>
      <c r="AD745" s="23">
        <v>4</v>
      </c>
      <c r="AE745" s="30" t="str">
        <f>VLOOKUP(AD745,[3]Key!$E$20:$F$24,2,FALSE)</f>
        <v>750,000-1,000,000</v>
      </c>
      <c r="AF745" s="23">
        <v>2</v>
      </c>
      <c r="AG745" s="50">
        <v>1</v>
      </c>
      <c r="AH745" s="50">
        <v>3</v>
      </c>
      <c r="AI745" s="50">
        <v>4</v>
      </c>
      <c r="AJ745" s="50">
        <v>5</v>
      </c>
      <c r="AK745" s="46" t="s">
        <v>94</v>
      </c>
      <c r="AL745" s="36">
        <v>10000</v>
      </c>
      <c r="AM745" t="str">
        <f t="shared" si="47"/>
        <v>Over 10000</v>
      </c>
    </row>
    <row r="746" spans="1:39" x14ac:dyDescent="0.2">
      <c r="A746" s="44" t="s">
        <v>433</v>
      </c>
      <c r="B746" s="48">
        <v>0.67083333333333339</v>
      </c>
      <c r="C746" s="48"/>
      <c r="D746" s="48" t="s">
        <v>97</v>
      </c>
      <c r="E746" s="13">
        <v>2</v>
      </c>
      <c r="F746" s="38" t="str">
        <f>VLOOKUP(E746,[3]Key!$A$17:$B$21,2,FALSE)</f>
        <v>Road Vehicle</v>
      </c>
      <c r="G746" s="49">
        <v>6</v>
      </c>
      <c r="H746" s="39" t="str">
        <f>VLOOKUP(G746,[3]Key!$A$2:$B$14,2,FALSE)</f>
        <v>Large Bus</v>
      </c>
      <c r="I746" s="13" t="s">
        <v>109</v>
      </c>
      <c r="J746" s="13">
        <v>3</v>
      </c>
      <c r="K746" s="40" t="str">
        <f>VLOOKUP(J746,[3]Key!$A$24:$B$29,2,FALSE)</f>
        <v>40-49</v>
      </c>
      <c r="L746" s="13" t="s">
        <v>518</v>
      </c>
      <c r="M746" s="23" t="s">
        <v>421</v>
      </c>
      <c r="N746" s="13" t="s">
        <v>152</v>
      </c>
      <c r="O746" s="46">
        <v>1</v>
      </c>
      <c r="P746" s="30" t="str">
        <f>VLOOKUP(O746,[3]Key!$E$2:$F$9,2,FALSE)</f>
        <v>Home</v>
      </c>
      <c r="Q746" s="13" t="s">
        <v>195</v>
      </c>
      <c r="R746" s="23" t="s">
        <v>153</v>
      </c>
      <c r="S746" s="13" t="s">
        <v>152</v>
      </c>
      <c r="T746" s="23">
        <v>2</v>
      </c>
      <c r="U746" s="30" t="str">
        <f>VLOOKUP(T746,[3]Key!$E$2:$F$9,2,FALSE)</f>
        <v>Work</v>
      </c>
      <c r="V746" s="30" t="str">
        <f t="shared" si="44"/>
        <v>Home-Work</v>
      </c>
      <c r="W746" s="51">
        <v>800000</v>
      </c>
      <c r="X746" s="50">
        <v>215</v>
      </c>
      <c r="Y746" s="50" t="str">
        <f t="shared" si="45"/>
        <v>Over 200</v>
      </c>
      <c r="Z746" s="50">
        <v>5</v>
      </c>
      <c r="AA746" s="50" t="str">
        <f t="shared" si="46"/>
        <v>Over 3.5</v>
      </c>
      <c r="AB746" s="23">
        <v>10</v>
      </c>
      <c r="AC746" s="30" t="str">
        <f>VLOOKUP(AB746,[3]Key!$C$20:$D$29,2,FALSE)</f>
        <v>Other</v>
      </c>
      <c r="AD746" s="23">
        <v>2</v>
      </c>
      <c r="AE746" s="30" t="str">
        <f>VLOOKUP(AD746,[3]Key!$E$20:$F$24,2,FALSE)</f>
        <v>300,000-500,000</v>
      </c>
      <c r="AF746" s="23">
        <v>1</v>
      </c>
      <c r="AG746" s="50">
        <v>2</v>
      </c>
      <c r="AH746" s="50">
        <v>3</v>
      </c>
      <c r="AI746" s="50">
        <v>5</v>
      </c>
      <c r="AJ746" s="50">
        <v>4</v>
      </c>
      <c r="AK746" s="46" t="s">
        <v>94</v>
      </c>
      <c r="AL746" s="36">
        <v>1000</v>
      </c>
      <c r="AM746" t="str">
        <f t="shared" si="47"/>
        <v>1000-2000</v>
      </c>
    </row>
    <row r="747" spans="1:39" x14ac:dyDescent="0.2">
      <c r="A747" s="44" t="s">
        <v>433</v>
      </c>
      <c r="B747" s="48">
        <v>0.78333333333333333</v>
      </c>
      <c r="C747" s="48"/>
      <c r="D747" s="48" t="s">
        <v>150</v>
      </c>
      <c r="E747" s="13">
        <v>2</v>
      </c>
      <c r="F747" s="38" t="str">
        <f>VLOOKUP(E747,[3]Key!$A$17:$B$21,2,FALSE)</f>
        <v>Road Vehicle</v>
      </c>
      <c r="G747" s="49">
        <v>6</v>
      </c>
      <c r="H747" s="39" t="str">
        <f>VLOOKUP(G747,[3]Key!$A$2:$B$14,2,FALSE)</f>
        <v>Large Bus</v>
      </c>
      <c r="I747" s="13" t="s">
        <v>109</v>
      </c>
      <c r="J747" s="13">
        <v>3</v>
      </c>
      <c r="K747" s="40" t="str">
        <f>VLOOKUP(J747,[3]Key!$A$24:$B$29,2,FALSE)</f>
        <v>40-49</v>
      </c>
      <c r="L747" s="13" t="s">
        <v>519</v>
      </c>
      <c r="M747" s="23" t="s">
        <v>421</v>
      </c>
      <c r="N747" s="13" t="s">
        <v>152</v>
      </c>
      <c r="O747" s="46">
        <v>4</v>
      </c>
      <c r="P747" s="30" t="str">
        <f>VLOOKUP(O747,[3]Key!$E$2:$F$9,2,FALSE)</f>
        <v>Commercial</v>
      </c>
      <c r="Q747" s="13" t="s">
        <v>169</v>
      </c>
      <c r="R747" s="23" t="s">
        <v>168</v>
      </c>
      <c r="S747" s="13" t="s">
        <v>152</v>
      </c>
      <c r="T747" s="23">
        <v>1</v>
      </c>
      <c r="U747" s="30" t="str">
        <f>VLOOKUP(T747,[3]Key!$E$2:$F$9,2,FALSE)</f>
        <v>Home</v>
      </c>
      <c r="V747" s="30" t="str">
        <f t="shared" si="44"/>
        <v>Commercial-Home</v>
      </c>
      <c r="W747" s="51">
        <v>20000</v>
      </c>
      <c r="X747" s="50">
        <v>400</v>
      </c>
      <c r="Y747" s="50" t="str">
        <f t="shared" si="45"/>
        <v>Over 200</v>
      </c>
      <c r="Z747" s="50">
        <v>5</v>
      </c>
      <c r="AA747" s="50" t="str">
        <f t="shared" si="46"/>
        <v>Over 3.5</v>
      </c>
      <c r="AB747" s="23">
        <v>7</v>
      </c>
      <c r="AC747" s="30" t="str">
        <f>VLOOKUP(AB747,[3]Key!$C$20:$D$29,2,FALSE)</f>
        <v>Farmer</v>
      </c>
      <c r="AD747" s="23">
        <v>2</v>
      </c>
      <c r="AE747" s="30" t="str">
        <f>VLOOKUP(AD747,[3]Key!$E$20:$F$24,2,FALSE)</f>
        <v>300,000-500,000</v>
      </c>
      <c r="AF747" s="23">
        <v>3</v>
      </c>
      <c r="AG747" s="50">
        <v>2</v>
      </c>
      <c r="AH747" s="50">
        <v>1</v>
      </c>
      <c r="AI747" s="50">
        <v>5</v>
      </c>
      <c r="AJ747" s="50">
        <v>4</v>
      </c>
      <c r="AK747" s="46" t="s">
        <v>94</v>
      </c>
      <c r="AL747" s="36">
        <v>1000</v>
      </c>
      <c r="AM747" t="str">
        <f t="shared" si="47"/>
        <v>1000-2000</v>
      </c>
    </row>
    <row r="748" spans="1:39" x14ac:dyDescent="0.2">
      <c r="A748" s="44" t="s">
        <v>433</v>
      </c>
      <c r="B748" s="48">
        <v>0.75</v>
      </c>
      <c r="C748" s="48"/>
      <c r="D748" s="48" t="s">
        <v>97</v>
      </c>
      <c r="E748" s="13">
        <v>2</v>
      </c>
      <c r="F748" s="38" t="str">
        <f>VLOOKUP(E748,[3]Key!$A$17:$B$21,2,FALSE)</f>
        <v>Road Vehicle</v>
      </c>
      <c r="G748" s="49">
        <v>6</v>
      </c>
      <c r="H748" s="39" t="str">
        <f>VLOOKUP(G748,[3]Key!$A$2:$B$14,2,FALSE)</f>
        <v>Large Bus</v>
      </c>
      <c r="I748" s="13" t="s">
        <v>109</v>
      </c>
      <c r="J748" s="13">
        <v>3</v>
      </c>
      <c r="K748" s="40" t="str">
        <f>VLOOKUP(J748,[3]Key!$A$24:$B$29,2,FALSE)</f>
        <v>40-49</v>
      </c>
      <c r="L748" s="13" t="s">
        <v>434</v>
      </c>
      <c r="M748" s="23" t="s">
        <v>153</v>
      </c>
      <c r="N748" s="13" t="s">
        <v>152</v>
      </c>
      <c r="O748" s="46">
        <v>4</v>
      </c>
      <c r="P748" s="30" t="str">
        <f>VLOOKUP(O748,[3]Key!$E$2:$F$9,2,FALSE)</f>
        <v>Commercial</v>
      </c>
      <c r="Q748" s="13" t="s">
        <v>484</v>
      </c>
      <c r="R748" s="23" t="s">
        <v>485</v>
      </c>
      <c r="S748" s="13" t="s">
        <v>152</v>
      </c>
      <c r="T748" s="23">
        <v>4</v>
      </c>
      <c r="U748" s="30" t="str">
        <f>VLOOKUP(T748,[3]Key!$E$2:$F$9,2,FALSE)</f>
        <v>Commercial</v>
      </c>
      <c r="V748" s="30" t="str">
        <f t="shared" si="44"/>
        <v>Commercial-Commercial</v>
      </c>
      <c r="W748" s="51">
        <v>1100000</v>
      </c>
      <c r="X748" s="50"/>
      <c r="Y748" s="50" t="str">
        <f t="shared" si="45"/>
        <v>0-10</v>
      </c>
      <c r="Z748" s="50">
        <v>12</v>
      </c>
      <c r="AA748" s="50" t="str">
        <f t="shared" si="46"/>
        <v>Over 3.5</v>
      </c>
      <c r="AB748" s="23">
        <v>10</v>
      </c>
      <c r="AC748" s="30" t="str">
        <f>VLOOKUP(AB748,[3]Key!$C$20:$D$29,2,FALSE)</f>
        <v>Other</v>
      </c>
      <c r="AD748" s="23">
        <v>4</v>
      </c>
      <c r="AE748" s="30" t="str">
        <f>VLOOKUP(AD748,[3]Key!$E$20:$F$24,2,FALSE)</f>
        <v>750,000-1,000,000</v>
      </c>
      <c r="AF748" s="23">
        <v>5</v>
      </c>
      <c r="AG748" s="50">
        <v>2</v>
      </c>
      <c r="AH748" s="50">
        <v>4</v>
      </c>
      <c r="AI748" s="50">
        <v>3</v>
      </c>
      <c r="AJ748" s="50">
        <v>1</v>
      </c>
      <c r="AK748" s="46" t="s">
        <v>94</v>
      </c>
      <c r="AL748" s="36">
        <v>10000</v>
      </c>
      <c r="AM748" t="str">
        <f t="shared" si="47"/>
        <v>Over 10000</v>
      </c>
    </row>
    <row r="749" spans="1:39" x14ac:dyDescent="0.2">
      <c r="A749" s="44" t="s">
        <v>433</v>
      </c>
      <c r="B749" s="48">
        <v>0.73611111111111116</v>
      </c>
      <c r="C749" s="48"/>
      <c r="D749" s="48" t="s">
        <v>97</v>
      </c>
      <c r="E749" s="13">
        <v>2</v>
      </c>
      <c r="F749" s="38" t="str">
        <f>VLOOKUP(E749,[3]Key!$A$17:$B$21,2,FALSE)</f>
        <v>Road Vehicle</v>
      </c>
      <c r="G749" s="49">
        <v>6</v>
      </c>
      <c r="H749" s="39" t="str">
        <f>VLOOKUP(G749,[3]Key!$A$2:$B$14,2,FALSE)</f>
        <v>Large Bus</v>
      </c>
      <c r="I749" s="13" t="s">
        <v>109</v>
      </c>
      <c r="J749" s="13">
        <v>3</v>
      </c>
      <c r="K749" s="40" t="str">
        <f>VLOOKUP(J749,[3]Key!$A$24:$B$29,2,FALSE)</f>
        <v>40-49</v>
      </c>
      <c r="L749" s="13" t="s">
        <v>434</v>
      </c>
      <c r="M749" s="23" t="s">
        <v>153</v>
      </c>
      <c r="N749" s="13" t="s">
        <v>152</v>
      </c>
      <c r="O749" s="46">
        <v>4</v>
      </c>
      <c r="P749" s="30" t="str">
        <f>VLOOKUP(O749,[3]Key!$E$2:$F$9,2,FALSE)</f>
        <v>Commercial</v>
      </c>
      <c r="Q749" s="13" t="s">
        <v>427</v>
      </c>
      <c r="R749" s="23" t="s">
        <v>428</v>
      </c>
      <c r="S749" s="13" t="s">
        <v>152</v>
      </c>
      <c r="T749" s="23">
        <v>4</v>
      </c>
      <c r="U749" s="30" t="str">
        <f>VLOOKUP(T749,[3]Key!$E$2:$F$9,2,FALSE)</f>
        <v>Commercial</v>
      </c>
      <c r="V749" s="30" t="str">
        <f t="shared" si="44"/>
        <v>Commercial-Commercial</v>
      </c>
      <c r="W749" s="51">
        <v>700000</v>
      </c>
      <c r="X749" s="50"/>
      <c r="Y749" s="50" t="str">
        <f t="shared" si="45"/>
        <v>0-10</v>
      </c>
      <c r="Z749" s="50">
        <v>8.5</v>
      </c>
      <c r="AA749" s="50" t="str">
        <f t="shared" si="46"/>
        <v>Over 3.5</v>
      </c>
      <c r="AB749" s="23">
        <v>10</v>
      </c>
      <c r="AC749" s="30" t="str">
        <f>VLOOKUP(AB749,[3]Key!$C$20:$D$29,2,FALSE)</f>
        <v>Other</v>
      </c>
      <c r="AD749" s="23">
        <v>5</v>
      </c>
      <c r="AE749" s="30" t="str">
        <f>VLOOKUP(AD749,[3]Key!$E$20:$F$24,2,FALSE)</f>
        <v>&gt;1,000,000</v>
      </c>
      <c r="AF749" s="23">
        <v>4</v>
      </c>
      <c r="AG749" s="50">
        <v>4</v>
      </c>
      <c r="AH749" s="50">
        <v>3</v>
      </c>
      <c r="AI749" s="50">
        <v>3</v>
      </c>
      <c r="AJ749" s="50">
        <v>2</v>
      </c>
      <c r="AK749" s="46" t="s">
        <v>94</v>
      </c>
      <c r="AL749" s="36">
        <v>6000</v>
      </c>
      <c r="AM749" t="str">
        <f t="shared" si="47"/>
        <v>5000-10000</v>
      </c>
    </row>
    <row r="750" spans="1:39" x14ac:dyDescent="0.2">
      <c r="A750" s="44" t="s">
        <v>433</v>
      </c>
      <c r="B750" s="48">
        <v>0.74236111111111114</v>
      </c>
      <c r="C750" s="48"/>
      <c r="D750" s="48" t="s">
        <v>97</v>
      </c>
      <c r="E750" s="13">
        <v>2</v>
      </c>
      <c r="F750" s="38" t="str">
        <f>VLOOKUP(E750,[3]Key!$A$17:$B$21,2,FALSE)</f>
        <v>Road Vehicle</v>
      </c>
      <c r="G750" s="49">
        <v>6</v>
      </c>
      <c r="H750" s="39" t="str">
        <f>VLOOKUP(G750,[3]Key!$A$2:$B$14,2,FALSE)</f>
        <v>Large Bus</v>
      </c>
      <c r="I750" s="13" t="s">
        <v>109</v>
      </c>
      <c r="J750" s="13">
        <v>3</v>
      </c>
      <c r="K750" s="40" t="str">
        <f>VLOOKUP(J750,[3]Key!$A$24:$B$29,2,FALSE)</f>
        <v>40-49</v>
      </c>
      <c r="L750" s="13" t="s">
        <v>434</v>
      </c>
      <c r="M750" s="23" t="s">
        <v>153</v>
      </c>
      <c r="N750" s="13" t="s">
        <v>152</v>
      </c>
      <c r="O750" s="46">
        <v>4</v>
      </c>
      <c r="P750" s="30" t="str">
        <f>VLOOKUP(O750,[3]Key!$E$2:$F$9,2,FALSE)</f>
        <v>Commercial</v>
      </c>
      <c r="Q750" s="13" t="s">
        <v>438</v>
      </c>
      <c r="R750" s="23" t="s">
        <v>446</v>
      </c>
      <c r="S750" s="13" t="s">
        <v>152</v>
      </c>
      <c r="T750" s="23">
        <v>4</v>
      </c>
      <c r="U750" s="30" t="str">
        <f>VLOOKUP(T750,[3]Key!$E$2:$F$9,2,FALSE)</f>
        <v>Commercial</v>
      </c>
      <c r="V750" s="30" t="str">
        <f t="shared" si="44"/>
        <v>Commercial-Commercial</v>
      </c>
      <c r="W750" s="51">
        <v>570000</v>
      </c>
      <c r="X750" s="50"/>
      <c r="Y750" s="50" t="str">
        <f t="shared" si="45"/>
        <v>0-10</v>
      </c>
      <c r="Z750" s="50">
        <v>7</v>
      </c>
      <c r="AA750" s="50" t="str">
        <f t="shared" si="46"/>
        <v>Over 3.5</v>
      </c>
      <c r="AB750" s="23">
        <v>10</v>
      </c>
      <c r="AC750" s="30" t="str">
        <f>VLOOKUP(AB750,[3]Key!$C$20:$D$29,2,FALSE)</f>
        <v>Other</v>
      </c>
      <c r="AD750" s="23">
        <v>5</v>
      </c>
      <c r="AE750" s="30" t="str">
        <f>VLOOKUP(AD750,[3]Key!$E$20:$F$24,2,FALSE)</f>
        <v>&gt;1,000,000</v>
      </c>
      <c r="AF750" s="23">
        <v>5</v>
      </c>
      <c r="AG750" s="50">
        <v>4</v>
      </c>
      <c r="AH750" s="50">
        <v>4</v>
      </c>
      <c r="AI750" s="50">
        <v>2</v>
      </c>
      <c r="AJ750" s="50">
        <v>3</v>
      </c>
      <c r="AK750" s="46" t="s">
        <v>94</v>
      </c>
      <c r="AL750" s="36">
        <v>5000</v>
      </c>
      <c r="AM750" t="str">
        <f t="shared" si="47"/>
        <v>5000-10000</v>
      </c>
    </row>
    <row r="751" spans="1:39" x14ac:dyDescent="0.2">
      <c r="A751" s="44" t="s">
        <v>433</v>
      </c>
      <c r="B751" s="48">
        <v>0.6875</v>
      </c>
      <c r="C751" s="48"/>
      <c r="D751" s="48" t="s">
        <v>97</v>
      </c>
      <c r="E751" s="13">
        <v>2</v>
      </c>
      <c r="F751" s="38" t="str">
        <f>VLOOKUP(E751,[3]Key!$A$17:$B$21,2,FALSE)</f>
        <v>Road Vehicle</v>
      </c>
      <c r="G751" s="49">
        <v>6</v>
      </c>
      <c r="H751" s="39" t="str">
        <f>VLOOKUP(G751,[3]Key!$A$2:$B$14,2,FALSE)</f>
        <v>Large Bus</v>
      </c>
      <c r="I751" s="13" t="s">
        <v>109</v>
      </c>
      <c r="J751" s="13">
        <v>3</v>
      </c>
      <c r="K751" s="40" t="str">
        <f>VLOOKUP(J751,[3]Key!$A$24:$B$29,2,FALSE)</f>
        <v>40-49</v>
      </c>
      <c r="L751" s="13" t="s">
        <v>434</v>
      </c>
      <c r="M751" s="23" t="s">
        <v>153</v>
      </c>
      <c r="N751" s="13" t="s">
        <v>152</v>
      </c>
      <c r="O751" s="46">
        <v>4</v>
      </c>
      <c r="P751" s="30" t="str">
        <f>VLOOKUP(O751,[3]Key!$E$2:$F$9,2,FALSE)</f>
        <v>Commercial</v>
      </c>
      <c r="Q751" s="13" t="s">
        <v>484</v>
      </c>
      <c r="R751" s="23" t="s">
        <v>485</v>
      </c>
      <c r="S751" s="13" t="s">
        <v>152</v>
      </c>
      <c r="T751" s="23">
        <v>4</v>
      </c>
      <c r="U751" s="30" t="str">
        <f>VLOOKUP(T751,[3]Key!$E$2:$F$9,2,FALSE)</f>
        <v>Commercial</v>
      </c>
      <c r="V751" s="30" t="str">
        <f t="shared" si="44"/>
        <v>Commercial-Commercial</v>
      </c>
      <c r="W751" s="51">
        <v>2400000</v>
      </c>
      <c r="X751" s="50"/>
      <c r="Y751" s="50" t="str">
        <f t="shared" si="45"/>
        <v>0-10</v>
      </c>
      <c r="Z751" s="50">
        <v>12</v>
      </c>
      <c r="AA751" s="50" t="str">
        <f t="shared" si="46"/>
        <v>Over 3.5</v>
      </c>
      <c r="AB751" s="23">
        <v>10</v>
      </c>
      <c r="AC751" s="30" t="str">
        <f>VLOOKUP(AB751,[3]Key!$C$20:$D$29,2,FALSE)</f>
        <v>Other</v>
      </c>
      <c r="AD751" s="23">
        <v>5</v>
      </c>
      <c r="AE751" s="30" t="str">
        <f>VLOOKUP(AD751,[3]Key!$E$20:$F$24,2,FALSE)</f>
        <v>&gt;1,000,000</v>
      </c>
      <c r="AF751" s="23">
        <v>4</v>
      </c>
      <c r="AG751" s="50">
        <v>4</v>
      </c>
      <c r="AH751" s="50">
        <v>4</v>
      </c>
      <c r="AI751" s="50">
        <v>3</v>
      </c>
      <c r="AJ751" s="50">
        <v>5</v>
      </c>
      <c r="AK751" s="46" t="s">
        <v>94</v>
      </c>
      <c r="AL751" s="36">
        <v>5000</v>
      </c>
      <c r="AM751" t="str">
        <f t="shared" si="47"/>
        <v>5000-10000</v>
      </c>
    </row>
    <row r="752" spans="1:39" x14ac:dyDescent="0.2">
      <c r="A752" s="44" t="s">
        <v>433</v>
      </c>
      <c r="B752" s="48">
        <v>0.65902777777777777</v>
      </c>
      <c r="C752" s="48"/>
      <c r="D752" s="48" t="s">
        <v>97</v>
      </c>
      <c r="E752" s="13">
        <v>2</v>
      </c>
      <c r="F752" s="38" t="str">
        <f>VLOOKUP(E752,[3]Key!$A$17:$B$21,2,FALSE)</f>
        <v>Road Vehicle</v>
      </c>
      <c r="G752" s="49">
        <v>6</v>
      </c>
      <c r="H752" s="39" t="str">
        <f>VLOOKUP(G752,[3]Key!$A$2:$B$14,2,FALSE)</f>
        <v>Large Bus</v>
      </c>
      <c r="I752" s="13" t="s">
        <v>109</v>
      </c>
      <c r="J752" s="13">
        <v>3</v>
      </c>
      <c r="K752" s="40" t="str">
        <f>VLOOKUP(J752,[3]Key!$A$24:$B$29,2,FALSE)</f>
        <v>40-49</v>
      </c>
      <c r="L752" s="13" t="s">
        <v>434</v>
      </c>
      <c r="M752" s="23" t="s">
        <v>153</v>
      </c>
      <c r="N752" s="13" t="s">
        <v>152</v>
      </c>
      <c r="O752" s="46">
        <v>4</v>
      </c>
      <c r="P752" s="30" t="str">
        <f>VLOOKUP(O752,[3]Key!$E$2:$F$9,2,FALSE)</f>
        <v>Commercial</v>
      </c>
      <c r="Q752" s="13" t="s">
        <v>424</v>
      </c>
      <c r="R752" s="23" t="s">
        <v>421</v>
      </c>
      <c r="S752" s="13" t="s">
        <v>152</v>
      </c>
      <c r="T752" s="23">
        <v>4</v>
      </c>
      <c r="U752" s="30" t="str">
        <f>VLOOKUP(T752,[3]Key!$E$2:$F$9,2,FALSE)</f>
        <v>Commercial</v>
      </c>
      <c r="V752" s="30" t="str">
        <f t="shared" si="44"/>
        <v>Commercial-Commercial</v>
      </c>
      <c r="W752" s="51">
        <v>420000</v>
      </c>
      <c r="X752" s="50"/>
      <c r="Y752" s="50" t="str">
        <f t="shared" si="45"/>
        <v>0-10</v>
      </c>
      <c r="Z752" s="50">
        <v>4.5</v>
      </c>
      <c r="AA752" s="50" t="str">
        <f t="shared" si="46"/>
        <v>Over 3.5</v>
      </c>
      <c r="AB752" s="23">
        <v>10</v>
      </c>
      <c r="AC752" s="30" t="str">
        <f>VLOOKUP(AB752,[3]Key!$C$20:$D$29,2,FALSE)</f>
        <v>Other</v>
      </c>
      <c r="AD752" s="23">
        <v>5</v>
      </c>
      <c r="AE752" s="30" t="str">
        <f>VLOOKUP(AD752,[3]Key!$E$20:$F$24,2,FALSE)</f>
        <v>&gt;1,000,000</v>
      </c>
      <c r="AF752" s="23">
        <v>2</v>
      </c>
      <c r="AG752" s="50">
        <v>3</v>
      </c>
      <c r="AH752" s="50">
        <v>4</v>
      </c>
      <c r="AI752" s="50">
        <v>2</v>
      </c>
      <c r="AJ752" s="50">
        <v>4</v>
      </c>
      <c r="AK752" s="46" t="s">
        <v>94</v>
      </c>
      <c r="AL752" s="36">
        <v>5000</v>
      </c>
      <c r="AM752" t="str">
        <f t="shared" si="47"/>
        <v>5000-10000</v>
      </c>
    </row>
    <row r="753" spans="1:39" x14ac:dyDescent="0.2">
      <c r="A753" s="44" t="s">
        <v>419</v>
      </c>
      <c r="B753" s="48">
        <v>0.48333333333333334</v>
      </c>
      <c r="C753" s="48"/>
      <c r="D753" s="48" t="s">
        <v>150</v>
      </c>
      <c r="E753" s="13">
        <v>2</v>
      </c>
      <c r="F753" s="38" t="str">
        <f>VLOOKUP(E753,[3]Key!$A$17:$B$21,2,FALSE)</f>
        <v>Road Vehicle</v>
      </c>
      <c r="G753" s="49">
        <v>6</v>
      </c>
      <c r="H753" s="39" t="str">
        <f>VLOOKUP(G753,[3]Key!$A$2:$B$14,2,FALSE)</f>
        <v>Large Bus</v>
      </c>
      <c r="I753" s="13" t="s">
        <v>109</v>
      </c>
      <c r="J753" s="13">
        <v>3</v>
      </c>
      <c r="K753" s="40" t="str">
        <f>VLOOKUP(J753,[3]Key!$A$24:$B$29,2,FALSE)</f>
        <v>40-49</v>
      </c>
      <c r="L753" s="13" t="s">
        <v>195</v>
      </c>
      <c r="M753" s="23" t="s">
        <v>421</v>
      </c>
      <c r="N753" s="13" t="s">
        <v>152</v>
      </c>
      <c r="O753" s="46">
        <v>1</v>
      </c>
      <c r="P753" s="30" t="str">
        <f>VLOOKUP(O753,[3]Key!$E$2:$F$9,2,FALSE)</f>
        <v>Home</v>
      </c>
      <c r="Q753" s="13" t="s">
        <v>520</v>
      </c>
      <c r="R753" s="23" t="s">
        <v>153</v>
      </c>
      <c r="S753" s="13" t="s">
        <v>152</v>
      </c>
      <c r="T753" s="23">
        <v>4</v>
      </c>
      <c r="U753" s="30" t="str">
        <f>VLOOKUP(T753,[3]Key!$E$2:$F$9,2,FALSE)</f>
        <v>Commercial</v>
      </c>
      <c r="V753" s="30" t="str">
        <f t="shared" si="44"/>
        <v>Home-Commercial</v>
      </c>
      <c r="W753" s="51">
        <v>20000</v>
      </c>
      <c r="X753" s="50">
        <v>400</v>
      </c>
      <c r="Y753" s="50" t="str">
        <f t="shared" si="45"/>
        <v>Over 200</v>
      </c>
      <c r="Z753" s="50">
        <v>5</v>
      </c>
      <c r="AA753" s="50" t="str">
        <f t="shared" si="46"/>
        <v>Over 3.5</v>
      </c>
      <c r="AB753" s="23">
        <v>6</v>
      </c>
      <c r="AC753" s="30" t="str">
        <f>VLOOKUP(AB753,[3]Key!$C$20:$D$29,2,FALSE)</f>
        <v>Businessman</v>
      </c>
      <c r="AD753" s="23">
        <v>2</v>
      </c>
      <c r="AE753" s="30" t="str">
        <f>VLOOKUP(AD753,[3]Key!$E$20:$F$24,2,FALSE)</f>
        <v>300,000-500,000</v>
      </c>
      <c r="AF753" s="23">
        <v>2</v>
      </c>
      <c r="AG753" s="50">
        <v>1</v>
      </c>
      <c r="AH753" s="50">
        <v>4</v>
      </c>
      <c r="AI753" s="50">
        <v>5</v>
      </c>
      <c r="AJ753" s="50">
        <v>3</v>
      </c>
      <c r="AK753" s="46" t="s">
        <v>94</v>
      </c>
      <c r="AL753" s="36">
        <v>1500</v>
      </c>
      <c r="AM753" t="str">
        <f t="shared" si="47"/>
        <v>1000-2000</v>
      </c>
    </row>
    <row r="754" spans="1:39" x14ac:dyDescent="0.2">
      <c r="A754" s="44" t="s">
        <v>423</v>
      </c>
      <c r="B754" s="48">
        <v>0.69513888888888886</v>
      </c>
      <c r="C754" s="48"/>
      <c r="D754" s="48" t="s">
        <v>97</v>
      </c>
      <c r="E754" s="13">
        <v>2</v>
      </c>
      <c r="F754" s="38" t="str">
        <f>VLOOKUP(E754,[3]Key!$A$17:$B$21,2,FALSE)</f>
        <v>Road Vehicle</v>
      </c>
      <c r="G754" s="49">
        <v>6</v>
      </c>
      <c r="H754" s="39" t="str">
        <f>VLOOKUP(G754,[3]Key!$A$2:$B$14,2,FALSE)</f>
        <v>Large Bus</v>
      </c>
      <c r="I754" s="13" t="s">
        <v>109</v>
      </c>
      <c r="J754" s="13">
        <v>3</v>
      </c>
      <c r="K754" s="40" t="str">
        <f>VLOOKUP(J754,[3]Key!$A$24:$B$29,2,FALSE)</f>
        <v>40-49</v>
      </c>
      <c r="L754" s="13" t="s">
        <v>424</v>
      </c>
      <c r="M754" s="23" t="s">
        <v>421</v>
      </c>
      <c r="N754" s="13" t="s">
        <v>152</v>
      </c>
      <c r="O754" s="46">
        <v>4</v>
      </c>
      <c r="P754" s="30" t="str">
        <f>VLOOKUP(O754,[3]Key!$E$2:$F$9,2,FALSE)</f>
        <v>Commercial</v>
      </c>
      <c r="Q754" s="13" t="s">
        <v>434</v>
      </c>
      <c r="R754" s="23" t="s">
        <v>153</v>
      </c>
      <c r="S754" s="13" t="s">
        <v>152</v>
      </c>
      <c r="T754" s="23">
        <v>4</v>
      </c>
      <c r="U754" s="30" t="str">
        <f>VLOOKUP(T754,[3]Key!$E$2:$F$9,2,FALSE)</f>
        <v>Commercial</v>
      </c>
      <c r="V754" s="30" t="str">
        <f t="shared" si="44"/>
        <v>Commercial-Commercial</v>
      </c>
      <c r="W754" s="51">
        <v>400000</v>
      </c>
      <c r="X754" s="50">
        <v>260</v>
      </c>
      <c r="Y754" s="50" t="str">
        <f t="shared" si="45"/>
        <v>Over 200</v>
      </c>
      <c r="Z754" s="50">
        <v>6</v>
      </c>
      <c r="AA754" s="50" t="str">
        <f t="shared" si="46"/>
        <v>Over 3.5</v>
      </c>
      <c r="AB754" s="23">
        <v>10</v>
      </c>
      <c r="AC754" s="30" t="str">
        <f>VLOOKUP(AB754,[3]Key!$C$20:$D$29,2,FALSE)</f>
        <v>Other</v>
      </c>
      <c r="AD754" s="23">
        <v>4</v>
      </c>
      <c r="AE754" s="30" t="str">
        <f>VLOOKUP(AD754,[3]Key!$E$20:$F$24,2,FALSE)</f>
        <v>750,000-1,000,000</v>
      </c>
      <c r="AF754" s="23">
        <v>4</v>
      </c>
      <c r="AG754" s="50">
        <v>4</v>
      </c>
      <c r="AH754" s="50">
        <v>5</v>
      </c>
      <c r="AI754" s="50">
        <v>2</v>
      </c>
      <c r="AJ754" s="50">
        <v>3</v>
      </c>
      <c r="AK754" s="46" t="s">
        <v>94</v>
      </c>
      <c r="AL754" s="36">
        <v>0</v>
      </c>
      <c r="AM754" t="str">
        <f t="shared" si="47"/>
        <v>0-1000</v>
      </c>
    </row>
    <row r="755" spans="1:39" x14ac:dyDescent="0.2">
      <c r="A755" s="44" t="s">
        <v>423</v>
      </c>
      <c r="B755" s="48">
        <v>0.70972222222222225</v>
      </c>
      <c r="C755" s="48"/>
      <c r="D755" s="48" t="s">
        <v>97</v>
      </c>
      <c r="E755" s="13">
        <v>2</v>
      </c>
      <c r="F755" s="38" t="str">
        <f>VLOOKUP(E755,[3]Key!$A$17:$B$21,2,FALSE)</f>
        <v>Road Vehicle</v>
      </c>
      <c r="G755" s="49">
        <v>6</v>
      </c>
      <c r="H755" s="39" t="str">
        <f>VLOOKUP(G755,[3]Key!$A$2:$B$14,2,FALSE)</f>
        <v>Large Bus</v>
      </c>
      <c r="I755" s="13" t="s">
        <v>109</v>
      </c>
      <c r="J755" s="13">
        <v>3</v>
      </c>
      <c r="K755" s="40" t="str">
        <f>VLOOKUP(J755,[3]Key!$A$24:$B$29,2,FALSE)</f>
        <v>40-49</v>
      </c>
      <c r="L755" s="13" t="s">
        <v>454</v>
      </c>
      <c r="M755" s="23" t="s">
        <v>455</v>
      </c>
      <c r="N755" s="13" t="s">
        <v>152</v>
      </c>
      <c r="O755" s="46">
        <v>4</v>
      </c>
      <c r="P755" s="30" t="str">
        <f>VLOOKUP(O755,[3]Key!$E$2:$F$9,2,FALSE)</f>
        <v>Commercial</v>
      </c>
      <c r="Q755" s="13" t="s">
        <v>434</v>
      </c>
      <c r="R755" s="23" t="s">
        <v>153</v>
      </c>
      <c r="S755" s="13" t="s">
        <v>152</v>
      </c>
      <c r="T755" s="23">
        <v>4</v>
      </c>
      <c r="U755" s="30" t="str">
        <f>VLOOKUP(T755,[3]Key!$E$2:$F$9,2,FALSE)</f>
        <v>Commercial</v>
      </c>
      <c r="V755" s="30" t="str">
        <f t="shared" si="44"/>
        <v>Commercial-Commercial</v>
      </c>
      <c r="W755" s="51">
        <v>550000</v>
      </c>
      <c r="X755" s="50"/>
      <c r="Y755" s="50" t="str">
        <f t="shared" si="45"/>
        <v>0-10</v>
      </c>
      <c r="Z755" s="50">
        <v>8.5</v>
      </c>
      <c r="AA755" s="50" t="str">
        <f t="shared" si="46"/>
        <v>Over 3.5</v>
      </c>
      <c r="AB755" s="23">
        <v>2</v>
      </c>
      <c r="AC755" s="30" t="str">
        <f>VLOOKUP(AB755,[3]Key!$C$20:$D$29,2,FALSE)</f>
        <v>Manual Labour</v>
      </c>
      <c r="AD755" s="23">
        <v>5</v>
      </c>
      <c r="AE755" s="30" t="str">
        <f>VLOOKUP(AD755,[3]Key!$E$20:$F$24,2,FALSE)</f>
        <v>&gt;1,000,000</v>
      </c>
      <c r="AF755" s="23">
        <v>2</v>
      </c>
      <c r="AG755" s="50">
        <v>4</v>
      </c>
      <c r="AH755" s="50">
        <v>3</v>
      </c>
      <c r="AI755" s="50">
        <v>4</v>
      </c>
      <c r="AJ755" s="50">
        <v>3</v>
      </c>
      <c r="AK755" s="46" t="s">
        <v>94</v>
      </c>
      <c r="AL755" s="36">
        <v>10000</v>
      </c>
      <c r="AM755" t="str">
        <f t="shared" si="47"/>
        <v>Over 10000</v>
      </c>
    </row>
    <row r="756" spans="1:39" x14ac:dyDescent="0.2">
      <c r="A756" s="44" t="s">
        <v>423</v>
      </c>
      <c r="B756" s="48">
        <v>0.58333333333333337</v>
      </c>
      <c r="C756" s="48"/>
      <c r="D756" s="48" t="s">
        <v>97</v>
      </c>
      <c r="E756" s="13">
        <v>2</v>
      </c>
      <c r="F756" s="38" t="str">
        <f>VLOOKUP(E756,[3]Key!$A$17:$B$21,2,FALSE)</f>
        <v>Road Vehicle</v>
      </c>
      <c r="G756" s="49">
        <v>6</v>
      </c>
      <c r="H756" s="39" t="str">
        <f>VLOOKUP(G756,[3]Key!$A$2:$B$14,2,FALSE)</f>
        <v>Large Bus</v>
      </c>
      <c r="I756" s="13" t="s">
        <v>109</v>
      </c>
      <c r="J756" s="13">
        <v>3</v>
      </c>
      <c r="K756" s="40" t="str">
        <f>VLOOKUP(J756,[3]Key!$A$24:$B$29,2,FALSE)</f>
        <v>40-49</v>
      </c>
      <c r="L756" s="13" t="s">
        <v>424</v>
      </c>
      <c r="M756" s="23" t="s">
        <v>421</v>
      </c>
      <c r="N756" s="13" t="s">
        <v>152</v>
      </c>
      <c r="O756" s="46">
        <v>2</v>
      </c>
      <c r="P756" s="30" t="str">
        <f>VLOOKUP(O756,[3]Key!$E$2:$F$9,2,FALSE)</f>
        <v>Work</v>
      </c>
      <c r="Q756" s="13" t="s">
        <v>434</v>
      </c>
      <c r="R756" s="23" t="s">
        <v>153</v>
      </c>
      <c r="S756" s="13" t="s">
        <v>152</v>
      </c>
      <c r="T756" s="23">
        <v>1</v>
      </c>
      <c r="U756" s="30" t="str">
        <f>VLOOKUP(T756,[3]Key!$E$2:$F$9,2,FALSE)</f>
        <v>Home</v>
      </c>
      <c r="V756" s="30" t="str">
        <f t="shared" si="44"/>
        <v>Work-Home</v>
      </c>
      <c r="W756" s="51">
        <v>800000</v>
      </c>
      <c r="X756" s="50">
        <v>280</v>
      </c>
      <c r="Y756" s="50" t="str">
        <f t="shared" si="45"/>
        <v>Over 200</v>
      </c>
      <c r="Z756" s="50">
        <v>4.5</v>
      </c>
      <c r="AA756" s="50" t="str">
        <f t="shared" si="46"/>
        <v>Over 3.5</v>
      </c>
      <c r="AB756" s="23">
        <v>10</v>
      </c>
      <c r="AC756" s="30" t="str">
        <f>VLOOKUP(AB756,[3]Key!$C$20:$D$29,2,FALSE)</f>
        <v>Other</v>
      </c>
      <c r="AD756" s="23">
        <v>4</v>
      </c>
      <c r="AE756" s="30" t="str">
        <f>VLOOKUP(AD756,[3]Key!$E$20:$F$24,2,FALSE)</f>
        <v>750,000-1,000,000</v>
      </c>
      <c r="AF756" s="23">
        <v>5</v>
      </c>
      <c r="AG756" s="50">
        <v>3</v>
      </c>
      <c r="AH756" s="50">
        <v>2</v>
      </c>
      <c r="AI756" s="50">
        <v>1</v>
      </c>
      <c r="AJ756" s="50">
        <v>4</v>
      </c>
      <c r="AK756" s="46" t="s">
        <v>94</v>
      </c>
      <c r="AL756" s="36">
        <v>6000</v>
      </c>
      <c r="AM756" t="str">
        <f t="shared" si="47"/>
        <v>5000-10000</v>
      </c>
    </row>
    <row r="757" spans="1:39" x14ac:dyDescent="0.2">
      <c r="A757" s="44" t="s">
        <v>423</v>
      </c>
      <c r="B757" s="48">
        <v>0.29305555555555557</v>
      </c>
      <c r="C757" s="48"/>
      <c r="D757" s="48" t="s">
        <v>97</v>
      </c>
      <c r="E757" s="13">
        <v>2</v>
      </c>
      <c r="F757" s="38" t="str">
        <f>VLOOKUP(E757,[3]Key!$A$17:$B$21,2,FALSE)</f>
        <v>Road Vehicle</v>
      </c>
      <c r="G757" s="49">
        <v>6</v>
      </c>
      <c r="H757" s="39" t="str">
        <f>VLOOKUP(G757,[3]Key!$A$2:$B$14,2,FALSE)</f>
        <v>Large Bus</v>
      </c>
      <c r="I757" s="13" t="s">
        <v>109</v>
      </c>
      <c r="J757" s="13">
        <v>3</v>
      </c>
      <c r="K757" s="40" t="str">
        <f>VLOOKUP(J757,[3]Key!$A$24:$B$29,2,FALSE)</f>
        <v>40-49</v>
      </c>
      <c r="L757" s="13" t="s">
        <v>424</v>
      </c>
      <c r="M757" s="23" t="s">
        <v>421</v>
      </c>
      <c r="N757" s="13" t="s">
        <v>152</v>
      </c>
      <c r="O757" s="46">
        <v>2</v>
      </c>
      <c r="P757" s="30" t="str">
        <f>VLOOKUP(O757,[3]Key!$E$2:$F$9,2,FALSE)</f>
        <v>Work</v>
      </c>
      <c r="Q757" s="13" t="s">
        <v>521</v>
      </c>
      <c r="R757" s="23" t="s">
        <v>168</v>
      </c>
      <c r="S757" s="13" t="s">
        <v>152</v>
      </c>
      <c r="T757" s="23">
        <v>1</v>
      </c>
      <c r="U757" s="30" t="str">
        <f>VLOOKUP(T757,[3]Key!$E$2:$F$9,2,FALSE)</f>
        <v>Home</v>
      </c>
      <c r="V757" s="30" t="str">
        <f t="shared" si="44"/>
        <v>Work-Home</v>
      </c>
      <c r="W757" s="51">
        <v>800000</v>
      </c>
      <c r="X757" s="50">
        <v>280</v>
      </c>
      <c r="Y757" s="50" t="str">
        <f t="shared" si="45"/>
        <v>Over 200</v>
      </c>
      <c r="Z757" s="50">
        <v>5</v>
      </c>
      <c r="AA757" s="50" t="str">
        <f t="shared" si="46"/>
        <v>Over 3.5</v>
      </c>
      <c r="AB757" s="23">
        <v>10</v>
      </c>
      <c r="AC757" s="30" t="str">
        <f>VLOOKUP(AB757,[3]Key!$C$20:$D$29,2,FALSE)</f>
        <v>Other</v>
      </c>
      <c r="AD757" s="23">
        <v>3</v>
      </c>
      <c r="AE757" s="30" t="str">
        <f>VLOOKUP(AD757,[3]Key!$E$20:$F$24,2,FALSE)</f>
        <v>500,000-750,000</v>
      </c>
      <c r="AF757" s="23">
        <v>4</v>
      </c>
      <c r="AG757" s="50">
        <v>5</v>
      </c>
      <c r="AH757" s="50">
        <v>3</v>
      </c>
      <c r="AI757" s="50">
        <v>2</v>
      </c>
      <c r="AJ757" s="50">
        <v>1</v>
      </c>
      <c r="AK757" s="46" t="s">
        <v>94</v>
      </c>
      <c r="AL757" s="36">
        <v>6000</v>
      </c>
      <c r="AM757" t="str">
        <f t="shared" si="47"/>
        <v>5000-10000</v>
      </c>
    </row>
    <row r="758" spans="1:39" x14ac:dyDescent="0.2">
      <c r="A758" s="44" t="s">
        <v>423</v>
      </c>
      <c r="B758" s="48">
        <v>0.37152777777777773</v>
      </c>
      <c r="C758" s="48"/>
      <c r="D758" s="48" t="s">
        <v>97</v>
      </c>
      <c r="E758" s="13">
        <v>2</v>
      </c>
      <c r="F758" s="38" t="str">
        <f>VLOOKUP(E758,[3]Key!$A$17:$B$21,2,FALSE)</f>
        <v>Road Vehicle</v>
      </c>
      <c r="G758" s="49">
        <v>6</v>
      </c>
      <c r="H758" s="39" t="str">
        <f>VLOOKUP(G758,[3]Key!$A$2:$B$14,2,FALSE)</f>
        <v>Large Bus</v>
      </c>
      <c r="I758" s="13" t="s">
        <v>109</v>
      </c>
      <c r="J758" s="13">
        <v>3</v>
      </c>
      <c r="K758" s="40" t="str">
        <f>VLOOKUP(J758,[3]Key!$A$24:$B$29,2,FALSE)</f>
        <v>40-49</v>
      </c>
      <c r="L758" s="13" t="s">
        <v>173</v>
      </c>
      <c r="M758" s="23" t="s">
        <v>421</v>
      </c>
      <c r="N758" s="13" t="s">
        <v>152</v>
      </c>
      <c r="O758" s="46">
        <v>1</v>
      </c>
      <c r="P758" s="30" t="str">
        <f>VLOOKUP(O758,[3]Key!$E$2:$F$9,2,FALSE)</f>
        <v>Home</v>
      </c>
      <c r="Q758" s="13" t="s">
        <v>434</v>
      </c>
      <c r="R758" s="23" t="s">
        <v>153</v>
      </c>
      <c r="S758" s="13" t="s">
        <v>152</v>
      </c>
      <c r="T758" s="23">
        <v>2</v>
      </c>
      <c r="U758" s="30" t="str">
        <f>VLOOKUP(T758,[3]Key!$E$2:$F$9,2,FALSE)</f>
        <v>Work</v>
      </c>
      <c r="V758" s="30" t="str">
        <f t="shared" si="44"/>
        <v>Home-Work</v>
      </c>
      <c r="W758" s="51">
        <v>800000</v>
      </c>
      <c r="X758" s="50">
        <v>300</v>
      </c>
      <c r="Y758" s="50" t="str">
        <f t="shared" si="45"/>
        <v>Over 200</v>
      </c>
      <c r="Z758" s="50">
        <v>5</v>
      </c>
      <c r="AA758" s="50" t="str">
        <f t="shared" si="46"/>
        <v>Over 3.5</v>
      </c>
      <c r="AB758" s="23">
        <v>10</v>
      </c>
      <c r="AC758" s="30" t="str">
        <f>VLOOKUP(AB758,[3]Key!$C$20:$D$29,2,FALSE)</f>
        <v>Other</v>
      </c>
      <c r="AD758" s="23">
        <v>4</v>
      </c>
      <c r="AE758" s="30" t="str">
        <f>VLOOKUP(AD758,[3]Key!$E$20:$F$24,2,FALSE)</f>
        <v>750,000-1,000,000</v>
      </c>
      <c r="AF758" s="23">
        <v>1</v>
      </c>
      <c r="AG758" s="50">
        <v>4</v>
      </c>
      <c r="AH758" s="50">
        <v>5</v>
      </c>
      <c r="AI758" s="50">
        <v>3</v>
      </c>
      <c r="AJ758" s="50">
        <v>2</v>
      </c>
      <c r="AK758" s="46" t="s">
        <v>94</v>
      </c>
      <c r="AL758" s="36">
        <v>4000</v>
      </c>
      <c r="AM758" t="str">
        <f t="shared" si="47"/>
        <v>3000-5000</v>
      </c>
    </row>
    <row r="759" spans="1:39" x14ac:dyDescent="0.2">
      <c r="A759" s="44" t="s">
        <v>423</v>
      </c>
      <c r="B759" s="48">
        <v>0.36180555555555555</v>
      </c>
      <c r="C759" s="48"/>
      <c r="D759" s="48" t="s">
        <v>97</v>
      </c>
      <c r="E759" s="13">
        <v>2</v>
      </c>
      <c r="F759" s="38" t="str">
        <f>VLOOKUP(E759,[3]Key!$A$17:$B$21,2,FALSE)</f>
        <v>Road Vehicle</v>
      </c>
      <c r="G759" s="49">
        <v>6</v>
      </c>
      <c r="H759" s="39" t="str">
        <f>VLOOKUP(G759,[3]Key!$A$2:$B$14,2,FALSE)</f>
        <v>Large Bus</v>
      </c>
      <c r="I759" s="13" t="s">
        <v>109</v>
      </c>
      <c r="J759" s="13">
        <v>3</v>
      </c>
      <c r="K759" s="40" t="str">
        <f>VLOOKUP(J759,[3]Key!$A$24:$B$29,2,FALSE)</f>
        <v>40-49</v>
      </c>
      <c r="L759" s="13" t="s">
        <v>424</v>
      </c>
      <c r="M759" s="23" t="s">
        <v>421</v>
      </c>
      <c r="N759" s="13" t="s">
        <v>152</v>
      </c>
      <c r="O759" s="46">
        <v>2</v>
      </c>
      <c r="P759" s="30" t="str">
        <f>VLOOKUP(O759,[3]Key!$E$2:$F$9,2,FALSE)</f>
        <v>Work</v>
      </c>
      <c r="Q759" s="13" t="s">
        <v>522</v>
      </c>
      <c r="R759" s="23" t="s">
        <v>153</v>
      </c>
      <c r="S759" s="13" t="s">
        <v>152</v>
      </c>
      <c r="T759" s="23">
        <v>1</v>
      </c>
      <c r="U759" s="30" t="str">
        <f>VLOOKUP(T759,[3]Key!$E$2:$F$9,2,FALSE)</f>
        <v>Home</v>
      </c>
      <c r="V759" s="30" t="str">
        <f t="shared" si="44"/>
        <v>Work-Home</v>
      </c>
      <c r="W759" s="51">
        <v>750000</v>
      </c>
      <c r="X759" s="50">
        <v>288</v>
      </c>
      <c r="Y759" s="50" t="str">
        <f t="shared" si="45"/>
        <v>Over 200</v>
      </c>
      <c r="Z759" s="50">
        <v>5.5</v>
      </c>
      <c r="AA759" s="50" t="str">
        <f t="shared" si="46"/>
        <v>Over 3.5</v>
      </c>
      <c r="AB759" s="23">
        <v>10</v>
      </c>
      <c r="AC759" s="30" t="str">
        <f>VLOOKUP(AB759,[3]Key!$C$20:$D$29,2,FALSE)</f>
        <v>Other</v>
      </c>
      <c r="AD759" s="23">
        <v>4</v>
      </c>
      <c r="AE759" s="30" t="str">
        <f>VLOOKUP(AD759,[3]Key!$E$20:$F$24,2,FALSE)</f>
        <v>750,000-1,000,000</v>
      </c>
      <c r="AF759" s="23">
        <v>2</v>
      </c>
      <c r="AG759" s="50">
        <v>1</v>
      </c>
      <c r="AH759" s="50">
        <v>3</v>
      </c>
      <c r="AI759" s="50">
        <v>5</v>
      </c>
      <c r="AJ759" s="50">
        <v>4</v>
      </c>
      <c r="AK759" s="46" t="s">
        <v>94</v>
      </c>
      <c r="AL759" s="36">
        <v>7000</v>
      </c>
      <c r="AM759" t="str">
        <f t="shared" si="47"/>
        <v>5000-10000</v>
      </c>
    </row>
    <row r="760" spans="1:39" x14ac:dyDescent="0.2">
      <c r="A760" s="44" t="s">
        <v>423</v>
      </c>
      <c r="B760" s="48">
        <v>0.35902777777777778</v>
      </c>
      <c r="C760" s="48"/>
      <c r="D760" s="48" t="s">
        <v>97</v>
      </c>
      <c r="E760" s="13">
        <v>2</v>
      </c>
      <c r="F760" s="38" t="str">
        <f>VLOOKUP(E760,[3]Key!$A$17:$B$21,2,FALSE)</f>
        <v>Road Vehicle</v>
      </c>
      <c r="G760" s="49">
        <v>6</v>
      </c>
      <c r="H760" s="39" t="str">
        <f>VLOOKUP(G760,[3]Key!$A$2:$B$14,2,FALSE)</f>
        <v>Large Bus</v>
      </c>
      <c r="I760" s="13" t="s">
        <v>109</v>
      </c>
      <c r="J760" s="13">
        <v>3</v>
      </c>
      <c r="K760" s="40" t="str">
        <f>VLOOKUP(J760,[3]Key!$A$24:$B$29,2,FALSE)</f>
        <v>40-49</v>
      </c>
      <c r="L760" s="13" t="s">
        <v>195</v>
      </c>
      <c r="M760" s="23" t="s">
        <v>421</v>
      </c>
      <c r="N760" s="13" t="s">
        <v>152</v>
      </c>
      <c r="O760" s="46">
        <v>1</v>
      </c>
      <c r="P760" s="30" t="str">
        <f>VLOOKUP(O760,[3]Key!$E$2:$F$9,2,FALSE)</f>
        <v>Home</v>
      </c>
      <c r="Q760" s="13" t="s">
        <v>523</v>
      </c>
      <c r="R760" s="23" t="s">
        <v>153</v>
      </c>
      <c r="S760" s="13" t="s">
        <v>152</v>
      </c>
      <c r="T760" s="23">
        <v>2</v>
      </c>
      <c r="U760" s="30" t="str">
        <f>VLOOKUP(T760,[3]Key!$E$2:$F$9,2,FALSE)</f>
        <v>Work</v>
      </c>
      <c r="V760" s="30" t="str">
        <f t="shared" si="44"/>
        <v>Home-Work</v>
      </c>
      <c r="W760" s="51">
        <v>750000</v>
      </c>
      <c r="X760" s="50">
        <v>280</v>
      </c>
      <c r="Y760" s="50" t="str">
        <f t="shared" si="45"/>
        <v>Over 200</v>
      </c>
      <c r="Z760" s="50">
        <v>5</v>
      </c>
      <c r="AA760" s="50" t="str">
        <f t="shared" si="46"/>
        <v>Over 3.5</v>
      </c>
      <c r="AB760" s="23">
        <v>10</v>
      </c>
      <c r="AC760" s="30" t="str">
        <f>VLOOKUP(AB760,[3]Key!$C$20:$D$29,2,FALSE)</f>
        <v>Other</v>
      </c>
      <c r="AD760" s="23">
        <v>3</v>
      </c>
      <c r="AE760" s="30" t="str">
        <f>VLOOKUP(AD760,[3]Key!$E$20:$F$24,2,FALSE)</f>
        <v>500,000-750,000</v>
      </c>
      <c r="AF760" s="23">
        <v>5</v>
      </c>
      <c r="AG760" s="50">
        <v>2</v>
      </c>
      <c r="AH760" s="50">
        <v>3</v>
      </c>
      <c r="AI760" s="50">
        <v>1</v>
      </c>
      <c r="AJ760" s="50">
        <v>4</v>
      </c>
      <c r="AK760" s="46" t="s">
        <v>94</v>
      </c>
      <c r="AL760" s="36">
        <v>0</v>
      </c>
      <c r="AM760" t="str">
        <f t="shared" si="47"/>
        <v>0-1000</v>
      </c>
    </row>
    <row r="761" spans="1:39" x14ac:dyDescent="0.2">
      <c r="A761" s="44" t="s">
        <v>423</v>
      </c>
      <c r="B761" s="48">
        <v>0.34097222222222223</v>
      </c>
      <c r="C761" s="48"/>
      <c r="D761" s="48" t="s">
        <v>97</v>
      </c>
      <c r="E761" s="13">
        <v>2</v>
      </c>
      <c r="F761" s="38" t="str">
        <f>VLOOKUP(E761,[3]Key!$A$17:$B$21,2,FALSE)</f>
        <v>Road Vehicle</v>
      </c>
      <c r="G761" s="49">
        <v>6</v>
      </c>
      <c r="H761" s="39" t="str">
        <f>VLOOKUP(G761,[3]Key!$A$2:$B$14,2,FALSE)</f>
        <v>Large Bus</v>
      </c>
      <c r="I761" s="13" t="s">
        <v>109</v>
      </c>
      <c r="J761" s="13">
        <v>3</v>
      </c>
      <c r="K761" s="40" t="str">
        <f>VLOOKUP(J761,[3]Key!$A$24:$B$29,2,FALSE)</f>
        <v>40-49</v>
      </c>
      <c r="L761" s="13" t="s">
        <v>502</v>
      </c>
      <c r="M761" s="23" t="s">
        <v>421</v>
      </c>
      <c r="N761" s="13" t="s">
        <v>152</v>
      </c>
      <c r="O761" s="46">
        <v>2</v>
      </c>
      <c r="P761" s="30" t="str">
        <f>VLOOKUP(O761,[3]Key!$E$2:$F$9,2,FALSE)</f>
        <v>Work</v>
      </c>
      <c r="Q761" s="13" t="s">
        <v>524</v>
      </c>
      <c r="R761" s="23" t="s">
        <v>168</v>
      </c>
      <c r="S761" s="13" t="s">
        <v>152</v>
      </c>
      <c r="T761" s="23">
        <v>1</v>
      </c>
      <c r="U761" s="30" t="str">
        <f>VLOOKUP(T761,[3]Key!$E$2:$F$9,2,FALSE)</f>
        <v>Home</v>
      </c>
      <c r="V761" s="30" t="str">
        <f t="shared" si="44"/>
        <v>Work-Home</v>
      </c>
      <c r="W761" s="51">
        <v>800000</v>
      </c>
      <c r="X761" s="50">
        <v>280</v>
      </c>
      <c r="Y761" s="50" t="str">
        <f t="shared" si="45"/>
        <v>Over 200</v>
      </c>
      <c r="Z761" s="50">
        <v>4.5</v>
      </c>
      <c r="AA761" s="50" t="str">
        <f t="shared" si="46"/>
        <v>Over 3.5</v>
      </c>
      <c r="AB761" s="23">
        <v>10</v>
      </c>
      <c r="AC761" s="30" t="str">
        <f>VLOOKUP(AB761,[3]Key!$C$20:$D$29,2,FALSE)</f>
        <v>Other</v>
      </c>
      <c r="AD761" s="23">
        <v>3</v>
      </c>
      <c r="AE761" s="30" t="str">
        <f>VLOOKUP(AD761,[3]Key!$E$20:$F$24,2,FALSE)</f>
        <v>500,000-750,000</v>
      </c>
      <c r="AF761" s="23">
        <v>1</v>
      </c>
      <c r="AG761" s="50">
        <v>2</v>
      </c>
      <c r="AH761" s="50">
        <v>4</v>
      </c>
      <c r="AI761" s="50">
        <v>3</v>
      </c>
      <c r="AJ761" s="50">
        <v>5</v>
      </c>
      <c r="AK761" s="46" t="s">
        <v>94</v>
      </c>
      <c r="AL761" s="36">
        <v>0</v>
      </c>
      <c r="AM761" t="str">
        <f t="shared" si="47"/>
        <v>0-1000</v>
      </c>
    </row>
    <row r="762" spans="1:39" x14ac:dyDescent="0.2">
      <c r="A762" s="44" t="s">
        <v>423</v>
      </c>
      <c r="B762" s="48">
        <v>0.73055555555555562</v>
      </c>
      <c r="C762" s="48"/>
      <c r="D762" s="48" t="s">
        <v>97</v>
      </c>
      <c r="E762" s="13">
        <v>2</v>
      </c>
      <c r="F762" s="38" t="s">
        <v>102</v>
      </c>
      <c r="G762" s="49">
        <v>6</v>
      </c>
      <c r="H762" s="39" t="str">
        <f>VLOOKUP(G762,[3]Key!$A$2:$B$14,2,FALSE)</f>
        <v>Large Bus</v>
      </c>
      <c r="I762" s="13" t="s">
        <v>109</v>
      </c>
      <c r="J762" s="13">
        <v>3</v>
      </c>
      <c r="K762" s="40" t="str">
        <f>VLOOKUP(J762,[3]Key!$A$24:$B$29,2,FALSE)</f>
        <v>40-49</v>
      </c>
      <c r="L762" s="13" t="s">
        <v>434</v>
      </c>
      <c r="M762" s="23" t="s">
        <v>153</v>
      </c>
      <c r="N762" s="13" t="s">
        <v>152</v>
      </c>
      <c r="O762" s="46">
        <v>1</v>
      </c>
      <c r="P762" s="30" t="str">
        <f>VLOOKUP(O762,[3]Key!$E$2:$F$9,2,FALSE)</f>
        <v>Home</v>
      </c>
      <c r="Q762" s="13" t="s">
        <v>424</v>
      </c>
      <c r="R762" s="23" t="s">
        <v>421</v>
      </c>
      <c r="S762" s="13" t="s">
        <v>152</v>
      </c>
      <c r="T762" s="23">
        <v>2</v>
      </c>
      <c r="U762" s="30" t="str">
        <f>VLOOKUP(T762,[3]Key!$E$2:$F$9,2,FALSE)</f>
        <v>Work</v>
      </c>
      <c r="V762" s="30" t="str">
        <f t="shared" si="44"/>
        <v>Home-Work</v>
      </c>
      <c r="W762" s="51">
        <v>700000</v>
      </c>
      <c r="X762" s="50">
        <v>215</v>
      </c>
      <c r="Y762" s="50" t="str">
        <f t="shared" si="45"/>
        <v>Over 200</v>
      </c>
      <c r="Z762" s="50">
        <v>4.5</v>
      </c>
      <c r="AA762" s="50" t="str">
        <f t="shared" si="46"/>
        <v>Over 3.5</v>
      </c>
      <c r="AB762" s="23">
        <v>10</v>
      </c>
      <c r="AC762" s="30" t="str">
        <f>VLOOKUP(AB762,[3]Key!$C$20:$D$29,2,FALSE)</f>
        <v>Other</v>
      </c>
      <c r="AD762" s="23">
        <v>3</v>
      </c>
      <c r="AE762" s="30" t="str">
        <f>VLOOKUP(AD762,[3]Key!$E$20:$F$24,2,FALSE)</f>
        <v>500,000-750,000</v>
      </c>
      <c r="AF762" s="23">
        <v>2</v>
      </c>
      <c r="AG762" s="50">
        <v>1</v>
      </c>
      <c r="AH762" s="50">
        <v>3</v>
      </c>
      <c r="AI762" s="50">
        <v>5</v>
      </c>
      <c r="AJ762" s="50">
        <v>4</v>
      </c>
      <c r="AK762" s="46" t="s">
        <v>94</v>
      </c>
      <c r="AL762" s="36">
        <v>1000</v>
      </c>
      <c r="AM762" t="str">
        <f t="shared" si="47"/>
        <v>1000-2000</v>
      </c>
    </row>
    <row r="763" spans="1:39" x14ac:dyDescent="0.2">
      <c r="A763" s="44" t="s">
        <v>423</v>
      </c>
      <c r="B763" s="48">
        <v>0.72361111111111109</v>
      </c>
      <c r="C763" s="48"/>
      <c r="D763" s="48" t="s">
        <v>97</v>
      </c>
      <c r="E763" s="13">
        <v>2</v>
      </c>
      <c r="F763" s="38" t="str">
        <f>VLOOKUP(E763,[3]Key!$A$17:$B$21,2,FALSE)</f>
        <v>Road Vehicle</v>
      </c>
      <c r="G763" s="49">
        <v>6</v>
      </c>
      <c r="H763" s="39" t="str">
        <f>VLOOKUP(G763,[3]Key!$A$2:$B$14,2,FALSE)</f>
        <v>Large Bus</v>
      </c>
      <c r="I763" s="13" t="s">
        <v>109</v>
      </c>
      <c r="J763" s="13">
        <v>3</v>
      </c>
      <c r="K763" s="40" t="str">
        <f>VLOOKUP(J763,[3]Key!$A$24:$B$29,2,FALSE)</f>
        <v>40-49</v>
      </c>
      <c r="L763" s="13" t="s">
        <v>454</v>
      </c>
      <c r="M763" s="23" t="s">
        <v>455</v>
      </c>
      <c r="N763" s="13" t="s">
        <v>152</v>
      </c>
      <c r="O763" s="46">
        <v>2</v>
      </c>
      <c r="P763" s="30" t="str">
        <f>VLOOKUP(O763,[3]Key!$E$2:$F$9,2,FALSE)</f>
        <v>Work</v>
      </c>
      <c r="Q763" s="13" t="s">
        <v>424</v>
      </c>
      <c r="R763" s="23" t="s">
        <v>421</v>
      </c>
      <c r="S763" s="13" t="s">
        <v>152</v>
      </c>
      <c r="T763" s="23">
        <v>1</v>
      </c>
      <c r="U763" s="30" t="str">
        <f>VLOOKUP(T763,[3]Key!$E$2:$F$9,2,FALSE)</f>
        <v>Home</v>
      </c>
      <c r="V763" s="30" t="str">
        <f t="shared" si="44"/>
        <v>Work-Home</v>
      </c>
      <c r="W763" s="51">
        <v>300000</v>
      </c>
      <c r="X763" s="50">
        <v>110</v>
      </c>
      <c r="Y763" s="50" t="str">
        <f t="shared" si="45"/>
        <v>100-200</v>
      </c>
      <c r="Z763" s="50">
        <v>3</v>
      </c>
      <c r="AA763" s="50" t="str">
        <f t="shared" si="46"/>
        <v>2.0-3.5</v>
      </c>
      <c r="AB763" s="23">
        <v>10</v>
      </c>
      <c r="AC763" s="30" t="str">
        <f>VLOOKUP(AB763,[3]Key!$C$20:$D$29,2,FALSE)</f>
        <v>Other</v>
      </c>
      <c r="AD763" s="23">
        <v>3</v>
      </c>
      <c r="AE763" s="30" t="str">
        <f>VLOOKUP(AD763,[3]Key!$E$20:$F$24,2,FALSE)</f>
        <v>500,000-750,000</v>
      </c>
      <c r="AF763" s="23">
        <v>2</v>
      </c>
      <c r="AG763" s="50">
        <v>1</v>
      </c>
      <c r="AH763" s="50">
        <v>3</v>
      </c>
      <c r="AI763" s="50">
        <v>4</v>
      </c>
      <c r="AJ763" s="50">
        <v>5</v>
      </c>
      <c r="AK763" s="46" t="s">
        <v>94</v>
      </c>
      <c r="AL763" s="36">
        <v>0</v>
      </c>
      <c r="AM763" t="str">
        <f t="shared" si="47"/>
        <v>0-1000</v>
      </c>
    </row>
    <row r="764" spans="1:39" x14ac:dyDescent="0.2">
      <c r="A764" s="44" t="s">
        <v>423</v>
      </c>
      <c r="B764" s="48">
        <v>0.71527777777777779</v>
      </c>
      <c r="C764" s="48"/>
      <c r="D764" s="48" t="s">
        <v>97</v>
      </c>
      <c r="E764" s="13">
        <v>2</v>
      </c>
      <c r="F764" s="38" t="str">
        <f>VLOOKUP(E764,[3]Key!$A$17:$B$21,2,FALSE)</f>
        <v>Road Vehicle</v>
      </c>
      <c r="G764" s="49">
        <v>6</v>
      </c>
      <c r="H764" s="39" t="str">
        <f>VLOOKUP(G764,[3]Key!$A$2:$B$14,2,FALSE)</f>
        <v>Large Bus</v>
      </c>
      <c r="I764" s="13" t="s">
        <v>109</v>
      </c>
      <c r="J764" s="13">
        <v>3</v>
      </c>
      <c r="K764" s="40" t="str">
        <f>VLOOKUP(J764,[3]Key!$A$24:$B$29,2,FALSE)</f>
        <v>40-49</v>
      </c>
      <c r="L764" s="13" t="s">
        <v>434</v>
      </c>
      <c r="M764" s="23" t="s">
        <v>153</v>
      </c>
      <c r="N764" s="13" t="s">
        <v>152</v>
      </c>
      <c r="O764" s="46">
        <v>1</v>
      </c>
      <c r="P764" s="30" t="str">
        <f>VLOOKUP(O764,[3]Key!$E$2:$F$9,2,FALSE)</f>
        <v>Home</v>
      </c>
      <c r="Q764" s="13" t="s">
        <v>424</v>
      </c>
      <c r="R764" s="23" t="s">
        <v>421</v>
      </c>
      <c r="S764" s="13" t="s">
        <v>152</v>
      </c>
      <c r="T764" s="23">
        <v>2</v>
      </c>
      <c r="U764" s="30" t="str">
        <f>VLOOKUP(T764,[3]Key!$E$2:$F$9,2,FALSE)</f>
        <v>Work</v>
      </c>
      <c r="V764" s="30" t="str">
        <f t="shared" si="44"/>
        <v>Home-Work</v>
      </c>
      <c r="W764" s="51">
        <v>700000</v>
      </c>
      <c r="X764" s="50">
        <v>215</v>
      </c>
      <c r="Y764" s="50" t="str">
        <f t="shared" si="45"/>
        <v>Over 200</v>
      </c>
      <c r="Z764" s="50">
        <v>5</v>
      </c>
      <c r="AA764" s="50" t="str">
        <f t="shared" si="46"/>
        <v>Over 3.5</v>
      </c>
      <c r="AB764" s="23">
        <v>10</v>
      </c>
      <c r="AC764" s="30" t="str">
        <f>VLOOKUP(AB764,[3]Key!$C$20:$D$29,2,FALSE)</f>
        <v>Other</v>
      </c>
      <c r="AD764" s="23">
        <v>4</v>
      </c>
      <c r="AE764" s="30" t="str">
        <f>VLOOKUP(AD764,[3]Key!$E$20:$F$24,2,FALSE)</f>
        <v>750,000-1,000,000</v>
      </c>
      <c r="AF764" s="23">
        <v>1</v>
      </c>
      <c r="AG764" s="50">
        <v>3</v>
      </c>
      <c r="AH764" s="50">
        <v>4</v>
      </c>
      <c r="AI764" s="50">
        <v>5</v>
      </c>
      <c r="AJ764" s="50">
        <v>2</v>
      </c>
      <c r="AK764" s="46" t="s">
        <v>94</v>
      </c>
      <c r="AL764" s="36">
        <v>9000</v>
      </c>
      <c r="AM764" t="str">
        <f t="shared" si="47"/>
        <v>5000-10000</v>
      </c>
    </row>
    <row r="765" spans="1:39" x14ac:dyDescent="0.2">
      <c r="A765" s="44" t="s">
        <v>423</v>
      </c>
      <c r="B765" s="48">
        <v>0.70694444444444438</v>
      </c>
      <c r="C765" s="48"/>
      <c r="D765" s="48" t="s">
        <v>97</v>
      </c>
      <c r="E765" s="13">
        <v>2</v>
      </c>
      <c r="F765" s="38" t="str">
        <f>VLOOKUP(E765,[3]Key!$A$17:$B$21,2,FALSE)</f>
        <v>Road Vehicle</v>
      </c>
      <c r="G765" s="49">
        <v>6</v>
      </c>
      <c r="H765" s="39" t="str">
        <f>VLOOKUP(G765,[3]Key!$A$2:$B$14,2,FALSE)</f>
        <v>Large Bus</v>
      </c>
      <c r="I765" s="13" t="s">
        <v>109</v>
      </c>
      <c r="J765" s="13">
        <v>3</v>
      </c>
      <c r="K765" s="40" t="str">
        <f>VLOOKUP(J765,[3]Key!$A$24:$B$29,2,FALSE)</f>
        <v>40-49</v>
      </c>
      <c r="L765" s="13" t="s">
        <v>434</v>
      </c>
      <c r="M765" s="23" t="s">
        <v>153</v>
      </c>
      <c r="N765" s="13" t="s">
        <v>152</v>
      </c>
      <c r="O765" s="46">
        <v>2</v>
      </c>
      <c r="P765" s="30" t="str">
        <f>VLOOKUP(O765,[3]Key!$E$2:$F$9,2,FALSE)</f>
        <v>Work</v>
      </c>
      <c r="Q765" s="13" t="s">
        <v>454</v>
      </c>
      <c r="R765" s="23" t="s">
        <v>455</v>
      </c>
      <c r="S765" s="13" t="s">
        <v>152</v>
      </c>
      <c r="T765" s="23">
        <v>1</v>
      </c>
      <c r="U765" s="30" t="str">
        <f>VLOOKUP(T765,[3]Key!$E$2:$F$9,2,FALSE)</f>
        <v>Home</v>
      </c>
      <c r="V765" s="30" t="str">
        <f t="shared" si="44"/>
        <v>Work-Home</v>
      </c>
      <c r="W765" s="51">
        <v>850000</v>
      </c>
      <c r="X765" s="50">
        <v>396</v>
      </c>
      <c r="Y765" s="50" t="str">
        <f t="shared" si="45"/>
        <v>Over 200</v>
      </c>
      <c r="Z765" s="50">
        <v>8</v>
      </c>
      <c r="AA765" s="50" t="str">
        <f t="shared" si="46"/>
        <v>Over 3.5</v>
      </c>
      <c r="AB765" s="23">
        <v>10</v>
      </c>
      <c r="AC765" s="30" t="str">
        <f>VLOOKUP(AB765,[3]Key!$C$20:$D$29,2,FALSE)</f>
        <v>Other</v>
      </c>
      <c r="AD765" s="23">
        <v>4</v>
      </c>
      <c r="AE765" s="30" t="str">
        <f>VLOOKUP(AD765,[3]Key!$E$20:$F$24,2,FALSE)</f>
        <v>750,000-1,000,000</v>
      </c>
      <c r="AF765" s="23">
        <v>1</v>
      </c>
      <c r="AG765" s="50">
        <v>2</v>
      </c>
      <c r="AH765" s="50">
        <v>5</v>
      </c>
      <c r="AI765" s="50">
        <v>4</v>
      </c>
      <c r="AJ765" s="50">
        <v>3</v>
      </c>
      <c r="AK765" s="46" t="s">
        <v>94</v>
      </c>
      <c r="AL765" s="36">
        <v>10000</v>
      </c>
      <c r="AM765" t="str">
        <f t="shared" si="47"/>
        <v>Over 10000</v>
      </c>
    </row>
    <row r="766" spans="1:39" x14ac:dyDescent="0.2">
      <c r="A766" s="44" t="s">
        <v>423</v>
      </c>
      <c r="B766" s="48">
        <v>0.70347222222222217</v>
      </c>
      <c r="C766" s="48"/>
      <c r="D766" s="48" t="s">
        <v>97</v>
      </c>
      <c r="E766" s="13">
        <v>2</v>
      </c>
      <c r="F766" s="38" t="str">
        <f>VLOOKUP(E766,[3]Key!$A$17:$B$21,2,FALSE)</f>
        <v>Road Vehicle</v>
      </c>
      <c r="G766" s="49">
        <v>6</v>
      </c>
      <c r="H766" s="39" t="str">
        <f>VLOOKUP(G766,[3]Key!$A$2:$B$14,2,FALSE)</f>
        <v>Large Bus</v>
      </c>
      <c r="I766" s="13" t="s">
        <v>109</v>
      </c>
      <c r="J766" s="13">
        <v>3</v>
      </c>
      <c r="K766" s="40" t="str">
        <f>VLOOKUP(J766,[3]Key!$A$24:$B$29,2,FALSE)</f>
        <v>40-49</v>
      </c>
      <c r="L766" s="13" t="s">
        <v>525</v>
      </c>
      <c r="M766" s="23" t="s">
        <v>428</v>
      </c>
      <c r="N766" s="13" t="s">
        <v>152</v>
      </c>
      <c r="O766" s="46">
        <v>1</v>
      </c>
      <c r="P766" s="30" t="str">
        <f>VLOOKUP(O766,[3]Key!$E$2:$F$9,2,FALSE)</f>
        <v>Home</v>
      </c>
      <c r="Q766" s="13" t="s">
        <v>434</v>
      </c>
      <c r="R766" s="23" t="s">
        <v>153</v>
      </c>
      <c r="S766" s="13" t="s">
        <v>152</v>
      </c>
      <c r="T766" s="23">
        <v>2</v>
      </c>
      <c r="U766" s="30" t="str">
        <f>VLOOKUP(T766,[3]Key!$E$2:$F$9,2,FALSE)</f>
        <v>Work</v>
      </c>
      <c r="V766" s="30" t="str">
        <f t="shared" si="44"/>
        <v>Home-Work</v>
      </c>
      <c r="W766" s="51">
        <v>650000</v>
      </c>
      <c r="X766" s="50">
        <v>390</v>
      </c>
      <c r="Y766" s="50" t="str">
        <f t="shared" si="45"/>
        <v>Over 200</v>
      </c>
      <c r="Z766" s="50">
        <v>8.5</v>
      </c>
      <c r="AA766" s="50" t="str">
        <f t="shared" si="46"/>
        <v>Over 3.5</v>
      </c>
      <c r="AB766" s="23">
        <v>10</v>
      </c>
      <c r="AC766" s="30" t="str">
        <f>VLOOKUP(AB766,[3]Key!$C$20:$D$29,2,FALSE)</f>
        <v>Other</v>
      </c>
      <c r="AD766" s="23">
        <v>4</v>
      </c>
      <c r="AE766" s="30" t="str">
        <f>VLOOKUP(AD766,[3]Key!$E$20:$F$24,2,FALSE)</f>
        <v>750,000-1,000,000</v>
      </c>
      <c r="AF766" s="23">
        <v>3</v>
      </c>
      <c r="AG766" s="50">
        <v>5</v>
      </c>
      <c r="AH766" s="50">
        <v>4</v>
      </c>
      <c r="AI766" s="50">
        <v>2</v>
      </c>
      <c r="AJ766" s="50">
        <v>1</v>
      </c>
      <c r="AK766" s="46" t="s">
        <v>94</v>
      </c>
      <c r="AL766" s="36">
        <v>7000</v>
      </c>
      <c r="AM766" t="str">
        <f t="shared" si="47"/>
        <v>5000-10000</v>
      </c>
    </row>
    <row r="767" spans="1:39" x14ac:dyDescent="0.2">
      <c r="A767" s="44" t="s">
        <v>423</v>
      </c>
      <c r="B767" s="48">
        <v>0.7006944444444444</v>
      </c>
      <c r="C767" s="48"/>
      <c r="D767" s="48" t="s">
        <v>97</v>
      </c>
      <c r="E767" s="13">
        <v>2</v>
      </c>
      <c r="F767" s="38" t="str">
        <f>VLOOKUP(E767,[3]Key!$A$17:$B$21,2,FALSE)</f>
        <v>Road Vehicle</v>
      </c>
      <c r="G767" s="49">
        <v>6</v>
      </c>
      <c r="H767" s="39" t="str">
        <f>VLOOKUP(G767,[3]Key!$A$2:$B$14,2,FALSE)</f>
        <v>Large Bus</v>
      </c>
      <c r="I767" s="13" t="s">
        <v>109</v>
      </c>
      <c r="J767" s="13">
        <v>3</v>
      </c>
      <c r="K767" s="40" t="str">
        <f>VLOOKUP(J767,[3]Key!$A$24:$B$29,2,FALSE)</f>
        <v>40-49</v>
      </c>
      <c r="L767" s="13" t="s">
        <v>434</v>
      </c>
      <c r="M767" s="23" t="s">
        <v>153</v>
      </c>
      <c r="N767" s="13" t="s">
        <v>152</v>
      </c>
      <c r="O767" s="46">
        <v>2</v>
      </c>
      <c r="P767" s="30" t="str">
        <f>VLOOKUP(O767,[3]Key!$E$2:$F$9,2,FALSE)</f>
        <v>Work</v>
      </c>
      <c r="Q767" s="13" t="s">
        <v>424</v>
      </c>
      <c r="R767" s="23" t="s">
        <v>421</v>
      </c>
      <c r="S767" s="13" t="s">
        <v>152</v>
      </c>
      <c r="T767" s="23">
        <v>1</v>
      </c>
      <c r="U767" s="30" t="str">
        <f>VLOOKUP(T767,[3]Key!$E$2:$F$9,2,FALSE)</f>
        <v>Home</v>
      </c>
      <c r="V767" s="30" t="str">
        <f t="shared" si="44"/>
        <v>Work-Home</v>
      </c>
      <c r="W767" s="51">
        <v>800000</v>
      </c>
      <c r="X767" s="50">
        <v>220</v>
      </c>
      <c r="Y767" s="50" t="str">
        <f t="shared" si="45"/>
        <v>Over 200</v>
      </c>
      <c r="Z767" s="50">
        <v>5</v>
      </c>
      <c r="AA767" s="50" t="str">
        <f t="shared" si="46"/>
        <v>Over 3.5</v>
      </c>
      <c r="AB767" s="23">
        <v>10</v>
      </c>
      <c r="AC767" s="30" t="str">
        <f>VLOOKUP(AB767,[3]Key!$C$20:$D$29,2,FALSE)</f>
        <v>Other</v>
      </c>
      <c r="AD767" s="23">
        <v>3</v>
      </c>
      <c r="AE767" s="30" t="str">
        <f>VLOOKUP(AD767,[3]Key!$E$20:$F$24,2,FALSE)</f>
        <v>500,000-750,000</v>
      </c>
      <c r="AF767" s="23">
        <v>1</v>
      </c>
      <c r="AG767" s="50">
        <v>2</v>
      </c>
      <c r="AH767" s="50">
        <v>3</v>
      </c>
      <c r="AI767" s="50">
        <v>4</v>
      </c>
      <c r="AJ767" s="50">
        <v>5</v>
      </c>
      <c r="AK767" s="46" t="s">
        <v>94</v>
      </c>
      <c r="AL767" s="36">
        <v>1000</v>
      </c>
      <c r="AM767" t="str">
        <f t="shared" si="47"/>
        <v>1000-2000</v>
      </c>
    </row>
    <row r="768" spans="1:39" x14ac:dyDescent="0.2">
      <c r="A768" s="44" t="s">
        <v>423</v>
      </c>
      <c r="B768" s="48">
        <v>0.69027777777777777</v>
      </c>
      <c r="C768" s="48"/>
      <c r="D768" s="48" t="s">
        <v>97</v>
      </c>
      <c r="E768" s="13">
        <v>2</v>
      </c>
      <c r="F768" s="38" t="str">
        <f>VLOOKUP(E768,[3]Key!$A$17:$B$21,2,FALSE)</f>
        <v>Road Vehicle</v>
      </c>
      <c r="G768" s="49">
        <v>6</v>
      </c>
      <c r="H768" s="39" t="str">
        <f>VLOOKUP(G768,[3]Key!$A$2:$B$14,2,FALSE)</f>
        <v>Large Bus</v>
      </c>
      <c r="I768" s="13" t="s">
        <v>109</v>
      </c>
      <c r="J768" s="13">
        <v>3</v>
      </c>
      <c r="K768" s="40" t="str">
        <f>VLOOKUP(J768,[3]Key!$A$24:$B$29,2,FALSE)</f>
        <v>40-49</v>
      </c>
      <c r="L768" s="13" t="s">
        <v>434</v>
      </c>
      <c r="M768" s="23" t="s">
        <v>153</v>
      </c>
      <c r="N768" s="13" t="s">
        <v>152</v>
      </c>
      <c r="O768" s="46">
        <v>2</v>
      </c>
      <c r="P768" s="30" t="str">
        <f>VLOOKUP(O768,[3]Key!$E$2:$F$9,2,FALSE)</f>
        <v>Work</v>
      </c>
      <c r="Q768" s="13" t="s">
        <v>454</v>
      </c>
      <c r="R768" s="23" t="s">
        <v>455</v>
      </c>
      <c r="S768" s="13" t="s">
        <v>152</v>
      </c>
      <c r="T768" s="23">
        <v>1</v>
      </c>
      <c r="U768" s="30" t="str">
        <f>VLOOKUP(T768,[3]Key!$E$2:$F$9,2,FALSE)</f>
        <v>Home</v>
      </c>
      <c r="V768" s="30" t="str">
        <f t="shared" si="44"/>
        <v>Work-Home</v>
      </c>
      <c r="W768" s="51">
        <v>660000</v>
      </c>
      <c r="X768" s="50">
        <v>395</v>
      </c>
      <c r="Y768" s="50" t="str">
        <f t="shared" si="45"/>
        <v>Over 200</v>
      </c>
      <c r="Z768" s="50">
        <v>7</v>
      </c>
      <c r="AA768" s="50" t="str">
        <f t="shared" si="46"/>
        <v>Over 3.5</v>
      </c>
      <c r="AB768" s="23">
        <v>10</v>
      </c>
      <c r="AC768" s="30" t="str">
        <f>VLOOKUP(AB768,[3]Key!$C$20:$D$29,2,FALSE)</f>
        <v>Other</v>
      </c>
      <c r="AD768" s="23">
        <v>3</v>
      </c>
      <c r="AE768" s="30" t="str">
        <f>VLOOKUP(AD768,[3]Key!$E$20:$F$24,2,FALSE)</f>
        <v>500,000-750,000</v>
      </c>
      <c r="AF768" s="23">
        <v>3</v>
      </c>
      <c r="AG768" s="50">
        <v>4</v>
      </c>
      <c r="AH768" s="50">
        <v>5</v>
      </c>
      <c r="AI768" s="50">
        <v>1</v>
      </c>
      <c r="AJ768" s="50">
        <v>2</v>
      </c>
      <c r="AK768" s="46" t="s">
        <v>94</v>
      </c>
      <c r="AL768" s="36">
        <v>6000</v>
      </c>
      <c r="AM768" t="str">
        <f t="shared" si="47"/>
        <v>5000-10000</v>
      </c>
    </row>
    <row r="769" spans="1:39" x14ac:dyDescent="0.2">
      <c r="A769" s="44" t="s">
        <v>423</v>
      </c>
      <c r="B769" s="48">
        <v>0.66319444444444442</v>
      </c>
      <c r="C769" s="48"/>
      <c r="D769" s="48" t="s">
        <v>97</v>
      </c>
      <c r="E769" s="13">
        <v>2</v>
      </c>
      <c r="F769" s="38" t="str">
        <f>VLOOKUP(E769,[3]Key!$A$17:$B$21,2,FALSE)</f>
        <v>Road Vehicle</v>
      </c>
      <c r="G769" s="49">
        <v>6</v>
      </c>
      <c r="H769" s="39" t="str">
        <f>VLOOKUP(G769,[3]Key!$A$2:$B$14,2,FALSE)</f>
        <v>Large Bus</v>
      </c>
      <c r="I769" s="13" t="s">
        <v>109</v>
      </c>
      <c r="J769" s="13">
        <v>3</v>
      </c>
      <c r="K769" s="40" t="str">
        <f>VLOOKUP(J769,[3]Key!$A$24:$B$29,2,FALSE)</f>
        <v>40-49</v>
      </c>
      <c r="L769" s="13" t="s">
        <v>454</v>
      </c>
      <c r="M769" s="23" t="s">
        <v>455</v>
      </c>
      <c r="N769" s="13" t="s">
        <v>152</v>
      </c>
      <c r="O769" s="46">
        <v>2</v>
      </c>
      <c r="P769" s="30" t="str">
        <f>VLOOKUP(O769,[3]Key!$E$2:$F$9,2,FALSE)</f>
        <v>Work</v>
      </c>
      <c r="Q769" s="13" t="s">
        <v>434</v>
      </c>
      <c r="R769" s="23" t="s">
        <v>153</v>
      </c>
      <c r="S769" s="13" t="s">
        <v>152</v>
      </c>
      <c r="T769" s="23">
        <v>1</v>
      </c>
      <c r="U769" s="30" t="str">
        <f>VLOOKUP(T769,[3]Key!$E$2:$F$9,2,FALSE)</f>
        <v>Home</v>
      </c>
      <c r="V769" s="30" t="str">
        <f t="shared" si="44"/>
        <v>Work-Home</v>
      </c>
      <c r="W769" s="51">
        <v>850000</v>
      </c>
      <c r="X769" s="50">
        <v>396</v>
      </c>
      <c r="Y769" s="50" t="str">
        <f t="shared" si="45"/>
        <v>Over 200</v>
      </c>
      <c r="Z769" s="50">
        <v>6.5</v>
      </c>
      <c r="AA769" s="50" t="str">
        <f t="shared" si="46"/>
        <v>Over 3.5</v>
      </c>
      <c r="AB769" s="23">
        <v>10</v>
      </c>
      <c r="AC769" s="30" t="str">
        <f>VLOOKUP(AB769,[3]Key!$C$20:$D$29,2,FALSE)</f>
        <v>Other</v>
      </c>
      <c r="AD769" s="23">
        <v>4</v>
      </c>
      <c r="AE769" s="30" t="str">
        <f>VLOOKUP(AD769,[3]Key!$E$20:$F$24,2,FALSE)</f>
        <v>750,000-1,000,000</v>
      </c>
      <c r="AF769" s="23">
        <v>2</v>
      </c>
      <c r="AG769" s="50">
        <v>1</v>
      </c>
      <c r="AH769" s="50">
        <v>3</v>
      </c>
      <c r="AI769" s="50">
        <v>5</v>
      </c>
      <c r="AJ769" s="50">
        <v>4</v>
      </c>
      <c r="AK769" s="46" t="s">
        <v>94</v>
      </c>
      <c r="AL769" s="36">
        <v>9000</v>
      </c>
      <c r="AM769" t="str">
        <f t="shared" si="47"/>
        <v>5000-10000</v>
      </c>
    </row>
    <row r="770" spans="1:39" x14ac:dyDescent="0.2">
      <c r="A770" s="44" t="s">
        <v>423</v>
      </c>
      <c r="B770" s="48">
        <v>0.64444444444444449</v>
      </c>
      <c r="C770" s="48"/>
      <c r="D770" s="48" t="s">
        <v>97</v>
      </c>
      <c r="E770" s="13">
        <v>2</v>
      </c>
      <c r="F770" s="38" t="str">
        <f>VLOOKUP(E770,[3]Key!$A$17:$B$21,2,FALSE)</f>
        <v>Road Vehicle</v>
      </c>
      <c r="G770" s="49">
        <v>6</v>
      </c>
      <c r="H770" s="39" t="str">
        <f>VLOOKUP(G770,[3]Key!$A$2:$B$14,2,FALSE)</f>
        <v>Large Bus</v>
      </c>
      <c r="I770" s="13" t="s">
        <v>109</v>
      </c>
      <c r="J770" s="13">
        <v>3</v>
      </c>
      <c r="K770" s="40" t="str">
        <f>VLOOKUP(J770,[3]Key!$A$24:$B$29,2,FALSE)</f>
        <v>40-49</v>
      </c>
      <c r="L770" s="13" t="s">
        <v>434</v>
      </c>
      <c r="M770" s="23" t="s">
        <v>153</v>
      </c>
      <c r="N770" s="13" t="s">
        <v>152</v>
      </c>
      <c r="O770" s="46">
        <v>2</v>
      </c>
      <c r="P770" s="30" t="str">
        <f>VLOOKUP(O770,[3]Key!$E$2:$F$9,2,FALSE)</f>
        <v>Work</v>
      </c>
      <c r="Q770" s="13" t="s">
        <v>424</v>
      </c>
      <c r="R770" s="23" t="s">
        <v>421</v>
      </c>
      <c r="S770" s="13" t="s">
        <v>152</v>
      </c>
      <c r="T770" s="23">
        <v>1</v>
      </c>
      <c r="U770" s="30" t="str">
        <f>VLOOKUP(T770,[3]Key!$E$2:$F$9,2,FALSE)</f>
        <v>Home</v>
      </c>
      <c r="V770" s="30" t="str">
        <f t="shared" ref="V770:V833" si="48">P770&amp;"-"&amp;U770</f>
        <v>Work-Home</v>
      </c>
      <c r="W770" s="51">
        <v>700000</v>
      </c>
      <c r="X770" s="50">
        <v>215</v>
      </c>
      <c r="Y770" s="50" t="str">
        <f t="shared" si="45"/>
        <v>Over 200</v>
      </c>
      <c r="Z770" s="50">
        <v>4.5</v>
      </c>
      <c r="AA770" s="50" t="str">
        <f t="shared" si="46"/>
        <v>Over 3.5</v>
      </c>
      <c r="AB770" s="23">
        <v>10</v>
      </c>
      <c r="AC770" s="30" t="str">
        <f>VLOOKUP(AB770,[3]Key!$C$20:$D$29,2,FALSE)</f>
        <v>Other</v>
      </c>
      <c r="AD770" s="23">
        <v>3</v>
      </c>
      <c r="AE770" s="30" t="str">
        <f>VLOOKUP(AD770,[3]Key!$E$20:$F$24,2,FALSE)</f>
        <v>500,000-750,000</v>
      </c>
      <c r="AF770" s="23">
        <v>4</v>
      </c>
      <c r="AG770" s="50">
        <v>5</v>
      </c>
      <c r="AH770" s="50">
        <v>2</v>
      </c>
      <c r="AI770" s="50">
        <v>3</v>
      </c>
      <c r="AJ770" s="50">
        <v>1</v>
      </c>
      <c r="AK770" s="46" t="s">
        <v>94</v>
      </c>
      <c r="AL770" s="36">
        <v>0</v>
      </c>
      <c r="AM770" t="str">
        <f t="shared" si="47"/>
        <v>0-1000</v>
      </c>
    </row>
    <row r="771" spans="1:39" x14ac:dyDescent="0.2">
      <c r="A771" s="44" t="s">
        <v>423</v>
      </c>
      <c r="B771" s="48">
        <v>0.63541666666666663</v>
      </c>
      <c r="C771" s="48"/>
      <c r="D771" s="48" t="s">
        <v>97</v>
      </c>
      <c r="E771" s="13">
        <v>2</v>
      </c>
      <c r="F771" s="38" t="str">
        <f>VLOOKUP(E771,[3]Key!$A$17:$B$21,2,FALSE)</f>
        <v>Road Vehicle</v>
      </c>
      <c r="G771" s="49">
        <v>6</v>
      </c>
      <c r="H771" s="39" t="str">
        <f>VLOOKUP(G771,[3]Key!$A$2:$B$14,2,FALSE)</f>
        <v>Large Bus</v>
      </c>
      <c r="I771" s="13" t="s">
        <v>109</v>
      </c>
      <c r="J771" s="13">
        <v>3</v>
      </c>
      <c r="K771" s="40" t="str">
        <f>VLOOKUP(J771,[3]Key!$A$24:$B$29,2,FALSE)</f>
        <v>40-49</v>
      </c>
      <c r="L771" s="13" t="s">
        <v>434</v>
      </c>
      <c r="M771" s="23" t="s">
        <v>153</v>
      </c>
      <c r="N771" s="13" t="s">
        <v>152</v>
      </c>
      <c r="O771" s="46">
        <v>2</v>
      </c>
      <c r="P771" s="30" t="str">
        <f>VLOOKUP(O771,[3]Key!$E$2:$F$9,2,FALSE)</f>
        <v>Work</v>
      </c>
      <c r="Q771" s="13" t="s">
        <v>424</v>
      </c>
      <c r="R771" s="23" t="s">
        <v>421</v>
      </c>
      <c r="S771" s="13" t="s">
        <v>152</v>
      </c>
      <c r="T771" s="23">
        <v>1</v>
      </c>
      <c r="U771" s="30" t="str">
        <f>VLOOKUP(T771,[3]Key!$E$2:$F$9,2,FALSE)</f>
        <v>Home</v>
      </c>
      <c r="V771" s="30" t="str">
        <f t="shared" si="48"/>
        <v>Work-Home</v>
      </c>
      <c r="W771" s="51">
        <v>750000</v>
      </c>
      <c r="X771" s="50">
        <v>275</v>
      </c>
      <c r="Y771" s="50" t="str">
        <f t="shared" ref="Y771:Y834" si="49">IF(X771&lt;10,"0-10",IF(X771&lt;20,"10-20",IF(X771&lt;40,"20-40",IF(X771&lt;70,"40-70",IF(X771&lt;100,"70-100",IF(X771&lt;200,"100-200","Over 200"))))))</f>
        <v>Over 200</v>
      </c>
      <c r="Z771" s="50">
        <v>4.5</v>
      </c>
      <c r="AA771" s="50" t="str">
        <f t="shared" ref="AA771:AA834" si="50">IF(Z771&lt;0.5,"0-0.5",IF(Z771&lt;1,"0.5-1.0",IF(Z771&lt;2,"1.0-2.0",IF(Z771&lt;3.5,"2.0-3.5","Over 3.5"))))</f>
        <v>Over 3.5</v>
      </c>
      <c r="AB771" s="23">
        <v>10</v>
      </c>
      <c r="AC771" s="30" t="str">
        <f>VLOOKUP(AB771,[3]Key!$C$20:$D$29,2,FALSE)</f>
        <v>Other</v>
      </c>
      <c r="AD771" s="23">
        <v>4</v>
      </c>
      <c r="AE771" s="30" t="str">
        <f>VLOOKUP(AD771,[3]Key!$E$20:$F$24,2,FALSE)</f>
        <v>750,000-1,000,000</v>
      </c>
      <c r="AF771" s="23">
        <v>1</v>
      </c>
      <c r="AG771" s="50">
        <v>5</v>
      </c>
      <c r="AH771" s="50">
        <v>3</v>
      </c>
      <c r="AI771" s="50">
        <v>2</v>
      </c>
      <c r="AJ771" s="50">
        <v>4</v>
      </c>
      <c r="AK771" s="46" t="s">
        <v>94</v>
      </c>
      <c r="AL771" s="36">
        <v>8000</v>
      </c>
      <c r="AM771" t="str">
        <f t="shared" ref="AM771:AM834" si="51">IF(AL771&lt;1000,"0-1000",IF(AL771&lt;2000,"1000-2000",IF(AL771&lt;3000,"2000-3000",IF(AL771&lt;5000,"3000-5000",IF(AL771&lt;10000,"5000-10000","Over 10000")))))</f>
        <v>5000-10000</v>
      </c>
    </row>
    <row r="772" spans="1:39" x14ac:dyDescent="0.2">
      <c r="A772" s="44" t="s">
        <v>423</v>
      </c>
      <c r="B772" s="48">
        <v>0.59097222222222223</v>
      </c>
      <c r="C772" s="48"/>
      <c r="D772" s="48" t="s">
        <v>97</v>
      </c>
      <c r="E772" s="13">
        <v>2</v>
      </c>
      <c r="F772" s="38" t="str">
        <f>VLOOKUP(E772,[3]Key!$A$17:$B$21,2,FALSE)</f>
        <v>Road Vehicle</v>
      </c>
      <c r="G772" s="49">
        <v>6</v>
      </c>
      <c r="H772" s="39" t="str">
        <f>VLOOKUP(G772,[3]Key!$A$2:$B$14,2,FALSE)</f>
        <v>Large Bus</v>
      </c>
      <c r="I772" s="13" t="s">
        <v>109</v>
      </c>
      <c r="J772" s="13">
        <v>3</v>
      </c>
      <c r="K772" s="40" t="str">
        <f>VLOOKUP(J772,[3]Key!$A$24:$B$29,2,FALSE)</f>
        <v>40-49</v>
      </c>
      <c r="L772" s="13" t="s">
        <v>424</v>
      </c>
      <c r="M772" s="23" t="s">
        <v>421</v>
      </c>
      <c r="N772" s="13" t="s">
        <v>152</v>
      </c>
      <c r="O772" s="46">
        <v>1</v>
      </c>
      <c r="P772" s="30" t="str">
        <f>VLOOKUP(O772,[3]Key!$E$2:$F$9,2,FALSE)</f>
        <v>Home</v>
      </c>
      <c r="Q772" s="13" t="s">
        <v>434</v>
      </c>
      <c r="R772" s="23" t="s">
        <v>153</v>
      </c>
      <c r="S772" s="13" t="s">
        <v>152</v>
      </c>
      <c r="T772" s="23">
        <v>2</v>
      </c>
      <c r="U772" s="30" t="str">
        <f>VLOOKUP(T772,[3]Key!$E$2:$F$9,2,FALSE)</f>
        <v>Work</v>
      </c>
      <c r="V772" s="30" t="str">
        <f t="shared" si="48"/>
        <v>Home-Work</v>
      </c>
      <c r="W772" s="51">
        <v>850000</v>
      </c>
      <c r="X772" s="50">
        <v>290</v>
      </c>
      <c r="Y772" s="50" t="str">
        <f t="shared" si="49"/>
        <v>Over 200</v>
      </c>
      <c r="Z772" s="50">
        <v>4.5</v>
      </c>
      <c r="AA772" s="50" t="str">
        <f t="shared" si="50"/>
        <v>Over 3.5</v>
      </c>
      <c r="AB772" s="23">
        <v>10</v>
      </c>
      <c r="AC772" s="30" t="str">
        <f>VLOOKUP(AB772,[3]Key!$C$20:$D$29,2,FALSE)</f>
        <v>Other</v>
      </c>
      <c r="AD772" s="23">
        <v>4</v>
      </c>
      <c r="AE772" s="30" t="str">
        <f>VLOOKUP(AD772,[3]Key!$E$20:$F$24,2,FALSE)</f>
        <v>750,000-1,000,000</v>
      </c>
      <c r="AF772" s="23">
        <v>2</v>
      </c>
      <c r="AG772" s="50">
        <v>2</v>
      </c>
      <c r="AH772" s="50">
        <v>1</v>
      </c>
      <c r="AI772" s="50">
        <v>1</v>
      </c>
      <c r="AJ772" s="50">
        <v>1</v>
      </c>
      <c r="AK772" s="46" t="s">
        <v>94</v>
      </c>
      <c r="AL772" s="36">
        <v>7000</v>
      </c>
      <c r="AM772" t="str">
        <f t="shared" si="51"/>
        <v>5000-10000</v>
      </c>
    </row>
    <row r="773" spans="1:39" x14ac:dyDescent="0.2">
      <c r="A773" s="44" t="s">
        <v>423</v>
      </c>
      <c r="B773" s="48">
        <v>0.69791666666666663</v>
      </c>
      <c r="C773" s="48"/>
      <c r="D773" s="48" t="s">
        <v>97</v>
      </c>
      <c r="E773" s="13">
        <v>2</v>
      </c>
      <c r="F773" s="38" t="str">
        <f>VLOOKUP(E773,[3]Key!$A$17:$B$21,2,FALSE)</f>
        <v>Road Vehicle</v>
      </c>
      <c r="G773" s="49">
        <v>6</v>
      </c>
      <c r="H773" s="39" t="str">
        <f>VLOOKUP(G773,[3]Key!$A$2:$B$14,2,FALSE)</f>
        <v>Large Bus</v>
      </c>
      <c r="I773" s="13" t="s">
        <v>109</v>
      </c>
      <c r="J773" s="13">
        <v>3</v>
      </c>
      <c r="K773" s="40" t="str">
        <f>VLOOKUP(J773,[3]Key!$A$24:$B$29,2,FALSE)</f>
        <v>40-49</v>
      </c>
      <c r="L773" s="13" t="s">
        <v>518</v>
      </c>
      <c r="M773" s="23" t="s">
        <v>421</v>
      </c>
      <c r="N773" s="13" t="s">
        <v>152</v>
      </c>
      <c r="O773" s="46">
        <v>1</v>
      </c>
      <c r="P773" s="30" t="str">
        <f>VLOOKUP(O773,[3]Key!$E$2:$F$9,2,FALSE)</f>
        <v>Home</v>
      </c>
      <c r="Q773" s="13" t="s">
        <v>434</v>
      </c>
      <c r="R773" s="23" t="s">
        <v>153</v>
      </c>
      <c r="S773" s="13" t="s">
        <v>152</v>
      </c>
      <c r="T773" s="23">
        <v>2</v>
      </c>
      <c r="U773" s="30" t="str">
        <f>VLOOKUP(T773,[3]Key!$E$2:$F$9,2,FALSE)</f>
        <v>Work</v>
      </c>
      <c r="V773" s="30" t="str">
        <f t="shared" si="48"/>
        <v>Home-Work</v>
      </c>
      <c r="W773" s="51">
        <v>800000</v>
      </c>
      <c r="X773" s="50">
        <v>217</v>
      </c>
      <c r="Y773" s="50" t="str">
        <f t="shared" si="49"/>
        <v>Over 200</v>
      </c>
      <c r="Z773" s="50">
        <v>4.5</v>
      </c>
      <c r="AA773" s="50" t="str">
        <f t="shared" si="50"/>
        <v>Over 3.5</v>
      </c>
      <c r="AB773" s="23">
        <v>10</v>
      </c>
      <c r="AC773" s="30" t="str">
        <f>VLOOKUP(AB773,[3]Key!$C$20:$D$29,2,FALSE)</f>
        <v>Other</v>
      </c>
      <c r="AD773" s="23">
        <v>4</v>
      </c>
      <c r="AE773" s="30" t="str">
        <f>VLOOKUP(AD773,[3]Key!$E$20:$F$24,2,FALSE)</f>
        <v>750,000-1,000,000</v>
      </c>
      <c r="AF773" s="23">
        <v>2</v>
      </c>
      <c r="AG773" s="50">
        <v>5</v>
      </c>
      <c r="AH773" s="50">
        <v>2</v>
      </c>
      <c r="AI773" s="50">
        <v>4</v>
      </c>
      <c r="AJ773" s="50">
        <v>1</v>
      </c>
      <c r="AK773" s="46" t="s">
        <v>94</v>
      </c>
      <c r="AL773" s="36">
        <v>4000</v>
      </c>
      <c r="AM773" t="str">
        <f t="shared" si="51"/>
        <v>3000-5000</v>
      </c>
    </row>
    <row r="774" spans="1:39" x14ac:dyDescent="0.2">
      <c r="A774" s="44" t="s">
        <v>423</v>
      </c>
      <c r="B774" s="48">
        <v>0.79722222222222217</v>
      </c>
      <c r="C774" s="48"/>
      <c r="D774" s="48" t="s">
        <v>97</v>
      </c>
      <c r="E774" s="13">
        <v>2</v>
      </c>
      <c r="F774" s="38" t="str">
        <f>VLOOKUP(E774,[3]Key!$A$17:$B$21,2,FALSE)</f>
        <v>Road Vehicle</v>
      </c>
      <c r="G774" s="49">
        <v>6</v>
      </c>
      <c r="H774" s="39" t="str">
        <f>VLOOKUP(G774,[3]Key!$A$2:$B$14,2,FALSE)</f>
        <v>Large Bus</v>
      </c>
      <c r="I774" s="13" t="s">
        <v>109</v>
      </c>
      <c r="J774" s="13">
        <v>3</v>
      </c>
      <c r="K774" s="40" t="str">
        <f>VLOOKUP(J774,[3]Key!$A$24:$B$29,2,FALSE)</f>
        <v>40-49</v>
      </c>
      <c r="L774" s="13" t="s">
        <v>526</v>
      </c>
      <c r="M774" s="23" t="s">
        <v>421</v>
      </c>
      <c r="N774" s="13" t="s">
        <v>152</v>
      </c>
      <c r="O774" s="46">
        <v>1</v>
      </c>
      <c r="P774" s="30" t="str">
        <f>VLOOKUP(O774,[3]Key!$E$2:$F$9,2,FALSE)</f>
        <v>Home</v>
      </c>
      <c r="Q774" s="13" t="s">
        <v>527</v>
      </c>
      <c r="R774" s="23" t="s">
        <v>168</v>
      </c>
      <c r="S774" s="13" t="s">
        <v>152</v>
      </c>
      <c r="T774" s="23">
        <v>2</v>
      </c>
      <c r="U774" s="30" t="str">
        <f>VLOOKUP(T774,[3]Key!$E$2:$F$9,2,FALSE)</f>
        <v>Work</v>
      </c>
      <c r="V774" s="30" t="str">
        <f t="shared" si="48"/>
        <v>Home-Work</v>
      </c>
      <c r="W774" s="51">
        <v>750000</v>
      </c>
      <c r="X774" s="50">
        <v>230</v>
      </c>
      <c r="Y774" s="50" t="str">
        <f t="shared" si="49"/>
        <v>Over 200</v>
      </c>
      <c r="Z774" s="50">
        <v>5.5</v>
      </c>
      <c r="AA774" s="50" t="str">
        <f t="shared" si="50"/>
        <v>Over 3.5</v>
      </c>
      <c r="AB774" s="23">
        <v>10</v>
      </c>
      <c r="AC774" s="30" t="str">
        <f>VLOOKUP(AB774,[3]Key!$C$20:$D$29,2,FALSE)</f>
        <v>Other</v>
      </c>
      <c r="AD774" s="23">
        <v>4</v>
      </c>
      <c r="AE774" s="30" t="str">
        <f>VLOOKUP(AD774,[3]Key!$E$20:$F$24,2,FALSE)</f>
        <v>750,000-1,000,000</v>
      </c>
      <c r="AF774" s="23">
        <v>2</v>
      </c>
      <c r="AG774" s="50">
        <v>1</v>
      </c>
      <c r="AH774" s="50">
        <v>3</v>
      </c>
      <c r="AI774" s="50">
        <v>5</v>
      </c>
      <c r="AJ774" s="50">
        <v>4</v>
      </c>
      <c r="AK774" s="46" t="s">
        <v>94</v>
      </c>
      <c r="AL774" s="36">
        <v>3000</v>
      </c>
      <c r="AM774" t="str">
        <f t="shared" si="51"/>
        <v>3000-5000</v>
      </c>
    </row>
    <row r="775" spans="1:39" x14ac:dyDescent="0.2">
      <c r="A775" s="44" t="s">
        <v>423</v>
      </c>
      <c r="B775" s="48">
        <v>0.79027777777777775</v>
      </c>
      <c r="C775" s="48"/>
      <c r="D775" s="48" t="s">
        <v>97</v>
      </c>
      <c r="E775" s="13">
        <v>2</v>
      </c>
      <c r="F775" s="38" t="str">
        <f>VLOOKUP(E775,[3]Key!$A$17:$B$21,2,FALSE)</f>
        <v>Road Vehicle</v>
      </c>
      <c r="G775" s="49">
        <v>6</v>
      </c>
      <c r="H775" s="39" t="str">
        <f>VLOOKUP(G775,[3]Key!$A$2:$B$14,2,FALSE)</f>
        <v>Large Bus</v>
      </c>
      <c r="I775" s="13" t="s">
        <v>109</v>
      </c>
      <c r="J775" s="13">
        <v>3</v>
      </c>
      <c r="K775" s="40" t="str">
        <f>VLOOKUP(J775,[3]Key!$A$24:$B$29,2,FALSE)</f>
        <v>40-49</v>
      </c>
      <c r="L775" s="13" t="s">
        <v>497</v>
      </c>
      <c r="M775" s="23" t="s">
        <v>421</v>
      </c>
      <c r="N775" s="13" t="s">
        <v>152</v>
      </c>
      <c r="O775" s="46">
        <v>1</v>
      </c>
      <c r="P775" s="30" t="str">
        <f>VLOOKUP(O775,[3]Key!$E$2:$F$9,2,FALSE)</f>
        <v>Home</v>
      </c>
      <c r="Q775" s="13" t="s">
        <v>490</v>
      </c>
      <c r="R775" s="23" t="s">
        <v>153</v>
      </c>
      <c r="S775" s="13" t="s">
        <v>152</v>
      </c>
      <c r="T775" s="23">
        <v>2</v>
      </c>
      <c r="U775" s="30" t="str">
        <f>VLOOKUP(T775,[3]Key!$E$2:$F$9,2,FALSE)</f>
        <v>Work</v>
      </c>
      <c r="V775" s="30" t="str">
        <f t="shared" si="48"/>
        <v>Home-Work</v>
      </c>
      <c r="W775" s="51">
        <v>800000</v>
      </c>
      <c r="X775" s="50">
        <v>217</v>
      </c>
      <c r="Y775" s="50" t="str">
        <f t="shared" si="49"/>
        <v>Over 200</v>
      </c>
      <c r="Z775" s="50">
        <v>5</v>
      </c>
      <c r="AA775" s="50" t="str">
        <f t="shared" si="50"/>
        <v>Over 3.5</v>
      </c>
      <c r="AB775" s="23">
        <v>10</v>
      </c>
      <c r="AC775" s="30" t="s">
        <v>133</v>
      </c>
      <c r="AD775" s="23">
        <v>3</v>
      </c>
      <c r="AE775" s="30" t="str">
        <f>VLOOKUP(AD775,[3]Key!$E$20:$F$24,2,FALSE)</f>
        <v>500,000-750,000</v>
      </c>
      <c r="AF775" s="23">
        <v>3</v>
      </c>
      <c r="AG775" s="50">
        <v>4</v>
      </c>
      <c r="AH775" s="50">
        <v>5</v>
      </c>
      <c r="AI775" s="50">
        <v>1</v>
      </c>
      <c r="AJ775" s="50">
        <v>2</v>
      </c>
      <c r="AK775" s="46" t="s">
        <v>94</v>
      </c>
      <c r="AL775" s="36">
        <v>8000</v>
      </c>
      <c r="AM775" t="str">
        <f t="shared" si="51"/>
        <v>5000-10000</v>
      </c>
    </row>
    <row r="776" spans="1:39" x14ac:dyDescent="0.2">
      <c r="A776" s="44" t="s">
        <v>423</v>
      </c>
      <c r="B776" s="48">
        <v>0.77361111111111114</v>
      </c>
      <c r="C776" s="48"/>
      <c r="D776" s="48" t="s">
        <v>97</v>
      </c>
      <c r="E776" s="13">
        <v>2</v>
      </c>
      <c r="F776" s="38" t="str">
        <f>VLOOKUP(E776,[3]Key!$A$17:$B$21,2,FALSE)</f>
        <v>Road Vehicle</v>
      </c>
      <c r="G776" s="49">
        <v>6</v>
      </c>
      <c r="H776" s="39" t="str">
        <f>VLOOKUP(G776,[3]Key!$A$2:$B$14,2,FALSE)</f>
        <v>Large Bus</v>
      </c>
      <c r="I776" s="13" t="s">
        <v>109</v>
      </c>
      <c r="J776" s="13">
        <v>3</v>
      </c>
      <c r="K776" s="40" t="str">
        <f>VLOOKUP(J776,[3]Key!$A$24:$B$29,2,FALSE)</f>
        <v>40-49</v>
      </c>
      <c r="L776" s="13" t="s">
        <v>496</v>
      </c>
      <c r="M776" s="23" t="s">
        <v>421</v>
      </c>
      <c r="N776" s="13" t="s">
        <v>152</v>
      </c>
      <c r="O776" s="46">
        <v>2</v>
      </c>
      <c r="P776" s="30" t="str">
        <f>VLOOKUP(O776,[3]Key!$E$2:$F$9,2,FALSE)</f>
        <v>Work</v>
      </c>
      <c r="Q776" s="13" t="s">
        <v>528</v>
      </c>
      <c r="R776" s="23" t="s">
        <v>153</v>
      </c>
      <c r="S776" s="13" t="s">
        <v>152</v>
      </c>
      <c r="T776" s="23">
        <v>1</v>
      </c>
      <c r="U776" s="30" t="str">
        <f>VLOOKUP(T776,[3]Key!$E$2:$F$9,2,FALSE)</f>
        <v>Home</v>
      </c>
      <c r="V776" s="30" t="str">
        <f t="shared" si="48"/>
        <v>Work-Home</v>
      </c>
      <c r="W776" s="51">
        <v>700000</v>
      </c>
      <c r="X776" s="50">
        <v>220</v>
      </c>
      <c r="Y776" s="50" t="str">
        <f t="shared" si="49"/>
        <v>Over 200</v>
      </c>
      <c r="Z776" s="50">
        <v>5</v>
      </c>
      <c r="AA776" s="50" t="str">
        <f t="shared" si="50"/>
        <v>Over 3.5</v>
      </c>
      <c r="AB776" s="23">
        <v>10</v>
      </c>
      <c r="AC776" s="30" t="str">
        <f>VLOOKUP(AB776,[3]Key!$C$20:$D$29,2,FALSE)</f>
        <v>Other</v>
      </c>
      <c r="AD776" s="23">
        <v>4</v>
      </c>
      <c r="AE776" s="30" t="str">
        <f>VLOOKUP(AD776,[3]Key!$E$20:$F$24,2,FALSE)</f>
        <v>750,000-1,000,000</v>
      </c>
      <c r="AF776" s="23">
        <v>1</v>
      </c>
      <c r="AG776" s="50">
        <v>2</v>
      </c>
      <c r="AH776" s="50">
        <v>3</v>
      </c>
      <c r="AI776" s="50">
        <v>4</v>
      </c>
      <c r="AJ776" s="50">
        <v>5</v>
      </c>
      <c r="AK776" s="46" t="s">
        <v>94</v>
      </c>
      <c r="AL776" s="36">
        <v>0</v>
      </c>
      <c r="AM776" t="str">
        <f t="shared" si="51"/>
        <v>0-1000</v>
      </c>
    </row>
    <row r="777" spans="1:39" x14ac:dyDescent="0.2">
      <c r="A777" s="44" t="s">
        <v>423</v>
      </c>
      <c r="B777" s="48">
        <v>0.78472222222222221</v>
      </c>
      <c r="C777" s="48"/>
      <c r="D777" s="48" t="s">
        <v>97</v>
      </c>
      <c r="E777" s="13">
        <v>2</v>
      </c>
      <c r="F777" s="38" t="str">
        <f>VLOOKUP(E777,[3]Key!$A$17:$B$21,2,FALSE)</f>
        <v>Road Vehicle</v>
      </c>
      <c r="G777" s="49">
        <v>6</v>
      </c>
      <c r="H777" s="39" t="str">
        <f>VLOOKUP(G777,[3]Key!$A$2:$B$14,2,FALSE)</f>
        <v>Large Bus</v>
      </c>
      <c r="I777" s="13" t="s">
        <v>109</v>
      </c>
      <c r="J777" s="13">
        <v>3</v>
      </c>
      <c r="K777" s="40" t="str">
        <f>VLOOKUP(J777,[3]Key!$A$24:$B$29,2,FALSE)</f>
        <v>40-49</v>
      </c>
      <c r="L777" s="13" t="s">
        <v>492</v>
      </c>
      <c r="M777" s="23" t="s">
        <v>421</v>
      </c>
      <c r="N777" s="13" t="s">
        <v>152</v>
      </c>
      <c r="O777" s="46">
        <v>1</v>
      </c>
      <c r="P777" s="30" t="str">
        <f>VLOOKUP(O777,[3]Key!$E$2:$F$9,2,FALSE)</f>
        <v>Home</v>
      </c>
      <c r="Q777" s="13" t="s">
        <v>434</v>
      </c>
      <c r="R777" s="23" t="s">
        <v>153</v>
      </c>
      <c r="S777" s="13" t="s">
        <v>152</v>
      </c>
      <c r="T777" s="23">
        <v>2</v>
      </c>
      <c r="U777" s="30" t="str">
        <f>VLOOKUP(T777,[3]Key!$E$2:$F$9,2,FALSE)</f>
        <v>Work</v>
      </c>
      <c r="V777" s="30" t="str">
        <f t="shared" si="48"/>
        <v>Home-Work</v>
      </c>
      <c r="W777" s="51">
        <v>750000</v>
      </c>
      <c r="X777" s="50">
        <v>215</v>
      </c>
      <c r="Y777" s="50" t="str">
        <f t="shared" si="49"/>
        <v>Over 200</v>
      </c>
      <c r="Z777" s="50">
        <v>4.5</v>
      </c>
      <c r="AA777" s="50" t="str">
        <f t="shared" si="50"/>
        <v>Over 3.5</v>
      </c>
      <c r="AB777" s="23">
        <v>10</v>
      </c>
      <c r="AC777" s="30" t="str">
        <f>VLOOKUP(AB777,[3]Key!$C$20:$D$29,2,FALSE)</f>
        <v>Other</v>
      </c>
      <c r="AD777" s="23">
        <v>4</v>
      </c>
      <c r="AE777" s="30" t="str">
        <f>VLOOKUP(AD777,[3]Key!$E$20:$F$24,2,FALSE)</f>
        <v>750,000-1,000,000</v>
      </c>
      <c r="AF777" s="23">
        <v>2</v>
      </c>
      <c r="AG777" s="50">
        <v>1</v>
      </c>
      <c r="AH777" s="50">
        <v>3</v>
      </c>
      <c r="AI777" s="50">
        <v>5</v>
      </c>
      <c r="AJ777" s="50">
        <v>4</v>
      </c>
      <c r="AK777" s="46" t="s">
        <v>94</v>
      </c>
      <c r="AL777" s="36">
        <v>10000</v>
      </c>
      <c r="AM777" t="str">
        <f t="shared" si="51"/>
        <v>Over 10000</v>
      </c>
    </row>
    <row r="778" spans="1:39" x14ac:dyDescent="0.2">
      <c r="A778" s="44" t="s">
        <v>423</v>
      </c>
      <c r="B778" s="48"/>
      <c r="C778" s="48"/>
      <c r="D778" s="48" t="s">
        <v>150</v>
      </c>
      <c r="E778" s="13">
        <v>2</v>
      </c>
      <c r="F778" s="38" t="str">
        <f>VLOOKUP(E778,[3]Key!$A$17:$B$21,2,FALSE)</f>
        <v>Road Vehicle</v>
      </c>
      <c r="G778" s="49">
        <v>6</v>
      </c>
      <c r="H778" s="39" t="str">
        <f>VLOOKUP(G778,[3]Key!$A$2:$B$14,2,FALSE)</f>
        <v>Large Bus</v>
      </c>
      <c r="I778" s="13" t="s">
        <v>109</v>
      </c>
      <c r="J778" s="13">
        <v>3</v>
      </c>
      <c r="K778" s="40" t="str">
        <f>VLOOKUP(J778,[3]Key!$A$24:$B$29,2,FALSE)</f>
        <v>40-49</v>
      </c>
      <c r="L778" s="13" t="s">
        <v>424</v>
      </c>
      <c r="M778" s="23" t="s">
        <v>421</v>
      </c>
      <c r="N778" s="13" t="s">
        <v>152</v>
      </c>
      <c r="O778" s="46">
        <v>1</v>
      </c>
      <c r="P778" s="30" t="str">
        <f>VLOOKUP(O778,[3]Key!$E$2:$F$9,2,FALSE)</f>
        <v>Home</v>
      </c>
      <c r="Q778" s="13" t="s">
        <v>434</v>
      </c>
      <c r="R778" s="23" t="s">
        <v>153</v>
      </c>
      <c r="S778" s="13" t="s">
        <v>152</v>
      </c>
      <c r="T778" s="23">
        <v>4</v>
      </c>
      <c r="U778" s="30" t="str">
        <f>VLOOKUP(T778,[3]Key!$E$2:$F$9,2,FALSE)</f>
        <v>Commercial</v>
      </c>
      <c r="V778" s="30" t="str">
        <f t="shared" si="48"/>
        <v>Home-Commercial</v>
      </c>
      <c r="W778" s="51">
        <v>20000</v>
      </c>
      <c r="X778" s="50">
        <v>160</v>
      </c>
      <c r="Y778" s="50" t="str">
        <f t="shared" si="49"/>
        <v>100-200</v>
      </c>
      <c r="Z778" s="50">
        <v>4</v>
      </c>
      <c r="AA778" s="50" t="str">
        <f t="shared" si="50"/>
        <v>Over 3.5</v>
      </c>
      <c r="AB778" s="23">
        <v>6</v>
      </c>
      <c r="AC778" s="30" t="str">
        <f>VLOOKUP(AB778,[3]Key!$C$20:$D$29,2,FALSE)</f>
        <v>Businessman</v>
      </c>
      <c r="AD778" s="23">
        <v>1</v>
      </c>
      <c r="AE778" s="30" t="str">
        <f>VLOOKUP(AD778,[3]Key!$E$20:$F$24,2,FALSE)</f>
        <v>&lt;300,000</v>
      </c>
      <c r="AF778" s="23">
        <v>2</v>
      </c>
      <c r="AG778" s="50">
        <v>2</v>
      </c>
      <c r="AH778" s="50">
        <v>2</v>
      </c>
      <c r="AI778" s="50">
        <v>2</v>
      </c>
      <c r="AJ778" s="50">
        <v>2</v>
      </c>
      <c r="AK778" s="46" t="s">
        <v>94</v>
      </c>
      <c r="AL778" s="36">
        <v>5000</v>
      </c>
      <c r="AM778" t="str">
        <f t="shared" si="51"/>
        <v>5000-10000</v>
      </c>
    </row>
    <row r="779" spans="1:39" x14ac:dyDescent="0.2">
      <c r="A779" s="44" t="s">
        <v>423</v>
      </c>
      <c r="B779" s="48">
        <v>0.4368055555555555</v>
      </c>
      <c r="C779" s="48"/>
      <c r="D779" s="48" t="s">
        <v>97</v>
      </c>
      <c r="E779" s="13">
        <v>2</v>
      </c>
      <c r="F779" s="38" t="str">
        <f>VLOOKUP(E779,[3]Key!$A$17:$B$21,2,FALSE)</f>
        <v>Road Vehicle</v>
      </c>
      <c r="G779" s="49">
        <v>7</v>
      </c>
      <c r="H779" s="39" t="str">
        <f>VLOOKUP(G779,[3]Key!$A$2:$B$14,2,FALSE)</f>
        <v xml:space="preserve">Light Truck </v>
      </c>
      <c r="I779" s="13" t="s">
        <v>109</v>
      </c>
      <c r="J779" s="13">
        <v>3</v>
      </c>
      <c r="K779" s="40" t="str">
        <f>VLOOKUP(J779,[3]Key!$A$24:$B$29,2,FALSE)</f>
        <v>40-49</v>
      </c>
      <c r="L779" s="13" t="s">
        <v>529</v>
      </c>
      <c r="M779" s="23" t="s">
        <v>421</v>
      </c>
      <c r="N779" s="13" t="s">
        <v>152</v>
      </c>
      <c r="O779" s="46">
        <v>4</v>
      </c>
      <c r="P779" s="30" t="str">
        <f>VLOOKUP(O779,[3]Key!$E$2:$F$9,2,FALSE)</f>
        <v>Commercial</v>
      </c>
      <c r="Q779" s="13" t="s">
        <v>424</v>
      </c>
      <c r="R779" s="23" t="s">
        <v>421</v>
      </c>
      <c r="S779" s="13" t="s">
        <v>152</v>
      </c>
      <c r="T779" s="23">
        <v>4</v>
      </c>
      <c r="U779" s="30" t="str">
        <f>VLOOKUP(T779,[3]Key!$E$2:$F$9,2,FALSE)</f>
        <v>Commercial</v>
      </c>
      <c r="V779" s="30" t="str">
        <f t="shared" si="48"/>
        <v>Commercial-Commercial</v>
      </c>
      <c r="W779" s="51">
        <v>30000</v>
      </c>
      <c r="X779" s="50"/>
      <c r="Y779" s="50" t="str">
        <f t="shared" si="49"/>
        <v>0-10</v>
      </c>
      <c r="Z779" s="50">
        <v>0.16</v>
      </c>
      <c r="AA779" s="50" t="str">
        <f t="shared" si="50"/>
        <v>0-0.5</v>
      </c>
      <c r="AB779" s="23">
        <v>10</v>
      </c>
      <c r="AC779" s="30" t="str">
        <f>VLOOKUP(AB779,[3]Key!$C$20:$D$29,2,FALSE)</f>
        <v>Other</v>
      </c>
      <c r="AD779" s="23">
        <v>2</v>
      </c>
      <c r="AE779" s="30" t="str">
        <f>VLOOKUP(AD779,[3]Key!$E$20:$F$24,2,FALSE)</f>
        <v>300,000-500,000</v>
      </c>
      <c r="AF779" s="23">
        <v>3</v>
      </c>
      <c r="AG779" s="50">
        <v>1</v>
      </c>
      <c r="AH779" s="50">
        <v>2</v>
      </c>
      <c r="AI779" s="50">
        <v>5</v>
      </c>
      <c r="AJ779" s="50">
        <v>2</v>
      </c>
      <c r="AK779" s="46" t="s">
        <v>94</v>
      </c>
      <c r="AL779" s="36">
        <v>1000</v>
      </c>
      <c r="AM779" t="str">
        <f t="shared" si="51"/>
        <v>1000-2000</v>
      </c>
    </row>
    <row r="780" spans="1:39" x14ac:dyDescent="0.2">
      <c r="A780" s="44" t="s">
        <v>419</v>
      </c>
      <c r="B780" s="48">
        <v>0.43124999999999997</v>
      </c>
      <c r="C780" s="48"/>
      <c r="D780" s="48" t="s">
        <v>150</v>
      </c>
      <c r="E780" s="13">
        <v>2</v>
      </c>
      <c r="F780" s="38" t="str">
        <f>VLOOKUP(E780,[3]Key!$A$17:$B$21,2,FALSE)</f>
        <v>Road Vehicle</v>
      </c>
      <c r="G780" s="49">
        <v>5</v>
      </c>
      <c r="H780" s="39" t="str">
        <f>VLOOKUP(G780,[3]Key!$A$2:$B$14,2,FALSE)</f>
        <v xml:space="preserve">Medium bus </v>
      </c>
      <c r="I780" s="13" t="s">
        <v>156</v>
      </c>
      <c r="J780" s="13">
        <v>3</v>
      </c>
      <c r="K780" s="40" t="str">
        <f>VLOOKUP(J780,[3]Key!$A$24:$B$29,2,FALSE)</f>
        <v>40-49</v>
      </c>
      <c r="L780" s="13" t="s">
        <v>427</v>
      </c>
      <c r="M780" s="23" t="s">
        <v>428</v>
      </c>
      <c r="N780" s="13" t="s">
        <v>152</v>
      </c>
      <c r="O780" s="46">
        <v>2</v>
      </c>
      <c r="P780" s="30" t="str">
        <f>VLOOKUP(O780,[3]Key!$E$2:$F$9,2,FALSE)</f>
        <v>Work</v>
      </c>
      <c r="Q780" s="13" t="s">
        <v>460</v>
      </c>
      <c r="R780" s="23" t="s">
        <v>421</v>
      </c>
      <c r="S780" s="13" t="s">
        <v>152</v>
      </c>
      <c r="T780" s="23">
        <v>1</v>
      </c>
      <c r="U780" s="30" t="str">
        <f>VLOOKUP(T780,[3]Key!$E$2:$F$9,2,FALSE)</f>
        <v>Home</v>
      </c>
      <c r="V780" s="30" t="str">
        <f t="shared" si="48"/>
        <v>Work-Home</v>
      </c>
      <c r="W780" s="51">
        <v>10000</v>
      </c>
      <c r="X780" s="50">
        <v>50</v>
      </c>
      <c r="Y780" s="50" t="str">
        <f t="shared" si="49"/>
        <v>40-70</v>
      </c>
      <c r="Z780" s="50">
        <v>3</v>
      </c>
      <c r="AA780" s="50" t="str">
        <f t="shared" si="50"/>
        <v>2.0-3.5</v>
      </c>
      <c r="AB780" s="23">
        <v>6</v>
      </c>
      <c r="AC780" s="30" t="str">
        <f>VLOOKUP(AB780,[3]Key!$C$20:$D$29,2,FALSE)</f>
        <v>Businessman</v>
      </c>
      <c r="AD780" s="23">
        <v>1</v>
      </c>
      <c r="AE780" s="30" t="str">
        <f>VLOOKUP(AD780,[3]Key!$E$20:$F$24,2,FALSE)</f>
        <v>&lt;300,000</v>
      </c>
      <c r="AF780" s="23">
        <v>2</v>
      </c>
      <c r="AG780" s="50">
        <v>1</v>
      </c>
      <c r="AH780" s="50">
        <v>3</v>
      </c>
      <c r="AI780" s="50">
        <v>4</v>
      </c>
      <c r="AJ780" s="50">
        <v>3</v>
      </c>
      <c r="AK780" s="46" t="s">
        <v>94</v>
      </c>
      <c r="AL780" s="36">
        <v>2000</v>
      </c>
      <c r="AM780" t="str">
        <f t="shared" si="51"/>
        <v>2000-3000</v>
      </c>
    </row>
    <row r="781" spans="1:39" x14ac:dyDescent="0.2">
      <c r="A781" s="44" t="s">
        <v>419</v>
      </c>
      <c r="B781" s="48">
        <v>0.42430555555555555</v>
      </c>
      <c r="C781" s="48"/>
      <c r="D781" s="48" t="s">
        <v>150</v>
      </c>
      <c r="E781" s="13">
        <v>2</v>
      </c>
      <c r="F781" s="38" t="str">
        <f>VLOOKUP(E781,[3]Key!$A$17:$B$21,2,FALSE)</f>
        <v>Road Vehicle</v>
      </c>
      <c r="G781" s="49">
        <v>5</v>
      </c>
      <c r="H781" s="39" t="str">
        <f>VLOOKUP(G781,[3]Key!$A$2:$B$14,2,FALSE)</f>
        <v xml:space="preserve">Medium bus </v>
      </c>
      <c r="I781" s="13" t="s">
        <v>156</v>
      </c>
      <c r="J781" s="13">
        <v>3</v>
      </c>
      <c r="K781" s="40" t="str">
        <f>VLOOKUP(J781,[3]Key!$A$24:$B$29,2,FALSE)</f>
        <v>40-49</v>
      </c>
      <c r="L781" s="13" t="s">
        <v>530</v>
      </c>
      <c r="M781" s="23" t="s">
        <v>439</v>
      </c>
      <c r="N781" s="13" t="s">
        <v>152</v>
      </c>
      <c r="O781" s="46">
        <v>2</v>
      </c>
      <c r="P781" s="30" t="str">
        <f>VLOOKUP(O781,[3]Key!$E$2:$F$9,2,FALSE)</f>
        <v>Work</v>
      </c>
      <c r="Q781" s="13" t="s">
        <v>531</v>
      </c>
      <c r="R781" s="23" t="s">
        <v>439</v>
      </c>
      <c r="S781" s="13" t="s">
        <v>152</v>
      </c>
      <c r="T781" s="23">
        <v>7</v>
      </c>
      <c r="U781" s="30" t="str">
        <f>VLOOKUP(T781,[3]Key!$E$2:$F$9,2,FALSE)</f>
        <v>Hospital</v>
      </c>
      <c r="V781" s="30" t="str">
        <f t="shared" si="48"/>
        <v>Work-Hospital</v>
      </c>
      <c r="W781" s="51">
        <v>15000</v>
      </c>
      <c r="X781" s="50">
        <v>30</v>
      </c>
      <c r="Y781" s="50" t="str">
        <f t="shared" si="49"/>
        <v>20-40</v>
      </c>
      <c r="Z781" s="50">
        <v>2.5</v>
      </c>
      <c r="AA781" s="50" t="str">
        <f t="shared" si="50"/>
        <v>2.0-3.5</v>
      </c>
      <c r="AB781" s="23">
        <v>6</v>
      </c>
      <c r="AC781" s="30" t="str">
        <f>VLOOKUP(AB781,[3]Key!$C$20:$D$29,2,FALSE)</f>
        <v>Businessman</v>
      </c>
      <c r="AD781" s="23">
        <v>2</v>
      </c>
      <c r="AE781" s="30" t="str">
        <f>VLOOKUP(AD781,[3]Key!$E$20:$F$24,2,FALSE)</f>
        <v>300,000-500,000</v>
      </c>
      <c r="AF781" s="23">
        <v>1</v>
      </c>
      <c r="AG781" s="50">
        <v>5</v>
      </c>
      <c r="AH781" s="50">
        <v>2</v>
      </c>
      <c r="AI781" s="50">
        <v>3</v>
      </c>
      <c r="AJ781" s="50">
        <v>4</v>
      </c>
      <c r="AK781" s="46" t="s">
        <v>94</v>
      </c>
      <c r="AL781" s="36">
        <v>3000</v>
      </c>
      <c r="AM781" t="str">
        <f t="shared" si="51"/>
        <v>3000-5000</v>
      </c>
    </row>
    <row r="782" spans="1:39" x14ac:dyDescent="0.2">
      <c r="A782" s="44" t="s">
        <v>433</v>
      </c>
      <c r="B782" s="48">
        <v>0.64236111111111105</v>
      </c>
      <c r="C782" s="48"/>
      <c r="D782" s="48" t="s">
        <v>97</v>
      </c>
      <c r="E782" s="13">
        <v>2</v>
      </c>
      <c r="F782" s="38" t="str">
        <f>VLOOKUP(E782,[3]Key!$A$17:$B$21,2,FALSE)</f>
        <v>Road Vehicle</v>
      </c>
      <c r="G782" s="49">
        <v>5</v>
      </c>
      <c r="H782" s="39" t="str">
        <f>VLOOKUP(G782,[3]Key!$A$2:$B$14,2,FALSE)</f>
        <v xml:space="preserve">Medium bus </v>
      </c>
      <c r="I782" s="13" t="s">
        <v>109</v>
      </c>
      <c r="J782" s="13">
        <v>3</v>
      </c>
      <c r="K782" s="40" t="str">
        <f>VLOOKUP(J782,[3]Key!$A$24:$B$29,2,FALSE)</f>
        <v>40-49</v>
      </c>
      <c r="L782" s="13" t="s">
        <v>434</v>
      </c>
      <c r="M782" s="23" t="s">
        <v>153</v>
      </c>
      <c r="N782" s="13" t="s">
        <v>152</v>
      </c>
      <c r="O782" s="46">
        <v>4</v>
      </c>
      <c r="P782" s="30" t="str">
        <f>VLOOKUP(O782,[3]Key!$E$2:$F$9,2,FALSE)</f>
        <v>Commercial</v>
      </c>
      <c r="Q782" s="13" t="s">
        <v>454</v>
      </c>
      <c r="R782" s="23" t="s">
        <v>455</v>
      </c>
      <c r="S782" s="13" t="s">
        <v>152</v>
      </c>
      <c r="T782" s="23">
        <v>4</v>
      </c>
      <c r="U782" s="30" t="str">
        <f>VLOOKUP(T782,[3]Key!$E$2:$F$9,2,FALSE)</f>
        <v>Commercial</v>
      </c>
      <c r="V782" s="30" t="str">
        <f t="shared" si="48"/>
        <v>Commercial-Commercial</v>
      </c>
      <c r="W782" s="51">
        <v>1300000</v>
      </c>
      <c r="X782" s="50"/>
      <c r="Y782" s="50" t="str">
        <f t="shared" si="49"/>
        <v>0-10</v>
      </c>
      <c r="Z782" s="50">
        <v>10.5</v>
      </c>
      <c r="AA782" s="50" t="str">
        <f t="shared" si="50"/>
        <v>Over 3.5</v>
      </c>
      <c r="AB782" s="23">
        <v>10</v>
      </c>
      <c r="AC782" s="30" t="str">
        <f>VLOOKUP(AB782,[3]Key!$C$20:$D$29,2,FALSE)</f>
        <v>Other</v>
      </c>
      <c r="AD782" s="23">
        <v>5</v>
      </c>
      <c r="AE782" s="30" t="str">
        <f>VLOOKUP(AD782,[3]Key!$E$20:$F$24,2,FALSE)</f>
        <v>&gt;1,000,000</v>
      </c>
      <c r="AF782" s="23">
        <v>2</v>
      </c>
      <c r="AG782" s="50">
        <v>5</v>
      </c>
      <c r="AH782" s="50">
        <v>4</v>
      </c>
      <c r="AI782" s="50">
        <v>3</v>
      </c>
      <c r="AJ782" s="50">
        <v>4</v>
      </c>
      <c r="AK782" s="46" t="s">
        <v>94</v>
      </c>
      <c r="AL782" s="36">
        <v>0</v>
      </c>
      <c r="AM782" t="str">
        <f t="shared" si="51"/>
        <v>0-1000</v>
      </c>
    </row>
    <row r="783" spans="1:39" x14ac:dyDescent="0.2">
      <c r="A783" s="44" t="s">
        <v>419</v>
      </c>
      <c r="B783" s="48">
        <v>0.49305555555555558</v>
      </c>
      <c r="C783" s="48"/>
      <c r="D783" s="48" t="s">
        <v>150</v>
      </c>
      <c r="E783" s="13">
        <v>2</v>
      </c>
      <c r="F783" s="38" t="str">
        <f>VLOOKUP(E783,[3]Key!$A$17:$B$21,2,FALSE)</f>
        <v>Road Vehicle</v>
      </c>
      <c r="G783" s="49">
        <v>5</v>
      </c>
      <c r="H783" s="39" t="str">
        <f>VLOOKUP(G783,[3]Key!$A$2:$B$14,2,FALSE)</f>
        <v xml:space="preserve">Medium bus </v>
      </c>
      <c r="I783" s="13" t="s">
        <v>109</v>
      </c>
      <c r="J783" s="13">
        <v>3</v>
      </c>
      <c r="K783" s="40" t="str">
        <f>VLOOKUP(J783,[3]Key!$A$24:$B$29,2,FALSE)</f>
        <v>40-49</v>
      </c>
      <c r="L783" s="13" t="s">
        <v>496</v>
      </c>
      <c r="M783" s="23" t="s">
        <v>421</v>
      </c>
      <c r="N783" s="13" t="s">
        <v>152</v>
      </c>
      <c r="O783" s="46">
        <v>2</v>
      </c>
      <c r="P783" s="30" t="str">
        <f>VLOOKUP(O783,[3]Key!$E$2:$F$9,2,FALSE)</f>
        <v>Work</v>
      </c>
      <c r="Q783" s="13" t="s">
        <v>532</v>
      </c>
      <c r="R783" s="23" t="s">
        <v>153</v>
      </c>
      <c r="S783" s="13" t="s">
        <v>152</v>
      </c>
      <c r="T783" s="23">
        <v>1</v>
      </c>
      <c r="U783" s="30" t="str">
        <f>VLOOKUP(T783,[3]Key!$E$2:$F$9,2,FALSE)</f>
        <v>Home</v>
      </c>
      <c r="V783" s="30" t="str">
        <f t="shared" si="48"/>
        <v>Work-Home</v>
      </c>
      <c r="W783" s="51">
        <v>20000</v>
      </c>
      <c r="X783" s="50">
        <v>400</v>
      </c>
      <c r="Y783" s="50" t="str">
        <f t="shared" si="49"/>
        <v>Over 200</v>
      </c>
      <c r="Z783" s="50">
        <v>4.5</v>
      </c>
      <c r="AA783" s="50" t="str">
        <f t="shared" si="50"/>
        <v>Over 3.5</v>
      </c>
      <c r="AB783" s="23">
        <v>5</v>
      </c>
      <c r="AC783" s="30" t="str">
        <f>VLOOKUP(AB783,[3]Key!$C$20:$D$29,2,FALSE)</f>
        <v>Professional</v>
      </c>
      <c r="AD783" s="23">
        <v>1</v>
      </c>
      <c r="AE783" s="30" t="str">
        <f>VLOOKUP(AD783,[3]Key!$E$20:$F$24,2,FALSE)</f>
        <v>&lt;300,000</v>
      </c>
      <c r="AF783" s="23">
        <v>1</v>
      </c>
      <c r="AG783" s="50">
        <v>2</v>
      </c>
      <c r="AH783" s="50">
        <v>4</v>
      </c>
      <c r="AI783" s="50">
        <v>3</v>
      </c>
      <c r="AJ783" s="50">
        <v>3</v>
      </c>
      <c r="AK783" s="46" t="s">
        <v>94</v>
      </c>
      <c r="AL783" s="36">
        <v>3000</v>
      </c>
      <c r="AM783" t="str">
        <f t="shared" si="51"/>
        <v>3000-5000</v>
      </c>
    </row>
    <row r="784" spans="1:39" x14ac:dyDescent="0.2">
      <c r="A784" s="44" t="s">
        <v>419</v>
      </c>
      <c r="B784" s="48"/>
      <c r="C784" s="48"/>
      <c r="D784" s="48" t="s">
        <v>150</v>
      </c>
      <c r="E784" s="13">
        <v>2</v>
      </c>
      <c r="F784" s="38" t="str">
        <f>VLOOKUP(E784,[3]Key!$A$17:$B$21,2,FALSE)</f>
        <v>Road Vehicle</v>
      </c>
      <c r="G784" s="49">
        <v>4</v>
      </c>
      <c r="H784" s="39" t="str">
        <f>VLOOKUP(G784,[3]Key!$A$2:$B$14,2,FALSE)</f>
        <v>Minibus</v>
      </c>
      <c r="I784" s="13" t="s">
        <v>156</v>
      </c>
      <c r="J784" s="13">
        <v>3</v>
      </c>
      <c r="K784" s="40" t="str">
        <f>VLOOKUP(J784,[3]Key!$A$24:$B$29,2,FALSE)</f>
        <v>40-49</v>
      </c>
      <c r="L784" s="13" t="s">
        <v>424</v>
      </c>
      <c r="M784" s="23" t="s">
        <v>421</v>
      </c>
      <c r="N784" s="13" t="s">
        <v>152</v>
      </c>
      <c r="O784" s="46">
        <v>1</v>
      </c>
      <c r="P784" s="30" t="str">
        <f>VLOOKUP(O784,[3]Key!$E$2:$F$9,2,FALSE)</f>
        <v>Home</v>
      </c>
      <c r="Q784" s="13" t="s">
        <v>533</v>
      </c>
      <c r="R784" s="23" t="s">
        <v>430</v>
      </c>
      <c r="S784" s="13" t="s">
        <v>152</v>
      </c>
      <c r="T784" s="23">
        <v>8</v>
      </c>
      <c r="U784" s="30" t="str">
        <f>VLOOKUP(T784,[3]Key!$E$2:$F$9,2,FALSE)</f>
        <v>Others</v>
      </c>
      <c r="V784" s="30" t="str">
        <f t="shared" si="48"/>
        <v>Home-Others</v>
      </c>
      <c r="W784" s="51">
        <v>10000</v>
      </c>
      <c r="X784" s="50">
        <v>47</v>
      </c>
      <c r="Y784" s="50" t="str">
        <f t="shared" si="49"/>
        <v>40-70</v>
      </c>
      <c r="Z784" s="50">
        <v>2</v>
      </c>
      <c r="AA784" s="50" t="str">
        <f t="shared" si="50"/>
        <v>2.0-3.5</v>
      </c>
      <c r="AB784" s="23">
        <v>2</v>
      </c>
      <c r="AC784" s="30" t="str">
        <f>VLOOKUP(AB784,[3]Key!$C$20:$D$29,2,FALSE)</f>
        <v>Manual Labour</v>
      </c>
      <c r="AD784" s="23">
        <v>2</v>
      </c>
      <c r="AE784" s="30" t="str">
        <f>VLOOKUP(AD784,[3]Key!$E$20:$F$24,2,FALSE)</f>
        <v>300,000-500,000</v>
      </c>
      <c r="AF784" s="23">
        <v>5</v>
      </c>
      <c r="AG784" s="50">
        <v>2</v>
      </c>
      <c r="AH784" s="50">
        <v>1</v>
      </c>
      <c r="AI784" s="50">
        <v>1</v>
      </c>
      <c r="AJ784" s="50">
        <v>1</v>
      </c>
      <c r="AK784" s="46" t="s">
        <v>94</v>
      </c>
      <c r="AL784" s="36">
        <v>5000</v>
      </c>
      <c r="AM784" t="str">
        <f t="shared" si="51"/>
        <v>5000-10000</v>
      </c>
    </row>
    <row r="785" spans="1:39" x14ac:dyDescent="0.2">
      <c r="A785" s="44" t="s">
        <v>423</v>
      </c>
      <c r="B785" s="48">
        <v>0.40972222222222227</v>
      </c>
      <c r="C785" s="48"/>
      <c r="D785" s="48" t="s">
        <v>150</v>
      </c>
      <c r="E785" s="13">
        <v>2</v>
      </c>
      <c r="F785" s="38" t="str">
        <f>VLOOKUP(E785,[3]Key!$A$17:$B$21,2,FALSE)</f>
        <v>Road Vehicle</v>
      </c>
      <c r="G785" s="49">
        <v>4</v>
      </c>
      <c r="H785" s="39" t="str">
        <f>VLOOKUP(G785,[3]Key!$A$2:$B$14,2,FALSE)</f>
        <v>Minibus</v>
      </c>
      <c r="I785" s="13" t="s">
        <v>156</v>
      </c>
      <c r="J785" s="13">
        <v>3</v>
      </c>
      <c r="K785" s="40" t="str">
        <f>VLOOKUP(J785,[3]Key!$A$24:$B$29,2,FALSE)</f>
        <v>40-49</v>
      </c>
      <c r="L785" s="13" t="s">
        <v>424</v>
      </c>
      <c r="M785" s="23" t="s">
        <v>421</v>
      </c>
      <c r="N785" s="13" t="s">
        <v>152</v>
      </c>
      <c r="O785" s="46">
        <v>2</v>
      </c>
      <c r="P785" s="30" t="str">
        <f>VLOOKUP(O785,[3]Key!$E$2:$F$9,2,FALSE)</f>
        <v>Work</v>
      </c>
      <c r="Q785" s="13" t="s">
        <v>438</v>
      </c>
      <c r="R785" s="23" t="s">
        <v>421</v>
      </c>
      <c r="S785" s="13" t="s">
        <v>152</v>
      </c>
      <c r="T785" s="23">
        <v>4</v>
      </c>
      <c r="U785" s="30" t="str">
        <f>VLOOKUP(T785,[3]Key!$E$2:$F$9,2,FALSE)</f>
        <v>Commercial</v>
      </c>
      <c r="V785" s="30" t="str">
        <f t="shared" si="48"/>
        <v>Work-Commercial</v>
      </c>
      <c r="W785" s="51">
        <v>15000</v>
      </c>
      <c r="X785" s="50">
        <v>59</v>
      </c>
      <c r="Y785" s="50" t="str">
        <f t="shared" si="49"/>
        <v>40-70</v>
      </c>
      <c r="Z785" s="50">
        <v>0.63300000000000001</v>
      </c>
      <c r="AA785" s="50" t="str">
        <f t="shared" si="50"/>
        <v>0.5-1.0</v>
      </c>
      <c r="AB785" s="23">
        <v>6</v>
      </c>
      <c r="AC785" s="30" t="s">
        <v>129</v>
      </c>
      <c r="AD785" s="23">
        <v>3</v>
      </c>
      <c r="AE785" s="30" t="str">
        <f>VLOOKUP(AD785,[3]Key!$E$20:$F$24,2,FALSE)</f>
        <v>500,000-750,000</v>
      </c>
      <c r="AF785" s="23">
        <v>5</v>
      </c>
      <c r="AG785" s="50">
        <v>3</v>
      </c>
      <c r="AH785" s="50">
        <v>2</v>
      </c>
      <c r="AI785" s="50">
        <v>1</v>
      </c>
      <c r="AJ785" s="50">
        <v>4</v>
      </c>
      <c r="AK785" s="46" t="s">
        <v>94</v>
      </c>
      <c r="AL785" s="36">
        <v>5000</v>
      </c>
      <c r="AM785" t="str">
        <f t="shared" si="51"/>
        <v>5000-10000</v>
      </c>
    </row>
    <row r="786" spans="1:39" x14ac:dyDescent="0.2">
      <c r="A786" s="44" t="s">
        <v>433</v>
      </c>
      <c r="B786" s="48"/>
      <c r="C786" s="48"/>
      <c r="D786" s="48" t="s">
        <v>97</v>
      </c>
      <c r="E786" s="13">
        <v>2</v>
      </c>
      <c r="F786" s="38" t="str">
        <f>VLOOKUP(E786,[3]Key!$A$17:$B$21,2,FALSE)</f>
        <v>Road Vehicle</v>
      </c>
      <c r="G786" s="49">
        <v>4</v>
      </c>
      <c r="H786" s="39" t="str">
        <f>VLOOKUP(G786,[3]Key!$A$2:$B$14,2,FALSE)</f>
        <v>Minibus</v>
      </c>
      <c r="I786" s="13" t="s">
        <v>109</v>
      </c>
      <c r="J786" s="13">
        <v>3</v>
      </c>
      <c r="K786" s="40" t="str">
        <f>VLOOKUP(J786,[3]Key!$A$24:$B$29,2,FALSE)</f>
        <v>40-49</v>
      </c>
      <c r="L786" s="13" t="s">
        <v>467</v>
      </c>
      <c r="M786" s="23" t="s">
        <v>468</v>
      </c>
      <c r="N786" s="13" t="s">
        <v>152</v>
      </c>
      <c r="O786" s="46">
        <v>1</v>
      </c>
      <c r="P786" s="30" t="str">
        <f>VLOOKUP(O786,[3]Key!$E$2:$F$9,2,FALSE)</f>
        <v>Home</v>
      </c>
      <c r="Q786" s="13" t="s">
        <v>424</v>
      </c>
      <c r="R786" s="23" t="s">
        <v>421</v>
      </c>
      <c r="S786" s="13" t="s">
        <v>152</v>
      </c>
      <c r="T786" s="23">
        <v>2</v>
      </c>
      <c r="U786" s="30" t="str">
        <f>VLOOKUP(T786,[3]Key!$E$2:$F$9,2,FALSE)</f>
        <v>Work</v>
      </c>
      <c r="V786" s="30" t="str">
        <f t="shared" si="48"/>
        <v>Home-Work</v>
      </c>
      <c r="W786" s="51">
        <v>70000</v>
      </c>
      <c r="X786" s="50">
        <v>120</v>
      </c>
      <c r="Y786" s="50" t="str">
        <f t="shared" si="49"/>
        <v>100-200</v>
      </c>
      <c r="Z786" s="50">
        <v>2.5</v>
      </c>
      <c r="AA786" s="50" t="str">
        <f t="shared" si="50"/>
        <v>2.0-3.5</v>
      </c>
      <c r="AB786" s="23">
        <v>2</v>
      </c>
      <c r="AC786" s="30" t="str">
        <f>VLOOKUP(AB786,[3]Key!$C$20:$D$29,2,FALSE)</f>
        <v>Manual Labour</v>
      </c>
      <c r="AD786" s="23">
        <v>3</v>
      </c>
      <c r="AE786" s="30" t="str">
        <f>VLOOKUP(AD786,[3]Key!$E$20:$F$24,2,FALSE)</f>
        <v>500,000-750,000</v>
      </c>
      <c r="AF786" s="23">
        <v>5</v>
      </c>
      <c r="AG786" s="50">
        <v>5</v>
      </c>
      <c r="AH786" s="50">
        <v>1</v>
      </c>
      <c r="AI786" s="50">
        <v>1</v>
      </c>
      <c r="AJ786" s="50">
        <v>1</v>
      </c>
      <c r="AK786" s="46" t="s">
        <v>94</v>
      </c>
      <c r="AL786" s="36">
        <v>4000</v>
      </c>
      <c r="AM786" t="str">
        <f t="shared" si="51"/>
        <v>3000-5000</v>
      </c>
    </row>
    <row r="787" spans="1:39" x14ac:dyDescent="0.2">
      <c r="A787" s="44" t="s">
        <v>433</v>
      </c>
      <c r="B787" s="48"/>
      <c r="C787" s="48"/>
      <c r="D787" s="48" t="s">
        <v>97</v>
      </c>
      <c r="E787" s="13">
        <v>2</v>
      </c>
      <c r="F787" s="38" t="s">
        <v>102</v>
      </c>
      <c r="G787" s="49">
        <v>4</v>
      </c>
      <c r="H787" s="39" t="str">
        <f>VLOOKUP(G787,[3]Key!$A$2:$B$14,2,FALSE)</f>
        <v>Minibus</v>
      </c>
      <c r="I787" s="13" t="s">
        <v>109</v>
      </c>
      <c r="J787" s="13">
        <v>3</v>
      </c>
      <c r="K787" s="40" t="str">
        <f>VLOOKUP(J787,[3]Key!$A$24:$B$29,2,FALSE)</f>
        <v>40-49</v>
      </c>
      <c r="L787" s="13" t="s">
        <v>424</v>
      </c>
      <c r="M787" s="23" t="s">
        <v>421</v>
      </c>
      <c r="N787" s="13" t="s">
        <v>152</v>
      </c>
      <c r="O787" s="46">
        <v>1</v>
      </c>
      <c r="P787" s="30" t="str">
        <f>VLOOKUP(O787,[3]Key!$E$2:$F$9,2,FALSE)</f>
        <v>Home</v>
      </c>
      <c r="Q787" s="13" t="s">
        <v>427</v>
      </c>
      <c r="R787" s="23" t="s">
        <v>428</v>
      </c>
      <c r="S787" s="13" t="s">
        <v>152</v>
      </c>
      <c r="T787" s="23">
        <v>2</v>
      </c>
      <c r="U787" s="30" t="str">
        <f>VLOOKUP(T787,[3]Key!$E$2:$F$9,2,FALSE)</f>
        <v>Work</v>
      </c>
      <c r="V787" s="30" t="str">
        <f t="shared" si="48"/>
        <v>Home-Work</v>
      </c>
      <c r="W787" s="51">
        <v>140000</v>
      </c>
      <c r="X787" s="50"/>
      <c r="Y787" s="50" t="str">
        <f t="shared" si="49"/>
        <v>0-10</v>
      </c>
      <c r="Z787" s="50">
        <v>3</v>
      </c>
      <c r="AA787" s="50" t="str">
        <f t="shared" si="50"/>
        <v>2.0-3.5</v>
      </c>
      <c r="AB787" s="23">
        <v>2</v>
      </c>
      <c r="AC787" s="30" t="str">
        <f>VLOOKUP(AB787,[3]Key!$C$20:$D$29,2,FALSE)</f>
        <v>Manual Labour</v>
      </c>
      <c r="AD787" s="23">
        <v>2</v>
      </c>
      <c r="AE787" s="30" t="str">
        <f>VLOOKUP(AD787,[3]Key!$E$20:$F$24,2,FALSE)</f>
        <v>300,000-500,000</v>
      </c>
      <c r="AF787" s="23">
        <v>5</v>
      </c>
      <c r="AG787" s="50">
        <v>1</v>
      </c>
      <c r="AH787" s="50">
        <v>1</v>
      </c>
      <c r="AI787" s="50">
        <v>1</v>
      </c>
      <c r="AJ787" s="50">
        <v>1</v>
      </c>
      <c r="AK787" s="46" t="s">
        <v>94</v>
      </c>
      <c r="AL787" s="36">
        <v>4000</v>
      </c>
      <c r="AM787" t="str">
        <f t="shared" si="51"/>
        <v>3000-5000</v>
      </c>
    </row>
    <row r="788" spans="1:39" x14ac:dyDescent="0.2">
      <c r="A788" s="44" t="s">
        <v>433</v>
      </c>
      <c r="B788" s="48"/>
      <c r="C788" s="48"/>
      <c r="D788" s="48" t="s">
        <v>97</v>
      </c>
      <c r="E788" s="13">
        <v>2</v>
      </c>
      <c r="F788" s="38" t="str">
        <f>VLOOKUP(E788,[3]Key!$A$17:$B$21,2,FALSE)</f>
        <v>Road Vehicle</v>
      </c>
      <c r="G788" s="49">
        <v>4</v>
      </c>
      <c r="H788" s="39" t="str">
        <f>VLOOKUP(G788,[3]Key!$A$2:$B$14,2,FALSE)</f>
        <v>Minibus</v>
      </c>
      <c r="I788" s="13" t="s">
        <v>109</v>
      </c>
      <c r="J788" s="13">
        <v>3</v>
      </c>
      <c r="K788" s="40" t="str">
        <f>VLOOKUP(J788,[3]Key!$A$24:$B$29,2,FALSE)</f>
        <v>40-49</v>
      </c>
      <c r="L788" s="13" t="s">
        <v>424</v>
      </c>
      <c r="M788" s="23" t="s">
        <v>421</v>
      </c>
      <c r="N788" s="13" t="s">
        <v>152</v>
      </c>
      <c r="O788" s="46">
        <v>1</v>
      </c>
      <c r="P788" s="30" t="str">
        <f>VLOOKUP(O788,[3]Key!$E$2:$F$9,2,FALSE)</f>
        <v>Home</v>
      </c>
      <c r="Q788" s="13" t="s">
        <v>434</v>
      </c>
      <c r="R788" s="23" t="s">
        <v>153</v>
      </c>
      <c r="S788" s="13" t="s">
        <v>152</v>
      </c>
      <c r="T788" s="23">
        <v>2</v>
      </c>
      <c r="U788" s="30" t="str">
        <f>VLOOKUP(T788,[3]Key!$E$2:$F$9,2,FALSE)</f>
        <v>Work</v>
      </c>
      <c r="V788" s="30" t="str">
        <f t="shared" si="48"/>
        <v>Home-Work</v>
      </c>
      <c r="W788" s="51">
        <v>350000</v>
      </c>
      <c r="X788" s="50">
        <v>286</v>
      </c>
      <c r="Y788" s="50" t="str">
        <f t="shared" si="49"/>
        <v>Over 200</v>
      </c>
      <c r="Z788" s="50">
        <v>5</v>
      </c>
      <c r="AA788" s="50" t="str">
        <f t="shared" si="50"/>
        <v>Over 3.5</v>
      </c>
      <c r="AB788" s="23">
        <v>2</v>
      </c>
      <c r="AC788" s="30" t="str">
        <f>VLOOKUP(AB788,[3]Key!$C$20:$D$29,2,FALSE)</f>
        <v>Manual Labour</v>
      </c>
      <c r="AD788" s="23">
        <v>3</v>
      </c>
      <c r="AE788" s="30" t="str">
        <f>VLOOKUP(AD788,[3]Key!$E$20:$F$24,2,FALSE)</f>
        <v>500,000-750,000</v>
      </c>
      <c r="AF788" s="23">
        <v>5</v>
      </c>
      <c r="AG788" s="50">
        <v>1</v>
      </c>
      <c r="AH788" s="50">
        <v>1</v>
      </c>
      <c r="AI788" s="50">
        <v>1</v>
      </c>
      <c r="AJ788" s="50">
        <v>1</v>
      </c>
      <c r="AK788" s="46" t="s">
        <v>94</v>
      </c>
      <c r="AL788" s="36">
        <v>7000</v>
      </c>
      <c r="AM788" t="str">
        <f t="shared" si="51"/>
        <v>5000-10000</v>
      </c>
    </row>
    <row r="789" spans="1:39" x14ac:dyDescent="0.2">
      <c r="A789" s="52" t="s">
        <v>419</v>
      </c>
      <c r="B789" s="48"/>
      <c r="C789" s="48"/>
      <c r="D789" s="48" t="s">
        <v>97</v>
      </c>
      <c r="E789" s="13">
        <v>2</v>
      </c>
      <c r="F789" s="38" t="str">
        <f>VLOOKUP(E789,[3]Key!$A$17:$B$21,2,FALSE)</f>
        <v>Road Vehicle</v>
      </c>
      <c r="G789" s="49">
        <v>4</v>
      </c>
      <c r="H789" s="39" t="str">
        <f>VLOOKUP(G789,[3]Key!$A$2:$B$14,2,FALSE)</f>
        <v>Minibus</v>
      </c>
      <c r="I789" s="13" t="s">
        <v>109</v>
      </c>
      <c r="J789" s="13">
        <v>3</v>
      </c>
      <c r="K789" s="40" t="str">
        <f>VLOOKUP(J789,[3]Key!$A$24:$B$29,2,FALSE)</f>
        <v>40-49</v>
      </c>
      <c r="L789" s="13" t="s">
        <v>424</v>
      </c>
      <c r="M789" s="23" t="s">
        <v>421</v>
      </c>
      <c r="N789" s="13" t="s">
        <v>152</v>
      </c>
      <c r="O789" s="46">
        <v>1</v>
      </c>
      <c r="P789" s="30" t="str">
        <f>VLOOKUP(O789,[3]Key!$E$2:$F$9,2,FALSE)</f>
        <v>Home</v>
      </c>
      <c r="Q789" s="13" t="s">
        <v>427</v>
      </c>
      <c r="R789" s="23" t="s">
        <v>428</v>
      </c>
      <c r="S789" s="13" t="s">
        <v>152</v>
      </c>
      <c r="T789" s="23">
        <v>2</v>
      </c>
      <c r="U789" s="30" t="str">
        <f>VLOOKUP(T789,[3]Key!$E$2:$F$9,2,FALSE)</f>
        <v>Work</v>
      </c>
      <c r="V789" s="30" t="str">
        <f t="shared" si="48"/>
        <v>Home-Work</v>
      </c>
      <c r="W789" s="51">
        <v>130000</v>
      </c>
      <c r="X789" s="50">
        <v>85</v>
      </c>
      <c r="Y789" s="50" t="str">
        <f t="shared" si="49"/>
        <v>70-100</v>
      </c>
      <c r="Z789" s="50">
        <v>4</v>
      </c>
      <c r="AA789" s="50" t="str">
        <f t="shared" si="50"/>
        <v>Over 3.5</v>
      </c>
      <c r="AB789" s="23">
        <v>5</v>
      </c>
      <c r="AC789" s="30" t="str">
        <f>VLOOKUP(AB789,[3]Key!$C$20:$D$29,2,FALSE)</f>
        <v>Professional</v>
      </c>
      <c r="AD789" s="23">
        <v>3</v>
      </c>
      <c r="AE789" s="30" t="str">
        <f>VLOOKUP(AD789,[3]Key!$E$20:$F$24,2,FALSE)</f>
        <v>500,000-750,000</v>
      </c>
      <c r="AF789" s="23">
        <v>4</v>
      </c>
      <c r="AG789" s="50">
        <v>2</v>
      </c>
      <c r="AH789" s="50">
        <v>1</v>
      </c>
      <c r="AI789" s="50">
        <v>1</v>
      </c>
      <c r="AJ789" s="50">
        <v>1</v>
      </c>
      <c r="AK789" s="46" t="s">
        <v>94</v>
      </c>
      <c r="AL789" s="36">
        <v>0</v>
      </c>
      <c r="AM789" t="str">
        <f t="shared" si="51"/>
        <v>0-1000</v>
      </c>
    </row>
    <row r="790" spans="1:39" x14ac:dyDescent="0.2">
      <c r="A790" s="44" t="s">
        <v>419</v>
      </c>
      <c r="B790" s="48"/>
      <c r="C790" s="48"/>
      <c r="D790" s="48" t="s">
        <v>97</v>
      </c>
      <c r="E790" s="13">
        <v>2</v>
      </c>
      <c r="F790" s="38" t="str">
        <f>VLOOKUP(E790,[3]Key!$A$17:$B$21,2,FALSE)</f>
        <v>Road Vehicle</v>
      </c>
      <c r="G790" s="49">
        <v>4</v>
      </c>
      <c r="H790" s="39" t="str">
        <f>VLOOKUP(G790,[3]Key!$A$2:$B$14,2,FALSE)</f>
        <v>Minibus</v>
      </c>
      <c r="I790" s="13" t="s">
        <v>109</v>
      </c>
      <c r="J790" s="13">
        <v>3</v>
      </c>
      <c r="K790" s="40" t="str">
        <f>VLOOKUP(J790,[3]Key!$A$24:$B$29,2,FALSE)</f>
        <v>40-49</v>
      </c>
      <c r="L790" s="13" t="s">
        <v>424</v>
      </c>
      <c r="M790" s="23" t="s">
        <v>421</v>
      </c>
      <c r="N790" s="13" t="s">
        <v>152</v>
      </c>
      <c r="O790" s="46">
        <v>1</v>
      </c>
      <c r="P790" s="30" t="str">
        <f>VLOOKUP(O790,[3]Key!$E$2:$F$9,2,FALSE)</f>
        <v>Home</v>
      </c>
      <c r="Q790" s="13" t="s">
        <v>467</v>
      </c>
      <c r="R790" s="23" t="s">
        <v>468</v>
      </c>
      <c r="S790" s="13" t="s">
        <v>152</v>
      </c>
      <c r="T790" s="23">
        <v>2</v>
      </c>
      <c r="U790" s="30" t="str">
        <f>VLOOKUP(T790,[3]Key!$E$2:$F$9,2,FALSE)</f>
        <v>Work</v>
      </c>
      <c r="V790" s="30" t="str">
        <f t="shared" si="48"/>
        <v>Home-Work</v>
      </c>
      <c r="W790" s="51">
        <v>150000</v>
      </c>
      <c r="X790" s="50">
        <v>75</v>
      </c>
      <c r="Y790" s="50" t="str">
        <f t="shared" si="49"/>
        <v>70-100</v>
      </c>
      <c r="Z790" s="50">
        <v>3</v>
      </c>
      <c r="AA790" s="50" t="str">
        <f t="shared" si="50"/>
        <v>2.0-3.5</v>
      </c>
      <c r="AB790" s="23">
        <v>5</v>
      </c>
      <c r="AC790" s="30" t="str">
        <f>VLOOKUP(AB790,[3]Key!$C$20:$D$29,2,FALSE)</f>
        <v>Professional</v>
      </c>
      <c r="AD790" s="23">
        <v>4</v>
      </c>
      <c r="AE790" s="30" t="str">
        <f>VLOOKUP(AD790,[3]Key!$E$20:$F$24,2,FALSE)</f>
        <v>750,000-1,000,000</v>
      </c>
      <c r="AF790" s="23">
        <v>4</v>
      </c>
      <c r="AG790" s="50">
        <v>2</v>
      </c>
      <c r="AH790" s="50">
        <v>1</v>
      </c>
      <c r="AI790" s="50">
        <v>1</v>
      </c>
      <c r="AJ790" s="50">
        <v>1</v>
      </c>
      <c r="AK790" s="46" t="s">
        <v>94</v>
      </c>
      <c r="AL790" s="36">
        <v>3000</v>
      </c>
      <c r="AM790" t="str">
        <f t="shared" si="51"/>
        <v>3000-5000</v>
      </c>
    </row>
    <row r="791" spans="1:39" x14ac:dyDescent="0.2">
      <c r="A791" s="44" t="s">
        <v>419</v>
      </c>
      <c r="B791" s="48"/>
      <c r="C791" s="48"/>
      <c r="D791" s="48" t="s">
        <v>97</v>
      </c>
      <c r="E791" s="13">
        <v>2</v>
      </c>
      <c r="F791" s="38" t="str">
        <f>VLOOKUP(E791,[3]Key!$A$17:$B$21,2,FALSE)</f>
        <v>Road Vehicle</v>
      </c>
      <c r="G791" s="49">
        <v>4</v>
      </c>
      <c r="H791" s="39" t="str">
        <f>VLOOKUP(G791,[3]Key!$A$2:$B$14,2,FALSE)</f>
        <v>Minibus</v>
      </c>
      <c r="I791" s="13" t="s">
        <v>109</v>
      </c>
      <c r="J791" s="13">
        <v>3</v>
      </c>
      <c r="K791" s="40" t="str">
        <f>VLOOKUP(J791,[3]Key!$A$24:$B$29,2,FALSE)</f>
        <v>40-49</v>
      </c>
      <c r="L791" s="13" t="s">
        <v>424</v>
      </c>
      <c r="M791" s="23" t="s">
        <v>421</v>
      </c>
      <c r="N791" s="13" t="s">
        <v>152</v>
      </c>
      <c r="O791" s="46">
        <v>1</v>
      </c>
      <c r="P791" s="30" t="str">
        <f>VLOOKUP(O791,[3]Key!$E$2:$F$9,2,FALSE)</f>
        <v>Home</v>
      </c>
      <c r="Q791" s="13" t="s">
        <v>429</v>
      </c>
      <c r="R791" s="23" t="s">
        <v>430</v>
      </c>
      <c r="S791" s="13" t="s">
        <v>152</v>
      </c>
      <c r="T791" s="23">
        <v>2</v>
      </c>
      <c r="U791" s="30" t="str">
        <f>VLOOKUP(T791,[3]Key!$E$2:$F$9,2,FALSE)</f>
        <v>Work</v>
      </c>
      <c r="V791" s="30" t="str">
        <f t="shared" si="48"/>
        <v>Home-Work</v>
      </c>
      <c r="W791" s="51">
        <v>120000</v>
      </c>
      <c r="X791" s="50">
        <v>52</v>
      </c>
      <c r="Y791" s="50" t="str">
        <f t="shared" si="49"/>
        <v>40-70</v>
      </c>
      <c r="Z791" s="50">
        <v>3</v>
      </c>
      <c r="AA791" s="50" t="str">
        <f t="shared" si="50"/>
        <v>2.0-3.5</v>
      </c>
      <c r="AB791" s="23">
        <v>2</v>
      </c>
      <c r="AC791" s="30" t="s">
        <v>125</v>
      </c>
      <c r="AD791" s="23">
        <v>1</v>
      </c>
      <c r="AE791" s="30" t="str">
        <f>VLOOKUP(AD791,[3]Key!$E$20:$F$24,2,FALSE)</f>
        <v>&lt;300,000</v>
      </c>
      <c r="AF791" s="23">
        <v>5</v>
      </c>
      <c r="AG791" s="50">
        <v>1</v>
      </c>
      <c r="AH791" s="50">
        <v>1</v>
      </c>
      <c r="AI791" s="50">
        <v>1</v>
      </c>
      <c r="AJ791" s="50">
        <v>1</v>
      </c>
      <c r="AK791" s="46" t="s">
        <v>94</v>
      </c>
      <c r="AL791" s="36">
        <v>7500</v>
      </c>
      <c r="AM791" t="str">
        <f t="shared" si="51"/>
        <v>5000-10000</v>
      </c>
    </row>
    <row r="792" spans="1:39" x14ac:dyDescent="0.2">
      <c r="A792" s="44" t="s">
        <v>419</v>
      </c>
      <c r="B792" s="48"/>
      <c r="C792" s="48"/>
      <c r="D792" s="48" t="s">
        <v>97</v>
      </c>
      <c r="E792" s="13">
        <v>2</v>
      </c>
      <c r="F792" s="38" t="s">
        <v>102</v>
      </c>
      <c r="G792" s="49">
        <v>4</v>
      </c>
      <c r="H792" s="39" t="str">
        <f>VLOOKUP(G792,[3]Key!$A$2:$B$14,2,FALSE)</f>
        <v>Minibus</v>
      </c>
      <c r="I792" s="13" t="s">
        <v>109</v>
      </c>
      <c r="J792" s="13">
        <v>3</v>
      </c>
      <c r="K792" s="40" t="str">
        <f>VLOOKUP(J792,[3]Key!$A$24:$B$29,2,FALSE)</f>
        <v>40-49</v>
      </c>
      <c r="L792" s="13" t="s">
        <v>424</v>
      </c>
      <c r="M792" s="23" t="s">
        <v>421</v>
      </c>
      <c r="N792" s="13" t="s">
        <v>152</v>
      </c>
      <c r="O792" s="46">
        <v>1</v>
      </c>
      <c r="P792" s="30" t="str">
        <f>VLOOKUP(O792,[3]Key!$E$2:$F$9,2,FALSE)</f>
        <v>Home</v>
      </c>
      <c r="Q792" s="13" t="s">
        <v>429</v>
      </c>
      <c r="R792" s="23" t="s">
        <v>430</v>
      </c>
      <c r="S792" s="13" t="s">
        <v>152</v>
      </c>
      <c r="T792" s="23">
        <v>2</v>
      </c>
      <c r="U792" s="30" t="str">
        <f>VLOOKUP(T792,[3]Key!$E$2:$F$9,2,FALSE)</f>
        <v>Work</v>
      </c>
      <c r="V792" s="30" t="str">
        <f t="shared" si="48"/>
        <v>Home-Work</v>
      </c>
      <c r="W792" s="51">
        <v>100000</v>
      </c>
      <c r="X792" s="50">
        <v>80</v>
      </c>
      <c r="Y792" s="50" t="str">
        <f t="shared" si="49"/>
        <v>70-100</v>
      </c>
      <c r="Z792" s="50">
        <v>4</v>
      </c>
      <c r="AA792" s="50" t="str">
        <f t="shared" si="50"/>
        <v>Over 3.5</v>
      </c>
      <c r="AB792" s="23">
        <v>5</v>
      </c>
      <c r="AC792" s="30" t="str">
        <f>VLOOKUP(AB792,[3]Key!$C$20:$D$29,2,FALSE)</f>
        <v>Professional</v>
      </c>
      <c r="AD792" s="23">
        <v>4</v>
      </c>
      <c r="AE792" s="30" t="str">
        <f>VLOOKUP(AD792,[3]Key!$E$20:$F$24,2,FALSE)</f>
        <v>750,000-1,000,000</v>
      </c>
      <c r="AF792" s="23">
        <v>5</v>
      </c>
      <c r="AG792" s="50">
        <v>2</v>
      </c>
      <c r="AH792" s="50">
        <v>1</v>
      </c>
      <c r="AI792" s="50">
        <v>1</v>
      </c>
      <c r="AJ792" s="50">
        <v>1</v>
      </c>
      <c r="AK792" s="46" t="s">
        <v>94</v>
      </c>
      <c r="AL792" s="36">
        <v>0</v>
      </c>
      <c r="AM792" t="str">
        <f t="shared" si="51"/>
        <v>0-1000</v>
      </c>
    </row>
    <row r="793" spans="1:39" x14ac:dyDescent="0.2">
      <c r="A793" s="44" t="s">
        <v>419</v>
      </c>
      <c r="B793" s="48"/>
      <c r="C793" s="48"/>
      <c r="D793" s="48" t="s">
        <v>97</v>
      </c>
      <c r="E793" s="13">
        <v>2</v>
      </c>
      <c r="F793" s="38" t="str">
        <f>VLOOKUP(E793,[3]Key!$A$17:$B$21,2,FALSE)</f>
        <v>Road Vehicle</v>
      </c>
      <c r="G793" s="49">
        <v>4</v>
      </c>
      <c r="H793" s="39" t="str">
        <f>VLOOKUP(G793,[3]Key!$A$2:$B$14,2,FALSE)</f>
        <v>Minibus</v>
      </c>
      <c r="I793" s="13" t="s">
        <v>109</v>
      </c>
      <c r="J793" s="13">
        <v>3</v>
      </c>
      <c r="K793" s="40" t="str">
        <f>VLOOKUP(J793,[3]Key!$A$24:$B$29,2,FALSE)</f>
        <v>40-49</v>
      </c>
      <c r="L793" s="13" t="s">
        <v>424</v>
      </c>
      <c r="M793" s="23" t="s">
        <v>421</v>
      </c>
      <c r="N793" s="13" t="s">
        <v>152</v>
      </c>
      <c r="O793" s="46">
        <v>1</v>
      </c>
      <c r="P793" s="30" t="str">
        <f>VLOOKUP(O793,[3]Key!$E$2:$F$9,2,FALSE)</f>
        <v>Home</v>
      </c>
      <c r="Q793" s="13" t="s">
        <v>434</v>
      </c>
      <c r="R793" s="23" t="s">
        <v>153</v>
      </c>
      <c r="S793" s="13" t="s">
        <v>152</v>
      </c>
      <c r="T793" s="23">
        <v>2</v>
      </c>
      <c r="U793" s="30" t="str">
        <f>VLOOKUP(T793,[3]Key!$E$2:$F$9,2,FALSE)</f>
        <v>Work</v>
      </c>
      <c r="V793" s="30" t="str">
        <f t="shared" si="48"/>
        <v>Home-Work</v>
      </c>
      <c r="W793" s="51">
        <v>130000</v>
      </c>
      <c r="X793" s="50">
        <v>260</v>
      </c>
      <c r="Y793" s="50" t="str">
        <f t="shared" si="49"/>
        <v>Over 200</v>
      </c>
      <c r="Z793" s="50">
        <v>3.5</v>
      </c>
      <c r="AA793" s="50" t="str">
        <f t="shared" si="50"/>
        <v>Over 3.5</v>
      </c>
      <c r="AB793" s="23">
        <v>2</v>
      </c>
      <c r="AC793" s="30" t="str">
        <f>VLOOKUP(AB793,[3]Key!$C$20:$D$29,2,FALSE)</f>
        <v>Manual Labour</v>
      </c>
      <c r="AD793" s="23">
        <v>1</v>
      </c>
      <c r="AE793" s="30" t="str">
        <f>VLOOKUP(AD793,[3]Key!$E$20:$F$24,2,FALSE)</f>
        <v>&lt;300,000</v>
      </c>
      <c r="AF793" s="23">
        <v>5</v>
      </c>
      <c r="AG793" s="50">
        <v>5</v>
      </c>
      <c r="AH793" s="50">
        <v>3</v>
      </c>
      <c r="AI793" s="50">
        <v>3</v>
      </c>
      <c r="AJ793" s="50">
        <v>4</v>
      </c>
      <c r="AK793" s="46" t="s">
        <v>94</v>
      </c>
      <c r="AL793" s="36">
        <v>3000</v>
      </c>
      <c r="AM793" t="str">
        <f t="shared" si="51"/>
        <v>3000-5000</v>
      </c>
    </row>
    <row r="794" spans="1:39" x14ac:dyDescent="0.2">
      <c r="A794" s="44" t="s">
        <v>419</v>
      </c>
      <c r="B794" s="48"/>
      <c r="C794" s="48"/>
      <c r="D794" s="48" t="s">
        <v>97</v>
      </c>
      <c r="E794" s="13">
        <v>2</v>
      </c>
      <c r="F794" s="38" t="str">
        <f>VLOOKUP(E794,[3]Key!$A$17:$B$21,2,FALSE)</f>
        <v>Road Vehicle</v>
      </c>
      <c r="G794" s="49">
        <v>4</v>
      </c>
      <c r="H794" s="39" t="str">
        <f>VLOOKUP(G794,[3]Key!$A$2:$B$14,2,FALSE)</f>
        <v>Minibus</v>
      </c>
      <c r="I794" s="13" t="s">
        <v>109</v>
      </c>
      <c r="J794" s="13">
        <v>3</v>
      </c>
      <c r="K794" s="40" t="str">
        <f>VLOOKUP(J794,[3]Key!$A$24:$B$29,2,FALSE)</f>
        <v>40-49</v>
      </c>
      <c r="L794" s="13" t="s">
        <v>424</v>
      </c>
      <c r="M794" s="23" t="s">
        <v>421</v>
      </c>
      <c r="N794" s="13" t="s">
        <v>152</v>
      </c>
      <c r="O794" s="46">
        <v>1</v>
      </c>
      <c r="P794" s="30" t="str">
        <f>VLOOKUP(O794,[3]Key!$E$2:$F$9,2,FALSE)</f>
        <v>Home</v>
      </c>
      <c r="Q794" s="13" t="s">
        <v>431</v>
      </c>
      <c r="R794" s="23" t="s">
        <v>432</v>
      </c>
      <c r="S794" s="13" t="s">
        <v>152</v>
      </c>
      <c r="T794" s="23">
        <v>2</v>
      </c>
      <c r="U794" s="30" t="str">
        <f>VLOOKUP(T794,[3]Key!$E$2:$F$9,2,FALSE)</f>
        <v>Work</v>
      </c>
      <c r="V794" s="30" t="str">
        <f t="shared" si="48"/>
        <v>Home-Work</v>
      </c>
      <c r="W794" s="51">
        <v>200000</v>
      </c>
      <c r="X794" s="50">
        <v>300</v>
      </c>
      <c r="Y794" s="50" t="str">
        <f t="shared" si="49"/>
        <v>Over 200</v>
      </c>
      <c r="Z794" s="50">
        <v>1</v>
      </c>
      <c r="AA794" s="50" t="str">
        <f t="shared" si="50"/>
        <v>1.0-2.0</v>
      </c>
      <c r="AB794" s="23">
        <v>2</v>
      </c>
      <c r="AC794" s="30" t="str">
        <f>VLOOKUP(AB794,[3]Key!$C$20:$D$29,2,FALSE)</f>
        <v>Manual Labour</v>
      </c>
      <c r="AD794" s="23">
        <v>2</v>
      </c>
      <c r="AE794" s="30" t="str">
        <f>VLOOKUP(AD794,[3]Key!$E$20:$F$24,2,FALSE)</f>
        <v>300,000-500,000</v>
      </c>
      <c r="AF794" s="23">
        <v>5</v>
      </c>
      <c r="AG794" s="50">
        <v>2</v>
      </c>
      <c r="AH794" s="50">
        <v>1</v>
      </c>
      <c r="AI794" s="50">
        <v>1</v>
      </c>
      <c r="AJ794" s="50">
        <v>1</v>
      </c>
      <c r="AK794" s="46" t="s">
        <v>94</v>
      </c>
      <c r="AL794" s="36">
        <v>5000</v>
      </c>
      <c r="AM794" t="str">
        <f t="shared" si="51"/>
        <v>5000-10000</v>
      </c>
    </row>
    <row r="795" spans="1:39" x14ac:dyDescent="0.2">
      <c r="A795" s="44" t="s">
        <v>419</v>
      </c>
      <c r="B795" s="48"/>
      <c r="C795" s="48"/>
      <c r="D795" s="48" t="s">
        <v>97</v>
      </c>
      <c r="E795" s="13">
        <v>2</v>
      </c>
      <c r="F795" s="38" t="str">
        <f>VLOOKUP(E795,[3]Key!$A$17:$B$21,2,FALSE)</f>
        <v>Road Vehicle</v>
      </c>
      <c r="G795" s="49">
        <v>4</v>
      </c>
      <c r="H795" s="39" t="str">
        <f>VLOOKUP(G795,[3]Key!$A$2:$B$14,2,FALSE)</f>
        <v>Minibus</v>
      </c>
      <c r="I795" s="13" t="s">
        <v>109</v>
      </c>
      <c r="J795" s="13">
        <v>3</v>
      </c>
      <c r="K795" s="40" t="str">
        <f>VLOOKUP(J795,[3]Key!$A$24:$B$29,2,FALSE)</f>
        <v>40-49</v>
      </c>
      <c r="L795" s="13" t="s">
        <v>424</v>
      </c>
      <c r="M795" s="23" t="s">
        <v>421</v>
      </c>
      <c r="N795" s="13" t="s">
        <v>152</v>
      </c>
      <c r="O795" s="46">
        <v>1</v>
      </c>
      <c r="P795" s="30" t="str">
        <f>VLOOKUP(O795,[3]Key!$E$2:$F$9,2,FALSE)</f>
        <v>Home</v>
      </c>
      <c r="Q795" s="13" t="s">
        <v>510</v>
      </c>
      <c r="R795" s="23" t="s">
        <v>511</v>
      </c>
      <c r="S795" s="13" t="s">
        <v>152</v>
      </c>
      <c r="T795" s="23">
        <v>2</v>
      </c>
      <c r="U795" s="30" t="str">
        <f>VLOOKUP(T795,[3]Key!$E$2:$F$9,2,FALSE)</f>
        <v>Work</v>
      </c>
      <c r="V795" s="30" t="str">
        <f t="shared" si="48"/>
        <v>Home-Work</v>
      </c>
      <c r="W795" s="51">
        <v>220000</v>
      </c>
      <c r="X795" s="50">
        <v>207</v>
      </c>
      <c r="Y795" s="50" t="str">
        <f t="shared" si="49"/>
        <v>Over 200</v>
      </c>
      <c r="Z795" s="50">
        <v>4</v>
      </c>
      <c r="AA795" s="50" t="str">
        <f t="shared" si="50"/>
        <v>Over 3.5</v>
      </c>
      <c r="AB795" s="23">
        <v>5</v>
      </c>
      <c r="AC795" s="30" t="str">
        <f>VLOOKUP(AB795,[3]Key!$C$20:$D$29,2,FALSE)</f>
        <v>Professional</v>
      </c>
      <c r="AD795" s="23">
        <v>4</v>
      </c>
      <c r="AE795" s="30" t="str">
        <f>VLOOKUP(AD795,[3]Key!$E$20:$F$24,2,FALSE)</f>
        <v>750,000-1,000,000</v>
      </c>
      <c r="AF795" s="23">
        <v>5</v>
      </c>
      <c r="AG795" s="50">
        <v>2</v>
      </c>
      <c r="AH795" s="50">
        <v>1</v>
      </c>
      <c r="AI795" s="50">
        <v>1</v>
      </c>
      <c r="AJ795" s="50">
        <v>1</v>
      </c>
      <c r="AK795" s="46" t="s">
        <v>94</v>
      </c>
      <c r="AL795" s="36">
        <v>3000</v>
      </c>
      <c r="AM795" t="str">
        <f t="shared" si="51"/>
        <v>3000-5000</v>
      </c>
    </row>
    <row r="796" spans="1:39" x14ac:dyDescent="0.2">
      <c r="A796" s="44" t="s">
        <v>419</v>
      </c>
      <c r="B796" s="48"/>
      <c r="C796" s="48"/>
      <c r="D796" s="48" t="s">
        <v>150</v>
      </c>
      <c r="E796" s="13">
        <v>2</v>
      </c>
      <c r="F796" s="38" t="str">
        <f>VLOOKUP(E796,[3]Key!$A$17:$B$21,2,FALSE)</f>
        <v>Road Vehicle</v>
      </c>
      <c r="G796" s="49">
        <v>4</v>
      </c>
      <c r="H796" s="39" t="str">
        <f>VLOOKUP(G796,[3]Key!$A$2:$B$14,2,FALSE)</f>
        <v>Minibus</v>
      </c>
      <c r="I796" s="13" t="s">
        <v>109</v>
      </c>
      <c r="J796" s="13">
        <v>3</v>
      </c>
      <c r="K796" s="40" t="str">
        <f>VLOOKUP(J796,[3]Key!$A$24:$B$29,2,FALSE)</f>
        <v>40-49</v>
      </c>
      <c r="L796" s="13" t="s">
        <v>424</v>
      </c>
      <c r="M796" s="23" t="s">
        <v>421</v>
      </c>
      <c r="N796" s="13" t="s">
        <v>152</v>
      </c>
      <c r="O796" s="46">
        <v>1</v>
      </c>
      <c r="P796" s="30" t="str">
        <f>VLOOKUP(O796,[3]Key!$E$2:$F$9,2,FALSE)</f>
        <v>Home</v>
      </c>
      <c r="Q796" s="13" t="s">
        <v>534</v>
      </c>
      <c r="R796" s="23" t="s">
        <v>430</v>
      </c>
      <c r="S796" s="13" t="s">
        <v>152</v>
      </c>
      <c r="T796" s="23">
        <v>2</v>
      </c>
      <c r="U796" s="30" t="str">
        <f>VLOOKUP(T796,[3]Key!$E$2:$F$9,2,FALSE)</f>
        <v>Work</v>
      </c>
      <c r="V796" s="30" t="str">
        <f t="shared" si="48"/>
        <v>Home-Work</v>
      </c>
      <c r="W796" s="51">
        <v>10000</v>
      </c>
      <c r="X796" s="50">
        <v>45</v>
      </c>
      <c r="Y796" s="50" t="str">
        <f t="shared" si="49"/>
        <v>40-70</v>
      </c>
      <c r="Z796" s="50">
        <v>3</v>
      </c>
      <c r="AA796" s="50" t="str">
        <f t="shared" si="50"/>
        <v>2.0-3.5</v>
      </c>
      <c r="AB796" s="23">
        <v>2</v>
      </c>
      <c r="AC796" s="30" t="str">
        <f>VLOOKUP(AB796,[3]Key!$C$20:$D$29,2,FALSE)</f>
        <v>Manual Labour</v>
      </c>
      <c r="AD796" s="23">
        <v>1</v>
      </c>
      <c r="AE796" s="30" t="str">
        <f>VLOOKUP(AD796,[3]Key!$E$20:$F$24,2,FALSE)</f>
        <v>&lt;300,000</v>
      </c>
      <c r="AF796" s="23">
        <v>2</v>
      </c>
      <c r="AG796" s="50">
        <v>2</v>
      </c>
      <c r="AH796" s="50">
        <v>1</v>
      </c>
      <c r="AI796" s="50">
        <v>1</v>
      </c>
      <c r="AJ796" s="50">
        <v>1</v>
      </c>
      <c r="AK796" s="46" t="s">
        <v>94</v>
      </c>
      <c r="AL796" s="36">
        <v>5000</v>
      </c>
      <c r="AM796" t="str">
        <f t="shared" si="51"/>
        <v>5000-10000</v>
      </c>
    </row>
    <row r="797" spans="1:39" x14ac:dyDescent="0.2">
      <c r="A797" s="44" t="s">
        <v>423</v>
      </c>
      <c r="B797" s="48">
        <v>0.35902777777777778</v>
      </c>
      <c r="C797" s="48"/>
      <c r="D797" s="48" t="s">
        <v>150</v>
      </c>
      <c r="E797" s="13">
        <v>2</v>
      </c>
      <c r="F797" s="38" t="str">
        <f>VLOOKUP(E797,[3]Key!$A$17:$B$21,2,FALSE)</f>
        <v>Road Vehicle</v>
      </c>
      <c r="G797" s="49">
        <v>4</v>
      </c>
      <c r="H797" s="39" t="str">
        <f>VLOOKUP(G797,[3]Key!$A$2:$B$14,2,FALSE)</f>
        <v>Minibus</v>
      </c>
      <c r="I797" s="13" t="s">
        <v>109</v>
      </c>
      <c r="J797" s="13">
        <v>3</v>
      </c>
      <c r="K797" s="40" t="str">
        <f>VLOOKUP(J797,[3]Key!$A$24:$B$29,2,FALSE)</f>
        <v>40-49</v>
      </c>
      <c r="L797" s="13" t="s">
        <v>424</v>
      </c>
      <c r="M797" s="23" t="s">
        <v>421</v>
      </c>
      <c r="N797" s="13" t="s">
        <v>152</v>
      </c>
      <c r="O797" s="46">
        <v>4</v>
      </c>
      <c r="P797" s="30" t="str">
        <f>VLOOKUP(O797,[3]Key!$E$2:$F$9,2,FALSE)</f>
        <v>Commercial</v>
      </c>
      <c r="Q797" s="13" t="s">
        <v>535</v>
      </c>
      <c r="R797" s="23" t="s">
        <v>158</v>
      </c>
      <c r="S797" s="13" t="s">
        <v>152</v>
      </c>
      <c r="T797" s="23">
        <v>4</v>
      </c>
      <c r="U797" s="30" t="str">
        <f>VLOOKUP(T797,[3]Key!$E$2:$F$9,2,FALSE)</f>
        <v>Commercial</v>
      </c>
      <c r="V797" s="30" t="str">
        <f t="shared" si="48"/>
        <v>Commercial-Commercial</v>
      </c>
      <c r="W797" s="51">
        <v>15000</v>
      </c>
      <c r="X797" s="50">
        <v>100</v>
      </c>
      <c r="Y797" s="50" t="str">
        <f t="shared" si="49"/>
        <v>100-200</v>
      </c>
      <c r="Z797" s="50">
        <v>4</v>
      </c>
      <c r="AA797" s="50" t="str">
        <f t="shared" si="50"/>
        <v>Over 3.5</v>
      </c>
      <c r="AB797" s="23">
        <v>10</v>
      </c>
      <c r="AC797" s="30" t="str">
        <f>VLOOKUP(AB797,[3]Key!$C$20:$D$29,2,FALSE)</f>
        <v>Other</v>
      </c>
      <c r="AD797" s="23">
        <v>1</v>
      </c>
      <c r="AE797" s="30" t="str">
        <f>VLOOKUP(AD797,[3]Key!$E$20:$F$24,2,FALSE)</f>
        <v>&lt;300,000</v>
      </c>
      <c r="AF797" s="23">
        <v>3</v>
      </c>
      <c r="AG797" s="50">
        <v>4</v>
      </c>
      <c r="AH797" s="50">
        <v>3</v>
      </c>
      <c r="AI797" s="50">
        <v>2</v>
      </c>
      <c r="AJ797" s="50">
        <v>4</v>
      </c>
      <c r="AK797" s="46" t="s">
        <v>94</v>
      </c>
      <c r="AL797" s="36">
        <v>4000</v>
      </c>
      <c r="AM797" t="str">
        <f t="shared" si="51"/>
        <v>3000-5000</v>
      </c>
    </row>
    <row r="798" spans="1:39" x14ac:dyDescent="0.2">
      <c r="A798" s="44" t="s">
        <v>423</v>
      </c>
      <c r="B798" s="48">
        <v>0.30833333333333335</v>
      </c>
      <c r="C798" s="48"/>
      <c r="D798" s="48" t="s">
        <v>97</v>
      </c>
      <c r="E798" s="13">
        <v>2</v>
      </c>
      <c r="F798" s="38" t="str">
        <f>VLOOKUP(E798,[3]Key!$A$17:$B$21,2,FALSE)</f>
        <v>Road Vehicle</v>
      </c>
      <c r="G798" s="49">
        <v>4</v>
      </c>
      <c r="H798" s="39" t="str">
        <f>VLOOKUP(G798,[3]Key!$A$2:$B$14,2,FALSE)</f>
        <v>Minibus</v>
      </c>
      <c r="I798" s="13" t="s">
        <v>109</v>
      </c>
      <c r="J798" s="13">
        <v>3</v>
      </c>
      <c r="K798" s="40" t="str">
        <f>VLOOKUP(J798,[3]Key!$A$24:$B$29,2,FALSE)</f>
        <v>40-49</v>
      </c>
      <c r="L798" s="13" t="s">
        <v>496</v>
      </c>
      <c r="M798" s="23" t="s">
        <v>421</v>
      </c>
      <c r="N798" s="13" t="s">
        <v>152</v>
      </c>
      <c r="O798" s="46">
        <v>1</v>
      </c>
      <c r="P798" s="30" t="str">
        <f>VLOOKUP(O798,[3]Key!$E$2:$F$9,2,FALSE)</f>
        <v>Home</v>
      </c>
      <c r="Q798" s="13" t="s">
        <v>467</v>
      </c>
      <c r="R798" s="23" t="s">
        <v>468</v>
      </c>
      <c r="S798" s="13" t="s">
        <v>152</v>
      </c>
      <c r="T798" s="23">
        <v>2</v>
      </c>
      <c r="U798" s="30" t="str">
        <f>VLOOKUP(T798,[3]Key!$E$2:$F$9,2,FALSE)</f>
        <v>Work</v>
      </c>
      <c r="V798" s="30" t="str">
        <f t="shared" si="48"/>
        <v>Home-Work</v>
      </c>
      <c r="W798" s="51">
        <v>150000</v>
      </c>
      <c r="X798" s="50">
        <v>75</v>
      </c>
      <c r="Y798" s="50" t="str">
        <f t="shared" si="49"/>
        <v>70-100</v>
      </c>
      <c r="Z798" s="50">
        <v>3</v>
      </c>
      <c r="AA798" s="50" t="str">
        <f t="shared" si="50"/>
        <v>2.0-3.5</v>
      </c>
      <c r="AB798" s="23">
        <v>10</v>
      </c>
      <c r="AC798" s="30" t="str">
        <f>VLOOKUP(AB798,[3]Key!$C$20:$D$29,2,FALSE)</f>
        <v>Other</v>
      </c>
      <c r="AD798" s="23">
        <v>1</v>
      </c>
      <c r="AE798" s="30" t="str">
        <f>VLOOKUP(AD798,[3]Key!$E$20:$F$24,2,FALSE)</f>
        <v>&lt;300,000</v>
      </c>
      <c r="AF798" s="23">
        <v>2</v>
      </c>
      <c r="AG798" s="50">
        <v>1</v>
      </c>
      <c r="AH798" s="50">
        <v>3</v>
      </c>
      <c r="AI798" s="50">
        <v>4</v>
      </c>
      <c r="AJ798" s="50">
        <v>3</v>
      </c>
      <c r="AK798" s="46" t="s">
        <v>94</v>
      </c>
      <c r="AL798" s="36">
        <v>1000</v>
      </c>
      <c r="AM798" t="str">
        <f t="shared" si="51"/>
        <v>1000-2000</v>
      </c>
    </row>
    <row r="799" spans="1:39" x14ac:dyDescent="0.2">
      <c r="A799" s="44" t="s">
        <v>423</v>
      </c>
      <c r="B799" s="48"/>
      <c r="C799" s="48"/>
      <c r="D799" s="48" t="s">
        <v>150</v>
      </c>
      <c r="E799" s="13">
        <v>2</v>
      </c>
      <c r="F799" s="38" t="str">
        <f>VLOOKUP(E799,[3]Key!$A$17:$B$21,2,FALSE)</f>
        <v>Road Vehicle</v>
      </c>
      <c r="G799" s="49">
        <v>4</v>
      </c>
      <c r="H799" s="39" t="str">
        <f>VLOOKUP(G799,[3]Key!$A$2:$B$14,2,FALSE)</f>
        <v>Minibus</v>
      </c>
      <c r="I799" s="13" t="s">
        <v>109</v>
      </c>
      <c r="J799" s="13">
        <v>3</v>
      </c>
      <c r="K799" s="40" t="str">
        <f>VLOOKUP(J799,[3]Key!$A$24:$B$29,2,FALSE)</f>
        <v>40-49</v>
      </c>
      <c r="L799" s="13" t="s">
        <v>424</v>
      </c>
      <c r="M799" s="23" t="s">
        <v>421</v>
      </c>
      <c r="N799" s="13" t="s">
        <v>152</v>
      </c>
      <c r="O799" s="46">
        <v>1</v>
      </c>
      <c r="P799" s="30" t="str">
        <f>VLOOKUP(O799,[3]Key!$E$2:$F$9,2,FALSE)</f>
        <v>Home</v>
      </c>
      <c r="Q799" s="13" t="s">
        <v>501</v>
      </c>
      <c r="R799" s="23" t="s">
        <v>488</v>
      </c>
      <c r="S799" s="13" t="s">
        <v>152</v>
      </c>
      <c r="T799" s="23">
        <v>6</v>
      </c>
      <c r="U799" s="30" t="str">
        <f>VLOOKUP(T799,[3]Key!$E$2:$F$9,2,FALSE)</f>
        <v>Leisure/Social</v>
      </c>
      <c r="V799" s="30" t="str">
        <f t="shared" si="48"/>
        <v>Home-Leisure/Social</v>
      </c>
      <c r="W799" s="51">
        <v>5000</v>
      </c>
      <c r="X799" s="50">
        <v>40</v>
      </c>
      <c r="Y799" s="50" t="str">
        <f t="shared" si="49"/>
        <v>40-70</v>
      </c>
      <c r="Z799" s="50">
        <v>1.5</v>
      </c>
      <c r="AA799" s="50" t="str">
        <f t="shared" si="50"/>
        <v>1.0-2.0</v>
      </c>
      <c r="AB799" s="23">
        <v>6</v>
      </c>
      <c r="AC799" s="30" t="str">
        <f>VLOOKUP(AB799,[3]Key!$C$20:$D$29,2,FALSE)</f>
        <v>Businessman</v>
      </c>
      <c r="AD799" s="23">
        <v>2</v>
      </c>
      <c r="AE799" s="30" t="str">
        <f>VLOOKUP(AD799,[3]Key!$E$20:$F$24,2,FALSE)</f>
        <v>300,000-500,000</v>
      </c>
      <c r="AF799" s="23">
        <v>5</v>
      </c>
      <c r="AG799" s="50">
        <v>2</v>
      </c>
      <c r="AH799" s="50">
        <v>2</v>
      </c>
      <c r="AI799" s="50">
        <v>2</v>
      </c>
      <c r="AJ799" s="50">
        <v>2</v>
      </c>
      <c r="AK799" s="46" t="s">
        <v>94</v>
      </c>
      <c r="AL799" s="36">
        <v>0</v>
      </c>
      <c r="AM799" t="str">
        <f t="shared" si="51"/>
        <v>0-1000</v>
      </c>
    </row>
    <row r="800" spans="1:39" x14ac:dyDescent="0.2">
      <c r="A800" s="44" t="s">
        <v>433</v>
      </c>
      <c r="B800" s="48">
        <v>0.78819444444444453</v>
      </c>
      <c r="C800" s="48"/>
      <c r="D800" s="48" t="s">
        <v>150</v>
      </c>
      <c r="E800" s="13">
        <v>1</v>
      </c>
      <c r="F800" s="38" t="str">
        <f>VLOOKUP(E800,[3]Key!$A$17:$B$21,2,FALSE)</f>
        <v>Walking/Cycling</v>
      </c>
      <c r="G800" s="49">
        <v>13</v>
      </c>
      <c r="H800" s="39" t="str">
        <f>VLOOKUP(G800,[3]Key!$A$2:$B$14,2,FALSE)</f>
        <v>Bicycle</v>
      </c>
      <c r="I800" s="13" t="s">
        <v>109</v>
      </c>
      <c r="J800" s="13">
        <v>4</v>
      </c>
      <c r="K800" s="40" t="str">
        <f>VLOOKUP(J800,[3]Key!$A$24:$B$29,2,FALSE)</f>
        <v>50-59</v>
      </c>
      <c r="L800" s="13" t="s">
        <v>519</v>
      </c>
      <c r="M800" s="23" t="s">
        <v>421</v>
      </c>
      <c r="N800" s="13" t="s">
        <v>152</v>
      </c>
      <c r="O800" s="46">
        <v>2</v>
      </c>
      <c r="P800" s="30" t="str">
        <f>VLOOKUP(O800,[3]Key!$E$2:$F$9,2,FALSE)</f>
        <v>Work</v>
      </c>
      <c r="Q800" s="13" t="s">
        <v>497</v>
      </c>
      <c r="R800" s="23" t="s">
        <v>421</v>
      </c>
      <c r="S800" s="13" t="s">
        <v>152</v>
      </c>
      <c r="T800" s="23">
        <v>1</v>
      </c>
      <c r="U800" s="30" t="str">
        <f>VLOOKUP(T800,[3]Key!$E$2:$F$9,2,FALSE)</f>
        <v>Home</v>
      </c>
      <c r="V800" s="30" t="str">
        <f t="shared" si="48"/>
        <v>Work-Home</v>
      </c>
      <c r="W800" s="51">
        <v>1000</v>
      </c>
      <c r="X800" s="50">
        <v>1</v>
      </c>
      <c r="Y800" s="50" t="str">
        <f t="shared" si="49"/>
        <v>0-10</v>
      </c>
      <c r="Z800" s="50">
        <v>0.05</v>
      </c>
      <c r="AA800" s="50" t="str">
        <f t="shared" si="50"/>
        <v>0-0.5</v>
      </c>
      <c r="AB800" s="23">
        <v>7</v>
      </c>
      <c r="AC800" s="30" t="str">
        <f>VLOOKUP(AB800,[3]Key!$C$20:$D$29,2,FALSE)</f>
        <v>Farmer</v>
      </c>
      <c r="AD800" s="23">
        <v>1</v>
      </c>
      <c r="AE800" s="30" t="str">
        <f>VLOOKUP(AD800,[3]Key!$E$20:$F$24,2,FALSE)</f>
        <v>&lt;300,000</v>
      </c>
      <c r="AF800" s="23">
        <v>5</v>
      </c>
      <c r="AG800" s="50">
        <v>4</v>
      </c>
      <c r="AH800" s="50">
        <v>3</v>
      </c>
      <c r="AI800" s="50">
        <v>2</v>
      </c>
      <c r="AJ800" s="50">
        <v>1</v>
      </c>
      <c r="AK800" s="46" t="s">
        <v>94</v>
      </c>
      <c r="AL800" s="36">
        <v>3000</v>
      </c>
      <c r="AM800" t="str">
        <f t="shared" si="51"/>
        <v>3000-5000</v>
      </c>
    </row>
    <row r="801" spans="1:46" x14ac:dyDescent="0.2">
      <c r="A801" s="44" t="s">
        <v>433</v>
      </c>
      <c r="B801" s="48"/>
      <c r="C801" s="48"/>
      <c r="D801" s="48" t="s">
        <v>97</v>
      </c>
      <c r="E801" s="13">
        <v>2</v>
      </c>
      <c r="F801" s="38" t="str">
        <f>VLOOKUP(E801,[3]Key!$A$17:$B$21,2,FALSE)</f>
        <v>Road Vehicle</v>
      </c>
      <c r="G801" s="49">
        <v>1</v>
      </c>
      <c r="H801" s="39" t="str">
        <f>VLOOKUP(G801,[3]Key!$A$2:$B$14,2,FALSE)</f>
        <v>Car</v>
      </c>
      <c r="I801" s="13" t="s">
        <v>109</v>
      </c>
      <c r="J801" s="13">
        <v>4</v>
      </c>
      <c r="K801" s="40" t="str">
        <f>VLOOKUP(J801,[3]Key!$A$24:$B$29,2,FALSE)</f>
        <v>50-59</v>
      </c>
      <c r="L801" s="13" t="s">
        <v>424</v>
      </c>
      <c r="M801" s="23" t="s">
        <v>421</v>
      </c>
      <c r="N801" s="13" t="s">
        <v>152</v>
      </c>
      <c r="O801" s="46">
        <v>1</v>
      </c>
      <c r="P801" s="30" t="str">
        <f>VLOOKUP(O801,[3]Key!$E$2:$F$9,2,FALSE)</f>
        <v>Home</v>
      </c>
      <c r="Q801" s="13" t="s">
        <v>425</v>
      </c>
      <c r="R801" s="23" t="s">
        <v>426</v>
      </c>
      <c r="S801" s="13" t="s">
        <v>152</v>
      </c>
      <c r="T801" s="23">
        <v>2</v>
      </c>
      <c r="U801" s="30" t="str">
        <f>VLOOKUP(T801,[3]Key!$E$2:$F$9,2,FALSE)</f>
        <v>Work</v>
      </c>
      <c r="V801" s="30" t="str">
        <f t="shared" si="48"/>
        <v>Home-Work</v>
      </c>
      <c r="W801" s="51">
        <v>500000</v>
      </c>
      <c r="X801" s="50">
        <v>75</v>
      </c>
      <c r="Y801" s="50" t="str">
        <f t="shared" si="49"/>
        <v>70-100</v>
      </c>
      <c r="Z801" s="50">
        <v>2</v>
      </c>
      <c r="AA801" s="50" t="str">
        <f t="shared" si="50"/>
        <v>2.0-3.5</v>
      </c>
      <c r="AB801" s="23">
        <v>2</v>
      </c>
      <c r="AC801" s="30" t="str">
        <f>VLOOKUP(AB801,[3]Key!$C$20:$D$29,2,FALSE)</f>
        <v>Manual Labour</v>
      </c>
      <c r="AD801" s="23">
        <v>2</v>
      </c>
      <c r="AE801" s="30" t="str">
        <f>VLOOKUP(AD801,[3]Key!$E$20:$F$24,2,FALSE)</f>
        <v>300,000-500,000</v>
      </c>
      <c r="AF801" s="23">
        <v>5</v>
      </c>
      <c r="AG801" s="50">
        <v>5</v>
      </c>
      <c r="AH801" s="50">
        <v>5</v>
      </c>
      <c r="AI801" s="50">
        <v>5</v>
      </c>
      <c r="AJ801" s="50">
        <v>5</v>
      </c>
      <c r="AK801" s="46" t="s">
        <v>94</v>
      </c>
      <c r="AL801" s="36">
        <v>4000</v>
      </c>
      <c r="AM801" t="str">
        <f t="shared" si="51"/>
        <v>3000-5000</v>
      </c>
    </row>
    <row r="802" spans="1:46" x14ac:dyDescent="0.2">
      <c r="A802" s="44" t="s">
        <v>433</v>
      </c>
      <c r="B802" s="48">
        <v>0.7631944444444444</v>
      </c>
      <c r="C802" s="48"/>
      <c r="D802" s="48" t="s">
        <v>97</v>
      </c>
      <c r="E802" s="13">
        <v>2</v>
      </c>
      <c r="F802" s="38" t="str">
        <f>VLOOKUP(E802,[3]Key!$A$17:$B$21,2,FALSE)</f>
        <v>Road Vehicle</v>
      </c>
      <c r="G802" s="49">
        <v>6</v>
      </c>
      <c r="H802" s="39" t="str">
        <f>VLOOKUP(G802,[3]Key!$A$2:$B$14,2,FALSE)</f>
        <v>Large Bus</v>
      </c>
      <c r="I802" s="13" t="s">
        <v>109</v>
      </c>
      <c r="J802" s="13">
        <v>4</v>
      </c>
      <c r="K802" s="40" t="str">
        <f>VLOOKUP(J802,[3]Key!$A$24:$B$29,2,FALSE)</f>
        <v>50-59</v>
      </c>
      <c r="L802" s="13" t="s">
        <v>536</v>
      </c>
      <c r="M802" s="23" t="s">
        <v>455</v>
      </c>
      <c r="N802" s="13" t="s">
        <v>152</v>
      </c>
      <c r="O802" s="46">
        <v>2</v>
      </c>
      <c r="P802" s="30" t="str">
        <f>VLOOKUP(O802,[3]Key!$E$2:$F$9,2,FALSE)</f>
        <v>Work</v>
      </c>
      <c r="Q802" s="13" t="s">
        <v>537</v>
      </c>
      <c r="R802" s="23" t="s">
        <v>168</v>
      </c>
      <c r="S802" s="13" t="s">
        <v>152</v>
      </c>
      <c r="T802" s="23">
        <v>1</v>
      </c>
      <c r="U802" s="30" t="str">
        <f>VLOOKUP(T802,[3]Key!$E$2:$F$9,2,FALSE)</f>
        <v>Home</v>
      </c>
      <c r="V802" s="30" t="str">
        <f t="shared" si="48"/>
        <v>Work-Home</v>
      </c>
      <c r="W802" s="51">
        <v>820000</v>
      </c>
      <c r="X802" s="50">
        <v>400</v>
      </c>
      <c r="Y802" s="50" t="str">
        <f t="shared" si="49"/>
        <v>Over 200</v>
      </c>
      <c r="Z802" s="50">
        <v>5</v>
      </c>
      <c r="AA802" s="50" t="str">
        <f t="shared" si="50"/>
        <v>Over 3.5</v>
      </c>
      <c r="AB802" s="23">
        <v>10</v>
      </c>
      <c r="AC802" s="30" t="str">
        <f>VLOOKUP(AB802,[3]Key!$C$20:$D$29,2,FALSE)</f>
        <v>Other</v>
      </c>
      <c r="AD802" s="23">
        <v>1</v>
      </c>
      <c r="AE802" s="30" t="str">
        <f>VLOOKUP(AD802,[3]Key!$E$20:$F$24,2,FALSE)</f>
        <v>&lt;300,000</v>
      </c>
      <c r="AF802" s="23">
        <v>2</v>
      </c>
      <c r="AG802" s="50">
        <v>4</v>
      </c>
      <c r="AH802" s="50">
        <v>1</v>
      </c>
      <c r="AI802" s="50">
        <v>5</v>
      </c>
      <c r="AJ802" s="50">
        <v>3</v>
      </c>
      <c r="AK802" s="46" t="s">
        <v>94</v>
      </c>
      <c r="AL802" s="36">
        <v>3000</v>
      </c>
      <c r="AM802" t="str">
        <f t="shared" si="51"/>
        <v>3000-5000</v>
      </c>
      <c r="AN802" s="19"/>
      <c r="AO802" s="19"/>
      <c r="AP802" s="19"/>
      <c r="AQ802" s="19"/>
      <c r="AR802" s="19"/>
      <c r="AS802" s="19"/>
      <c r="AT802" s="19"/>
    </row>
    <row r="803" spans="1:46" x14ac:dyDescent="0.2">
      <c r="A803" s="44" t="s">
        <v>433</v>
      </c>
      <c r="B803" s="48">
        <v>0.7597222222222223</v>
      </c>
      <c r="C803" s="48"/>
      <c r="D803" s="48" t="s">
        <v>97</v>
      </c>
      <c r="E803" s="13">
        <v>2</v>
      </c>
      <c r="F803" s="38" t="str">
        <f>VLOOKUP(E803,[3]Key!$A$17:$B$21,2,FALSE)</f>
        <v>Road Vehicle</v>
      </c>
      <c r="G803" s="49">
        <v>6</v>
      </c>
      <c r="H803" s="39" t="str">
        <f>VLOOKUP(G803,[3]Key!$A$2:$B$14,2,FALSE)</f>
        <v>Large Bus</v>
      </c>
      <c r="I803" s="13" t="s">
        <v>109</v>
      </c>
      <c r="J803" s="13">
        <v>4</v>
      </c>
      <c r="K803" s="40" t="str">
        <f>VLOOKUP(J803,[3]Key!$A$24:$B$29,2,FALSE)</f>
        <v>50-59</v>
      </c>
      <c r="L803" s="13" t="s">
        <v>434</v>
      </c>
      <c r="M803" s="23" t="s">
        <v>153</v>
      </c>
      <c r="N803" s="13" t="s">
        <v>152</v>
      </c>
      <c r="O803" s="46">
        <v>4</v>
      </c>
      <c r="P803" s="30" t="str">
        <f>VLOOKUP(O803,[3]Key!$E$2:$F$9,2,FALSE)</f>
        <v>Commercial</v>
      </c>
      <c r="Q803" s="13" t="s">
        <v>424</v>
      </c>
      <c r="R803" s="23" t="s">
        <v>421</v>
      </c>
      <c r="S803" s="13" t="s">
        <v>152</v>
      </c>
      <c r="T803" s="23">
        <v>4</v>
      </c>
      <c r="U803" s="30" t="str">
        <f>VLOOKUP(T803,[3]Key!$E$2:$F$9,2,FALSE)</f>
        <v>Commercial</v>
      </c>
      <c r="V803" s="30" t="str">
        <f t="shared" si="48"/>
        <v>Commercial-Commercial</v>
      </c>
      <c r="W803" s="51">
        <v>520000</v>
      </c>
      <c r="X803" s="50"/>
      <c r="Y803" s="50" t="str">
        <f t="shared" si="49"/>
        <v>0-10</v>
      </c>
      <c r="Z803" s="50">
        <v>5.5</v>
      </c>
      <c r="AA803" s="50" t="str">
        <f t="shared" si="50"/>
        <v>Over 3.5</v>
      </c>
      <c r="AB803" s="23">
        <v>10</v>
      </c>
      <c r="AC803" s="30" t="str">
        <f>VLOOKUP(AB803,[3]Key!$C$20:$D$29,2,FALSE)</f>
        <v>Other</v>
      </c>
      <c r="AD803" s="23">
        <v>5</v>
      </c>
      <c r="AE803" s="30" t="str">
        <f>VLOOKUP(AD803,[3]Key!$E$20:$F$24,2,FALSE)</f>
        <v>&gt;1,000,000</v>
      </c>
      <c r="AF803" s="23">
        <v>3</v>
      </c>
      <c r="AG803" s="50">
        <v>4</v>
      </c>
      <c r="AH803" s="50">
        <v>2</v>
      </c>
      <c r="AI803" s="50">
        <v>4</v>
      </c>
      <c r="AJ803" s="50">
        <v>5</v>
      </c>
      <c r="AK803" s="46" t="s">
        <v>94</v>
      </c>
      <c r="AL803" s="36">
        <v>10000</v>
      </c>
      <c r="AM803" t="str">
        <f t="shared" si="51"/>
        <v>Over 10000</v>
      </c>
    </row>
    <row r="804" spans="1:46" x14ac:dyDescent="0.2">
      <c r="A804" s="44" t="s">
        <v>433</v>
      </c>
      <c r="B804" s="48">
        <v>0.62708333333333333</v>
      </c>
      <c r="C804" s="48"/>
      <c r="D804" s="48" t="s">
        <v>97</v>
      </c>
      <c r="E804" s="13">
        <v>2</v>
      </c>
      <c r="F804" s="38" t="str">
        <f>VLOOKUP(E804,[3]Key!$A$17:$B$21,2,FALSE)</f>
        <v>Road Vehicle</v>
      </c>
      <c r="G804" s="49">
        <v>6</v>
      </c>
      <c r="H804" s="39" t="str">
        <f>VLOOKUP(G804,[3]Key!$A$2:$B$14,2,FALSE)</f>
        <v>Large Bus</v>
      </c>
      <c r="I804" s="13" t="s">
        <v>109</v>
      </c>
      <c r="J804" s="13">
        <v>4</v>
      </c>
      <c r="K804" s="40" t="str">
        <f>VLOOKUP(J804,[3]Key!$A$24:$B$29,2,FALSE)</f>
        <v>50-59</v>
      </c>
      <c r="L804" s="13" t="s">
        <v>424</v>
      </c>
      <c r="M804" s="23" t="s">
        <v>421</v>
      </c>
      <c r="N804" s="13" t="s">
        <v>152</v>
      </c>
      <c r="O804" s="46">
        <v>4</v>
      </c>
      <c r="P804" s="30" t="str">
        <f>VLOOKUP(O804,[3]Key!$E$2:$F$9,2,FALSE)</f>
        <v>Commercial</v>
      </c>
      <c r="Q804" s="13" t="s">
        <v>434</v>
      </c>
      <c r="R804" s="23" t="s">
        <v>153</v>
      </c>
      <c r="S804" s="13" t="s">
        <v>152</v>
      </c>
      <c r="T804" s="23">
        <v>4</v>
      </c>
      <c r="U804" s="30" t="str">
        <f>VLOOKUP(T804,[3]Key!$E$2:$F$9,2,FALSE)</f>
        <v>Commercial</v>
      </c>
      <c r="V804" s="30" t="str">
        <f t="shared" si="48"/>
        <v>Commercial-Commercial</v>
      </c>
      <c r="W804" s="51">
        <v>440000</v>
      </c>
      <c r="X804" s="50"/>
      <c r="Y804" s="50" t="str">
        <f t="shared" si="49"/>
        <v>0-10</v>
      </c>
      <c r="Z804" s="50">
        <v>5</v>
      </c>
      <c r="AA804" s="50" t="str">
        <f t="shared" si="50"/>
        <v>Over 3.5</v>
      </c>
      <c r="AB804" s="23">
        <v>10</v>
      </c>
      <c r="AC804" s="30" t="str">
        <f>VLOOKUP(AB804,[3]Key!$C$20:$D$29,2,FALSE)</f>
        <v>Other</v>
      </c>
      <c r="AD804" s="23">
        <v>5</v>
      </c>
      <c r="AE804" s="30" t="str">
        <f>VLOOKUP(AD804,[3]Key!$E$20:$F$24,2,FALSE)</f>
        <v>&gt;1,000,000</v>
      </c>
      <c r="AF804" s="23">
        <v>3</v>
      </c>
      <c r="AG804" s="50">
        <v>2</v>
      </c>
      <c r="AH804" s="50">
        <v>1</v>
      </c>
      <c r="AI804" s="50">
        <v>2</v>
      </c>
      <c r="AJ804" s="50">
        <v>4</v>
      </c>
      <c r="AK804" s="46" t="s">
        <v>94</v>
      </c>
      <c r="AL804" s="36">
        <v>5000</v>
      </c>
      <c r="AM804" t="str">
        <f t="shared" si="51"/>
        <v>5000-10000</v>
      </c>
    </row>
    <row r="805" spans="1:46" x14ac:dyDescent="0.2">
      <c r="A805" s="44" t="s">
        <v>419</v>
      </c>
      <c r="B805" s="48">
        <v>0.48958333333333331</v>
      </c>
      <c r="C805" s="48"/>
      <c r="D805" s="48" t="s">
        <v>150</v>
      </c>
      <c r="E805" s="13">
        <v>2</v>
      </c>
      <c r="F805" s="38" t="str">
        <f>VLOOKUP(E805,[3]Key!$A$17:$B$21,2,FALSE)</f>
        <v>Road Vehicle</v>
      </c>
      <c r="G805" s="49">
        <v>6</v>
      </c>
      <c r="H805" s="39" t="str">
        <f>VLOOKUP(G805,[3]Key!$A$2:$B$14,2,FALSE)</f>
        <v>Large Bus</v>
      </c>
      <c r="I805" s="13" t="s">
        <v>109</v>
      </c>
      <c r="J805" s="13">
        <v>4</v>
      </c>
      <c r="K805" s="40" t="str">
        <f>VLOOKUP(J805,[3]Key!$A$24:$B$29,2,FALSE)</f>
        <v>50-59</v>
      </c>
      <c r="L805" s="13" t="s">
        <v>486</v>
      </c>
      <c r="M805" s="23" t="s">
        <v>421</v>
      </c>
      <c r="N805" s="13" t="s">
        <v>152</v>
      </c>
      <c r="O805" s="46">
        <v>1</v>
      </c>
      <c r="P805" s="30" t="str">
        <f>VLOOKUP(O805,[3]Key!$E$2:$F$9,2,FALSE)</f>
        <v>Home</v>
      </c>
      <c r="Q805" s="13" t="s">
        <v>538</v>
      </c>
      <c r="R805" s="23" t="s">
        <v>168</v>
      </c>
      <c r="S805" s="13" t="s">
        <v>152</v>
      </c>
      <c r="T805" s="23">
        <v>2</v>
      </c>
      <c r="U805" s="30" t="str">
        <f>VLOOKUP(T805,[3]Key!$E$2:$F$9,2,FALSE)</f>
        <v>Work</v>
      </c>
      <c r="V805" s="30" t="str">
        <f t="shared" si="48"/>
        <v>Home-Work</v>
      </c>
      <c r="W805" s="51">
        <v>15000</v>
      </c>
      <c r="X805" s="50">
        <v>400</v>
      </c>
      <c r="Y805" s="50" t="str">
        <f t="shared" si="49"/>
        <v>Over 200</v>
      </c>
      <c r="Z805" s="50">
        <v>5</v>
      </c>
      <c r="AA805" s="50" t="str">
        <f t="shared" si="50"/>
        <v>Over 3.5</v>
      </c>
      <c r="AB805" s="23">
        <v>5</v>
      </c>
      <c r="AC805" s="30" t="str">
        <f>VLOOKUP(AB805,[3]Key!$C$20:$D$29,2,FALSE)</f>
        <v>Professional</v>
      </c>
      <c r="AD805" s="23">
        <v>2</v>
      </c>
      <c r="AE805" s="30" t="str">
        <f>VLOOKUP(AD805,[3]Key!$E$20:$F$24,2,FALSE)</f>
        <v>300,000-500,000</v>
      </c>
      <c r="AF805" s="23">
        <v>1</v>
      </c>
      <c r="AG805" s="50">
        <v>5</v>
      </c>
      <c r="AH805" s="50">
        <v>4</v>
      </c>
      <c r="AI805" s="50">
        <v>3</v>
      </c>
      <c r="AJ805" s="50">
        <v>2</v>
      </c>
      <c r="AK805" s="46" t="s">
        <v>94</v>
      </c>
      <c r="AL805" s="36">
        <v>1000</v>
      </c>
      <c r="AM805" t="str">
        <f t="shared" si="51"/>
        <v>1000-2000</v>
      </c>
    </row>
    <row r="806" spans="1:46" x14ac:dyDescent="0.2">
      <c r="A806" s="44" t="s">
        <v>423</v>
      </c>
      <c r="B806" s="48">
        <v>0.62222222222222223</v>
      </c>
      <c r="C806" s="48"/>
      <c r="D806" s="48" t="s">
        <v>150</v>
      </c>
      <c r="E806" s="13">
        <v>2</v>
      </c>
      <c r="F806" s="38" t="str">
        <f>VLOOKUP(E806,[3]Key!$A$17:$B$21,2,FALSE)</f>
        <v>Road Vehicle</v>
      </c>
      <c r="G806" s="49">
        <v>6</v>
      </c>
      <c r="H806" s="39" t="str">
        <f>VLOOKUP(G806,[3]Key!$A$2:$B$14,2,FALSE)</f>
        <v>Large Bus</v>
      </c>
      <c r="I806" s="13" t="s">
        <v>109</v>
      </c>
      <c r="J806" s="13">
        <v>4</v>
      </c>
      <c r="K806" s="40" t="str">
        <f>VLOOKUP(J806,[3]Key!$A$24:$B$29,2,FALSE)</f>
        <v>50-59</v>
      </c>
      <c r="L806" s="13" t="s">
        <v>438</v>
      </c>
      <c r="M806" s="23" t="s">
        <v>446</v>
      </c>
      <c r="N806" s="13" t="s">
        <v>152</v>
      </c>
      <c r="O806" s="46">
        <v>1</v>
      </c>
      <c r="P806" s="30" t="str">
        <f>VLOOKUP(O806,[3]Key!$E$2:$F$9,2,FALSE)</f>
        <v>Home</v>
      </c>
      <c r="Q806" s="13" t="s">
        <v>434</v>
      </c>
      <c r="R806" s="23" t="s">
        <v>153</v>
      </c>
      <c r="S806" s="13" t="s">
        <v>152</v>
      </c>
      <c r="T806" s="23">
        <v>3</v>
      </c>
      <c r="U806" s="30" t="str">
        <f>VLOOKUP(T806,[3]Key!$E$2:$F$9,2,FALSE)</f>
        <v>Study</v>
      </c>
      <c r="V806" s="30" t="str">
        <f t="shared" si="48"/>
        <v>Home-Study</v>
      </c>
      <c r="W806" s="51">
        <v>25000</v>
      </c>
      <c r="X806" s="50">
        <v>285</v>
      </c>
      <c r="Y806" s="50" t="str">
        <f t="shared" si="49"/>
        <v>Over 200</v>
      </c>
      <c r="Z806" s="50">
        <v>5</v>
      </c>
      <c r="AA806" s="50" t="str">
        <f t="shared" si="50"/>
        <v>Over 3.5</v>
      </c>
      <c r="AB806" s="23">
        <v>9</v>
      </c>
      <c r="AC806" s="30" t="str">
        <f>VLOOKUP(AB806,[3]Key!$C$20:$D$29,2,FALSE)</f>
        <v>Retired</v>
      </c>
      <c r="AD806" s="23">
        <v>4</v>
      </c>
      <c r="AE806" s="30" t="str">
        <f>VLOOKUP(AD806,[3]Key!$E$20:$F$24,2,FALSE)</f>
        <v>750,000-1,000,000</v>
      </c>
      <c r="AF806" s="23">
        <v>2</v>
      </c>
      <c r="AG806" s="50">
        <v>3</v>
      </c>
      <c r="AH806" s="50">
        <v>5</v>
      </c>
      <c r="AI806" s="50">
        <v>1</v>
      </c>
      <c r="AJ806" s="50">
        <v>4</v>
      </c>
      <c r="AK806" s="46" t="s">
        <v>94</v>
      </c>
      <c r="AL806" s="36">
        <v>4000</v>
      </c>
      <c r="AM806" t="str">
        <f t="shared" si="51"/>
        <v>3000-5000</v>
      </c>
    </row>
    <row r="807" spans="1:46" x14ac:dyDescent="0.2">
      <c r="A807" s="44" t="s">
        <v>423</v>
      </c>
      <c r="B807" s="48">
        <v>0.39583333333333331</v>
      </c>
      <c r="C807" s="48"/>
      <c r="D807" s="48" t="s">
        <v>150</v>
      </c>
      <c r="E807" s="13">
        <v>2</v>
      </c>
      <c r="F807" s="38" t="str">
        <f>VLOOKUP(E807,[3]Key!$A$17:$B$21,2,FALSE)</f>
        <v>Road Vehicle</v>
      </c>
      <c r="G807" s="49">
        <v>5</v>
      </c>
      <c r="H807" s="39" t="str">
        <f>VLOOKUP(G807,[3]Key!$A$2:$B$14,2,FALSE)</f>
        <v xml:space="preserve">Medium bus </v>
      </c>
      <c r="I807" s="13" t="s">
        <v>109</v>
      </c>
      <c r="J807" s="13">
        <v>4</v>
      </c>
      <c r="K807" s="40" t="str">
        <f>VLOOKUP(J807,[3]Key!$A$24:$B$29,2,FALSE)</f>
        <v>50-59</v>
      </c>
      <c r="L807" s="13" t="s">
        <v>424</v>
      </c>
      <c r="M807" s="23" t="s">
        <v>421</v>
      </c>
      <c r="N807" s="13" t="s">
        <v>152</v>
      </c>
      <c r="O807" s="46">
        <v>2</v>
      </c>
      <c r="P807" s="30" t="str">
        <f>VLOOKUP(O807,[3]Key!$E$2:$F$9,2,FALSE)</f>
        <v>Work</v>
      </c>
      <c r="Q807" s="13" t="s">
        <v>539</v>
      </c>
      <c r="R807" s="23" t="s">
        <v>540</v>
      </c>
      <c r="S807" s="13" t="s">
        <v>152</v>
      </c>
      <c r="T807" s="23">
        <v>1</v>
      </c>
      <c r="U807" s="30" t="str">
        <f>VLOOKUP(T807,[3]Key!$E$2:$F$9,2,FALSE)</f>
        <v>Home</v>
      </c>
      <c r="V807" s="30" t="str">
        <f t="shared" si="48"/>
        <v>Work-Home</v>
      </c>
      <c r="W807" s="51">
        <v>85000</v>
      </c>
      <c r="X807" s="50">
        <v>378.2</v>
      </c>
      <c r="Y807" s="50" t="str">
        <f t="shared" si="49"/>
        <v>Over 200</v>
      </c>
      <c r="Z807" s="50">
        <v>7.5</v>
      </c>
      <c r="AA807" s="50" t="str">
        <f t="shared" si="50"/>
        <v>Over 3.5</v>
      </c>
      <c r="AB807" s="23">
        <v>4</v>
      </c>
      <c r="AC807" s="30" t="s">
        <v>127</v>
      </c>
      <c r="AD807" s="23">
        <v>4</v>
      </c>
      <c r="AE807" s="30" t="str">
        <f>VLOOKUP(AD807,[3]Key!$E$20:$F$24,2,FALSE)</f>
        <v>750,000-1,000,000</v>
      </c>
      <c r="AF807" s="23">
        <v>1</v>
      </c>
      <c r="AG807" s="50">
        <v>3</v>
      </c>
      <c r="AH807" s="50">
        <v>2</v>
      </c>
      <c r="AI807" s="50">
        <v>5</v>
      </c>
      <c r="AJ807" s="50">
        <v>4</v>
      </c>
      <c r="AK807" s="46" t="s">
        <v>94</v>
      </c>
      <c r="AL807" s="36">
        <v>10000</v>
      </c>
      <c r="AM807" t="str">
        <f t="shared" si="51"/>
        <v>Over 10000</v>
      </c>
    </row>
    <row r="808" spans="1:46" x14ac:dyDescent="0.2">
      <c r="A808" s="44" t="s">
        <v>419</v>
      </c>
      <c r="B808" s="48"/>
      <c r="C808" s="48"/>
      <c r="D808" s="48" t="s">
        <v>150</v>
      </c>
      <c r="E808" s="13">
        <v>2</v>
      </c>
      <c r="F808" s="38" t="str">
        <f>VLOOKUP(E808,[3]Key!$A$17:$B$21,2,FALSE)</f>
        <v>Road Vehicle</v>
      </c>
      <c r="G808" s="49">
        <v>4</v>
      </c>
      <c r="H808" s="39" t="str">
        <f>VLOOKUP(G808,[3]Key!$A$2:$B$14,2,FALSE)</f>
        <v>Minibus</v>
      </c>
      <c r="I808" s="13" t="s">
        <v>156</v>
      </c>
      <c r="J808" s="13">
        <v>4</v>
      </c>
      <c r="K808" s="40" t="str">
        <f>VLOOKUP(J808,[3]Key!$A$24:$B$29,2,FALSE)</f>
        <v>50-59</v>
      </c>
      <c r="L808" s="13" t="s">
        <v>424</v>
      </c>
      <c r="M808" s="23" t="s">
        <v>421</v>
      </c>
      <c r="N808" s="13" t="s">
        <v>152</v>
      </c>
      <c r="O808" s="46">
        <v>1</v>
      </c>
      <c r="P808" s="30" t="str">
        <f>VLOOKUP(O808,[3]Key!$E$2:$F$9,2,FALSE)</f>
        <v>Home</v>
      </c>
      <c r="Q808" s="13" t="s">
        <v>534</v>
      </c>
      <c r="R808" s="23" t="s">
        <v>430</v>
      </c>
      <c r="S808" s="13" t="s">
        <v>152</v>
      </c>
      <c r="T808" s="23">
        <v>4</v>
      </c>
      <c r="U808" s="30" t="str">
        <f>VLOOKUP(T808,[3]Key!$E$2:$F$9,2,FALSE)</f>
        <v>Commercial</v>
      </c>
      <c r="V808" s="30" t="str">
        <f t="shared" si="48"/>
        <v>Home-Commercial</v>
      </c>
      <c r="W808" s="51">
        <v>10000</v>
      </c>
      <c r="X808" s="50">
        <v>45</v>
      </c>
      <c r="Y808" s="50" t="str">
        <f t="shared" si="49"/>
        <v>40-70</v>
      </c>
      <c r="Z808" s="50">
        <v>2</v>
      </c>
      <c r="AA808" s="50" t="str">
        <f t="shared" si="50"/>
        <v>2.0-3.5</v>
      </c>
      <c r="AB808" s="23">
        <v>5</v>
      </c>
      <c r="AC808" s="30" t="str">
        <f>VLOOKUP(AB808,[3]Key!$C$20:$D$29,2,FALSE)</f>
        <v>Professional</v>
      </c>
      <c r="AD808" s="23">
        <v>2</v>
      </c>
      <c r="AE808" s="30" t="str">
        <f>VLOOKUP(AD808,[3]Key!$E$20:$F$24,2,FALSE)</f>
        <v>300,000-500,000</v>
      </c>
      <c r="AF808" s="23">
        <v>2</v>
      </c>
      <c r="AG808" s="50">
        <v>2</v>
      </c>
      <c r="AH808" s="50">
        <v>1</v>
      </c>
      <c r="AI808" s="50">
        <v>1</v>
      </c>
      <c r="AJ808" s="50">
        <v>1</v>
      </c>
      <c r="AK808" s="46" t="s">
        <v>94</v>
      </c>
      <c r="AL808" s="36">
        <v>5000</v>
      </c>
      <c r="AM808" t="str">
        <f t="shared" si="51"/>
        <v>5000-10000</v>
      </c>
    </row>
    <row r="809" spans="1:46" x14ac:dyDescent="0.2">
      <c r="A809" s="44" t="s">
        <v>419</v>
      </c>
      <c r="B809" s="48"/>
      <c r="C809" s="48"/>
      <c r="D809" s="48" t="s">
        <v>150</v>
      </c>
      <c r="E809" s="13">
        <v>2</v>
      </c>
      <c r="F809" s="38" t="str">
        <f>VLOOKUP(E809,[3]Key!$A$17:$B$21,2,FALSE)</f>
        <v>Road Vehicle</v>
      </c>
      <c r="G809" s="49">
        <v>4</v>
      </c>
      <c r="H809" s="39" t="str">
        <f>VLOOKUP(G809,[3]Key!$A$2:$B$14,2,FALSE)</f>
        <v>Minibus</v>
      </c>
      <c r="I809" s="13" t="s">
        <v>109</v>
      </c>
      <c r="J809" s="13">
        <v>4</v>
      </c>
      <c r="K809" s="40" t="str">
        <f>VLOOKUP(J809,[3]Key!$A$24:$B$29,2,FALSE)</f>
        <v>50-59</v>
      </c>
      <c r="L809" s="13" t="s">
        <v>424</v>
      </c>
      <c r="M809" s="23" t="s">
        <v>421</v>
      </c>
      <c r="N809" s="13" t="s">
        <v>152</v>
      </c>
      <c r="O809" s="46">
        <v>1</v>
      </c>
      <c r="P809" s="30" t="str">
        <f>VLOOKUP(O809,[3]Key!$E$2:$F$9,2,FALSE)</f>
        <v>Home</v>
      </c>
      <c r="Q809" s="13" t="s">
        <v>510</v>
      </c>
      <c r="R809" s="23" t="s">
        <v>511</v>
      </c>
      <c r="S809" s="13" t="s">
        <v>152</v>
      </c>
      <c r="T809" s="23">
        <v>2</v>
      </c>
      <c r="U809" s="30" t="str">
        <f>VLOOKUP(T809,[3]Key!$E$2:$F$9,2,FALSE)</f>
        <v>Work</v>
      </c>
      <c r="V809" s="30" t="str">
        <f t="shared" si="48"/>
        <v>Home-Work</v>
      </c>
      <c r="W809" s="51">
        <v>20000</v>
      </c>
      <c r="X809" s="50">
        <v>207</v>
      </c>
      <c r="Y809" s="50" t="str">
        <f t="shared" si="49"/>
        <v>Over 200</v>
      </c>
      <c r="Z809" s="50">
        <v>3</v>
      </c>
      <c r="AA809" s="50" t="str">
        <f t="shared" si="50"/>
        <v>2.0-3.5</v>
      </c>
      <c r="AB809" s="23">
        <v>6</v>
      </c>
      <c r="AC809" s="30" t="str">
        <f>VLOOKUP(AB809,[3]Key!$C$20:$D$29,2,FALSE)</f>
        <v>Businessman</v>
      </c>
      <c r="AD809" s="23">
        <v>2</v>
      </c>
      <c r="AE809" s="30" t="str">
        <f>VLOOKUP(AD809,[3]Key!$E$20:$F$24,2,FALSE)</f>
        <v>300,000-500,000</v>
      </c>
      <c r="AF809" s="23">
        <v>5</v>
      </c>
      <c r="AG809" s="50">
        <v>2</v>
      </c>
      <c r="AH809" s="50">
        <v>1</v>
      </c>
      <c r="AI809" s="50">
        <v>1</v>
      </c>
      <c r="AJ809" s="50">
        <v>1</v>
      </c>
      <c r="AK809" s="46" t="s">
        <v>94</v>
      </c>
      <c r="AL809" s="36">
        <v>1000</v>
      </c>
      <c r="AM809" t="str">
        <f t="shared" si="51"/>
        <v>1000-2000</v>
      </c>
    </row>
    <row r="810" spans="1:46" x14ac:dyDescent="0.2">
      <c r="A810" s="44" t="s">
        <v>423</v>
      </c>
      <c r="B810" s="48">
        <v>0.68194444444444446</v>
      </c>
      <c r="C810" s="48"/>
      <c r="D810" s="48" t="s">
        <v>150</v>
      </c>
      <c r="E810" s="13">
        <v>2</v>
      </c>
      <c r="F810" s="38" t="str">
        <f>VLOOKUP(E810,[3]Key!$A$17:$B$21,2,FALSE)</f>
        <v>Road Vehicle</v>
      </c>
      <c r="G810" s="49">
        <v>6</v>
      </c>
      <c r="H810" s="39" t="str">
        <f>VLOOKUP(G810,[3]Key!$A$2:$B$14,2,FALSE)</f>
        <v>Large Bus</v>
      </c>
      <c r="I810" s="13" t="s">
        <v>109</v>
      </c>
      <c r="J810" s="13">
        <v>5</v>
      </c>
      <c r="K810" s="40" t="str">
        <f>VLOOKUP(J810,[3]Key!$A$24:$B$29,2,FALSE)</f>
        <v>60-69</v>
      </c>
      <c r="L810" s="13" t="s">
        <v>434</v>
      </c>
      <c r="M810" s="23" t="s">
        <v>153</v>
      </c>
      <c r="N810" s="13" t="s">
        <v>152</v>
      </c>
      <c r="O810" s="46">
        <v>6</v>
      </c>
      <c r="P810" s="30" t="str">
        <f>VLOOKUP(O810,[3]Key!$E$2:$F$9,2,FALSE)</f>
        <v>Leisure/Social</v>
      </c>
      <c r="Q810" s="13" t="s">
        <v>454</v>
      </c>
      <c r="R810" s="23" t="s">
        <v>455</v>
      </c>
      <c r="S810" s="13" t="s">
        <v>152</v>
      </c>
      <c r="T810" s="23">
        <v>1</v>
      </c>
      <c r="U810" s="30" t="str">
        <f>VLOOKUP(T810,[3]Key!$E$2:$F$9,2,FALSE)</f>
        <v>Home</v>
      </c>
      <c r="V810" s="30" t="str">
        <f t="shared" si="48"/>
        <v>Leisure/Social-Home</v>
      </c>
      <c r="W810" s="51">
        <v>35000</v>
      </c>
      <c r="X810" s="50">
        <v>320</v>
      </c>
      <c r="Y810" s="50" t="str">
        <f t="shared" si="49"/>
        <v>Over 200</v>
      </c>
      <c r="Z810" s="50">
        <v>7</v>
      </c>
      <c r="AA810" s="50" t="str">
        <f t="shared" si="50"/>
        <v>Over 3.5</v>
      </c>
      <c r="AB810" s="23">
        <v>9</v>
      </c>
      <c r="AC810" s="30" t="str">
        <f>VLOOKUP(AB810,[3]Key!$C$20:$D$29,2,FALSE)</f>
        <v>Retired</v>
      </c>
      <c r="AD810" s="23">
        <v>1</v>
      </c>
      <c r="AE810" s="30" t="str">
        <f>VLOOKUP(AD810,[3]Key!$E$20:$F$24,2,FALSE)</f>
        <v>&lt;300,000</v>
      </c>
      <c r="AF810" s="23">
        <v>4</v>
      </c>
      <c r="AG810" s="50">
        <v>5</v>
      </c>
      <c r="AH810" s="50">
        <v>3</v>
      </c>
      <c r="AI810" s="50">
        <v>1</v>
      </c>
      <c r="AJ810" s="50">
        <v>2</v>
      </c>
      <c r="AK810" s="46" t="s">
        <v>94</v>
      </c>
      <c r="AL810" s="36">
        <v>0</v>
      </c>
      <c r="AM810" t="str">
        <f t="shared" si="51"/>
        <v>0-1000</v>
      </c>
    </row>
    <row r="811" spans="1:46" s="19" customFormat="1" x14ac:dyDescent="0.2">
      <c r="A811" s="44" t="s">
        <v>541</v>
      </c>
      <c r="B811" s="48">
        <v>0.69652777777777775</v>
      </c>
      <c r="C811" s="48"/>
      <c r="D811" s="48" t="s">
        <v>150</v>
      </c>
      <c r="E811" s="13">
        <v>2</v>
      </c>
      <c r="F811" s="38" t="str">
        <f>VLOOKUP(E811,[4]Key!$A$17:$B$21,2,FALSE)</f>
        <v>Road Vehicle</v>
      </c>
      <c r="G811" s="49">
        <v>1</v>
      </c>
      <c r="H811" s="39" t="str">
        <f>VLOOKUP(G811,[4]Key!$A$2:$B$13,2,FALSE)</f>
        <v>Car</v>
      </c>
      <c r="I811" s="13" t="s">
        <v>156</v>
      </c>
      <c r="J811" s="13">
        <v>1</v>
      </c>
      <c r="K811" s="40" t="str">
        <f>VLOOKUP(J811,[4]Key!$A$24:$B$29,2,FALSE)</f>
        <v>20-29</v>
      </c>
      <c r="L811" s="13" t="s">
        <v>542</v>
      </c>
      <c r="M811" s="23" t="s">
        <v>543</v>
      </c>
      <c r="N811" s="13" t="s">
        <v>152</v>
      </c>
      <c r="O811" s="46">
        <v>2</v>
      </c>
      <c r="P811" s="30" t="str">
        <f>VLOOKUP(O811,[4]Key!$E$2:$F$9,2,FALSE)</f>
        <v>Work</v>
      </c>
      <c r="Q811" s="13" t="s">
        <v>454</v>
      </c>
      <c r="R811" s="23" t="s">
        <v>455</v>
      </c>
      <c r="S811" s="13" t="s">
        <v>152</v>
      </c>
      <c r="T811" s="23">
        <v>1</v>
      </c>
      <c r="U811" s="30" t="str">
        <f>VLOOKUP(T811,[4]Key!$E$2:$F$9,2,FALSE)</f>
        <v>Home</v>
      </c>
      <c r="V811" s="30" t="str">
        <f t="shared" si="48"/>
        <v>Work-Home</v>
      </c>
      <c r="W811" s="51">
        <v>6000</v>
      </c>
      <c r="X811" s="50">
        <v>46</v>
      </c>
      <c r="Y811" s="50" t="str">
        <f t="shared" si="49"/>
        <v>40-70</v>
      </c>
      <c r="Z811" s="50">
        <v>0.66</v>
      </c>
      <c r="AA811" s="50" t="str">
        <f t="shared" si="50"/>
        <v>0.5-1.0</v>
      </c>
      <c r="AB811" s="23">
        <v>4</v>
      </c>
      <c r="AC811" s="30" t="str">
        <f>VLOOKUP(AB811,[4]Key!$C$20:$D$29,2,FALSE)</f>
        <v>Office Worker</v>
      </c>
      <c r="AD811" s="23">
        <v>5</v>
      </c>
      <c r="AE811" s="30" t="str">
        <f>VLOOKUP(AD811,[4]Key!$E$20:$F$24,2,FALSE)</f>
        <v>&gt;1,000,000</v>
      </c>
      <c r="AF811" s="23">
        <v>1</v>
      </c>
      <c r="AG811" s="50">
        <v>1</v>
      </c>
      <c r="AH811" s="50">
        <v>1</v>
      </c>
      <c r="AI811" s="50">
        <v>1</v>
      </c>
      <c r="AJ811" s="50">
        <v>1</v>
      </c>
      <c r="AK811" s="46" t="s">
        <v>94</v>
      </c>
      <c r="AL811" s="36">
        <v>1000</v>
      </c>
      <c r="AM811" t="str">
        <f t="shared" si="51"/>
        <v>1000-2000</v>
      </c>
      <c r="AN811"/>
      <c r="AO811"/>
      <c r="AP811"/>
      <c r="AQ811"/>
      <c r="AR811"/>
      <c r="AS811"/>
      <c r="AT811"/>
    </row>
    <row r="812" spans="1:46" x14ac:dyDescent="0.2">
      <c r="A812" s="44" t="s">
        <v>544</v>
      </c>
      <c r="B812" s="48">
        <v>0.2986111111111111</v>
      </c>
      <c r="C812" s="48" t="s">
        <v>545</v>
      </c>
      <c r="D812" s="48" t="s">
        <v>97</v>
      </c>
      <c r="E812" s="13">
        <v>2</v>
      </c>
      <c r="F812" s="38" t="str">
        <f>VLOOKUP(E812,[4]Key!$A$17:$B$21,2,FALSE)</f>
        <v>Road Vehicle</v>
      </c>
      <c r="G812" s="49">
        <v>1</v>
      </c>
      <c r="H812" s="39" t="str">
        <f>VLOOKUP(G812,[4]Key!$A$2:$B$13,2,FALSE)</f>
        <v>Car</v>
      </c>
      <c r="I812" s="13" t="s">
        <v>156</v>
      </c>
      <c r="J812" s="13">
        <v>1</v>
      </c>
      <c r="K812" s="40" t="str">
        <f>VLOOKUP(J812,[4]Key!$A$24:$B$29,2,FALSE)</f>
        <v>20-29</v>
      </c>
      <c r="L812" s="13" t="s">
        <v>454</v>
      </c>
      <c r="M812" s="23" t="s">
        <v>455</v>
      </c>
      <c r="N812" s="13" t="s">
        <v>152</v>
      </c>
      <c r="O812" s="46">
        <v>1</v>
      </c>
      <c r="P812" s="30" t="str">
        <f>VLOOKUP(O812,[4]Key!$E$2:$F$9,2,FALSE)</f>
        <v>Home</v>
      </c>
      <c r="Q812" s="13" t="s">
        <v>546</v>
      </c>
      <c r="R812" s="23" t="s">
        <v>455</v>
      </c>
      <c r="S812" s="13" t="s">
        <v>152</v>
      </c>
      <c r="T812" s="23">
        <v>2</v>
      </c>
      <c r="U812" s="30" t="str">
        <f>VLOOKUP(T812,[4]Key!$E$2:$F$9,2,FALSE)</f>
        <v>Work</v>
      </c>
      <c r="V812" s="30" t="str">
        <f t="shared" si="48"/>
        <v>Home-Work</v>
      </c>
      <c r="W812" s="51">
        <v>20000</v>
      </c>
      <c r="X812" s="50">
        <v>20</v>
      </c>
      <c r="Y812" s="50" t="str">
        <f t="shared" si="49"/>
        <v>20-40</v>
      </c>
      <c r="Z812" s="50">
        <v>0.5</v>
      </c>
      <c r="AA812" s="50" t="str">
        <f t="shared" si="50"/>
        <v>0.5-1.0</v>
      </c>
      <c r="AB812" s="23">
        <v>6</v>
      </c>
      <c r="AC812" s="30" t="str">
        <f>VLOOKUP(AB812,[4]Key!$C$20:$D$29,2,FALSE)</f>
        <v>Businessman</v>
      </c>
      <c r="AD812" s="23">
        <v>3</v>
      </c>
      <c r="AE812" s="30" t="str">
        <f>VLOOKUP(AD812,[4]Key!$E$20:$F$24,2,FALSE)</f>
        <v>500,000-750,000</v>
      </c>
      <c r="AF812" s="23">
        <v>2</v>
      </c>
      <c r="AG812" s="50">
        <v>2</v>
      </c>
      <c r="AH812" s="50">
        <v>2</v>
      </c>
      <c r="AI812" s="50">
        <v>2</v>
      </c>
      <c r="AJ812" s="50">
        <v>2</v>
      </c>
      <c r="AK812" s="46" t="s">
        <v>94</v>
      </c>
      <c r="AL812" s="36">
        <v>2000</v>
      </c>
      <c r="AM812" t="str">
        <f t="shared" si="51"/>
        <v>2000-3000</v>
      </c>
    </row>
    <row r="813" spans="1:46" x14ac:dyDescent="0.2">
      <c r="A813" s="44" t="s">
        <v>541</v>
      </c>
      <c r="B813" s="48">
        <v>0.75208333333333333</v>
      </c>
      <c r="C813" s="48"/>
      <c r="D813" s="48" t="s">
        <v>150</v>
      </c>
      <c r="E813" s="13">
        <v>2</v>
      </c>
      <c r="F813" s="38" t="str">
        <f>VLOOKUP(E813,[4]Key!$A$17:$B$21,2,FALSE)</f>
        <v>Road Vehicle</v>
      </c>
      <c r="G813" s="49">
        <v>6</v>
      </c>
      <c r="H813" s="39" t="str">
        <f>VLOOKUP(G813,[4]Key!$A$2:$B$13,2,FALSE)</f>
        <v>Large Bus</v>
      </c>
      <c r="I813" s="13" t="s">
        <v>156</v>
      </c>
      <c r="J813" s="13">
        <v>1</v>
      </c>
      <c r="K813" s="40" t="str">
        <f>VLOOKUP(J813,[4]Key!$A$24:$B$29,2,FALSE)</f>
        <v>20-29</v>
      </c>
      <c r="L813" s="13" t="s">
        <v>484</v>
      </c>
      <c r="M813" s="23" t="s">
        <v>485</v>
      </c>
      <c r="N813" s="13" t="s">
        <v>152</v>
      </c>
      <c r="O813" s="46">
        <v>1</v>
      </c>
      <c r="P813" s="30" t="str">
        <f>VLOOKUP(O813,[4]Key!$E$2:$F$9,2,FALSE)</f>
        <v>Home</v>
      </c>
      <c r="Q813" s="13" t="s">
        <v>434</v>
      </c>
      <c r="R813" s="23" t="s">
        <v>153</v>
      </c>
      <c r="S813" s="13" t="s">
        <v>152</v>
      </c>
      <c r="T813" s="23">
        <v>2</v>
      </c>
      <c r="U813" s="30" t="str">
        <f>VLOOKUP(T813,[4]Key!$E$2:$F$9,2,FALSE)</f>
        <v>Work</v>
      </c>
      <c r="V813" s="30" t="str">
        <f t="shared" si="48"/>
        <v>Home-Work</v>
      </c>
      <c r="W813" s="51">
        <v>60000</v>
      </c>
      <c r="X813" s="50">
        <v>490</v>
      </c>
      <c r="Y813" s="50" t="str">
        <f t="shared" si="49"/>
        <v>Over 200</v>
      </c>
      <c r="Z813" s="50">
        <v>14</v>
      </c>
      <c r="AA813" s="50" t="str">
        <f t="shared" si="50"/>
        <v>Over 3.5</v>
      </c>
      <c r="AB813" s="23">
        <v>4</v>
      </c>
      <c r="AC813" s="30" t="str">
        <f>VLOOKUP(AB813,[4]Key!$C$20:$D$29,2,FALSE)</f>
        <v>Office Worker</v>
      </c>
      <c r="AD813" s="23">
        <v>3</v>
      </c>
      <c r="AE813" s="30" t="str">
        <f>VLOOKUP(AD813,[4]Key!$E$20:$F$24,2,FALSE)</f>
        <v>500,000-750,000</v>
      </c>
      <c r="AF813" s="23">
        <v>1</v>
      </c>
      <c r="AG813" s="50">
        <v>1</v>
      </c>
      <c r="AH813" s="50">
        <v>1</v>
      </c>
      <c r="AI813" s="50">
        <v>1</v>
      </c>
      <c r="AJ813" s="50">
        <v>1</v>
      </c>
      <c r="AK813" s="46" t="s">
        <v>94</v>
      </c>
      <c r="AL813" s="36">
        <v>2000</v>
      </c>
      <c r="AM813" t="str">
        <f t="shared" si="51"/>
        <v>2000-3000</v>
      </c>
    </row>
    <row r="814" spans="1:46" x14ac:dyDescent="0.2">
      <c r="A814" s="44" t="s">
        <v>541</v>
      </c>
      <c r="B814" s="48">
        <v>0.65</v>
      </c>
      <c r="C814" s="48"/>
      <c r="D814" s="48" t="s">
        <v>150</v>
      </c>
      <c r="E814" s="13">
        <v>2</v>
      </c>
      <c r="F814" s="38" t="str">
        <f>VLOOKUP(E814,[4]Key!$A$17:$B$21,2,FALSE)</f>
        <v>Road Vehicle</v>
      </c>
      <c r="G814" s="49">
        <v>6</v>
      </c>
      <c r="H814" s="39" t="str">
        <f>VLOOKUP(G814,[4]Key!$A$2:$B$13,2,FALSE)</f>
        <v>Large Bus</v>
      </c>
      <c r="I814" s="13" t="s">
        <v>156</v>
      </c>
      <c r="J814" s="13">
        <v>1</v>
      </c>
      <c r="K814" s="40" t="str">
        <f>VLOOKUP(J814,[4]Key!$A$24:$B$29,2,FALSE)</f>
        <v>20-29</v>
      </c>
      <c r="L814" s="13" t="s">
        <v>484</v>
      </c>
      <c r="M814" s="23" t="s">
        <v>485</v>
      </c>
      <c r="N814" s="13" t="s">
        <v>152</v>
      </c>
      <c r="O814" s="46">
        <v>1</v>
      </c>
      <c r="P814" s="30" t="str">
        <f>VLOOKUP(O814,[4]Key!$E$2:$F$9,2,FALSE)</f>
        <v>Home</v>
      </c>
      <c r="Q814" s="13" t="s">
        <v>434</v>
      </c>
      <c r="R814" s="23" t="s">
        <v>153</v>
      </c>
      <c r="S814" s="13" t="s">
        <v>152</v>
      </c>
      <c r="T814" s="23">
        <v>3</v>
      </c>
      <c r="U814" s="30" t="str">
        <f>VLOOKUP(T814,[4]Key!$E$2:$F$9,2,FALSE)</f>
        <v>Study</v>
      </c>
      <c r="V814" s="30" t="str">
        <f t="shared" si="48"/>
        <v>Home-Study</v>
      </c>
      <c r="W814" s="51">
        <v>40000</v>
      </c>
      <c r="X814" s="50">
        <v>410</v>
      </c>
      <c r="Y814" s="50" t="str">
        <f t="shared" si="49"/>
        <v>Over 200</v>
      </c>
      <c r="Z814" s="50">
        <v>4</v>
      </c>
      <c r="AA814" s="50" t="str">
        <f t="shared" si="50"/>
        <v>Over 3.5</v>
      </c>
      <c r="AB814" s="23">
        <v>1</v>
      </c>
      <c r="AC814" s="30" t="str">
        <f>VLOOKUP(AB814,[4]Key!$C$20:$D$29,2,FALSE)</f>
        <v>Unemployed</v>
      </c>
      <c r="AD814" s="23">
        <v>1</v>
      </c>
      <c r="AE814" s="30" t="str">
        <f>VLOOKUP(AD814,[4]Key!$E$20:$F$24,2,FALSE)</f>
        <v>&lt;300,000</v>
      </c>
      <c r="AF814" s="23">
        <v>5</v>
      </c>
      <c r="AG814" s="50">
        <v>1</v>
      </c>
      <c r="AH814" s="50">
        <v>1</v>
      </c>
      <c r="AI814" s="50">
        <v>1</v>
      </c>
      <c r="AJ814" s="50">
        <v>5</v>
      </c>
      <c r="AK814" s="46" t="s">
        <v>94</v>
      </c>
      <c r="AL814" s="36">
        <v>0</v>
      </c>
      <c r="AM814" t="str">
        <f t="shared" si="51"/>
        <v>0-1000</v>
      </c>
    </row>
    <row r="815" spans="1:46" x14ac:dyDescent="0.2">
      <c r="A815" s="44" t="s">
        <v>541</v>
      </c>
      <c r="B815" s="48">
        <v>0.62986111111111109</v>
      </c>
      <c r="C815" s="48"/>
      <c r="D815" s="48" t="s">
        <v>150</v>
      </c>
      <c r="E815" s="13">
        <v>2</v>
      </c>
      <c r="F815" s="38" t="str">
        <f>VLOOKUP(E815,[4]Key!$A$17:$B$21,2,FALSE)</f>
        <v>Road Vehicle</v>
      </c>
      <c r="G815" s="49">
        <v>6</v>
      </c>
      <c r="H815" s="39" t="str">
        <f>VLOOKUP(G815,[4]Key!$A$2:$B$13,2,FALSE)</f>
        <v>Large Bus</v>
      </c>
      <c r="I815" s="13" t="s">
        <v>156</v>
      </c>
      <c r="J815" s="13">
        <v>1</v>
      </c>
      <c r="K815" s="40" t="str">
        <f>VLOOKUP(J815,[4]Key!$A$24:$B$29,2,FALSE)</f>
        <v>20-29</v>
      </c>
      <c r="L815" s="13" t="s">
        <v>454</v>
      </c>
      <c r="M815" s="23" t="s">
        <v>455</v>
      </c>
      <c r="N815" s="13" t="s">
        <v>152</v>
      </c>
      <c r="O815" s="46">
        <v>1</v>
      </c>
      <c r="P815" s="30" t="str">
        <f>VLOOKUP(O815,[4]Key!$E$2:$F$9,2,FALSE)</f>
        <v>Home</v>
      </c>
      <c r="Q815" s="13" t="s">
        <v>424</v>
      </c>
      <c r="R815" s="23" t="s">
        <v>421</v>
      </c>
      <c r="S815" s="13" t="s">
        <v>152</v>
      </c>
      <c r="T815" s="23">
        <v>3</v>
      </c>
      <c r="U815" s="30" t="str">
        <f>VLOOKUP(T815,[4]Key!$E$2:$F$9,2,FALSE)</f>
        <v>Study</v>
      </c>
      <c r="V815" s="30" t="str">
        <f t="shared" si="48"/>
        <v>Home-Study</v>
      </c>
      <c r="W815" s="51">
        <v>15000</v>
      </c>
      <c r="X815" s="50">
        <v>137</v>
      </c>
      <c r="Y815" s="50" t="str">
        <f t="shared" si="49"/>
        <v>100-200</v>
      </c>
      <c r="Z815" s="50">
        <v>2</v>
      </c>
      <c r="AA815" s="50" t="str">
        <f t="shared" si="50"/>
        <v>2.0-3.5</v>
      </c>
      <c r="AB815" s="23">
        <v>1</v>
      </c>
      <c r="AC815" s="30" t="str">
        <f>VLOOKUP(AB815,[4]Key!$C$20:$D$29,2,FALSE)</f>
        <v>Unemployed</v>
      </c>
      <c r="AD815" s="23">
        <v>1</v>
      </c>
      <c r="AE815" s="30" t="str">
        <f>VLOOKUP(AD815,[4]Key!$E$20:$F$24,2,FALSE)</f>
        <v>&lt;300,000</v>
      </c>
      <c r="AF815" s="23">
        <v>1</v>
      </c>
      <c r="AG815" s="50">
        <v>1</v>
      </c>
      <c r="AH815" s="50">
        <v>1</v>
      </c>
      <c r="AI815" s="50">
        <v>1</v>
      </c>
      <c r="AJ815" s="50">
        <v>1</v>
      </c>
      <c r="AK815" s="46" t="s">
        <v>94</v>
      </c>
      <c r="AL815" s="36">
        <v>0</v>
      </c>
      <c r="AM815" t="str">
        <f t="shared" si="51"/>
        <v>0-1000</v>
      </c>
    </row>
    <row r="816" spans="1:46" x14ac:dyDescent="0.2">
      <c r="A816" s="44" t="s">
        <v>541</v>
      </c>
      <c r="B816" s="48">
        <v>0.68819444444444444</v>
      </c>
      <c r="C816" s="48"/>
      <c r="D816" s="48" t="s">
        <v>150</v>
      </c>
      <c r="E816" s="13">
        <v>2</v>
      </c>
      <c r="F816" s="38" t="str">
        <f>VLOOKUP(E816,[4]Key!$A$17:$B$21,2,FALSE)</f>
        <v>Road Vehicle</v>
      </c>
      <c r="G816" s="49">
        <v>6</v>
      </c>
      <c r="H816" s="39" t="str">
        <f>VLOOKUP(G816,[4]Key!$A$2:$B$13,2,FALSE)</f>
        <v>Large Bus</v>
      </c>
      <c r="I816" s="13" t="s">
        <v>109</v>
      </c>
      <c r="J816" s="13">
        <v>1</v>
      </c>
      <c r="K816" s="40" t="str">
        <f>VLOOKUP(J816,[4]Key!$A$24:$B$29,2,FALSE)</f>
        <v>20-29</v>
      </c>
      <c r="L816" s="13" t="s">
        <v>484</v>
      </c>
      <c r="M816" s="23" t="s">
        <v>485</v>
      </c>
      <c r="N816" s="13" t="s">
        <v>152</v>
      </c>
      <c r="O816" s="46">
        <v>3</v>
      </c>
      <c r="P816" s="30" t="str">
        <f>VLOOKUP(O816,[4]Key!$E$2:$F$9,2,FALSE)</f>
        <v>Study</v>
      </c>
      <c r="Q816" s="13" t="s">
        <v>434</v>
      </c>
      <c r="R816" s="23" t="s">
        <v>153</v>
      </c>
      <c r="S816" s="13" t="s">
        <v>152</v>
      </c>
      <c r="T816" s="23">
        <v>3</v>
      </c>
      <c r="U816" s="30" t="str">
        <f>VLOOKUP(T816,[4]Key!$E$2:$F$9,2,FALSE)</f>
        <v>Study</v>
      </c>
      <c r="V816" s="30" t="str">
        <f t="shared" si="48"/>
        <v>Study-Study</v>
      </c>
      <c r="W816" s="51">
        <v>30000</v>
      </c>
      <c r="X816" s="50">
        <v>487</v>
      </c>
      <c r="Y816" s="50" t="str">
        <f t="shared" si="49"/>
        <v>Over 200</v>
      </c>
      <c r="Z816" s="50">
        <v>14</v>
      </c>
      <c r="AA816" s="50" t="str">
        <f t="shared" si="50"/>
        <v>Over 3.5</v>
      </c>
      <c r="AB816" s="23">
        <v>8</v>
      </c>
      <c r="AC816" s="30" t="str">
        <f>VLOOKUP(AB816,[4]Key!$C$20:$D$29,2,FALSE)</f>
        <v>Student</v>
      </c>
      <c r="AD816" s="23">
        <v>1</v>
      </c>
      <c r="AE816" s="30" t="str">
        <f>VLOOKUP(AD816,[4]Key!$E$20:$F$24,2,FALSE)</f>
        <v>&lt;300,000</v>
      </c>
      <c r="AF816" s="23">
        <v>1</v>
      </c>
      <c r="AG816" s="50">
        <v>1</v>
      </c>
      <c r="AH816" s="50">
        <v>1</v>
      </c>
      <c r="AI816" s="50">
        <v>1</v>
      </c>
      <c r="AJ816" s="50">
        <v>1</v>
      </c>
      <c r="AK816" s="46" t="s">
        <v>94</v>
      </c>
      <c r="AL816" s="36">
        <v>0</v>
      </c>
      <c r="AM816" t="str">
        <f t="shared" si="51"/>
        <v>0-1000</v>
      </c>
    </row>
    <row r="817" spans="1:39" x14ac:dyDescent="0.2">
      <c r="A817" s="44" t="s">
        <v>541</v>
      </c>
      <c r="B817" s="48">
        <v>0.66111111111111109</v>
      </c>
      <c r="C817" s="48"/>
      <c r="D817" s="48" t="s">
        <v>150</v>
      </c>
      <c r="E817" s="13">
        <v>2</v>
      </c>
      <c r="F817" s="38" t="str">
        <f>VLOOKUP(E817,[4]Key!$A$17:$B$21,2,FALSE)</f>
        <v>Road Vehicle</v>
      </c>
      <c r="G817" s="49">
        <v>6</v>
      </c>
      <c r="H817" s="39" t="str">
        <f>VLOOKUP(G817,[4]Key!$A$2:$B$13,2,FALSE)</f>
        <v>Large Bus</v>
      </c>
      <c r="I817" s="13" t="s">
        <v>109</v>
      </c>
      <c r="J817" s="13">
        <v>1</v>
      </c>
      <c r="K817" s="40" t="str">
        <f>VLOOKUP(J817,[4]Key!$A$24:$B$29,2,FALSE)</f>
        <v>20-29</v>
      </c>
      <c r="L817" s="13" t="s">
        <v>454</v>
      </c>
      <c r="M817" s="23" t="s">
        <v>455</v>
      </c>
      <c r="N817" s="13" t="s">
        <v>152</v>
      </c>
      <c r="O817" s="46">
        <v>1</v>
      </c>
      <c r="P817" s="30" t="str">
        <f>VLOOKUP(O817,[4]Key!$E$2:$F$9,2,FALSE)</f>
        <v>Home</v>
      </c>
      <c r="Q817" s="13" t="s">
        <v>434</v>
      </c>
      <c r="R817" s="23" t="s">
        <v>153</v>
      </c>
      <c r="S817" s="13" t="s">
        <v>152</v>
      </c>
      <c r="T817" s="23">
        <v>3</v>
      </c>
      <c r="U817" s="30" t="str">
        <f>VLOOKUP(T817,[4]Key!$E$2:$F$9,2,FALSE)</f>
        <v>Study</v>
      </c>
      <c r="V817" s="30" t="str">
        <f t="shared" si="48"/>
        <v>Home-Study</v>
      </c>
      <c r="W817" s="51">
        <v>30000</v>
      </c>
      <c r="X817" s="50">
        <v>396</v>
      </c>
      <c r="Y817" s="50" t="str">
        <f t="shared" si="49"/>
        <v>Over 200</v>
      </c>
      <c r="Z817" s="50">
        <v>4</v>
      </c>
      <c r="AA817" s="50" t="str">
        <f t="shared" si="50"/>
        <v>Over 3.5</v>
      </c>
      <c r="AB817" s="23">
        <v>1</v>
      </c>
      <c r="AC817" s="30" t="str">
        <f>VLOOKUP(AB817,[4]Key!$C$20:$D$29,2,FALSE)</f>
        <v>Unemployed</v>
      </c>
      <c r="AD817" s="23">
        <v>1</v>
      </c>
      <c r="AE817" s="30" t="str">
        <f>VLOOKUP(AD817,[4]Key!$E$20:$F$24,2,FALSE)</f>
        <v>&lt;300,000</v>
      </c>
      <c r="AF817" s="23">
        <v>5</v>
      </c>
      <c r="AG817" s="50">
        <v>1</v>
      </c>
      <c r="AH817" s="50">
        <v>1</v>
      </c>
      <c r="AI817" s="50">
        <v>1</v>
      </c>
      <c r="AJ817" s="50">
        <v>5</v>
      </c>
      <c r="AK817" s="46" t="s">
        <v>94</v>
      </c>
      <c r="AL817" s="36">
        <v>0</v>
      </c>
      <c r="AM817" t="str">
        <f t="shared" si="51"/>
        <v>0-1000</v>
      </c>
    </row>
    <row r="818" spans="1:39" x14ac:dyDescent="0.2">
      <c r="A818" s="44" t="s">
        <v>547</v>
      </c>
      <c r="B818" s="48">
        <v>0.45624999999999999</v>
      </c>
      <c r="C818" s="48" t="s">
        <v>548</v>
      </c>
      <c r="D818" s="48" t="s">
        <v>97</v>
      </c>
      <c r="E818" s="13">
        <v>2</v>
      </c>
      <c r="F818" s="38" t="str">
        <f>VLOOKUP(E818,[4]Key!$A$17:$B$21,2,FALSE)</f>
        <v>Road Vehicle</v>
      </c>
      <c r="G818" s="49">
        <v>7</v>
      </c>
      <c r="H818" s="39" t="str">
        <f>VLOOKUP(G818,[4]Key!$A$2:$B$13,2,FALSE)</f>
        <v xml:space="preserve">Light Truck </v>
      </c>
      <c r="I818" s="13" t="s">
        <v>109</v>
      </c>
      <c r="J818" s="13">
        <v>1</v>
      </c>
      <c r="K818" s="40" t="str">
        <f>VLOOKUP(J818,[4]Key!$A$24:$B$29,2,FALSE)</f>
        <v>20-29</v>
      </c>
      <c r="L818" s="13" t="s">
        <v>454</v>
      </c>
      <c r="M818" s="23" t="s">
        <v>455</v>
      </c>
      <c r="N818" s="13" t="s">
        <v>152</v>
      </c>
      <c r="O818" s="46">
        <v>4</v>
      </c>
      <c r="P818" s="30" t="str">
        <f>VLOOKUP(O818,[4]Key!$E$2:$F$9,2,FALSE)</f>
        <v>Commercial</v>
      </c>
      <c r="Q818" s="13" t="s">
        <v>425</v>
      </c>
      <c r="R818" s="23" t="s">
        <v>426</v>
      </c>
      <c r="S818" s="13" t="s">
        <v>152</v>
      </c>
      <c r="T818" s="23">
        <v>4</v>
      </c>
      <c r="U818" s="30" t="str">
        <f>VLOOKUP(T818,[4]Key!$E$2:$F$9,2,FALSE)</f>
        <v>Commercial</v>
      </c>
      <c r="V818" s="30" t="str">
        <f t="shared" si="48"/>
        <v>Commercial-Commercial</v>
      </c>
      <c r="W818" s="51">
        <v>50000</v>
      </c>
      <c r="X818" s="50">
        <v>150</v>
      </c>
      <c r="Y818" s="50" t="str">
        <f t="shared" si="49"/>
        <v>100-200</v>
      </c>
      <c r="Z818" s="50">
        <v>2</v>
      </c>
      <c r="AA818" s="50" t="str">
        <f t="shared" si="50"/>
        <v>2.0-3.5</v>
      </c>
      <c r="AB818" s="23">
        <v>5</v>
      </c>
      <c r="AC818" s="30" t="str">
        <f>VLOOKUP(AB818,[4]Key!$C$20:$D$29,2,FALSE)</f>
        <v>Professional</v>
      </c>
      <c r="AD818" s="23">
        <v>2</v>
      </c>
      <c r="AE818" s="30" t="str">
        <f>VLOOKUP(AD818,[4]Key!$E$20:$F$24,2,FALSE)</f>
        <v>300,000-500,000</v>
      </c>
      <c r="AF818" s="23">
        <v>5</v>
      </c>
      <c r="AG818" s="50">
        <v>5</v>
      </c>
      <c r="AH818" s="50">
        <v>5</v>
      </c>
      <c r="AI818" s="50">
        <v>1</v>
      </c>
      <c r="AJ818" s="50">
        <v>1</v>
      </c>
      <c r="AK818" s="46" t="s">
        <v>94</v>
      </c>
      <c r="AL818" s="36">
        <v>2000</v>
      </c>
      <c r="AM818" t="str">
        <f t="shared" si="51"/>
        <v>2000-3000</v>
      </c>
    </row>
    <row r="819" spans="1:39" x14ac:dyDescent="0.2">
      <c r="A819" s="44" t="s">
        <v>541</v>
      </c>
      <c r="B819" s="48">
        <v>0.64027777777777783</v>
      </c>
      <c r="C819" s="48"/>
      <c r="D819" s="48" t="s">
        <v>150</v>
      </c>
      <c r="E819" s="13">
        <v>2</v>
      </c>
      <c r="F819" s="38" t="str">
        <f>VLOOKUP(E819,[4]Key!$A$17:$B$21,2,FALSE)</f>
        <v>Road Vehicle</v>
      </c>
      <c r="G819" s="49">
        <v>4</v>
      </c>
      <c r="H819" s="39" t="str">
        <f>VLOOKUP(G819,[4]Key!$A$2:$B$13,2,FALSE)</f>
        <v>Minibus</v>
      </c>
      <c r="I819" s="13" t="s">
        <v>156</v>
      </c>
      <c r="J819" s="13">
        <v>1</v>
      </c>
      <c r="K819" s="40" t="str">
        <f>VLOOKUP(J819,[4]Key!$A$24:$B$29,2,FALSE)</f>
        <v>20-29</v>
      </c>
      <c r="L819" s="13" t="s">
        <v>549</v>
      </c>
      <c r="M819" s="23" t="s">
        <v>455</v>
      </c>
      <c r="N819" s="13" t="s">
        <v>152</v>
      </c>
      <c r="O819" s="46">
        <v>2</v>
      </c>
      <c r="P819" s="30" t="str">
        <f>VLOOKUP(O819,[4]Key!$E$2:$F$9,2,FALSE)</f>
        <v>Work</v>
      </c>
      <c r="Q819" s="13" t="s">
        <v>454</v>
      </c>
      <c r="R819" s="23" t="s">
        <v>455</v>
      </c>
      <c r="S819" s="13" t="s">
        <v>152</v>
      </c>
      <c r="T819" s="23">
        <v>1</v>
      </c>
      <c r="U819" s="30" t="str">
        <f>VLOOKUP(T819,[4]Key!$E$2:$F$9,2,FALSE)</f>
        <v>Home</v>
      </c>
      <c r="V819" s="30" t="str">
        <f t="shared" si="48"/>
        <v>Work-Home</v>
      </c>
      <c r="W819" s="51">
        <v>7000</v>
      </c>
      <c r="X819" s="50">
        <v>46</v>
      </c>
      <c r="Y819" s="50" t="str">
        <f t="shared" si="49"/>
        <v>40-70</v>
      </c>
      <c r="Z819" s="50">
        <v>1</v>
      </c>
      <c r="AA819" s="50" t="str">
        <f t="shared" si="50"/>
        <v>1.0-2.0</v>
      </c>
      <c r="AB819" s="23">
        <v>4</v>
      </c>
      <c r="AC819" s="30" t="str">
        <f>VLOOKUP(AB819,[4]Key!$C$20:$D$29,2,FALSE)</f>
        <v>Office Worker</v>
      </c>
      <c r="AD819" s="23">
        <v>3</v>
      </c>
      <c r="AE819" s="30" t="str">
        <f>VLOOKUP(AD819,[4]Key!$E$20:$F$24,2,FALSE)</f>
        <v>500,000-750,000</v>
      </c>
      <c r="AF819" s="23">
        <v>2</v>
      </c>
      <c r="AG819" s="50">
        <v>2</v>
      </c>
      <c r="AH819" s="50">
        <v>2</v>
      </c>
      <c r="AI819" s="50">
        <v>4</v>
      </c>
      <c r="AJ819" s="50">
        <v>4</v>
      </c>
      <c r="AK819" s="46" t="s">
        <v>94</v>
      </c>
      <c r="AL819" s="36">
        <v>0</v>
      </c>
      <c r="AM819" t="str">
        <f t="shared" si="51"/>
        <v>0-1000</v>
      </c>
    </row>
    <row r="820" spans="1:39" x14ac:dyDescent="0.2">
      <c r="A820" s="44" t="s">
        <v>541</v>
      </c>
      <c r="B820" s="48">
        <v>0.67291666666666661</v>
      </c>
      <c r="C820" s="48"/>
      <c r="D820" s="48" t="s">
        <v>150</v>
      </c>
      <c r="E820" s="13">
        <v>2</v>
      </c>
      <c r="F820" s="38" t="str">
        <f>VLOOKUP(E820,[4]Key!$A$17:$B$21,2,FALSE)</f>
        <v>Road Vehicle</v>
      </c>
      <c r="G820" s="49">
        <v>4</v>
      </c>
      <c r="H820" s="39" t="str">
        <f>VLOOKUP(G820,[4]Key!$A$2:$B$13,2,FALSE)</f>
        <v>Minibus</v>
      </c>
      <c r="I820" s="13" t="s">
        <v>156</v>
      </c>
      <c r="J820" s="13">
        <v>1</v>
      </c>
      <c r="K820" s="40" t="str">
        <f>VLOOKUP(J820,[4]Key!$A$24:$B$29,2,FALSE)</f>
        <v>20-29</v>
      </c>
      <c r="L820" s="13" t="s">
        <v>454</v>
      </c>
      <c r="M820" s="23" t="s">
        <v>455</v>
      </c>
      <c r="N820" s="13" t="s">
        <v>152</v>
      </c>
      <c r="O820" s="46">
        <v>1</v>
      </c>
      <c r="P820" s="30" t="str">
        <f>VLOOKUP(O820,[4]Key!$E$2:$F$9,2,FALSE)</f>
        <v>Home</v>
      </c>
      <c r="Q820" s="13" t="s">
        <v>550</v>
      </c>
      <c r="R820" s="23" t="s">
        <v>153</v>
      </c>
      <c r="S820" s="13" t="s">
        <v>152</v>
      </c>
      <c r="T820" s="23">
        <v>3</v>
      </c>
      <c r="U820" s="30" t="str">
        <f>VLOOKUP(T820,[4]Key!$E$2:$F$9,2,FALSE)</f>
        <v>Study</v>
      </c>
      <c r="V820" s="30" t="str">
        <f t="shared" si="48"/>
        <v>Home-Study</v>
      </c>
      <c r="W820" s="51">
        <v>40000</v>
      </c>
      <c r="X820" s="50">
        <v>369</v>
      </c>
      <c r="Y820" s="50" t="str">
        <f t="shared" si="49"/>
        <v>Over 200</v>
      </c>
      <c r="Z820" s="50">
        <v>5</v>
      </c>
      <c r="AA820" s="50" t="str">
        <f t="shared" si="50"/>
        <v>Over 3.5</v>
      </c>
      <c r="AB820" s="23">
        <v>1</v>
      </c>
      <c r="AC820" s="30" t="str">
        <f>VLOOKUP(AB820,[4]Key!$C$20:$D$29,2,FALSE)</f>
        <v>Unemployed</v>
      </c>
      <c r="AD820" s="23">
        <v>1</v>
      </c>
      <c r="AE820" s="30" t="str">
        <f>VLOOKUP(AD820,[4]Key!$E$20:$F$24,2,FALSE)</f>
        <v>&lt;300,000</v>
      </c>
      <c r="AF820" s="23">
        <v>1</v>
      </c>
      <c r="AG820" s="50">
        <v>1</v>
      </c>
      <c r="AH820" s="50">
        <v>5</v>
      </c>
      <c r="AI820" s="50">
        <v>5</v>
      </c>
      <c r="AJ820" s="50">
        <v>1</v>
      </c>
      <c r="AK820" s="46" t="s">
        <v>94</v>
      </c>
      <c r="AL820" s="36">
        <v>0</v>
      </c>
      <c r="AM820" t="str">
        <f t="shared" si="51"/>
        <v>0-1000</v>
      </c>
    </row>
    <row r="821" spans="1:39" x14ac:dyDescent="0.2">
      <c r="A821" s="44" t="s">
        <v>541</v>
      </c>
      <c r="B821" s="48">
        <v>0.63541666666666663</v>
      </c>
      <c r="C821" s="48"/>
      <c r="D821" s="48" t="s">
        <v>150</v>
      </c>
      <c r="E821" s="13">
        <v>2</v>
      </c>
      <c r="F821" s="38" t="str">
        <f>VLOOKUP(E821,[4]Key!$A$17:$B$21,2,FALSE)</f>
        <v>Road Vehicle</v>
      </c>
      <c r="G821" s="49">
        <v>4</v>
      </c>
      <c r="H821" s="39" t="str">
        <f>VLOOKUP(G821,[4]Key!$A$2:$B$13,2,FALSE)</f>
        <v>Minibus</v>
      </c>
      <c r="I821" s="13" t="s">
        <v>156</v>
      </c>
      <c r="J821" s="13">
        <v>1</v>
      </c>
      <c r="K821" s="40" t="str">
        <f>VLOOKUP(J821,[4]Key!$A$24:$B$29,2,FALSE)</f>
        <v>20-29</v>
      </c>
      <c r="L821" s="13" t="s">
        <v>454</v>
      </c>
      <c r="M821" s="23" t="s">
        <v>455</v>
      </c>
      <c r="N821" s="13" t="s">
        <v>152</v>
      </c>
      <c r="O821" s="46">
        <v>1</v>
      </c>
      <c r="P821" s="30" t="str">
        <f>VLOOKUP(O821,[4]Key!$E$2:$F$9,2,FALSE)</f>
        <v>Home</v>
      </c>
      <c r="Q821" s="13" t="s">
        <v>437</v>
      </c>
      <c r="R821" s="23" t="s">
        <v>175</v>
      </c>
      <c r="S821" s="13" t="s">
        <v>152</v>
      </c>
      <c r="T821" s="23">
        <v>6</v>
      </c>
      <c r="U821" s="30" t="str">
        <f>VLOOKUP(T821,[4]Key!$E$2:$F$9,2,FALSE)</f>
        <v>Leisure/Social</v>
      </c>
      <c r="V821" s="30" t="str">
        <f t="shared" si="48"/>
        <v>Home-Leisure/Social</v>
      </c>
      <c r="W821" s="51">
        <v>20000</v>
      </c>
      <c r="X821" s="50">
        <v>390</v>
      </c>
      <c r="Y821" s="50" t="str">
        <f t="shared" si="49"/>
        <v>Over 200</v>
      </c>
      <c r="Z821" s="50">
        <v>3</v>
      </c>
      <c r="AA821" s="50" t="str">
        <f t="shared" si="50"/>
        <v>2.0-3.5</v>
      </c>
      <c r="AB821" s="23">
        <v>6</v>
      </c>
      <c r="AC821" s="30" t="str">
        <f>VLOOKUP(AB821,[4]Key!$C$20:$D$29,2,FALSE)</f>
        <v>Businessman</v>
      </c>
      <c r="AD821" s="23">
        <v>2</v>
      </c>
      <c r="AE821" s="30" t="str">
        <f>VLOOKUP(AD821,[4]Key!$E$20:$F$24,2,FALSE)</f>
        <v>300,000-500,000</v>
      </c>
      <c r="AF821" s="23">
        <v>1</v>
      </c>
      <c r="AG821" s="50">
        <v>1</v>
      </c>
      <c r="AH821" s="50">
        <v>1</v>
      </c>
      <c r="AI821" s="50">
        <v>1</v>
      </c>
      <c r="AJ821" s="50">
        <v>1</v>
      </c>
      <c r="AK821" s="46" t="s">
        <v>94</v>
      </c>
      <c r="AL821" s="36">
        <v>2000</v>
      </c>
      <c r="AM821" t="str">
        <f t="shared" si="51"/>
        <v>2000-3000</v>
      </c>
    </row>
    <row r="822" spans="1:39" x14ac:dyDescent="0.2">
      <c r="A822" s="44" t="s">
        <v>547</v>
      </c>
      <c r="B822" s="48">
        <v>0.36736111111111108</v>
      </c>
      <c r="C822" s="48" t="s">
        <v>551</v>
      </c>
      <c r="D822" s="48" t="s">
        <v>97</v>
      </c>
      <c r="E822" s="13">
        <v>2</v>
      </c>
      <c r="F822" s="38" t="str">
        <f>VLOOKUP(E822,[4]Key!$A$17:$B$21,2,FALSE)</f>
        <v>Road Vehicle</v>
      </c>
      <c r="G822" s="49">
        <v>4</v>
      </c>
      <c r="H822" s="39" t="str">
        <f>VLOOKUP(G822,[4]Key!$A$2:$B$13,2,FALSE)</f>
        <v>Minibus</v>
      </c>
      <c r="I822" s="13" t="s">
        <v>156</v>
      </c>
      <c r="J822" s="13">
        <v>1</v>
      </c>
      <c r="K822" s="40" t="str">
        <f>VLOOKUP(J822,[4]Key!$A$24:$B$29,2,FALSE)</f>
        <v>20-29</v>
      </c>
      <c r="L822" s="13" t="s">
        <v>454</v>
      </c>
      <c r="M822" s="23" t="s">
        <v>455</v>
      </c>
      <c r="N822" s="13" t="s">
        <v>152</v>
      </c>
      <c r="O822" s="46">
        <v>4</v>
      </c>
      <c r="P822" s="30" t="str">
        <f>VLOOKUP(O822,[4]Key!$E$2:$F$9,2,FALSE)</f>
        <v>Commercial</v>
      </c>
      <c r="Q822" s="13" t="s">
        <v>487</v>
      </c>
      <c r="R822" s="23" t="s">
        <v>488</v>
      </c>
      <c r="S822" s="13" t="s">
        <v>152</v>
      </c>
      <c r="T822" s="23">
        <v>4</v>
      </c>
      <c r="U822" s="30" t="str">
        <f>VLOOKUP(T822,[4]Key!$E$2:$F$9,2,FALSE)</f>
        <v>Commercial</v>
      </c>
      <c r="V822" s="30" t="str">
        <f t="shared" si="48"/>
        <v>Commercial-Commercial</v>
      </c>
      <c r="W822" s="51">
        <v>30000</v>
      </c>
      <c r="X822" s="50">
        <v>96</v>
      </c>
      <c r="Y822" s="50" t="str">
        <f t="shared" si="49"/>
        <v>70-100</v>
      </c>
      <c r="Z822" s="50">
        <v>2</v>
      </c>
      <c r="AA822" s="50" t="str">
        <f t="shared" si="50"/>
        <v>2.0-3.5</v>
      </c>
      <c r="AB822" s="23">
        <v>5</v>
      </c>
      <c r="AC822" s="30" t="str">
        <f>VLOOKUP(AB822,[4]Key!$C$20:$D$29,2,FALSE)</f>
        <v>Professional</v>
      </c>
      <c r="AD822" s="23">
        <v>2</v>
      </c>
      <c r="AE822" s="30" t="str">
        <f>VLOOKUP(AD822,[4]Key!$E$20:$F$24,2,FALSE)</f>
        <v>300,000-500,000</v>
      </c>
      <c r="AF822" s="23">
        <v>5</v>
      </c>
      <c r="AG822" s="50">
        <v>5</v>
      </c>
      <c r="AH822" s="50">
        <v>5</v>
      </c>
      <c r="AI822" s="50">
        <v>3</v>
      </c>
      <c r="AJ822" s="50">
        <v>5</v>
      </c>
      <c r="AK822" s="46" t="s">
        <v>94</v>
      </c>
      <c r="AL822" s="36">
        <v>2000</v>
      </c>
      <c r="AM822" t="str">
        <f t="shared" si="51"/>
        <v>2000-3000</v>
      </c>
    </row>
    <row r="823" spans="1:39" x14ac:dyDescent="0.2">
      <c r="A823" s="44" t="s">
        <v>547</v>
      </c>
      <c r="B823" s="48">
        <v>0.52500000000000002</v>
      </c>
      <c r="C823" s="48"/>
      <c r="D823" s="48" t="s">
        <v>150</v>
      </c>
      <c r="E823" s="13">
        <v>2</v>
      </c>
      <c r="F823" s="38" t="str">
        <f>VLOOKUP(E823,[4]Key!$A$17:$B$21,2,FALSE)</f>
        <v>Road Vehicle</v>
      </c>
      <c r="G823" s="49">
        <v>4</v>
      </c>
      <c r="H823" s="39" t="str">
        <f>VLOOKUP(G823,[4]Key!$A$2:$B$13,2,FALSE)</f>
        <v>Minibus</v>
      </c>
      <c r="I823" s="13" t="s">
        <v>156</v>
      </c>
      <c r="J823" s="13">
        <v>1</v>
      </c>
      <c r="K823" s="40" t="str">
        <f>VLOOKUP(J823,[4]Key!$A$24:$B$29,2,FALSE)</f>
        <v>20-29</v>
      </c>
      <c r="L823" s="13" t="s">
        <v>552</v>
      </c>
      <c r="M823" s="23" t="s">
        <v>455</v>
      </c>
      <c r="N823" s="13" t="s">
        <v>152</v>
      </c>
      <c r="O823" s="46">
        <v>1</v>
      </c>
      <c r="P823" s="30" t="str">
        <f>VLOOKUP(O823,[4]Key!$E$2:$F$9,2,FALSE)</f>
        <v>Home</v>
      </c>
      <c r="Q823" s="13" t="s">
        <v>454</v>
      </c>
      <c r="R823" s="23" t="s">
        <v>455</v>
      </c>
      <c r="S823" s="13" t="s">
        <v>152</v>
      </c>
      <c r="T823" s="23">
        <v>3</v>
      </c>
      <c r="U823" s="30" t="str">
        <f>VLOOKUP(T823,[4]Key!$E$2:$F$9,2,FALSE)</f>
        <v>Study</v>
      </c>
      <c r="V823" s="30" t="str">
        <f t="shared" si="48"/>
        <v>Home-Study</v>
      </c>
      <c r="W823" s="51">
        <v>3000</v>
      </c>
      <c r="X823" s="50">
        <v>3</v>
      </c>
      <c r="Y823" s="50" t="str">
        <f t="shared" si="49"/>
        <v>0-10</v>
      </c>
      <c r="Z823" s="50">
        <v>0.28000000000000003</v>
      </c>
      <c r="AA823" s="50" t="str">
        <f t="shared" si="50"/>
        <v>0-0.5</v>
      </c>
      <c r="AB823" s="23">
        <v>1</v>
      </c>
      <c r="AC823" s="30" t="str">
        <f>VLOOKUP(AB823,[4]Key!$C$20:$D$29,2,FALSE)</f>
        <v>Unemployed</v>
      </c>
      <c r="AD823" s="23">
        <v>1</v>
      </c>
      <c r="AE823" s="30" t="str">
        <f>VLOOKUP(AD823,[4]Key!$E$20:$F$24,2,FALSE)</f>
        <v>&lt;300,000</v>
      </c>
      <c r="AF823" s="23">
        <v>1</v>
      </c>
      <c r="AG823" s="50">
        <v>1</v>
      </c>
      <c r="AH823" s="50">
        <v>5</v>
      </c>
      <c r="AI823" s="50">
        <v>5</v>
      </c>
      <c r="AJ823" s="50">
        <v>1</v>
      </c>
      <c r="AK823" s="46" t="s">
        <v>94</v>
      </c>
      <c r="AL823" s="36">
        <v>0</v>
      </c>
      <c r="AM823" t="str">
        <f t="shared" si="51"/>
        <v>0-1000</v>
      </c>
    </row>
    <row r="824" spans="1:39" x14ac:dyDescent="0.2">
      <c r="A824" s="44" t="s">
        <v>547</v>
      </c>
      <c r="B824" s="48">
        <v>0.5395833333333333</v>
      </c>
      <c r="C824" s="48"/>
      <c r="D824" s="48" t="s">
        <v>150</v>
      </c>
      <c r="E824" s="13">
        <v>2</v>
      </c>
      <c r="F824" s="38" t="str">
        <f>VLOOKUP(E824,[4]Key!$A$17:$B$21,2,FALSE)</f>
        <v>Road Vehicle</v>
      </c>
      <c r="G824" s="49">
        <v>4</v>
      </c>
      <c r="H824" s="39" t="str">
        <f>VLOOKUP(G824,[4]Key!$A$2:$B$13,2,FALSE)</f>
        <v>Minibus</v>
      </c>
      <c r="I824" s="13" t="s">
        <v>156</v>
      </c>
      <c r="J824" s="13">
        <v>1</v>
      </c>
      <c r="K824" s="40" t="str">
        <f>VLOOKUP(J824,[4]Key!$A$24:$B$29,2,FALSE)</f>
        <v>20-29</v>
      </c>
      <c r="L824" s="13" t="s">
        <v>546</v>
      </c>
      <c r="M824" s="23" t="s">
        <v>455</v>
      </c>
      <c r="N824" s="13" t="s">
        <v>152</v>
      </c>
      <c r="O824" s="46">
        <v>1</v>
      </c>
      <c r="P824" s="30" t="str">
        <f>VLOOKUP(O824,[4]Key!$E$2:$F$9,2,FALSE)</f>
        <v>Home</v>
      </c>
      <c r="Q824" s="13" t="s">
        <v>454</v>
      </c>
      <c r="R824" s="23" t="s">
        <v>455</v>
      </c>
      <c r="S824" s="13" t="s">
        <v>152</v>
      </c>
      <c r="T824" s="23">
        <v>4</v>
      </c>
      <c r="U824" s="30" t="str">
        <f>VLOOKUP(T824,[4]Key!$E$2:$F$9,2,FALSE)</f>
        <v>Commercial</v>
      </c>
      <c r="V824" s="30" t="str">
        <f t="shared" si="48"/>
        <v>Home-Commercial</v>
      </c>
      <c r="W824" s="51">
        <v>4000</v>
      </c>
      <c r="X824" s="50">
        <v>3</v>
      </c>
      <c r="Y824" s="50" t="str">
        <f t="shared" si="49"/>
        <v>0-10</v>
      </c>
      <c r="Z824" s="50">
        <v>0.3</v>
      </c>
      <c r="AA824" s="50" t="str">
        <f t="shared" si="50"/>
        <v>0-0.5</v>
      </c>
      <c r="AB824" s="23">
        <v>5</v>
      </c>
      <c r="AC824" s="30" t="str">
        <f>VLOOKUP(AB824,[4]Key!$C$20:$D$29,2,FALSE)</f>
        <v>Professional</v>
      </c>
      <c r="AD824" s="23">
        <v>1</v>
      </c>
      <c r="AE824" s="30" t="str">
        <f>VLOOKUP(AD824,[4]Key!$E$20:$F$24,2,FALSE)</f>
        <v>&lt;300,000</v>
      </c>
      <c r="AF824" s="23">
        <v>1</v>
      </c>
      <c r="AG824" s="50">
        <v>1</v>
      </c>
      <c r="AH824" s="50">
        <v>1</v>
      </c>
      <c r="AI824" s="50">
        <v>1</v>
      </c>
      <c r="AJ824" s="50">
        <v>5</v>
      </c>
      <c r="AK824" s="46" t="s">
        <v>94</v>
      </c>
      <c r="AL824" s="36">
        <v>1000</v>
      </c>
      <c r="AM824" t="str">
        <f t="shared" si="51"/>
        <v>1000-2000</v>
      </c>
    </row>
    <row r="825" spans="1:39" x14ac:dyDescent="0.2">
      <c r="A825" s="44" t="s">
        <v>547</v>
      </c>
      <c r="B825" s="48">
        <v>0.56874999999999998</v>
      </c>
      <c r="C825" s="48"/>
      <c r="D825" s="48" t="s">
        <v>150</v>
      </c>
      <c r="E825" s="13">
        <v>2</v>
      </c>
      <c r="F825" s="38" t="str">
        <f>VLOOKUP(E825,[4]Key!$A$17:$B$21,2,FALSE)</f>
        <v>Road Vehicle</v>
      </c>
      <c r="G825" s="49">
        <v>4</v>
      </c>
      <c r="H825" s="39" t="str">
        <f>VLOOKUP(G825,[4]Key!$A$2:$B$13,2,FALSE)</f>
        <v>Minibus</v>
      </c>
      <c r="I825" s="13" t="s">
        <v>156</v>
      </c>
      <c r="J825" s="13">
        <v>1</v>
      </c>
      <c r="K825" s="40" t="str">
        <f>VLOOKUP(J825,[4]Key!$A$24:$B$29,2,FALSE)</f>
        <v>20-29</v>
      </c>
      <c r="L825" s="13" t="s">
        <v>454</v>
      </c>
      <c r="M825" s="23" t="s">
        <v>455</v>
      </c>
      <c r="N825" s="13" t="s">
        <v>152</v>
      </c>
      <c r="O825" s="46">
        <v>1</v>
      </c>
      <c r="P825" s="30" t="str">
        <f>VLOOKUP(O825,[4]Key!$E$2:$F$9,2,FALSE)</f>
        <v>Home</v>
      </c>
      <c r="Q825" s="13" t="s">
        <v>553</v>
      </c>
      <c r="R825" s="23" t="s">
        <v>183</v>
      </c>
      <c r="S825" s="13" t="s">
        <v>152</v>
      </c>
      <c r="T825" s="23">
        <v>1</v>
      </c>
      <c r="U825" s="30" t="str">
        <f>VLOOKUP(T825,[4]Key!$E$2:$F$9,2,FALSE)</f>
        <v>Home</v>
      </c>
      <c r="V825" s="30" t="str">
        <f t="shared" si="48"/>
        <v>Home-Home</v>
      </c>
      <c r="W825" s="51">
        <v>40000</v>
      </c>
      <c r="X825" s="50">
        <v>370</v>
      </c>
      <c r="Y825" s="50" t="str">
        <f t="shared" si="49"/>
        <v>Over 200</v>
      </c>
      <c r="Z825" s="50">
        <v>4</v>
      </c>
      <c r="AA825" s="50" t="str">
        <f t="shared" si="50"/>
        <v>Over 3.5</v>
      </c>
      <c r="AB825" s="23">
        <v>1</v>
      </c>
      <c r="AC825" s="30" t="str">
        <f>VLOOKUP(AB825,[4]Key!$C$20:$D$29,2,FALSE)</f>
        <v>Unemployed</v>
      </c>
      <c r="AD825" s="23">
        <v>1</v>
      </c>
      <c r="AE825" s="30" t="str">
        <f>VLOOKUP(AD825,[4]Key!$E$20:$F$24,2,FALSE)</f>
        <v>&lt;300,000</v>
      </c>
      <c r="AF825" s="23">
        <v>5</v>
      </c>
      <c r="AG825" s="50">
        <v>5</v>
      </c>
      <c r="AH825" s="50">
        <v>5</v>
      </c>
      <c r="AI825" s="50">
        <v>5</v>
      </c>
      <c r="AJ825" s="50">
        <v>5</v>
      </c>
      <c r="AK825" s="46" t="s">
        <v>94</v>
      </c>
      <c r="AL825" s="36">
        <v>0</v>
      </c>
      <c r="AM825" t="str">
        <f t="shared" si="51"/>
        <v>0-1000</v>
      </c>
    </row>
    <row r="826" spans="1:39" x14ac:dyDescent="0.2">
      <c r="A826" s="44" t="s">
        <v>547</v>
      </c>
      <c r="B826" s="48">
        <v>0.59652777777777777</v>
      </c>
      <c r="C826" s="48"/>
      <c r="D826" s="48" t="s">
        <v>150</v>
      </c>
      <c r="E826" s="13">
        <v>2</v>
      </c>
      <c r="F826" s="38" t="str">
        <f>VLOOKUP(E826,[4]Key!$A$17:$B$21,2,FALSE)</f>
        <v>Road Vehicle</v>
      </c>
      <c r="G826" s="49">
        <v>4</v>
      </c>
      <c r="H826" s="39" t="str">
        <f>VLOOKUP(G826,[4]Key!$A$2:$B$13,2,FALSE)</f>
        <v>Minibus</v>
      </c>
      <c r="I826" s="13" t="s">
        <v>156</v>
      </c>
      <c r="J826" s="13">
        <v>1</v>
      </c>
      <c r="K826" s="40" t="str">
        <f>VLOOKUP(J826,[4]Key!$A$24:$B$29,2,FALSE)</f>
        <v>20-29</v>
      </c>
      <c r="L826" s="13" t="s">
        <v>554</v>
      </c>
      <c r="M826" s="23" t="s">
        <v>455</v>
      </c>
      <c r="N826" s="13" t="s">
        <v>152</v>
      </c>
      <c r="O826" s="46">
        <v>1</v>
      </c>
      <c r="P826" s="30" t="str">
        <f>VLOOKUP(O826,[4]Key!$E$2:$F$9,2,FALSE)</f>
        <v>Home</v>
      </c>
      <c r="Q826" s="13" t="s">
        <v>454</v>
      </c>
      <c r="R826" s="23" t="s">
        <v>455</v>
      </c>
      <c r="S826" s="13" t="s">
        <v>152</v>
      </c>
      <c r="T826" s="23">
        <v>2</v>
      </c>
      <c r="U826" s="30" t="str">
        <f>VLOOKUP(T826,[4]Key!$E$2:$F$9,2,FALSE)</f>
        <v>Work</v>
      </c>
      <c r="V826" s="30" t="str">
        <f t="shared" si="48"/>
        <v>Home-Work</v>
      </c>
      <c r="W826" s="51">
        <v>10000</v>
      </c>
      <c r="X826" s="50">
        <v>3</v>
      </c>
      <c r="Y826" s="50" t="str">
        <f t="shared" si="49"/>
        <v>0-10</v>
      </c>
      <c r="Z826" s="50">
        <v>0.28000000000000003</v>
      </c>
      <c r="AA826" s="50" t="str">
        <f t="shared" si="50"/>
        <v>0-0.5</v>
      </c>
      <c r="AB826" s="23">
        <v>5</v>
      </c>
      <c r="AC826" s="30" t="str">
        <f>VLOOKUP(AB826,[4]Key!$C$20:$D$29,2,FALSE)</f>
        <v>Professional</v>
      </c>
      <c r="AD826" s="23">
        <v>2</v>
      </c>
      <c r="AE826" s="30" t="str">
        <f>VLOOKUP(AD826,[4]Key!$E$20:$F$24,2,FALSE)</f>
        <v>300,000-500,000</v>
      </c>
      <c r="AF826" s="23">
        <v>1</v>
      </c>
      <c r="AG826" s="50">
        <v>1</v>
      </c>
      <c r="AH826" s="50">
        <v>5</v>
      </c>
      <c r="AI826" s="50">
        <v>5</v>
      </c>
      <c r="AJ826" s="50">
        <v>5</v>
      </c>
      <c r="AK826" s="46" t="s">
        <v>94</v>
      </c>
      <c r="AL826" s="36">
        <v>3000</v>
      </c>
      <c r="AM826" t="str">
        <f t="shared" si="51"/>
        <v>3000-5000</v>
      </c>
    </row>
    <row r="827" spans="1:39" x14ac:dyDescent="0.2">
      <c r="A827" s="44" t="s">
        <v>547</v>
      </c>
      <c r="B827" s="48">
        <v>0.65069444444444446</v>
      </c>
      <c r="C827" s="48"/>
      <c r="D827" s="48" t="s">
        <v>150</v>
      </c>
      <c r="E827" s="13">
        <v>2</v>
      </c>
      <c r="F827" s="38" t="str">
        <f>VLOOKUP(E827,[4]Key!$A$17:$B$21,2,FALSE)</f>
        <v>Road Vehicle</v>
      </c>
      <c r="G827" s="49">
        <v>4</v>
      </c>
      <c r="H827" s="39" t="str">
        <f>VLOOKUP(G827,[4]Key!$A$2:$B$13,2,FALSE)</f>
        <v>Minibus</v>
      </c>
      <c r="I827" s="13" t="s">
        <v>156</v>
      </c>
      <c r="J827" s="13">
        <v>1</v>
      </c>
      <c r="K827" s="40" t="str">
        <f>VLOOKUP(J827,[4]Key!$A$24:$B$29,2,FALSE)</f>
        <v>20-29</v>
      </c>
      <c r="L827" s="13" t="s">
        <v>454</v>
      </c>
      <c r="M827" s="23" t="s">
        <v>455</v>
      </c>
      <c r="N827" s="13" t="s">
        <v>152</v>
      </c>
      <c r="O827" s="46">
        <v>1</v>
      </c>
      <c r="P827" s="30" t="str">
        <f>VLOOKUP(O827,[4]Key!$E$2:$F$9,2,FALSE)</f>
        <v>Home</v>
      </c>
      <c r="Q827" s="13" t="s">
        <v>424</v>
      </c>
      <c r="R827" s="23" t="s">
        <v>421</v>
      </c>
      <c r="S827" s="13" t="s">
        <v>152</v>
      </c>
      <c r="T827" s="23">
        <v>7</v>
      </c>
      <c r="U827" s="30" t="str">
        <f>VLOOKUP(T827,[4]Key!$E$2:$F$9,2,FALSE)</f>
        <v>Hospital</v>
      </c>
      <c r="V827" s="30" t="str">
        <f t="shared" si="48"/>
        <v>Home-Hospital</v>
      </c>
      <c r="W827" s="51">
        <v>15000</v>
      </c>
      <c r="X827" s="50">
        <v>136</v>
      </c>
      <c r="Y827" s="50" t="str">
        <f t="shared" si="49"/>
        <v>100-200</v>
      </c>
      <c r="Z827" s="50">
        <v>2</v>
      </c>
      <c r="AA827" s="50" t="str">
        <f t="shared" si="50"/>
        <v>2.0-3.5</v>
      </c>
      <c r="AB827" s="23">
        <v>1</v>
      </c>
      <c r="AC827" s="30" t="str">
        <f>VLOOKUP(AB827,[4]Key!$C$20:$D$29,2,FALSE)</f>
        <v>Unemployed</v>
      </c>
      <c r="AD827" s="23">
        <v>1</v>
      </c>
      <c r="AE827" s="30" t="str">
        <f>VLOOKUP(AD827,[4]Key!$E$20:$F$24,2,FALSE)</f>
        <v>&lt;300,000</v>
      </c>
      <c r="AF827" s="23">
        <v>5</v>
      </c>
      <c r="AG827" s="50">
        <v>1</v>
      </c>
      <c r="AH827" s="50">
        <v>1</v>
      </c>
      <c r="AI827" s="50">
        <v>1</v>
      </c>
      <c r="AJ827" s="50">
        <v>1</v>
      </c>
      <c r="AK827" s="46" t="s">
        <v>94</v>
      </c>
      <c r="AL827" s="36">
        <v>0</v>
      </c>
      <c r="AM827" t="str">
        <f t="shared" si="51"/>
        <v>0-1000</v>
      </c>
    </row>
    <row r="828" spans="1:39" x14ac:dyDescent="0.2">
      <c r="A828" s="44" t="s">
        <v>547</v>
      </c>
      <c r="B828" s="48">
        <v>0.72013888888888899</v>
      </c>
      <c r="C828" s="48"/>
      <c r="D828" s="48" t="s">
        <v>150</v>
      </c>
      <c r="E828" s="13">
        <v>2</v>
      </c>
      <c r="F828" s="38" t="s">
        <v>102</v>
      </c>
      <c r="G828" s="49">
        <v>4</v>
      </c>
      <c r="H828" s="39" t="str">
        <f>VLOOKUP(G828,[4]Key!$A$2:$B$13,2,FALSE)</f>
        <v>Minibus</v>
      </c>
      <c r="I828" s="13" t="s">
        <v>156</v>
      </c>
      <c r="J828" s="13">
        <v>1</v>
      </c>
      <c r="K828" s="40" t="str">
        <f>VLOOKUP(J828,[4]Key!$A$24:$B$29,2,FALSE)</f>
        <v>20-29</v>
      </c>
      <c r="L828" s="13" t="s">
        <v>454</v>
      </c>
      <c r="M828" s="23" t="s">
        <v>455</v>
      </c>
      <c r="N828" s="13" t="s">
        <v>152</v>
      </c>
      <c r="O828" s="46">
        <v>1</v>
      </c>
      <c r="P828" s="30" t="str">
        <f>VLOOKUP(O828,[4]Key!$E$2:$F$9,2,FALSE)</f>
        <v>Home</v>
      </c>
      <c r="Q828" s="13" t="s">
        <v>424</v>
      </c>
      <c r="R828" s="23" t="s">
        <v>421</v>
      </c>
      <c r="S828" s="13" t="s">
        <v>152</v>
      </c>
      <c r="T828" s="23">
        <v>6</v>
      </c>
      <c r="U828" s="30" t="str">
        <f>VLOOKUP(T828,[4]Key!$E$2:$F$9,2,FALSE)</f>
        <v>Leisure/Social</v>
      </c>
      <c r="V828" s="30" t="str">
        <f t="shared" si="48"/>
        <v>Home-Leisure/Social</v>
      </c>
      <c r="W828" s="51">
        <v>15000</v>
      </c>
      <c r="X828" s="50">
        <v>136</v>
      </c>
      <c r="Y828" s="50" t="str">
        <f t="shared" si="49"/>
        <v>100-200</v>
      </c>
      <c r="Z828" s="50">
        <v>3</v>
      </c>
      <c r="AA828" s="50" t="str">
        <f t="shared" si="50"/>
        <v>2.0-3.5</v>
      </c>
      <c r="AB828" s="23">
        <v>1</v>
      </c>
      <c r="AC828" s="30" t="str">
        <f>VLOOKUP(AB828,[4]Key!$C$20:$D$29,2,FALSE)</f>
        <v>Unemployed</v>
      </c>
      <c r="AD828" s="23">
        <v>1</v>
      </c>
      <c r="AE828" s="30" t="str">
        <f>VLOOKUP(AD828,[4]Key!$E$20:$F$24,2,FALSE)</f>
        <v>&lt;300,000</v>
      </c>
      <c r="AF828" s="23">
        <v>1</v>
      </c>
      <c r="AG828" s="50">
        <v>1</v>
      </c>
      <c r="AH828" s="50">
        <v>1</v>
      </c>
      <c r="AI828" s="50">
        <v>1</v>
      </c>
      <c r="AJ828" s="50">
        <v>1</v>
      </c>
      <c r="AK828" s="46" t="s">
        <v>94</v>
      </c>
      <c r="AL828" s="36">
        <v>2000</v>
      </c>
      <c r="AM828" t="str">
        <f t="shared" si="51"/>
        <v>2000-3000</v>
      </c>
    </row>
    <row r="829" spans="1:39" x14ac:dyDescent="0.2">
      <c r="A829" s="44" t="s">
        <v>547</v>
      </c>
      <c r="B829" s="48">
        <v>0.73055555555555562</v>
      </c>
      <c r="C829" s="48"/>
      <c r="D829" s="48" t="s">
        <v>150</v>
      </c>
      <c r="E829" s="13">
        <v>2</v>
      </c>
      <c r="F829" s="38" t="str">
        <f>VLOOKUP(E829,[4]Key!$A$17:$B$21,2,FALSE)</f>
        <v>Road Vehicle</v>
      </c>
      <c r="G829" s="49">
        <v>4</v>
      </c>
      <c r="H829" s="39" t="str">
        <f>VLOOKUP(G829,[4]Key!$A$2:$B$13,2,FALSE)</f>
        <v>Minibus</v>
      </c>
      <c r="I829" s="13" t="s">
        <v>156</v>
      </c>
      <c r="J829" s="13">
        <v>1</v>
      </c>
      <c r="K829" s="40" t="str">
        <f>VLOOKUP(J829,[4]Key!$A$24:$B$29,2,FALSE)</f>
        <v>20-29</v>
      </c>
      <c r="L829" s="13" t="s">
        <v>454</v>
      </c>
      <c r="M829" s="23" t="s">
        <v>455</v>
      </c>
      <c r="N829" s="13" t="s">
        <v>152</v>
      </c>
      <c r="O829" s="46">
        <v>1</v>
      </c>
      <c r="P829" s="30" t="str">
        <f>VLOOKUP(O829,[4]Key!$E$2:$F$9,2,FALSE)</f>
        <v>Home</v>
      </c>
      <c r="Q829" s="13" t="s">
        <v>487</v>
      </c>
      <c r="R829" s="23" t="s">
        <v>488</v>
      </c>
      <c r="S829" s="13" t="s">
        <v>152</v>
      </c>
      <c r="T829" s="23">
        <v>6</v>
      </c>
      <c r="U829" s="30" t="str">
        <f>VLOOKUP(T829,[4]Key!$E$2:$F$9,2,FALSE)</f>
        <v>Leisure/Social</v>
      </c>
      <c r="V829" s="30" t="str">
        <f t="shared" si="48"/>
        <v>Home-Leisure/Social</v>
      </c>
      <c r="W829" s="51">
        <v>7000</v>
      </c>
      <c r="X829" s="50">
        <v>76</v>
      </c>
      <c r="Y829" s="50" t="str">
        <f t="shared" si="49"/>
        <v>70-100</v>
      </c>
      <c r="Z829" s="50">
        <v>1</v>
      </c>
      <c r="AA829" s="50" t="str">
        <f t="shared" si="50"/>
        <v>1.0-2.0</v>
      </c>
      <c r="AB829" s="23">
        <v>1</v>
      </c>
      <c r="AC829" s="30" t="str">
        <f>VLOOKUP(AB829,[4]Key!$C$20:$D$29,2,FALSE)</f>
        <v>Unemployed</v>
      </c>
      <c r="AD829" s="23">
        <v>1</v>
      </c>
      <c r="AE829" s="30" t="str">
        <f>VLOOKUP(AD829,[4]Key!$E$20:$F$24,2,FALSE)</f>
        <v>&lt;300,000</v>
      </c>
      <c r="AF829" s="23">
        <v>1</v>
      </c>
      <c r="AG829" s="50">
        <v>1</v>
      </c>
      <c r="AH829" s="50">
        <v>1</v>
      </c>
      <c r="AI829" s="50">
        <v>1</v>
      </c>
      <c r="AJ829" s="50">
        <v>1</v>
      </c>
      <c r="AK829" s="46" t="s">
        <v>94</v>
      </c>
      <c r="AL829" s="36">
        <v>0</v>
      </c>
      <c r="AM829" t="str">
        <f t="shared" si="51"/>
        <v>0-1000</v>
      </c>
    </row>
    <row r="830" spans="1:39" x14ac:dyDescent="0.2">
      <c r="A830" s="44" t="s">
        <v>547</v>
      </c>
      <c r="B830" s="48">
        <v>0.75624999999999998</v>
      </c>
      <c r="C830" s="48"/>
      <c r="D830" s="48" t="s">
        <v>150</v>
      </c>
      <c r="E830" s="13">
        <v>2</v>
      </c>
      <c r="F830" s="38" t="str">
        <f>VLOOKUP(E830,[4]Key!$A$17:$B$21,2,FALSE)</f>
        <v>Road Vehicle</v>
      </c>
      <c r="G830" s="49">
        <v>4</v>
      </c>
      <c r="H830" s="39" t="str">
        <f>VLOOKUP(G830,[4]Key!$A$2:$B$13,2,FALSE)</f>
        <v>Minibus</v>
      </c>
      <c r="I830" s="13" t="s">
        <v>156</v>
      </c>
      <c r="J830" s="13">
        <v>1</v>
      </c>
      <c r="K830" s="40" t="str">
        <f>VLOOKUP(J830,[4]Key!$A$24:$B$29,2,FALSE)</f>
        <v>20-29</v>
      </c>
      <c r="L830" s="13" t="s">
        <v>454</v>
      </c>
      <c r="M830" s="23" t="s">
        <v>455</v>
      </c>
      <c r="N830" s="13" t="s">
        <v>152</v>
      </c>
      <c r="O830" s="46">
        <v>1</v>
      </c>
      <c r="P830" s="30" t="str">
        <f>VLOOKUP(O830,[4]Key!$E$2:$F$9,2,FALSE)</f>
        <v>Home</v>
      </c>
      <c r="Q830" s="13" t="s">
        <v>424</v>
      </c>
      <c r="R830" s="23" t="s">
        <v>421</v>
      </c>
      <c r="S830" s="13" t="s">
        <v>152</v>
      </c>
      <c r="T830" s="23">
        <v>3</v>
      </c>
      <c r="U830" s="30" t="str">
        <f>VLOOKUP(T830,[4]Key!$E$2:$F$9,2,FALSE)</f>
        <v>Study</v>
      </c>
      <c r="V830" s="30" t="str">
        <f t="shared" si="48"/>
        <v>Home-Study</v>
      </c>
      <c r="W830" s="51">
        <v>15000</v>
      </c>
      <c r="X830" s="50">
        <v>136</v>
      </c>
      <c r="Y830" s="50" t="str">
        <f t="shared" si="49"/>
        <v>100-200</v>
      </c>
      <c r="Z830" s="50">
        <v>1.5</v>
      </c>
      <c r="AA830" s="50" t="str">
        <f t="shared" si="50"/>
        <v>1.0-2.0</v>
      </c>
      <c r="AB830" s="23">
        <v>1</v>
      </c>
      <c r="AC830" s="30" t="str">
        <f>VLOOKUP(AB830,[4]Key!$C$20:$D$29,2,FALSE)</f>
        <v>Unemployed</v>
      </c>
      <c r="AD830" s="23">
        <v>1</v>
      </c>
      <c r="AE830" s="30" t="str">
        <f>VLOOKUP(AD830,[4]Key!$E$20:$F$24,2,FALSE)</f>
        <v>&lt;300,000</v>
      </c>
      <c r="AF830" s="23">
        <v>1</v>
      </c>
      <c r="AG830" s="50">
        <v>1</v>
      </c>
      <c r="AH830" s="50">
        <v>1</v>
      </c>
      <c r="AI830" s="50">
        <v>1</v>
      </c>
      <c r="AJ830" s="50">
        <v>1</v>
      </c>
      <c r="AK830" s="46" t="s">
        <v>94</v>
      </c>
      <c r="AL830" s="36">
        <v>0</v>
      </c>
      <c r="AM830" t="str">
        <f t="shared" si="51"/>
        <v>0-1000</v>
      </c>
    </row>
    <row r="831" spans="1:39" x14ac:dyDescent="0.2">
      <c r="A831" s="44" t="s">
        <v>547</v>
      </c>
      <c r="B831" s="48">
        <v>0.77708333333333324</v>
      </c>
      <c r="C831" s="48"/>
      <c r="D831" s="48" t="s">
        <v>150</v>
      </c>
      <c r="E831" s="13">
        <v>2</v>
      </c>
      <c r="F831" s="38" t="str">
        <f>VLOOKUP(E831,[4]Key!$A$17:$B$21,2,FALSE)</f>
        <v>Road Vehicle</v>
      </c>
      <c r="G831" s="49">
        <v>4</v>
      </c>
      <c r="H831" s="39" t="str">
        <f>VLOOKUP(G831,[4]Key!$A$2:$B$13,2,FALSE)</f>
        <v>Minibus</v>
      </c>
      <c r="I831" s="13" t="s">
        <v>156</v>
      </c>
      <c r="J831" s="13">
        <v>1</v>
      </c>
      <c r="K831" s="40" t="str">
        <f>VLOOKUP(J831,[4]Key!$A$24:$B$29,2,FALSE)</f>
        <v>20-29</v>
      </c>
      <c r="L831" s="13" t="s">
        <v>454</v>
      </c>
      <c r="M831" s="23" t="s">
        <v>455</v>
      </c>
      <c r="N831" s="13" t="s">
        <v>152</v>
      </c>
      <c r="O831" s="46">
        <v>4</v>
      </c>
      <c r="P831" s="30" t="str">
        <f>VLOOKUP(O831,[4]Key!$E$2:$F$9,2,FALSE)</f>
        <v>Commercial</v>
      </c>
      <c r="Q831" s="13" t="s">
        <v>555</v>
      </c>
      <c r="R831" s="23" t="s">
        <v>556</v>
      </c>
      <c r="S831" s="13" t="s">
        <v>152</v>
      </c>
      <c r="T831" s="23">
        <v>4</v>
      </c>
      <c r="U831" s="30" t="str">
        <f>VLOOKUP(T831,[4]Key!$E$2:$F$9,2,FALSE)</f>
        <v>Commercial</v>
      </c>
      <c r="V831" s="30" t="str">
        <f t="shared" si="48"/>
        <v>Commercial-Commercial</v>
      </c>
      <c r="W831" s="51">
        <v>50000</v>
      </c>
      <c r="X831" s="50">
        <v>470</v>
      </c>
      <c r="Y831" s="50" t="str">
        <f t="shared" si="49"/>
        <v>Over 200</v>
      </c>
      <c r="Z831" s="50">
        <v>4</v>
      </c>
      <c r="AA831" s="50" t="str">
        <f t="shared" si="50"/>
        <v>Over 3.5</v>
      </c>
      <c r="AB831" s="23">
        <v>7</v>
      </c>
      <c r="AC831" s="30" t="str">
        <f>VLOOKUP(AB831,[4]Key!$C$20:$D$29,2,FALSE)</f>
        <v>Farmer</v>
      </c>
      <c r="AD831" s="23">
        <v>2</v>
      </c>
      <c r="AE831" s="30" t="str">
        <f>VLOOKUP(AD831,[4]Key!$E$20:$F$24,2,FALSE)</f>
        <v>300,000-500,000</v>
      </c>
      <c r="AF831" s="23">
        <v>1</v>
      </c>
      <c r="AG831" s="50">
        <v>1</v>
      </c>
      <c r="AH831" s="50">
        <v>5</v>
      </c>
      <c r="AI831" s="50">
        <v>5</v>
      </c>
      <c r="AJ831" s="50">
        <v>5</v>
      </c>
      <c r="AK831" s="46" t="s">
        <v>94</v>
      </c>
      <c r="AL831" s="36">
        <v>2000</v>
      </c>
      <c r="AM831" t="str">
        <f t="shared" si="51"/>
        <v>2000-3000</v>
      </c>
    </row>
    <row r="832" spans="1:39" x14ac:dyDescent="0.2">
      <c r="A832" s="54" t="s">
        <v>544</v>
      </c>
      <c r="B832" s="48">
        <v>0.66111111111111109</v>
      </c>
      <c r="C832" s="48"/>
      <c r="D832" s="48" t="s">
        <v>150</v>
      </c>
      <c r="E832" s="13">
        <v>2</v>
      </c>
      <c r="F832" s="38" t="str">
        <f>VLOOKUP(E832,[4]Key!$A$17:$B$21,2,FALSE)</f>
        <v>Road Vehicle</v>
      </c>
      <c r="G832" s="49">
        <v>4</v>
      </c>
      <c r="H832" s="39" t="str">
        <f>VLOOKUP(G832,[4]Key!$A$2:$B$13,2,FALSE)</f>
        <v>Minibus</v>
      </c>
      <c r="I832" s="13" t="s">
        <v>156</v>
      </c>
      <c r="J832" s="13">
        <v>1</v>
      </c>
      <c r="K832" s="40" t="str">
        <f>VLOOKUP(J832,[4]Key!$A$24:$B$29,2,FALSE)</f>
        <v>20-29</v>
      </c>
      <c r="L832" s="13" t="s">
        <v>557</v>
      </c>
      <c r="M832" s="23" t="s">
        <v>558</v>
      </c>
      <c r="N832" s="13" t="s">
        <v>152</v>
      </c>
      <c r="O832" s="46">
        <v>1</v>
      </c>
      <c r="P832" s="30" t="str">
        <f>VLOOKUP(O832,[4]Key!$E$2:$F$9,2,FALSE)</f>
        <v>Home</v>
      </c>
      <c r="Q832" s="13" t="s">
        <v>454</v>
      </c>
      <c r="R832" s="23" t="s">
        <v>455</v>
      </c>
      <c r="S832" s="13" t="s">
        <v>152</v>
      </c>
      <c r="T832" s="23">
        <v>6</v>
      </c>
      <c r="U832" s="30" t="str">
        <f>VLOOKUP(T832,[4]Key!$E$2:$F$9,2,FALSE)</f>
        <v>Leisure/Social</v>
      </c>
      <c r="V832" s="30" t="str">
        <f t="shared" si="48"/>
        <v>Home-Leisure/Social</v>
      </c>
      <c r="W832" s="51">
        <v>40000</v>
      </c>
      <c r="X832" s="50">
        <v>340</v>
      </c>
      <c r="Y832" s="50" t="str">
        <f t="shared" si="49"/>
        <v>Over 200</v>
      </c>
      <c r="Z832" s="50">
        <v>4</v>
      </c>
      <c r="AA832" s="50" t="str">
        <f t="shared" si="50"/>
        <v>Over 3.5</v>
      </c>
      <c r="AB832" s="23">
        <v>6</v>
      </c>
      <c r="AC832" s="30" t="str">
        <f>VLOOKUP(AB832,[4]Key!$C$20:$D$29,2,FALSE)</f>
        <v>Businessman</v>
      </c>
      <c r="AD832" s="23">
        <v>2</v>
      </c>
      <c r="AE832" s="30" t="str">
        <f>VLOOKUP(AD832,[4]Key!$E$20:$F$24,2,FALSE)</f>
        <v>300,000-500,000</v>
      </c>
      <c r="AF832" s="23">
        <v>1</v>
      </c>
      <c r="AG832" s="50">
        <v>1</v>
      </c>
      <c r="AH832" s="50">
        <v>1</v>
      </c>
      <c r="AI832" s="50">
        <v>1</v>
      </c>
      <c r="AJ832" s="50">
        <v>1</v>
      </c>
      <c r="AK832" s="46" t="s">
        <v>94</v>
      </c>
      <c r="AL832" s="36">
        <v>3000</v>
      </c>
      <c r="AM832" t="str">
        <f t="shared" si="51"/>
        <v>3000-5000</v>
      </c>
    </row>
    <row r="833" spans="1:39" x14ac:dyDescent="0.2">
      <c r="A833" s="44" t="s">
        <v>544</v>
      </c>
      <c r="B833" s="48">
        <v>0.30277777777777776</v>
      </c>
      <c r="C833" s="48"/>
      <c r="D833" s="48" t="s">
        <v>150</v>
      </c>
      <c r="E833" s="13">
        <v>2</v>
      </c>
      <c r="F833" s="38" t="str">
        <f>VLOOKUP(E833,[4]Key!$A$17:$B$21,2,FALSE)</f>
        <v>Road Vehicle</v>
      </c>
      <c r="G833" s="49">
        <v>4</v>
      </c>
      <c r="H833" s="39" t="str">
        <f>VLOOKUP(G833,[4]Key!$A$2:$B$13,2,FALSE)</f>
        <v>Minibus</v>
      </c>
      <c r="I833" s="13" t="s">
        <v>156</v>
      </c>
      <c r="J833" s="13">
        <v>1</v>
      </c>
      <c r="K833" s="40" t="str">
        <f>VLOOKUP(J833,[4]Key!$A$24:$B$29,2,FALSE)</f>
        <v>20-29</v>
      </c>
      <c r="L833" s="13" t="s">
        <v>454</v>
      </c>
      <c r="M833" s="23" t="s">
        <v>455</v>
      </c>
      <c r="N833" s="13" t="s">
        <v>152</v>
      </c>
      <c r="O833" s="46">
        <v>1</v>
      </c>
      <c r="P833" s="30" t="str">
        <f>VLOOKUP(O833,[4]Key!$E$2:$F$9,2,FALSE)</f>
        <v>Home</v>
      </c>
      <c r="Q833" s="13" t="s">
        <v>434</v>
      </c>
      <c r="R833" s="23" t="s">
        <v>153</v>
      </c>
      <c r="S833" s="13" t="s">
        <v>152</v>
      </c>
      <c r="T833" s="23">
        <v>3</v>
      </c>
      <c r="U833" s="30" t="str">
        <f>VLOOKUP(T833,[4]Key!$E$2:$F$9,2,FALSE)</f>
        <v>Study</v>
      </c>
      <c r="V833" s="30" t="str">
        <f t="shared" si="48"/>
        <v>Home-Study</v>
      </c>
      <c r="W833" s="51">
        <v>30000</v>
      </c>
      <c r="X833" s="50">
        <v>480</v>
      </c>
      <c r="Y833" s="50" t="str">
        <f t="shared" si="49"/>
        <v>Over 200</v>
      </c>
      <c r="Z833" s="50">
        <v>4</v>
      </c>
      <c r="AA833" s="50" t="str">
        <f t="shared" si="50"/>
        <v>Over 3.5</v>
      </c>
      <c r="AB833" s="23">
        <v>1</v>
      </c>
      <c r="AC833" s="30" t="str">
        <f>VLOOKUP(AB833,[4]Key!$C$20:$D$29,2,FALSE)</f>
        <v>Unemployed</v>
      </c>
      <c r="AD833" s="23">
        <v>1</v>
      </c>
      <c r="AE833" s="30" t="str">
        <f>VLOOKUP(AD833,[4]Key!$E$20:$F$24,2,FALSE)</f>
        <v>&lt;300,000</v>
      </c>
      <c r="AF833" s="23">
        <v>1</v>
      </c>
      <c r="AG833" s="50">
        <v>1</v>
      </c>
      <c r="AH833" s="50">
        <v>1</v>
      </c>
      <c r="AI833" s="50">
        <v>1</v>
      </c>
      <c r="AJ833" s="50">
        <v>1</v>
      </c>
      <c r="AK833" s="46" t="s">
        <v>94</v>
      </c>
      <c r="AL833" s="36">
        <v>0</v>
      </c>
      <c r="AM833" t="str">
        <f t="shared" si="51"/>
        <v>0-1000</v>
      </c>
    </row>
    <row r="834" spans="1:39" x14ac:dyDescent="0.2">
      <c r="A834" s="44" t="s">
        <v>544</v>
      </c>
      <c r="B834" s="48">
        <v>0.4284722222222222</v>
      </c>
      <c r="C834" s="48"/>
      <c r="D834" s="48" t="s">
        <v>150</v>
      </c>
      <c r="E834" s="13">
        <v>2</v>
      </c>
      <c r="F834" s="38" t="str">
        <f>VLOOKUP(E834,[4]Key!$A$17:$B$21,2,FALSE)</f>
        <v>Road Vehicle</v>
      </c>
      <c r="G834" s="49">
        <v>4</v>
      </c>
      <c r="H834" s="39" t="str">
        <f>VLOOKUP(G834,[4]Key!$A$2:$B$13,2,FALSE)</f>
        <v>Minibus</v>
      </c>
      <c r="I834" s="13" t="s">
        <v>156</v>
      </c>
      <c r="J834" s="13">
        <v>1</v>
      </c>
      <c r="K834" s="40" t="str">
        <f>VLOOKUP(J834,[4]Key!$A$24:$B$29,2,FALSE)</f>
        <v>20-29</v>
      </c>
      <c r="L834" s="13" t="s">
        <v>559</v>
      </c>
      <c r="M834" s="23" t="s">
        <v>455</v>
      </c>
      <c r="N834" s="13" t="s">
        <v>152</v>
      </c>
      <c r="O834" s="46">
        <v>1</v>
      </c>
      <c r="P834" s="30" t="str">
        <f>VLOOKUP(O834,[4]Key!$E$2:$F$9,2,FALSE)</f>
        <v>Home</v>
      </c>
      <c r="Q834" s="13" t="s">
        <v>454</v>
      </c>
      <c r="R834" s="23" t="s">
        <v>455</v>
      </c>
      <c r="S834" s="13" t="s">
        <v>152</v>
      </c>
      <c r="T834" s="23">
        <v>2</v>
      </c>
      <c r="U834" s="30" t="str">
        <f>VLOOKUP(T834,[4]Key!$E$2:$F$9,2,FALSE)</f>
        <v>Work</v>
      </c>
      <c r="V834" s="30" t="str">
        <f t="shared" ref="V834:V897" si="52">P834&amp;"-"&amp;U834</f>
        <v>Home-Work</v>
      </c>
      <c r="W834" s="51">
        <v>5000</v>
      </c>
      <c r="X834" s="50">
        <v>40</v>
      </c>
      <c r="Y834" s="50" t="str">
        <f t="shared" si="49"/>
        <v>40-70</v>
      </c>
      <c r="Z834" s="50">
        <v>1</v>
      </c>
      <c r="AA834" s="50" t="str">
        <f t="shared" si="50"/>
        <v>1.0-2.0</v>
      </c>
      <c r="AB834" s="23">
        <v>7</v>
      </c>
      <c r="AC834" s="30" t="str">
        <f>VLOOKUP(AB834,[4]Key!$C$20:$D$29,2,FALSE)</f>
        <v>Farmer</v>
      </c>
      <c r="AD834" s="23">
        <v>2</v>
      </c>
      <c r="AE834" s="30" t="str">
        <f>VLOOKUP(AD834,[4]Key!$E$20:$F$24,2,FALSE)</f>
        <v>300,000-500,000</v>
      </c>
      <c r="AF834" s="23">
        <v>1</v>
      </c>
      <c r="AG834" s="50">
        <v>1</v>
      </c>
      <c r="AH834" s="50">
        <v>5</v>
      </c>
      <c r="AI834" s="50">
        <v>5</v>
      </c>
      <c r="AJ834" s="50">
        <v>1</v>
      </c>
      <c r="AK834" s="46" t="s">
        <v>94</v>
      </c>
      <c r="AL834" s="36">
        <v>1000</v>
      </c>
      <c r="AM834" t="str">
        <f t="shared" si="51"/>
        <v>1000-2000</v>
      </c>
    </row>
    <row r="835" spans="1:39" x14ac:dyDescent="0.2">
      <c r="A835" s="44" t="s">
        <v>544</v>
      </c>
      <c r="B835" s="48">
        <v>0.46736111111111112</v>
      </c>
      <c r="C835" s="48"/>
      <c r="D835" s="48" t="s">
        <v>150</v>
      </c>
      <c r="E835" s="13">
        <v>2</v>
      </c>
      <c r="F835" s="38" t="str">
        <f>VLOOKUP(E835,[4]Key!$A$17:$B$21,2,FALSE)</f>
        <v>Road Vehicle</v>
      </c>
      <c r="G835" s="49">
        <v>4</v>
      </c>
      <c r="H835" s="39" t="str">
        <f>VLOOKUP(G835,[4]Key!$A$2:$B$13,2,FALSE)</f>
        <v>Minibus</v>
      </c>
      <c r="I835" s="13" t="s">
        <v>156</v>
      </c>
      <c r="J835" s="13">
        <v>1</v>
      </c>
      <c r="K835" s="40" t="str">
        <f>VLOOKUP(J835,[4]Key!$A$24:$B$29,2,FALSE)</f>
        <v>20-29</v>
      </c>
      <c r="L835" s="13" t="s">
        <v>454</v>
      </c>
      <c r="M835" s="23" t="s">
        <v>455</v>
      </c>
      <c r="N835" s="13" t="s">
        <v>152</v>
      </c>
      <c r="O835" s="46">
        <v>1</v>
      </c>
      <c r="P835" s="30" t="str">
        <f>VLOOKUP(O835,[4]Key!$E$2:$F$9,2,FALSE)</f>
        <v>Home</v>
      </c>
      <c r="Q835" s="13" t="s">
        <v>555</v>
      </c>
      <c r="R835" s="23" t="s">
        <v>556</v>
      </c>
      <c r="S835" s="13" t="s">
        <v>152</v>
      </c>
      <c r="T835" s="23">
        <v>3</v>
      </c>
      <c r="U835" s="30" t="str">
        <f>VLOOKUP(T835,[4]Key!$E$2:$F$9,2,FALSE)</f>
        <v>Study</v>
      </c>
      <c r="V835" s="30" t="str">
        <f t="shared" si="52"/>
        <v>Home-Study</v>
      </c>
      <c r="W835" s="51">
        <v>50000</v>
      </c>
      <c r="X835" s="50">
        <v>450</v>
      </c>
      <c r="Y835" s="50" t="str">
        <f t="shared" ref="Y835:Y898" si="53">IF(X835&lt;10,"0-10",IF(X835&lt;20,"10-20",IF(X835&lt;40,"20-40",IF(X835&lt;70,"40-70",IF(X835&lt;100,"70-100",IF(X835&lt;200,"100-200","Over 200"))))))</f>
        <v>Over 200</v>
      </c>
      <c r="Z835" s="50">
        <v>7</v>
      </c>
      <c r="AA835" s="50" t="str">
        <f t="shared" ref="AA835:AA898" si="54">IF(Z835&lt;0.5,"0-0.5",IF(Z835&lt;1,"0.5-1.0",IF(Z835&lt;2,"1.0-2.0",IF(Z835&lt;3.5,"2.0-3.5","Over 3.5"))))</f>
        <v>Over 3.5</v>
      </c>
      <c r="AB835" s="23">
        <v>1</v>
      </c>
      <c r="AC835" s="30" t="str">
        <f>VLOOKUP(AB835,[4]Key!$C$20:$D$29,2,FALSE)</f>
        <v>Unemployed</v>
      </c>
      <c r="AD835" s="23">
        <v>1</v>
      </c>
      <c r="AE835" s="30" t="str">
        <f>VLOOKUP(AD835,[4]Key!$E$20:$F$24,2,FALSE)</f>
        <v>&lt;300,000</v>
      </c>
      <c r="AF835" s="23">
        <v>5</v>
      </c>
      <c r="AG835" s="50">
        <v>5</v>
      </c>
      <c r="AH835" s="50">
        <v>1</v>
      </c>
      <c r="AI835" s="50">
        <v>1</v>
      </c>
      <c r="AJ835" s="50">
        <v>5</v>
      </c>
      <c r="AK835" s="46" t="s">
        <v>94</v>
      </c>
      <c r="AL835" s="36">
        <v>0</v>
      </c>
      <c r="AM835" t="str">
        <f t="shared" ref="AM835:AM898" si="55">IF(AL835&lt;1000,"0-1000",IF(AL835&lt;2000,"1000-2000",IF(AL835&lt;3000,"2000-3000",IF(AL835&lt;5000,"3000-5000",IF(AL835&lt;10000,"5000-10000","Over 10000")))))</f>
        <v>0-1000</v>
      </c>
    </row>
    <row r="836" spans="1:39" x14ac:dyDescent="0.2">
      <c r="A836" s="44" t="s">
        <v>544</v>
      </c>
      <c r="B836" s="48">
        <v>0.50486111111111109</v>
      </c>
      <c r="C836" s="48"/>
      <c r="D836" s="48" t="s">
        <v>150</v>
      </c>
      <c r="E836" s="13">
        <v>2</v>
      </c>
      <c r="F836" s="38" t="str">
        <f>VLOOKUP(E836,[4]Key!$A$17:$B$21,2,FALSE)</f>
        <v>Road Vehicle</v>
      </c>
      <c r="G836" s="49">
        <v>4</v>
      </c>
      <c r="H836" s="39" t="str">
        <f>VLOOKUP(G836,[4]Key!$A$2:$B$13,2,FALSE)</f>
        <v>Minibus</v>
      </c>
      <c r="I836" s="13" t="s">
        <v>156</v>
      </c>
      <c r="J836" s="13">
        <v>1</v>
      </c>
      <c r="K836" s="40" t="str">
        <f>VLOOKUP(J836,[4]Key!$A$24:$B$29,2,FALSE)</f>
        <v>20-29</v>
      </c>
      <c r="L836" s="13" t="s">
        <v>454</v>
      </c>
      <c r="M836" s="23" t="s">
        <v>455</v>
      </c>
      <c r="N836" s="13" t="s">
        <v>152</v>
      </c>
      <c r="O836" s="46">
        <v>1</v>
      </c>
      <c r="P836" s="30" t="str">
        <f>VLOOKUP(O836,[4]Key!$E$2:$F$9,2,FALSE)</f>
        <v>Home</v>
      </c>
      <c r="Q836" s="13" t="s">
        <v>472</v>
      </c>
      <c r="R836" s="23" t="s">
        <v>439</v>
      </c>
      <c r="S836" s="13" t="s">
        <v>152</v>
      </c>
      <c r="T836" s="23">
        <v>1</v>
      </c>
      <c r="U836" s="30" t="str">
        <f>VLOOKUP(T836,[4]Key!$E$2:$F$9,2,FALSE)</f>
        <v>Home</v>
      </c>
      <c r="V836" s="30" t="str">
        <f t="shared" si="52"/>
        <v>Home-Home</v>
      </c>
      <c r="W836" s="51">
        <v>3000</v>
      </c>
      <c r="X836" s="50">
        <v>47</v>
      </c>
      <c r="Y836" s="50" t="str">
        <f t="shared" si="53"/>
        <v>40-70</v>
      </c>
      <c r="Z836" s="50">
        <v>0.8</v>
      </c>
      <c r="AA836" s="50" t="str">
        <f t="shared" si="54"/>
        <v>0.5-1.0</v>
      </c>
      <c r="AB836" s="23">
        <v>6</v>
      </c>
      <c r="AC836" s="30" t="str">
        <f>VLOOKUP(AB836,[4]Key!$C$20:$D$29,2,FALSE)</f>
        <v>Businessman</v>
      </c>
      <c r="AD836" s="23">
        <v>1</v>
      </c>
      <c r="AE836" s="30" t="str">
        <f>VLOOKUP(AD836,[4]Key!$E$20:$F$24,2,FALSE)</f>
        <v>&lt;300,000</v>
      </c>
      <c r="AF836" s="23">
        <v>2</v>
      </c>
      <c r="AG836" s="50">
        <v>2</v>
      </c>
      <c r="AH836" s="50">
        <v>2</v>
      </c>
      <c r="AI836" s="50">
        <v>2</v>
      </c>
      <c r="AJ836" s="50">
        <v>2</v>
      </c>
      <c r="AK836" s="46" t="s">
        <v>94</v>
      </c>
      <c r="AL836" s="36">
        <v>0</v>
      </c>
      <c r="AM836" t="str">
        <f t="shared" si="55"/>
        <v>0-1000</v>
      </c>
    </row>
    <row r="837" spans="1:39" x14ac:dyDescent="0.2">
      <c r="A837" s="44" t="s">
        <v>544</v>
      </c>
      <c r="B837" s="48">
        <v>0.64722222222222225</v>
      </c>
      <c r="C837" s="48"/>
      <c r="D837" s="48" t="s">
        <v>150</v>
      </c>
      <c r="E837" s="13">
        <v>2</v>
      </c>
      <c r="F837" s="38" t="s">
        <v>102</v>
      </c>
      <c r="G837" s="49">
        <v>4</v>
      </c>
      <c r="H837" s="39" t="str">
        <f>VLOOKUP(G837,[4]Key!$A$2:$B$13,2,FALSE)</f>
        <v>Minibus</v>
      </c>
      <c r="I837" s="13" t="s">
        <v>156</v>
      </c>
      <c r="J837" s="13">
        <v>1</v>
      </c>
      <c r="K837" s="40" t="str">
        <f>VLOOKUP(J837,[4]Key!$A$24:$B$29,2,FALSE)</f>
        <v>20-29</v>
      </c>
      <c r="L837" s="13" t="s">
        <v>454</v>
      </c>
      <c r="M837" s="23" t="s">
        <v>455</v>
      </c>
      <c r="N837" s="13" t="s">
        <v>152</v>
      </c>
      <c r="O837" s="46">
        <v>1</v>
      </c>
      <c r="P837" s="30" t="str">
        <f>VLOOKUP(O837,[4]Key!$E$2:$F$9,2,FALSE)</f>
        <v>Home</v>
      </c>
      <c r="Q837" s="13" t="s">
        <v>438</v>
      </c>
      <c r="R837" s="23" t="s">
        <v>446</v>
      </c>
      <c r="S837" s="13" t="s">
        <v>152</v>
      </c>
      <c r="T837" s="23">
        <v>4</v>
      </c>
      <c r="U837" s="30" t="str">
        <f>VLOOKUP(T837,[4]Key!$E$2:$F$9,2,FALSE)</f>
        <v>Commercial</v>
      </c>
      <c r="V837" s="30" t="str">
        <f t="shared" si="52"/>
        <v>Home-Commercial</v>
      </c>
      <c r="W837" s="51">
        <v>25000</v>
      </c>
      <c r="X837" s="50">
        <v>250</v>
      </c>
      <c r="Y837" s="50" t="str">
        <f t="shared" si="53"/>
        <v>Over 200</v>
      </c>
      <c r="Z837" s="50">
        <v>3</v>
      </c>
      <c r="AA837" s="50" t="str">
        <f t="shared" si="54"/>
        <v>2.0-3.5</v>
      </c>
      <c r="AB837" s="23">
        <v>2</v>
      </c>
      <c r="AC837" s="30" t="str">
        <f>VLOOKUP(AB837,[4]Key!$C$20:$D$29,2,FALSE)</f>
        <v>Manual Labour</v>
      </c>
      <c r="AD837" s="23">
        <v>2</v>
      </c>
      <c r="AE837" s="30" t="str">
        <f>VLOOKUP(AD837,[4]Key!$E$20:$F$24,2,FALSE)</f>
        <v>300,000-500,000</v>
      </c>
      <c r="AF837" s="23">
        <v>1</v>
      </c>
      <c r="AG837" s="50">
        <v>5</v>
      </c>
      <c r="AH837" s="50">
        <v>5</v>
      </c>
      <c r="AI837" s="50">
        <v>1</v>
      </c>
      <c r="AJ837" s="50">
        <v>5</v>
      </c>
      <c r="AK837" s="46" t="s">
        <v>94</v>
      </c>
      <c r="AL837" s="36">
        <v>1000</v>
      </c>
      <c r="AM837" t="str">
        <f t="shared" si="55"/>
        <v>1000-2000</v>
      </c>
    </row>
    <row r="838" spans="1:39" x14ac:dyDescent="0.2">
      <c r="A838" s="44" t="s">
        <v>544</v>
      </c>
      <c r="B838" s="48">
        <v>0.4777777777777778</v>
      </c>
      <c r="C838" s="48"/>
      <c r="D838" s="48" t="s">
        <v>150</v>
      </c>
      <c r="E838" s="13">
        <v>2</v>
      </c>
      <c r="F838" s="38" t="str">
        <f>VLOOKUP(E838,[4]Key!$A$17:$B$21,2,FALSE)</f>
        <v>Road Vehicle</v>
      </c>
      <c r="G838" s="49">
        <v>4</v>
      </c>
      <c r="H838" s="39" t="str">
        <f>VLOOKUP(G838,[4]Key!$A$2:$B$13,2,FALSE)</f>
        <v>Minibus</v>
      </c>
      <c r="I838" s="13" t="s">
        <v>156</v>
      </c>
      <c r="J838" s="13">
        <v>1</v>
      </c>
      <c r="K838" s="40" t="str">
        <f>VLOOKUP(J838,[4]Key!$A$24:$B$29,2,FALSE)</f>
        <v>20-29</v>
      </c>
      <c r="L838" s="13" t="s">
        <v>454</v>
      </c>
      <c r="M838" s="23" t="s">
        <v>455</v>
      </c>
      <c r="N838" s="13" t="s">
        <v>152</v>
      </c>
      <c r="O838" s="46">
        <v>2</v>
      </c>
      <c r="P838" s="30" t="str">
        <f>VLOOKUP(O838,[4]Key!$E$2:$F$9,2,FALSE)</f>
        <v>Work</v>
      </c>
      <c r="Q838" s="13" t="s">
        <v>560</v>
      </c>
      <c r="R838" s="23" t="s">
        <v>455</v>
      </c>
      <c r="S838" s="13" t="s">
        <v>152</v>
      </c>
      <c r="T838" s="23">
        <v>1</v>
      </c>
      <c r="U838" s="30" t="str">
        <f>VLOOKUP(T838,[4]Key!$E$2:$F$9,2,FALSE)</f>
        <v>Home</v>
      </c>
      <c r="V838" s="30" t="str">
        <f t="shared" si="52"/>
        <v>Work-Home</v>
      </c>
      <c r="W838" s="51">
        <v>3000</v>
      </c>
      <c r="X838" s="50">
        <v>12</v>
      </c>
      <c r="Y838" s="50" t="str">
        <f t="shared" si="53"/>
        <v>10-20</v>
      </c>
      <c r="Z838" s="50">
        <v>0.66</v>
      </c>
      <c r="AA838" s="50" t="str">
        <f t="shared" si="54"/>
        <v>0.5-1.0</v>
      </c>
      <c r="AB838" s="23">
        <v>7</v>
      </c>
      <c r="AC838" s="30" t="str">
        <f>VLOOKUP(AB838,[4]Key!$C$20:$D$29,2,FALSE)</f>
        <v>Farmer</v>
      </c>
      <c r="AD838" s="23">
        <v>1</v>
      </c>
      <c r="AE838" s="30" t="str">
        <f>VLOOKUP(AD838,[4]Key!$E$20:$F$24,2,FALSE)</f>
        <v>&lt;300,000</v>
      </c>
      <c r="AF838" s="23">
        <v>5</v>
      </c>
      <c r="AG838" s="50">
        <v>4</v>
      </c>
      <c r="AH838" s="50">
        <v>2</v>
      </c>
      <c r="AI838" s="50">
        <v>2</v>
      </c>
      <c r="AJ838" s="50">
        <v>2</v>
      </c>
      <c r="AK838" s="46" t="s">
        <v>94</v>
      </c>
      <c r="AL838" s="36">
        <v>0</v>
      </c>
      <c r="AM838" t="str">
        <f t="shared" si="55"/>
        <v>0-1000</v>
      </c>
    </row>
    <row r="839" spans="1:39" x14ac:dyDescent="0.2">
      <c r="A839" s="44" t="s">
        <v>544</v>
      </c>
      <c r="B839" s="48">
        <v>0.37708333333333338</v>
      </c>
      <c r="C839" s="48"/>
      <c r="D839" s="48" t="s">
        <v>97</v>
      </c>
      <c r="E839" s="13">
        <v>2</v>
      </c>
      <c r="F839" s="38" t="str">
        <f>VLOOKUP(E839,[4]Key!$A$17:$B$21,2,FALSE)</f>
        <v>Road Vehicle</v>
      </c>
      <c r="G839" s="49">
        <v>4</v>
      </c>
      <c r="H839" s="39" t="str">
        <f>VLOOKUP(G839,[4]Key!$A$2:$B$13,2,FALSE)</f>
        <v>Minibus</v>
      </c>
      <c r="I839" s="13" t="s">
        <v>156</v>
      </c>
      <c r="J839" s="13">
        <v>1</v>
      </c>
      <c r="K839" s="40" t="str">
        <f>VLOOKUP(J839,[4]Key!$A$24:$B$29,2,FALSE)</f>
        <v>20-29</v>
      </c>
      <c r="L839" s="13" t="s">
        <v>484</v>
      </c>
      <c r="M839" s="23" t="s">
        <v>485</v>
      </c>
      <c r="N839" s="13" t="s">
        <v>152</v>
      </c>
      <c r="O839" s="46">
        <v>2</v>
      </c>
      <c r="P839" s="30" t="str">
        <f>VLOOKUP(O839,[4]Key!$E$2:$F$9,2,FALSE)</f>
        <v>Work</v>
      </c>
      <c r="Q839" s="13" t="s">
        <v>434</v>
      </c>
      <c r="R839" s="23" t="s">
        <v>153</v>
      </c>
      <c r="S839" s="13" t="s">
        <v>152</v>
      </c>
      <c r="T839" s="23">
        <v>2</v>
      </c>
      <c r="U839" s="30" t="str">
        <f>VLOOKUP(T839,[4]Key!$E$2:$F$9,2,FALSE)</f>
        <v>Work</v>
      </c>
      <c r="V839" s="30" t="str">
        <f t="shared" si="52"/>
        <v>Work-Work</v>
      </c>
      <c r="W839" s="51">
        <v>400000</v>
      </c>
      <c r="X839" s="50">
        <v>480</v>
      </c>
      <c r="Y839" s="50" t="str">
        <f t="shared" si="53"/>
        <v>Over 200</v>
      </c>
      <c r="Z839" s="50">
        <v>13</v>
      </c>
      <c r="AA839" s="50" t="str">
        <f t="shared" si="54"/>
        <v>Over 3.5</v>
      </c>
      <c r="AB839" s="23">
        <v>5</v>
      </c>
      <c r="AC839" s="30" t="str">
        <f>VLOOKUP(AB839,[4]Key!$C$20:$D$29,2,FALSE)</f>
        <v>Professional</v>
      </c>
      <c r="AD839" s="23">
        <v>5</v>
      </c>
      <c r="AE839" s="30" t="str">
        <f>VLOOKUP(AD839,[4]Key!$E$20:$F$24,2,FALSE)</f>
        <v>&gt;1,000,000</v>
      </c>
      <c r="AF839" s="23">
        <v>1</v>
      </c>
      <c r="AG839" s="50">
        <v>1</v>
      </c>
      <c r="AH839" s="50">
        <v>1</v>
      </c>
      <c r="AI839" s="50">
        <v>1</v>
      </c>
      <c r="AJ839" s="50">
        <v>1</v>
      </c>
      <c r="AK839" s="46" t="s">
        <v>94</v>
      </c>
      <c r="AL839" s="36">
        <v>1000</v>
      </c>
      <c r="AM839" t="str">
        <f t="shared" si="55"/>
        <v>1000-2000</v>
      </c>
    </row>
    <row r="840" spans="1:39" x14ac:dyDescent="0.2">
      <c r="A840" s="44" t="s">
        <v>541</v>
      </c>
      <c r="B840" s="48">
        <v>0.73888888888888893</v>
      </c>
      <c r="C840" s="48" t="s">
        <v>561</v>
      </c>
      <c r="D840" s="48" t="s">
        <v>97</v>
      </c>
      <c r="E840" s="13">
        <v>2</v>
      </c>
      <c r="F840" s="38" t="str">
        <f>VLOOKUP(E840,[4]Key!$A$17:$B$21,2,FALSE)</f>
        <v>Road Vehicle</v>
      </c>
      <c r="G840" s="49">
        <v>4</v>
      </c>
      <c r="H840" s="39" t="str">
        <f>VLOOKUP(G840,[4]Key!$A$2:$B$13,2,FALSE)</f>
        <v>Minibus</v>
      </c>
      <c r="I840" s="13" t="s">
        <v>109</v>
      </c>
      <c r="J840" s="13">
        <v>1</v>
      </c>
      <c r="K840" s="40" t="str">
        <f>VLOOKUP(J840,[4]Key!$A$24:$B$29,2,FALSE)</f>
        <v>20-29</v>
      </c>
      <c r="L840" s="13" t="s">
        <v>454</v>
      </c>
      <c r="M840" s="23" t="s">
        <v>455</v>
      </c>
      <c r="N840" s="13" t="s">
        <v>152</v>
      </c>
      <c r="O840" s="46">
        <v>4</v>
      </c>
      <c r="P840" s="30" t="str">
        <f>VLOOKUP(O840,[4]Key!$E$2:$F$9,2,FALSE)</f>
        <v>Commercial</v>
      </c>
      <c r="Q840" s="13" t="s">
        <v>510</v>
      </c>
      <c r="R840" s="23" t="s">
        <v>511</v>
      </c>
      <c r="S840" s="13" t="s">
        <v>152</v>
      </c>
      <c r="T840" s="23">
        <v>4</v>
      </c>
      <c r="U840" s="30" t="str">
        <f>VLOOKUP(T840,[4]Key!$E$2:$F$9,2,FALSE)</f>
        <v>Commercial</v>
      </c>
      <c r="V840" s="30" t="str">
        <f t="shared" si="52"/>
        <v>Commercial-Commercial</v>
      </c>
      <c r="W840" s="51">
        <v>100000</v>
      </c>
      <c r="X840" s="50">
        <v>370</v>
      </c>
      <c r="Y840" s="50" t="str">
        <f t="shared" si="53"/>
        <v>Over 200</v>
      </c>
      <c r="Z840" s="50">
        <v>4</v>
      </c>
      <c r="AA840" s="50" t="str">
        <f t="shared" si="54"/>
        <v>Over 3.5</v>
      </c>
      <c r="AB840" s="23">
        <v>5</v>
      </c>
      <c r="AC840" s="30" t="str">
        <f>VLOOKUP(AB840,[4]Key!$C$20:$D$29,2,FALSE)</f>
        <v>Professional</v>
      </c>
      <c r="AD840" s="23">
        <v>2</v>
      </c>
      <c r="AE840" s="30" t="str">
        <f>VLOOKUP(AD840,[4]Key!$E$20:$F$24,2,FALSE)</f>
        <v>300,000-500,000</v>
      </c>
      <c r="AF840" s="23">
        <v>4</v>
      </c>
      <c r="AG840" s="50">
        <v>5</v>
      </c>
      <c r="AH840" s="50">
        <v>1</v>
      </c>
      <c r="AI840" s="50">
        <v>1</v>
      </c>
      <c r="AJ840" s="50">
        <v>1</v>
      </c>
      <c r="AK840" s="46" t="s">
        <v>94</v>
      </c>
      <c r="AL840" s="36">
        <v>2000</v>
      </c>
      <c r="AM840" t="str">
        <f t="shared" si="55"/>
        <v>2000-3000</v>
      </c>
    </row>
    <row r="841" spans="1:39" x14ac:dyDescent="0.2">
      <c r="A841" s="44" t="s">
        <v>547</v>
      </c>
      <c r="B841" s="48">
        <v>0.44236111111111115</v>
      </c>
      <c r="C841" s="48"/>
      <c r="D841" s="48" t="s">
        <v>150</v>
      </c>
      <c r="E841" s="13">
        <v>2</v>
      </c>
      <c r="F841" s="38" t="str">
        <f>VLOOKUP(E841,[4]Key!$A$17:$B$21,2,FALSE)</f>
        <v>Road Vehicle</v>
      </c>
      <c r="G841" s="49">
        <v>4</v>
      </c>
      <c r="H841" s="39" t="str">
        <f>VLOOKUP(G841,[4]Key!$A$2:$B$13,2,FALSE)</f>
        <v>Minibus</v>
      </c>
      <c r="I841" s="13" t="s">
        <v>109</v>
      </c>
      <c r="J841" s="13">
        <v>1</v>
      </c>
      <c r="K841" s="40" t="str">
        <f>VLOOKUP(J841,[4]Key!$A$24:$B$29,2,FALSE)</f>
        <v>20-29</v>
      </c>
      <c r="L841" s="13" t="s">
        <v>454</v>
      </c>
      <c r="M841" s="23" t="s">
        <v>455</v>
      </c>
      <c r="N841" s="13" t="s">
        <v>152</v>
      </c>
      <c r="O841" s="46">
        <v>1</v>
      </c>
      <c r="P841" s="30" t="str">
        <f>VLOOKUP(O841,[4]Key!$E$2:$F$9,2,FALSE)</f>
        <v>Home</v>
      </c>
      <c r="Q841" s="13" t="s">
        <v>562</v>
      </c>
      <c r="R841" s="23" t="s">
        <v>563</v>
      </c>
      <c r="S841" s="13" t="s">
        <v>152</v>
      </c>
      <c r="T841" s="23">
        <v>1</v>
      </c>
      <c r="U841" s="30" t="str">
        <f>VLOOKUP(T841,[4]Key!$E$2:$F$9,2,FALSE)</f>
        <v>Home</v>
      </c>
      <c r="V841" s="30" t="str">
        <f t="shared" si="52"/>
        <v>Home-Home</v>
      </c>
      <c r="W841" s="51">
        <v>50000</v>
      </c>
      <c r="X841" s="50">
        <v>300</v>
      </c>
      <c r="Y841" s="50" t="str">
        <f t="shared" si="53"/>
        <v>Over 200</v>
      </c>
      <c r="Z841" s="50">
        <v>5</v>
      </c>
      <c r="AA841" s="50" t="str">
        <f t="shared" si="54"/>
        <v>Over 3.5</v>
      </c>
      <c r="AB841" s="23">
        <v>1</v>
      </c>
      <c r="AC841" s="30" t="str">
        <f>VLOOKUP(AB841,[4]Key!$C$20:$D$29,2,FALSE)</f>
        <v>Unemployed</v>
      </c>
      <c r="AD841" s="23">
        <v>1</v>
      </c>
      <c r="AE841" s="30" t="str">
        <f>VLOOKUP(AD841,[4]Key!$E$20:$F$24,2,FALSE)</f>
        <v>&lt;300,000</v>
      </c>
      <c r="AF841" s="23">
        <v>5</v>
      </c>
      <c r="AG841" s="50">
        <v>5</v>
      </c>
      <c r="AH841" s="50">
        <v>1</v>
      </c>
      <c r="AI841" s="50">
        <v>5</v>
      </c>
      <c r="AJ841" s="50">
        <v>5</v>
      </c>
      <c r="AK841" s="46" t="s">
        <v>94</v>
      </c>
      <c r="AL841" s="36">
        <v>0</v>
      </c>
      <c r="AM841" t="str">
        <f t="shared" si="55"/>
        <v>0-1000</v>
      </c>
    </row>
    <row r="842" spans="1:39" x14ac:dyDescent="0.2">
      <c r="A842" s="44" t="s">
        <v>547</v>
      </c>
      <c r="B842" s="48">
        <v>0.51666666666666672</v>
      </c>
      <c r="C842" s="48"/>
      <c r="D842" s="48" t="s">
        <v>150</v>
      </c>
      <c r="E842" s="13">
        <v>2</v>
      </c>
      <c r="F842" s="38" t="str">
        <f>VLOOKUP(E842,[4]Key!$A$17:$B$21,2,FALSE)</f>
        <v>Road Vehicle</v>
      </c>
      <c r="G842" s="49">
        <v>4</v>
      </c>
      <c r="H842" s="39" t="str">
        <f>VLOOKUP(G842,[4]Key!$A$2:$B$13,2,FALSE)</f>
        <v>Minibus</v>
      </c>
      <c r="I842" s="13" t="s">
        <v>109</v>
      </c>
      <c r="J842" s="13">
        <v>1</v>
      </c>
      <c r="K842" s="40" t="str">
        <f>VLOOKUP(J842,[4]Key!$A$24:$B$29,2,FALSE)</f>
        <v>20-29</v>
      </c>
      <c r="L842" s="13" t="s">
        <v>454</v>
      </c>
      <c r="M842" s="23" t="s">
        <v>455</v>
      </c>
      <c r="N842" s="13" t="s">
        <v>152</v>
      </c>
      <c r="O842" s="46">
        <v>1</v>
      </c>
      <c r="P842" s="30" t="str">
        <f>VLOOKUP(O842,[4]Key!$E$2:$F$9,2,FALSE)</f>
        <v>Home</v>
      </c>
      <c r="Q842" s="13" t="s">
        <v>424</v>
      </c>
      <c r="R842" s="23" t="s">
        <v>421</v>
      </c>
      <c r="S842" s="13" t="s">
        <v>152</v>
      </c>
      <c r="T842" s="23">
        <v>3</v>
      </c>
      <c r="U842" s="30" t="str">
        <f>VLOOKUP(T842,[4]Key!$E$2:$F$9,2,FALSE)</f>
        <v>Study</v>
      </c>
      <c r="V842" s="30" t="str">
        <f t="shared" si="52"/>
        <v>Home-Study</v>
      </c>
      <c r="W842" s="51">
        <v>15000</v>
      </c>
      <c r="X842" s="50">
        <v>136</v>
      </c>
      <c r="Y842" s="50" t="str">
        <f t="shared" si="53"/>
        <v>100-200</v>
      </c>
      <c r="Z842" s="50">
        <v>2</v>
      </c>
      <c r="AA842" s="50" t="str">
        <f t="shared" si="54"/>
        <v>2.0-3.5</v>
      </c>
      <c r="AB842" s="23">
        <v>1</v>
      </c>
      <c r="AC842" s="30" t="str">
        <f>VLOOKUP(AB842,[4]Key!$C$20:$D$29,2,FALSE)</f>
        <v>Unemployed</v>
      </c>
      <c r="AD842" s="23">
        <v>1</v>
      </c>
      <c r="AE842" s="30" t="str">
        <f>VLOOKUP(AD842,[4]Key!$E$20:$F$24,2,FALSE)</f>
        <v>&lt;300,000</v>
      </c>
      <c r="AF842" s="23">
        <v>1</v>
      </c>
      <c r="AG842" s="50">
        <v>1</v>
      </c>
      <c r="AH842" s="50">
        <v>1</v>
      </c>
      <c r="AI842" s="50">
        <v>1</v>
      </c>
      <c r="AJ842" s="50">
        <v>1</v>
      </c>
      <c r="AK842" s="46" t="s">
        <v>94</v>
      </c>
      <c r="AL842" s="36">
        <v>0</v>
      </c>
      <c r="AM842" t="str">
        <f t="shared" si="55"/>
        <v>0-1000</v>
      </c>
    </row>
    <row r="843" spans="1:39" x14ac:dyDescent="0.2">
      <c r="A843" s="44" t="s">
        <v>547</v>
      </c>
      <c r="B843" s="48">
        <v>0.52152777777777781</v>
      </c>
      <c r="C843" s="48"/>
      <c r="D843" s="48" t="s">
        <v>150</v>
      </c>
      <c r="E843" s="13">
        <v>2</v>
      </c>
      <c r="F843" s="38" t="str">
        <f>VLOOKUP(E843,[4]Key!$A$17:$B$21,2,FALSE)</f>
        <v>Road Vehicle</v>
      </c>
      <c r="G843" s="49">
        <v>4</v>
      </c>
      <c r="H843" s="39" t="str">
        <f>VLOOKUP(G843,[4]Key!$A$2:$B$13,2,FALSE)</f>
        <v>Minibus</v>
      </c>
      <c r="I843" s="13" t="s">
        <v>109</v>
      </c>
      <c r="J843" s="13">
        <v>1</v>
      </c>
      <c r="K843" s="40" t="str">
        <f>VLOOKUP(J843,[4]Key!$A$24:$B$29,2,FALSE)</f>
        <v>20-29</v>
      </c>
      <c r="L843" s="13" t="s">
        <v>454</v>
      </c>
      <c r="M843" s="23" t="s">
        <v>455</v>
      </c>
      <c r="N843" s="13" t="s">
        <v>152</v>
      </c>
      <c r="O843" s="46">
        <v>1</v>
      </c>
      <c r="P843" s="30" t="str">
        <f>VLOOKUP(O843,[4]Key!$E$2:$F$9,2,FALSE)</f>
        <v>Home</v>
      </c>
      <c r="Q843" s="13" t="s">
        <v>467</v>
      </c>
      <c r="R843" s="23" t="s">
        <v>468</v>
      </c>
      <c r="S843" s="13" t="s">
        <v>152</v>
      </c>
      <c r="T843" s="23">
        <v>6</v>
      </c>
      <c r="U843" s="30" t="str">
        <f>VLOOKUP(T843,[4]Key!$E$2:$F$9,2,FALSE)</f>
        <v>Leisure/Social</v>
      </c>
      <c r="V843" s="30" t="str">
        <f t="shared" si="52"/>
        <v>Home-Leisure/Social</v>
      </c>
      <c r="W843" s="51">
        <v>30000</v>
      </c>
      <c r="X843" s="50">
        <v>470</v>
      </c>
      <c r="Y843" s="50" t="str">
        <f t="shared" si="53"/>
        <v>Over 200</v>
      </c>
      <c r="Z843" s="50">
        <v>5</v>
      </c>
      <c r="AA843" s="50" t="str">
        <f t="shared" si="54"/>
        <v>Over 3.5</v>
      </c>
      <c r="AB843" s="23">
        <v>1</v>
      </c>
      <c r="AC843" s="30" t="str">
        <f>VLOOKUP(AB843,[4]Key!$C$20:$D$29,2,FALSE)</f>
        <v>Unemployed</v>
      </c>
      <c r="AD843" s="23">
        <v>1</v>
      </c>
      <c r="AE843" s="30" t="str">
        <f>VLOOKUP(AD843,[4]Key!$E$20:$F$24,2,FALSE)</f>
        <v>&lt;300,000</v>
      </c>
      <c r="AF843" s="23">
        <v>5</v>
      </c>
      <c r="AG843" s="50">
        <v>5</v>
      </c>
      <c r="AH843" s="50">
        <v>5</v>
      </c>
      <c r="AI843" s="50">
        <v>5</v>
      </c>
      <c r="AJ843" s="50">
        <v>1</v>
      </c>
      <c r="AK843" s="46" t="s">
        <v>94</v>
      </c>
      <c r="AL843" s="36">
        <v>0</v>
      </c>
      <c r="AM843" t="str">
        <f t="shared" si="55"/>
        <v>0-1000</v>
      </c>
    </row>
    <row r="844" spans="1:39" x14ac:dyDescent="0.2">
      <c r="A844" s="44" t="s">
        <v>547</v>
      </c>
      <c r="B844" s="48">
        <v>0.56319444444444444</v>
      </c>
      <c r="C844" s="48"/>
      <c r="D844" s="48" t="s">
        <v>150</v>
      </c>
      <c r="E844" s="13">
        <v>2</v>
      </c>
      <c r="F844" s="38" t="str">
        <f>VLOOKUP(E844,[4]Key!$A$17:$B$21,2,FALSE)</f>
        <v>Road Vehicle</v>
      </c>
      <c r="G844" s="49">
        <v>4</v>
      </c>
      <c r="H844" s="39" t="str">
        <f>VLOOKUP(G844,[4]Key!$A$2:$B$13,2,FALSE)</f>
        <v>Minibus</v>
      </c>
      <c r="I844" s="13" t="s">
        <v>109</v>
      </c>
      <c r="J844" s="13">
        <v>1</v>
      </c>
      <c r="K844" s="40" t="str">
        <f>VLOOKUP(J844,[4]Key!$A$24:$B$29,2,FALSE)</f>
        <v>20-29</v>
      </c>
      <c r="L844" s="13" t="s">
        <v>454</v>
      </c>
      <c r="M844" s="23" t="s">
        <v>455</v>
      </c>
      <c r="N844" s="13" t="s">
        <v>152</v>
      </c>
      <c r="O844" s="46">
        <v>1</v>
      </c>
      <c r="P844" s="30" t="str">
        <f>VLOOKUP(O844,[4]Key!$E$2:$F$9,2,FALSE)</f>
        <v>Home</v>
      </c>
      <c r="Q844" s="13" t="s">
        <v>424</v>
      </c>
      <c r="R844" s="23" t="s">
        <v>421</v>
      </c>
      <c r="S844" s="13" t="s">
        <v>152</v>
      </c>
      <c r="T844" s="23">
        <v>7</v>
      </c>
      <c r="U844" s="30" t="str">
        <f>VLOOKUP(T844,[4]Key!$E$2:$F$9,2,FALSE)</f>
        <v>Hospital</v>
      </c>
      <c r="V844" s="30" t="str">
        <f t="shared" si="52"/>
        <v>Home-Hospital</v>
      </c>
      <c r="W844" s="51">
        <v>15000</v>
      </c>
      <c r="X844" s="50">
        <v>137</v>
      </c>
      <c r="Y844" s="50" t="str">
        <f t="shared" si="53"/>
        <v>100-200</v>
      </c>
      <c r="Z844" s="50">
        <v>2.5</v>
      </c>
      <c r="AA844" s="50" t="str">
        <f t="shared" si="54"/>
        <v>2.0-3.5</v>
      </c>
      <c r="AB844" s="23">
        <v>1</v>
      </c>
      <c r="AC844" s="30" t="str">
        <f>VLOOKUP(AB844,[4]Key!$C$20:$D$29,2,FALSE)</f>
        <v>Unemployed</v>
      </c>
      <c r="AD844" s="23">
        <v>1</v>
      </c>
      <c r="AE844" s="30" t="str">
        <f>VLOOKUP(AD844,[4]Key!$E$20:$F$24,2,FALSE)</f>
        <v>&lt;300,000</v>
      </c>
      <c r="AF844" s="23">
        <v>5</v>
      </c>
      <c r="AG844" s="50">
        <v>1</v>
      </c>
      <c r="AH844" s="50">
        <v>1</v>
      </c>
      <c r="AI844" s="50">
        <v>1</v>
      </c>
      <c r="AJ844" s="50">
        <v>1</v>
      </c>
      <c r="AK844" s="46" t="s">
        <v>94</v>
      </c>
      <c r="AL844" s="36">
        <v>500</v>
      </c>
      <c r="AM844" t="str">
        <f t="shared" si="55"/>
        <v>0-1000</v>
      </c>
    </row>
    <row r="845" spans="1:39" x14ac:dyDescent="0.2">
      <c r="A845" s="44" t="s">
        <v>547</v>
      </c>
      <c r="B845" s="48">
        <v>0.6430555555555556</v>
      </c>
      <c r="C845" s="48" t="s">
        <v>564</v>
      </c>
      <c r="D845" s="48" t="s">
        <v>97</v>
      </c>
      <c r="E845" s="13">
        <v>2</v>
      </c>
      <c r="F845" s="38" t="str">
        <f>VLOOKUP(E845,[4]Key!$A$17:$B$21,2,FALSE)</f>
        <v>Road Vehicle</v>
      </c>
      <c r="G845" s="49">
        <v>4</v>
      </c>
      <c r="H845" s="39" t="str">
        <f>VLOOKUP(G845,[4]Key!$A$2:$B$13,2,FALSE)</f>
        <v>Minibus</v>
      </c>
      <c r="I845" s="13" t="s">
        <v>109</v>
      </c>
      <c r="J845" s="13">
        <v>1</v>
      </c>
      <c r="K845" s="40" t="str">
        <f>VLOOKUP(J845,[4]Key!$A$24:$B$29,2,FALSE)</f>
        <v>20-29</v>
      </c>
      <c r="L845" s="13" t="s">
        <v>454</v>
      </c>
      <c r="M845" s="23" t="s">
        <v>455</v>
      </c>
      <c r="N845" s="13" t="s">
        <v>152</v>
      </c>
      <c r="O845" s="46">
        <v>4</v>
      </c>
      <c r="P845" s="30" t="str">
        <f>VLOOKUP(O845,[4]Key!$E$2:$F$9,2,FALSE)</f>
        <v>Commercial</v>
      </c>
      <c r="Q845" s="13" t="s">
        <v>424</v>
      </c>
      <c r="R845" s="23" t="s">
        <v>421</v>
      </c>
      <c r="S845" s="13" t="s">
        <v>152</v>
      </c>
      <c r="T845" s="23">
        <v>4</v>
      </c>
      <c r="U845" s="30" t="str">
        <f>VLOOKUP(T845,[4]Key!$E$2:$F$9,2,FALSE)</f>
        <v>Commercial</v>
      </c>
      <c r="V845" s="30" t="str">
        <f t="shared" si="52"/>
        <v>Commercial-Commercial</v>
      </c>
      <c r="W845" s="51">
        <v>10000</v>
      </c>
      <c r="X845" s="50">
        <v>136</v>
      </c>
      <c r="Y845" s="50" t="str">
        <f t="shared" si="53"/>
        <v>100-200</v>
      </c>
      <c r="Z845" s="50">
        <v>3</v>
      </c>
      <c r="AA845" s="50" t="str">
        <f t="shared" si="54"/>
        <v>2.0-3.5</v>
      </c>
      <c r="AB845" s="23">
        <v>5</v>
      </c>
      <c r="AC845" s="30" t="str">
        <f>VLOOKUP(AB845,[4]Key!$C$20:$D$29,2,FALSE)</f>
        <v>Professional</v>
      </c>
      <c r="AD845" s="23">
        <v>2</v>
      </c>
      <c r="AE845" s="30" t="str">
        <f>VLOOKUP(AD845,[4]Key!$E$20:$F$24,2,FALSE)</f>
        <v>300,000-500,000</v>
      </c>
      <c r="AF845" s="23">
        <v>1</v>
      </c>
      <c r="AG845" s="50">
        <v>1</v>
      </c>
      <c r="AH845" s="50">
        <v>1</v>
      </c>
      <c r="AI845" s="50">
        <v>1</v>
      </c>
      <c r="AJ845" s="50">
        <v>5</v>
      </c>
      <c r="AK845" s="46" t="s">
        <v>94</v>
      </c>
      <c r="AL845" s="36">
        <v>1000</v>
      </c>
      <c r="AM845" t="str">
        <f t="shared" si="55"/>
        <v>1000-2000</v>
      </c>
    </row>
    <row r="846" spans="1:39" x14ac:dyDescent="0.2">
      <c r="A846" s="44" t="s">
        <v>547</v>
      </c>
      <c r="B846" s="48">
        <v>0.65763888888888888</v>
      </c>
      <c r="C846" s="48"/>
      <c r="D846" s="48" t="s">
        <v>150</v>
      </c>
      <c r="E846" s="13">
        <v>2</v>
      </c>
      <c r="F846" s="38" t="str">
        <f>VLOOKUP(E846,[4]Key!$A$17:$B$21,2,FALSE)</f>
        <v>Road Vehicle</v>
      </c>
      <c r="G846" s="49">
        <v>4</v>
      </c>
      <c r="H846" s="39" t="str">
        <f>VLOOKUP(G846,[4]Key!$A$2:$B$13,2,FALSE)</f>
        <v>Minibus</v>
      </c>
      <c r="I846" s="13" t="s">
        <v>109</v>
      </c>
      <c r="J846" s="13">
        <v>1</v>
      </c>
      <c r="K846" s="40" t="str">
        <f>VLOOKUP(J846,[4]Key!$A$24:$B$29,2,FALSE)</f>
        <v>20-29</v>
      </c>
      <c r="L846" s="13" t="s">
        <v>454</v>
      </c>
      <c r="M846" s="23" t="s">
        <v>455</v>
      </c>
      <c r="N846" s="13" t="s">
        <v>152</v>
      </c>
      <c r="O846" s="46">
        <v>1</v>
      </c>
      <c r="P846" s="30" t="str">
        <f>VLOOKUP(O846,[4]Key!$E$2:$F$9,2,FALSE)</f>
        <v>Home</v>
      </c>
      <c r="Q846" s="13" t="s">
        <v>438</v>
      </c>
      <c r="R846" s="23" t="s">
        <v>446</v>
      </c>
      <c r="S846" s="13" t="s">
        <v>152</v>
      </c>
      <c r="T846" s="23">
        <v>6</v>
      </c>
      <c r="U846" s="30" t="str">
        <f>VLOOKUP(T846,[4]Key!$E$2:$F$9,2,FALSE)</f>
        <v>Leisure/Social</v>
      </c>
      <c r="V846" s="30" t="str">
        <f t="shared" si="52"/>
        <v>Home-Leisure/Social</v>
      </c>
      <c r="W846" s="51">
        <v>25000</v>
      </c>
      <c r="X846" s="50">
        <v>137</v>
      </c>
      <c r="Y846" s="50" t="str">
        <f t="shared" si="53"/>
        <v>100-200</v>
      </c>
      <c r="Z846" s="50">
        <v>2.5</v>
      </c>
      <c r="AA846" s="50" t="str">
        <f t="shared" si="54"/>
        <v>2.0-3.5</v>
      </c>
      <c r="AB846" s="23">
        <v>1</v>
      </c>
      <c r="AC846" s="30" t="str">
        <f>VLOOKUP(AB846,[4]Key!$C$20:$D$29,2,FALSE)</f>
        <v>Unemployed</v>
      </c>
      <c r="AD846" s="23">
        <v>1</v>
      </c>
      <c r="AE846" s="30" t="str">
        <f>VLOOKUP(AD846,[4]Key!$E$20:$F$24,2,FALSE)</f>
        <v>&lt;300,000</v>
      </c>
      <c r="AF846" s="23">
        <v>5</v>
      </c>
      <c r="AG846" s="50">
        <v>1</v>
      </c>
      <c r="AH846" s="50">
        <v>1</v>
      </c>
      <c r="AI846" s="50">
        <v>1</v>
      </c>
      <c r="AJ846" s="50">
        <v>1</v>
      </c>
      <c r="AK846" s="46" t="s">
        <v>94</v>
      </c>
      <c r="AL846" s="36">
        <v>0</v>
      </c>
      <c r="AM846" t="str">
        <f t="shared" si="55"/>
        <v>0-1000</v>
      </c>
    </row>
    <row r="847" spans="1:39" x14ac:dyDescent="0.2">
      <c r="A847" s="44" t="s">
        <v>547</v>
      </c>
      <c r="B847" s="48">
        <v>0.66597222222222219</v>
      </c>
      <c r="C847" s="48"/>
      <c r="D847" s="48" t="s">
        <v>150</v>
      </c>
      <c r="E847" s="13">
        <v>2</v>
      </c>
      <c r="F847" s="38" t="str">
        <f>VLOOKUP(E847,[4]Key!$A$17:$B$21,2,FALSE)</f>
        <v>Road Vehicle</v>
      </c>
      <c r="G847" s="49">
        <v>4</v>
      </c>
      <c r="H847" s="39" t="str">
        <f>VLOOKUP(G847,[4]Key!$A$2:$B$13,2,FALSE)</f>
        <v>Minibus</v>
      </c>
      <c r="I847" s="13" t="s">
        <v>109</v>
      </c>
      <c r="J847" s="13">
        <v>1</v>
      </c>
      <c r="K847" s="40" t="str">
        <f>VLOOKUP(J847,[4]Key!$A$24:$B$29,2,FALSE)</f>
        <v>20-29</v>
      </c>
      <c r="L847" s="13" t="s">
        <v>454</v>
      </c>
      <c r="M847" s="23" t="s">
        <v>455</v>
      </c>
      <c r="N847" s="13" t="s">
        <v>152</v>
      </c>
      <c r="O847" s="46">
        <v>1</v>
      </c>
      <c r="P847" s="30" t="str">
        <f>VLOOKUP(O847,[4]Key!$E$2:$F$9,2,FALSE)</f>
        <v>Home</v>
      </c>
      <c r="Q847" s="13" t="s">
        <v>424</v>
      </c>
      <c r="R847" s="23" t="s">
        <v>421</v>
      </c>
      <c r="S847" s="13" t="s">
        <v>152</v>
      </c>
      <c r="T847" s="23">
        <v>3</v>
      </c>
      <c r="U847" s="30" t="str">
        <f>VLOOKUP(T847,[4]Key!$E$2:$F$9,2,FALSE)</f>
        <v>Study</v>
      </c>
      <c r="V847" s="30" t="str">
        <f t="shared" si="52"/>
        <v>Home-Study</v>
      </c>
      <c r="W847" s="51">
        <v>15000</v>
      </c>
      <c r="X847" s="50">
        <v>136</v>
      </c>
      <c r="Y847" s="50" t="str">
        <f t="shared" si="53"/>
        <v>100-200</v>
      </c>
      <c r="Z847" s="50">
        <v>2</v>
      </c>
      <c r="AA847" s="50" t="str">
        <f t="shared" si="54"/>
        <v>2.0-3.5</v>
      </c>
      <c r="AB847" s="23">
        <v>1</v>
      </c>
      <c r="AC847" s="30" t="str">
        <f>VLOOKUP(AB847,[4]Key!$C$20:$D$29,2,FALSE)</f>
        <v>Unemployed</v>
      </c>
      <c r="AD847" s="23">
        <v>1</v>
      </c>
      <c r="AE847" s="30" t="str">
        <f>VLOOKUP(AD847,[4]Key!$E$20:$F$24,2,FALSE)</f>
        <v>&lt;300,000</v>
      </c>
      <c r="AF847" s="23">
        <v>1</v>
      </c>
      <c r="AG847" s="50">
        <v>1</v>
      </c>
      <c r="AH847" s="50">
        <v>1</v>
      </c>
      <c r="AI847" s="50">
        <v>1</v>
      </c>
      <c r="AJ847" s="50">
        <v>1</v>
      </c>
      <c r="AK847" s="46" t="s">
        <v>94</v>
      </c>
      <c r="AL847" s="36">
        <v>0</v>
      </c>
      <c r="AM847" t="str">
        <f t="shared" si="55"/>
        <v>0-1000</v>
      </c>
    </row>
    <row r="848" spans="1:39" x14ac:dyDescent="0.2">
      <c r="A848" s="44" t="s">
        <v>547</v>
      </c>
      <c r="B848" s="48">
        <v>0.67708333333333337</v>
      </c>
      <c r="C848" s="48"/>
      <c r="D848" s="48" t="s">
        <v>150</v>
      </c>
      <c r="E848" s="13">
        <v>2</v>
      </c>
      <c r="F848" s="38" t="str">
        <f>VLOOKUP(E848,[4]Key!$A$17:$B$21,2,FALSE)</f>
        <v>Road Vehicle</v>
      </c>
      <c r="G848" s="49">
        <v>4</v>
      </c>
      <c r="H848" s="39" t="str">
        <f>VLOOKUP(G848,[4]Key!$A$2:$B$13,2,FALSE)</f>
        <v>Minibus</v>
      </c>
      <c r="I848" s="13" t="s">
        <v>109</v>
      </c>
      <c r="J848" s="13">
        <v>1</v>
      </c>
      <c r="K848" s="40" t="str">
        <f>VLOOKUP(J848,[4]Key!$A$24:$B$29,2,FALSE)</f>
        <v>20-29</v>
      </c>
      <c r="L848" s="13" t="s">
        <v>454</v>
      </c>
      <c r="M848" s="23" t="s">
        <v>455</v>
      </c>
      <c r="N848" s="13" t="s">
        <v>152</v>
      </c>
      <c r="O848" s="46">
        <v>1</v>
      </c>
      <c r="P848" s="30" t="str">
        <f>VLOOKUP(O848,[4]Key!$E$2:$F$9,2,FALSE)</f>
        <v>Home</v>
      </c>
      <c r="Q848" s="13" t="s">
        <v>424</v>
      </c>
      <c r="R848" s="23" t="s">
        <v>421</v>
      </c>
      <c r="S848" s="13" t="s">
        <v>152</v>
      </c>
      <c r="T848" s="23">
        <v>7</v>
      </c>
      <c r="U848" s="30" t="str">
        <f>VLOOKUP(T848,[4]Key!$E$2:$F$9,2,FALSE)</f>
        <v>Hospital</v>
      </c>
      <c r="V848" s="30" t="str">
        <f t="shared" si="52"/>
        <v>Home-Hospital</v>
      </c>
      <c r="W848" s="51">
        <v>15000</v>
      </c>
      <c r="X848" s="50">
        <v>133</v>
      </c>
      <c r="Y848" s="50" t="str">
        <f t="shared" si="53"/>
        <v>100-200</v>
      </c>
      <c r="Z848" s="50">
        <v>2</v>
      </c>
      <c r="AA848" s="50" t="str">
        <f t="shared" si="54"/>
        <v>2.0-3.5</v>
      </c>
      <c r="AB848" s="23">
        <v>1</v>
      </c>
      <c r="AC848" s="30" t="str">
        <f>VLOOKUP(AB848,[4]Key!$C$20:$D$29,2,FALSE)</f>
        <v>Unemployed</v>
      </c>
      <c r="AD848" s="23">
        <v>1</v>
      </c>
      <c r="AE848" s="30" t="str">
        <f>VLOOKUP(AD848,[4]Key!$E$20:$F$24,2,FALSE)</f>
        <v>&lt;300,000</v>
      </c>
      <c r="AF848" s="23">
        <v>1</v>
      </c>
      <c r="AG848" s="50">
        <v>1</v>
      </c>
      <c r="AH848" s="50">
        <v>1</v>
      </c>
      <c r="AI848" s="50">
        <v>1</v>
      </c>
      <c r="AJ848" s="50">
        <v>1</v>
      </c>
      <c r="AK848" s="46" t="s">
        <v>94</v>
      </c>
      <c r="AL848" s="36">
        <v>0</v>
      </c>
      <c r="AM848" t="str">
        <f t="shared" si="55"/>
        <v>0-1000</v>
      </c>
    </row>
    <row r="849" spans="1:39" x14ac:dyDescent="0.2">
      <c r="A849" s="44" t="s">
        <v>544</v>
      </c>
      <c r="B849" s="48">
        <v>0.3444444444444445</v>
      </c>
      <c r="C849" s="48"/>
      <c r="D849" s="48" t="s">
        <v>150</v>
      </c>
      <c r="E849" s="13">
        <v>2</v>
      </c>
      <c r="F849" s="38" t="str">
        <f>VLOOKUP(E849,[4]Key!$A$17:$B$21,2,FALSE)</f>
        <v>Road Vehicle</v>
      </c>
      <c r="G849" s="49">
        <v>4</v>
      </c>
      <c r="H849" s="39" t="str">
        <f>VLOOKUP(G849,[4]Key!$A$2:$B$13,2,FALSE)</f>
        <v>Minibus</v>
      </c>
      <c r="I849" s="13" t="s">
        <v>109</v>
      </c>
      <c r="J849" s="13">
        <v>1</v>
      </c>
      <c r="K849" s="40" t="str">
        <f>VLOOKUP(J849,[4]Key!$A$24:$B$29,2,FALSE)</f>
        <v>20-29</v>
      </c>
      <c r="L849" s="13" t="s">
        <v>552</v>
      </c>
      <c r="M849" s="23" t="s">
        <v>455</v>
      </c>
      <c r="N849" s="13" t="s">
        <v>152</v>
      </c>
      <c r="O849" s="46">
        <v>1</v>
      </c>
      <c r="P849" s="30" t="str">
        <f>VLOOKUP(O849,[4]Key!$E$2:$F$9,2,FALSE)</f>
        <v>Home</v>
      </c>
      <c r="Q849" s="13" t="s">
        <v>454</v>
      </c>
      <c r="R849" s="23" t="s">
        <v>455</v>
      </c>
      <c r="S849" s="13" t="s">
        <v>152</v>
      </c>
      <c r="T849" s="23">
        <v>3</v>
      </c>
      <c r="U849" s="30" t="str">
        <f>VLOOKUP(T849,[4]Key!$E$2:$F$9,2,FALSE)</f>
        <v>Study</v>
      </c>
      <c r="V849" s="30" t="str">
        <f t="shared" si="52"/>
        <v>Home-Study</v>
      </c>
      <c r="W849" s="51">
        <v>2000</v>
      </c>
      <c r="X849" s="50">
        <v>23</v>
      </c>
      <c r="Y849" s="50" t="str">
        <f t="shared" si="53"/>
        <v>20-40</v>
      </c>
      <c r="Z849" s="50">
        <v>0.57999999999999996</v>
      </c>
      <c r="AA849" s="50" t="str">
        <f t="shared" si="54"/>
        <v>0.5-1.0</v>
      </c>
      <c r="AB849" s="23">
        <v>1</v>
      </c>
      <c r="AC849" s="30" t="str">
        <f>VLOOKUP(AB849,[4]Key!$C$20:$D$29,2,FALSE)</f>
        <v>Unemployed</v>
      </c>
      <c r="AD849" s="23">
        <v>1</v>
      </c>
      <c r="AE849" s="30" t="str">
        <f>VLOOKUP(AD849,[4]Key!$E$20:$F$24,2,FALSE)</f>
        <v>&lt;300,000</v>
      </c>
      <c r="AF849" s="23">
        <v>1</v>
      </c>
      <c r="AG849" s="50">
        <v>1</v>
      </c>
      <c r="AH849" s="50">
        <v>1</v>
      </c>
      <c r="AI849" s="50">
        <v>2</v>
      </c>
      <c r="AJ849" s="50">
        <v>2</v>
      </c>
      <c r="AK849" s="46" t="s">
        <v>94</v>
      </c>
      <c r="AL849" s="36">
        <v>0</v>
      </c>
      <c r="AM849" t="str">
        <f t="shared" si="55"/>
        <v>0-1000</v>
      </c>
    </row>
    <row r="850" spans="1:39" x14ac:dyDescent="0.2">
      <c r="A850" s="44" t="s">
        <v>544</v>
      </c>
      <c r="B850" s="48">
        <v>0.35555555555555557</v>
      </c>
      <c r="C850" s="48"/>
      <c r="D850" s="48" t="s">
        <v>150</v>
      </c>
      <c r="E850" s="13">
        <v>2</v>
      </c>
      <c r="F850" s="38" t="str">
        <f>VLOOKUP(E850,[4]Key!$A$17:$B$21,2,FALSE)</f>
        <v>Road Vehicle</v>
      </c>
      <c r="G850" s="49">
        <v>4</v>
      </c>
      <c r="H850" s="39" t="str">
        <f>VLOOKUP(G850,[4]Key!$A$2:$B$13,2,FALSE)</f>
        <v>Minibus</v>
      </c>
      <c r="I850" s="13" t="s">
        <v>109</v>
      </c>
      <c r="J850" s="13">
        <v>1</v>
      </c>
      <c r="K850" s="40" t="str">
        <f>VLOOKUP(J850,[4]Key!$A$24:$B$29,2,FALSE)</f>
        <v>20-29</v>
      </c>
      <c r="L850" s="13" t="s">
        <v>454</v>
      </c>
      <c r="M850" s="23" t="s">
        <v>455</v>
      </c>
      <c r="N850" s="13" t="s">
        <v>152</v>
      </c>
      <c r="O850" s="46">
        <v>1</v>
      </c>
      <c r="P850" s="30" t="str">
        <f>VLOOKUP(O850,[4]Key!$E$2:$F$9,2,FALSE)</f>
        <v>Home</v>
      </c>
      <c r="Q850" s="13" t="s">
        <v>424</v>
      </c>
      <c r="R850" s="23" t="s">
        <v>421</v>
      </c>
      <c r="S850" s="13" t="s">
        <v>152</v>
      </c>
      <c r="T850" s="23">
        <v>3</v>
      </c>
      <c r="U850" s="30" t="str">
        <f>VLOOKUP(T850,[4]Key!$E$2:$F$9,2,FALSE)</f>
        <v>Study</v>
      </c>
      <c r="V850" s="30" t="str">
        <f t="shared" si="52"/>
        <v>Home-Study</v>
      </c>
      <c r="W850" s="51">
        <v>15000</v>
      </c>
      <c r="X850" s="50">
        <v>197</v>
      </c>
      <c r="Y850" s="50" t="str">
        <f t="shared" si="53"/>
        <v>100-200</v>
      </c>
      <c r="Z850" s="50">
        <v>2</v>
      </c>
      <c r="AA850" s="50" t="str">
        <f t="shared" si="54"/>
        <v>2.0-3.5</v>
      </c>
      <c r="AB850" s="23">
        <v>1</v>
      </c>
      <c r="AC850" s="30" t="str">
        <f>VLOOKUP(AB850,[4]Key!$C$20:$D$29,2,FALSE)</f>
        <v>Unemployed</v>
      </c>
      <c r="AD850" s="23">
        <v>1</v>
      </c>
      <c r="AE850" s="30" t="str">
        <f>VLOOKUP(AD850,[4]Key!$E$20:$F$24,2,FALSE)</f>
        <v>&lt;300,000</v>
      </c>
      <c r="AF850" s="23">
        <v>1</v>
      </c>
      <c r="AG850" s="50">
        <v>1</v>
      </c>
      <c r="AH850" s="50">
        <v>1</v>
      </c>
      <c r="AI850" s="50">
        <v>1</v>
      </c>
      <c r="AJ850" s="50">
        <v>1</v>
      </c>
      <c r="AK850" s="46" t="s">
        <v>94</v>
      </c>
      <c r="AL850" s="36">
        <v>0</v>
      </c>
      <c r="AM850" t="str">
        <f t="shared" si="55"/>
        <v>0-1000</v>
      </c>
    </row>
    <row r="851" spans="1:39" x14ac:dyDescent="0.2">
      <c r="A851" s="44" t="s">
        <v>544</v>
      </c>
      <c r="B851" s="48">
        <v>0.39583333333333331</v>
      </c>
      <c r="C851" s="48"/>
      <c r="D851" s="48" t="s">
        <v>150</v>
      </c>
      <c r="E851" s="13">
        <v>2</v>
      </c>
      <c r="F851" s="38" t="str">
        <f>VLOOKUP(E851,[4]Key!$A$17:$B$21,2,FALSE)</f>
        <v>Road Vehicle</v>
      </c>
      <c r="G851" s="49">
        <v>4</v>
      </c>
      <c r="H851" s="39" t="str">
        <f>VLOOKUP(G851,[4]Key!$A$2:$B$13,2,FALSE)</f>
        <v>Minibus</v>
      </c>
      <c r="I851" s="13" t="s">
        <v>109</v>
      </c>
      <c r="J851" s="13">
        <v>1</v>
      </c>
      <c r="K851" s="40" t="str">
        <f>VLOOKUP(J851,[4]Key!$A$24:$B$29,2,FALSE)</f>
        <v>20-29</v>
      </c>
      <c r="L851" s="13" t="s">
        <v>454</v>
      </c>
      <c r="M851" s="23" t="s">
        <v>455</v>
      </c>
      <c r="N851" s="13" t="s">
        <v>152</v>
      </c>
      <c r="O851" s="46">
        <v>1</v>
      </c>
      <c r="P851" s="30" t="str">
        <f>VLOOKUP(O851,[4]Key!$E$2:$F$9,2,FALSE)</f>
        <v>Home</v>
      </c>
      <c r="Q851" s="13" t="s">
        <v>565</v>
      </c>
      <c r="R851" s="23" t="s">
        <v>455</v>
      </c>
      <c r="S851" s="13" t="s">
        <v>152</v>
      </c>
      <c r="T851" s="23">
        <v>2</v>
      </c>
      <c r="U851" s="30" t="str">
        <f>VLOOKUP(T851,[4]Key!$E$2:$F$9,2,FALSE)</f>
        <v>Work</v>
      </c>
      <c r="V851" s="30" t="str">
        <f t="shared" si="52"/>
        <v>Home-Work</v>
      </c>
      <c r="W851" s="51">
        <v>10000</v>
      </c>
      <c r="X851" s="50">
        <v>40</v>
      </c>
      <c r="Y851" s="50" t="str">
        <f t="shared" si="53"/>
        <v>40-70</v>
      </c>
      <c r="Z851" s="50">
        <v>0.56000000000000005</v>
      </c>
      <c r="AA851" s="50" t="str">
        <f t="shared" si="54"/>
        <v>0.5-1.0</v>
      </c>
      <c r="AB851" s="23">
        <v>2</v>
      </c>
      <c r="AC851" s="30" t="str">
        <f>VLOOKUP(AB851,[4]Key!$C$20:$D$29,2,FALSE)</f>
        <v>Manual Labour</v>
      </c>
      <c r="AD851" s="23">
        <v>2</v>
      </c>
      <c r="AE851" s="30" t="str">
        <f>VLOOKUP(AD851,[4]Key!$E$20:$F$24,2,FALSE)</f>
        <v>300,000-500,000</v>
      </c>
      <c r="AF851" s="23">
        <v>4</v>
      </c>
      <c r="AG851" s="50">
        <v>1</v>
      </c>
      <c r="AH851" s="50">
        <v>1</v>
      </c>
      <c r="AI851" s="50">
        <v>1</v>
      </c>
      <c r="AJ851" s="50">
        <v>5</v>
      </c>
      <c r="AK851" s="46" t="s">
        <v>94</v>
      </c>
      <c r="AL851" s="36">
        <v>1000</v>
      </c>
      <c r="AM851" t="str">
        <f t="shared" si="55"/>
        <v>1000-2000</v>
      </c>
    </row>
    <row r="852" spans="1:39" x14ac:dyDescent="0.2">
      <c r="A852" s="44" t="s">
        <v>544</v>
      </c>
      <c r="B852" s="48">
        <v>0.41666666666666669</v>
      </c>
      <c r="C852" s="48"/>
      <c r="D852" s="48" t="s">
        <v>150</v>
      </c>
      <c r="E852" s="13">
        <v>2</v>
      </c>
      <c r="F852" s="38" t="str">
        <f>VLOOKUP(E852,[4]Key!$A$17:$B$21,2,FALSE)</f>
        <v>Road Vehicle</v>
      </c>
      <c r="G852" s="49">
        <v>4</v>
      </c>
      <c r="H852" s="39" t="str">
        <f>VLOOKUP(G852,[4]Key!$A$2:$B$13,2,FALSE)</f>
        <v>Minibus</v>
      </c>
      <c r="I852" s="13" t="s">
        <v>109</v>
      </c>
      <c r="J852" s="13">
        <v>1</v>
      </c>
      <c r="K852" s="40" t="str">
        <f>VLOOKUP(J852,[4]Key!$A$24:$B$29,2,FALSE)</f>
        <v>20-29</v>
      </c>
      <c r="L852" s="13" t="s">
        <v>454</v>
      </c>
      <c r="M852" s="23" t="s">
        <v>455</v>
      </c>
      <c r="N852" s="13" t="s">
        <v>152</v>
      </c>
      <c r="O852" s="46">
        <v>1</v>
      </c>
      <c r="P852" s="30" t="str">
        <f>VLOOKUP(O852,[4]Key!$E$2:$F$9,2,FALSE)</f>
        <v>Home</v>
      </c>
      <c r="Q852" s="13" t="s">
        <v>434</v>
      </c>
      <c r="R852" s="23" t="s">
        <v>153</v>
      </c>
      <c r="S852" s="13" t="s">
        <v>152</v>
      </c>
      <c r="T852" s="23">
        <v>6</v>
      </c>
      <c r="U852" s="30" t="str">
        <f>VLOOKUP(T852,[4]Key!$E$2:$F$9,2,FALSE)</f>
        <v>Leisure/Social</v>
      </c>
      <c r="V852" s="30" t="str">
        <f t="shared" si="52"/>
        <v>Home-Leisure/Social</v>
      </c>
      <c r="W852" s="51">
        <v>30000</v>
      </c>
      <c r="X852" s="50">
        <v>388</v>
      </c>
      <c r="Y852" s="50" t="str">
        <f t="shared" si="53"/>
        <v>Over 200</v>
      </c>
      <c r="Z852" s="50">
        <v>4</v>
      </c>
      <c r="AA852" s="50" t="str">
        <f t="shared" si="54"/>
        <v>Over 3.5</v>
      </c>
      <c r="AB852" s="23">
        <v>2</v>
      </c>
      <c r="AC852" s="30" t="str">
        <f>VLOOKUP(AB852,[4]Key!$C$20:$D$29,2,FALSE)</f>
        <v>Manual Labour</v>
      </c>
      <c r="AD852" s="23">
        <v>2</v>
      </c>
      <c r="AE852" s="30" t="str">
        <f>VLOOKUP(AD852,[4]Key!$E$20:$F$24,2,FALSE)</f>
        <v>300,000-500,000</v>
      </c>
      <c r="AF852" s="23">
        <v>1</v>
      </c>
      <c r="AG852" s="50">
        <v>1</v>
      </c>
      <c r="AH852" s="50">
        <v>1</v>
      </c>
      <c r="AI852" s="50">
        <v>1</v>
      </c>
      <c r="AJ852" s="50">
        <v>1</v>
      </c>
      <c r="AK852" s="46" t="s">
        <v>94</v>
      </c>
      <c r="AL852" s="36">
        <v>0</v>
      </c>
      <c r="AM852" t="str">
        <f t="shared" si="55"/>
        <v>0-1000</v>
      </c>
    </row>
    <row r="853" spans="1:39" x14ac:dyDescent="0.2">
      <c r="A853" s="44" t="s">
        <v>544</v>
      </c>
      <c r="B853" s="48">
        <v>0.54861111111111105</v>
      </c>
      <c r="C853" s="48"/>
      <c r="D853" s="48" t="s">
        <v>150</v>
      </c>
      <c r="E853" s="13">
        <v>2</v>
      </c>
      <c r="F853" s="38" t="str">
        <f>VLOOKUP(E853,[4]Key!$A$17:$B$21,2,FALSE)</f>
        <v>Road Vehicle</v>
      </c>
      <c r="G853" s="49">
        <v>4</v>
      </c>
      <c r="H853" s="39" t="str">
        <f>VLOOKUP(G853,[4]Key!$A$2:$B$13,2,FALSE)</f>
        <v>Minibus</v>
      </c>
      <c r="I853" s="13" t="s">
        <v>109</v>
      </c>
      <c r="J853" s="13">
        <v>1</v>
      </c>
      <c r="K853" s="40" t="str">
        <f>VLOOKUP(J853,[4]Key!$A$24:$B$29,2,FALSE)</f>
        <v>20-29</v>
      </c>
      <c r="L853" s="13" t="s">
        <v>454</v>
      </c>
      <c r="M853" s="23" t="s">
        <v>455</v>
      </c>
      <c r="N853" s="13" t="s">
        <v>152</v>
      </c>
      <c r="O853" s="46">
        <v>1</v>
      </c>
      <c r="P853" s="30" t="str">
        <f>VLOOKUP(O853,[4]Key!$E$2:$F$9,2,FALSE)</f>
        <v>Home</v>
      </c>
      <c r="Q853" s="13" t="s">
        <v>424</v>
      </c>
      <c r="R853" s="23" t="s">
        <v>421</v>
      </c>
      <c r="S853" s="13" t="s">
        <v>152</v>
      </c>
      <c r="T853" s="23">
        <v>2</v>
      </c>
      <c r="U853" s="30" t="str">
        <f>VLOOKUP(T853,[4]Key!$E$2:$F$9,2,FALSE)</f>
        <v>Work</v>
      </c>
      <c r="V853" s="30" t="str">
        <f t="shared" si="52"/>
        <v>Home-Work</v>
      </c>
      <c r="W853" s="51">
        <v>15000</v>
      </c>
      <c r="X853" s="50">
        <v>150</v>
      </c>
      <c r="Y853" s="50" t="str">
        <f t="shared" si="53"/>
        <v>100-200</v>
      </c>
      <c r="Z853" s="50">
        <v>1.5</v>
      </c>
      <c r="AA853" s="50" t="str">
        <f t="shared" si="54"/>
        <v>1.0-2.0</v>
      </c>
      <c r="AB853" s="23">
        <v>4</v>
      </c>
      <c r="AC853" s="30" t="str">
        <f>VLOOKUP(AB853,[4]Key!$C$20:$D$29,2,FALSE)</f>
        <v>Office Worker</v>
      </c>
      <c r="AD853" s="23">
        <v>3</v>
      </c>
      <c r="AE853" s="30" t="str">
        <f>VLOOKUP(AD853,[4]Key!$E$20:$F$24,2,FALSE)</f>
        <v>500,000-750,000</v>
      </c>
      <c r="AF853" s="23">
        <v>1</v>
      </c>
      <c r="AG853" s="50">
        <v>1</v>
      </c>
      <c r="AH853" s="50">
        <v>1</v>
      </c>
      <c r="AI853" s="50">
        <v>1</v>
      </c>
      <c r="AJ853" s="50">
        <v>1</v>
      </c>
      <c r="AK853" s="46" t="s">
        <v>94</v>
      </c>
      <c r="AL853" s="36">
        <v>3000</v>
      </c>
      <c r="AM853" t="str">
        <f t="shared" si="55"/>
        <v>3000-5000</v>
      </c>
    </row>
    <row r="854" spans="1:39" x14ac:dyDescent="0.2">
      <c r="A854" s="44" t="s">
        <v>544</v>
      </c>
      <c r="B854" s="48">
        <v>0.3</v>
      </c>
      <c r="C854" s="48"/>
      <c r="D854" s="48" t="s">
        <v>150</v>
      </c>
      <c r="E854" s="13">
        <v>2</v>
      </c>
      <c r="F854" s="38" t="str">
        <f>VLOOKUP(E854,[4]Key!$A$17:$B$21,2,FALSE)</f>
        <v>Road Vehicle</v>
      </c>
      <c r="G854" s="49">
        <v>4</v>
      </c>
      <c r="H854" s="39" t="str">
        <f>VLOOKUP(G854,[4]Key!$A$2:$B$13,2,FALSE)</f>
        <v>Minibus</v>
      </c>
      <c r="I854" s="13" t="s">
        <v>109</v>
      </c>
      <c r="J854" s="13">
        <v>1</v>
      </c>
      <c r="K854" s="40" t="str">
        <f>VLOOKUP(J854,[4]Key!$A$24:$B$29,2,FALSE)</f>
        <v>20-29</v>
      </c>
      <c r="L854" s="13" t="s">
        <v>566</v>
      </c>
      <c r="M854" s="23" t="s">
        <v>455</v>
      </c>
      <c r="N854" s="13" t="s">
        <v>152</v>
      </c>
      <c r="O854" s="46">
        <v>1</v>
      </c>
      <c r="P854" s="30" t="str">
        <f>VLOOKUP(O854,[4]Key!$E$2:$F$9,2,FALSE)</f>
        <v>Home</v>
      </c>
      <c r="Q854" s="13" t="s">
        <v>454</v>
      </c>
      <c r="R854" s="23" t="s">
        <v>455</v>
      </c>
      <c r="S854" s="13" t="s">
        <v>152</v>
      </c>
      <c r="T854" s="23">
        <v>2</v>
      </c>
      <c r="U854" s="30" t="str">
        <f>VLOOKUP(T854,[4]Key!$E$2:$F$9,2,FALSE)</f>
        <v>Work</v>
      </c>
      <c r="V854" s="30" t="str">
        <f t="shared" si="52"/>
        <v>Home-Work</v>
      </c>
      <c r="W854" s="51">
        <v>4000</v>
      </c>
      <c r="X854" s="50">
        <v>18</v>
      </c>
      <c r="Y854" s="50" t="str">
        <f t="shared" si="53"/>
        <v>10-20</v>
      </c>
      <c r="Z854" s="50">
        <v>0.66</v>
      </c>
      <c r="AA854" s="50" t="str">
        <f t="shared" si="54"/>
        <v>0.5-1.0</v>
      </c>
      <c r="AB854" s="23">
        <v>7</v>
      </c>
      <c r="AC854" s="30" t="str">
        <f>VLOOKUP(AB854,[4]Key!$C$20:$D$29,2,FALSE)</f>
        <v>Farmer</v>
      </c>
      <c r="AD854" s="23">
        <v>2</v>
      </c>
      <c r="AE854" s="30" t="str">
        <f>VLOOKUP(AD854,[4]Key!$E$20:$F$24,2,FALSE)</f>
        <v>300,000-500,000</v>
      </c>
      <c r="AF854" s="23">
        <v>3</v>
      </c>
      <c r="AG854" s="50">
        <v>2</v>
      </c>
      <c r="AH854" s="50">
        <v>2</v>
      </c>
      <c r="AI854" s="50">
        <v>3</v>
      </c>
      <c r="AJ854" s="50">
        <v>2</v>
      </c>
      <c r="AK854" s="46" t="s">
        <v>94</v>
      </c>
      <c r="AL854" s="36">
        <v>1000</v>
      </c>
      <c r="AM854" t="str">
        <f t="shared" si="55"/>
        <v>1000-2000</v>
      </c>
    </row>
    <row r="855" spans="1:39" x14ac:dyDescent="0.2">
      <c r="A855" s="44" t="s">
        <v>544</v>
      </c>
      <c r="B855" s="48">
        <v>0.36388888888888887</v>
      </c>
      <c r="C855" s="48"/>
      <c r="D855" s="48" t="s">
        <v>150</v>
      </c>
      <c r="E855" s="13">
        <v>2</v>
      </c>
      <c r="F855" s="38" t="str">
        <f>VLOOKUP(E855,[4]Key!$A$17:$B$21,2,FALSE)</f>
        <v>Road Vehicle</v>
      </c>
      <c r="G855" s="49">
        <v>3</v>
      </c>
      <c r="H855" s="39" t="str">
        <f>VLOOKUP(G855,[4]Key!$A$2:$B$13,2,FALSE)</f>
        <v>Pickups</v>
      </c>
      <c r="I855" s="13" t="s">
        <v>109</v>
      </c>
      <c r="J855" s="13">
        <v>1</v>
      </c>
      <c r="K855" s="40" t="str">
        <f>VLOOKUP(J855,[4]Key!$A$24:$B$29,2,FALSE)</f>
        <v>20-29</v>
      </c>
      <c r="L855" s="13" t="s">
        <v>567</v>
      </c>
      <c r="M855" s="23" t="s">
        <v>455</v>
      </c>
      <c r="N855" s="13" t="s">
        <v>152</v>
      </c>
      <c r="O855" s="46">
        <v>1</v>
      </c>
      <c r="P855" s="30" t="str">
        <f>VLOOKUP(O855,[4]Key!$E$2:$F$9,2,FALSE)</f>
        <v>Home</v>
      </c>
      <c r="Q855" s="13" t="s">
        <v>454</v>
      </c>
      <c r="R855" s="23" t="s">
        <v>455</v>
      </c>
      <c r="S855" s="13" t="s">
        <v>152</v>
      </c>
      <c r="T855" s="23">
        <v>2</v>
      </c>
      <c r="U855" s="30" t="str">
        <f>VLOOKUP(T855,[4]Key!$E$2:$F$9,2,FALSE)</f>
        <v>Work</v>
      </c>
      <c r="V855" s="30" t="str">
        <f t="shared" si="52"/>
        <v>Home-Work</v>
      </c>
      <c r="W855" s="51">
        <v>2000</v>
      </c>
      <c r="X855" s="50">
        <v>11</v>
      </c>
      <c r="Y855" s="50" t="str">
        <f t="shared" si="53"/>
        <v>10-20</v>
      </c>
      <c r="Z855" s="50">
        <v>0.33</v>
      </c>
      <c r="AA855" s="50" t="str">
        <f t="shared" si="54"/>
        <v>0-0.5</v>
      </c>
      <c r="AB855" s="23">
        <v>6</v>
      </c>
      <c r="AC855" s="30" t="str">
        <f>VLOOKUP(AB855,[4]Key!$C$20:$D$29,2,FALSE)</f>
        <v>Businessman</v>
      </c>
      <c r="AD855" s="23">
        <v>4</v>
      </c>
      <c r="AE855" s="30" t="str">
        <f>VLOOKUP(AD855,[4]Key!$E$20:$F$24,2,FALSE)</f>
        <v>750,000-1,000,000</v>
      </c>
      <c r="AF855" s="23">
        <v>4</v>
      </c>
      <c r="AG855" s="50">
        <v>2</v>
      </c>
      <c r="AH855" s="50">
        <v>2</v>
      </c>
      <c r="AI855" s="50">
        <v>2</v>
      </c>
      <c r="AJ855" s="50">
        <v>2</v>
      </c>
      <c r="AK855" s="46" t="s">
        <v>94</v>
      </c>
      <c r="AL855" s="36">
        <v>1000</v>
      </c>
      <c r="AM855" t="str">
        <f t="shared" si="55"/>
        <v>1000-2000</v>
      </c>
    </row>
    <row r="856" spans="1:39" x14ac:dyDescent="0.2">
      <c r="A856" s="44" t="s">
        <v>544</v>
      </c>
      <c r="B856" s="48">
        <v>0.3430555555555555</v>
      </c>
      <c r="C856" s="48"/>
      <c r="D856" s="48" t="s">
        <v>150</v>
      </c>
      <c r="E856" s="13">
        <v>2</v>
      </c>
      <c r="F856" s="38" t="str">
        <f>VLOOKUP(E856,[4]Key!$A$17:$B$21,2,FALSE)</f>
        <v>Road Vehicle</v>
      </c>
      <c r="G856" s="49">
        <v>2</v>
      </c>
      <c r="H856" s="39" t="str">
        <f>VLOOKUP(G856,[4]Key!$A$2:$B$13,2,FALSE)</f>
        <v>Station Wagon</v>
      </c>
      <c r="I856" s="13" t="s">
        <v>109</v>
      </c>
      <c r="J856" s="13">
        <v>1</v>
      </c>
      <c r="K856" s="40" t="str">
        <f>VLOOKUP(J856,[4]Key!$A$24:$B$29,2,FALSE)</f>
        <v>20-29</v>
      </c>
      <c r="L856" s="13" t="s">
        <v>484</v>
      </c>
      <c r="M856" s="23" t="s">
        <v>485</v>
      </c>
      <c r="N856" s="13" t="s">
        <v>152</v>
      </c>
      <c r="O856" s="46">
        <v>5</v>
      </c>
      <c r="P856" s="30" t="str">
        <f>VLOOKUP(O856,[4]Key!$E$2:$F$9,2,FALSE)</f>
        <v>Tourism</v>
      </c>
      <c r="Q856" s="13" t="s">
        <v>454</v>
      </c>
      <c r="R856" s="23" t="s">
        <v>455</v>
      </c>
      <c r="S856" s="13" t="s">
        <v>152</v>
      </c>
      <c r="T856" s="23">
        <v>1</v>
      </c>
      <c r="U856" s="30" t="str">
        <f>VLOOKUP(T856,[4]Key!$E$2:$F$9,2,FALSE)</f>
        <v>Home</v>
      </c>
      <c r="V856" s="30" t="str">
        <f t="shared" si="52"/>
        <v>Tourism-Home</v>
      </c>
      <c r="W856" s="23"/>
      <c r="X856" s="50">
        <v>61</v>
      </c>
      <c r="Y856" s="50" t="str">
        <f t="shared" si="53"/>
        <v>40-70</v>
      </c>
      <c r="Z856" s="50">
        <v>1</v>
      </c>
      <c r="AA856" s="50" t="str">
        <f t="shared" si="54"/>
        <v>1.0-2.0</v>
      </c>
      <c r="AB856" s="23">
        <v>10</v>
      </c>
      <c r="AC856" s="30" t="str">
        <f>VLOOKUP(AB856,[4]Key!$C$20:$D$29,2,FALSE)</f>
        <v>Other</v>
      </c>
      <c r="AD856" s="23">
        <v>5</v>
      </c>
      <c r="AE856" s="30" t="str">
        <f>VLOOKUP(AD856,[4]Key!$E$20:$F$24,2,FALSE)</f>
        <v>&gt;1,000,000</v>
      </c>
      <c r="AF856" s="23">
        <v>1</v>
      </c>
      <c r="AG856" s="50">
        <v>1</v>
      </c>
      <c r="AH856" s="50">
        <v>1</v>
      </c>
      <c r="AI856" s="50">
        <v>1</v>
      </c>
      <c r="AJ856" s="50">
        <v>1</v>
      </c>
      <c r="AK856" s="46" t="s">
        <v>94</v>
      </c>
      <c r="AL856" s="36">
        <v>0</v>
      </c>
      <c r="AM856" t="str">
        <f t="shared" si="55"/>
        <v>0-1000</v>
      </c>
    </row>
    <row r="857" spans="1:39" x14ac:dyDescent="0.2">
      <c r="A857" s="44" t="s">
        <v>541</v>
      </c>
      <c r="B857" s="48">
        <v>0.66736111111111107</v>
      </c>
      <c r="C857" s="48"/>
      <c r="D857" s="48" t="s">
        <v>150</v>
      </c>
      <c r="E857" s="13">
        <v>2</v>
      </c>
      <c r="F857" s="38" t="str">
        <f>VLOOKUP(E857,[4]Key!$A$17:$B$21,2,FALSE)</f>
        <v>Road Vehicle</v>
      </c>
      <c r="G857" s="49">
        <v>6</v>
      </c>
      <c r="H857" s="39" t="str">
        <f>VLOOKUP(G857,[4]Key!$A$2:$B$13,2,FALSE)</f>
        <v>Large Bus</v>
      </c>
      <c r="I857" s="13" t="s">
        <v>156</v>
      </c>
      <c r="J857" s="13">
        <v>2</v>
      </c>
      <c r="K857" s="40" t="str">
        <f>VLOOKUP(J857,[4]Key!$A$24:$B$29,2,FALSE)</f>
        <v>30-39</v>
      </c>
      <c r="L857" s="13" t="s">
        <v>542</v>
      </c>
      <c r="M857" s="23" t="s">
        <v>543</v>
      </c>
      <c r="N857" s="13" t="s">
        <v>152</v>
      </c>
      <c r="O857" s="46">
        <v>1</v>
      </c>
      <c r="P857" s="30" t="str">
        <f>VLOOKUP(O857,[4]Key!$E$2:$F$9,2,FALSE)</f>
        <v>Home</v>
      </c>
      <c r="Q857" s="13" t="s">
        <v>434</v>
      </c>
      <c r="R857" s="23" t="s">
        <v>153</v>
      </c>
      <c r="S857" s="13" t="s">
        <v>152</v>
      </c>
      <c r="T857" s="23">
        <v>2</v>
      </c>
      <c r="U857" s="30" t="str">
        <f>VLOOKUP(T857,[4]Key!$E$2:$F$9,2,FALSE)</f>
        <v>Work</v>
      </c>
      <c r="V857" s="30" t="str">
        <f t="shared" si="52"/>
        <v>Home-Work</v>
      </c>
      <c r="W857" s="51">
        <v>30000</v>
      </c>
      <c r="X857" s="50">
        <v>436</v>
      </c>
      <c r="Y857" s="50" t="str">
        <f t="shared" si="53"/>
        <v>Over 200</v>
      </c>
      <c r="Z857" s="50">
        <v>13</v>
      </c>
      <c r="AA857" s="50" t="str">
        <f t="shared" si="54"/>
        <v>Over 3.5</v>
      </c>
      <c r="AB857" s="23">
        <v>6</v>
      </c>
      <c r="AC857" s="30" t="str">
        <f>VLOOKUP(AB857,[4]Key!$C$20:$D$29,2,FALSE)</f>
        <v>Businessman</v>
      </c>
      <c r="AD857" s="23">
        <v>4</v>
      </c>
      <c r="AE857" s="30" t="str">
        <f>VLOOKUP(AD857,[4]Key!$E$20:$F$24,2,FALSE)</f>
        <v>750,000-1,000,000</v>
      </c>
      <c r="AF857" s="23">
        <v>1</v>
      </c>
      <c r="AG857" s="50">
        <v>1</v>
      </c>
      <c r="AH857" s="50">
        <v>1</v>
      </c>
      <c r="AI857" s="50">
        <v>1</v>
      </c>
      <c r="AJ857" s="50">
        <v>1</v>
      </c>
      <c r="AK857" s="46" t="s">
        <v>94</v>
      </c>
      <c r="AL857" s="36">
        <v>1000</v>
      </c>
      <c r="AM857" t="str">
        <f t="shared" si="55"/>
        <v>1000-2000</v>
      </c>
    </row>
    <row r="858" spans="1:39" x14ac:dyDescent="0.2">
      <c r="A858" s="44" t="s">
        <v>541</v>
      </c>
      <c r="B858" s="48">
        <v>0.66666666666666663</v>
      </c>
      <c r="C858" s="48"/>
      <c r="D858" s="48" t="s">
        <v>150</v>
      </c>
      <c r="E858" s="13">
        <v>2</v>
      </c>
      <c r="F858" s="38" t="str">
        <f>VLOOKUP(E858,[4]Key!$A$17:$B$21,2,FALSE)</f>
        <v>Road Vehicle</v>
      </c>
      <c r="G858" s="49">
        <v>6</v>
      </c>
      <c r="H858" s="39" t="str">
        <f>VLOOKUP(G858,[4]Key!$A$2:$B$13,2,FALSE)</f>
        <v>Large Bus</v>
      </c>
      <c r="I858" s="13" t="s">
        <v>156</v>
      </c>
      <c r="J858" s="13">
        <v>2</v>
      </c>
      <c r="K858" s="40" t="str">
        <f>VLOOKUP(J858,[4]Key!$A$24:$B$29,2,FALSE)</f>
        <v>30-39</v>
      </c>
      <c r="L858" s="13" t="s">
        <v>454</v>
      </c>
      <c r="M858" s="23" t="s">
        <v>455</v>
      </c>
      <c r="N858" s="13" t="s">
        <v>152</v>
      </c>
      <c r="O858" s="46">
        <v>2</v>
      </c>
      <c r="P858" s="30" t="str">
        <f>VLOOKUP(O858,[4]Key!$E$2:$F$9,2,FALSE)</f>
        <v>Work</v>
      </c>
      <c r="Q858" s="13" t="s">
        <v>434</v>
      </c>
      <c r="R858" s="23" t="s">
        <v>153</v>
      </c>
      <c r="S858" s="13" t="s">
        <v>152</v>
      </c>
      <c r="T858" s="23">
        <v>2</v>
      </c>
      <c r="U858" s="30" t="str">
        <f>VLOOKUP(T858,[4]Key!$E$2:$F$9,2,FALSE)</f>
        <v>Work</v>
      </c>
      <c r="V858" s="30" t="str">
        <f t="shared" si="52"/>
        <v>Work-Work</v>
      </c>
      <c r="W858" s="51">
        <v>30000</v>
      </c>
      <c r="X858" s="50">
        <v>399</v>
      </c>
      <c r="Y858" s="50" t="str">
        <f t="shared" si="53"/>
        <v>Over 200</v>
      </c>
      <c r="Z858" s="50">
        <v>14</v>
      </c>
      <c r="AA858" s="50" t="str">
        <f t="shared" si="54"/>
        <v>Over 3.5</v>
      </c>
      <c r="AB858" s="23">
        <v>5</v>
      </c>
      <c r="AC858" s="30" t="str">
        <f>VLOOKUP(AB858,[4]Key!$C$20:$D$29,2,FALSE)</f>
        <v>Professional</v>
      </c>
      <c r="AD858" s="23">
        <v>3</v>
      </c>
      <c r="AE858" s="30" t="str">
        <f>VLOOKUP(AD858,[4]Key!$E$20:$F$24,2,FALSE)</f>
        <v>500,000-750,000</v>
      </c>
      <c r="AF858" s="23">
        <v>1</v>
      </c>
      <c r="AG858" s="50">
        <v>1</v>
      </c>
      <c r="AH858" s="50">
        <v>1</v>
      </c>
      <c r="AI858" s="50">
        <v>1</v>
      </c>
      <c r="AJ858" s="50">
        <v>1</v>
      </c>
      <c r="AK858" s="46" t="s">
        <v>94</v>
      </c>
      <c r="AL858" s="36">
        <v>2000</v>
      </c>
      <c r="AM858" t="str">
        <f t="shared" si="55"/>
        <v>2000-3000</v>
      </c>
    </row>
    <row r="859" spans="1:39" x14ac:dyDescent="0.2">
      <c r="A859" s="44" t="s">
        <v>541</v>
      </c>
      <c r="B859" s="48">
        <v>0.64861111111111114</v>
      </c>
      <c r="C859" s="48"/>
      <c r="D859" s="48" t="s">
        <v>150</v>
      </c>
      <c r="E859" s="13">
        <v>2</v>
      </c>
      <c r="F859" s="38" t="str">
        <f>VLOOKUP(E859,[4]Key!$A$17:$B$21,2,FALSE)</f>
        <v>Road Vehicle</v>
      </c>
      <c r="G859" s="49">
        <v>6</v>
      </c>
      <c r="H859" s="39" t="str">
        <f>VLOOKUP(G859,[4]Key!$A$2:$B$13,2,FALSE)</f>
        <v>Large Bus</v>
      </c>
      <c r="I859" s="13" t="s">
        <v>156</v>
      </c>
      <c r="J859" s="13">
        <v>2</v>
      </c>
      <c r="K859" s="40" t="str">
        <f>VLOOKUP(J859,[4]Key!$A$24:$B$29,2,FALSE)</f>
        <v>30-39</v>
      </c>
      <c r="L859" s="13" t="s">
        <v>454</v>
      </c>
      <c r="M859" s="23" t="s">
        <v>455</v>
      </c>
      <c r="N859" s="13" t="s">
        <v>152</v>
      </c>
      <c r="O859" s="46">
        <v>2</v>
      </c>
      <c r="P859" s="30" t="str">
        <f>VLOOKUP(O859,[4]Key!$E$2:$F$9,2,FALSE)</f>
        <v>Work</v>
      </c>
      <c r="Q859" s="13" t="s">
        <v>487</v>
      </c>
      <c r="R859" s="23" t="s">
        <v>488</v>
      </c>
      <c r="S859" s="13" t="s">
        <v>152</v>
      </c>
      <c r="T859" s="23">
        <v>2</v>
      </c>
      <c r="U859" s="30" t="str">
        <f>VLOOKUP(T859,[4]Key!$E$2:$F$9,2,FALSE)</f>
        <v>Work</v>
      </c>
      <c r="V859" s="30" t="str">
        <f t="shared" si="52"/>
        <v>Work-Work</v>
      </c>
      <c r="W859" s="51">
        <v>7000</v>
      </c>
      <c r="X859" s="50">
        <v>74</v>
      </c>
      <c r="Y859" s="50" t="str">
        <f t="shared" si="53"/>
        <v>70-100</v>
      </c>
      <c r="Z859" s="50">
        <v>1</v>
      </c>
      <c r="AA859" s="50" t="str">
        <f t="shared" si="54"/>
        <v>1.0-2.0</v>
      </c>
      <c r="AB859" s="23">
        <v>7</v>
      </c>
      <c r="AC859" s="30" t="str">
        <f>VLOOKUP(AB859,[4]Key!$C$20:$D$29,2,FALSE)</f>
        <v>Farmer</v>
      </c>
      <c r="AD859" s="23">
        <v>4</v>
      </c>
      <c r="AE859" s="30" t="str">
        <f>VLOOKUP(AD859,[4]Key!$E$20:$F$24,2,FALSE)</f>
        <v>750,000-1,000,000</v>
      </c>
      <c r="AF859" s="23">
        <v>1</v>
      </c>
      <c r="AG859" s="50">
        <v>1</v>
      </c>
      <c r="AH859" s="50">
        <v>1</v>
      </c>
      <c r="AI859" s="50">
        <v>1</v>
      </c>
      <c r="AJ859" s="50">
        <v>1</v>
      </c>
      <c r="AK859" s="46" t="s">
        <v>94</v>
      </c>
      <c r="AL859" s="36">
        <v>2000</v>
      </c>
      <c r="AM859" t="str">
        <f t="shared" si="55"/>
        <v>2000-3000</v>
      </c>
    </row>
    <row r="860" spans="1:39" x14ac:dyDescent="0.2">
      <c r="A860" s="44" t="s">
        <v>541</v>
      </c>
      <c r="B860" s="48">
        <v>0.59861111111111109</v>
      </c>
      <c r="C860" s="48"/>
      <c r="D860" s="48" t="s">
        <v>150</v>
      </c>
      <c r="E860" s="13">
        <v>2</v>
      </c>
      <c r="F860" s="38" t="str">
        <f>VLOOKUP(E860,[4]Key!$A$17:$B$21,2,FALSE)</f>
        <v>Road Vehicle</v>
      </c>
      <c r="G860" s="49">
        <v>6</v>
      </c>
      <c r="H860" s="39" t="str">
        <f>VLOOKUP(G860,[4]Key!$A$2:$B$13,2,FALSE)</f>
        <v>Large Bus</v>
      </c>
      <c r="I860" s="13" t="s">
        <v>156</v>
      </c>
      <c r="J860" s="13">
        <v>2</v>
      </c>
      <c r="K860" s="40" t="str">
        <f>VLOOKUP(J860,[4]Key!$A$24:$B$29,2,FALSE)</f>
        <v>30-39</v>
      </c>
      <c r="L860" s="13" t="s">
        <v>546</v>
      </c>
      <c r="M860" s="23" t="s">
        <v>455</v>
      </c>
      <c r="N860" s="13" t="s">
        <v>152</v>
      </c>
      <c r="O860" s="46">
        <v>1</v>
      </c>
      <c r="P860" s="30" t="str">
        <f>VLOOKUP(O860,[4]Key!$E$2:$F$9,2,FALSE)</f>
        <v>Home</v>
      </c>
      <c r="Q860" s="13" t="s">
        <v>434</v>
      </c>
      <c r="R860" s="23" t="s">
        <v>153</v>
      </c>
      <c r="S860" s="13" t="s">
        <v>152</v>
      </c>
      <c r="T860" s="23">
        <v>4</v>
      </c>
      <c r="U860" s="30" t="str">
        <f>VLOOKUP(T860,[4]Key!$E$2:$F$9,2,FALSE)</f>
        <v>Commercial</v>
      </c>
      <c r="V860" s="30" t="str">
        <f t="shared" si="52"/>
        <v>Home-Commercial</v>
      </c>
      <c r="W860" s="51">
        <v>30000</v>
      </c>
      <c r="X860" s="50">
        <v>420</v>
      </c>
      <c r="Y860" s="50" t="str">
        <f t="shared" si="53"/>
        <v>Over 200</v>
      </c>
      <c r="Z860" s="50">
        <v>14</v>
      </c>
      <c r="AA860" s="50" t="str">
        <f t="shared" si="54"/>
        <v>Over 3.5</v>
      </c>
      <c r="AB860" s="23">
        <v>6</v>
      </c>
      <c r="AC860" s="30" t="str">
        <f>VLOOKUP(AB860,[4]Key!$C$20:$D$29,2,FALSE)</f>
        <v>Businessman</v>
      </c>
      <c r="AD860" s="23">
        <v>3</v>
      </c>
      <c r="AE860" s="30" t="str">
        <f>VLOOKUP(AD860,[4]Key!$E$20:$F$24,2,FALSE)</f>
        <v>500,000-750,000</v>
      </c>
      <c r="AF860" s="23">
        <v>3</v>
      </c>
      <c r="AG860" s="50">
        <v>2</v>
      </c>
      <c r="AH860" s="50">
        <v>3</v>
      </c>
      <c r="AI860" s="50">
        <v>2</v>
      </c>
      <c r="AJ860" s="50">
        <v>2</v>
      </c>
      <c r="AK860" s="46" t="s">
        <v>94</v>
      </c>
      <c r="AL860" s="36">
        <v>2000</v>
      </c>
      <c r="AM860" t="str">
        <f t="shared" si="55"/>
        <v>2000-3000</v>
      </c>
    </row>
    <row r="861" spans="1:39" x14ac:dyDescent="0.2">
      <c r="A861" s="44" t="s">
        <v>541</v>
      </c>
      <c r="B861" s="48">
        <v>0.63055555555555554</v>
      </c>
      <c r="C861" s="48"/>
      <c r="D861" s="48" t="s">
        <v>150</v>
      </c>
      <c r="E861" s="13">
        <v>2</v>
      </c>
      <c r="F861" s="38" t="str">
        <f>VLOOKUP(E861,[4]Key!$A$17:$B$21,2,FALSE)</f>
        <v>Road Vehicle</v>
      </c>
      <c r="G861" s="49">
        <v>6</v>
      </c>
      <c r="H861" s="39" t="str">
        <f>VLOOKUP(G861,[4]Key!$A$2:$B$13,2,FALSE)</f>
        <v>Large Bus</v>
      </c>
      <c r="I861" s="13" t="s">
        <v>156</v>
      </c>
      <c r="J861" s="13">
        <v>2</v>
      </c>
      <c r="K861" s="40" t="str">
        <f>VLOOKUP(J861,[4]Key!$A$24:$B$29,2,FALSE)</f>
        <v>30-39</v>
      </c>
      <c r="L861" s="13" t="s">
        <v>568</v>
      </c>
      <c r="M861" s="23" t="s">
        <v>455</v>
      </c>
      <c r="N861" s="13" t="s">
        <v>152</v>
      </c>
      <c r="O861" s="46">
        <v>1</v>
      </c>
      <c r="P861" s="30" t="str">
        <f>VLOOKUP(O861,[4]Key!$E$2:$F$9,2,FALSE)</f>
        <v>Home</v>
      </c>
      <c r="Q861" s="13" t="s">
        <v>450</v>
      </c>
      <c r="R861" s="23" t="s">
        <v>153</v>
      </c>
      <c r="S861" s="13" t="s">
        <v>152</v>
      </c>
      <c r="T861" s="23">
        <v>2</v>
      </c>
      <c r="U861" s="30" t="str">
        <f>VLOOKUP(T861,[4]Key!$E$2:$F$9,2,FALSE)</f>
        <v>Work</v>
      </c>
      <c r="V861" s="30" t="str">
        <f t="shared" si="52"/>
        <v>Home-Work</v>
      </c>
      <c r="W861" s="51">
        <v>40000</v>
      </c>
      <c r="X861" s="50">
        <v>250</v>
      </c>
      <c r="Y861" s="50" t="str">
        <f t="shared" si="53"/>
        <v>Over 200</v>
      </c>
      <c r="Z861" s="50">
        <v>6</v>
      </c>
      <c r="AA861" s="50" t="str">
        <f t="shared" si="54"/>
        <v>Over 3.5</v>
      </c>
      <c r="AB861" s="23">
        <v>6</v>
      </c>
      <c r="AC861" s="30" t="str">
        <f>VLOOKUP(AB861,[4]Key!$C$20:$D$29,2,FALSE)</f>
        <v>Businessman</v>
      </c>
      <c r="AD861" s="23">
        <v>1</v>
      </c>
      <c r="AE861" s="30" t="str">
        <f>VLOOKUP(AD861,[4]Key!$E$20:$F$24,2,FALSE)</f>
        <v>&lt;300,000</v>
      </c>
      <c r="AF861" s="23">
        <v>2</v>
      </c>
      <c r="AG861" s="50">
        <v>2</v>
      </c>
      <c r="AH861" s="50">
        <v>4</v>
      </c>
      <c r="AI861" s="50">
        <v>2</v>
      </c>
      <c r="AJ861" s="50">
        <v>2</v>
      </c>
      <c r="AK861" s="46" t="s">
        <v>94</v>
      </c>
      <c r="AL861" s="36">
        <v>0</v>
      </c>
      <c r="AM861" t="str">
        <f t="shared" si="55"/>
        <v>0-1000</v>
      </c>
    </row>
    <row r="862" spans="1:39" x14ac:dyDescent="0.2">
      <c r="A862" s="44" t="s">
        <v>541</v>
      </c>
      <c r="B862" s="48">
        <v>0.69444444444444453</v>
      </c>
      <c r="C862" s="48"/>
      <c r="D862" s="48" t="s">
        <v>150</v>
      </c>
      <c r="E862" s="13">
        <v>2</v>
      </c>
      <c r="F862" s="38" t="str">
        <f>VLOOKUP(E862,[4]Key!$A$17:$B$21,2,FALSE)</f>
        <v>Road Vehicle</v>
      </c>
      <c r="G862" s="49">
        <v>6</v>
      </c>
      <c r="H862" s="39" t="str">
        <f>VLOOKUP(G862,[4]Key!$A$2:$B$13,2,FALSE)</f>
        <v>Large Bus</v>
      </c>
      <c r="I862" s="13" t="s">
        <v>156</v>
      </c>
      <c r="J862" s="13">
        <v>2</v>
      </c>
      <c r="K862" s="40" t="str">
        <f>VLOOKUP(J862,[4]Key!$A$24:$B$29,2,FALSE)</f>
        <v>30-39</v>
      </c>
      <c r="L862" s="13" t="s">
        <v>568</v>
      </c>
      <c r="M862" s="23" t="s">
        <v>455</v>
      </c>
      <c r="N862" s="13" t="s">
        <v>152</v>
      </c>
      <c r="O862" s="46">
        <v>2</v>
      </c>
      <c r="P862" s="30" t="str">
        <f>VLOOKUP(O862,[4]Key!$E$2:$F$9,2,FALSE)</f>
        <v>Work</v>
      </c>
      <c r="Q862" s="13" t="s">
        <v>569</v>
      </c>
      <c r="R862" s="23" t="s">
        <v>153</v>
      </c>
      <c r="S862" s="13" t="s">
        <v>152</v>
      </c>
      <c r="T862" s="23">
        <v>8</v>
      </c>
      <c r="U862" s="30" t="str">
        <f>VLOOKUP(T862,[4]Key!$E$2:$F$9,2,FALSE)</f>
        <v>Others</v>
      </c>
      <c r="V862" s="30" t="str">
        <f t="shared" si="52"/>
        <v>Work-Others</v>
      </c>
      <c r="W862" s="51">
        <v>40000</v>
      </c>
      <c r="X862" s="50">
        <v>250</v>
      </c>
      <c r="Y862" s="50" t="str">
        <f t="shared" si="53"/>
        <v>Over 200</v>
      </c>
      <c r="Z862" s="50">
        <v>6</v>
      </c>
      <c r="AA862" s="50" t="str">
        <f t="shared" si="54"/>
        <v>Over 3.5</v>
      </c>
      <c r="AB862" s="23">
        <v>6</v>
      </c>
      <c r="AC862" s="30" t="str">
        <f>VLOOKUP(AB862,[4]Key!$C$20:$D$29,2,FALSE)</f>
        <v>Businessman</v>
      </c>
      <c r="AD862" s="23">
        <v>1</v>
      </c>
      <c r="AE862" s="30" t="str">
        <f>VLOOKUP(AD862,[4]Key!$E$20:$F$24,2,FALSE)</f>
        <v>&lt;300,000</v>
      </c>
      <c r="AF862" s="23">
        <v>2</v>
      </c>
      <c r="AG862" s="50">
        <v>4</v>
      </c>
      <c r="AH862" s="50">
        <v>1</v>
      </c>
      <c r="AI862" s="50">
        <v>2</v>
      </c>
      <c r="AJ862" s="50">
        <v>1</v>
      </c>
      <c r="AK862" s="46" t="s">
        <v>94</v>
      </c>
      <c r="AL862" s="36">
        <v>0</v>
      </c>
      <c r="AM862" t="str">
        <f t="shared" si="55"/>
        <v>0-1000</v>
      </c>
    </row>
    <row r="863" spans="1:39" x14ac:dyDescent="0.2">
      <c r="A863" s="44" t="s">
        <v>541</v>
      </c>
      <c r="B863" s="48"/>
      <c r="C863" s="48"/>
      <c r="D863" s="48" t="s">
        <v>150</v>
      </c>
      <c r="E863" s="13">
        <v>2</v>
      </c>
      <c r="F863" s="38" t="str">
        <f>VLOOKUP(E863,[4]Key!$A$17:$B$21,2,FALSE)</f>
        <v>Road Vehicle</v>
      </c>
      <c r="G863" s="49">
        <v>6</v>
      </c>
      <c r="H863" s="39" t="str">
        <f>VLOOKUP(G863,[4]Key!$A$2:$B$13,2,FALSE)</f>
        <v>Large Bus</v>
      </c>
      <c r="I863" s="13" t="s">
        <v>156</v>
      </c>
      <c r="J863" s="13">
        <v>2</v>
      </c>
      <c r="K863" s="40" t="str">
        <f>VLOOKUP(J863,[4]Key!$A$24:$B$29,2,FALSE)</f>
        <v>30-39</v>
      </c>
      <c r="L863" s="13" t="s">
        <v>570</v>
      </c>
      <c r="M863" s="23" t="s">
        <v>571</v>
      </c>
      <c r="N863" s="13" t="s">
        <v>572</v>
      </c>
      <c r="O863" s="46">
        <v>1</v>
      </c>
      <c r="P863" s="30" t="str">
        <f>VLOOKUP(O863,[4]Key!$E$2:$F$9,2,FALSE)</f>
        <v>Home</v>
      </c>
      <c r="Q863" s="13" t="s">
        <v>450</v>
      </c>
      <c r="R863" s="23" t="s">
        <v>153</v>
      </c>
      <c r="S863" s="13" t="s">
        <v>152</v>
      </c>
      <c r="T863" s="23">
        <v>2</v>
      </c>
      <c r="U863" s="30" t="str">
        <f>VLOOKUP(T863,[4]Key!$E$2:$F$9,2,FALSE)</f>
        <v>Work</v>
      </c>
      <c r="V863" s="30" t="str">
        <f t="shared" si="52"/>
        <v>Home-Work</v>
      </c>
      <c r="W863" s="51">
        <v>40000</v>
      </c>
      <c r="X863" s="50">
        <v>250</v>
      </c>
      <c r="Y863" s="50" t="str">
        <f t="shared" si="53"/>
        <v>Over 200</v>
      </c>
      <c r="Z863" s="50">
        <v>6</v>
      </c>
      <c r="AA863" s="50" t="str">
        <f t="shared" si="54"/>
        <v>Over 3.5</v>
      </c>
      <c r="AB863" s="23">
        <v>6</v>
      </c>
      <c r="AC863" s="30" t="str">
        <f>VLOOKUP(AB863,[4]Key!$C$20:$D$29,2,FALSE)</f>
        <v>Businessman</v>
      </c>
      <c r="AD863" s="23">
        <v>1</v>
      </c>
      <c r="AE863" s="30" t="str">
        <f>VLOOKUP(AD863,[4]Key!$E$20:$F$24,2,FALSE)</f>
        <v>&lt;300,000</v>
      </c>
      <c r="AF863" s="23">
        <v>2</v>
      </c>
      <c r="AG863" s="50">
        <v>4</v>
      </c>
      <c r="AH863" s="50">
        <v>1</v>
      </c>
      <c r="AI863" s="50">
        <v>2</v>
      </c>
      <c r="AJ863" s="50">
        <v>2</v>
      </c>
      <c r="AK863" s="46" t="s">
        <v>94</v>
      </c>
      <c r="AL863" s="36">
        <v>0</v>
      </c>
      <c r="AM863" t="str">
        <f t="shared" si="55"/>
        <v>0-1000</v>
      </c>
    </row>
    <row r="864" spans="1:39" x14ac:dyDescent="0.2">
      <c r="A864" s="44" t="s">
        <v>541</v>
      </c>
      <c r="B864" s="48">
        <v>0.77638888888888891</v>
      </c>
      <c r="C864" s="48"/>
      <c r="D864" s="48" t="s">
        <v>150</v>
      </c>
      <c r="E864" s="13">
        <v>2</v>
      </c>
      <c r="F864" s="38" t="str">
        <f>VLOOKUP(E864,[4]Key!$A$17:$B$21,2,FALSE)</f>
        <v>Road Vehicle</v>
      </c>
      <c r="G864" s="49">
        <v>6</v>
      </c>
      <c r="H864" s="39" t="str">
        <f>VLOOKUP(G864,[4]Key!$A$2:$B$13,2,FALSE)</f>
        <v>Large Bus</v>
      </c>
      <c r="I864" s="13" t="s">
        <v>156</v>
      </c>
      <c r="J864" s="13">
        <v>2</v>
      </c>
      <c r="K864" s="40" t="str">
        <f>VLOOKUP(J864,[4]Key!$A$24:$B$29,2,FALSE)</f>
        <v>30-39</v>
      </c>
      <c r="L864" s="13" t="s">
        <v>570</v>
      </c>
      <c r="M864" s="23" t="s">
        <v>571</v>
      </c>
      <c r="N864" s="13" t="s">
        <v>572</v>
      </c>
      <c r="O864" s="46">
        <v>1</v>
      </c>
      <c r="P864" s="30" t="str">
        <f>VLOOKUP(O864,[4]Key!$E$2:$F$9,2,FALSE)</f>
        <v>Home</v>
      </c>
      <c r="Q864" s="13" t="s">
        <v>573</v>
      </c>
      <c r="R864" s="23" t="s">
        <v>153</v>
      </c>
      <c r="S864" s="13" t="s">
        <v>152</v>
      </c>
      <c r="T864" s="23">
        <v>8</v>
      </c>
      <c r="U864" s="30" t="str">
        <f>VLOOKUP(T864,[4]Key!$E$2:$F$9,2,FALSE)</f>
        <v>Others</v>
      </c>
      <c r="V864" s="30" t="str">
        <f t="shared" si="52"/>
        <v>Home-Others</v>
      </c>
      <c r="W864" s="51">
        <v>40000</v>
      </c>
      <c r="X864" s="50">
        <v>250</v>
      </c>
      <c r="Y864" s="50" t="str">
        <f t="shared" si="53"/>
        <v>Over 200</v>
      </c>
      <c r="Z864" s="50">
        <v>6</v>
      </c>
      <c r="AA864" s="50" t="str">
        <f t="shared" si="54"/>
        <v>Over 3.5</v>
      </c>
      <c r="AB864" s="23">
        <v>6</v>
      </c>
      <c r="AC864" s="30" t="str">
        <f>VLOOKUP(AB864,[4]Key!$C$20:$D$29,2,FALSE)</f>
        <v>Businessman</v>
      </c>
      <c r="AD864" s="23">
        <v>1</v>
      </c>
      <c r="AE864" s="30" t="str">
        <f>VLOOKUP(AD864,[4]Key!$E$20:$F$24,2,FALSE)</f>
        <v>&lt;300,000</v>
      </c>
      <c r="AF864" s="23">
        <v>5</v>
      </c>
      <c r="AG864" s="50">
        <v>4</v>
      </c>
      <c r="AH864" s="50">
        <v>5</v>
      </c>
      <c r="AI864" s="50">
        <v>2</v>
      </c>
      <c r="AJ864" s="50">
        <v>5</v>
      </c>
      <c r="AK864" s="46" t="s">
        <v>94</v>
      </c>
      <c r="AL864" s="36">
        <v>0</v>
      </c>
      <c r="AM864" t="str">
        <f t="shared" si="55"/>
        <v>0-1000</v>
      </c>
    </row>
    <row r="865" spans="1:39" x14ac:dyDescent="0.2">
      <c r="A865" s="44" t="s">
        <v>541</v>
      </c>
      <c r="B865" s="48">
        <v>0.78402777777777777</v>
      </c>
      <c r="C865" s="48"/>
      <c r="D865" s="48" t="s">
        <v>150</v>
      </c>
      <c r="E865" s="13">
        <v>2</v>
      </c>
      <c r="F865" s="38" t="str">
        <f>VLOOKUP(E865,[4]Key!$A$17:$B$21,2,FALSE)</f>
        <v>Road Vehicle</v>
      </c>
      <c r="G865" s="49">
        <v>6</v>
      </c>
      <c r="H865" s="39" t="str">
        <f>VLOOKUP(G865,[4]Key!$A$2:$B$13,2,FALSE)</f>
        <v>Large Bus</v>
      </c>
      <c r="I865" s="13" t="s">
        <v>156</v>
      </c>
      <c r="J865" s="13">
        <v>2</v>
      </c>
      <c r="K865" s="40" t="str">
        <f>VLOOKUP(J865,[4]Key!$A$24:$B$29,2,FALSE)</f>
        <v>30-39</v>
      </c>
      <c r="L865" s="13" t="s">
        <v>570</v>
      </c>
      <c r="M865" s="23" t="s">
        <v>571</v>
      </c>
      <c r="N865" s="13" t="s">
        <v>572</v>
      </c>
      <c r="O865" s="46">
        <v>1</v>
      </c>
      <c r="P865" s="30" t="str">
        <f>VLOOKUP(O865,[4]Key!$E$2:$F$9,2,FALSE)</f>
        <v>Home</v>
      </c>
      <c r="Q865" s="13" t="s">
        <v>574</v>
      </c>
      <c r="R865" s="23" t="s">
        <v>153</v>
      </c>
      <c r="S865" s="13" t="s">
        <v>152</v>
      </c>
      <c r="T865" s="23">
        <v>2</v>
      </c>
      <c r="U865" s="30" t="str">
        <f>VLOOKUP(T865,[4]Key!$E$2:$F$9,2,FALSE)</f>
        <v>Work</v>
      </c>
      <c r="V865" s="30" t="str">
        <f t="shared" si="52"/>
        <v>Home-Work</v>
      </c>
      <c r="W865" s="51">
        <v>40000</v>
      </c>
      <c r="X865" s="50">
        <v>250</v>
      </c>
      <c r="Y865" s="50" t="str">
        <f t="shared" si="53"/>
        <v>Over 200</v>
      </c>
      <c r="Z865" s="50">
        <v>6</v>
      </c>
      <c r="AA865" s="50" t="str">
        <f t="shared" si="54"/>
        <v>Over 3.5</v>
      </c>
      <c r="AB865" s="23">
        <v>6</v>
      </c>
      <c r="AC865" s="30" t="str">
        <f>VLOOKUP(AB865,[4]Key!$C$20:$D$29,2,FALSE)</f>
        <v>Businessman</v>
      </c>
      <c r="AD865" s="23">
        <v>1</v>
      </c>
      <c r="AE865" s="30" t="str">
        <f>VLOOKUP(AD865,[4]Key!$E$20:$F$24,2,FALSE)</f>
        <v>&lt;300,000</v>
      </c>
      <c r="AF865" s="23">
        <v>5</v>
      </c>
      <c r="AG865" s="50">
        <v>4</v>
      </c>
      <c r="AH865" s="50">
        <v>2</v>
      </c>
      <c r="AI865" s="50">
        <v>2</v>
      </c>
      <c r="AJ865" s="50">
        <v>2</v>
      </c>
      <c r="AK865" s="46" t="s">
        <v>94</v>
      </c>
      <c r="AL865" s="36">
        <v>0</v>
      </c>
      <c r="AM865" t="str">
        <f t="shared" si="55"/>
        <v>0-1000</v>
      </c>
    </row>
    <row r="866" spans="1:39" x14ac:dyDescent="0.2">
      <c r="A866" s="44" t="s">
        <v>541</v>
      </c>
      <c r="B866" s="48">
        <v>0.77083333333333337</v>
      </c>
      <c r="C866" s="48"/>
      <c r="D866" s="48" t="s">
        <v>150</v>
      </c>
      <c r="E866" s="13">
        <v>2</v>
      </c>
      <c r="F866" s="38" t="str">
        <f>VLOOKUP(E866,[4]Key!$A$17:$B$21,2,FALSE)</f>
        <v>Road Vehicle</v>
      </c>
      <c r="G866" s="49">
        <v>6</v>
      </c>
      <c r="H866" s="39" t="s">
        <v>39</v>
      </c>
      <c r="I866" s="13" t="s">
        <v>156</v>
      </c>
      <c r="J866" s="13">
        <v>2</v>
      </c>
      <c r="K866" s="40" t="str">
        <f>VLOOKUP(J866,[4]Key!$A$24:$B$29,2,FALSE)</f>
        <v>30-39</v>
      </c>
      <c r="L866" s="13" t="s">
        <v>575</v>
      </c>
      <c r="M866" s="23" t="s">
        <v>485</v>
      </c>
      <c r="N866" s="13" t="s">
        <v>152</v>
      </c>
      <c r="O866" s="46">
        <v>1</v>
      </c>
      <c r="P866" s="30" t="str">
        <f>VLOOKUP(O866,[4]Key!$E$2:$F$9,2,FALSE)</f>
        <v>Home</v>
      </c>
      <c r="Q866" s="13" t="s">
        <v>434</v>
      </c>
      <c r="R866" s="23" t="s">
        <v>153</v>
      </c>
      <c r="S866" s="13" t="s">
        <v>152</v>
      </c>
      <c r="T866" s="23">
        <v>2</v>
      </c>
      <c r="U866" s="30" t="str">
        <f>VLOOKUP(T866,[4]Key!$E$2:$F$9,2,FALSE)</f>
        <v>Work</v>
      </c>
      <c r="V866" s="30" t="str">
        <f t="shared" si="52"/>
        <v>Home-Work</v>
      </c>
      <c r="W866" s="51">
        <v>40000</v>
      </c>
      <c r="X866" s="50">
        <v>250</v>
      </c>
      <c r="Y866" s="50" t="str">
        <f t="shared" si="53"/>
        <v>Over 200</v>
      </c>
      <c r="Z866" s="50">
        <v>6</v>
      </c>
      <c r="AA866" s="50" t="str">
        <f t="shared" si="54"/>
        <v>Over 3.5</v>
      </c>
      <c r="AB866" s="23">
        <v>6</v>
      </c>
      <c r="AC866" s="30" t="str">
        <f>VLOOKUP(AB866,[4]Key!$C$20:$D$29,2,FALSE)</f>
        <v>Businessman</v>
      </c>
      <c r="AD866" s="23">
        <v>1</v>
      </c>
      <c r="AE866" s="30" t="str">
        <f>VLOOKUP(AD866,[4]Key!$E$20:$F$24,2,FALSE)</f>
        <v>&lt;300,000</v>
      </c>
      <c r="AF866" s="23">
        <v>2</v>
      </c>
      <c r="AG866" s="50">
        <v>2</v>
      </c>
      <c r="AH866" s="50">
        <v>4</v>
      </c>
      <c r="AI866" s="50">
        <v>5</v>
      </c>
      <c r="AJ866" s="50">
        <v>5</v>
      </c>
      <c r="AK866" s="46" t="s">
        <v>94</v>
      </c>
      <c r="AL866" s="36">
        <v>0</v>
      </c>
      <c r="AM866" t="str">
        <f t="shared" si="55"/>
        <v>0-1000</v>
      </c>
    </row>
    <row r="867" spans="1:39" x14ac:dyDescent="0.2">
      <c r="A867" s="44" t="s">
        <v>541</v>
      </c>
      <c r="B867" s="48">
        <v>0.75624999999999998</v>
      </c>
      <c r="C867" s="48"/>
      <c r="D867" s="48" t="s">
        <v>150</v>
      </c>
      <c r="E867" s="13">
        <v>2</v>
      </c>
      <c r="F867" s="38" t="str">
        <f>VLOOKUP(E867,[4]Key!$A$17:$B$21,2,FALSE)</f>
        <v>Road Vehicle</v>
      </c>
      <c r="G867" s="49">
        <v>6</v>
      </c>
      <c r="H867" s="39" t="s">
        <v>39</v>
      </c>
      <c r="I867" s="13" t="s">
        <v>156</v>
      </c>
      <c r="J867" s="13">
        <v>2</v>
      </c>
      <c r="K867" s="40" t="str">
        <f>VLOOKUP(J867,[4]Key!$A$24:$B$29,2,FALSE)</f>
        <v>30-39</v>
      </c>
      <c r="L867" s="13" t="s">
        <v>575</v>
      </c>
      <c r="M867" s="23" t="s">
        <v>485</v>
      </c>
      <c r="N867" s="13" t="s">
        <v>152</v>
      </c>
      <c r="O867" s="46">
        <v>1</v>
      </c>
      <c r="P867" s="30" t="str">
        <f>VLOOKUP(O867,[4]Key!$E$2:$F$9,2,FALSE)</f>
        <v>Home</v>
      </c>
      <c r="Q867" s="13" t="s">
        <v>576</v>
      </c>
      <c r="R867" s="23" t="s">
        <v>577</v>
      </c>
      <c r="S867" s="13" t="s">
        <v>152</v>
      </c>
      <c r="T867" s="23">
        <v>8</v>
      </c>
      <c r="U867" s="30" t="str">
        <f>VLOOKUP(T867,[4]Key!$E$2:$F$9,2,FALSE)</f>
        <v>Others</v>
      </c>
      <c r="V867" s="30" t="str">
        <f t="shared" si="52"/>
        <v>Home-Others</v>
      </c>
      <c r="W867" s="51">
        <v>40000</v>
      </c>
      <c r="X867" s="50">
        <v>250</v>
      </c>
      <c r="Y867" s="50" t="str">
        <f t="shared" si="53"/>
        <v>Over 200</v>
      </c>
      <c r="Z867" s="50">
        <v>6</v>
      </c>
      <c r="AA867" s="50" t="str">
        <f t="shared" si="54"/>
        <v>Over 3.5</v>
      </c>
      <c r="AB867" s="23">
        <v>6</v>
      </c>
      <c r="AC867" s="30" t="str">
        <f>VLOOKUP(AB867,[4]Key!$C$20:$D$29,2,FALSE)</f>
        <v>Businessman</v>
      </c>
      <c r="AD867" s="23">
        <v>1</v>
      </c>
      <c r="AE867" s="30" t="str">
        <f>VLOOKUP(AD867,[4]Key!$E$20:$F$24,2,FALSE)</f>
        <v>&lt;300,000</v>
      </c>
      <c r="AF867" s="23">
        <v>2</v>
      </c>
      <c r="AG867" s="50">
        <v>2</v>
      </c>
      <c r="AH867" s="50">
        <v>2</v>
      </c>
      <c r="AI867" s="50">
        <v>2</v>
      </c>
      <c r="AJ867" s="50">
        <v>2</v>
      </c>
      <c r="AK867" s="46" t="s">
        <v>94</v>
      </c>
      <c r="AL867" s="36">
        <v>0</v>
      </c>
      <c r="AM867" t="str">
        <f t="shared" si="55"/>
        <v>0-1000</v>
      </c>
    </row>
    <row r="868" spans="1:39" x14ac:dyDescent="0.2">
      <c r="A868" s="44" t="s">
        <v>541</v>
      </c>
      <c r="B868" s="48">
        <v>0.7631944444444444</v>
      </c>
      <c r="C868" s="48"/>
      <c r="D868" s="48" t="s">
        <v>150</v>
      </c>
      <c r="E868" s="13">
        <v>2</v>
      </c>
      <c r="F868" s="38" t="str">
        <f>VLOOKUP(E868,[4]Key!$A$17:$B$21,2,FALSE)</f>
        <v>Road Vehicle</v>
      </c>
      <c r="G868" s="49">
        <v>6</v>
      </c>
      <c r="H868" s="39" t="str">
        <f>VLOOKUP(G868,[4]Key!$A$2:$B$13,2,FALSE)</f>
        <v>Large Bus</v>
      </c>
      <c r="I868" s="13" t="s">
        <v>156</v>
      </c>
      <c r="J868" s="13">
        <v>2</v>
      </c>
      <c r="K868" s="40" t="str">
        <f>VLOOKUP(J868,[4]Key!$A$24:$B$29,2,FALSE)</f>
        <v>30-39</v>
      </c>
      <c r="L868" s="13" t="s">
        <v>575</v>
      </c>
      <c r="M868" s="23" t="s">
        <v>485</v>
      </c>
      <c r="N868" s="13" t="s">
        <v>152</v>
      </c>
      <c r="O868" s="46">
        <v>1</v>
      </c>
      <c r="P868" s="30" t="str">
        <f>VLOOKUP(O868,[4]Key!$E$2:$F$9,2,FALSE)</f>
        <v>Home</v>
      </c>
      <c r="Q868" s="13" t="s">
        <v>578</v>
      </c>
      <c r="R868" s="23" t="s">
        <v>168</v>
      </c>
      <c r="S868" s="13" t="s">
        <v>152</v>
      </c>
      <c r="T868" s="23">
        <v>2</v>
      </c>
      <c r="U868" s="30" t="str">
        <f>VLOOKUP(T868,[4]Key!$E$2:$F$9,2,FALSE)</f>
        <v>Work</v>
      </c>
      <c r="V868" s="30" t="str">
        <f t="shared" si="52"/>
        <v>Home-Work</v>
      </c>
      <c r="W868" s="51">
        <v>40000</v>
      </c>
      <c r="X868" s="50">
        <v>250</v>
      </c>
      <c r="Y868" s="50" t="str">
        <f t="shared" si="53"/>
        <v>Over 200</v>
      </c>
      <c r="Z868" s="50">
        <v>6</v>
      </c>
      <c r="AA868" s="50" t="str">
        <f t="shared" si="54"/>
        <v>Over 3.5</v>
      </c>
      <c r="AB868" s="23">
        <v>6</v>
      </c>
      <c r="AC868" s="30" t="str">
        <f>VLOOKUP(AB868,[4]Key!$C$20:$D$29,2,FALSE)</f>
        <v>Businessman</v>
      </c>
      <c r="AD868" s="23">
        <v>1</v>
      </c>
      <c r="AE868" s="30" t="str">
        <f>VLOOKUP(AD868,[4]Key!$E$20:$F$24,2,FALSE)</f>
        <v>&lt;300,000</v>
      </c>
      <c r="AF868" s="23">
        <v>5</v>
      </c>
      <c r="AG868" s="50">
        <v>4</v>
      </c>
      <c r="AH868" s="50">
        <v>4</v>
      </c>
      <c r="AI868" s="50">
        <v>5</v>
      </c>
      <c r="AJ868" s="50">
        <v>5</v>
      </c>
      <c r="AK868" s="46" t="s">
        <v>94</v>
      </c>
      <c r="AL868" s="36">
        <v>0</v>
      </c>
      <c r="AM868" t="str">
        <f t="shared" si="55"/>
        <v>0-1000</v>
      </c>
    </row>
    <row r="869" spans="1:39" x14ac:dyDescent="0.2">
      <c r="A869" s="44" t="s">
        <v>541</v>
      </c>
      <c r="B869" s="48">
        <v>0.73611111111111116</v>
      </c>
      <c r="C869" s="48"/>
      <c r="D869" s="48" t="s">
        <v>150</v>
      </c>
      <c r="E869" s="13">
        <v>2</v>
      </c>
      <c r="F869" s="38" t="str">
        <f>VLOOKUP(E869,[4]Key!$A$17:$B$21,2,FALSE)</f>
        <v>Road Vehicle</v>
      </c>
      <c r="G869" s="49">
        <v>6</v>
      </c>
      <c r="H869" s="39" t="str">
        <f>VLOOKUP(G869,[4]Key!$A$2:$B$13,2,FALSE)</f>
        <v>Large Bus</v>
      </c>
      <c r="I869" s="13" t="s">
        <v>156</v>
      </c>
      <c r="J869" s="13">
        <v>2</v>
      </c>
      <c r="K869" s="40" t="str">
        <f>VLOOKUP(J869,[4]Key!$A$24:$B$29,2,FALSE)</f>
        <v>30-39</v>
      </c>
      <c r="L869" s="13" t="s">
        <v>568</v>
      </c>
      <c r="M869" s="23" t="s">
        <v>455</v>
      </c>
      <c r="N869" s="13" t="s">
        <v>152</v>
      </c>
      <c r="O869" s="46">
        <v>1</v>
      </c>
      <c r="P869" s="30" t="str">
        <f>VLOOKUP(O869,[4]Key!$E$2:$F$9,2,FALSE)</f>
        <v>Home</v>
      </c>
      <c r="Q869" s="13" t="s">
        <v>579</v>
      </c>
      <c r="R869" s="23" t="s">
        <v>153</v>
      </c>
      <c r="S869" s="13" t="s">
        <v>152</v>
      </c>
      <c r="T869" s="23">
        <v>8</v>
      </c>
      <c r="U869" s="30" t="str">
        <f>VLOOKUP(T869,[4]Key!$E$2:$F$9,2,FALSE)</f>
        <v>Others</v>
      </c>
      <c r="V869" s="30" t="str">
        <f t="shared" si="52"/>
        <v>Home-Others</v>
      </c>
      <c r="W869" s="51">
        <v>40000</v>
      </c>
      <c r="X869" s="50">
        <v>250</v>
      </c>
      <c r="Y869" s="50" t="str">
        <f t="shared" si="53"/>
        <v>Over 200</v>
      </c>
      <c r="Z869" s="50">
        <v>6</v>
      </c>
      <c r="AA869" s="50" t="str">
        <f t="shared" si="54"/>
        <v>Over 3.5</v>
      </c>
      <c r="AB869" s="23">
        <v>6</v>
      </c>
      <c r="AC869" s="30" t="str">
        <f>VLOOKUP(AB869,[4]Key!$C$20:$D$29,2,FALSE)</f>
        <v>Businessman</v>
      </c>
      <c r="AD869" s="23">
        <v>1</v>
      </c>
      <c r="AE869" s="30" t="str">
        <f>VLOOKUP(AD869,[4]Key!$E$20:$F$24,2,FALSE)</f>
        <v>&lt;300,000</v>
      </c>
      <c r="AF869" s="23">
        <v>2</v>
      </c>
      <c r="AG869" s="50">
        <v>2</v>
      </c>
      <c r="AH869" s="50">
        <v>2</v>
      </c>
      <c r="AI869" s="50">
        <v>2</v>
      </c>
      <c r="AJ869" s="50">
        <v>2</v>
      </c>
      <c r="AK869" s="46" t="s">
        <v>94</v>
      </c>
      <c r="AL869" s="36">
        <v>0</v>
      </c>
      <c r="AM869" t="str">
        <f t="shared" si="55"/>
        <v>0-1000</v>
      </c>
    </row>
    <row r="870" spans="1:39" x14ac:dyDescent="0.2">
      <c r="A870" s="44" t="s">
        <v>541</v>
      </c>
      <c r="B870" s="48">
        <v>0.73819444444444438</v>
      </c>
      <c r="C870" s="48"/>
      <c r="D870" s="48" t="s">
        <v>150</v>
      </c>
      <c r="E870" s="13">
        <v>2</v>
      </c>
      <c r="F870" s="38" t="str">
        <f>VLOOKUP(E870,[4]Key!$A$17:$B$21,2,FALSE)</f>
        <v>Road Vehicle</v>
      </c>
      <c r="G870" s="49">
        <v>6</v>
      </c>
      <c r="H870" s="39" t="str">
        <f>VLOOKUP(G870,[4]Key!$A$2:$B$13,2,FALSE)</f>
        <v>Large Bus</v>
      </c>
      <c r="I870" s="13" t="s">
        <v>156</v>
      </c>
      <c r="J870" s="13">
        <v>2</v>
      </c>
      <c r="K870" s="40" t="str">
        <f>VLOOKUP(J870,[4]Key!$A$24:$B$29,2,FALSE)</f>
        <v>30-39</v>
      </c>
      <c r="L870" s="13" t="s">
        <v>568</v>
      </c>
      <c r="M870" s="23" t="s">
        <v>455</v>
      </c>
      <c r="N870" s="13" t="s">
        <v>152</v>
      </c>
      <c r="O870" s="46">
        <v>1</v>
      </c>
      <c r="P870" s="30" t="str">
        <f>VLOOKUP(O870,[4]Key!$E$2:$F$9,2,FALSE)</f>
        <v>Home</v>
      </c>
      <c r="Q870" s="13" t="s">
        <v>580</v>
      </c>
      <c r="R870" s="23" t="s">
        <v>577</v>
      </c>
      <c r="S870" s="13" t="s">
        <v>152</v>
      </c>
      <c r="T870" s="23">
        <v>2</v>
      </c>
      <c r="U870" s="30" t="str">
        <f>VLOOKUP(T870,[4]Key!$E$2:$F$9,2,FALSE)</f>
        <v>Work</v>
      </c>
      <c r="V870" s="30" t="str">
        <f t="shared" si="52"/>
        <v>Home-Work</v>
      </c>
      <c r="W870" s="51">
        <v>40000</v>
      </c>
      <c r="X870" s="50">
        <v>250</v>
      </c>
      <c r="Y870" s="50" t="str">
        <f t="shared" si="53"/>
        <v>Over 200</v>
      </c>
      <c r="Z870" s="50">
        <v>6</v>
      </c>
      <c r="AA870" s="50" t="str">
        <f t="shared" si="54"/>
        <v>Over 3.5</v>
      </c>
      <c r="AB870" s="23">
        <v>6</v>
      </c>
      <c r="AC870" s="30" t="str">
        <f>VLOOKUP(AB870,[4]Key!$C$20:$D$29,2,FALSE)</f>
        <v>Businessman</v>
      </c>
      <c r="AD870" s="23">
        <v>1</v>
      </c>
      <c r="AE870" s="30" t="str">
        <f>VLOOKUP(AD870,[4]Key!$E$20:$F$24,2,FALSE)</f>
        <v>&lt;300,000</v>
      </c>
      <c r="AF870" s="23">
        <v>5</v>
      </c>
      <c r="AG870" s="50">
        <v>4</v>
      </c>
      <c r="AH870" s="50">
        <v>5</v>
      </c>
      <c r="AI870" s="50">
        <v>2</v>
      </c>
      <c r="AJ870" s="50">
        <v>5</v>
      </c>
      <c r="AK870" s="46" t="s">
        <v>94</v>
      </c>
      <c r="AL870" s="36">
        <v>0</v>
      </c>
      <c r="AM870" t="str">
        <f t="shared" si="55"/>
        <v>0-1000</v>
      </c>
    </row>
    <row r="871" spans="1:39" x14ac:dyDescent="0.2">
      <c r="A871" s="44" t="s">
        <v>541</v>
      </c>
      <c r="B871" s="48">
        <v>0.72569444444444453</v>
      </c>
      <c r="C871" s="48"/>
      <c r="D871" s="48" t="s">
        <v>150</v>
      </c>
      <c r="E871" s="13">
        <v>2</v>
      </c>
      <c r="F871" s="38" t="str">
        <f>VLOOKUP(E871,[4]Key!$A$17:$B$21,2,FALSE)</f>
        <v>Road Vehicle</v>
      </c>
      <c r="G871" s="49">
        <v>6</v>
      </c>
      <c r="H871" s="39" t="str">
        <f>VLOOKUP(G871,[4]Key!$A$2:$B$13,2,FALSE)</f>
        <v>Large Bus</v>
      </c>
      <c r="I871" s="13" t="s">
        <v>156</v>
      </c>
      <c r="J871" s="13">
        <v>2</v>
      </c>
      <c r="K871" s="40" t="str">
        <f>VLOOKUP(J871,[4]Key!$A$24:$B$29,2,FALSE)</f>
        <v>30-39</v>
      </c>
      <c r="L871" s="13" t="s">
        <v>581</v>
      </c>
      <c r="M871" s="23" t="s">
        <v>581</v>
      </c>
      <c r="N871" s="13" t="s">
        <v>152</v>
      </c>
      <c r="O871" s="46">
        <v>1</v>
      </c>
      <c r="P871" s="30" t="str">
        <f>VLOOKUP(O871,[4]Key!$E$2:$F$9,2,FALSE)</f>
        <v>Home</v>
      </c>
      <c r="Q871" s="13" t="s">
        <v>521</v>
      </c>
      <c r="R871" s="23" t="s">
        <v>168</v>
      </c>
      <c r="S871" s="13" t="s">
        <v>152</v>
      </c>
      <c r="T871" s="23">
        <v>2</v>
      </c>
      <c r="U871" s="30" t="str">
        <f>VLOOKUP(T871,[4]Key!$E$2:$F$9,2,FALSE)</f>
        <v>Work</v>
      </c>
      <c r="V871" s="30" t="str">
        <f t="shared" si="52"/>
        <v>Home-Work</v>
      </c>
      <c r="W871" s="51">
        <v>50000</v>
      </c>
      <c r="X871" s="50">
        <v>300</v>
      </c>
      <c r="Y871" s="50" t="str">
        <f t="shared" si="53"/>
        <v>Over 200</v>
      </c>
      <c r="Z871" s="50">
        <v>7</v>
      </c>
      <c r="AA871" s="50" t="str">
        <f t="shared" si="54"/>
        <v>Over 3.5</v>
      </c>
      <c r="AB871" s="23">
        <v>6</v>
      </c>
      <c r="AC871" s="30" t="str">
        <f>VLOOKUP(AB871,[4]Key!$C$20:$D$29,2,FALSE)</f>
        <v>Businessman</v>
      </c>
      <c r="AD871" s="23">
        <v>1</v>
      </c>
      <c r="AE871" s="30" t="str">
        <f>VLOOKUP(AD871,[4]Key!$E$20:$F$24,2,FALSE)</f>
        <v>&lt;300,000</v>
      </c>
      <c r="AF871" s="23">
        <v>5</v>
      </c>
      <c r="AG871" s="50">
        <v>4</v>
      </c>
      <c r="AH871" s="50">
        <v>2</v>
      </c>
      <c r="AI871" s="50">
        <v>2</v>
      </c>
      <c r="AJ871" s="50">
        <v>1</v>
      </c>
      <c r="AK871" s="46" t="s">
        <v>94</v>
      </c>
      <c r="AL871" s="36">
        <v>0</v>
      </c>
      <c r="AM871" t="str">
        <f t="shared" si="55"/>
        <v>0-1000</v>
      </c>
    </row>
    <row r="872" spans="1:39" x14ac:dyDescent="0.2">
      <c r="A872" s="44" t="s">
        <v>541</v>
      </c>
      <c r="B872" s="48">
        <v>0.72083333333333333</v>
      </c>
      <c r="C872" s="48"/>
      <c r="D872" s="48" t="s">
        <v>150</v>
      </c>
      <c r="E872" s="13">
        <v>2</v>
      </c>
      <c r="F872" s="38" t="str">
        <f>VLOOKUP(E872,[4]Key!$A$17:$B$21,2,FALSE)</f>
        <v>Road Vehicle</v>
      </c>
      <c r="G872" s="49">
        <v>6</v>
      </c>
      <c r="H872" s="39" t="str">
        <f>VLOOKUP(G872,[4]Key!$A$2:$B$13,2,FALSE)</f>
        <v>Large Bus</v>
      </c>
      <c r="I872" s="13" t="s">
        <v>156</v>
      </c>
      <c r="J872" s="13">
        <v>2</v>
      </c>
      <c r="K872" s="40" t="str">
        <f>VLOOKUP(J872,[4]Key!$A$24:$B$29,2,FALSE)</f>
        <v>30-39</v>
      </c>
      <c r="L872" s="13" t="s">
        <v>581</v>
      </c>
      <c r="M872" s="23" t="s">
        <v>581</v>
      </c>
      <c r="N872" s="13" t="s">
        <v>582</v>
      </c>
      <c r="O872" s="46">
        <v>2</v>
      </c>
      <c r="P872" s="30" t="str">
        <f>VLOOKUP(O872,[4]Key!$E$2:$F$9,2,FALSE)</f>
        <v>Work</v>
      </c>
      <c r="Q872" s="13" t="s">
        <v>583</v>
      </c>
      <c r="R872" s="23" t="s">
        <v>153</v>
      </c>
      <c r="S872" s="13" t="s">
        <v>152</v>
      </c>
      <c r="T872" s="23">
        <v>8</v>
      </c>
      <c r="U872" s="30" t="str">
        <f>VLOOKUP(T872,[4]Key!$E$2:$F$9,2,FALSE)</f>
        <v>Others</v>
      </c>
      <c r="V872" s="30" t="str">
        <f t="shared" si="52"/>
        <v>Work-Others</v>
      </c>
      <c r="W872" s="51">
        <v>50000</v>
      </c>
      <c r="X872" s="50">
        <v>300</v>
      </c>
      <c r="Y872" s="50" t="str">
        <f t="shared" si="53"/>
        <v>Over 200</v>
      </c>
      <c r="Z872" s="50">
        <v>7</v>
      </c>
      <c r="AA872" s="50" t="str">
        <f t="shared" si="54"/>
        <v>Over 3.5</v>
      </c>
      <c r="AB872" s="23">
        <v>6</v>
      </c>
      <c r="AC872" s="30" t="str">
        <f>VLOOKUP(AB872,[4]Key!$C$20:$D$29,2,FALSE)</f>
        <v>Businessman</v>
      </c>
      <c r="AD872" s="23">
        <v>1</v>
      </c>
      <c r="AE872" s="30" t="str">
        <f>VLOOKUP(AD872,[4]Key!$E$20:$F$24,2,FALSE)</f>
        <v>&lt;300,000</v>
      </c>
      <c r="AF872" s="23">
        <v>5</v>
      </c>
      <c r="AG872" s="50">
        <v>4</v>
      </c>
      <c r="AH872" s="50">
        <v>2</v>
      </c>
      <c r="AI872" s="50">
        <v>2</v>
      </c>
      <c r="AJ872" s="50">
        <v>1</v>
      </c>
      <c r="AK872" s="46" t="s">
        <v>94</v>
      </c>
      <c r="AL872" s="36">
        <v>0</v>
      </c>
      <c r="AM872" t="str">
        <f t="shared" si="55"/>
        <v>0-1000</v>
      </c>
    </row>
    <row r="873" spans="1:39" x14ac:dyDescent="0.2">
      <c r="A873" s="44" t="s">
        <v>541</v>
      </c>
      <c r="B873" s="48">
        <v>0.65486111111111112</v>
      </c>
      <c r="C873" s="48"/>
      <c r="D873" s="48" t="s">
        <v>150</v>
      </c>
      <c r="E873" s="13">
        <v>2</v>
      </c>
      <c r="F873" s="38" t="str">
        <f>VLOOKUP(E873,[4]Key!$A$17:$B$21,2,FALSE)</f>
        <v>Road Vehicle</v>
      </c>
      <c r="G873" s="49">
        <v>6</v>
      </c>
      <c r="H873" s="39" t="str">
        <f>VLOOKUP(G873,[4]Key!$A$2:$B$13,2,FALSE)</f>
        <v>Large Bus</v>
      </c>
      <c r="I873" s="13" t="s">
        <v>156</v>
      </c>
      <c r="J873" s="13">
        <v>2</v>
      </c>
      <c r="K873" s="40" t="str">
        <f>VLOOKUP(J873,[4]Key!$A$24:$B$29,2,FALSE)</f>
        <v>30-39</v>
      </c>
      <c r="L873" s="13" t="s">
        <v>581</v>
      </c>
      <c r="M873" s="23" t="s">
        <v>581</v>
      </c>
      <c r="N873" s="13" t="s">
        <v>582</v>
      </c>
      <c r="O873" s="46">
        <v>2</v>
      </c>
      <c r="P873" s="30" t="str">
        <f>VLOOKUP(O873,[4]Key!$E$2:$F$9,2,FALSE)</f>
        <v>Work</v>
      </c>
      <c r="Q873" s="13" t="s">
        <v>580</v>
      </c>
      <c r="R873" s="23" t="s">
        <v>577</v>
      </c>
      <c r="S873" s="13" t="s">
        <v>152</v>
      </c>
      <c r="T873" s="23">
        <v>3</v>
      </c>
      <c r="U873" s="30" t="str">
        <f>VLOOKUP(T873,[4]Key!$E$2:$F$9,2,FALSE)</f>
        <v>Study</v>
      </c>
      <c r="V873" s="30" t="str">
        <f t="shared" si="52"/>
        <v>Work-Study</v>
      </c>
      <c r="W873" s="51">
        <v>50000</v>
      </c>
      <c r="X873" s="50">
        <v>300</v>
      </c>
      <c r="Y873" s="50" t="str">
        <f t="shared" si="53"/>
        <v>Over 200</v>
      </c>
      <c r="Z873" s="50">
        <v>6</v>
      </c>
      <c r="AA873" s="50" t="str">
        <f t="shared" si="54"/>
        <v>Over 3.5</v>
      </c>
      <c r="AB873" s="23">
        <v>6</v>
      </c>
      <c r="AC873" s="30" t="str">
        <f>VLOOKUP(AB873,[4]Key!$C$20:$D$29,2,FALSE)</f>
        <v>Businessman</v>
      </c>
      <c r="AD873" s="23">
        <v>1</v>
      </c>
      <c r="AE873" s="30" t="str">
        <f>VLOOKUP(AD873,[4]Key!$E$20:$F$24,2,FALSE)</f>
        <v>&lt;300,000</v>
      </c>
      <c r="AF873" s="23">
        <v>5</v>
      </c>
      <c r="AG873" s="50">
        <v>5</v>
      </c>
      <c r="AH873" s="50">
        <v>5</v>
      </c>
      <c r="AI873" s="50">
        <v>1</v>
      </c>
      <c r="AJ873" s="50">
        <v>1</v>
      </c>
      <c r="AK873" s="46" t="s">
        <v>94</v>
      </c>
      <c r="AL873" s="36">
        <v>0</v>
      </c>
      <c r="AM873" t="str">
        <f t="shared" si="55"/>
        <v>0-1000</v>
      </c>
    </row>
    <row r="874" spans="1:39" x14ac:dyDescent="0.2">
      <c r="A874" s="44" t="s">
        <v>541</v>
      </c>
      <c r="B874" s="48">
        <v>0.6479166666666667</v>
      </c>
      <c r="C874" s="48"/>
      <c r="D874" s="48" t="s">
        <v>150</v>
      </c>
      <c r="E874" s="13">
        <v>2</v>
      </c>
      <c r="F874" s="38" t="str">
        <f>VLOOKUP(E874,[4]Key!$A$17:$B$21,2,FALSE)</f>
        <v>Road Vehicle</v>
      </c>
      <c r="G874" s="49">
        <v>6</v>
      </c>
      <c r="H874" s="39" t="str">
        <f>VLOOKUP(G874,[4]Key!$A$2:$B$13,2,FALSE)</f>
        <v>Large Bus</v>
      </c>
      <c r="I874" s="13" t="s">
        <v>156</v>
      </c>
      <c r="J874" s="13">
        <v>2</v>
      </c>
      <c r="K874" s="40" t="str">
        <f>VLOOKUP(J874,[4]Key!$A$24:$B$29,2,FALSE)</f>
        <v>30-39</v>
      </c>
      <c r="L874" s="13" t="s">
        <v>581</v>
      </c>
      <c r="M874" s="23" t="s">
        <v>581</v>
      </c>
      <c r="N874" s="13" t="s">
        <v>582</v>
      </c>
      <c r="O874" s="46">
        <v>2</v>
      </c>
      <c r="P874" s="30" t="str">
        <f>VLOOKUP(O874,[4]Key!$E$2:$F$9,2,FALSE)</f>
        <v>Work</v>
      </c>
      <c r="Q874" s="13" t="s">
        <v>584</v>
      </c>
      <c r="R874" s="23" t="s">
        <v>153</v>
      </c>
      <c r="S874" s="13" t="s">
        <v>152</v>
      </c>
      <c r="T874" s="23">
        <v>3</v>
      </c>
      <c r="U874" s="30" t="str">
        <f>VLOOKUP(T874,[4]Key!$E$2:$F$9,2,FALSE)</f>
        <v>Study</v>
      </c>
      <c r="V874" s="30" t="str">
        <f t="shared" si="52"/>
        <v>Work-Study</v>
      </c>
      <c r="W874" s="51">
        <v>50000</v>
      </c>
      <c r="X874" s="50">
        <v>3000</v>
      </c>
      <c r="Y874" s="50" t="str">
        <f t="shared" si="53"/>
        <v>Over 200</v>
      </c>
      <c r="Z874" s="50">
        <v>7</v>
      </c>
      <c r="AA874" s="50" t="str">
        <f t="shared" si="54"/>
        <v>Over 3.5</v>
      </c>
      <c r="AB874" s="23">
        <v>8</v>
      </c>
      <c r="AC874" s="30" t="str">
        <f>VLOOKUP(AB874,[4]Key!$C$20:$D$29,2,FALSE)</f>
        <v>Student</v>
      </c>
      <c r="AD874" s="23">
        <v>1</v>
      </c>
      <c r="AE874" s="30" t="str">
        <f>VLOOKUP(AD874,[4]Key!$E$20:$F$24,2,FALSE)</f>
        <v>&lt;300,000</v>
      </c>
      <c r="AF874" s="23">
        <v>2</v>
      </c>
      <c r="AG874" s="50">
        <v>4</v>
      </c>
      <c r="AH874" s="50">
        <v>1</v>
      </c>
      <c r="AI874" s="50">
        <v>2</v>
      </c>
      <c r="AJ874" s="50">
        <v>1</v>
      </c>
      <c r="AK874" s="46" t="s">
        <v>94</v>
      </c>
      <c r="AL874" s="36">
        <v>0</v>
      </c>
      <c r="AM874" t="str">
        <f t="shared" si="55"/>
        <v>0-1000</v>
      </c>
    </row>
    <row r="875" spans="1:39" x14ac:dyDescent="0.2">
      <c r="A875" s="44" t="s">
        <v>541</v>
      </c>
      <c r="B875" s="48">
        <v>0.66736111111111107</v>
      </c>
      <c r="C875" s="48"/>
      <c r="D875" s="48" t="s">
        <v>150</v>
      </c>
      <c r="E875" s="13">
        <v>2</v>
      </c>
      <c r="F875" s="38" t="str">
        <f>VLOOKUP(E875,[4]Key!$A$17:$B$21,2,FALSE)</f>
        <v>Road Vehicle</v>
      </c>
      <c r="G875" s="49">
        <v>6</v>
      </c>
      <c r="H875" s="39" t="str">
        <f>VLOOKUP(G875,[4]Key!$A$2:$B$13,2,FALSE)</f>
        <v>Large Bus</v>
      </c>
      <c r="I875" s="13" t="s">
        <v>156</v>
      </c>
      <c r="J875" s="13">
        <v>2</v>
      </c>
      <c r="K875" s="40" t="str">
        <f>VLOOKUP(J875,[4]Key!$A$24:$B$29,2,FALSE)</f>
        <v>30-39</v>
      </c>
      <c r="L875" s="13" t="s">
        <v>575</v>
      </c>
      <c r="M875" s="23" t="s">
        <v>485</v>
      </c>
      <c r="N875" s="13" t="s">
        <v>152</v>
      </c>
      <c r="O875" s="46">
        <v>2</v>
      </c>
      <c r="P875" s="30" t="str">
        <f>VLOOKUP(O875,[4]Key!$E$2:$F$9,2,FALSE)</f>
        <v>Work</v>
      </c>
      <c r="Q875" s="13" t="s">
        <v>434</v>
      </c>
      <c r="R875" s="23" t="s">
        <v>153</v>
      </c>
      <c r="S875" s="13" t="s">
        <v>152</v>
      </c>
      <c r="T875" s="23">
        <v>1</v>
      </c>
      <c r="U875" s="30" t="str">
        <f>VLOOKUP(T875,[4]Key!$E$2:$F$9,2,FALSE)</f>
        <v>Home</v>
      </c>
      <c r="V875" s="30" t="str">
        <f t="shared" si="52"/>
        <v>Work-Home</v>
      </c>
      <c r="W875" s="51">
        <v>40000</v>
      </c>
      <c r="X875" s="50">
        <v>250</v>
      </c>
      <c r="Y875" s="50" t="str">
        <f t="shared" si="53"/>
        <v>Over 200</v>
      </c>
      <c r="Z875" s="50">
        <v>6</v>
      </c>
      <c r="AA875" s="50" t="str">
        <f t="shared" si="54"/>
        <v>Over 3.5</v>
      </c>
      <c r="AB875" s="23">
        <v>6</v>
      </c>
      <c r="AC875" s="30" t="str">
        <f>VLOOKUP(AB875,[4]Key!$C$20:$D$29,2,FALSE)</f>
        <v>Businessman</v>
      </c>
      <c r="AD875" s="23">
        <v>1</v>
      </c>
      <c r="AE875" s="30" t="str">
        <f>VLOOKUP(AD875,[4]Key!$E$20:$F$24,2,FALSE)</f>
        <v>&lt;300,000</v>
      </c>
      <c r="AF875" s="23">
        <v>5</v>
      </c>
      <c r="AG875" s="50">
        <v>4</v>
      </c>
      <c r="AH875" s="50">
        <v>2</v>
      </c>
      <c r="AI875" s="50">
        <v>2</v>
      </c>
      <c r="AJ875" s="50">
        <v>2</v>
      </c>
      <c r="AK875" s="46" t="s">
        <v>94</v>
      </c>
      <c r="AL875" s="36">
        <v>0</v>
      </c>
      <c r="AM875" t="str">
        <f t="shared" si="55"/>
        <v>0-1000</v>
      </c>
    </row>
    <row r="876" spans="1:39" x14ac:dyDescent="0.2">
      <c r="A876" s="44" t="s">
        <v>541</v>
      </c>
      <c r="B876" s="48">
        <v>0.75208333333333333</v>
      </c>
      <c r="C876" s="48"/>
      <c r="D876" s="48" t="s">
        <v>150</v>
      </c>
      <c r="E876" s="13">
        <v>2</v>
      </c>
      <c r="F876" s="38" t="str">
        <f>VLOOKUP(E876,[4]Key!$A$17:$B$21,2,FALSE)</f>
        <v>Road Vehicle</v>
      </c>
      <c r="G876" s="49">
        <v>6</v>
      </c>
      <c r="H876" s="39" t="str">
        <f>VLOOKUP(G876,[4]Key!$A$2:$B$13,2,FALSE)</f>
        <v>Large Bus</v>
      </c>
      <c r="I876" s="13" t="s">
        <v>156</v>
      </c>
      <c r="J876" s="13">
        <v>2</v>
      </c>
      <c r="K876" s="40" t="str">
        <f>VLOOKUP(J876,[4]Key!$A$24:$B$29,2,FALSE)</f>
        <v>30-39</v>
      </c>
      <c r="L876" s="13" t="s">
        <v>484</v>
      </c>
      <c r="M876" s="23" t="s">
        <v>485</v>
      </c>
      <c r="N876" s="13" t="s">
        <v>152</v>
      </c>
      <c r="O876" s="46">
        <v>1</v>
      </c>
      <c r="P876" s="30" t="str">
        <f>VLOOKUP(O876,[4]Key!$E$2:$F$9,2,FALSE)</f>
        <v>Home</v>
      </c>
      <c r="Q876" s="13" t="s">
        <v>424</v>
      </c>
      <c r="R876" s="23" t="s">
        <v>421</v>
      </c>
      <c r="S876" s="13" t="s">
        <v>152</v>
      </c>
      <c r="T876" s="23">
        <v>4</v>
      </c>
      <c r="U876" s="30" t="str">
        <f>VLOOKUP(T876,[4]Key!$E$2:$F$9,2,FALSE)</f>
        <v>Commercial</v>
      </c>
      <c r="V876" s="30" t="str">
        <f t="shared" si="52"/>
        <v>Home-Commercial</v>
      </c>
      <c r="W876" s="51">
        <v>25000</v>
      </c>
      <c r="X876" s="50">
        <v>240</v>
      </c>
      <c r="Y876" s="50" t="str">
        <f t="shared" si="53"/>
        <v>Over 200</v>
      </c>
      <c r="Z876" s="50">
        <v>3</v>
      </c>
      <c r="AA876" s="50" t="str">
        <f t="shared" si="54"/>
        <v>2.0-3.5</v>
      </c>
      <c r="AB876" s="23">
        <v>6</v>
      </c>
      <c r="AC876" s="30" t="str">
        <f>VLOOKUP(AB876,[4]Key!$C$20:$D$29,2,FALSE)</f>
        <v>Businessman</v>
      </c>
      <c r="AD876" s="23">
        <v>2</v>
      </c>
      <c r="AE876" s="30" t="str">
        <f>VLOOKUP(AD876,[4]Key!$E$20:$F$24,2,FALSE)</f>
        <v>300,000-500,000</v>
      </c>
      <c r="AF876" s="23">
        <v>1</v>
      </c>
      <c r="AG876" s="50">
        <v>1</v>
      </c>
      <c r="AH876" s="50">
        <v>1</v>
      </c>
      <c r="AI876" s="50">
        <v>1</v>
      </c>
      <c r="AJ876" s="50">
        <v>5</v>
      </c>
      <c r="AK876" s="46" t="s">
        <v>94</v>
      </c>
      <c r="AL876" s="36">
        <v>2000</v>
      </c>
      <c r="AM876" t="str">
        <f t="shared" si="55"/>
        <v>2000-3000</v>
      </c>
    </row>
    <row r="877" spans="1:39" x14ac:dyDescent="0.2">
      <c r="A877" s="44" t="s">
        <v>547</v>
      </c>
      <c r="B877" s="48">
        <v>0.47152777777777777</v>
      </c>
      <c r="C877" s="48" t="s">
        <v>585</v>
      </c>
      <c r="D877" s="48" t="s">
        <v>97</v>
      </c>
      <c r="E877" s="13">
        <v>2</v>
      </c>
      <c r="F877" s="38" t="str">
        <f>VLOOKUP(E877,[4]Key!$A$17:$B$21,2,FALSE)</f>
        <v>Road Vehicle</v>
      </c>
      <c r="G877" s="49">
        <v>6</v>
      </c>
      <c r="H877" s="39" t="str">
        <f>VLOOKUP(G877,[4]Key!$A$2:$B$13,2,FALSE)</f>
        <v>Large Bus</v>
      </c>
      <c r="I877" s="13" t="s">
        <v>156</v>
      </c>
      <c r="J877" s="13">
        <v>2</v>
      </c>
      <c r="K877" s="40" t="str">
        <f>VLOOKUP(J877,[4]Key!$A$24:$B$29,2,FALSE)</f>
        <v>30-39</v>
      </c>
      <c r="L877" s="13" t="s">
        <v>586</v>
      </c>
      <c r="M877" s="23" t="s">
        <v>455</v>
      </c>
      <c r="N877" s="13" t="s">
        <v>152</v>
      </c>
      <c r="O877" s="46">
        <v>1</v>
      </c>
      <c r="P877" s="30" t="str">
        <f>VLOOKUP(O877,[4]Key!$E$2:$F$9,2,FALSE)</f>
        <v>Home</v>
      </c>
      <c r="Q877" s="13" t="s">
        <v>454</v>
      </c>
      <c r="R877" s="23" t="s">
        <v>455</v>
      </c>
      <c r="S877" s="13" t="s">
        <v>152</v>
      </c>
      <c r="T877" s="23">
        <v>2</v>
      </c>
      <c r="U877" s="30" t="str">
        <f>VLOOKUP(T877,[4]Key!$E$2:$F$9,2,FALSE)</f>
        <v>Work</v>
      </c>
      <c r="V877" s="30" t="str">
        <f t="shared" si="52"/>
        <v>Home-Work</v>
      </c>
      <c r="W877" s="51">
        <v>30000</v>
      </c>
      <c r="X877" s="50">
        <v>40</v>
      </c>
      <c r="Y877" s="50" t="str">
        <f t="shared" si="53"/>
        <v>40-70</v>
      </c>
      <c r="Z877" s="50">
        <v>0.33</v>
      </c>
      <c r="AA877" s="50" t="str">
        <f t="shared" si="54"/>
        <v>0-0.5</v>
      </c>
      <c r="AB877" s="23">
        <v>4</v>
      </c>
      <c r="AC877" s="30" t="str">
        <f>VLOOKUP(AB877,[4]Key!$C$20:$D$29,2,FALSE)</f>
        <v>Office Worker</v>
      </c>
      <c r="AD877" s="23">
        <v>3</v>
      </c>
      <c r="AE877" s="30" t="str">
        <f>VLOOKUP(AD877,[4]Key!$E$20:$F$24,2,FALSE)</f>
        <v>500,000-750,000</v>
      </c>
      <c r="AF877" s="23">
        <v>1</v>
      </c>
      <c r="AG877" s="50">
        <v>1</v>
      </c>
      <c r="AH877" s="50">
        <v>1</v>
      </c>
      <c r="AI877" s="50">
        <v>5</v>
      </c>
      <c r="AJ877" s="50">
        <v>5</v>
      </c>
      <c r="AK877" s="46" t="s">
        <v>94</v>
      </c>
      <c r="AL877" s="36">
        <v>1000</v>
      </c>
      <c r="AM877" t="str">
        <f t="shared" si="55"/>
        <v>1000-2000</v>
      </c>
    </row>
    <row r="878" spans="1:39" x14ac:dyDescent="0.2">
      <c r="A878" s="44" t="s">
        <v>547</v>
      </c>
      <c r="B878" s="48">
        <v>0.57638888888888895</v>
      </c>
      <c r="C878" s="48"/>
      <c r="D878" s="48" t="s">
        <v>150</v>
      </c>
      <c r="E878" s="13">
        <v>2</v>
      </c>
      <c r="F878" s="38" t="str">
        <f>VLOOKUP(E878,[4]Key!$A$17:$B$21,2,FALSE)</f>
        <v>Road Vehicle</v>
      </c>
      <c r="G878" s="49">
        <v>6</v>
      </c>
      <c r="H878" s="39" t="str">
        <f>VLOOKUP(G878,[4]Key!$A$2:$B$13,2,FALSE)</f>
        <v>Large Bus</v>
      </c>
      <c r="I878" s="13" t="s">
        <v>156</v>
      </c>
      <c r="J878" s="13">
        <v>2</v>
      </c>
      <c r="K878" s="40" t="str">
        <f>VLOOKUP(J878,[4]Key!$A$24:$B$29,2,FALSE)</f>
        <v>30-39</v>
      </c>
      <c r="L878" s="13" t="s">
        <v>587</v>
      </c>
      <c r="M878" s="23" t="s">
        <v>428</v>
      </c>
      <c r="N878" s="13" t="s">
        <v>152</v>
      </c>
      <c r="O878" s="46">
        <v>1</v>
      </c>
      <c r="P878" s="30" t="str">
        <f>VLOOKUP(O878,[4]Key!$E$2:$F$9,2,FALSE)</f>
        <v>Home</v>
      </c>
      <c r="Q878" s="13" t="s">
        <v>588</v>
      </c>
      <c r="R878" s="23" t="s">
        <v>153</v>
      </c>
      <c r="S878" s="13" t="s">
        <v>152</v>
      </c>
      <c r="T878" s="23">
        <v>2</v>
      </c>
      <c r="U878" s="30" t="str">
        <f>VLOOKUP(T878,[4]Key!$E$2:$F$9,2,FALSE)</f>
        <v>Work</v>
      </c>
      <c r="V878" s="30" t="str">
        <f t="shared" si="52"/>
        <v>Home-Work</v>
      </c>
      <c r="W878" s="51">
        <v>30000</v>
      </c>
      <c r="X878" s="50">
        <v>150</v>
      </c>
      <c r="Y878" s="50" t="str">
        <f t="shared" si="53"/>
        <v>100-200</v>
      </c>
      <c r="Z878" s="50">
        <v>4</v>
      </c>
      <c r="AA878" s="50" t="str">
        <f t="shared" si="54"/>
        <v>Over 3.5</v>
      </c>
      <c r="AB878" s="23">
        <v>6</v>
      </c>
      <c r="AC878" s="30" t="str">
        <f>VLOOKUP(AB878,[4]Key!$C$20:$D$29,2,FALSE)</f>
        <v>Businessman</v>
      </c>
      <c r="AD878" s="23">
        <v>1</v>
      </c>
      <c r="AE878" s="30" t="str">
        <f>VLOOKUP(AD878,[4]Key!$E$20:$F$24,2,FALSE)</f>
        <v>&lt;300,000</v>
      </c>
      <c r="AF878" s="23">
        <v>5</v>
      </c>
      <c r="AG878" s="50">
        <v>5</v>
      </c>
      <c r="AH878" s="50">
        <v>5</v>
      </c>
      <c r="AI878" s="50">
        <v>5</v>
      </c>
      <c r="AJ878" s="50">
        <v>5</v>
      </c>
      <c r="AK878" s="46" t="s">
        <v>94</v>
      </c>
      <c r="AL878" s="36">
        <v>0</v>
      </c>
      <c r="AM878" t="str">
        <f t="shared" si="55"/>
        <v>0-1000</v>
      </c>
    </row>
    <row r="879" spans="1:39" x14ac:dyDescent="0.2">
      <c r="A879" s="44" t="s">
        <v>547</v>
      </c>
      <c r="B879" s="48">
        <v>0.55763888888888891</v>
      </c>
      <c r="C879" s="48"/>
      <c r="D879" s="48" t="s">
        <v>150</v>
      </c>
      <c r="E879" s="13">
        <v>2</v>
      </c>
      <c r="F879" s="38" t="str">
        <f>VLOOKUP(E879,[4]Key!$A$17:$B$21,2,FALSE)</f>
        <v>Road Vehicle</v>
      </c>
      <c r="G879" s="49">
        <v>6</v>
      </c>
      <c r="H879" s="39" t="str">
        <f>VLOOKUP(G879,[4]Key!$A$2:$B$13,2,FALSE)</f>
        <v>Large Bus</v>
      </c>
      <c r="I879" s="13" t="s">
        <v>156</v>
      </c>
      <c r="J879" s="13">
        <v>2</v>
      </c>
      <c r="K879" s="40" t="str">
        <f>VLOOKUP(J879,[4]Key!$A$24:$B$29,2,FALSE)</f>
        <v>30-39</v>
      </c>
      <c r="L879" s="13" t="s">
        <v>587</v>
      </c>
      <c r="M879" s="23" t="s">
        <v>428</v>
      </c>
      <c r="N879" s="13" t="s">
        <v>152</v>
      </c>
      <c r="O879" s="46">
        <v>1</v>
      </c>
      <c r="P879" s="30" t="str">
        <f>VLOOKUP(O879,[4]Key!$E$2:$F$9,2,FALSE)</f>
        <v>Home</v>
      </c>
      <c r="Q879" s="13" t="s">
        <v>589</v>
      </c>
      <c r="R879" s="23" t="s">
        <v>168</v>
      </c>
      <c r="S879" s="13" t="s">
        <v>152</v>
      </c>
      <c r="T879" s="23">
        <v>8</v>
      </c>
      <c r="U879" s="30" t="str">
        <f>VLOOKUP(T879,[4]Key!$E$2:$F$9,2,FALSE)</f>
        <v>Others</v>
      </c>
      <c r="V879" s="30" t="str">
        <f t="shared" si="52"/>
        <v>Home-Others</v>
      </c>
      <c r="W879" s="51">
        <v>30000</v>
      </c>
      <c r="X879" s="50">
        <v>150</v>
      </c>
      <c r="Y879" s="50" t="str">
        <f t="shared" si="53"/>
        <v>100-200</v>
      </c>
      <c r="Z879" s="50">
        <v>4</v>
      </c>
      <c r="AA879" s="50" t="str">
        <f t="shared" si="54"/>
        <v>Over 3.5</v>
      </c>
      <c r="AB879" s="23">
        <v>10</v>
      </c>
      <c r="AC879" s="30" t="str">
        <f>VLOOKUP(AB879,[4]Key!$C$20:$D$29,2,FALSE)</f>
        <v>Other</v>
      </c>
      <c r="AD879" s="23">
        <v>1</v>
      </c>
      <c r="AE879" s="30" t="str">
        <f>VLOOKUP(AD879,[4]Key!$E$20:$F$24,2,FALSE)</f>
        <v>&lt;300,000</v>
      </c>
      <c r="AF879" s="23">
        <v>5</v>
      </c>
      <c r="AG879" s="50">
        <v>5</v>
      </c>
      <c r="AH879" s="50">
        <v>5</v>
      </c>
      <c r="AI879" s="50">
        <v>1</v>
      </c>
      <c r="AJ879" s="50">
        <v>2</v>
      </c>
      <c r="AK879" s="46" t="s">
        <v>94</v>
      </c>
      <c r="AL879" s="36">
        <v>0</v>
      </c>
      <c r="AM879" t="str">
        <f t="shared" si="55"/>
        <v>0-1000</v>
      </c>
    </row>
    <row r="880" spans="1:39" x14ac:dyDescent="0.2">
      <c r="A880" s="44" t="s">
        <v>547</v>
      </c>
      <c r="B880" s="48">
        <v>0.52777777777777779</v>
      </c>
      <c r="C880" s="48"/>
      <c r="D880" s="48" t="s">
        <v>150</v>
      </c>
      <c r="E880" s="13">
        <v>2</v>
      </c>
      <c r="F880" s="38" t="str">
        <f>VLOOKUP(E880,[4]Key!$A$17:$B$21,2,FALSE)</f>
        <v>Road Vehicle</v>
      </c>
      <c r="G880" s="49">
        <v>6</v>
      </c>
      <c r="H880" s="39" t="str">
        <f>VLOOKUP(G880,[4]Key!$A$2:$B$13,2,FALSE)</f>
        <v>Large Bus</v>
      </c>
      <c r="I880" s="13" t="s">
        <v>156</v>
      </c>
      <c r="J880" s="13">
        <v>2</v>
      </c>
      <c r="K880" s="40" t="str">
        <f>VLOOKUP(J880,[4]Key!$A$24:$B$29,2,FALSE)</f>
        <v>30-39</v>
      </c>
      <c r="L880" s="13" t="s">
        <v>454</v>
      </c>
      <c r="M880" s="23" t="s">
        <v>455</v>
      </c>
      <c r="N880" s="13" t="s">
        <v>152</v>
      </c>
      <c r="O880" s="46">
        <v>1</v>
      </c>
      <c r="P880" s="30" t="str">
        <f>VLOOKUP(O880,[4]Key!$E$2:$F$9,2,FALSE)</f>
        <v>Home</v>
      </c>
      <c r="Q880" s="13" t="s">
        <v>590</v>
      </c>
      <c r="R880" s="23" t="s">
        <v>175</v>
      </c>
      <c r="S880" s="13" t="s">
        <v>152</v>
      </c>
      <c r="T880" s="23">
        <v>2</v>
      </c>
      <c r="U880" s="30" t="str">
        <f>VLOOKUP(T880,[4]Key!$E$2:$F$9,2,FALSE)</f>
        <v>Work</v>
      </c>
      <c r="V880" s="30" t="str">
        <f t="shared" si="52"/>
        <v>Home-Work</v>
      </c>
      <c r="W880" s="51">
        <v>20000</v>
      </c>
      <c r="X880" s="50">
        <v>270</v>
      </c>
      <c r="Y880" s="50" t="str">
        <f t="shared" si="53"/>
        <v>Over 200</v>
      </c>
      <c r="Z880" s="50">
        <v>3</v>
      </c>
      <c r="AA880" s="50" t="str">
        <f t="shared" si="54"/>
        <v>2.0-3.5</v>
      </c>
      <c r="AB880" s="23">
        <v>6</v>
      </c>
      <c r="AC880" s="30" t="s">
        <v>129</v>
      </c>
      <c r="AD880" s="23">
        <v>1</v>
      </c>
      <c r="AE880" s="30" t="str">
        <f>VLOOKUP(AD880,[4]Key!$E$20:$F$24,2,FALSE)</f>
        <v>&lt;300,000</v>
      </c>
      <c r="AF880" s="23">
        <v>2</v>
      </c>
      <c r="AG880" s="50">
        <v>2</v>
      </c>
      <c r="AH880" s="50">
        <v>2</v>
      </c>
      <c r="AI880" s="50">
        <v>2</v>
      </c>
      <c r="AJ880" s="50">
        <v>2</v>
      </c>
      <c r="AK880" s="46" t="s">
        <v>94</v>
      </c>
      <c r="AL880" s="36">
        <v>0</v>
      </c>
      <c r="AM880" t="str">
        <f t="shared" si="55"/>
        <v>0-1000</v>
      </c>
    </row>
    <row r="881" spans="1:39" x14ac:dyDescent="0.2">
      <c r="A881" s="44" t="s">
        <v>547</v>
      </c>
      <c r="B881" s="48">
        <v>0.53611111111111109</v>
      </c>
      <c r="C881" s="48"/>
      <c r="D881" s="48" t="s">
        <v>150</v>
      </c>
      <c r="E881" s="13">
        <v>2</v>
      </c>
      <c r="F881" s="38" t="str">
        <f>VLOOKUP(E881,[4]Key!$A$17:$B$21,2,FALSE)</f>
        <v>Road Vehicle</v>
      </c>
      <c r="G881" s="49">
        <v>6</v>
      </c>
      <c r="H881" s="39" t="str">
        <f>VLOOKUP(G881,[4]Key!$A$2:$B$13,2,FALSE)</f>
        <v>Large Bus</v>
      </c>
      <c r="I881" s="13" t="s">
        <v>156</v>
      </c>
      <c r="J881" s="13">
        <v>2</v>
      </c>
      <c r="K881" s="40" t="str">
        <f>VLOOKUP(J881,[4]Key!$A$24:$B$29,2,FALSE)</f>
        <v>30-39</v>
      </c>
      <c r="L881" s="13" t="s">
        <v>454</v>
      </c>
      <c r="M881" s="23" t="s">
        <v>455</v>
      </c>
      <c r="N881" s="13" t="s">
        <v>152</v>
      </c>
      <c r="O881" s="46">
        <v>2</v>
      </c>
      <c r="P881" s="30" t="str">
        <f>VLOOKUP(O881,[4]Key!$E$2:$F$9,2,FALSE)</f>
        <v>Work</v>
      </c>
      <c r="Q881" s="13" t="s">
        <v>591</v>
      </c>
      <c r="R881" s="23" t="s">
        <v>175</v>
      </c>
      <c r="S881" s="13" t="s">
        <v>152</v>
      </c>
      <c r="T881" s="23">
        <v>1</v>
      </c>
      <c r="U881" s="30" t="str">
        <f>VLOOKUP(T881,[4]Key!$E$2:$F$9,2,FALSE)</f>
        <v>Home</v>
      </c>
      <c r="V881" s="30" t="str">
        <f t="shared" si="52"/>
        <v>Work-Home</v>
      </c>
      <c r="W881" s="51">
        <v>20000</v>
      </c>
      <c r="X881" s="50">
        <v>270</v>
      </c>
      <c r="Y881" s="50" t="str">
        <f t="shared" si="53"/>
        <v>Over 200</v>
      </c>
      <c r="Z881" s="50">
        <v>3</v>
      </c>
      <c r="AA881" s="50" t="str">
        <f t="shared" si="54"/>
        <v>2.0-3.5</v>
      </c>
      <c r="AB881" s="23">
        <v>6</v>
      </c>
      <c r="AC881" s="30" t="str">
        <f>VLOOKUP(AB881,[4]Key!$C$20:$D$29,2,FALSE)</f>
        <v>Businessman</v>
      </c>
      <c r="AD881" s="23">
        <v>1</v>
      </c>
      <c r="AE881" s="30" t="str">
        <f>VLOOKUP(AD881,[4]Key!$E$20:$F$24,2,FALSE)</f>
        <v>&lt;300,000</v>
      </c>
      <c r="AF881" s="23">
        <v>5</v>
      </c>
      <c r="AG881" s="50">
        <v>4</v>
      </c>
      <c r="AH881" s="50">
        <v>2</v>
      </c>
      <c r="AI881" s="50">
        <v>2</v>
      </c>
      <c r="AJ881" s="50">
        <v>2</v>
      </c>
      <c r="AK881" s="46" t="s">
        <v>94</v>
      </c>
      <c r="AL881" s="36">
        <v>0</v>
      </c>
      <c r="AM881" t="str">
        <f t="shared" si="55"/>
        <v>0-1000</v>
      </c>
    </row>
    <row r="882" spans="1:39" x14ac:dyDescent="0.2">
      <c r="A882" s="44" t="s">
        <v>547</v>
      </c>
      <c r="B882" s="48">
        <v>0.51944444444444449</v>
      </c>
      <c r="C882" s="48"/>
      <c r="D882" s="48" t="s">
        <v>150</v>
      </c>
      <c r="E882" s="13">
        <v>2</v>
      </c>
      <c r="F882" s="38" t="str">
        <f>VLOOKUP(E882,[4]Key!$A$17:$B$21,2,FALSE)</f>
        <v>Road Vehicle</v>
      </c>
      <c r="G882" s="49">
        <v>6</v>
      </c>
      <c r="H882" s="39" t="str">
        <f>VLOOKUP(G882,[4]Key!$A$2:$B$13,2,FALSE)</f>
        <v>Large Bus</v>
      </c>
      <c r="I882" s="13" t="s">
        <v>156</v>
      </c>
      <c r="J882" s="13">
        <v>2</v>
      </c>
      <c r="K882" s="40" t="str">
        <f>VLOOKUP(J882,[4]Key!$A$24:$B$29,2,FALSE)</f>
        <v>30-39</v>
      </c>
      <c r="L882" s="13" t="s">
        <v>454</v>
      </c>
      <c r="M882" s="23" t="s">
        <v>455</v>
      </c>
      <c r="N882" s="13" t="s">
        <v>152</v>
      </c>
      <c r="O882" s="46">
        <v>2</v>
      </c>
      <c r="P882" s="30" t="str">
        <f>VLOOKUP(O882,[4]Key!$E$2:$F$9,2,FALSE)</f>
        <v>Work</v>
      </c>
      <c r="Q882" s="13" t="s">
        <v>592</v>
      </c>
      <c r="R882" s="23" t="s">
        <v>593</v>
      </c>
      <c r="S882" s="13" t="s">
        <v>152</v>
      </c>
      <c r="T882" s="23">
        <v>1</v>
      </c>
      <c r="U882" s="30" t="str">
        <f>VLOOKUP(T882,[4]Key!$E$2:$F$9,2,FALSE)</f>
        <v>Home</v>
      </c>
      <c r="V882" s="30" t="str">
        <f t="shared" si="52"/>
        <v>Work-Home</v>
      </c>
      <c r="W882" s="51">
        <v>20000</v>
      </c>
      <c r="X882" s="50">
        <v>260</v>
      </c>
      <c r="Y882" s="50" t="str">
        <f t="shared" si="53"/>
        <v>Over 200</v>
      </c>
      <c r="Z882" s="50">
        <v>3</v>
      </c>
      <c r="AA882" s="50" t="str">
        <f t="shared" si="54"/>
        <v>2.0-3.5</v>
      </c>
      <c r="AB882" s="23">
        <v>6</v>
      </c>
      <c r="AC882" s="30" t="str">
        <f>VLOOKUP(AB882,[4]Key!$C$20:$D$29,2,FALSE)</f>
        <v>Businessman</v>
      </c>
      <c r="AD882" s="23">
        <v>1</v>
      </c>
      <c r="AE882" s="30" t="str">
        <f>VLOOKUP(AD882,[4]Key!$E$20:$F$24,2,FALSE)</f>
        <v>&lt;300,000</v>
      </c>
      <c r="AF882" s="23">
        <v>5</v>
      </c>
      <c r="AG882" s="50">
        <v>4</v>
      </c>
      <c r="AH882" s="50">
        <v>5</v>
      </c>
      <c r="AI882" s="50">
        <v>1</v>
      </c>
      <c r="AJ882" s="50">
        <v>5</v>
      </c>
      <c r="AK882" s="46" t="s">
        <v>94</v>
      </c>
      <c r="AL882" s="36">
        <v>0</v>
      </c>
      <c r="AM882" t="str">
        <f t="shared" si="55"/>
        <v>0-1000</v>
      </c>
    </row>
    <row r="883" spans="1:39" x14ac:dyDescent="0.2">
      <c r="A883" s="44" t="s">
        <v>547</v>
      </c>
      <c r="B883" s="48">
        <v>0.50624999999999998</v>
      </c>
      <c r="C883" s="48"/>
      <c r="D883" s="48" t="s">
        <v>150</v>
      </c>
      <c r="E883" s="13">
        <v>2</v>
      </c>
      <c r="F883" s="38" t="str">
        <f>VLOOKUP(E883,[4]Key!$A$17:$B$21,2,FALSE)</f>
        <v>Road Vehicle</v>
      </c>
      <c r="G883" s="49">
        <v>6</v>
      </c>
      <c r="H883" s="39" t="str">
        <f>VLOOKUP(G883,[4]Key!$A$2:$B$13,2,FALSE)</f>
        <v>Large Bus</v>
      </c>
      <c r="I883" s="13" t="s">
        <v>156</v>
      </c>
      <c r="J883" s="13">
        <v>2</v>
      </c>
      <c r="K883" s="40" t="str">
        <f>VLOOKUP(J883,[4]Key!$A$24:$B$29,2,FALSE)</f>
        <v>30-39</v>
      </c>
      <c r="L883" s="13" t="s">
        <v>454</v>
      </c>
      <c r="M883" s="23" t="s">
        <v>455</v>
      </c>
      <c r="N883" s="13" t="s">
        <v>152</v>
      </c>
      <c r="O883" s="46">
        <v>1</v>
      </c>
      <c r="P883" s="30" t="str">
        <f>VLOOKUP(O883,[4]Key!$E$2:$F$9,2,FALSE)</f>
        <v>Home</v>
      </c>
      <c r="Q883" s="13" t="s">
        <v>594</v>
      </c>
      <c r="R883" s="23" t="s">
        <v>153</v>
      </c>
      <c r="S883" s="13" t="s">
        <v>152</v>
      </c>
      <c r="T883" s="23">
        <v>2</v>
      </c>
      <c r="U883" s="30" t="str">
        <f>VLOOKUP(T883,[4]Key!$E$2:$F$9,2,FALSE)</f>
        <v>Work</v>
      </c>
      <c r="V883" s="30" t="str">
        <f t="shared" si="52"/>
        <v>Home-Work</v>
      </c>
      <c r="W883" s="51">
        <v>30000</v>
      </c>
      <c r="X883" s="50">
        <v>390</v>
      </c>
      <c r="Y883" s="50" t="str">
        <f t="shared" si="53"/>
        <v>Over 200</v>
      </c>
      <c r="Z883" s="50">
        <v>4.5</v>
      </c>
      <c r="AA883" s="50" t="str">
        <f t="shared" si="54"/>
        <v>Over 3.5</v>
      </c>
      <c r="AB883" s="23">
        <v>6</v>
      </c>
      <c r="AC883" s="30" t="str">
        <f>VLOOKUP(AB883,[4]Key!$C$20:$D$29,2,FALSE)</f>
        <v>Businessman</v>
      </c>
      <c r="AD883" s="23">
        <v>1</v>
      </c>
      <c r="AE883" s="30" t="str">
        <f>VLOOKUP(AD883,[4]Key!$E$20:$F$24,2,FALSE)</f>
        <v>&lt;300,000</v>
      </c>
      <c r="AF883" s="23">
        <v>2</v>
      </c>
      <c r="AG883" s="50">
        <v>2</v>
      </c>
      <c r="AH883" s="50">
        <v>4</v>
      </c>
      <c r="AI883" s="50">
        <v>2</v>
      </c>
      <c r="AJ883" s="50">
        <v>1</v>
      </c>
      <c r="AK883" s="46" t="s">
        <v>94</v>
      </c>
      <c r="AL883" s="36">
        <v>0</v>
      </c>
      <c r="AM883" t="str">
        <f t="shared" si="55"/>
        <v>0-1000</v>
      </c>
    </row>
    <row r="884" spans="1:39" x14ac:dyDescent="0.2">
      <c r="A884" s="44" t="s">
        <v>547</v>
      </c>
      <c r="B884" s="48">
        <v>0.48958333333333331</v>
      </c>
      <c r="C884" s="48"/>
      <c r="D884" s="48" t="s">
        <v>150</v>
      </c>
      <c r="E884" s="13">
        <v>2</v>
      </c>
      <c r="F884" s="38" t="str">
        <f>VLOOKUP(E884,[4]Key!$A$17:$B$21,2,FALSE)</f>
        <v>Road Vehicle</v>
      </c>
      <c r="G884" s="49">
        <v>6</v>
      </c>
      <c r="H884" s="39" t="str">
        <f>VLOOKUP(G884,[4]Key!$A$2:$B$13,2,FALSE)</f>
        <v>Large Bus</v>
      </c>
      <c r="I884" s="13" t="s">
        <v>156</v>
      </c>
      <c r="J884" s="13">
        <v>2</v>
      </c>
      <c r="K884" s="40" t="str">
        <f>VLOOKUP(J884,[4]Key!$A$24:$B$29,2,FALSE)</f>
        <v>30-39</v>
      </c>
      <c r="L884" s="13" t="s">
        <v>454</v>
      </c>
      <c r="M884" s="23" t="s">
        <v>455</v>
      </c>
      <c r="N884" s="13" t="s">
        <v>152</v>
      </c>
      <c r="O884" s="46">
        <v>1</v>
      </c>
      <c r="P884" s="30" t="str">
        <f>VLOOKUP(O884,[4]Key!$E$2:$F$9,2,FALSE)</f>
        <v>Home</v>
      </c>
      <c r="Q884" s="13" t="s">
        <v>203</v>
      </c>
      <c r="R884" s="23" t="s">
        <v>168</v>
      </c>
      <c r="S884" s="13" t="s">
        <v>152</v>
      </c>
      <c r="T884" s="23">
        <v>2</v>
      </c>
      <c r="U884" s="30" t="str">
        <f>VLOOKUP(T884,[4]Key!$E$2:$F$9,2,FALSE)</f>
        <v>Work</v>
      </c>
      <c r="V884" s="30" t="str">
        <f t="shared" si="52"/>
        <v>Home-Work</v>
      </c>
      <c r="W884" s="51">
        <v>30000</v>
      </c>
      <c r="X884" s="50">
        <v>390</v>
      </c>
      <c r="Y884" s="50" t="str">
        <f t="shared" si="53"/>
        <v>Over 200</v>
      </c>
      <c r="Z884" s="50">
        <v>4.5</v>
      </c>
      <c r="AA884" s="50" t="str">
        <f t="shared" si="54"/>
        <v>Over 3.5</v>
      </c>
      <c r="AB884" s="23">
        <v>6</v>
      </c>
      <c r="AC884" s="30" t="str">
        <f>VLOOKUP(AB884,[4]Key!$C$20:$D$29,2,FALSE)</f>
        <v>Businessman</v>
      </c>
      <c r="AD884" s="23">
        <v>1</v>
      </c>
      <c r="AE884" s="30" t="str">
        <f>VLOOKUP(AD884,[4]Key!$E$20:$F$24,2,FALSE)</f>
        <v>&lt;300,000</v>
      </c>
      <c r="AF884" s="23">
        <v>5</v>
      </c>
      <c r="AG884" s="50">
        <v>4</v>
      </c>
      <c r="AH884" s="50">
        <v>5</v>
      </c>
      <c r="AI884" s="50">
        <v>2</v>
      </c>
      <c r="AJ884" s="50">
        <v>5</v>
      </c>
      <c r="AK884" s="46" t="s">
        <v>94</v>
      </c>
      <c r="AL884" s="36">
        <v>0</v>
      </c>
      <c r="AM884" t="str">
        <f t="shared" si="55"/>
        <v>0-1000</v>
      </c>
    </row>
    <row r="885" spans="1:39" x14ac:dyDescent="0.2">
      <c r="A885" s="44" t="s">
        <v>547</v>
      </c>
      <c r="B885" s="48">
        <v>0.47222222222222227</v>
      </c>
      <c r="C885" s="48"/>
      <c r="D885" s="48" t="s">
        <v>150</v>
      </c>
      <c r="E885" s="13">
        <v>2</v>
      </c>
      <c r="F885" s="38" t="str">
        <f>VLOOKUP(E885,[4]Key!$A$17:$B$21,2,FALSE)</f>
        <v>Road Vehicle</v>
      </c>
      <c r="G885" s="49">
        <v>6</v>
      </c>
      <c r="H885" s="39" t="str">
        <f>VLOOKUP(G885,[4]Key!$A$2:$B$13,2,FALSE)</f>
        <v>Large Bus</v>
      </c>
      <c r="I885" s="13" t="s">
        <v>156</v>
      </c>
      <c r="J885" s="13">
        <v>2</v>
      </c>
      <c r="K885" s="40" t="str">
        <f>VLOOKUP(J885,[4]Key!$A$24:$B$29,2,FALSE)</f>
        <v>30-39</v>
      </c>
      <c r="L885" s="13" t="s">
        <v>454</v>
      </c>
      <c r="M885" s="23" t="s">
        <v>455</v>
      </c>
      <c r="N885" s="13" t="s">
        <v>152</v>
      </c>
      <c r="O885" s="46">
        <v>2</v>
      </c>
      <c r="P885" s="30" t="str">
        <f>VLOOKUP(O885,[4]Key!$E$2:$F$9,2,FALSE)</f>
        <v>Work</v>
      </c>
      <c r="Q885" s="13" t="s">
        <v>565</v>
      </c>
      <c r="R885" s="23" t="s">
        <v>595</v>
      </c>
      <c r="S885" s="13" t="s">
        <v>152</v>
      </c>
      <c r="T885" s="23">
        <v>1</v>
      </c>
      <c r="U885" s="30" t="str">
        <f>VLOOKUP(T885,[4]Key!$E$2:$F$9,2,FALSE)</f>
        <v>Home</v>
      </c>
      <c r="V885" s="30" t="str">
        <f t="shared" si="52"/>
        <v>Work-Home</v>
      </c>
      <c r="W885" s="51">
        <v>10000</v>
      </c>
      <c r="X885" s="50">
        <v>90</v>
      </c>
      <c r="Y885" s="50" t="str">
        <f t="shared" si="53"/>
        <v>70-100</v>
      </c>
      <c r="Z885" s="50">
        <v>2</v>
      </c>
      <c r="AA885" s="50" t="str">
        <f t="shared" si="54"/>
        <v>2.0-3.5</v>
      </c>
      <c r="AB885" s="23">
        <v>6</v>
      </c>
      <c r="AC885" s="30" t="str">
        <f>VLOOKUP(AB885,[4]Key!$C$20:$D$29,2,FALSE)</f>
        <v>Businessman</v>
      </c>
      <c r="AD885" s="23">
        <v>1</v>
      </c>
      <c r="AE885" s="30" t="str">
        <f>VLOOKUP(AD885,[4]Key!$E$20:$F$24,2,FALSE)</f>
        <v>&lt;300,000</v>
      </c>
      <c r="AF885" s="23">
        <v>2</v>
      </c>
      <c r="AG885" s="50">
        <v>1</v>
      </c>
      <c r="AH885" s="50">
        <v>2</v>
      </c>
      <c r="AI885" s="50">
        <v>2</v>
      </c>
      <c r="AJ885" s="50">
        <v>1</v>
      </c>
      <c r="AK885" s="46" t="s">
        <v>94</v>
      </c>
      <c r="AL885" s="36">
        <v>0</v>
      </c>
      <c r="AM885" t="str">
        <f t="shared" si="55"/>
        <v>0-1000</v>
      </c>
    </row>
    <row r="886" spans="1:39" x14ac:dyDescent="0.2">
      <c r="A886" s="44" t="s">
        <v>547</v>
      </c>
      <c r="B886" s="48">
        <v>0.37152777777777773</v>
      </c>
      <c r="C886" s="48"/>
      <c r="D886" s="48" t="s">
        <v>150</v>
      </c>
      <c r="E886" s="13">
        <v>2</v>
      </c>
      <c r="F886" s="38" t="str">
        <f>VLOOKUP(E886,[4]Key!$A$17:$B$21,2,FALSE)</f>
        <v>Road Vehicle</v>
      </c>
      <c r="G886" s="49">
        <v>6</v>
      </c>
      <c r="H886" s="39" t="str">
        <f>VLOOKUP(G886,[4]Key!$A$2:$B$13,2,FALSE)</f>
        <v>Large Bus</v>
      </c>
      <c r="I886" s="13" t="s">
        <v>156</v>
      </c>
      <c r="J886" s="13">
        <v>2</v>
      </c>
      <c r="K886" s="40" t="str">
        <f>VLOOKUP(J886,[4]Key!$A$24:$B$29,2,FALSE)</f>
        <v>30-39</v>
      </c>
      <c r="L886" s="13" t="s">
        <v>587</v>
      </c>
      <c r="M886" s="23" t="s">
        <v>428</v>
      </c>
      <c r="N886" s="13" t="s">
        <v>152</v>
      </c>
      <c r="O886" s="46">
        <v>1</v>
      </c>
      <c r="P886" s="30" t="str">
        <f>VLOOKUP(O886,[4]Key!$E$2:$F$9,2,FALSE)</f>
        <v>Home</v>
      </c>
      <c r="Q886" s="13" t="s">
        <v>203</v>
      </c>
      <c r="R886" s="23" t="s">
        <v>168</v>
      </c>
      <c r="S886" s="13" t="s">
        <v>152</v>
      </c>
      <c r="T886" s="23">
        <v>2</v>
      </c>
      <c r="U886" s="30" t="str">
        <f>VLOOKUP(T886,[4]Key!$E$2:$F$9,2,FALSE)</f>
        <v>Work</v>
      </c>
      <c r="V886" s="30" t="str">
        <f t="shared" si="52"/>
        <v>Home-Work</v>
      </c>
      <c r="W886" s="51">
        <v>30000</v>
      </c>
      <c r="X886" s="50">
        <v>150</v>
      </c>
      <c r="Y886" s="50" t="str">
        <f t="shared" si="53"/>
        <v>100-200</v>
      </c>
      <c r="Z886" s="50">
        <v>4</v>
      </c>
      <c r="AA886" s="50" t="str">
        <f t="shared" si="54"/>
        <v>Over 3.5</v>
      </c>
      <c r="AB886" s="23">
        <v>6</v>
      </c>
      <c r="AC886" s="30" t="str">
        <f>VLOOKUP(AB886,[4]Key!$C$20:$D$29,2,FALSE)</f>
        <v>Businessman</v>
      </c>
      <c r="AD886" s="23">
        <v>1</v>
      </c>
      <c r="AE886" s="30" t="str">
        <f>VLOOKUP(AD886,[4]Key!$E$20:$F$24,2,FALSE)</f>
        <v>&lt;300,000</v>
      </c>
      <c r="AF886" s="23">
        <v>2</v>
      </c>
      <c r="AG886" s="50">
        <v>4</v>
      </c>
      <c r="AH886" s="50">
        <v>1</v>
      </c>
      <c r="AI886" s="50">
        <v>2</v>
      </c>
      <c r="AJ886" s="50">
        <v>1</v>
      </c>
      <c r="AK886" s="46" t="s">
        <v>94</v>
      </c>
      <c r="AL886" s="36">
        <v>0</v>
      </c>
      <c r="AM886" t="str">
        <f t="shared" si="55"/>
        <v>0-1000</v>
      </c>
    </row>
    <row r="887" spans="1:39" x14ac:dyDescent="0.2">
      <c r="A887" s="44" t="s">
        <v>547</v>
      </c>
      <c r="B887" s="48">
        <v>0.38125000000000003</v>
      </c>
      <c r="C887" s="48"/>
      <c r="D887" s="48" t="s">
        <v>150</v>
      </c>
      <c r="E887" s="13">
        <v>2</v>
      </c>
      <c r="F887" s="38" t="str">
        <f>VLOOKUP(E887,[4]Key!$A$17:$B$21,2,FALSE)</f>
        <v>Road Vehicle</v>
      </c>
      <c r="G887" s="49">
        <v>6</v>
      </c>
      <c r="H887" s="39" t="str">
        <f>VLOOKUP(G887,[4]Key!$A$2:$B$13,2,FALSE)</f>
        <v>Large Bus</v>
      </c>
      <c r="I887" s="13" t="s">
        <v>156</v>
      </c>
      <c r="J887" s="13">
        <v>2</v>
      </c>
      <c r="K887" s="40" t="str">
        <f>VLOOKUP(J887,[4]Key!$A$24:$B$29,2,FALSE)</f>
        <v>30-39</v>
      </c>
      <c r="L887" s="13" t="s">
        <v>454</v>
      </c>
      <c r="M887" s="23" t="s">
        <v>455</v>
      </c>
      <c r="N887" s="13" t="s">
        <v>152</v>
      </c>
      <c r="O887" s="46">
        <v>1</v>
      </c>
      <c r="P887" s="30" t="str">
        <f>VLOOKUP(O887,[4]Key!$E$2:$F$9,2,FALSE)</f>
        <v>Home</v>
      </c>
      <c r="Q887" s="13" t="s">
        <v>596</v>
      </c>
      <c r="R887" s="23" t="s">
        <v>175</v>
      </c>
      <c r="S887" s="13" t="s">
        <v>152</v>
      </c>
      <c r="T887" s="23">
        <v>2</v>
      </c>
      <c r="U887" s="30" t="str">
        <f>VLOOKUP(T887,[4]Key!$E$2:$F$9,2,FALSE)</f>
        <v>Work</v>
      </c>
      <c r="V887" s="30" t="str">
        <f t="shared" si="52"/>
        <v>Home-Work</v>
      </c>
      <c r="W887" s="51">
        <v>20000</v>
      </c>
      <c r="X887" s="50">
        <v>270</v>
      </c>
      <c r="Y887" s="50" t="str">
        <f t="shared" si="53"/>
        <v>Over 200</v>
      </c>
      <c r="Z887" s="50">
        <v>3</v>
      </c>
      <c r="AA887" s="50" t="str">
        <f t="shared" si="54"/>
        <v>2.0-3.5</v>
      </c>
      <c r="AB887" s="23">
        <v>6</v>
      </c>
      <c r="AC887" s="30" t="str">
        <f>VLOOKUP(AB887,[4]Key!$C$20:$D$29,2,FALSE)</f>
        <v>Businessman</v>
      </c>
      <c r="AD887" s="23">
        <v>1</v>
      </c>
      <c r="AE887" s="30" t="str">
        <f>VLOOKUP(AD887,[4]Key!$E$20:$F$24,2,FALSE)</f>
        <v>&lt;300,000</v>
      </c>
      <c r="AF887" s="23">
        <v>5</v>
      </c>
      <c r="AG887" s="50">
        <v>4</v>
      </c>
      <c r="AH887" s="50">
        <v>2</v>
      </c>
      <c r="AI887" s="50">
        <v>2</v>
      </c>
      <c r="AJ887" s="50">
        <v>2</v>
      </c>
      <c r="AK887" s="46" t="s">
        <v>94</v>
      </c>
      <c r="AL887" s="36">
        <v>0</v>
      </c>
      <c r="AM887" t="str">
        <f t="shared" si="55"/>
        <v>0-1000</v>
      </c>
    </row>
    <row r="888" spans="1:39" x14ac:dyDescent="0.2">
      <c r="A888" s="44" t="s">
        <v>547</v>
      </c>
      <c r="B888" s="48">
        <v>0.41041666666666665</v>
      </c>
      <c r="C888" s="48"/>
      <c r="D888" s="48" t="s">
        <v>150</v>
      </c>
      <c r="E888" s="13">
        <v>2</v>
      </c>
      <c r="F888" s="38" t="str">
        <f>VLOOKUP(E888,[4]Key!$A$17:$B$21,2,FALSE)</f>
        <v>Road Vehicle</v>
      </c>
      <c r="G888" s="49">
        <v>6</v>
      </c>
      <c r="H888" s="39" t="str">
        <f>VLOOKUP(G888,[4]Key!$A$2:$B$13,2,FALSE)</f>
        <v>Large Bus</v>
      </c>
      <c r="I888" s="13" t="s">
        <v>156</v>
      </c>
      <c r="J888" s="13">
        <v>2</v>
      </c>
      <c r="K888" s="40" t="str">
        <f>VLOOKUP(J888,[4]Key!$A$24:$B$29,2,FALSE)</f>
        <v>30-39</v>
      </c>
      <c r="L888" s="13" t="s">
        <v>587</v>
      </c>
      <c r="M888" s="23" t="s">
        <v>428</v>
      </c>
      <c r="N888" s="13" t="s">
        <v>152</v>
      </c>
      <c r="O888" s="46">
        <v>1</v>
      </c>
      <c r="P888" s="30" t="str">
        <f>VLOOKUP(O888,[4]Key!$E$2:$F$9,2,FALSE)</f>
        <v>Home</v>
      </c>
      <c r="Q888" s="13" t="s">
        <v>597</v>
      </c>
      <c r="R888" s="23" t="s">
        <v>168</v>
      </c>
      <c r="S888" s="13" t="s">
        <v>152</v>
      </c>
      <c r="T888" s="23">
        <v>2</v>
      </c>
      <c r="U888" s="30" t="str">
        <f>VLOOKUP(T888,[4]Key!$E$2:$F$9,2,FALSE)</f>
        <v>Work</v>
      </c>
      <c r="V888" s="30" t="str">
        <f t="shared" si="52"/>
        <v>Home-Work</v>
      </c>
      <c r="W888" s="51">
        <v>30000</v>
      </c>
      <c r="X888" s="50">
        <v>150</v>
      </c>
      <c r="Y888" s="50" t="str">
        <f t="shared" si="53"/>
        <v>100-200</v>
      </c>
      <c r="Z888" s="50">
        <v>4</v>
      </c>
      <c r="AA888" s="50" t="str">
        <f t="shared" si="54"/>
        <v>Over 3.5</v>
      </c>
      <c r="AB888" s="23">
        <v>6</v>
      </c>
      <c r="AC888" s="30" t="str">
        <f>VLOOKUP(AB888,[4]Key!$C$20:$D$29,2,FALSE)</f>
        <v>Businessman</v>
      </c>
      <c r="AD888" s="23">
        <v>1</v>
      </c>
      <c r="AE888" s="30" t="str">
        <f>VLOOKUP(AD888,[4]Key!$E$20:$F$24,2,FALSE)</f>
        <v>&lt;300,000</v>
      </c>
      <c r="AF888" s="23">
        <v>2</v>
      </c>
      <c r="AG888" s="50">
        <v>2</v>
      </c>
      <c r="AH888" s="50">
        <v>2</v>
      </c>
      <c r="AI888" s="50">
        <v>2</v>
      </c>
      <c r="AJ888" s="50">
        <v>2</v>
      </c>
      <c r="AK888" s="46" t="s">
        <v>94</v>
      </c>
      <c r="AL888" s="36">
        <v>0</v>
      </c>
      <c r="AM888" t="str">
        <f t="shared" si="55"/>
        <v>0-1000</v>
      </c>
    </row>
    <row r="889" spans="1:39" x14ac:dyDescent="0.2">
      <c r="A889" s="44" t="s">
        <v>547</v>
      </c>
      <c r="B889" s="48">
        <v>0.67499999999999993</v>
      </c>
      <c r="C889" s="48"/>
      <c r="D889" s="48" t="s">
        <v>150</v>
      </c>
      <c r="E889" s="13">
        <v>2</v>
      </c>
      <c r="F889" s="38" t="str">
        <f>VLOOKUP(E889,[4]Key!$A$17:$B$21,2,FALSE)</f>
        <v>Road Vehicle</v>
      </c>
      <c r="G889" s="49">
        <v>6</v>
      </c>
      <c r="H889" s="39" t="str">
        <f>VLOOKUP(G889,[4]Key!$A$2:$B$13,2,FALSE)</f>
        <v>Large Bus</v>
      </c>
      <c r="I889" s="13" t="s">
        <v>156</v>
      </c>
      <c r="J889" s="13">
        <v>2</v>
      </c>
      <c r="K889" s="40" t="str">
        <f>VLOOKUP(J889,[4]Key!$A$24:$B$29,2,FALSE)</f>
        <v>30-39</v>
      </c>
      <c r="L889" s="13" t="s">
        <v>484</v>
      </c>
      <c r="M889" s="23" t="s">
        <v>485</v>
      </c>
      <c r="N889" s="13" t="s">
        <v>152</v>
      </c>
      <c r="O889" s="46">
        <v>1</v>
      </c>
      <c r="P889" s="30" t="str">
        <f>VLOOKUP(O889,[4]Key!$E$2:$F$9,2,FALSE)</f>
        <v>Home</v>
      </c>
      <c r="Q889" s="13" t="s">
        <v>169</v>
      </c>
      <c r="R889" s="23" t="s">
        <v>168</v>
      </c>
      <c r="S889" s="13" t="s">
        <v>152</v>
      </c>
      <c r="T889" s="23">
        <v>2</v>
      </c>
      <c r="U889" s="30" t="str">
        <f>VLOOKUP(T889,[4]Key!$E$2:$F$9,2,FALSE)</f>
        <v>Work</v>
      </c>
      <c r="V889" s="30" t="str">
        <f t="shared" si="52"/>
        <v>Home-Work</v>
      </c>
      <c r="W889" s="51">
        <v>30000</v>
      </c>
      <c r="X889" s="50">
        <v>200</v>
      </c>
      <c r="Y889" s="50" t="str">
        <f t="shared" si="53"/>
        <v>Over 200</v>
      </c>
      <c r="Z889" s="50">
        <v>4.5</v>
      </c>
      <c r="AA889" s="50" t="str">
        <f t="shared" si="54"/>
        <v>Over 3.5</v>
      </c>
      <c r="AB889" s="23">
        <v>6</v>
      </c>
      <c r="AC889" s="30" t="str">
        <f>VLOOKUP(AB889,[4]Key!$C$20:$D$29,2,FALSE)</f>
        <v>Businessman</v>
      </c>
      <c r="AD889" s="23">
        <v>1</v>
      </c>
      <c r="AE889" s="30" t="str">
        <f>VLOOKUP(AD889,[4]Key!$E$20:$F$24,2,FALSE)</f>
        <v>&lt;300,000</v>
      </c>
      <c r="AF889" s="23">
        <v>5</v>
      </c>
      <c r="AG889" s="50">
        <v>5</v>
      </c>
      <c r="AH889" s="50">
        <v>5</v>
      </c>
      <c r="AI889" s="50">
        <v>5</v>
      </c>
      <c r="AJ889" s="50">
        <v>5</v>
      </c>
      <c r="AK889" s="46" t="s">
        <v>94</v>
      </c>
      <c r="AL889" s="36">
        <v>0</v>
      </c>
      <c r="AM889" t="str">
        <f t="shared" si="55"/>
        <v>0-1000</v>
      </c>
    </row>
    <row r="890" spans="1:39" x14ac:dyDescent="0.2">
      <c r="A890" s="44" t="s">
        <v>547</v>
      </c>
      <c r="B890" s="48">
        <v>0.68055555555555547</v>
      </c>
      <c r="C890" s="48"/>
      <c r="D890" s="48" t="s">
        <v>150</v>
      </c>
      <c r="E890" s="13">
        <v>2</v>
      </c>
      <c r="F890" s="38" t="str">
        <f>VLOOKUP(E890,[4]Key!$A$17:$B$21,2,FALSE)</f>
        <v>Road Vehicle</v>
      </c>
      <c r="G890" s="49">
        <v>6</v>
      </c>
      <c r="H890" s="39" t="str">
        <f>VLOOKUP(G890,[4]Key!$A$2:$B$13,2,FALSE)</f>
        <v>Large Bus</v>
      </c>
      <c r="I890" s="13" t="s">
        <v>156</v>
      </c>
      <c r="J890" s="13">
        <v>2</v>
      </c>
      <c r="K890" s="40" t="str">
        <f>VLOOKUP(J890,[4]Key!$A$24:$B$29,2,FALSE)</f>
        <v>30-39</v>
      </c>
      <c r="L890" s="13" t="s">
        <v>484</v>
      </c>
      <c r="M890" s="23" t="s">
        <v>485</v>
      </c>
      <c r="N890" s="13" t="s">
        <v>152</v>
      </c>
      <c r="O890" s="46">
        <v>1</v>
      </c>
      <c r="P890" s="30" t="str">
        <f>VLOOKUP(O890,[4]Key!$E$2:$F$9,2,FALSE)</f>
        <v>Home</v>
      </c>
      <c r="Q890" s="13" t="s">
        <v>445</v>
      </c>
      <c r="R890" s="23" t="s">
        <v>153</v>
      </c>
      <c r="S890" s="13" t="s">
        <v>152</v>
      </c>
      <c r="T890" s="23">
        <v>8</v>
      </c>
      <c r="U890" s="30" t="str">
        <f>VLOOKUP(T890,[4]Key!$E$2:$F$9,2,FALSE)</f>
        <v>Others</v>
      </c>
      <c r="V890" s="30" t="str">
        <f t="shared" si="52"/>
        <v>Home-Others</v>
      </c>
      <c r="W890" s="51">
        <v>30000</v>
      </c>
      <c r="X890" s="50">
        <v>200</v>
      </c>
      <c r="Y890" s="50" t="str">
        <f t="shared" si="53"/>
        <v>Over 200</v>
      </c>
      <c r="Z890" s="50">
        <v>4.5</v>
      </c>
      <c r="AA890" s="50" t="str">
        <f t="shared" si="54"/>
        <v>Over 3.5</v>
      </c>
      <c r="AB890" s="23">
        <v>6</v>
      </c>
      <c r="AC890" s="30" t="str">
        <f>VLOOKUP(AB890,[4]Key!$C$20:$D$29,2,FALSE)</f>
        <v>Businessman</v>
      </c>
      <c r="AD890" s="23">
        <v>1</v>
      </c>
      <c r="AE890" s="30" t="str">
        <f>VLOOKUP(AD890,[4]Key!$E$20:$F$24,2,FALSE)</f>
        <v>&lt;300,000</v>
      </c>
      <c r="AF890" s="23">
        <v>5</v>
      </c>
      <c r="AG890" s="50">
        <v>2</v>
      </c>
      <c r="AH890" s="50">
        <v>1</v>
      </c>
      <c r="AI890" s="50">
        <v>1</v>
      </c>
      <c r="AJ890" s="50">
        <v>2</v>
      </c>
      <c r="AK890" s="46" t="s">
        <v>94</v>
      </c>
      <c r="AL890" s="36">
        <v>0</v>
      </c>
      <c r="AM890" t="str">
        <f t="shared" si="55"/>
        <v>0-1000</v>
      </c>
    </row>
    <row r="891" spans="1:39" x14ac:dyDescent="0.2">
      <c r="A891" s="44" t="s">
        <v>547</v>
      </c>
      <c r="B891" s="48">
        <v>0.6166666666666667</v>
      </c>
      <c r="C891" s="48"/>
      <c r="D891" s="48" t="s">
        <v>150</v>
      </c>
      <c r="E891" s="13">
        <v>2</v>
      </c>
      <c r="F891" s="38" t="str">
        <f>VLOOKUP(E891,[4]Key!$A$17:$B$21,2,FALSE)</f>
        <v>Road Vehicle</v>
      </c>
      <c r="G891" s="49">
        <v>6</v>
      </c>
      <c r="H891" s="39" t="str">
        <f>VLOOKUP(G891,[4]Key!$A$2:$B$13,2,FALSE)</f>
        <v>Large Bus</v>
      </c>
      <c r="I891" s="13" t="s">
        <v>156</v>
      </c>
      <c r="J891" s="13">
        <v>2</v>
      </c>
      <c r="K891" s="40" t="str">
        <f>VLOOKUP(J891,[4]Key!$A$24:$B$29,2,FALSE)</f>
        <v>30-39</v>
      </c>
      <c r="L891" s="13" t="s">
        <v>454</v>
      </c>
      <c r="M891" s="23" t="s">
        <v>455</v>
      </c>
      <c r="N891" s="13" t="s">
        <v>152</v>
      </c>
      <c r="O891" s="46">
        <v>1</v>
      </c>
      <c r="P891" s="30" t="str">
        <f>VLOOKUP(O891,[4]Key!$E$2:$F$9,2,FALSE)</f>
        <v>Home</v>
      </c>
      <c r="Q891" s="13" t="s">
        <v>598</v>
      </c>
      <c r="R891" s="23" t="s">
        <v>599</v>
      </c>
      <c r="S891" s="13" t="s">
        <v>152</v>
      </c>
      <c r="T891" s="23">
        <v>2</v>
      </c>
      <c r="U891" s="30" t="str">
        <f>VLOOKUP(T891,[4]Key!$E$2:$F$9,2,FALSE)</f>
        <v>Work</v>
      </c>
      <c r="V891" s="30" t="str">
        <f t="shared" si="52"/>
        <v>Home-Work</v>
      </c>
      <c r="W891" s="51">
        <v>10000</v>
      </c>
      <c r="X891" s="50">
        <v>90</v>
      </c>
      <c r="Y891" s="50" t="str">
        <f t="shared" si="53"/>
        <v>70-100</v>
      </c>
      <c r="Z891" s="50">
        <v>2</v>
      </c>
      <c r="AA891" s="50" t="str">
        <f t="shared" si="54"/>
        <v>2.0-3.5</v>
      </c>
      <c r="AB891" s="23">
        <v>6</v>
      </c>
      <c r="AC891" s="30" t="str">
        <f>VLOOKUP(AB891,[4]Key!$C$20:$D$29,2,FALSE)</f>
        <v>Businessman</v>
      </c>
      <c r="AD891" s="23">
        <v>1</v>
      </c>
      <c r="AE891" s="30" t="str">
        <f>VLOOKUP(AD891,[4]Key!$E$20:$F$24,2,FALSE)</f>
        <v>&lt;300,000</v>
      </c>
      <c r="AF891" s="23">
        <v>2</v>
      </c>
      <c r="AG891" s="50">
        <v>4</v>
      </c>
      <c r="AH891" s="50">
        <v>1</v>
      </c>
      <c r="AI891" s="50">
        <v>2</v>
      </c>
      <c r="AJ891" s="50">
        <v>1</v>
      </c>
      <c r="AK891" s="46" t="s">
        <v>94</v>
      </c>
      <c r="AL891" s="36">
        <v>0</v>
      </c>
      <c r="AM891" t="str">
        <f t="shared" si="55"/>
        <v>0-1000</v>
      </c>
    </row>
    <row r="892" spans="1:39" x14ac:dyDescent="0.2">
      <c r="A892" s="44" t="s">
        <v>547</v>
      </c>
      <c r="B892" s="48">
        <v>0.68611111111111101</v>
      </c>
      <c r="C892" s="48"/>
      <c r="D892" s="48" t="s">
        <v>150</v>
      </c>
      <c r="E892" s="13">
        <v>2</v>
      </c>
      <c r="F892" s="38" t="str">
        <f>VLOOKUP(E892,[4]Key!$A$17:$B$21,2,FALSE)</f>
        <v>Road Vehicle</v>
      </c>
      <c r="G892" s="49">
        <v>6</v>
      </c>
      <c r="H892" s="39" t="str">
        <f>VLOOKUP(G892,[4]Key!$A$2:$B$13,2,FALSE)</f>
        <v>Large Bus</v>
      </c>
      <c r="I892" s="13" t="s">
        <v>156</v>
      </c>
      <c r="J892" s="13">
        <v>2</v>
      </c>
      <c r="K892" s="40" t="str">
        <f>VLOOKUP(J892,[4]Key!$A$24:$B$29,2,FALSE)</f>
        <v>30-39</v>
      </c>
      <c r="L892" s="13" t="s">
        <v>454</v>
      </c>
      <c r="M892" s="23" t="s">
        <v>455</v>
      </c>
      <c r="N892" s="13" t="s">
        <v>152</v>
      </c>
      <c r="O892" s="46">
        <v>2</v>
      </c>
      <c r="P892" s="30" t="str">
        <f>VLOOKUP(O892,[4]Key!$E$2:$F$9,2,FALSE)</f>
        <v>Work</v>
      </c>
      <c r="Q892" s="13" t="s">
        <v>438</v>
      </c>
      <c r="R892" s="23" t="s">
        <v>446</v>
      </c>
      <c r="S892" s="13" t="s">
        <v>152</v>
      </c>
      <c r="T892" s="23">
        <v>8</v>
      </c>
      <c r="U892" s="30" t="str">
        <f>VLOOKUP(T892,[4]Key!$E$2:$F$9,2,FALSE)</f>
        <v>Others</v>
      </c>
      <c r="V892" s="30" t="str">
        <f t="shared" si="52"/>
        <v>Work-Others</v>
      </c>
      <c r="W892" s="51">
        <v>25000</v>
      </c>
      <c r="X892" s="50">
        <v>330</v>
      </c>
      <c r="Y892" s="50" t="str">
        <f t="shared" si="53"/>
        <v>Over 200</v>
      </c>
      <c r="Z892" s="50">
        <v>4</v>
      </c>
      <c r="AA892" s="50" t="str">
        <f t="shared" si="54"/>
        <v>Over 3.5</v>
      </c>
      <c r="AB892" s="23">
        <v>6</v>
      </c>
      <c r="AC892" s="30" t="str">
        <f>VLOOKUP(AB892,[4]Key!$C$20:$D$29,2,FALSE)</f>
        <v>Businessman</v>
      </c>
      <c r="AD892" s="23">
        <v>1</v>
      </c>
      <c r="AE892" s="30" t="str">
        <f>VLOOKUP(AD892,[4]Key!$E$20:$F$24,2,FALSE)</f>
        <v>&lt;300,000</v>
      </c>
      <c r="AF892" s="23">
        <v>5</v>
      </c>
      <c r="AG892" s="50">
        <v>2</v>
      </c>
      <c r="AH892" s="50">
        <v>2</v>
      </c>
      <c r="AI892" s="50">
        <v>2</v>
      </c>
      <c r="AJ892" s="50">
        <v>2</v>
      </c>
      <c r="AK892" s="46" t="s">
        <v>94</v>
      </c>
      <c r="AL892" s="36">
        <v>0</v>
      </c>
      <c r="AM892" t="str">
        <f t="shared" si="55"/>
        <v>0-1000</v>
      </c>
    </row>
    <row r="893" spans="1:39" x14ac:dyDescent="0.2">
      <c r="A893" s="44" t="s">
        <v>547</v>
      </c>
      <c r="B893" s="48">
        <v>0.66666666666666663</v>
      </c>
      <c r="C893" s="48"/>
      <c r="D893" s="48" t="s">
        <v>150</v>
      </c>
      <c r="E893" s="13">
        <v>2</v>
      </c>
      <c r="F893" s="38" t="str">
        <f>VLOOKUP(E893,[4]Key!$A$17:$B$21,2,FALSE)</f>
        <v>Road Vehicle</v>
      </c>
      <c r="G893" s="49">
        <v>6</v>
      </c>
      <c r="H893" s="39" t="str">
        <f>VLOOKUP(G893,[4]Key!$A$2:$B$13,2,FALSE)</f>
        <v>Large Bus</v>
      </c>
      <c r="I893" s="13" t="s">
        <v>156</v>
      </c>
      <c r="J893" s="13">
        <v>2</v>
      </c>
      <c r="K893" s="40" t="str">
        <f>VLOOKUP(J893,[4]Key!$A$24:$B$29,2,FALSE)</f>
        <v>30-39</v>
      </c>
      <c r="L893" s="13" t="s">
        <v>454</v>
      </c>
      <c r="M893" s="23" t="s">
        <v>455</v>
      </c>
      <c r="N893" s="13" t="s">
        <v>152</v>
      </c>
      <c r="O893" s="46">
        <v>1</v>
      </c>
      <c r="P893" s="30" t="str">
        <f>VLOOKUP(O893,[4]Key!$E$2:$F$9,2,FALSE)</f>
        <v>Home</v>
      </c>
      <c r="Q893" s="13" t="s">
        <v>555</v>
      </c>
      <c r="R893" s="23" t="s">
        <v>556</v>
      </c>
      <c r="S893" s="13" t="s">
        <v>152</v>
      </c>
      <c r="T893" s="23">
        <v>2</v>
      </c>
      <c r="U893" s="30" t="str">
        <f>VLOOKUP(T893,[4]Key!$E$2:$F$9,2,FALSE)</f>
        <v>Work</v>
      </c>
      <c r="V893" s="30" t="str">
        <f t="shared" si="52"/>
        <v>Home-Work</v>
      </c>
      <c r="W893" s="51">
        <v>50000</v>
      </c>
      <c r="X893" s="50">
        <v>800</v>
      </c>
      <c r="Y893" s="50" t="str">
        <f t="shared" si="53"/>
        <v>Over 200</v>
      </c>
      <c r="Z893" s="50">
        <v>12</v>
      </c>
      <c r="AA893" s="50" t="str">
        <f t="shared" si="54"/>
        <v>Over 3.5</v>
      </c>
      <c r="AB893" s="23">
        <v>6</v>
      </c>
      <c r="AC893" s="30" t="str">
        <f>VLOOKUP(AB893,[4]Key!$C$20:$D$29,2,FALSE)</f>
        <v>Businessman</v>
      </c>
      <c r="AD893" s="23">
        <v>1</v>
      </c>
      <c r="AE893" s="30" t="str">
        <f>VLOOKUP(AD893,[4]Key!$E$20:$F$24,2,FALSE)</f>
        <v>&lt;300,000</v>
      </c>
      <c r="AF893" s="23">
        <v>5</v>
      </c>
      <c r="AG893" s="50">
        <v>5</v>
      </c>
      <c r="AH893" s="50">
        <v>2</v>
      </c>
      <c r="AI893" s="50">
        <v>2</v>
      </c>
      <c r="AJ893" s="50">
        <v>2</v>
      </c>
      <c r="AK893" s="46" t="s">
        <v>94</v>
      </c>
      <c r="AL893" s="36">
        <v>0</v>
      </c>
      <c r="AM893" t="str">
        <f t="shared" si="55"/>
        <v>0-1000</v>
      </c>
    </row>
    <row r="894" spans="1:39" x14ac:dyDescent="0.2">
      <c r="A894" s="44" t="s">
        <v>547</v>
      </c>
      <c r="B894" s="48">
        <v>0.64444444444444449</v>
      </c>
      <c r="C894" s="48"/>
      <c r="D894" s="48" t="s">
        <v>150</v>
      </c>
      <c r="E894" s="13">
        <v>2</v>
      </c>
      <c r="F894" s="38" t="str">
        <f>VLOOKUP(E894,[4]Key!$A$17:$B$21,2,FALSE)</f>
        <v>Road Vehicle</v>
      </c>
      <c r="G894" s="49">
        <v>6</v>
      </c>
      <c r="H894" s="39" t="str">
        <f>VLOOKUP(G894,[4]Key!$A$2:$B$13,2,FALSE)</f>
        <v>Large Bus</v>
      </c>
      <c r="I894" s="13" t="s">
        <v>156</v>
      </c>
      <c r="J894" s="13">
        <v>2</v>
      </c>
      <c r="K894" s="40" t="str">
        <f>VLOOKUP(J894,[4]Key!$A$24:$B$29,2,FALSE)</f>
        <v>30-39</v>
      </c>
      <c r="L894" s="13" t="s">
        <v>454</v>
      </c>
      <c r="M894" s="23" t="s">
        <v>455</v>
      </c>
      <c r="N894" s="13" t="s">
        <v>152</v>
      </c>
      <c r="O894" s="46">
        <v>2</v>
      </c>
      <c r="P894" s="30" t="str">
        <f>VLOOKUP(O894,[4]Key!$E$2:$F$9,2,FALSE)</f>
        <v>Work</v>
      </c>
      <c r="Q894" s="13" t="s">
        <v>424</v>
      </c>
      <c r="R894" s="23" t="s">
        <v>421</v>
      </c>
      <c r="S894" s="13" t="s">
        <v>152</v>
      </c>
      <c r="T894" s="23">
        <v>1</v>
      </c>
      <c r="U894" s="30" t="str">
        <f>VLOOKUP(T894,[4]Key!$E$2:$F$9,2,FALSE)</f>
        <v>Home</v>
      </c>
      <c r="V894" s="30" t="str">
        <f t="shared" si="52"/>
        <v>Work-Home</v>
      </c>
      <c r="W894" s="51">
        <v>15000</v>
      </c>
      <c r="X894" s="50">
        <v>135</v>
      </c>
      <c r="Y894" s="50" t="str">
        <f t="shared" si="53"/>
        <v>100-200</v>
      </c>
      <c r="Z894" s="50">
        <v>2.5</v>
      </c>
      <c r="AA894" s="50" t="str">
        <f t="shared" si="54"/>
        <v>2.0-3.5</v>
      </c>
      <c r="AB894" s="23">
        <v>6</v>
      </c>
      <c r="AC894" s="30" t="str">
        <f>VLOOKUP(AB894,[4]Key!$C$20:$D$29,2,FALSE)</f>
        <v>Businessman</v>
      </c>
      <c r="AD894" s="23">
        <v>1</v>
      </c>
      <c r="AE894" s="30" t="str">
        <f>VLOOKUP(AD894,[4]Key!$E$20:$F$24,2,FALSE)</f>
        <v>&lt;300,000</v>
      </c>
      <c r="AF894" s="23">
        <v>2</v>
      </c>
      <c r="AG894" s="50">
        <v>2</v>
      </c>
      <c r="AH894" s="50">
        <v>2</v>
      </c>
      <c r="AI894" s="50">
        <v>2</v>
      </c>
      <c r="AJ894" s="50">
        <v>2</v>
      </c>
      <c r="AK894" s="46" t="s">
        <v>94</v>
      </c>
      <c r="AL894" s="36">
        <v>0</v>
      </c>
      <c r="AM894" t="str">
        <f t="shared" si="55"/>
        <v>0-1000</v>
      </c>
    </row>
    <row r="895" spans="1:39" x14ac:dyDescent="0.2">
      <c r="A895" s="44" t="s">
        <v>544</v>
      </c>
      <c r="B895" s="48">
        <v>0.62430555555555556</v>
      </c>
      <c r="C895" s="48"/>
      <c r="D895" s="48" t="s">
        <v>150</v>
      </c>
      <c r="E895" s="13">
        <v>2</v>
      </c>
      <c r="F895" s="38" t="str">
        <f>VLOOKUP(E895,[4]Key!$A$17:$B$21,2,FALSE)</f>
        <v>Road Vehicle</v>
      </c>
      <c r="G895" s="49">
        <v>6</v>
      </c>
      <c r="H895" s="39" t="str">
        <f>VLOOKUP(G895,[4]Key!$A$2:$B$13,2,FALSE)</f>
        <v>Large Bus</v>
      </c>
      <c r="I895" s="13" t="s">
        <v>156</v>
      </c>
      <c r="J895" s="13">
        <v>2</v>
      </c>
      <c r="K895" s="40" t="str">
        <f>VLOOKUP(J895,[4]Key!$A$24:$B$29,2,FALSE)</f>
        <v>30-39</v>
      </c>
      <c r="L895" s="13" t="s">
        <v>546</v>
      </c>
      <c r="M895" s="23" t="s">
        <v>455</v>
      </c>
      <c r="N895" s="13" t="s">
        <v>152</v>
      </c>
      <c r="O895" s="46">
        <v>2</v>
      </c>
      <c r="P895" s="30" t="str">
        <f>VLOOKUP(O895,[4]Key!$E$2:$F$9,2,FALSE)</f>
        <v>Work</v>
      </c>
      <c r="Q895" s="13" t="s">
        <v>600</v>
      </c>
      <c r="R895" s="23" t="s">
        <v>153</v>
      </c>
      <c r="S895" s="13" t="s">
        <v>152</v>
      </c>
      <c r="T895" s="23">
        <v>1</v>
      </c>
      <c r="U895" s="30" t="str">
        <f>VLOOKUP(T895,[4]Key!$E$2:$F$9,2,FALSE)</f>
        <v>Home</v>
      </c>
      <c r="V895" s="30" t="str">
        <f t="shared" si="52"/>
        <v>Work-Home</v>
      </c>
      <c r="W895" s="51">
        <v>30000</v>
      </c>
      <c r="X895" s="50">
        <v>120</v>
      </c>
      <c r="Y895" s="50" t="str">
        <f t="shared" si="53"/>
        <v>100-200</v>
      </c>
      <c r="Z895" s="50">
        <v>2</v>
      </c>
      <c r="AA895" s="50" t="str">
        <f t="shared" si="54"/>
        <v>2.0-3.5</v>
      </c>
      <c r="AB895" s="23">
        <v>6</v>
      </c>
      <c r="AC895" s="30" t="str">
        <f>VLOOKUP(AB895,[4]Key!$C$20:$D$29,2,FALSE)</f>
        <v>Businessman</v>
      </c>
      <c r="AD895" s="23">
        <v>1</v>
      </c>
      <c r="AE895" s="30" t="str">
        <f>VLOOKUP(AD895,[4]Key!$E$20:$F$24,2,FALSE)</f>
        <v>&lt;300,000</v>
      </c>
      <c r="AF895" s="23">
        <v>5</v>
      </c>
      <c r="AG895" s="50">
        <v>4</v>
      </c>
      <c r="AH895" s="50">
        <v>2</v>
      </c>
      <c r="AI895" s="50">
        <v>2</v>
      </c>
      <c r="AJ895" s="50">
        <v>2</v>
      </c>
      <c r="AK895" s="46" t="s">
        <v>94</v>
      </c>
      <c r="AL895" s="36">
        <v>0</v>
      </c>
      <c r="AM895" t="str">
        <f t="shared" si="55"/>
        <v>0-1000</v>
      </c>
    </row>
    <row r="896" spans="1:39" x14ac:dyDescent="0.2">
      <c r="A896" s="44" t="s">
        <v>544</v>
      </c>
      <c r="B896" s="48">
        <v>0.43055555555555558</v>
      </c>
      <c r="C896" s="48"/>
      <c r="D896" s="48" t="s">
        <v>150</v>
      </c>
      <c r="E896" s="13">
        <v>2</v>
      </c>
      <c r="F896" s="38" t="str">
        <f>VLOOKUP(E896,[4]Key!$A$17:$B$21,2,FALSE)</f>
        <v>Road Vehicle</v>
      </c>
      <c r="G896" s="49">
        <v>6</v>
      </c>
      <c r="H896" s="39" t="str">
        <f>VLOOKUP(G896,[4]Key!$A$2:$B$13,2,FALSE)</f>
        <v>Large Bus</v>
      </c>
      <c r="I896" s="13" t="s">
        <v>156</v>
      </c>
      <c r="J896" s="13">
        <v>2</v>
      </c>
      <c r="K896" s="40" t="str">
        <f>VLOOKUP(J896,[4]Key!$A$24:$B$29,2,FALSE)</f>
        <v>30-39</v>
      </c>
      <c r="L896" s="13" t="s">
        <v>601</v>
      </c>
      <c r="M896" s="23" t="s">
        <v>602</v>
      </c>
      <c r="N896" s="13" t="s">
        <v>152</v>
      </c>
      <c r="O896" s="46">
        <v>2</v>
      </c>
      <c r="P896" s="30" t="str">
        <f>VLOOKUP(O896,[4]Key!$E$2:$F$9,2,FALSE)</f>
        <v>Work</v>
      </c>
      <c r="Q896" s="13" t="s">
        <v>434</v>
      </c>
      <c r="R896" s="23" t="s">
        <v>153</v>
      </c>
      <c r="S896" s="13" t="s">
        <v>152</v>
      </c>
      <c r="T896" s="23">
        <v>1</v>
      </c>
      <c r="U896" s="30" t="str">
        <f>VLOOKUP(T896,[4]Key!$E$2:$F$9,2,FALSE)</f>
        <v>Home</v>
      </c>
      <c r="V896" s="30" t="str">
        <f t="shared" si="52"/>
        <v>Work-Home</v>
      </c>
      <c r="W896" s="51">
        <v>40000</v>
      </c>
      <c r="X896" s="50">
        <v>340</v>
      </c>
      <c r="Y896" s="50" t="str">
        <f t="shared" si="53"/>
        <v>Over 200</v>
      </c>
      <c r="Z896" s="50">
        <v>6</v>
      </c>
      <c r="AA896" s="50" t="str">
        <f t="shared" si="54"/>
        <v>Over 3.5</v>
      </c>
      <c r="AB896" s="23">
        <v>6</v>
      </c>
      <c r="AC896" s="30" t="str">
        <f>VLOOKUP(AB896,[4]Key!$C$20:$D$29,2,FALSE)</f>
        <v>Businessman</v>
      </c>
      <c r="AD896" s="23">
        <v>1</v>
      </c>
      <c r="AE896" s="30" t="str">
        <f>VLOOKUP(AD896,[4]Key!$E$20:$F$24,2,FALSE)</f>
        <v>&lt;300,000</v>
      </c>
      <c r="AF896" s="23">
        <v>2</v>
      </c>
      <c r="AG896" s="50">
        <v>4</v>
      </c>
      <c r="AH896" s="50">
        <v>1</v>
      </c>
      <c r="AI896" s="50">
        <v>2</v>
      </c>
      <c r="AJ896" s="50">
        <v>2</v>
      </c>
      <c r="AK896" s="46" t="s">
        <v>94</v>
      </c>
      <c r="AL896" s="36">
        <v>0</v>
      </c>
      <c r="AM896" t="str">
        <f t="shared" si="55"/>
        <v>0-1000</v>
      </c>
    </row>
    <row r="897" spans="1:39" x14ac:dyDescent="0.2">
      <c r="A897" s="44" t="s">
        <v>544</v>
      </c>
      <c r="B897" s="48">
        <v>0.4375</v>
      </c>
      <c r="C897" s="48"/>
      <c r="D897" s="48" t="s">
        <v>150</v>
      </c>
      <c r="E897" s="13">
        <v>2</v>
      </c>
      <c r="F897" s="38" t="str">
        <f>VLOOKUP(E897,[4]Key!$A$17:$B$21,2,FALSE)</f>
        <v>Road Vehicle</v>
      </c>
      <c r="G897" s="49">
        <v>6</v>
      </c>
      <c r="H897" s="39" t="str">
        <f>VLOOKUP(G897,[4]Key!$A$2:$B$13,2,FALSE)</f>
        <v>Large Bus</v>
      </c>
      <c r="I897" s="13" t="s">
        <v>156</v>
      </c>
      <c r="J897" s="13">
        <v>2</v>
      </c>
      <c r="K897" s="40" t="str">
        <f>VLOOKUP(J897,[4]Key!$A$24:$B$29,2,FALSE)</f>
        <v>30-39</v>
      </c>
      <c r="L897" s="13" t="s">
        <v>603</v>
      </c>
      <c r="M897" s="23" t="s">
        <v>444</v>
      </c>
      <c r="N897" s="13" t="s">
        <v>152</v>
      </c>
      <c r="O897" s="46">
        <v>2</v>
      </c>
      <c r="P897" s="30" t="str">
        <f>VLOOKUP(O897,[4]Key!$E$2:$F$9,2,FALSE)</f>
        <v>Work</v>
      </c>
      <c r="Q897" s="13" t="s">
        <v>604</v>
      </c>
      <c r="R897" s="23" t="s">
        <v>153</v>
      </c>
      <c r="S897" s="13" t="s">
        <v>152</v>
      </c>
      <c r="T897" s="23">
        <v>1</v>
      </c>
      <c r="U897" s="30" t="str">
        <f>VLOOKUP(T897,[4]Key!$E$2:$F$9,2,FALSE)</f>
        <v>Home</v>
      </c>
      <c r="V897" s="30" t="str">
        <f t="shared" si="52"/>
        <v>Work-Home</v>
      </c>
      <c r="W897" s="51">
        <v>40000</v>
      </c>
      <c r="X897" s="50">
        <v>340</v>
      </c>
      <c r="Y897" s="50" t="str">
        <f t="shared" si="53"/>
        <v>Over 200</v>
      </c>
      <c r="Z897" s="50">
        <v>6</v>
      </c>
      <c r="AA897" s="50" t="str">
        <f t="shared" si="54"/>
        <v>Over 3.5</v>
      </c>
      <c r="AB897" s="23">
        <v>6</v>
      </c>
      <c r="AC897" s="30" t="str">
        <f>VLOOKUP(AB897,[4]Key!$C$20:$D$29,2,FALSE)</f>
        <v>Businessman</v>
      </c>
      <c r="AD897" s="23">
        <v>1</v>
      </c>
      <c r="AE897" s="30" t="str">
        <f>VLOOKUP(AD897,[4]Key!$E$20:$F$24,2,FALSE)</f>
        <v>&lt;300,000</v>
      </c>
      <c r="AF897" s="23">
        <v>2</v>
      </c>
      <c r="AG897" s="50">
        <v>2</v>
      </c>
      <c r="AH897" s="50">
        <v>2</v>
      </c>
      <c r="AI897" s="50">
        <v>2</v>
      </c>
      <c r="AJ897" s="50">
        <v>2</v>
      </c>
      <c r="AK897" s="46" t="s">
        <v>94</v>
      </c>
      <c r="AL897" s="36">
        <v>0</v>
      </c>
      <c r="AM897" t="str">
        <f t="shared" si="55"/>
        <v>0-1000</v>
      </c>
    </row>
    <row r="898" spans="1:39" x14ac:dyDescent="0.2">
      <c r="A898" s="44" t="s">
        <v>544</v>
      </c>
      <c r="B898" s="48">
        <v>0.40277777777777773</v>
      </c>
      <c r="C898" s="48"/>
      <c r="D898" s="48" t="s">
        <v>150</v>
      </c>
      <c r="E898" s="13">
        <v>2</v>
      </c>
      <c r="F898" s="38" t="str">
        <f>VLOOKUP(E898,[4]Key!$A$17:$B$21,2,FALSE)</f>
        <v>Road Vehicle</v>
      </c>
      <c r="G898" s="49">
        <v>6</v>
      </c>
      <c r="H898" s="39" t="str">
        <f>VLOOKUP(G898,[4]Key!$A$2:$B$13,2,FALSE)</f>
        <v>Large Bus</v>
      </c>
      <c r="I898" s="13" t="s">
        <v>156</v>
      </c>
      <c r="J898" s="13">
        <v>2</v>
      </c>
      <c r="K898" s="40" t="str">
        <f>VLOOKUP(J898,[4]Key!$A$24:$B$29,2,FALSE)</f>
        <v>30-39</v>
      </c>
      <c r="L898" s="13" t="s">
        <v>454</v>
      </c>
      <c r="M898" s="23" t="s">
        <v>455</v>
      </c>
      <c r="N898" s="13" t="s">
        <v>152</v>
      </c>
      <c r="O898" s="46">
        <v>1</v>
      </c>
      <c r="P898" s="30" t="str">
        <f>VLOOKUP(O898,[4]Key!$E$2:$F$9,2,FALSE)</f>
        <v>Home</v>
      </c>
      <c r="Q898" s="13" t="s">
        <v>437</v>
      </c>
      <c r="R898" s="23" t="s">
        <v>175</v>
      </c>
      <c r="S898" s="13" t="s">
        <v>152</v>
      </c>
      <c r="T898" s="23">
        <v>2</v>
      </c>
      <c r="U898" s="30" t="str">
        <f>VLOOKUP(T898,[4]Key!$E$2:$F$9,2,FALSE)</f>
        <v>Work</v>
      </c>
      <c r="V898" s="30" t="str">
        <f t="shared" ref="V898:V961" si="56">P898&amp;"-"&amp;U898</f>
        <v>Home-Work</v>
      </c>
      <c r="W898" s="51">
        <v>20000</v>
      </c>
      <c r="X898" s="50">
        <v>320</v>
      </c>
      <c r="Y898" s="50" t="str">
        <f t="shared" si="53"/>
        <v>Over 200</v>
      </c>
      <c r="Z898" s="50">
        <v>3</v>
      </c>
      <c r="AA898" s="50" t="str">
        <f t="shared" si="54"/>
        <v>2.0-3.5</v>
      </c>
      <c r="AB898" s="23">
        <v>6</v>
      </c>
      <c r="AC898" s="30" t="str">
        <f>VLOOKUP(AB898,[4]Key!$C$20:$D$29,2,FALSE)</f>
        <v>Businessman</v>
      </c>
      <c r="AD898" s="23">
        <v>1</v>
      </c>
      <c r="AE898" s="30" t="str">
        <f>VLOOKUP(AD898,[4]Key!$E$20:$F$24,2,FALSE)</f>
        <v>&lt;300,000</v>
      </c>
      <c r="AF898" s="23">
        <v>2</v>
      </c>
      <c r="AG898" s="50">
        <v>2</v>
      </c>
      <c r="AH898" s="50">
        <v>2</v>
      </c>
      <c r="AI898" s="50">
        <v>2</v>
      </c>
      <c r="AJ898" s="50">
        <v>2</v>
      </c>
      <c r="AK898" s="46" t="s">
        <v>94</v>
      </c>
      <c r="AL898" s="36">
        <v>0</v>
      </c>
      <c r="AM898" t="str">
        <f t="shared" si="55"/>
        <v>0-1000</v>
      </c>
    </row>
    <row r="899" spans="1:39" x14ac:dyDescent="0.2">
      <c r="A899" s="44" t="s">
        <v>544</v>
      </c>
      <c r="B899" s="48">
        <v>0.3611111111111111</v>
      </c>
      <c r="C899" s="48"/>
      <c r="D899" s="48" t="s">
        <v>150</v>
      </c>
      <c r="E899" s="13">
        <v>2</v>
      </c>
      <c r="F899" s="38" t="str">
        <f>VLOOKUP(E899,[4]Key!$A$17:$B$21,2,FALSE)</f>
        <v>Road Vehicle</v>
      </c>
      <c r="G899" s="49">
        <v>6</v>
      </c>
      <c r="H899" s="39" t="str">
        <f>VLOOKUP(G899,[4]Key!$A$2:$B$13,2,FALSE)</f>
        <v>Large Bus</v>
      </c>
      <c r="I899" s="13" t="s">
        <v>156</v>
      </c>
      <c r="J899" s="13">
        <v>2</v>
      </c>
      <c r="K899" s="40" t="str">
        <f>VLOOKUP(J899,[4]Key!$A$24:$B$29,2,FALSE)</f>
        <v>30-39</v>
      </c>
      <c r="L899" s="13" t="s">
        <v>454</v>
      </c>
      <c r="M899" s="23" t="s">
        <v>455</v>
      </c>
      <c r="N899" s="13" t="s">
        <v>152</v>
      </c>
      <c r="O899" s="46">
        <v>2</v>
      </c>
      <c r="P899" s="30" t="str">
        <f>VLOOKUP(O899,[4]Key!$E$2:$F$9,2,FALSE)</f>
        <v>Work</v>
      </c>
      <c r="Q899" s="13" t="s">
        <v>553</v>
      </c>
      <c r="R899" s="23" t="s">
        <v>183</v>
      </c>
      <c r="S899" s="13" t="s">
        <v>152</v>
      </c>
      <c r="T899" s="23">
        <v>1</v>
      </c>
      <c r="U899" s="30" t="str">
        <f>VLOOKUP(T899,[4]Key!$E$2:$F$9,2,FALSE)</f>
        <v>Home</v>
      </c>
      <c r="V899" s="30" t="str">
        <f t="shared" si="56"/>
        <v>Work-Home</v>
      </c>
      <c r="W899" s="51">
        <v>40000</v>
      </c>
      <c r="X899" s="50">
        <v>360</v>
      </c>
      <c r="Y899" s="50" t="str">
        <f t="shared" ref="Y899:Y962" si="57">IF(X899&lt;10,"0-10",IF(X899&lt;20,"10-20",IF(X899&lt;40,"20-40",IF(X899&lt;70,"40-70",IF(X899&lt;100,"70-100",IF(X899&lt;200,"100-200","Over 200"))))))</f>
        <v>Over 200</v>
      </c>
      <c r="Z899" s="50">
        <v>6</v>
      </c>
      <c r="AA899" s="50" t="str">
        <f t="shared" ref="AA899:AA962" si="58">IF(Z899&lt;0.5,"0-0.5",IF(Z899&lt;1,"0.5-1.0",IF(Z899&lt;2,"1.0-2.0",IF(Z899&lt;3.5,"2.0-3.5","Over 3.5"))))</f>
        <v>Over 3.5</v>
      </c>
      <c r="AB899" s="23">
        <v>6</v>
      </c>
      <c r="AC899" s="30" t="str">
        <f>VLOOKUP(AB899,[4]Key!$C$20:$D$29,2,FALSE)</f>
        <v>Businessman</v>
      </c>
      <c r="AD899" s="23">
        <v>1</v>
      </c>
      <c r="AE899" s="30" t="str">
        <f>VLOOKUP(AD899,[4]Key!$E$20:$F$24,2,FALSE)</f>
        <v>&lt;300,000</v>
      </c>
      <c r="AF899" s="23">
        <v>2</v>
      </c>
      <c r="AG899" s="50">
        <v>4</v>
      </c>
      <c r="AH899" s="50">
        <v>1</v>
      </c>
      <c r="AI899" s="50">
        <v>2</v>
      </c>
      <c r="AJ899" s="50">
        <v>1</v>
      </c>
      <c r="AK899" s="46" t="s">
        <v>94</v>
      </c>
      <c r="AL899" s="36">
        <v>0</v>
      </c>
      <c r="AM899" t="str">
        <f t="shared" ref="AM899:AM962" si="59">IF(AL899&lt;1000,"0-1000",IF(AL899&lt;2000,"1000-2000",IF(AL899&lt;3000,"2000-3000",IF(AL899&lt;5000,"3000-5000",IF(AL899&lt;10000,"5000-10000","Over 10000")))))</f>
        <v>0-1000</v>
      </c>
    </row>
    <row r="900" spans="1:39" x14ac:dyDescent="0.2">
      <c r="A900" s="44" t="s">
        <v>544</v>
      </c>
      <c r="B900" s="48">
        <v>0.35416666666666669</v>
      </c>
      <c r="C900" s="48"/>
      <c r="D900" s="48" t="s">
        <v>150</v>
      </c>
      <c r="E900" s="13">
        <v>2</v>
      </c>
      <c r="F900" s="38" t="str">
        <f>VLOOKUP(E900,[4]Key!$A$17:$B$21,2,FALSE)</f>
        <v>Road Vehicle</v>
      </c>
      <c r="G900" s="49">
        <v>6</v>
      </c>
      <c r="H900" s="39" t="str">
        <f>VLOOKUP(G900,[4]Key!$A$2:$B$13,2,FALSE)</f>
        <v>Large Bus</v>
      </c>
      <c r="I900" s="13" t="s">
        <v>156</v>
      </c>
      <c r="J900" s="13">
        <v>2</v>
      </c>
      <c r="K900" s="40" t="str">
        <f>VLOOKUP(J900,[4]Key!$A$24:$B$29,2,FALSE)</f>
        <v>30-39</v>
      </c>
      <c r="L900" s="13" t="s">
        <v>454</v>
      </c>
      <c r="M900" s="23" t="s">
        <v>455</v>
      </c>
      <c r="N900" s="13" t="s">
        <v>152</v>
      </c>
      <c r="O900" s="46">
        <v>1</v>
      </c>
      <c r="P900" s="30" t="str">
        <f>VLOOKUP(O900,[4]Key!$E$2:$F$9,2,FALSE)</f>
        <v>Home</v>
      </c>
      <c r="Q900" s="13" t="s">
        <v>510</v>
      </c>
      <c r="R900" s="23" t="s">
        <v>511</v>
      </c>
      <c r="S900" s="13" t="s">
        <v>152</v>
      </c>
      <c r="T900" s="23">
        <v>8</v>
      </c>
      <c r="U900" s="30" t="str">
        <f>VLOOKUP(T900,[4]Key!$E$2:$F$9,2,FALSE)</f>
        <v>Others</v>
      </c>
      <c r="V900" s="30" t="str">
        <f t="shared" si="56"/>
        <v>Home-Others</v>
      </c>
      <c r="W900" s="51">
        <v>30000</v>
      </c>
      <c r="X900" s="50">
        <v>320</v>
      </c>
      <c r="Y900" s="50" t="str">
        <f t="shared" si="57"/>
        <v>Over 200</v>
      </c>
      <c r="Z900" s="50">
        <v>5</v>
      </c>
      <c r="AA900" s="50" t="str">
        <f t="shared" si="58"/>
        <v>Over 3.5</v>
      </c>
      <c r="AB900" s="23">
        <v>6</v>
      </c>
      <c r="AC900" s="30" t="str">
        <f>VLOOKUP(AB900,[4]Key!$C$20:$D$29,2,FALSE)</f>
        <v>Businessman</v>
      </c>
      <c r="AD900" s="23">
        <v>1</v>
      </c>
      <c r="AE900" s="30" t="str">
        <f>VLOOKUP(AD900,[4]Key!$E$20:$F$24,2,FALSE)</f>
        <v>&lt;300,000</v>
      </c>
      <c r="AF900" s="23">
        <v>5</v>
      </c>
      <c r="AG900" s="50">
        <v>2</v>
      </c>
      <c r="AH900" s="50">
        <v>2</v>
      </c>
      <c r="AI900" s="50">
        <v>2</v>
      </c>
      <c r="AJ900" s="50">
        <v>2</v>
      </c>
      <c r="AK900" s="46" t="s">
        <v>94</v>
      </c>
      <c r="AL900" s="36">
        <v>0</v>
      </c>
      <c r="AM900" t="str">
        <f t="shared" si="59"/>
        <v>0-1000</v>
      </c>
    </row>
    <row r="901" spans="1:39" x14ac:dyDescent="0.2">
      <c r="A901" s="44" t="s">
        <v>544</v>
      </c>
      <c r="B901" s="48">
        <v>0.29583333333333334</v>
      </c>
      <c r="C901" s="48"/>
      <c r="D901" s="48" t="s">
        <v>150</v>
      </c>
      <c r="E901" s="13">
        <v>2</v>
      </c>
      <c r="F901" s="38" t="str">
        <f>VLOOKUP(E901,[4]Key!$A$17:$B$21,2,FALSE)</f>
        <v>Road Vehicle</v>
      </c>
      <c r="G901" s="49">
        <v>6</v>
      </c>
      <c r="H901" s="39" t="str">
        <f>VLOOKUP(G901,[4]Key!$A$2:$B$13,2,FALSE)</f>
        <v>Large Bus</v>
      </c>
      <c r="I901" s="13" t="s">
        <v>156</v>
      </c>
      <c r="J901" s="13">
        <v>2</v>
      </c>
      <c r="K901" s="40" t="str">
        <f>VLOOKUP(J901,[4]Key!$A$24:$B$29,2,FALSE)</f>
        <v>30-39</v>
      </c>
      <c r="L901" s="13" t="s">
        <v>484</v>
      </c>
      <c r="M901" s="23" t="s">
        <v>485</v>
      </c>
      <c r="N901" s="13" t="s">
        <v>152</v>
      </c>
      <c r="O901" s="46">
        <v>1</v>
      </c>
      <c r="P901" s="30" t="str">
        <f>VLOOKUP(O901,[4]Key!$E$2:$F$9,2,FALSE)</f>
        <v>Home</v>
      </c>
      <c r="Q901" s="13" t="s">
        <v>434</v>
      </c>
      <c r="R901" s="23" t="s">
        <v>153</v>
      </c>
      <c r="S901" s="13" t="s">
        <v>152</v>
      </c>
      <c r="T901" s="23">
        <v>7</v>
      </c>
      <c r="U901" s="30" t="str">
        <f>VLOOKUP(T901,[4]Key!$E$2:$F$9,2,FALSE)</f>
        <v>Hospital</v>
      </c>
      <c r="V901" s="30" t="str">
        <f t="shared" si="56"/>
        <v>Home-Hospital</v>
      </c>
      <c r="W901" s="51">
        <v>30000</v>
      </c>
      <c r="X901" s="50">
        <v>480</v>
      </c>
      <c r="Y901" s="50" t="str">
        <f t="shared" si="57"/>
        <v>Over 200</v>
      </c>
      <c r="Z901" s="50">
        <v>12</v>
      </c>
      <c r="AA901" s="50" t="str">
        <f t="shared" si="58"/>
        <v>Over 3.5</v>
      </c>
      <c r="AB901" s="23">
        <v>6</v>
      </c>
      <c r="AC901" s="30" t="str">
        <f>VLOOKUP(AB901,[4]Key!$C$20:$D$29,2,FALSE)</f>
        <v>Businessman</v>
      </c>
      <c r="AD901" s="23">
        <v>3</v>
      </c>
      <c r="AE901" s="30" t="str">
        <f>VLOOKUP(AD901,[4]Key!$E$20:$F$24,2,FALSE)</f>
        <v>500,000-750,000</v>
      </c>
      <c r="AF901" s="23">
        <v>2</v>
      </c>
      <c r="AG901" s="50">
        <v>1</v>
      </c>
      <c r="AH901" s="50">
        <v>1</v>
      </c>
      <c r="AI901" s="50">
        <v>1</v>
      </c>
      <c r="AJ901" s="50">
        <v>1</v>
      </c>
      <c r="AK901" s="46" t="s">
        <v>94</v>
      </c>
      <c r="AL901" s="36">
        <v>3000</v>
      </c>
      <c r="AM901" t="str">
        <f t="shared" si="59"/>
        <v>3000-5000</v>
      </c>
    </row>
    <row r="902" spans="1:39" x14ac:dyDescent="0.2">
      <c r="A902" s="44" t="s">
        <v>544</v>
      </c>
      <c r="B902" s="48">
        <v>0.31041666666666667</v>
      </c>
      <c r="C902" s="48"/>
      <c r="D902" s="48" t="s">
        <v>150</v>
      </c>
      <c r="E902" s="13">
        <v>2</v>
      </c>
      <c r="F902" s="38" t="str">
        <f>VLOOKUP(E902,[4]Key!$A$17:$B$21,2,FALSE)</f>
        <v>Road Vehicle</v>
      </c>
      <c r="G902" s="49">
        <v>6</v>
      </c>
      <c r="H902" s="39" t="str">
        <f>VLOOKUP(G902,[4]Key!$A$2:$B$13,2,FALSE)</f>
        <v>Large Bus</v>
      </c>
      <c r="I902" s="13" t="s">
        <v>156</v>
      </c>
      <c r="J902" s="13">
        <v>2</v>
      </c>
      <c r="K902" s="40" t="str">
        <f>VLOOKUP(J902,[4]Key!$A$24:$B$29,2,FALSE)</f>
        <v>30-39</v>
      </c>
      <c r="L902" s="13" t="s">
        <v>454</v>
      </c>
      <c r="M902" s="23" t="s">
        <v>455</v>
      </c>
      <c r="N902" s="13" t="s">
        <v>152</v>
      </c>
      <c r="O902" s="46">
        <v>1</v>
      </c>
      <c r="P902" s="30" t="str">
        <f>VLOOKUP(O902,[4]Key!$E$2:$F$9,2,FALSE)</f>
        <v>Home</v>
      </c>
      <c r="Q902" s="13" t="s">
        <v>510</v>
      </c>
      <c r="R902" s="23" t="s">
        <v>511</v>
      </c>
      <c r="S902" s="13" t="s">
        <v>152</v>
      </c>
      <c r="T902" s="23">
        <v>4</v>
      </c>
      <c r="U902" s="30" t="str">
        <f>VLOOKUP(T902,[4]Key!$E$2:$F$9,2,FALSE)</f>
        <v>Commercial</v>
      </c>
      <c r="V902" s="30" t="str">
        <f t="shared" si="56"/>
        <v>Home-Commercial</v>
      </c>
      <c r="W902" s="51">
        <v>30000</v>
      </c>
      <c r="X902" s="50">
        <v>400</v>
      </c>
      <c r="Y902" s="50" t="str">
        <f t="shared" si="57"/>
        <v>Over 200</v>
      </c>
      <c r="Z902" s="50">
        <v>8</v>
      </c>
      <c r="AA902" s="50" t="str">
        <f t="shared" si="58"/>
        <v>Over 3.5</v>
      </c>
      <c r="AB902" s="23">
        <v>6</v>
      </c>
      <c r="AC902" s="30" t="str">
        <f>VLOOKUP(AB902,[4]Key!$C$20:$D$29,2,FALSE)</f>
        <v>Businessman</v>
      </c>
      <c r="AD902" s="23">
        <v>3</v>
      </c>
      <c r="AE902" s="30" t="str">
        <f>VLOOKUP(AD902,[4]Key!$E$20:$F$24,2,FALSE)</f>
        <v>500,000-750,000</v>
      </c>
      <c r="AF902" s="23">
        <v>1</v>
      </c>
      <c r="AG902" s="50">
        <v>1</v>
      </c>
      <c r="AH902" s="50">
        <v>1</v>
      </c>
      <c r="AI902" s="50">
        <v>1</v>
      </c>
      <c r="AJ902" s="50">
        <v>1</v>
      </c>
      <c r="AK902" s="46" t="s">
        <v>94</v>
      </c>
      <c r="AL902" s="36">
        <v>2000</v>
      </c>
      <c r="AM902" t="str">
        <f t="shared" si="59"/>
        <v>2000-3000</v>
      </c>
    </row>
    <row r="903" spans="1:39" x14ac:dyDescent="0.2">
      <c r="A903" s="44" t="s">
        <v>541</v>
      </c>
      <c r="B903" s="48">
        <v>0.71944444444444444</v>
      </c>
      <c r="C903" s="48"/>
      <c r="D903" s="48" t="s">
        <v>150</v>
      </c>
      <c r="E903" s="13">
        <v>2</v>
      </c>
      <c r="F903" s="38" t="str">
        <f>VLOOKUP(E903,[4]Key!$A$17:$B$21,2,FALSE)</f>
        <v>Road Vehicle</v>
      </c>
      <c r="G903" s="49">
        <v>6</v>
      </c>
      <c r="H903" s="39" t="str">
        <f>VLOOKUP(G903,[4]Key!$A$2:$B$13,2,FALSE)</f>
        <v>Large Bus</v>
      </c>
      <c r="I903" s="13" t="s">
        <v>109</v>
      </c>
      <c r="J903" s="13">
        <v>2</v>
      </c>
      <c r="K903" s="40" t="str">
        <f>VLOOKUP(J903,[4]Key!$A$24:$B$29,2,FALSE)</f>
        <v>30-39</v>
      </c>
      <c r="L903" s="13" t="s">
        <v>570</v>
      </c>
      <c r="M903" s="23" t="s">
        <v>571</v>
      </c>
      <c r="N903" s="13" t="s">
        <v>152</v>
      </c>
      <c r="O903" s="46">
        <v>1</v>
      </c>
      <c r="P903" s="30" t="str">
        <f>VLOOKUP(O903,[4]Key!$E$2:$F$9,2,FALSE)</f>
        <v>Home</v>
      </c>
      <c r="Q903" s="13" t="s">
        <v>605</v>
      </c>
      <c r="R903" s="23" t="s">
        <v>606</v>
      </c>
      <c r="S903" s="13" t="s">
        <v>152</v>
      </c>
      <c r="T903" s="23">
        <v>6</v>
      </c>
      <c r="U903" s="30" t="str">
        <f>VLOOKUP(T903,[4]Key!$E$2:$F$9,2,FALSE)</f>
        <v>Leisure/Social</v>
      </c>
      <c r="V903" s="30" t="str">
        <f t="shared" si="56"/>
        <v>Home-Leisure/Social</v>
      </c>
      <c r="W903" s="51">
        <v>234000</v>
      </c>
      <c r="X903" s="50">
        <v>1500</v>
      </c>
      <c r="Y903" s="50" t="str">
        <f t="shared" si="57"/>
        <v>Over 200</v>
      </c>
      <c r="Z903" s="50">
        <v>30</v>
      </c>
      <c r="AA903" s="50" t="str">
        <f t="shared" si="58"/>
        <v>Over 3.5</v>
      </c>
      <c r="AB903" s="23">
        <v>5</v>
      </c>
      <c r="AC903" s="30" t="str">
        <f>VLOOKUP(AB903,[4]Key!$C$20:$D$29,2,FALSE)</f>
        <v>Professional</v>
      </c>
      <c r="AD903" s="23">
        <v>5</v>
      </c>
      <c r="AE903" s="30" t="str">
        <f>VLOOKUP(AD903,[4]Key!$E$20:$F$24,2,FALSE)</f>
        <v>&gt;1,000,000</v>
      </c>
      <c r="AF903" s="23">
        <v>2</v>
      </c>
      <c r="AG903" s="50">
        <v>2</v>
      </c>
      <c r="AH903" s="50">
        <v>1</v>
      </c>
      <c r="AI903" s="50">
        <v>1</v>
      </c>
      <c r="AJ903" s="50">
        <v>1</v>
      </c>
      <c r="AK903" s="46" t="s">
        <v>94</v>
      </c>
      <c r="AL903" s="36">
        <v>0</v>
      </c>
      <c r="AM903" t="str">
        <f t="shared" si="59"/>
        <v>0-1000</v>
      </c>
    </row>
    <row r="904" spans="1:39" x14ac:dyDescent="0.2">
      <c r="A904" s="44" t="s">
        <v>541</v>
      </c>
      <c r="B904" s="48">
        <v>0.6479166666666667</v>
      </c>
      <c r="C904" s="48"/>
      <c r="D904" s="48" t="s">
        <v>150</v>
      </c>
      <c r="E904" s="13">
        <v>2</v>
      </c>
      <c r="F904" s="38" t="str">
        <f>VLOOKUP(E904,[4]Key!$A$17:$B$21,2,FALSE)</f>
        <v>Road Vehicle</v>
      </c>
      <c r="G904" s="49">
        <v>6</v>
      </c>
      <c r="H904" s="39" t="str">
        <f>VLOOKUP(G904,[4]Key!$A$2:$B$13,2,FALSE)</f>
        <v>Large Bus</v>
      </c>
      <c r="I904" s="13" t="s">
        <v>109</v>
      </c>
      <c r="J904" s="13">
        <v>2</v>
      </c>
      <c r="K904" s="40" t="str">
        <f>VLOOKUP(J904,[4]Key!$A$24:$B$29,2,FALSE)</f>
        <v>30-39</v>
      </c>
      <c r="L904" s="13" t="s">
        <v>542</v>
      </c>
      <c r="M904" s="23" t="s">
        <v>543</v>
      </c>
      <c r="N904" s="13" t="s">
        <v>152</v>
      </c>
      <c r="O904" s="46">
        <v>1</v>
      </c>
      <c r="P904" s="30" t="str">
        <f>VLOOKUP(O904,[4]Key!$E$2:$F$9,2,FALSE)</f>
        <v>Home</v>
      </c>
      <c r="Q904" s="13" t="s">
        <v>434</v>
      </c>
      <c r="R904" s="23" t="s">
        <v>153</v>
      </c>
      <c r="S904" s="13" t="s">
        <v>152</v>
      </c>
      <c r="T904" s="23">
        <v>2</v>
      </c>
      <c r="U904" s="30" t="str">
        <f>VLOOKUP(T904,[4]Key!$E$2:$F$9,2,FALSE)</f>
        <v>Work</v>
      </c>
      <c r="V904" s="30" t="str">
        <f t="shared" si="56"/>
        <v>Home-Work</v>
      </c>
      <c r="W904" s="51">
        <v>60000</v>
      </c>
      <c r="X904" s="50">
        <v>420</v>
      </c>
      <c r="Y904" s="50" t="str">
        <f t="shared" si="57"/>
        <v>Over 200</v>
      </c>
      <c r="Z904" s="50">
        <v>13</v>
      </c>
      <c r="AA904" s="50" t="str">
        <f t="shared" si="58"/>
        <v>Over 3.5</v>
      </c>
      <c r="AB904" s="23">
        <v>5</v>
      </c>
      <c r="AC904" s="30" t="str">
        <f>VLOOKUP(AB904,[4]Key!$C$20:$D$29,2,FALSE)</f>
        <v>Professional</v>
      </c>
      <c r="AD904" s="23">
        <v>4</v>
      </c>
      <c r="AE904" s="30" t="str">
        <f>VLOOKUP(AD904,[4]Key!$E$20:$F$24,2,FALSE)</f>
        <v>750,000-1,000,000</v>
      </c>
      <c r="AF904" s="23">
        <v>2</v>
      </c>
      <c r="AG904" s="50">
        <v>3</v>
      </c>
      <c r="AH904" s="50">
        <v>3</v>
      </c>
      <c r="AI904" s="50">
        <v>4</v>
      </c>
      <c r="AJ904" s="50">
        <v>3</v>
      </c>
      <c r="AK904" s="46" t="s">
        <v>94</v>
      </c>
      <c r="AL904" s="36">
        <v>2000</v>
      </c>
      <c r="AM904" t="str">
        <f t="shared" si="59"/>
        <v>2000-3000</v>
      </c>
    </row>
    <row r="905" spans="1:39" x14ac:dyDescent="0.2">
      <c r="A905" s="44" t="s">
        <v>541</v>
      </c>
      <c r="B905" s="48">
        <v>0.64652777777777781</v>
      </c>
      <c r="C905" s="48"/>
      <c r="D905" s="48" t="s">
        <v>150</v>
      </c>
      <c r="E905" s="13">
        <v>2</v>
      </c>
      <c r="F905" s="38" t="str">
        <f>VLOOKUP(E905,[4]Key!$A$17:$B$21,2,FALSE)</f>
        <v>Road Vehicle</v>
      </c>
      <c r="G905" s="49">
        <v>6</v>
      </c>
      <c r="H905" s="39" t="str">
        <f>VLOOKUP(G905,[4]Key!$A$2:$B$13,2,FALSE)</f>
        <v>Large Bus</v>
      </c>
      <c r="I905" s="13" t="s">
        <v>109</v>
      </c>
      <c r="J905" s="13">
        <v>2</v>
      </c>
      <c r="K905" s="40" t="str">
        <f>VLOOKUP(J905,[4]Key!$A$24:$B$29,2,FALSE)</f>
        <v>30-39</v>
      </c>
      <c r="L905" s="13" t="s">
        <v>484</v>
      </c>
      <c r="M905" s="23" t="s">
        <v>485</v>
      </c>
      <c r="N905" s="13" t="s">
        <v>152</v>
      </c>
      <c r="O905" s="46">
        <v>1</v>
      </c>
      <c r="P905" s="30" t="str">
        <f>VLOOKUP(O905,[4]Key!$E$2:$F$9,2,FALSE)</f>
        <v>Home</v>
      </c>
      <c r="Q905" s="13" t="s">
        <v>434</v>
      </c>
      <c r="R905" s="23" t="s">
        <v>153</v>
      </c>
      <c r="S905" s="13" t="s">
        <v>152</v>
      </c>
      <c r="T905" s="23">
        <v>4</v>
      </c>
      <c r="U905" s="30" t="str">
        <f>VLOOKUP(T905,[4]Key!$E$2:$F$9,2,FALSE)</f>
        <v>Commercial</v>
      </c>
      <c r="V905" s="30" t="str">
        <f t="shared" si="56"/>
        <v>Home-Commercial</v>
      </c>
      <c r="W905" s="51">
        <v>60000</v>
      </c>
      <c r="X905" s="50">
        <v>430</v>
      </c>
      <c r="Y905" s="50" t="str">
        <f t="shared" si="57"/>
        <v>Over 200</v>
      </c>
      <c r="Z905" s="50">
        <v>13</v>
      </c>
      <c r="AA905" s="50" t="str">
        <f t="shared" si="58"/>
        <v>Over 3.5</v>
      </c>
      <c r="AB905" s="23">
        <v>6</v>
      </c>
      <c r="AC905" s="30" t="str">
        <f>VLOOKUP(AB905,[4]Key!$C$20:$D$29,2,FALSE)</f>
        <v>Businessman</v>
      </c>
      <c r="AD905" s="23">
        <v>3</v>
      </c>
      <c r="AE905" s="30" t="str">
        <f>VLOOKUP(AD905,[4]Key!$E$20:$F$24,2,FALSE)</f>
        <v>500,000-750,000</v>
      </c>
      <c r="AF905" s="23">
        <v>3</v>
      </c>
      <c r="AG905" s="50">
        <v>3</v>
      </c>
      <c r="AH905" s="50">
        <v>2</v>
      </c>
      <c r="AI905" s="50">
        <v>4</v>
      </c>
      <c r="AJ905" s="50">
        <v>3</v>
      </c>
      <c r="AK905" s="46" t="s">
        <v>94</v>
      </c>
      <c r="AL905" s="36">
        <v>3000</v>
      </c>
      <c r="AM905" t="str">
        <f t="shared" si="59"/>
        <v>3000-5000</v>
      </c>
    </row>
    <row r="906" spans="1:39" x14ac:dyDescent="0.2">
      <c r="A906" s="44" t="s">
        <v>541</v>
      </c>
      <c r="B906" s="48">
        <v>0.64444444444444449</v>
      </c>
      <c r="C906" s="48"/>
      <c r="D906" s="48" t="s">
        <v>150</v>
      </c>
      <c r="E906" s="13">
        <v>2</v>
      </c>
      <c r="F906" s="38" t="str">
        <f>VLOOKUP(E906,[4]Key!$A$17:$B$21,2,FALSE)</f>
        <v>Road Vehicle</v>
      </c>
      <c r="G906" s="49">
        <v>6</v>
      </c>
      <c r="H906" s="39" t="str">
        <f>VLOOKUP(G906,[4]Key!$A$2:$B$13,2,FALSE)</f>
        <v>Large Bus</v>
      </c>
      <c r="I906" s="13" t="s">
        <v>109</v>
      </c>
      <c r="J906" s="13">
        <v>2</v>
      </c>
      <c r="K906" s="40" t="str">
        <f>VLOOKUP(J906,[4]Key!$A$24:$B$29,2,FALSE)</f>
        <v>30-39</v>
      </c>
      <c r="L906" s="13" t="s">
        <v>568</v>
      </c>
      <c r="M906" s="23" t="s">
        <v>455</v>
      </c>
      <c r="N906" s="13" t="s">
        <v>152</v>
      </c>
      <c r="O906" s="46">
        <v>2</v>
      </c>
      <c r="P906" s="30" t="str">
        <f>VLOOKUP(O906,[4]Key!$E$2:$F$9,2,FALSE)</f>
        <v>Work</v>
      </c>
      <c r="Q906" s="13" t="s">
        <v>607</v>
      </c>
      <c r="R906" s="23" t="s">
        <v>153</v>
      </c>
      <c r="S906" s="13" t="s">
        <v>152</v>
      </c>
      <c r="T906" s="23">
        <v>8</v>
      </c>
      <c r="U906" s="30" t="str">
        <f>VLOOKUP(T906,[4]Key!$E$2:$F$9,2,FALSE)</f>
        <v>Others</v>
      </c>
      <c r="V906" s="30" t="str">
        <f t="shared" si="56"/>
        <v>Work-Others</v>
      </c>
      <c r="W906" s="51">
        <v>40000</v>
      </c>
      <c r="X906" s="50">
        <v>250</v>
      </c>
      <c r="Y906" s="50" t="str">
        <f t="shared" si="57"/>
        <v>Over 200</v>
      </c>
      <c r="Z906" s="50">
        <v>6</v>
      </c>
      <c r="AA906" s="50" t="str">
        <f t="shared" si="58"/>
        <v>Over 3.5</v>
      </c>
      <c r="AB906" s="23">
        <v>7</v>
      </c>
      <c r="AC906" s="30" t="str">
        <f>VLOOKUP(AB906,[4]Key!$C$20:$D$29,2,FALSE)</f>
        <v>Farmer</v>
      </c>
      <c r="AD906" s="23">
        <v>1</v>
      </c>
      <c r="AE906" s="30" t="str">
        <f>VLOOKUP(AD906,[4]Key!$E$20:$F$24,2,FALSE)</f>
        <v>&lt;300,000</v>
      </c>
      <c r="AF906" s="23">
        <v>5</v>
      </c>
      <c r="AG906" s="50">
        <v>4</v>
      </c>
      <c r="AH906" s="50">
        <v>2</v>
      </c>
      <c r="AI906" s="50">
        <v>2</v>
      </c>
      <c r="AJ906" s="50">
        <v>2</v>
      </c>
      <c r="AK906" s="46" t="s">
        <v>94</v>
      </c>
      <c r="AL906" s="36">
        <v>0</v>
      </c>
      <c r="AM906" t="str">
        <f t="shared" si="59"/>
        <v>0-1000</v>
      </c>
    </row>
    <row r="907" spans="1:39" ht="12" customHeight="1" x14ac:dyDescent="0.2">
      <c r="A907" s="44" t="s">
        <v>541</v>
      </c>
      <c r="B907" s="48">
        <v>0.78472222222222221</v>
      </c>
      <c r="C907" s="48"/>
      <c r="D907" s="48" t="s">
        <v>150</v>
      </c>
      <c r="E907" s="13">
        <v>2</v>
      </c>
      <c r="F907" s="38" t="str">
        <f>VLOOKUP(E907,[4]Key!$A$17:$B$21,2,FALSE)</f>
        <v>Road Vehicle</v>
      </c>
      <c r="G907" s="49">
        <v>6</v>
      </c>
      <c r="H907" s="39" t="str">
        <f>VLOOKUP(G907,[4]Key!$A$2:$B$13,2,FALSE)</f>
        <v>Large Bus</v>
      </c>
      <c r="I907" s="13" t="s">
        <v>109</v>
      </c>
      <c r="J907" s="13">
        <v>2</v>
      </c>
      <c r="K907" s="40" t="str">
        <f>VLOOKUP(J907,[4]Key!$A$24:$B$29,2,FALSE)</f>
        <v>30-39</v>
      </c>
      <c r="L907" s="13" t="s">
        <v>570</v>
      </c>
      <c r="M907" s="23" t="s">
        <v>571</v>
      </c>
      <c r="N907" s="13" t="s">
        <v>572</v>
      </c>
      <c r="O907" s="46">
        <v>2</v>
      </c>
      <c r="P907" s="30" t="str">
        <f>VLOOKUP(O907,[4]Key!$E$2:$F$9,2,FALSE)</f>
        <v>Work</v>
      </c>
      <c r="Q907" s="13" t="s">
        <v>434</v>
      </c>
      <c r="R907" s="23" t="s">
        <v>153</v>
      </c>
      <c r="S907" s="13" t="s">
        <v>152</v>
      </c>
      <c r="T907" s="23">
        <v>3</v>
      </c>
      <c r="U907" s="30" t="str">
        <f>VLOOKUP(T907,[4]Key!$E$2:$F$9,2,FALSE)</f>
        <v>Study</v>
      </c>
      <c r="V907" s="30" t="str">
        <f t="shared" si="56"/>
        <v>Work-Study</v>
      </c>
      <c r="W907" s="51">
        <v>40000</v>
      </c>
      <c r="X907" s="50">
        <v>250</v>
      </c>
      <c r="Y907" s="50" t="str">
        <f t="shared" si="57"/>
        <v>Over 200</v>
      </c>
      <c r="Z907" s="50">
        <v>6</v>
      </c>
      <c r="AA907" s="50" t="str">
        <f t="shared" si="58"/>
        <v>Over 3.5</v>
      </c>
      <c r="AB907" s="23">
        <v>8</v>
      </c>
      <c r="AC907" s="30" t="str">
        <f>VLOOKUP(AB907,[4]Key!$C$20:$D$29,2,FALSE)</f>
        <v>Student</v>
      </c>
      <c r="AD907" s="23">
        <v>1</v>
      </c>
      <c r="AE907" s="30" t="str">
        <f>VLOOKUP(AD907,[4]Key!$E$20:$F$24,2,FALSE)</f>
        <v>&lt;300,000</v>
      </c>
      <c r="AF907" s="23">
        <v>5</v>
      </c>
      <c r="AG907" s="50">
        <v>4</v>
      </c>
      <c r="AH907" s="50">
        <v>2</v>
      </c>
      <c r="AI907" s="50">
        <v>5</v>
      </c>
      <c r="AJ907" s="50">
        <v>2</v>
      </c>
      <c r="AK907" s="46" t="s">
        <v>94</v>
      </c>
      <c r="AL907" s="36">
        <v>0</v>
      </c>
      <c r="AM907" t="str">
        <f t="shared" si="59"/>
        <v>0-1000</v>
      </c>
    </row>
    <row r="908" spans="1:39" x14ac:dyDescent="0.2">
      <c r="A908" s="44" t="s">
        <v>541</v>
      </c>
      <c r="B908" s="48">
        <v>0.76597222222222217</v>
      </c>
      <c r="C908" s="48" t="s">
        <v>608</v>
      </c>
      <c r="D908" s="48" t="s">
        <v>97</v>
      </c>
      <c r="E908" s="13">
        <v>2</v>
      </c>
      <c r="F908" s="38" t="str">
        <f>VLOOKUP(E908,[4]Key!$A$17:$B$21,2,FALSE)</f>
        <v>Road Vehicle</v>
      </c>
      <c r="G908" s="49">
        <v>6</v>
      </c>
      <c r="H908" s="39" t="str">
        <f>VLOOKUP(G908,[4]Key!$A$2:$B$13,2,FALSE)</f>
        <v>Large Bus</v>
      </c>
      <c r="I908" s="13" t="s">
        <v>109</v>
      </c>
      <c r="J908" s="13">
        <v>2</v>
      </c>
      <c r="K908" s="40" t="str">
        <f>VLOOKUP(J908,[4]Key!$A$24:$B$29,2,FALSE)</f>
        <v>30-39</v>
      </c>
      <c r="L908" s="13" t="s">
        <v>570</v>
      </c>
      <c r="M908" s="23" t="s">
        <v>571</v>
      </c>
      <c r="N908" s="13" t="s">
        <v>152</v>
      </c>
      <c r="O908" s="46">
        <v>2</v>
      </c>
      <c r="P908" s="30" t="str">
        <f>VLOOKUP(O908,[4]Key!$E$2:$F$9,2,FALSE)</f>
        <v>Work</v>
      </c>
      <c r="Q908" s="13" t="s">
        <v>434</v>
      </c>
      <c r="R908" s="23" t="s">
        <v>153</v>
      </c>
      <c r="S908" s="13" t="s">
        <v>152</v>
      </c>
      <c r="T908" s="23">
        <v>8</v>
      </c>
      <c r="U908" s="30" t="str">
        <f>VLOOKUP(T908,[4]Key!$E$2:$F$9,2,FALSE)</f>
        <v>Others</v>
      </c>
      <c r="V908" s="30" t="str">
        <f t="shared" si="56"/>
        <v>Work-Others</v>
      </c>
      <c r="W908" s="51">
        <v>200000</v>
      </c>
      <c r="X908" s="50">
        <v>250</v>
      </c>
      <c r="Y908" s="50" t="str">
        <f t="shared" si="57"/>
        <v>Over 200</v>
      </c>
      <c r="Z908" s="50">
        <v>6</v>
      </c>
      <c r="AA908" s="50" t="str">
        <f t="shared" si="58"/>
        <v>Over 3.5</v>
      </c>
      <c r="AB908" s="23">
        <v>5</v>
      </c>
      <c r="AC908" s="30" t="str">
        <f>VLOOKUP(AB908,[4]Key!$C$20:$D$29,2,FALSE)</f>
        <v>Professional</v>
      </c>
      <c r="AD908" s="23">
        <v>2</v>
      </c>
      <c r="AE908" s="30" t="str">
        <f>VLOOKUP(AD908,[4]Key!$E$20:$F$24,2,FALSE)</f>
        <v>300,000-500,000</v>
      </c>
      <c r="AF908" s="23">
        <v>5</v>
      </c>
      <c r="AG908" s="50">
        <v>4</v>
      </c>
      <c r="AH908" s="50">
        <v>5</v>
      </c>
      <c r="AI908" s="50">
        <v>5</v>
      </c>
      <c r="AJ908" s="50">
        <v>5</v>
      </c>
      <c r="AK908" s="46" t="s">
        <v>94</v>
      </c>
      <c r="AL908" s="36">
        <v>3000</v>
      </c>
      <c r="AM908" t="str">
        <f t="shared" si="59"/>
        <v>3000-5000</v>
      </c>
    </row>
    <row r="909" spans="1:39" x14ac:dyDescent="0.2">
      <c r="A909" s="44" t="s">
        <v>541</v>
      </c>
      <c r="B909" s="48">
        <v>0.74305555555555547</v>
      </c>
      <c r="C909" s="48"/>
      <c r="D909" s="48" t="s">
        <v>97</v>
      </c>
      <c r="E909" s="13">
        <v>2</v>
      </c>
      <c r="F909" s="38" t="str">
        <f>VLOOKUP(E909,[4]Key!$A$17:$B$21,2,FALSE)</f>
        <v>Road Vehicle</v>
      </c>
      <c r="G909" s="49">
        <v>6</v>
      </c>
      <c r="H909" s="39" t="str">
        <f>VLOOKUP(G909,[4]Key!$A$2:$B$13,2,FALSE)</f>
        <v>Large Bus</v>
      </c>
      <c r="I909" s="13" t="s">
        <v>109</v>
      </c>
      <c r="J909" s="13">
        <v>2</v>
      </c>
      <c r="K909" s="40" t="str">
        <f>VLOOKUP(J909,[4]Key!$A$24:$B$29,2,FALSE)</f>
        <v>30-39</v>
      </c>
      <c r="L909" s="13" t="s">
        <v>581</v>
      </c>
      <c r="M909" s="23" t="s">
        <v>581</v>
      </c>
      <c r="N909" s="13" t="s">
        <v>152</v>
      </c>
      <c r="O909" s="46">
        <v>2</v>
      </c>
      <c r="P909" s="30" t="str">
        <f>VLOOKUP(O909,[4]Key!$E$2:$F$9,2,FALSE)</f>
        <v>Work</v>
      </c>
      <c r="Q909" s="13" t="s">
        <v>434</v>
      </c>
      <c r="R909" s="23" t="s">
        <v>153</v>
      </c>
      <c r="S909" s="13" t="s">
        <v>152</v>
      </c>
      <c r="T909" s="23">
        <v>8</v>
      </c>
      <c r="U909" s="30" t="str">
        <f>VLOOKUP(T909,[4]Key!$E$2:$F$9,2,FALSE)</f>
        <v>Others</v>
      </c>
      <c r="V909" s="30" t="str">
        <f t="shared" si="56"/>
        <v>Work-Others</v>
      </c>
      <c r="W909" s="51">
        <v>200000</v>
      </c>
      <c r="X909" s="50">
        <v>3000</v>
      </c>
      <c r="Y909" s="50" t="str">
        <f t="shared" si="57"/>
        <v>Over 200</v>
      </c>
      <c r="Z909" s="50">
        <v>6</v>
      </c>
      <c r="AA909" s="50" t="str">
        <f t="shared" si="58"/>
        <v>Over 3.5</v>
      </c>
      <c r="AB909" s="23">
        <v>5</v>
      </c>
      <c r="AC909" s="30" t="str">
        <f>VLOOKUP(AB909,[4]Key!$C$20:$D$29,2,FALSE)</f>
        <v>Professional</v>
      </c>
      <c r="AD909" s="23">
        <v>2</v>
      </c>
      <c r="AE909" s="30" t="str">
        <f>VLOOKUP(AD909,[4]Key!$E$20:$F$24,2,FALSE)</f>
        <v>300,000-500,000</v>
      </c>
      <c r="AF909" s="23">
        <v>5</v>
      </c>
      <c r="AG909" s="50">
        <v>1</v>
      </c>
      <c r="AH909" s="50">
        <v>4</v>
      </c>
      <c r="AI909" s="50">
        <v>2</v>
      </c>
      <c r="AJ909" s="50">
        <v>1</v>
      </c>
      <c r="AK909" s="46" t="s">
        <v>94</v>
      </c>
      <c r="AL909" s="36">
        <v>2000</v>
      </c>
      <c r="AM909" t="str">
        <f t="shared" si="59"/>
        <v>2000-3000</v>
      </c>
    </row>
    <row r="910" spans="1:39" x14ac:dyDescent="0.2">
      <c r="A910" s="44" t="s">
        <v>541</v>
      </c>
      <c r="B910" s="48">
        <v>0.75</v>
      </c>
      <c r="C910" s="48" t="s">
        <v>609</v>
      </c>
      <c r="D910" s="48" t="s">
        <v>97</v>
      </c>
      <c r="E910" s="13">
        <v>2</v>
      </c>
      <c r="F910" s="38" t="str">
        <f>VLOOKUP(E910,[4]Key!$A$17:$B$21,2,FALSE)</f>
        <v>Road Vehicle</v>
      </c>
      <c r="G910" s="49">
        <v>6</v>
      </c>
      <c r="H910" s="39" t="str">
        <f>VLOOKUP(G910,[4]Key!$A$2:$B$13,2,FALSE)</f>
        <v>Large Bus</v>
      </c>
      <c r="I910" s="13" t="s">
        <v>109</v>
      </c>
      <c r="J910" s="13">
        <v>2</v>
      </c>
      <c r="K910" s="40" t="str">
        <f>VLOOKUP(J910,[4]Key!$A$24:$B$29,2,FALSE)</f>
        <v>30-39</v>
      </c>
      <c r="L910" s="13" t="s">
        <v>484</v>
      </c>
      <c r="M910" s="23" t="s">
        <v>485</v>
      </c>
      <c r="N910" s="13" t="s">
        <v>152</v>
      </c>
      <c r="O910" s="46">
        <v>2</v>
      </c>
      <c r="P910" s="30" t="str">
        <f>VLOOKUP(O910,[4]Key!$E$2:$F$9,2,FALSE)</f>
        <v>Work</v>
      </c>
      <c r="Q910" s="13" t="s">
        <v>434</v>
      </c>
      <c r="R910" s="23" t="s">
        <v>153</v>
      </c>
      <c r="S910" s="13" t="s">
        <v>152</v>
      </c>
      <c r="T910" s="23">
        <v>2</v>
      </c>
      <c r="U910" s="30" t="str">
        <f>VLOOKUP(T910,[4]Key!$E$2:$F$9,2,FALSE)</f>
        <v>Work</v>
      </c>
      <c r="V910" s="30" t="str">
        <f t="shared" si="56"/>
        <v>Work-Work</v>
      </c>
      <c r="W910" s="51">
        <v>200000</v>
      </c>
      <c r="X910" s="50">
        <v>200</v>
      </c>
      <c r="Y910" s="50" t="str">
        <f t="shared" si="57"/>
        <v>Over 200</v>
      </c>
      <c r="Z910" s="50">
        <v>4.5</v>
      </c>
      <c r="AA910" s="50" t="str">
        <f t="shared" si="58"/>
        <v>Over 3.5</v>
      </c>
      <c r="AB910" s="23">
        <v>10</v>
      </c>
      <c r="AC910" s="30" t="str">
        <f>VLOOKUP(AB910,[4]Key!$C$20:$D$29,2,FALSE)</f>
        <v>Other</v>
      </c>
      <c r="AD910" s="23">
        <v>2</v>
      </c>
      <c r="AE910" s="30" t="str">
        <f>VLOOKUP(AD910,[4]Key!$E$20:$F$24,2,FALSE)</f>
        <v>300,000-500,000</v>
      </c>
      <c r="AF910" s="23">
        <v>5</v>
      </c>
      <c r="AG910" s="50">
        <v>2</v>
      </c>
      <c r="AH910" s="50">
        <v>1</v>
      </c>
      <c r="AI910" s="50">
        <v>1</v>
      </c>
      <c r="AJ910" s="50">
        <v>2</v>
      </c>
      <c r="AK910" s="46" t="s">
        <v>94</v>
      </c>
      <c r="AL910" s="36">
        <v>2000</v>
      </c>
      <c r="AM910" t="str">
        <f t="shared" si="59"/>
        <v>2000-3000</v>
      </c>
    </row>
    <row r="911" spans="1:39" x14ac:dyDescent="0.2">
      <c r="A911" s="44" t="s">
        <v>541</v>
      </c>
      <c r="B911" s="48">
        <v>0.73125000000000007</v>
      </c>
      <c r="C911" s="48" t="s">
        <v>610</v>
      </c>
      <c r="D911" s="48" t="s">
        <v>97</v>
      </c>
      <c r="E911" s="13">
        <v>2</v>
      </c>
      <c r="F911" s="38" t="str">
        <f>VLOOKUP(E911,[4]Key!$A$17:$B$21,2,FALSE)</f>
        <v>Road Vehicle</v>
      </c>
      <c r="G911" s="49">
        <v>6</v>
      </c>
      <c r="H911" s="39" t="str">
        <f>VLOOKUP(G911,[4]Key!$A$2:$B$13,2,FALSE)</f>
        <v>Large Bus</v>
      </c>
      <c r="I911" s="13" t="s">
        <v>109</v>
      </c>
      <c r="J911" s="13">
        <v>2</v>
      </c>
      <c r="K911" s="40" t="str">
        <f>VLOOKUP(J911,[4]Key!$A$24:$B$29,2,FALSE)</f>
        <v>30-39</v>
      </c>
      <c r="L911" s="13" t="s">
        <v>575</v>
      </c>
      <c r="M911" s="23" t="s">
        <v>485</v>
      </c>
      <c r="N911" s="13" t="s">
        <v>152</v>
      </c>
      <c r="O911" s="46">
        <v>2</v>
      </c>
      <c r="P911" s="30" t="str">
        <f>VLOOKUP(O911,[4]Key!$E$2:$F$9,2,FALSE)</f>
        <v>Work</v>
      </c>
      <c r="Q911" s="13" t="s">
        <v>434</v>
      </c>
      <c r="R911" s="23" t="s">
        <v>153</v>
      </c>
      <c r="S911" s="13" t="s">
        <v>152</v>
      </c>
      <c r="T911" s="23">
        <v>8</v>
      </c>
      <c r="U911" s="30" t="str">
        <f>VLOOKUP(T911,[4]Key!$E$2:$F$9,2,FALSE)</f>
        <v>Others</v>
      </c>
      <c r="V911" s="30" t="str">
        <f t="shared" si="56"/>
        <v>Work-Others</v>
      </c>
      <c r="W911" s="51">
        <v>200000</v>
      </c>
      <c r="X911" s="50">
        <v>250</v>
      </c>
      <c r="Y911" s="50" t="str">
        <f t="shared" si="57"/>
        <v>Over 200</v>
      </c>
      <c r="Z911" s="50">
        <v>6</v>
      </c>
      <c r="AA911" s="50" t="str">
        <f t="shared" si="58"/>
        <v>Over 3.5</v>
      </c>
      <c r="AB911" s="23">
        <v>5</v>
      </c>
      <c r="AC911" s="30" t="str">
        <f>VLOOKUP(AB911,[4]Key!$C$20:$D$29,2,FALSE)</f>
        <v>Professional</v>
      </c>
      <c r="AD911" s="23">
        <v>2</v>
      </c>
      <c r="AE911" s="30" t="str">
        <f>VLOOKUP(AD911,[4]Key!$E$20:$F$24,2,FALSE)</f>
        <v>300,000-500,000</v>
      </c>
      <c r="AF911" s="23">
        <v>5</v>
      </c>
      <c r="AG911" s="50">
        <v>4</v>
      </c>
      <c r="AH911" s="50">
        <v>1</v>
      </c>
      <c r="AI911" s="50">
        <v>2</v>
      </c>
      <c r="AJ911" s="50">
        <v>2</v>
      </c>
      <c r="AK911" s="46" t="s">
        <v>94</v>
      </c>
      <c r="AL911" s="36">
        <v>3000</v>
      </c>
      <c r="AM911" t="str">
        <f t="shared" si="59"/>
        <v>3000-5000</v>
      </c>
    </row>
    <row r="912" spans="1:39" x14ac:dyDescent="0.2">
      <c r="A912" s="44" t="s">
        <v>541</v>
      </c>
      <c r="B912" s="48">
        <v>0.70972222222222225</v>
      </c>
      <c r="C912" s="48"/>
      <c r="D912" s="48" t="s">
        <v>150</v>
      </c>
      <c r="E912" s="13">
        <v>2</v>
      </c>
      <c r="F912" s="38" t="str">
        <f>VLOOKUP(E912,[4]Key!$A$17:$B$21,2,FALSE)</f>
        <v>Road Vehicle</v>
      </c>
      <c r="G912" s="49">
        <v>6</v>
      </c>
      <c r="H912" s="39" t="str">
        <f>VLOOKUP(G912,[4]Key!$A$2:$B$13,2,FALSE)</f>
        <v>Large Bus</v>
      </c>
      <c r="I912" s="13" t="s">
        <v>109</v>
      </c>
      <c r="J912" s="13">
        <v>2</v>
      </c>
      <c r="K912" s="40" t="str">
        <f>VLOOKUP(J912,[4]Key!$A$24:$B$29,2,FALSE)</f>
        <v>30-39</v>
      </c>
      <c r="L912" s="13" t="s">
        <v>581</v>
      </c>
      <c r="M912" s="23" t="s">
        <v>581</v>
      </c>
      <c r="N912" s="13" t="s">
        <v>582</v>
      </c>
      <c r="O912" s="46">
        <v>1</v>
      </c>
      <c r="P912" s="30" t="str">
        <f>VLOOKUP(O912,[4]Key!$E$2:$F$9,2,FALSE)</f>
        <v>Home</v>
      </c>
      <c r="Q912" s="13" t="s">
        <v>611</v>
      </c>
      <c r="R912" s="23" t="s">
        <v>168</v>
      </c>
      <c r="S912" s="13" t="s">
        <v>152</v>
      </c>
      <c r="T912" s="23">
        <v>8</v>
      </c>
      <c r="U912" s="30" t="str">
        <f>VLOOKUP(T912,[4]Key!$E$2:$F$9,2,FALSE)</f>
        <v>Others</v>
      </c>
      <c r="V912" s="30" t="str">
        <f t="shared" si="56"/>
        <v>Home-Others</v>
      </c>
      <c r="W912" s="51">
        <v>50000</v>
      </c>
      <c r="X912" s="50">
        <v>300</v>
      </c>
      <c r="Y912" s="50" t="str">
        <f t="shared" si="57"/>
        <v>Over 200</v>
      </c>
      <c r="Z912" s="50">
        <v>7</v>
      </c>
      <c r="AA912" s="50" t="str">
        <f t="shared" si="58"/>
        <v>Over 3.5</v>
      </c>
      <c r="AB912" s="23">
        <v>6</v>
      </c>
      <c r="AC912" s="30" t="str">
        <f>VLOOKUP(AB912,[4]Key!$C$20:$D$29,2,FALSE)</f>
        <v>Businessman</v>
      </c>
      <c r="AD912" s="23">
        <v>1</v>
      </c>
      <c r="AE912" s="30" t="str">
        <f>VLOOKUP(AD912,[4]Key!$E$20:$F$24,2,FALSE)</f>
        <v>&lt;300,000</v>
      </c>
      <c r="AF912" s="23">
        <v>5</v>
      </c>
      <c r="AG912" s="50">
        <v>5</v>
      </c>
      <c r="AH912" s="50">
        <v>5</v>
      </c>
      <c r="AI912" s="50">
        <v>5</v>
      </c>
      <c r="AJ912" s="50">
        <v>5</v>
      </c>
      <c r="AK912" s="46" t="s">
        <v>94</v>
      </c>
      <c r="AL912" s="36">
        <v>0</v>
      </c>
      <c r="AM912" t="str">
        <f t="shared" si="59"/>
        <v>0-1000</v>
      </c>
    </row>
    <row r="913" spans="1:39" x14ac:dyDescent="0.2">
      <c r="A913" s="44" t="s">
        <v>541</v>
      </c>
      <c r="B913" s="48">
        <v>0.66180555555555554</v>
      </c>
      <c r="C913" s="48"/>
      <c r="D913" s="48" t="s">
        <v>150</v>
      </c>
      <c r="E913" s="13">
        <v>2</v>
      </c>
      <c r="F913" s="38" t="str">
        <f>VLOOKUP(E913,[4]Key!$A$17:$B$21,2,FALSE)</f>
        <v>Road Vehicle</v>
      </c>
      <c r="G913" s="49">
        <v>6</v>
      </c>
      <c r="H913" s="39" t="str">
        <f>VLOOKUP(G913,[4]Key!$A$2:$B$13,2,FALSE)</f>
        <v>Large Bus</v>
      </c>
      <c r="I913" s="13" t="s">
        <v>109</v>
      </c>
      <c r="J913" s="13">
        <v>2</v>
      </c>
      <c r="K913" s="40" t="str">
        <f>VLOOKUP(J913,[4]Key!$A$24:$B$29,2,FALSE)</f>
        <v>30-39</v>
      </c>
      <c r="L913" s="13" t="s">
        <v>575</v>
      </c>
      <c r="M913" s="23" t="s">
        <v>485</v>
      </c>
      <c r="N913" s="13" t="s">
        <v>152</v>
      </c>
      <c r="O913" s="46">
        <v>1</v>
      </c>
      <c r="P913" s="30" t="str">
        <f>VLOOKUP(O913,[4]Key!$E$2:$F$9,2,FALSE)</f>
        <v>Home</v>
      </c>
      <c r="Q913" s="13" t="s">
        <v>434</v>
      </c>
      <c r="R913" s="23" t="s">
        <v>153</v>
      </c>
      <c r="S913" s="13" t="s">
        <v>152</v>
      </c>
      <c r="T913" s="23">
        <v>2</v>
      </c>
      <c r="U913" s="30" t="str">
        <f>VLOOKUP(T913,[4]Key!$E$2:$F$9,2,FALSE)</f>
        <v>Work</v>
      </c>
      <c r="V913" s="30" t="str">
        <f t="shared" si="56"/>
        <v>Home-Work</v>
      </c>
      <c r="W913" s="51">
        <v>40000</v>
      </c>
      <c r="X913" s="50">
        <v>250</v>
      </c>
      <c r="Y913" s="50" t="str">
        <f t="shared" si="57"/>
        <v>Over 200</v>
      </c>
      <c r="Z913" s="50">
        <v>6</v>
      </c>
      <c r="AA913" s="50" t="str">
        <f t="shared" si="58"/>
        <v>Over 3.5</v>
      </c>
      <c r="AB913" s="23">
        <v>6</v>
      </c>
      <c r="AC913" s="30" t="str">
        <f>VLOOKUP(AB913,[4]Key!$C$20:$D$29,2,FALSE)</f>
        <v>Businessman</v>
      </c>
      <c r="AD913" s="23">
        <v>1</v>
      </c>
      <c r="AE913" s="30" t="str">
        <f>VLOOKUP(AD913,[4]Key!$E$20:$F$24,2,FALSE)</f>
        <v>&lt;300,000</v>
      </c>
      <c r="AF913" s="23">
        <v>2</v>
      </c>
      <c r="AG913" s="50">
        <v>2</v>
      </c>
      <c r="AH913" s="50">
        <v>2</v>
      </c>
      <c r="AI913" s="50">
        <v>2</v>
      </c>
      <c r="AJ913" s="50">
        <v>2</v>
      </c>
      <c r="AK913" s="46" t="s">
        <v>94</v>
      </c>
      <c r="AL913" s="36">
        <v>0</v>
      </c>
      <c r="AM913" t="str">
        <f t="shared" si="59"/>
        <v>0-1000</v>
      </c>
    </row>
    <row r="914" spans="1:39" x14ac:dyDescent="0.2">
      <c r="A914" s="44" t="s">
        <v>541</v>
      </c>
      <c r="B914" s="48">
        <v>0.66597222222222219</v>
      </c>
      <c r="C914" s="48" t="s">
        <v>612</v>
      </c>
      <c r="D914" s="48" t="s">
        <v>97</v>
      </c>
      <c r="E914" s="13">
        <v>2</v>
      </c>
      <c r="F914" s="38" t="str">
        <f>VLOOKUP(E914,[4]Key!$A$17:$B$21,2,FALSE)</f>
        <v>Road Vehicle</v>
      </c>
      <c r="G914" s="49">
        <v>6</v>
      </c>
      <c r="H914" s="39" t="str">
        <f>VLOOKUP(G914,[4]Key!$A$2:$B$13,2,FALSE)</f>
        <v>Large Bus</v>
      </c>
      <c r="I914" s="13" t="s">
        <v>109</v>
      </c>
      <c r="J914" s="13">
        <v>2</v>
      </c>
      <c r="K914" s="40" t="str">
        <f>VLOOKUP(J914,[4]Key!$A$24:$B$29,2,FALSE)</f>
        <v>30-39</v>
      </c>
      <c r="L914" s="13" t="s">
        <v>454</v>
      </c>
      <c r="M914" s="23" t="s">
        <v>455</v>
      </c>
      <c r="N914" s="13" t="s">
        <v>152</v>
      </c>
      <c r="O914" s="46">
        <v>4</v>
      </c>
      <c r="P914" s="30" t="str">
        <f>VLOOKUP(O914,[4]Key!$E$2:$F$9,2,FALSE)</f>
        <v>Commercial</v>
      </c>
      <c r="Q914" s="13" t="s">
        <v>434</v>
      </c>
      <c r="R914" s="23" t="s">
        <v>153</v>
      </c>
      <c r="S914" s="13" t="s">
        <v>152</v>
      </c>
      <c r="T914" s="23">
        <v>4</v>
      </c>
      <c r="U914" s="30" t="str">
        <f>VLOOKUP(T914,[4]Key!$E$2:$F$9,2,FALSE)</f>
        <v>Commercial</v>
      </c>
      <c r="V914" s="30" t="str">
        <f t="shared" si="56"/>
        <v>Commercial-Commercial</v>
      </c>
      <c r="W914" s="51">
        <v>300000</v>
      </c>
      <c r="X914" s="50">
        <v>399</v>
      </c>
      <c r="Y914" s="50" t="str">
        <f t="shared" si="57"/>
        <v>Over 200</v>
      </c>
      <c r="Z914" s="50">
        <v>5</v>
      </c>
      <c r="AA914" s="50" t="str">
        <f t="shared" si="58"/>
        <v>Over 3.5</v>
      </c>
      <c r="AB914" s="23">
        <v>5</v>
      </c>
      <c r="AC914" s="30" t="str">
        <f>VLOOKUP(AB914,[4]Key!$C$20:$D$29,2,FALSE)</f>
        <v>Professional</v>
      </c>
      <c r="AD914" s="23">
        <v>2</v>
      </c>
      <c r="AE914" s="30" t="str">
        <f>VLOOKUP(AD914,[4]Key!$E$20:$F$24,2,FALSE)</f>
        <v>300,000-500,000</v>
      </c>
      <c r="AF914" s="23">
        <v>5</v>
      </c>
      <c r="AG914" s="50">
        <v>1</v>
      </c>
      <c r="AH914" s="50">
        <v>5</v>
      </c>
      <c r="AI914" s="50">
        <v>5</v>
      </c>
      <c r="AJ914" s="50">
        <v>1</v>
      </c>
      <c r="AK914" s="46" t="s">
        <v>94</v>
      </c>
      <c r="AL914" s="36">
        <v>0</v>
      </c>
      <c r="AM914" t="str">
        <f t="shared" si="59"/>
        <v>0-1000</v>
      </c>
    </row>
    <row r="915" spans="1:39" x14ac:dyDescent="0.2">
      <c r="A915" s="44" t="s">
        <v>541</v>
      </c>
      <c r="B915" s="48">
        <v>0.6381944444444444</v>
      </c>
      <c r="C915" s="48"/>
      <c r="D915" s="48" t="s">
        <v>150</v>
      </c>
      <c r="E915" s="13">
        <v>2</v>
      </c>
      <c r="F915" s="38" t="str">
        <f>VLOOKUP(E915,[4]Key!$A$17:$B$21,2,FALSE)</f>
        <v>Road Vehicle</v>
      </c>
      <c r="G915" s="49">
        <v>6</v>
      </c>
      <c r="H915" s="39" t="str">
        <f>VLOOKUP(G915,[4]Key!$A$2:$B$13,2,FALSE)</f>
        <v>Large Bus</v>
      </c>
      <c r="I915" s="13" t="s">
        <v>109</v>
      </c>
      <c r="J915" s="13">
        <v>2</v>
      </c>
      <c r="K915" s="40" t="str">
        <f>VLOOKUP(J915,[4]Key!$A$24:$B$29,2,FALSE)</f>
        <v>30-39</v>
      </c>
      <c r="L915" s="13" t="s">
        <v>454</v>
      </c>
      <c r="M915" s="23" t="s">
        <v>455</v>
      </c>
      <c r="N915" s="13" t="s">
        <v>152</v>
      </c>
      <c r="O915" s="46">
        <v>1</v>
      </c>
      <c r="P915" s="30" t="str">
        <f>VLOOKUP(O915,[4]Key!$E$2:$F$9,2,FALSE)</f>
        <v>Home</v>
      </c>
      <c r="Q915" s="13" t="s">
        <v>434</v>
      </c>
      <c r="R915" s="23" t="s">
        <v>153</v>
      </c>
      <c r="S915" s="13" t="s">
        <v>152</v>
      </c>
      <c r="T915" s="23">
        <v>4</v>
      </c>
      <c r="U915" s="30" t="str">
        <f>VLOOKUP(T915,[4]Key!$E$2:$F$9,2,FALSE)</f>
        <v>Commercial</v>
      </c>
      <c r="V915" s="30" t="str">
        <f t="shared" si="56"/>
        <v>Home-Commercial</v>
      </c>
      <c r="W915" s="51">
        <v>45000</v>
      </c>
      <c r="X915" s="50">
        <v>369</v>
      </c>
      <c r="Y915" s="50" t="str">
        <f t="shared" si="57"/>
        <v>Over 200</v>
      </c>
      <c r="Z915" s="50">
        <v>4</v>
      </c>
      <c r="AA915" s="50" t="str">
        <f t="shared" si="58"/>
        <v>Over 3.5</v>
      </c>
      <c r="AB915" s="23">
        <v>6</v>
      </c>
      <c r="AC915" s="30" t="str">
        <f>VLOOKUP(AB915,[4]Key!$C$20:$D$29,2,FALSE)</f>
        <v>Businessman</v>
      </c>
      <c r="AD915" s="23">
        <v>3</v>
      </c>
      <c r="AE915" s="30" t="str">
        <f>VLOOKUP(AD915,[4]Key!$E$20:$F$24,2,FALSE)</f>
        <v>500,000-750,000</v>
      </c>
      <c r="AF915" s="23">
        <v>5</v>
      </c>
      <c r="AG915" s="50">
        <v>1</v>
      </c>
      <c r="AH915" s="50">
        <v>1</v>
      </c>
      <c r="AI915" s="50">
        <v>1</v>
      </c>
      <c r="AJ915" s="50">
        <v>1</v>
      </c>
      <c r="AK915" s="46" t="s">
        <v>94</v>
      </c>
      <c r="AL915" s="36">
        <v>1000</v>
      </c>
      <c r="AM915" t="str">
        <f t="shared" si="59"/>
        <v>1000-2000</v>
      </c>
    </row>
    <row r="916" spans="1:39" x14ac:dyDescent="0.2">
      <c r="A916" s="44" t="s">
        <v>547</v>
      </c>
      <c r="B916" s="48">
        <v>0.41180555555555554</v>
      </c>
      <c r="C916" s="48" t="s">
        <v>613</v>
      </c>
      <c r="D916" s="48" t="s">
        <v>97</v>
      </c>
      <c r="E916" s="13">
        <v>2</v>
      </c>
      <c r="F916" s="38" t="str">
        <f>VLOOKUP(E916,[4]Key!$A$17:$B$21,2,FALSE)</f>
        <v>Road Vehicle</v>
      </c>
      <c r="G916" s="49">
        <v>6</v>
      </c>
      <c r="H916" s="39" t="str">
        <f>VLOOKUP(G916,[4]Key!$A$2:$B$13,2,FALSE)</f>
        <v>Large Bus</v>
      </c>
      <c r="I916" s="13" t="s">
        <v>109</v>
      </c>
      <c r="J916" s="13">
        <v>2</v>
      </c>
      <c r="K916" s="40" t="str">
        <f>VLOOKUP(J916,[4]Key!$A$24:$B$29,2,FALSE)</f>
        <v>30-39</v>
      </c>
      <c r="L916" s="13" t="s">
        <v>484</v>
      </c>
      <c r="M916" s="23" t="s">
        <v>485</v>
      </c>
      <c r="N916" s="13" t="s">
        <v>152</v>
      </c>
      <c r="O916" s="46">
        <v>4</v>
      </c>
      <c r="P916" s="30" t="str">
        <f>VLOOKUP(O916,[4]Key!$E$2:$F$9,2,FALSE)</f>
        <v>Commercial</v>
      </c>
      <c r="Q916" s="13" t="s">
        <v>434</v>
      </c>
      <c r="R916" s="23" t="s">
        <v>153</v>
      </c>
      <c r="S916" s="13" t="s">
        <v>152</v>
      </c>
      <c r="T916" s="23">
        <v>4</v>
      </c>
      <c r="U916" s="30" t="str">
        <f>VLOOKUP(T916,[4]Key!$E$2:$F$9,2,FALSE)</f>
        <v>Commercial</v>
      </c>
      <c r="V916" s="30" t="str">
        <f t="shared" si="56"/>
        <v>Commercial-Commercial</v>
      </c>
      <c r="W916" s="51">
        <v>100000</v>
      </c>
      <c r="X916" s="50">
        <v>360</v>
      </c>
      <c r="Y916" s="50" t="str">
        <f t="shared" si="57"/>
        <v>Over 200</v>
      </c>
      <c r="Z916" s="50">
        <v>5</v>
      </c>
      <c r="AA916" s="50" t="str">
        <f t="shared" si="58"/>
        <v>Over 3.5</v>
      </c>
      <c r="AB916" s="23">
        <v>5</v>
      </c>
      <c r="AC916" s="30" t="str">
        <f>VLOOKUP(AB916,[4]Key!$C$20:$D$29,2,FALSE)</f>
        <v>Professional</v>
      </c>
      <c r="AD916" s="23">
        <v>2</v>
      </c>
      <c r="AE916" s="30" t="str">
        <f>VLOOKUP(AD916,[4]Key!$E$20:$F$24,2,FALSE)</f>
        <v>300,000-500,000</v>
      </c>
      <c r="AF916" s="23">
        <v>1</v>
      </c>
      <c r="AG916" s="50">
        <v>1</v>
      </c>
      <c r="AH916" s="50">
        <v>1</v>
      </c>
      <c r="AI916" s="50">
        <v>1</v>
      </c>
      <c r="AJ916" s="50">
        <v>1</v>
      </c>
      <c r="AK916" s="46" t="s">
        <v>94</v>
      </c>
      <c r="AL916" s="36">
        <v>5000</v>
      </c>
      <c r="AM916" t="str">
        <f t="shared" si="59"/>
        <v>5000-10000</v>
      </c>
    </row>
    <row r="917" spans="1:39" x14ac:dyDescent="0.2">
      <c r="A917" s="44" t="s">
        <v>547</v>
      </c>
      <c r="B917" s="48">
        <v>0.58958333333333335</v>
      </c>
      <c r="C917" s="48" t="s">
        <v>614</v>
      </c>
      <c r="D917" s="48" t="s">
        <v>97</v>
      </c>
      <c r="E917" s="13">
        <v>2</v>
      </c>
      <c r="F917" s="38" t="str">
        <f>VLOOKUP(E917,[4]Key!$A$17:$B$21,2,FALSE)</f>
        <v>Road Vehicle</v>
      </c>
      <c r="G917" s="49">
        <v>6</v>
      </c>
      <c r="H917" s="39" t="str">
        <f>VLOOKUP(G917,[4]Key!$A$2:$B$13,2,FALSE)</f>
        <v>Large Bus</v>
      </c>
      <c r="I917" s="13" t="s">
        <v>109</v>
      </c>
      <c r="J917" s="13">
        <v>2</v>
      </c>
      <c r="K917" s="40" t="str">
        <f>VLOOKUP(J917,[4]Key!$A$24:$B$29,2,FALSE)</f>
        <v>30-39</v>
      </c>
      <c r="L917" s="13" t="s">
        <v>454</v>
      </c>
      <c r="M917" s="23" t="s">
        <v>455</v>
      </c>
      <c r="N917" s="13" t="s">
        <v>152</v>
      </c>
      <c r="O917" s="46">
        <v>2</v>
      </c>
      <c r="P917" s="30" t="str">
        <f>VLOOKUP(O917,[4]Key!$E$2:$F$9,2,FALSE)</f>
        <v>Work</v>
      </c>
      <c r="Q917" s="13" t="s">
        <v>615</v>
      </c>
      <c r="R917" s="23" t="s">
        <v>616</v>
      </c>
      <c r="S917" s="13" t="s">
        <v>152</v>
      </c>
      <c r="T917" s="23">
        <v>8</v>
      </c>
      <c r="U917" s="30" t="str">
        <f>VLOOKUP(T917,[4]Key!$E$2:$F$9,2,FALSE)</f>
        <v>Others</v>
      </c>
      <c r="V917" s="30" t="str">
        <f t="shared" si="56"/>
        <v>Work-Others</v>
      </c>
      <c r="W917" s="51">
        <v>100000</v>
      </c>
      <c r="X917" s="50">
        <v>90</v>
      </c>
      <c r="Y917" s="50" t="str">
        <f t="shared" si="57"/>
        <v>70-100</v>
      </c>
      <c r="Z917" s="50">
        <v>2</v>
      </c>
      <c r="AA917" s="50" t="str">
        <f t="shared" si="58"/>
        <v>2.0-3.5</v>
      </c>
      <c r="AB917" s="23">
        <v>5</v>
      </c>
      <c r="AC917" s="30" t="str">
        <f>VLOOKUP(AB917,[4]Key!$C$20:$D$29,2,FALSE)</f>
        <v>Professional</v>
      </c>
      <c r="AD917" s="23">
        <v>2</v>
      </c>
      <c r="AE917" s="30" t="str">
        <f>VLOOKUP(AD917,[4]Key!$E$20:$F$24,2,FALSE)</f>
        <v>300,000-500,000</v>
      </c>
      <c r="AF917" s="23">
        <v>5</v>
      </c>
      <c r="AG917" s="50">
        <v>5</v>
      </c>
      <c r="AH917" s="50">
        <v>5</v>
      </c>
      <c r="AI917" s="50">
        <v>5</v>
      </c>
      <c r="AJ917" s="50">
        <v>5</v>
      </c>
      <c r="AK917" s="46" t="s">
        <v>94</v>
      </c>
      <c r="AL917" s="36">
        <v>1000</v>
      </c>
      <c r="AM917" t="str">
        <f t="shared" si="59"/>
        <v>1000-2000</v>
      </c>
    </row>
    <row r="918" spans="1:39" x14ac:dyDescent="0.2">
      <c r="A918" s="44" t="s">
        <v>547</v>
      </c>
      <c r="B918" s="48">
        <v>0.54236111111111118</v>
      </c>
      <c r="C918" s="48"/>
      <c r="D918" s="48" t="s">
        <v>150</v>
      </c>
      <c r="E918" s="13">
        <v>2</v>
      </c>
      <c r="F918" s="38" t="str">
        <f>VLOOKUP(E918,[4]Key!$A$17:$B$21,2,FALSE)</f>
        <v>Road Vehicle</v>
      </c>
      <c r="G918" s="49">
        <v>6</v>
      </c>
      <c r="H918" s="39" t="str">
        <f>VLOOKUP(G918,[4]Key!$A$2:$B$13,2,FALSE)</f>
        <v>Large Bus</v>
      </c>
      <c r="I918" s="13" t="s">
        <v>109</v>
      </c>
      <c r="J918" s="13">
        <v>2</v>
      </c>
      <c r="K918" s="40" t="str">
        <f>VLOOKUP(J918,[4]Key!$A$24:$B$29,2,FALSE)</f>
        <v>30-39</v>
      </c>
      <c r="L918" s="13" t="s">
        <v>587</v>
      </c>
      <c r="M918" s="23" t="s">
        <v>428</v>
      </c>
      <c r="N918" s="13" t="s">
        <v>152</v>
      </c>
      <c r="O918" s="46">
        <v>1</v>
      </c>
      <c r="P918" s="30" t="str">
        <f>VLOOKUP(O918,[4]Key!$E$2:$F$9,2,FALSE)</f>
        <v>Home</v>
      </c>
      <c r="Q918" s="13" t="s">
        <v>617</v>
      </c>
      <c r="R918" s="23" t="s">
        <v>168</v>
      </c>
      <c r="S918" s="13" t="s">
        <v>152</v>
      </c>
      <c r="T918" s="23">
        <v>2</v>
      </c>
      <c r="U918" s="30" t="str">
        <f>VLOOKUP(T918,[4]Key!$E$2:$F$9,2,FALSE)</f>
        <v>Work</v>
      </c>
      <c r="V918" s="30" t="str">
        <f t="shared" si="56"/>
        <v>Home-Work</v>
      </c>
      <c r="W918" s="51">
        <v>30000</v>
      </c>
      <c r="X918" s="50">
        <v>150</v>
      </c>
      <c r="Y918" s="50" t="str">
        <f t="shared" si="57"/>
        <v>100-200</v>
      </c>
      <c r="Z918" s="50">
        <v>4</v>
      </c>
      <c r="AA918" s="50" t="str">
        <f t="shared" si="58"/>
        <v>Over 3.5</v>
      </c>
      <c r="AB918" s="23">
        <v>6</v>
      </c>
      <c r="AC918" s="30" t="s">
        <v>129</v>
      </c>
      <c r="AD918" s="23">
        <v>1</v>
      </c>
      <c r="AE918" s="30" t="str">
        <f>VLOOKUP(AD918,[4]Key!$E$20:$F$24,2,FALSE)</f>
        <v>&lt;300,000</v>
      </c>
      <c r="AF918" s="23">
        <v>5</v>
      </c>
      <c r="AG918" s="50">
        <v>4</v>
      </c>
      <c r="AH918" s="50">
        <v>5</v>
      </c>
      <c r="AI918" s="50">
        <v>5</v>
      </c>
      <c r="AJ918" s="50">
        <v>5</v>
      </c>
      <c r="AK918" s="46" t="s">
        <v>94</v>
      </c>
      <c r="AL918" s="36">
        <v>0</v>
      </c>
      <c r="AM918" t="str">
        <f t="shared" si="59"/>
        <v>0-1000</v>
      </c>
    </row>
    <row r="919" spans="1:39" x14ac:dyDescent="0.2">
      <c r="A919" s="44" t="s">
        <v>547</v>
      </c>
      <c r="B919" s="48">
        <v>0.5131944444444444</v>
      </c>
      <c r="C919" s="48" t="s">
        <v>618</v>
      </c>
      <c r="D919" s="48" t="s">
        <v>97</v>
      </c>
      <c r="E919" s="13">
        <v>2</v>
      </c>
      <c r="F919" s="38" t="str">
        <f>VLOOKUP(E919,[4]Key!$A$17:$B$21,2,FALSE)</f>
        <v>Road Vehicle</v>
      </c>
      <c r="G919" s="49">
        <v>6</v>
      </c>
      <c r="H919" s="39" t="str">
        <f>VLOOKUP(G919,[4]Key!$A$2:$B$13,2,FALSE)</f>
        <v>Large Bus</v>
      </c>
      <c r="I919" s="13" t="s">
        <v>109</v>
      </c>
      <c r="J919" s="13">
        <v>2</v>
      </c>
      <c r="K919" s="40" t="str">
        <f>VLOOKUP(J919,[4]Key!$A$24:$B$29,2,FALSE)</f>
        <v>30-39</v>
      </c>
      <c r="L919" s="13" t="s">
        <v>454</v>
      </c>
      <c r="M919" s="23" t="s">
        <v>455</v>
      </c>
      <c r="N919" s="13" t="s">
        <v>152</v>
      </c>
      <c r="O919" s="46">
        <v>1</v>
      </c>
      <c r="P919" s="30" t="str">
        <f>VLOOKUP(O919,[4]Key!$E$2:$F$9,2,FALSE)</f>
        <v>Home</v>
      </c>
      <c r="Q919" s="13" t="s">
        <v>592</v>
      </c>
      <c r="R919" s="23" t="s">
        <v>593</v>
      </c>
      <c r="S919" s="13" t="s">
        <v>152</v>
      </c>
      <c r="T919" s="23">
        <v>8</v>
      </c>
      <c r="U919" s="30" t="str">
        <f>VLOOKUP(T919,[4]Key!$E$2:$F$9,2,FALSE)</f>
        <v>Others</v>
      </c>
      <c r="V919" s="30" t="str">
        <f t="shared" si="56"/>
        <v>Home-Others</v>
      </c>
      <c r="W919" s="51">
        <v>100000</v>
      </c>
      <c r="X919" s="50">
        <v>260</v>
      </c>
      <c r="Y919" s="50" t="str">
        <f t="shared" si="57"/>
        <v>Over 200</v>
      </c>
      <c r="Z919" s="50">
        <v>3</v>
      </c>
      <c r="AA919" s="50" t="str">
        <f t="shared" si="58"/>
        <v>2.0-3.5</v>
      </c>
      <c r="AB919" s="23">
        <v>5</v>
      </c>
      <c r="AC919" s="30" t="str">
        <f>VLOOKUP(AB919,[4]Key!$C$20:$D$29,2,FALSE)</f>
        <v>Professional</v>
      </c>
      <c r="AD919" s="23">
        <v>1</v>
      </c>
      <c r="AE919" s="30" t="str">
        <f>VLOOKUP(AD919,[4]Key!$E$20:$F$24,2,FALSE)</f>
        <v>&lt;300,000</v>
      </c>
      <c r="AF919" s="23">
        <v>5</v>
      </c>
      <c r="AG919" s="50">
        <v>4</v>
      </c>
      <c r="AH919" s="50">
        <v>2</v>
      </c>
      <c r="AI919" s="50">
        <v>2</v>
      </c>
      <c r="AJ919" s="50">
        <v>2</v>
      </c>
      <c r="AK919" s="46" t="s">
        <v>94</v>
      </c>
      <c r="AL919" s="36">
        <v>1000</v>
      </c>
      <c r="AM919" t="str">
        <f t="shared" si="59"/>
        <v>1000-2000</v>
      </c>
    </row>
    <row r="920" spans="1:39" x14ac:dyDescent="0.2">
      <c r="A920" s="44" t="s">
        <v>547</v>
      </c>
      <c r="B920" s="48">
        <v>0.47916666666666669</v>
      </c>
      <c r="C920" s="48"/>
      <c r="D920" s="48" t="s">
        <v>150</v>
      </c>
      <c r="E920" s="13">
        <v>2</v>
      </c>
      <c r="F920" s="38" t="str">
        <f>VLOOKUP(E920,[4]Key!$A$17:$B$21,2,FALSE)</f>
        <v>Road Vehicle</v>
      </c>
      <c r="G920" s="49">
        <v>6</v>
      </c>
      <c r="H920" s="39" t="str">
        <f>VLOOKUP(G920,[4]Key!$A$2:$B$13,2,FALSE)</f>
        <v>Large Bus</v>
      </c>
      <c r="I920" s="13" t="s">
        <v>109</v>
      </c>
      <c r="J920" s="13">
        <v>2</v>
      </c>
      <c r="K920" s="40" t="str">
        <f>VLOOKUP(J920,[4]Key!$A$24:$B$29,2,FALSE)</f>
        <v>30-39</v>
      </c>
      <c r="L920" s="13" t="s">
        <v>454</v>
      </c>
      <c r="M920" s="23" t="s">
        <v>455</v>
      </c>
      <c r="N920" s="13" t="s">
        <v>152</v>
      </c>
      <c r="O920" s="46">
        <v>1</v>
      </c>
      <c r="P920" s="30" t="str">
        <f>VLOOKUP(O920,[4]Key!$E$2:$F$9,2,FALSE)</f>
        <v>Home</v>
      </c>
      <c r="Q920" s="13" t="s">
        <v>619</v>
      </c>
      <c r="R920" s="23" t="s">
        <v>168</v>
      </c>
      <c r="S920" s="13" t="s">
        <v>152</v>
      </c>
      <c r="T920" s="23">
        <v>2</v>
      </c>
      <c r="U920" s="30" t="str">
        <f>VLOOKUP(T920,[4]Key!$E$2:$F$9,2,FALSE)</f>
        <v>Work</v>
      </c>
      <c r="V920" s="30" t="str">
        <f t="shared" si="56"/>
        <v>Home-Work</v>
      </c>
      <c r="W920" s="51">
        <v>30000</v>
      </c>
      <c r="X920" s="50">
        <v>390</v>
      </c>
      <c r="Y920" s="50" t="str">
        <f t="shared" si="57"/>
        <v>Over 200</v>
      </c>
      <c r="Z920" s="50">
        <v>4.5</v>
      </c>
      <c r="AA920" s="50" t="str">
        <f t="shared" si="58"/>
        <v>Over 3.5</v>
      </c>
      <c r="AB920" s="23">
        <v>6</v>
      </c>
      <c r="AC920" s="30" t="str">
        <f>VLOOKUP(AB920,[4]Key!$C$20:$D$29,2,FALSE)</f>
        <v>Businessman</v>
      </c>
      <c r="AD920" s="23">
        <v>1</v>
      </c>
      <c r="AE920" s="30" t="str">
        <f>VLOOKUP(AD920,[4]Key!$E$20:$F$24,2,FALSE)</f>
        <v>&lt;300,000</v>
      </c>
      <c r="AF920" s="23">
        <v>5</v>
      </c>
      <c r="AG920" s="50">
        <v>2</v>
      </c>
      <c r="AH920" s="50">
        <v>2</v>
      </c>
      <c r="AI920" s="50">
        <v>5</v>
      </c>
      <c r="AJ920" s="50">
        <v>2</v>
      </c>
      <c r="AK920" s="46" t="s">
        <v>94</v>
      </c>
      <c r="AL920" s="36">
        <v>0</v>
      </c>
      <c r="AM920" t="str">
        <f t="shared" si="59"/>
        <v>0-1000</v>
      </c>
    </row>
    <row r="921" spans="1:39" x14ac:dyDescent="0.2">
      <c r="A921" s="44" t="s">
        <v>547</v>
      </c>
      <c r="B921" s="48">
        <v>0.46527777777777773</v>
      </c>
      <c r="C921" s="48" t="s">
        <v>620</v>
      </c>
      <c r="D921" s="48" t="s">
        <v>97</v>
      </c>
      <c r="E921" s="13">
        <v>2</v>
      </c>
      <c r="F921" s="38" t="str">
        <f>VLOOKUP(E921,[4]Key!$A$17:$B$21,2,FALSE)</f>
        <v>Road Vehicle</v>
      </c>
      <c r="G921" s="49">
        <v>6</v>
      </c>
      <c r="H921" s="39" t="str">
        <f>VLOOKUP(G921,[4]Key!$A$2:$B$13,2,FALSE)</f>
        <v>Large Bus</v>
      </c>
      <c r="I921" s="13" t="s">
        <v>109</v>
      </c>
      <c r="J921" s="13">
        <v>2</v>
      </c>
      <c r="K921" s="40" t="str">
        <f>VLOOKUP(J921,[4]Key!$A$24:$B$29,2,FALSE)</f>
        <v>30-39</v>
      </c>
      <c r="L921" s="13" t="s">
        <v>454</v>
      </c>
      <c r="M921" s="23" t="s">
        <v>455</v>
      </c>
      <c r="N921" s="13" t="s">
        <v>152</v>
      </c>
      <c r="O921" s="46">
        <v>2</v>
      </c>
      <c r="P921" s="30" t="str">
        <f>VLOOKUP(O921,[4]Key!$E$2:$F$9,2,FALSE)</f>
        <v>Work</v>
      </c>
      <c r="Q921" s="13" t="s">
        <v>565</v>
      </c>
      <c r="R921" s="23" t="s">
        <v>621</v>
      </c>
      <c r="S921" s="13" t="s">
        <v>152</v>
      </c>
      <c r="T921" s="23">
        <v>2</v>
      </c>
      <c r="U921" s="30" t="str">
        <f>VLOOKUP(T921,[4]Key!$E$2:$F$9,2,FALSE)</f>
        <v>Work</v>
      </c>
      <c r="V921" s="30" t="str">
        <f t="shared" si="56"/>
        <v>Work-Work</v>
      </c>
      <c r="W921" s="51">
        <v>100000</v>
      </c>
      <c r="X921" s="50">
        <v>90</v>
      </c>
      <c r="Y921" s="50" t="str">
        <f t="shared" si="57"/>
        <v>70-100</v>
      </c>
      <c r="Z921" s="50">
        <v>2</v>
      </c>
      <c r="AA921" s="50" t="str">
        <f t="shared" si="58"/>
        <v>2.0-3.5</v>
      </c>
      <c r="AB921" s="23">
        <v>5</v>
      </c>
      <c r="AC921" s="30" t="str">
        <f>VLOOKUP(AB921,[4]Key!$C$20:$D$29,2,FALSE)</f>
        <v>Professional</v>
      </c>
      <c r="AD921" s="23">
        <v>2</v>
      </c>
      <c r="AE921" s="30" t="str">
        <f>VLOOKUP(AD921,[4]Key!$E$20:$F$24,2,FALSE)</f>
        <v>300,000-500,000</v>
      </c>
      <c r="AF921" s="23">
        <v>5</v>
      </c>
      <c r="AG921" s="50">
        <v>5</v>
      </c>
      <c r="AH921" s="50">
        <v>2</v>
      </c>
      <c r="AI921" s="50">
        <v>2</v>
      </c>
      <c r="AJ921" s="50">
        <v>2</v>
      </c>
      <c r="AK921" s="46" t="s">
        <v>94</v>
      </c>
      <c r="AL921" s="36">
        <v>1000</v>
      </c>
      <c r="AM921" t="str">
        <f t="shared" si="59"/>
        <v>1000-2000</v>
      </c>
    </row>
    <row r="922" spans="1:39" x14ac:dyDescent="0.2">
      <c r="A922" s="44" t="s">
        <v>547</v>
      </c>
      <c r="B922" s="48">
        <v>0.4548611111111111</v>
      </c>
      <c r="C922" s="48" t="s">
        <v>622</v>
      </c>
      <c r="D922" s="48" t="s">
        <v>97</v>
      </c>
      <c r="E922" s="13">
        <v>2</v>
      </c>
      <c r="F922" s="38" t="str">
        <f>VLOOKUP(E922,[4]Key!$A$17:$B$21,2,FALSE)</f>
        <v>Road Vehicle</v>
      </c>
      <c r="G922" s="49">
        <v>6</v>
      </c>
      <c r="H922" s="39" t="str">
        <f>VLOOKUP(G922,[4]Key!$A$2:$B$13,2,FALSE)</f>
        <v>Large Bus</v>
      </c>
      <c r="I922" s="13" t="s">
        <v>109</v>
      </c>
      <c r="J922" s="13">
        <v>2</v>
      </c>
      <c r="K922" s="40" t="str">
        <f>VLOOKUP(J922,[4]Key!$A$24:$B$29,2,FALSE)</f>
        <v>30-39</v>
      </c>
      <c r="L922" s="13" t="s">
        <v>454</v>
      </c>
      <c r="M922" s="23" t="s">
        <v>455</v>
      </c>
      <c r="N922" s="13" t="s">
        <v>152</v>
      </c>
      <c r="O922" s="46">
        <v>2</v>
      </c>
      <c r="P922" s="30" t="str">
        <f>VLOOKUP(O922,[4]Key!$E$2:$F$9,2,FALSE)</f>
        <v>Work</v>
      </c>
      <c r="Q922" s="13" t="s">
        <v>425</v>
      </c>
      <c r="R922" s="23" t="s">
        <v>426</v>
      </c>
      <c r="S922" s="13" t="s">
        <v>152</v>
      </c>
      <c r="T922" s="23">
        <v>8</v>
      </c>
      <c r="U922" s="30" t="str">
        <f>VLOOKUP(T922,[4]Key!$E$2:$F$9,2,FALSE)</f>
        <v>Others</v>
      </c>
      <c r="V922" s="30" t="str">
        <f t="shared" si="56"/>
        <v>Work-Others</v>
      </c>
      <c r="W922" s="51">
        <v>150000</v>
      </c>
      <c r="X922" s="50">
        <v>300</v>
      </c>
      <c r="Y922" s="50" t="str">
        <f t="shared" si="57"/>
        <v>Over 200</v>
      </c>
      <c r="Z922" s="50">
        <v>3.5</v>
      </c>
      <c r="AA922" s="50" t="str">
        <f t="shared" si="58"/>
        <v>Over 3.5</v>
      </c>
      <c r="AB922" s="23">
        <v>10</v>
      </c>
      <c r="AC922" s="30" t="str">
        <f>VLOOKUP(AB922,[4]Key!$C$20:$D$29,2,FALSE)</f>
        <v>Other</v>
      </c>
      <c r="AD922" s="23">
        <v>2</v>
      </c>
      <c r="AE922" s="30" t="str">
        <f>VLOOKUP(AD922,[4]Key!$E$20:$F$24,2,FALSE)</f>
        <v>300,000-500,000</v>
      </c>
      <c r="AF922" s="23">
        <v>5</v>
      </c>
      <c r="AG922" s="50">
        <v>5</v>
      </c>
      <c r="AH922" s="50">
        <v>2</v>
      </c>
      <c r="AI922" s="50">
        <v>2</v>
      </c>
      <c r="AJ922" s="50">
        <v>2</v>
      </c>
      <c r="AK922" s="46" t="s">
        <v>94</v>
      </c>
      <c r="AL922" s="36">
        <v>2000</v>
      </c>
      <c r="AM922" t="str">
        <f t="shared" si="59"/>
        <v>2000-3000</v>
      </c>
    </row>
    <row r="923" spans="1:39" x14ac:dyDescent="0.2">
      <c r="A923" s="44" t="s">
        <v>547</v>
      </c>
      <c r="B923" s="48">
        <v>0.45833333333333331</v>
      </c>
      <c r="C923" s="48"/>
      <c r="D923" s="48" t="s">
        <v>150</v>
      </c>
      <c r="E923" s="13">
        <v>2</v>
      </c>
      <c r="F923" s="38" t="str">
        <f>VLOOKUP(E923,[4]Key!$A$17:$B$21,2,FALSE)</f>
        <v>Road Vehicle</v>
      </c>
      <c r="G923" s="49">
        <v>6</v>
      </c>
      <c r="H923" s="39" t="str">
        <f>VLOOKUP(G923,[4]Key!$A$2:$B$13,2,FALSE)</f>
        <v>Large Bus</v>
      </c>
      <c r="I923" s="13" t="s">
        <v>109</v>
      </c>
      <c r="J923" s="13">
        <v>2</v>
      </c>
      <c r="K923" s="40" t="str">
        <f>VLOOKUP(J923,[4]Key!$A$24:$B$29,2,FALSE)</f>
        <v>30-39</v>
      </c>
      <c r="L923" s="13" t="s">
        <v>454</v>
      </c>
      <c r="M923" s="23" t="s">
        <v>455</v>
      </c>
      <c r="N923" s="13" t="s">
        <v>152</v>
      </c>
      <c r="O923" s="46">
        <v>2</v>
      </c>
      <c r="P923" s="30" t="str">
        <f>VLOOKUP(O923,[4]Key!$E$2:$F$9,2,FALSE)</f>
        <v>Work</v>
      </c>
      <c r="Q923" s="13" t="s">
        <v>425</v>
      </c>
      <c r="R923" s="23" t="s">
        <v>426</v>
      </c>
      <c r="S923" s="13" t="s">
        <v>152</v>
      </c>
      <c r="T923" s="23">
        <v>1</v>
      </c>
      <c r="U923" s="30" t="str">
        <f>VLOOKUP(T923,[4]Key!$E$2:$F$9,2,FALSE)</f>
        <v>Home</v>
      </c>
      <c r="V923" s="30" t="str">
        <f t="shared" si="56"/>
        <v>Work-Home</v>
      </c>
      <c r="W923" s="51">
        <v>25000</v>
      </c>
      <c r="X923" s="50">
        <v>300</v>
      </c>
      <c r="Y923" s="50" t="str">
        <f t="shared" si="57"/>
        <v>Over 200</v>
      </c>
      <c r="Z923" s="50">
        <v>3.5</v>
      </c>
      <c r="AA923" s="50" t="str">
        <f t="shared" si="58"/>
        <v>Over 3.5</v>
      </c>
      <c r="AB923" s="23">
        <v>6</v>
      </c>
      <c r="AC923" s="30" t="str">
        <f>VLOOKUP(AB923,[4]Key!$C$20:$D$29,2,FALSE)</f>
        <v>Businessman</v>
      </c>
      <c r="AD923" s="23">
        <v>1</v>
      </c>
      <c r="AE923" s="30" t="str">
        <f>VLOOKUP(AD923,[4]Key!$E$20:$F$24,2,FALSE)</f>
        <v>&lt;300,000</v>
      </c>
      <c r="AF923" s="23">
        <v>2</v>
      </c>
      <c r="AG923" s="50">
        <v>4</v>
      </c>
      <c r="AH923" s="50">
        <v>2</v>
      </c>
      <c r="AI923" s="50">
        <v>2</v>
      </c>
      <c r="AJ923" s="50">
        <v>2</v>
      </c>
      <c r="AK923" s="46" t="s">
        <v>94</v>
      </c>
      <c r="AL923" s="36">
        <v>0</v>
      </c>
      <c r="AM923" t="str">
        <f t="shared" si="59"/>
        <v>0-1000</v>
      </c>
    </row>
    <row r="924" spans="1:39" x14ac:dyDescent="0.2">
      <c r="A924" s="44" t="s">
        <v>547</v>
      </c>
      <c r="B924" s="48">
        <v>0.39166666666666666</v>
      </c>
      <c r="C924" s="48"/>
      <c r="D924" s="48" t="s">
        <v>150</v>
      </c>
      <c r="E924" s="13">
        <v>2</v>
      </c>
      <c r="F924" s="38" t="str">
        <f>VLOOKUP(E924,[4]Key!$A$17:$B$21,2,FALSE)</f>
        <v>Road Vehicle</v>
      </c>
      <c r="G924" s="49">
        <v>6</v>
      </c>
      <c r="H924" s="39" t="str">
        <f>VLOOKUP(G924,[4]Key!$A$2:$B$13,2,FALSE)</f>
        <v>Large Bus</v>
      </c>
      <c r="I924" s="13" t="s">
        <v>109</v>
      </c>
      <c r="J924" s="13">
        <v>2</v>
      </c>
      <c r="K924" s="40" t="str">
        <f>VLOOKUP(J924,[4]Key!$A$24:$B$29,2,FALSE)</f>
        <v>30-39</v>
      </c>
      <c r="L924" s="13" t="s">
        <v>454</v>
      </c>
      <c r="M924" s="23" t="s">
        <v>455</v>
      </c>
      <c r="N924" s="13" t="s">
        <v>152</v>
      </c>
      <c r="O924" s="46">
        <v>1</v>
      </c>
      <c r="P924" s="30" t="str">
        <f>VLOOKUP(O924,[4]Key!$E$2:$F$9,2,FALSE)</f>
        <v>Home</v>
      </c>
      <c r="Q924" s="13" t="s">
        <v>437</v>
      </c>
      <c r="R924" s="23" t="s">
        <v>175</v>
      </c>
      <c r="S924" s="13" t="s">
        <v>152</v>
      </c>
      <c r="T924" s="23">
        <v>2</v>
      </c>
      <c r="U924" s="30" t="str">
        <f>VLOOKUP(T924,[4]Key!$E$2:$F$9,2,FALSE)</f>
        <v>Work</v>
      </c>
      <c r="V924" s="30" t="str">
        <f t="shared" si="56"/>
        <v>Home-Work</v>
      </c>
      <c r="W924" s="51">
        <v>20000</v>
      </c>
      <c r="X924" s="50">
        <v>270</v>
      </c>
      <c r="Y924" s="50" t="str">
        <f t="shared" si="57"/>
        <v>Over 200</v>
      </c>
      <c r="Z924" s="50">
        <v>3</v>
      </c>
      <c r="AA924" s="50" t="str">
        <f t="shared" si="58"/>
        <v>2.0-3.5</v>
      </c>
      <c r="AB924" s="23">
        <v>6</v>
      </c>
      <c r="AC924" s="30" t="str">
        <f>VLOOKUP(AB924,[4]Key!$C$20:$D$29,2,FALSE)</f>
        <v>Businessman</v>
      </c>
      <c r="AD924" s="23">
        <v>1</v>
      </c>
      <c r="AE924" s="30" t="str">
        <f>VLOOKUP(AD924,[4]Key!$E$20:$F$24,2,FALSE)</f>
        <v>&lt;300,000</v>
      </c>
      <c r="AF924" s="23">
        <v>2</v>
      </c>
      <c r="AG924" s="50">
        <v>2</v>
      </c>
      <c r="AH924" s="50">
        <v>2</v>
      </c>
      <c r="AI924" s="50">
        <v>2</v>
      </c>
      <c r="AJ924" s="50">
        <v>2</v>
      </c>
      <c r="AK924" s="46" t="s">
        <v>94</v>
      </c>
      <c r="AL924" s="36">
        <v>0</v>
      </c>
      <c r="AM924" t="str">
        <f t="shared" si="59"/>
        <v>0-1000</v>
      </c>
    </row>
    <row r="925" spans="1:39" x14ac:dyDescent="0.2">
      <c r="A925" s="44" t="s">
        <v>547</v>
      </c>
      <c r="B925" s="48">
        <v>0.3979166666666667</v>
      </c>
      <c r="C925" s="48"/>
      <c r="D925" s="48" t="s">
        <v>150</v>
      </c>
      <c r="E925" s="13">
        <v>2</v>
      </c>
      <c r="F925" s="38" t="str">
        <f>VLOOKUP(E925,[4]Key!$A$17:$B$21,2,FALSE)</f>
        <v>Road Vehicle</v>
      </c>
      <c r="G925" s="49">
        <v>6</v>
      </c>
      <c r="H925" s="39" t="str">
        <f>VLOOKUP(G925,[4]Key!$A$2:$B$13,2,FALSE)</f>
        <v>Large Bus</v>
      </c>
      <c r="I925" s="13" t="s">
        <v>109</v>
      </c>
      <c r="J925" s="13">
        <v>2</v>
      </c>
      <c r="K925" s="40" t="str">
        <f>VLOOKUP(J925,[4]Key!$A$24:$B$29,2,FALSE)</f>
        <v>30-39</v>
      </c>
      <c r="L925" s="13" t="s">
        <v>587</v>
      </c>
      <c r="M925" s="23" t="s">
        <v>428</v>
      </c>
      <c r="N925" s="13" t="s">
        <v>152</v>
      </c>
      <c r="O925" s="46">
        <v>1</v>
      </c>
      <c r="P925" s="30" t="str">
        <f>VLOOKUP(O925,[4]Key!$E$2:$F$9,2,FALSE)</f>
        <v>Home</v>
      </c>
      <c r="Q925" s="13" t="s">
        <v>607</v>
      </c>
      <c r="R925" s="23" t="s">
        <v>153</v>
      </c>
      <c r="S925" s="13" t="s">
        <v>152</v>
      </c>
      <c r="T925" s="23">
        <v>3</v>
      </c>
      <c r="U925" s="30" t="str">
        <f>VLOOKUP(T925,[4]Key!$E$2:$F$9,2,FALSE)</f>
        <v>Study</v>
      </c>
      <c r="V925" s="30" t="str">
        <f t="shared" si="56"/>
        <v>Home-Study</v>
      </c>
      <c r="W925" s="51">
        <v>30000</v>
      </c>
      <c r="X925" s="50">
        <v>150</v>
      </c>
      <c r="Y925" s="50" t="str">
        <f t="shared" si="57"/>
        <v>100-200</v>
      </c>
      <c r="Z925" s="50">
        <v>4</v>
      </c>
      <c r="AA925" s="50" t="str">
        <f t="shared" si="58"/>
        <v>Over 3.5</v>
      </c>
      <c r="AB925" s="23">
        <v>8</v>
      </c>
      <c r="AC925" s="30" t="str">
        <f>VLOOKUP(AB925,[4]Key!$C$20:$D$29,2,FALSE)</f>
        <v>Student</v>
      </c>
      <c r="AD925" s="23">
        <v>1</v>
      </c>
      <c r="AE925" s="30" t="str">
        <f>VLOOKUP(AD925,[4]Key!$E$20:$F$24,2,FALSE)</f>
        <v>&lt;300,000</v>
      </c>
      <c r="AF925" s="23">
        <v>5</v>
      </c>
      <c r="AG925" s="50">
        <v>4</v>
      </c>
      <c r="AH925" s="50">
        <v>2</v>
      </c>
      <c r="AI925" s="50">
        <v>2</v>
      </c>
      <c r="AJ925" s="50">
        <v>2</v>
      </c>
      <c r="AK925" s="46" t="s">
        <v>94</v>
      </c>
      <c r="AL925" s="36">
        <v>0</v>
      </c>
      <c r="AM925" t="str">
        <f t="shared" si="59"/>
        <v>0-1000</v>
      </c>
    </row>
    <row r="926" spans="1:39" x14ac:dyDescent="0.2">
      <c r="A926" s="44" t="s">
        <v>547</v>
      </c>
      <c r="B926" s="48">
        <v>0.68958333333333333</v>
      </c>
      <c r="C926" s="48"/>
      <c r="D926" s="48" t="s">
        <v>150</v>
      </c>
      <c r="E926" s="13">
        <v>2</v>
      </c>
      <c r="F926" s="38" t="str">
        <f>VLOOKUP(E926,[4]Key!$A$17:$B$21,2,FALSE)</f>
        <v>Road Vehicle</v>
      </c>
      <c r="G926" s="49">
        <v>6</v>
      </c>
      <c r="H926" s="39" t="str">
        <f>VLOOKUP(G926,[4]Key!$A$2:$B$13,2,FALSE)</f>
        <v>Large Bus</v>
      </c>
      <c r="I926" s="13" t="s">
        <v>109</v>
      </c>
      <c r="J926" s="13">
        <v>2</v>
      </c>
      <c r="K926" s="40" t="str">
        <f>VLOOKUP(J926,[4]Key!$A$24:$B$29,2,FALSE)</f>
        <v>30-39</v>
      </c>
      <c r="L926" s="13" t="s">
        <v>484</v>
      </c>
      <c r="M926" s="23" t="s">
        <v>485</v>
      </c>
      <c r="N926" s="13" t="s">
        <v>152</v>
      </c>
      <c r="O926" s="46">
        <v>1</v>
      </c>
      <c r="P926" s="30" t="str">
        <f>VLOOKUP(O926,[4]Key!$E$2:$F$9,2,FALSE)</f>
        <v>Home</v>
      </c>
      <c r="Q926" s="13" t="s">
        <v>450</v>
      </c>
      <c r="R926" s="23" t="s">
        <v>153</v>
      </c>
      <c r="S926" s="13" t="s">
        <v>152</v>
      </c>
      <c r="T926" s="23">
        <v>2</v>
      </c>
      <c r="U926" s="30" t="str">
        <f>VLOOKUP(T926,[4]Key!$E$2:$F$9,2,FALSE)</f>
        <v>Work</v>
      </c>
      <c r="V926" s="30" t="str">
        <f t="shared" si="56"/>
        <v>Home-Work</v>
      </c>
      <c r="W926" s="51">
        <v>30000</v>
      </c>
      <c r="X926" s="50">
        <v>200</v>
      </c>
      <c r="Y926" s="50" t="str">
        <f t="shared" si="57"/>
        <v>Over 200</v>
      </c>
      <c r="Z926" s="50">
        <v>4.5</v>
      </c>
      <c r="AA926" s="50" t="str">
        <f t="shared" si="58"/>
        <v>Over 3.5</v>
      </c>
      <c r="AB926" s="23">
        <v>6</v>
      </c>
      <c r="AC926" s="30" t="str">
        <f>VLOOKUP(AB926,[4]Key!$C$20:$D$29,2,FALSE)</f>
        <v>Businessman</v>
      </c>
      <c r="AD926" s="23">
        <v>1</v>
      </c>
      <c r="AE926" s="30" t="str">
        <f>VLOOKUP(AD926,[4]Key!$E$20:$F$24,2,FALSE)</f>
        <v>&lt;300,000</v>
      </c>
      <c r="AF926" s="23">
        <v>5</v>
      </c>
      <c r="AG926" s="50">
        <v>5</v>
      </c>
      <c r="AH926" s="50">
        <v>5</v>
      </c>
      <c r="AI926" s="50">
        <v>5</v>
      </c>
      <c r="AJ926" s="50">
        <v>5</v>
      </c>
      <c r="AK926" s="46" t="s">
        <v>94</v>
      </c>
      <c r="AL926" s="36">
        <v>0</v>
      </c>
      <c r="AM926" t="str">
        <f t="shared" si="59"/>
        <v>0-1000</v>
      </c>
    </row>
    <row r="927" spans="1:39" x14ac:dyDescent="0.2">
      <c r="A927" s="44" t="s">
        <v>547</v>
      </c>
      <c r="B927" s="48">
        <v>0.70833333333333337</v>
      </c>
      <c r="C927" s="48"/>
      <c r="D927" s="48" t="s">
        <v>150</v>
      </c>
      <c r="E927" s="13">
        <v>2</v>
      </c>
      <c r="F927" s="38" t="str">
        <f>VLOOKUP(E927,[4]Key!$A$17:$B$21,2,FALSE)</f>
        <v>Road Vehicle</v>
      </c>
      <c r="G927" s="49">
        <v>6</v>
      </c>
      <c r="H927" s="39" t="str">
        <f>VLOOKUP(G927,[4]Key!$A$2:$B$13,2,FALSE)</f>
        <v>Large Bus</v>
      </c>
      <c r="I927" s="13" t="s">
        <v>109</v>
      </c>
      <c r="J927" s="13">
        <v>2</v>
      </c>
      <c r="K927" s="40" t="str">
        <f>VLOOKUP(J927,[4]Key!$A$24:$B$29,2,FALSE)</f>
        <v>30-39</v>
      </c>
      <c r="L927" s="13" t="s">
        <v>454</v>
      </c>
      <c r="M927" s="23" t="s">
        <v>455</v>
      </c>
      <c r="N927" s="13" t="s">
        <v>152</v>
      </c>
      <c r="O927" s="46">
        <v>2</v>
      </c>
      <c r="P927" s="30" t="str">
        <f>VLOOKUP(O927,[4]Key!$E$2:$F$9,2,FALSE)</f>
        <v>Work</v>
      </c>
      <c r="Q927" s="13" t="s">
        <v>435</v>
      </c>
      <c r="R927" s="23" t="s">
        <v>436</v>
      </c>
      <c r="S927" s="13" t="s">
        <v>152</v>
      </c>
      <c r="T927" s="23">
        <v>8</v>
      </c>
      <c r="U927" s="30" t="str">
        <f>VLOOKUP(T927,[4]Key!$E$2:$F$9,2,FALSE)</f>
        <v>Others</v>
      </c>
      <c r="V927" s="30" t="str">
        <f t="shared" si="56"/>
        <v>Work-Others</v>
      </c>
      <c r="W927" s="51">
        <v>20000</v>
      </c>
      <c r="X927" s="50">
        <v>270</v>
      </c>
      <c r="Y927" s="50" t="str">
        <f t="shared" si="57"/>
        <v>Over 200</v>
      </c>
      <c r="Z927" s="50">
        <v>3</v>
      </c>
      <c r="AA927" s="50" t="str">
        <f t="shared" si="58"/>
        <v>2.0-3.5</v>
      </c>
      <c r="AB927" s="23">
        <v>6</v>
      </c>
      <c r="AC927" s="30" t="str">
        <f>VLOOKUP(AB927,[4]Key!$C$20:$D$29,2,FALSE)</f>
        <v>Businessman</v>
      </c>
      <c r="AD927" s="23">
        <v>1</v>
      </c>
      <c r="AE927" s="30" t="str">
        <f>VLOOKUP(AD927,[4]Key!$E$20:$F$24,2,FALSE)</f>
        <v>&lt;300,000</v>
      </c>
      <c r="AF927" s="23">
        <v>2</v>
      </c>
      <c r="AG927" s="50">
        <v>4</v>
      </c>
      <c r="AH927" s="50">
        <v>2</v>
      </c>
      <c r="AI927" s="50">
        <v>2</v>
      </c>
      <c r="AJ927" s="50">
        <v>1</v>
      </c>
      <c r="AK927" s="46" t="s">
        <v>94</v>
      </c>
      <c r="AL927" s="36">
        <v>0</v>
      </c>
      <c r="AM927" t="str">
        <f t="shared" si="59"/>
        <v>0-1000</v>
      </c>
    </row>
    <row r="928" spans="1:39" x14ac:dyDescent="0.2">
      <c r="A928" s="44" t="s">
        <v>547</v>
      </c>
      <c r="B928" s="48">
        <v>0.65833333333333333</v>
      </c>
      <c r="C928" s="48" t="s">
        <v>623</v>
      </c>
      <c r="D928" s="48" t="s">
        <v>97</v>
      </c>
      <c r="E928" s="13">
        <v>2</v>
      </c>
      <c r="F928" s="38" t="str">
        <f>VLOOKUP(E928,[4]Key!$A$17:$B$21,2,FALSE)</f>
        <v>Road Vehicle</v>
      </c>
      <c r="G928" s="49">
        <v>6</v>
      </c>
      <c r="H928" s="39" t="str">
        <f>VLOOKUP(G928,[4]Key!$A$2:$B$13,2,FALSE)</f>
        <v>Large Bus</v>
      </c>
      <c r="I928" s="13" t="s">
        <v>109</v>
      </c>
      <c r="J928" s="13">
        <v>2</v>
      </c>
      <c r="K928" s="40" t="str">
        <f>VLOOKUP(J928,[4]Key!$A$24:$B$29,2,FALSE)</f>
        <v>30-39</v>
      </c>
      <c r="L928" s="13" t="s">
        <v>454</v>
      </c>
      <c r="M928" s="23" t="s">
        <v>455</v>
      </c>
      <c r="N928" s="13" t="s">
        <v>152</v>
      </c>
      <c r="O928" s="46">
        <v>2</v>
      </c>
      <c r="P928" s="30" t="str">
        <f>VLOOKUP(O928,[4]Key!$E$2:$F$9,2,FALSE)</f>
        <v>Work</v>
      </c>
      <c r="Q928" s="13" t="s">
        <v>555</v>
      </c>
      <c r="R928" s="23" t="s">
        <v>556</v>
      </c>
      <c r="S928" s="13" t="s">
        <v>152</v>
      </c>
      <c r="T928" s="23">
        <v>2</v>
      </c>
      <c r="U928" s="30" t="str">
        <f>VLOOKUP(T928,[4]Key!$E$2:$F$9,2,FALSE)</f>
        <v>Work</v>
      </c>
      <c r="V928" s="30" t="str">
        <f t="shared" si="56"/>
        <v>Work-Work</v>
      </c>
      <c r="W928" s="51">
        <v>300000</v>
      </c>
      <c r="X928" s="50">
        <v>800</v>
      </c>
      <c r="Y928" s="50" t="str">
        <f t="shared" si="57"/>
        <v>Over 200</v>
      </c>
      <c r="Z928" s="50">
        <v>12</v>
      </c>
      <c r="AA928" s="50" t="str">
        <f t="shared" si="58"/>
        <v>Over 3.5</v>
      </c>
      <c r="AB928" s="23">
        <v>5</v>
      </c>
      <c r="AC928" s="30" t="str">
        <f>VLOOKUP(AB928,[4]Key!$C$20:$D$29,2,FALSE)</f>
        <v>Professional</v>
      </c>
      <c r="AD928" s="23">
        <v>3</v>
      </c>
      <c r="AE928" s="30" t="str">
        <f>VLOOKUP(AD928,[4]Key!$E$20:$F$24,2,FALSE)</f>
        <v>500,000-750,000</v>
      </c>
      <c r="AF928" s="23">
        <v>5</v>
      </c>
      <c r="AG928" s="50">
        <v>5</v>
      </c>
      <c r="AH928" s="50">
        <v>5</v>
      </c>
      <c r="AI928" s="50">
        <v>5</v>
      </c>
      <c r="AJ928" s="50">
        <v>5</v>
      </c>
      <c r="AK928" s="46" t="s">
        <v>94</v>
      </c>
      <c r="AL928" s="36">
        <v>5000</v>
      </c>
      <c r="AM928" t="str">
        <f t="shared" si="59"/>
        <v>5000-10000</v>
      </c>
    </row>
    <row r="929" spans="1:46" x14ac:dyDescent="0.2">
      <c r="A929" s="44" t="s">
        <v>544</v>
      </c>
      <c r="B929" s="48">
        <v>0.61249999999999993</v>
      </c>
      <c r="C929" s="48" t="s">
        <v>624</v>
      </c>
      <c r="D929" s="48" t="s">
        <v>97</v>
      </c>
      <c r="E929" s="13">
        <v>2</v>
      </c>
      <c r="F929" s="38" t="str">
        <f>VLOOKUP(E929,[4]Key!$A$17:$B$21,2,FALSE)</f>
        <v>Road Vehicle</v>
      </c>
      <c r="G929" s="49">
        <v>6</v>
      </c>
      <c r="H929" s="39" t="str">
        <f>VLOOKUP(G929,[4]Key!$A$2:$B$13,2,FALSE)</f>
        <v>Large Bus</v>
      </c>
      <c r="I929" s="13" t="s">
        <v>109</v>
      </c>
      <c r="J929" s="13">
        <v>2</v>
      </c>
      <c r="K929" s="40" t="str">
        <f>VLOOKUP(J929,[4]Key!$A$24:$B$29,2,FALSE)</f>
        <v>30-39</v>
      </c>
      <c r="L929" s="13" t="s">
        <v>546</v>
      </c>
      <c r="M929" s="23" t="s">
        <v>455</v>
      </c>
      <c r="N929" s="13" t="s">
        <v>152</v>
      </c>
      <c r="O929" s="46">
        <v>2</v>
      </c>
      <c r="P929" s="30" t="str">
        <f>VLOOKUP(O929,[4]Key!$E$2:$F$9,2,FALSE)</f>
        <v>Work</v>
      </c>
      <c r="Q929" s="13" t="s">
        <v>434</v>
      </c>
      <c r="R929" s="23" t="s">
        <v>153</v>
      </c>
      <c r="S929" s="13" t="s">
        <v>152</v>
      </c>
      <c r="T929" s="23">
        <v>8</v>
      </c>
      <c r="U929" s="30" t="str">
        <f>VLOOKUP(T929,[4]Key!$E$2:$F$9,2,FALSE)</f>
        <v>Others</v>
      </c>
      <c r="V929" s="30" t="str">
        <f t="shared" si="56"/>
        <v>Work-Others</v>
      </c>
      <c r="W929" s="51">
        <v>100000</v>
      </c>
      <c r="X929" s="50">
        <v>120</v>
      </c>
      <c r="Y929" s="50" t="str">
        <f t="shared" si="57"/>
        <v>100-200</v>
      </c>
      <c r="Z929" s="50">
        <v>4</v>
      </c>
      <c r="AA929" s="50" t="str">
        <f t="shared" si="58"/>
        <v>Over 3.5</v>
      </c>
      <c r="AB929" s="23">
        <v>10</v>
      </c>
      <c r="AC929" s="30" t="str">
        <f>VLOOKUP(AB929,[4]Key!$C$20:$D$29,2,FALSE)</f>
        <v>Other</v>
      </c>
      <c r="AD929" s="23">
        <v>2</v>
      </c>
      <c r="AE929" s="30" t="str">
        <f>VLOOKUP(AD929,[4]Key!$E$20:$F$24,2,FALSE)</f>
        <v>300,000-500,000</v>
      </c>
      <c r="AF929" s="23">
        <v>5</v>
      </c>
      <c r="AG929" s="50">
        <v>4</v>
      </c>
      <c r="AH929" s="50">
        <v>5</v>
      </c>
      <c r="AI929" s="50">
        <v>5</v>
      </c>
      <c r="AJ929" s="50">
        <v>5</v>
      </c>
      <c r="AK929" s="46" t="s">
        <v>94</v>
      </c>
      <c r="AL929" s="36">
        <v>2000</v>
      </c>
      <c r="AM929" t="str">
        <f t="shared" si="59"/>
        <v>2000-3000</v>
      </c>
    </row>
    <row r="930" spans="1:46" x14ac:dyDescent="0.2">
      <c r="A930" s="44" t="s">
        <v>544</v>
      </c>
      <c r="B930" s="48">
        <v>0.4236111111111111</v>
      </c>
      <c r="C930" s="48" t="s">
        <v>625</v>
      </c>
      <c r="D930" s="48" t="s">
        <v>97</v>
      </c>
      <c r="E930" s="13">
        <v>2</v>
      </c>
      <c r="F930" s="38" t="str">
        <f>VLOOKUP(E930,[4]Key!$A$17:$B$21,2,FALSE)</f>
        <v>Road Vehicle</v>
      </c>
      <c r="G930" s="49">
        <v>6</v>
      </c>
      <c r="H930" s="39" t="str">
        <f>VLOOKUP(G930,[4]Key!$A$2:$B$13,2,FALSE)</f>
        <v>Large Bus</v>
      </c>
      <c r="I930" s="13" t="s">
        <v>109</v>
      </c>
      <c r="J930" s="13">
        <v>2</v>
      </c>
      <c r="K930" s="40" t="str">
        <f>VLOOKUP(J930,[4]Key!$A$24:$B$29,2,FALSE)</f>
        <v>30-39</v>
      </c>
      <c r="L930" s="13" t="s">
        <v>601</v>
      </c>
      <c r="M930" s="23" t="s">
        <v>602</v>
      </c>
      <c r="N930" s="13" t="s">
        <v>152</v>
      </c>
      <c r="O930" s="46">
        <v>2</v>
      </c>
      <c r="P930" s="30" t="str">
        <f>VLOOKUP(O930,[4]Key!$E$2:$F$9,2,FALSE)</f>
        <v>Work</v>
      </c>
      <c r="Q930" s="13" t="s">
        <v>434</v>
      </c>
      <c r="R930" s="23" t="s">
        <v>153</v>
      </c>
      <c r="S930" s="13" t="s">
        <v>152</v>
      </c>
      <c r="T930" s="23">
        <v>8</v>
      </c>
      <c r="U930" s="30" t="str">
        <f>VLOOKUP(T930,[4]Key!$E$2:$F$9,2,FALSE)</f>
        <v>Others</v>
      </c>
      <c r="V930" s="30" t="str">
        <f t="shared" si="56"/>
        <v>Work-Others</v>
      </c>
      <c r="W930" s="51">
        <v>200000</v>
      </c>
      <c r="X930" s="50">
        <v>340</v>
      </c>
      <c r="Y930" s="50" t="str">
        <f t="shared" si="57"/>
        <v>Over 200</v>
      </c>
      <c r="Z930" s="50">
        <v>6</v>
      </c>
      <c r="AA930" s="50" t="str">
        <f t="shared" si="58"/>
        <v>Over 3.5</v>
      </c>
      <c r="AB930" s="23">
        <v>5</v>
      </c>
      <c r="AC930" s="30" t="str">
        <f>VLOOKUP(AB930,[4]Key!$C$20:$D$29,2,FALSE)</f>
        <v>Professional</v>
      </c>
      <c r="AD930" s="23">
        <v>2</v>
      </c>
      <c r="AE930" s="30" t="str">
        <f>VLOOKUP(AD930,[4]Key!$E$20:$F$24,2,FALSE)</f>
        <v>300,000-500,000</v>
      </c>
      <c r="AF930" s="23">
        <v>5</v>
      </c>
      <c r="AG930" s="50">
        <v>4</v>
      </c>
      <c r="AH930" s="50">
        <v>2</v>
      </c>
      <c r="AI930" s="50">
        <v>2</v>
      </c>
      <c r="AJ930" s="50">
        <v>2</v>
      </c>
      <c r="AK930" s="46" t="s">
        <v>94</v>
      </c>
      <c r="AL930" s="36">
        <v>2000</v>
      </c>
      <c r="AM930" t="str">
        <f t="shared" si="59"/>
        <v>2000-3000</v>
      </c>
    </row>
    <row r="931" spans="1:46" x14ac:dyDescent="0.2">
      <c r="A931" s="44" t="s">
        <v>544</v>
      </c>
      <c r="B931" s="48">
        <v>0.39583333333333331</v>
      </c>
      <c r="C931" s="48" t="s">
        <v>626</v>
      </c>
      <c r="D931" s="48" t="s">
        <v>97</v>
      </c>
      <c r="E931" s="13">
        <v>2</v>
      </c>
      <c r="F931" s="38" t="str">
        <f>VLOOKUP(E931,[4]Key!$A$17:$B$21,2,FALSE)</f>
        <v>Road Vehicle</v>
      </c>
      <c r="G931" s="49">
        <v>6</v>
      </c>
      <c r="H931" s="39" t="str">
        <f>VLOOKUP(G931,[4]Key!$A$2:$B$13,2,FALSE)</f>
        <v>Large Bus</v>
      </c>
      <c r="I931" s="13" t="s">
        <v>109</v>
      </c>
      <c r="J931" s="13">
        <v>2</v>
      </c>
      <c r="K931" s="40" t="str">
        <f>VLOOKUP(J931,[4]Key!$A$24:$B$29,2,FALSE)</f>
        <v>30-39</v>
      </c>
      <c r="L931" s="13" t="s">
        <v>454</v>
      </c>
      <c r="M931" s="23" t="s">
        <v>455</v>
      </c>
      <c r="N931" s="13" t="s">
        <v>152</v>
      </c>
      <c r="O931" s="46">
        <v>2</v>
      </c>
      <c r="P931" s="30" t="str">
        <f>VLOOKUP(O931,[4]Key!$E$2:$F$9,2,FALSE)</f>
        <v>Work</v>
      </c>
      <c r="Q931" s="13" t="s">
        <v>437</v>
      </c>
      <c r="R931" s="23" t="s">
        <v>175</v>
      </c>
      <c r="S931" s="13" t="s">
        <v>152</v>
      </c>
      <c r="T931" s="23">
        <v>8</v>
      </c>
      <c r="U931" s="30" t="str">
        <f>VLOOKUP(T931,[4]Key!$E$2:$F$9,2,FALSE)</f>
        <v>Others</v>
      </c>
      <c r="V931" s="30" t="str">
        <f t="shared" si="56"/>
        <v>Work-Others</v>
      </c>
      <c r="W931" s="51">
        <v>80000</v>
      </c>
      <c r="X931" s="50">
        <v>320</v>
      </c>
      <c r="Y931" s="50" t="str">
        <f t="shared" si="57"/>
        <v>Over 200</v>
      </c>
      <c r="Z931" s="50">
        <v>3</v>
      </c>
      <c r="AA931" s="50" t="str">
        <f t="shared" si="58"/>
        <v>2.0-3.5</v>
      </c>
      <c r="AB931" s="23">
        <v>5</v>
      </c>
      <c r="AC931" s="30" t="str">
        <f>VLOOKUP(AB931,[4]Key!$C$20:$D$29,2,FALSE)</f>
        <v>Professional</v>
      </c>
      <c r="AD931" s="23">
        <v>2</v>
      </c>
      <c r="AE931" s="30" t="str">
        <f>VLOOKUP(AD931,[4]Key!$E$20:$F$24,2,FALSE)</f>
        <v>300,000-500,000</v>
      </c>
      <c r="AF931" s="23">
        <v>5</v>
      </c>
      <c r="AG931" s="50">
        <v>4</v>
      </c>
      <c r="AH931" s="50">
        <v>5</v>
      </c>
      <c r="AI931" s="50">
        <v>5</v>
      </c>
      <c r="AJ931" s="50">
        <v>5</v>
      </c>
      <c r="AK931" s="46" t="s">
        <v>94</v>
      </c>
      <c r="AL931" s="36">
        <v>2000</v>
      </c>
      <c r="AM931" t="str">
        <f t="shared" si="59"/>
        <v>2000-3000</v>
      </c>
    </row>
    <row r="932" spans="1:46" x14ac:dyDescent="0.2">
      <c r="A932" s="44" t="s">
        <v>544</v>
      </c>
      <c r="B932" s="48">
        <v>0.37013888888888885</v>
      </c>
      <c r="C932" s="48" t="s">
        <v>627</v>
      </c>
      <c r="D932" s="48" t="s">
        <v>97</v>
      </c>
      <c r="E932" s="13">
        <v>2</v>
      </c>
      <c r="F932" s="38" t="str">
        <f>VLOOKUP(E932,[4]Key!$A$17:$B$21,2,FALSE)</f>
        <v>Road Vehicle</v>
      </c>
      <c r="G932" s="49">
        <v>6</v>
      </c>
      <c r="H932" s="39" t="str">
        <f>VLOOKUP(G932,[4]Key!$A$2:$B$13,2,FALSE)</f>
        <v>Large Bus</v>
      </c>
      <c r="I932" s="13" t="s">
        <v>109</v>
      </c>
      <c r="J932" s="13">
        <v>2</v>
      </c>
      <c r="K932" s="40" t="str">
        <f>VLOOKUP(J932,[4]Key!$A$24:$B$29,2,FALSE)</f>
        <v>30-39</v>
      </c>
      <c r="L932" s="13" t="s">
        <v>454</v>
      </c>
      <c r="M932" s="23" t="s">
        <v>455</v>
      </c>
      <c r="N932" s="13" t="s">
        <v>152</v>
      </c>
      <c r="O932" s="46">
        <v>2</v>
      </c>
      <c r="P932" s="30" t="str">
        <f>VLOOKUP(O932,[4]Key!$E$2:$F$9,2,FALSE)</f>
        <v>Work</v>
      </c>
      <c r="Q932" s="13" t="s">
        <v>555</v>
      </c>
      <c r="R932" s="23" t="s">
        <v>556</v>
      </c>
      <c r="S932" s="13" t="s">
        <v>152</v>
      </c>
      <c r="T932" s="23">
        <v>8</v>
      </c>
      <c r="U932" s="30" t="str">
        <f>VLOOKUP(T932,[4]Key!$E$2:$F$9,2,FALSE)</f>
        <v>Others</v>
      </c>
      <c r="V932" s="30" t="str">
        <f t="shared" si="56"/>
        <v>Work-Others</v>
      </c>
      <c r="W932" s="51">
        <v>200000</v>
      </c>
      <c r="X932" s="50">
        <v>600</v>
      </c>
      <c r="Y932" s="50" t="str">
        <f t="shared" si="57"/>
        <v>Over 200</v>
      </c>
      <c r="Z932" s="50">
        <v>8</v>
      </c>
      <c r="AA932" s="50" t="str">
        <f t="shared" si="58"/>
        <v>Over 3.5</v>
      </c>
      <c r="AB932" s="23">
        <v>10</v>
      </c>
      <c r="AC932" s="30" t="str">
        <f>VLOOKUP(AB932,[4]Key!$C$20:$D$29,2,FALSE)</f>
        <v>Other</v>
      </c>
      <c r="AD932" s="23">
        <v>2</v>
      </c>
      <c r="AE932" s="30" t="str">
        <f>VLOOKUP(AD932,[4]Key!$E$20:$F$24,2,FALSE)</f>
        <v>300,000-500,000</v>
      </c>
      <c r="AF932" s="23">
        <v>5</v>
      </c>
      <c r="AG932" s="50">
        <v>4</v>
      </c>
      <c r="AH932" s="50">
        <v>2</v>
      </c>
      <c r="AI932" s="50">
        <v>2</v>
      </c>
      <c r="AJ932" s="50">
        <v>2</v>
      </c>
      <c r="AK932" s="46" t="s">
        <v>94</v>
      </c>
      <c r="AL932" s="36">
        <v>2000</v>
      </c>
      <c r="AM932" t="str">
        <f t="shared" si="59"/>
        <v>2000-3000</v>
      </c>
    </row>
    <row r="933" spans="1:46" x14ac:dyDescent="0.2">
      <c r="A933" s="44" t="s">
        <v>544</v>
      </c>
      <c r="B933" s="48">
        <v>0.33333333333333331</v>
      </c>
      <c r="C933" s="48" t="s">
        <v>628</v>
      </c>
      <c r="D933" s="48" t="s">
        <v>97</v>
      </c>
      <c r="E933" s="13">
        <v>2</v>
      </c>
      <c r="F933" s="38" t="str">
        <f>VLOOKUP(E933,[4]Key!$A$17:$B$21,2,FALSE)</f>
        <v>Road Vehicle</v>
      </c>
      <c r="G933" s="49">
        <v>6</v>
      </c>
      <c r="H933" s="39" t="str">
        <f>VLOOKUP(G933,[4]Key!$A$2:$B$13,2,FALSE)</f>
        <v>Large Bus</v>
      </c>
      <c r="I933" s="13" t="s">
        <v>109</v>
      </c>
      <c r="J933" s="13">
        <v>2</v>
      </c>
      <c r="K933" s="40" t="str">
        <f>VLOOKUP(J933,[4]Key!$A$24:$B$29,2,FALSE)</f>
        <v>30-39</v>
      </c>
      <c r="L933" s="13" t="s">
        <v>454</v>
      </c>
      <c r="M933" s="23" t="s">
        <v>455</v>
      </c>
      <c r="N933" s="13" t="s">
        <v>152</v>
      </c>
      <c r="O933" s="46">
        <v>2</v>
      </c>
      <c r="P933" s="30" t="str">
        <f>VLOOKUP(O933,[4]Key!$E$2:$F$9,2,FALSE)</f>
        <v>Work</v>
      </c>
      <c r="Q933" s="13" t="s">
        <v>467</v>
      </c>
      <c r="R933" s="23" t="s">
        <v>468</v>
      </c>
      <c r="S933" s="13" t="s">
        <v>152</v>
      </c>
      <c r="T933" s="23">
        <v>8</v>
      </c>
      <c r="U933" s="30" t="str">
        <f>VLOOKUP(T933,[4]Key!$E$2:$F$9,2,FALSE)</f>
        <v>Others</v>
      </c>
      <c r="V933" s="30" t="str">
        <f t="shared" si="56"/>
        <v>Work-Others</v>
      </c>
      <c r="W933" s="51">
        <v>200000</v>
      </c>
      <c r="X933" s="50">
        <v>320</v>
      </c>
      <c r="Y933" s="50" t="str">
        <f t="shared" si="57"/>
        <v>Over 200</v>
      </c>
      <c r="Z933" s="50">
        <v>5</v>
      </c>
      <c r="AA933" s="50" t="str">
        <f t="shared" si="58"/>
        <v>Over 3.5</v>
      </c>
      <c r="AB933" s="23">
        <v>5</v>
      </c>
      <c r="AC933" s="30" t="str">
        <f>VLOOKUP(AB933,[4]Key!$C$20:$D$29,2,FALSE)</f>
        <v>Professional</v>
      </c>
      <c r="AD933" s="23">
        <v>2</v>
      </c>
      <c r="AE933" s="30" t="str">
        <f>VLOOKUP(AD933,[4]Key!$E$20:$F$24,2,FALSE)</f>
        <v>300,000-500,000</v>
      </c>
      <c r="AF933" s="23">
        <v>5</v>
      </c>
      <c r="AG933" s="50">
        <v>4</v>
      </c>
      <c r="AH933" s="50">
        <v>5</v>
      </c>
      <c r="AI933" s="50">
        <v>5</v>
      </c>
      <c r="AJ933" s="50">
        <v>5</v>
      </c>
      <c r="AK933" s="46" t="s">
        <v>94</v>
      </c>
      <c r="AL933" s="36">
        <v>2000</v>
      </c>
      <c r="AM933" t="str">
        <f t="shared" si="59"/>
        <v>2000-3000</v>
      </c>
    </row>
    <row r="934" spans="1:46" x14ac:dyDescent="0.2">
      <c r="A934" s="44" t="s">
        <v>544</v>
      </c>
      <c r="B934" s="48">
        <v>0.34652777777777777</v>
      </c>
      <c r="C934" s="48"/>
      <c r="D934" s="48" t="s">
        <v>150</v>
      </c>
      <c r="E934" s="13">
        <v>2</v>
      </c>
      <c r="F934" s="38" t="str">
        <f>VLOOKUP(E934,[4]Key!$A$17:$B$21,2,FALSE)</f>
        <v>Road Vehicle</v>
      </c>
      <c r="G934" s="49">
        <v>6</v>
      </c>
      <c r="H934" s="39" t="str">
        <f>VLOOKUP(G934,[4]Key!$A$2:$B$13,2,FALSE)</f>
        <v>Large Bus</v>
      </c>
      <c r="I934" s="13" t="s">
        <v>109</v>
      </c>
      <c r="J934" s="13">
        <v>2</v>
      </c>
      <c r="K934" s="40" t="str">
        <f>VLOOKUP(J934,[4]Key!$A$24:$B$29,2,FALSE)</f>
        <v>30-39</v>
      </c>
      <c r="L934" s="13" t="s">
        <v>454</v>
      </c>
      <c r="M934" s="23" t="s">
        <v>455</v>
      </c>
      <c r="N934" s="13" t="s">
        <v>152</v>
      </c>
      <c r="O934" s="46">
        <v>1</v>
      </c>
      <c r="P934" s="30" t="str">
        <f>VLOOKUP(O934,[4]Key!$E$2:$F$9,2,FALSE)</f>
        <v>Home</v>
      </c>
      <c r="Q934" s="13" t="s">
        <v>467</v>
      </c>
      <c r="R934" s="23" t="s">
        <v>468</v>
      </c>
      <c r="S934" s="13" t="s">
        <v>152</v>
      </c>
      <c r="T934" s="23">
        <v>8</v>
      </c>
      <c r="U934" s="30" t="str">
        <f>VLOOKUP(T934,[4]Key!$E$2:$F$9,2,FALSE)</f>
        <v>Others</v>
      </c>
      <c r="V934" s="30" t="str">
        <f t="shared" si="56"/>
        <v>Home-Others</v>
      </c>
      <c r="W934" s="51">
        <v>30000</v>
      </c>
      <c r="X934" s="50">
        <v>320</v>
      </c>
      <c r="Y934" s="50" t="str">
        <f t="shared" si="57"/>
        <v>Over 200</v>
      </c>
      <c r="Z934" s="50">
        <v>5</v>
      </c>
      <c r="AA934" s="50" t="str">
        <f t="shared" si="58"/>
        <v>Over 3.5</v>
      </c>
      <c r="AB934" s="23">
        <v>6</v>
      </c>
      <c r="AC934" s="30" t="str">
        <f>VLOOKUP(AB934,[4]Key!$C$20:$D$29,2,FALSE)</f>
        <v>Businessman</v>
      </c>
      <c r="AD934" s="23">
        <v>1</v>
      </c>
      <c r="AE934" s="30" t="str">
        <f>VLOOKUP(AD934,[4]Key!$E$20:$F$24,2,FALSE)</f>
        <v>&lt;300,000</v>
      </c>
      <c r="AF934" s="23">
        <v>2</v>
      </c>
      <c r="AG934" s="50">
        <v>2</v>
      </c>
      <c r="AH934" s="50">
        <v>2</v>
      </c>
      <c r="AI934" s="50">
        <v>2</v>
      </c>
      <c r="AJ934" s="50">
        <v>2</v>
      </c>
      <c r="AK934" s="46" t="s">
        <v>94</v>
      </c>
      <c r="AL934" s="36">
        <v>0</v>
      </c>
      <c r="AM934" t="str">
        <f t="shared" si="59"/>
        <v>0-1000</v>
      </c>
    </row>
    <row r="935" spans="1:46" x14ac:dyDescent="0.2">
      <c r="A935" s="44" t="s">
        <v>544</v>
      </c>
      <c r="B935" s="48">
        <v>0.29444444444444445</v>
      </c>
      <c r="C935" s="48" t="s">
        <v>629</v>
      </c>
      <c r="D935" s="48" t="s">
        <v>97</v>
      </c>
      <c r="E935" s="13">
        <v>2</v>
      </c>
      <c r="F935" s="38" t="str">
        <f>VLOOKUP(E935,[4]Key!$A$17:$B$21,2,FALSE)</f>
        <v>Road Vehicle</v>
      </c>
      <c r="G935" s="49">
        <v>6</v>
      </c>
      <c r="H935" s="39" t="str">
        <f>VLOOKUP(G935,[4]Key!$A$2:$B$13,2,FALSE)</f>
        <v>Large Bus</v>
      </c>
      <c r="I935" s="13" t="s">
        <v>109</v>
      </c>
      <c r="J935" s="13">
        <v>2</v>
      </c>
      <c r="K935" s="40" t="str">
        <f>VLOOKUP(J935,[4]Key!$A$24:$B$29,2,FALSE)</f>
        <v>30-39</v>
      </c>
      <c r="L935" s="13" t="s">
        <v>484</v>
      </c>
      <c r="M935" s="23" t="s">
        <v>485</v>
      </c>
      <c r="N935" s="13" t="s">
        <v>152</v>
      </c>
      <c r="O935" s="46">
        <v>2</v>
      </c>
      <c r="P935" s="30" t="str">
        <f>VLOOKUP(O935,[4]Key!$E$2:$F$9,2,FALSE)</f>
        <v>Work</v>
      </c>
      <c r="Q935" s="13" t="s">
        <v>434</v>
      </c>
      <c r="R935" s="23" t="s">
        <v>153</v>
      </c>
      <c r="S935" s="13" t="s">
        <v>152</v>
      </c>
      <c r="T935" s="23">
        <v>2</v>
      </c>
      <c r="U935" s="30" t="str">
        <f>VLOOKUP(T935,[4]Key!$E$2:$F$9,2,FALSE)</f>
        <v>Work</v>
      </c>
      <c r="V935" s="30" t="str">
        <f t="shared" si="56"/>
        <v>Work-Work</v>
      </c>
      <c r="W935" s="51">
        <v>380000</v>
      </c>
      <c r="X935" s="50">
        <v>480</v>
      </c>
      <c r="Y935" s="50" t="str">
        <f t="shared" si="57"/>
        <v>Over 200</v>
      </c>
      <c r="Z935" s="50">
        <v>12</v>
      </c>
      <c r="AA935" s="50" t="str">
        <f t="shared" si="58"/>
        <v>Over 3.5</v>
      </c>
      <c r="AB935" s="23">
        <v>5</v>
      </c>
      <c r="AC935" s="30" t="str">
        <f>VLOOKUP(AB935,[4]Key!$C$20:$D$29,2,FALSE)</f>
        <v>Professional</v>
      </c>
      <c r="AD935" s="23">
        <v>5</v>
      </c>
      <c r="AE935" s="30" t="str">
        <f>VLOOKUP(AD935,[4]Key!$E$20:$F$24,2,FALSE)</f>
        <v>&gt;1,000,000</v>
      </c>
      <c r="AF935" s="23">
        <v>2</v>
      </c>
      <c r="AG935" s="50">
        <v>1</v>
      </c>
      <c r="AH935" s="50">
        <v>2</v>
      </c>
      <c r="AI935" s="50">
        <v>2</v>
      </c>
      <c r="AJ935" s="50">
        <v>1</v>
      </c>
      <c r="AK935" s="46" t="s">
        <v>94</v>
      </c>
      <c r="AL935" s="36">
        <v>5000</v>
      </c>
      <c r="AM935" t="str">
        <f t="shared" si="59"/>
        <v>5000-10000</v>
      </c>
    </row>
    <row r="936" spans="1:46" x14ac:dyDescent="0.2">
      <c r="A936" s="44" t="s">
        <v>541</v>
      </c>
      <c r="B936" s="48">
        <v>0.6777777777777777</v>
      </c>
      <c r="C936" s="48"/>
      <c r="D936" s="48" t="s">
        <v>150</v>
      </c>
      <c r="E936" s="13">
        <v>2</v>
      </c>
      <c r="F936" s="38" t="str">
        <f>VLOOKUP(E936,[4]Key!$A$17:$B$21,2,FALSE)</f>
        <v>Road Vehicle</v>
      </c>
      <c r="G936" s="49">
        <v>7</v>
      </c>
      <c r="H936" s="39" t="str">
        <f>VLOOKUP(G936,[4]Key!$A$2:$B$13,2,FALSE)</f>
        <v xml:space="preserve">Light Truck </v>
      </c>
      <c r="I936" s="13" t="s">
        <v>156</v>
      </c>
      <c r="J936" s="13">
        <v>2</v>
      </c>
      <c r="K936" s="40" t="str">
        <f>VLOOKUP(J936,[4]Key!$A$24:$B$29,2,FALSE)</f>
        <v>30-39</v>
      </c>
      <c r="L936" s="13" t="s">
        <v>484</v>
      </c>
      <c r="M936" s="23" t="s">
        <v>485</v>
      </c>
      <c r="N936" s="13" t="s">
        <v>152</v>
      </c>
      <c r="O936" s="46">
        <v>2</v>
      </c>
      <c r="P936" s="30" t="str">
        <f>VLOOKUP(O936,[4]Key!$E$2:$F$9,2,FALSE)</f>
        <v>Work</v>
      </c>
      <c r="Q936" s="13" t="s">
        <v>424</v>
      </c>
      <c r="R936" s="23" t="s">
        <v>421</v>
      </c>
      <c r="S936" s="13" t="s">
        <v>152</v>
      </c>
      <c r="T936" s="23">
        <v>4</v>
      </c>
      <c r="U936" s="30" t="str">
        <f>VLOOKUP(T936,[4]Key!$E$2:$F$9,2,FALSE)</f>
        <v>Commercial</v>
      </c>
      <c r="V936" s="30" t="str">
        <f t="shared" si="56"/>
        <v>Work-Commercial</v>
      </c>
      <c r="W936" s="51">
        <v>30000</v>
      </c>
      <c r="X936" s="50">
        <v>280</v>
      </c>
      <c r="Y936" s="50" t="str">
        <f t="shared" si="57"/>
        <v>Over 200</v>
      </c>
      <c r="Z936" s="50">
        <v>6</v>
      </c>
      <c r="AA936" s="50" t="str">
        <f t="shared" si="58"/>
        <v>Over 3.5</v>
      </c>
      <c r="AB936" s="23">
        <v>6</v>
      </c>
      <c r="AC936" s="30" t="str">
        <f>VLOOKUP(AB936,[4]Key!$C$20:$D$29,2,FALSE)</f>
        <v>Businessman</v>
      </c>
      <c r="AD936" s="23">
        <v>3</v>
      </c>
      <c r="AE936" s="30" t="str">
        <f>VLOOKUP(AD936,[4]Key!$E$20:$F$24,2,FALSE)</f>
        <v>500,000-750,000</v>
      </c>
      <c r="AF936" s="23">
        <v>2</v>
      </c>
      <c r="AG936" s="50">
        <v>2</v>
      </c>
      <c r="AH936" s="50">
        <v>3</v>
      </c>
      <c r="AI936" s="50">
        <v>2</v>
      </c>
      <c r="AJ936" s="50">
        <v>2</v>
      </c>
      <c r="AK936" s="46" t="s">
        <v>94</v>
      </c>
      <c r="AL936" s="36">
        <v>0</v>
      </c>
      <c r="AM936" t="str">
        <f t="shared" si="59"/>
        <v>0-1000</v>
      </c>
    </row>
    <row r="937" spans="1:46" x14ac:dyDescent="0.2">
      <c r="A937" s="44" t="s">
        <v>541</v>
      </c>
      <c r="B937" s="48">
        <v>0.7284722222222223</v>
      </c>
      <c r="C937" s="48"/>
      <c r="D937" s="48" t="s">
        <v>97</v>
      </c>
      <c r="E937" s="13">
        <v>2</v>
      </c>
      <c r="F937" s="38" t="str">
        <f>VLOOKUP(E937,[4]Key!$A$17:$B$21,2,FALSE)</f>
        <v>Road Vehicle</v>
      </c>
      <c r="G937" s="49">
        <v>7</v>
      </c>
      <c r="H937" s="39" t="str">
        <f>VLOOKUP(G937,[4]Key!$A$2:$B$13,2,FALSE)</f>
        <v xml:space="preserve">Light Truck </v>
      </c>
      <c r="I937" s="13" t="s">
        <v>109</v>
      </c>
      <c r="J937" s="13">
        <v>2</v>
      </c>
      <c r="K937" s="40" t="str">
        <f>VLOOKUP(J937,[4]Key!$A$24:$B$29,2,FALSE)</f>
        <v>30-39</v>
      </c>
      <c r="L937" s="13" t="s">
        <v>630</v>
      </c>
      <c r="M937" s="23" t="s">
        <v>455</v>
      </c>
      <c r="N937" s="13" t="s">
        <v>152</v>
      </c>
      <c r="O937" s="46">
        <v>2</v>
      </c>
      <c r="P937" s="30" t="str">
        <f>VLOOKUP(O937,[4]Key!$E$2:$F$9,2,FALSE)</f>
        <v>Work</v>
      </c>
      <c r="Q937" s="13" t="s">
        <v>454</v>
      </c>
      <c r="R937" s="23" t="s">
        <v>455</v>
      </c>
      <c r="S937" s="13" t="s">
        <v>152</v>
      </c>
      <c r="T937" s="23">
        <v>4</v>
      </c>
      <c r="U937" s="30" t="str">
        <f>VLOOKUP(T937,[4]Key!$E$2:$F$9,2,FALSE)</f>
        <v>Commercial</v>
      </c>
      <c r="V937" s="30" t="str">
        <f t="shared" si="56"/>
        <v>Work-Commercial</v>
      </c>
      <c r="W937" s="51">
        <v>30000</v>
      </c>
      <c r="X937" s="50">
        <v>21</v>
      </c>
      <c r="Y937" s="50" t="str">
        <f t="shared" si="57"/>
        <v>20-40</v>
      </c>
      <c r="Z937" s="50">
        <v>1</v>
      </c>
      <c r="AA937" s="50" t="str">
        <f t="shared" si="58"/>
        <v>1.0-2.0</v>
      </c>
      <c r="AB937" s="23">
        <v>7</v>
      </c>
      <c r="AC937" s="30" t="str">
        <f>VLOOKUP(AB937,[4]Key!$C$20:$D$29,2,FALSE)</f>
        <v>Farmer</v>
      </c>
      <c r="AD937" s="23">
        <v>3</v>
      </c>
      <c r="AE937" s="30" t="str">
        <f>VLOOKUP(AD937,[4]Key!$E$20:$F$24,2,FALSE)</f>
        <v>500,000-750,000</v>
      </c>
      <c r="AF937" s="23">
        <v>3</v>
      </c>
      <c r="AG937" s="50">
        <v>3</v>
      </c>
      <c r="AH937" s="50">
        <v>4</v>
      </c>
      <c r="AI937" s="50">
        <v>5</v>
      </c>
      <c r="AJ937" s="50">
        <v>3</v>
      </c>
      <c r="AK937" s="46" t="s">
        <v>94</v>
      </c>
      <c r="AL937" s="36">
        <v>1000</v>
      </c>
      <c r="AM937" t="str">
        <f t="shared" si="59"/>
        <v>1000-2000</v>
      </c>
    </row>
    <row r="938" spans="1:46" x14ac:dyDescent="0.2">
      <c r="A938" s="44" t="s">
        <v>541</v>
      </c>
      <c r="B938" s="48">
        <v>0.76527777777777783</v>
      </c>
      <c r="C938" s="48"/>
      <c r="D938" s="48" t="s">
        <v>150</v>
      </c>
      <c r="E938" s="13">
        <v>2</v>
      </c>
      <c r="F938" s="38" t="str">
        <f>VLOOKUP(E938,[4]Key!$A$17:$B$21,2,FALSE)</f>
        <v>Road Vehicle</v>
      </c>
      <c r="G938" s="49">
        <v>4</v>
      </c>
      <c r="H938" s="39" t="str">
        <f>VLOOKUP(G938,[4]Key!$A$2:$B$13,2,FALSE)</f>
        <v>Minibus</v>
      </c>
      <c r="I938" s="13" t="s">
        <v>156</v>
      </c>
      <c r="J938" s="13">
        <v>2</v>
      </c>
      <c r="K938" s="40" t="str">
        <f>VLOOKUP(J938,[4]Key!$A$24:$B$29,2,FALSE)</f>
        <v>30-39</v>
      </c>
      <c r="L938" s="13" t="s">
        <v>542</v>
      </c>
      <c r="M938" s="23" t="s">
        <v>543</v>
      </c>
      <c r="N938" s="13" t="s">
        <v>152</v>
      </c>
      <c r="O938" s="46">
        <v>4</v>
      </c>
      <c r="P938" s="30" t="str">
        <f>VLOOKUP(O938,[4]Key!$E$2:$F$9,2,FALSE)</f>
        <v>Commercial</v>
      </c>
      <c r="Q938" s="13" t="s">
        <v>454</v>
      </c>
      <c r="R938" s="23" t="s">
        <v>455</v>
      </c>
      <c r="S938" s="13" t="s">
        <v>152</v>
      </c>
      <c r="T938" s="23">
        <v>1</v>
      </c>
      <c r="U938" s="30" t="str">
        <f>VLOOKUP(T938,[4]Key!$E$2:$F$9,2,FALSE)</f>
        <v>Home</v>
      </c>
      <c r="V938" s="30" t="str">
        <f t="shared" si="56"/>
        <v>Commercial-Home</v>
      </c>
      <c r="W938" s="51">
        <v>5000</v>
      </c>
      <c r="X938" s="50">
        <v>51</v>
      </c>
      <c r="Y938" s="50" t="str">
        <f t="shared" si="57"/>
        <v>40-70</v>
      </c>
      <c r="Z938" s="50">
        <v>1</v>
      </c>
      <c r="AA938" s="50" t="str">
        <f t="shared" si="58"/>
        <v>1.0-2.0</v>
      </c>
      <c r="AB938" s="23">
        <v>6</v>
      </c>
      <c r="AC938" s="30" t="str">
        <f>VLOOKUP(AB938,[4]Key!$C$20:$D$29,2,FALSE)</f>
        <v>Businessman</v>
      </c>
      <c r="AD938" s="23">
        <v>4</v>
      </c>
      <c r="AE938" s="30" t="str">
        <f>VLOOKUP(AD938,[4]Key!$E$20:$F$24,2,FALSE)</f>
        <v>750,000-1,000,000</v>
      </c>
      <c r="AF938" s="23">
        <v>3</v>
      </c>
      <c r="AG938" s="50">
        <v>2</v>
      </c>
      <c r="AH938" s="50">
        <v>2</v>
      </c>
      <c r="AI938" s="50">
        <v>2</v>
      </c>
      <c r="AJ938" s="50">
        <v>2</v>
      </c>
      <c r="AK938" s="46" t="s">
        <v>94</v>
      </c>
      <c r="AL938" s="36">
        <v>1500</v>
      </c>
      <c r="AM938" t="str">
        <f t="shared" si="59"/>
        <v>1000-2000</v>
      </c>
      <c r="AN938" s="19"/>
      <c r="AO938" s="19"/>
      <c r="AP938" s="19"/>
      <c r="AQ938" s="19"/>
      <c r="AR938" s="19"/>
      <c r="AS938" s="19"/>
      <c r="AT938" s="19"/>
    </row>
    <row r="939" spans="1:46" x14ac:dyDescent="0.2">
      <c r="A939" s="44" t="s">
        <v>541</v>
      </c>
      <c r="B939" s="48">
        <v>0.67986111111111114</v>
      </c>
      <c r="C939" s="48"/>
      <c r="D939" s="48" t="s">
        <v>150</v>
      </c>
      <c r="E939" s="13">
        <v>2</v>
      </c>
      <c r="F939" s="38" t="str">
        <f>VLOOKUP(E939,[4]Key!$A$17:$B$21,2,FALSE)</f>
        <v>Road Vehicle</v>
      </c>
      <c r="G939" s="49">
        <v>4</v>
      </c>
      <c r="H939" s="39" t="str">
        <f>VLOOKUP(G939,[4]Key!$A$2:$B$13,2,FALSE)</f>
        <v>Minibus</v>
      </c>
      <c r="I939" s="13" t="s">
        <v>156</v>
      </c>
      <c r="J939" s="13">
        <v>2</v>
      </c>
      <c r="K939" s="40" t="str">
        <f>VLOOKUP(J939,[4]Key!$A$24:$B$29,2,FALSE)</f>
        <v>30-39</v>
      </c>
      <c r="L939" s="13" t="s">
        <v>631</v>
      </c>
      <c r="M939" s="23" t="s">
        <v>455</v>
      </c>
      <c r="N939" s="13" t="s">
        <v>152</v>
      </c>
      <c r="O939" s="46">
        <v>1</v>
      </c>
      <c r="P939" s="30" t="str">
        <f>VLOOKUP(O939,[4]Key!$E$2:$F$9,2,FALSE)</f>
        <v>Home</v>
      </c>
      <c r="Q939" s="13" t="s">
        <v>454</v>
      </c>
      <c r="R939" s="23" t="s">
        <v>455</v>
      </c>
      <c r="S939" s="13" t="s">
        <v>152</v>
      </c>
      <c r="T939" s="23">
        <v>4</v>
      </c>
      <c r="U939" s="30" t="str">
        <f>VLOOKUP(T939,[4]Key!$E$2:$F$9,2,FALSE)</f>
        <v>Commercial</v>
      </c>
      <c r="V939" s="30" t="str">
        <f t="shared" si="56"/>
        <v>Home-Commercial</v>
      </c>
      <c r="W939" s="51">
        <v>3000</v>
      </c>
      <c r="X939" s="50">
        <v>42</v>
      </c>
      <c r="Y939" s="50" t="str">
        <f t="shared" si="57"/>
        <v>40-70</v>
      </c>
      <c r="Z939" s="50">
        <v>2</v>
      </c>
      <c r="AA939" s="50" t="str">
        <f t="shared" si="58"/>
        <v>2.0-3.5</v>
      </c>
      <c r="AB939" s="23">
        <v>6</v>
      </c>
      <c r="AC939" s="30" t="str">
        <f>VLOOKUP(AB939,[4]Key!$C$20:$D$29,2,FALSE)</f>
        <v>Businessman</v>
      </c>
      <c r="AD939" s="23">
        <v>4</v>
      </c>
      <c r="AE939" s="30" t="str">
        <f>VLOOKUP(AD939,[4]Key!$E$20:$F$24,2,FALSE)</f>
        <v>750,000-1,000,000</v>
      </c>
      <c r="AF939" s="23">
        <v>3</v>
      </c>
      <c r="AG939" s="50">
        <v>2</v>
      </c>
      <c r="AH939" s="50">
        <v>3</v>
      </c>
      <c r="AI939" s="50">
        <v>4</v>
      </c>
      <c r="AJ939" s="50">
        <v>2</v>
      </c>
      <c r="AK939" s="46" t="s">
        <v>94</v>
      </c>
      <c r="AL939" s="36">
        <v>2000</v>
      </c>
      <c r="AM939" t="str">
        <f t="shared" si="59"/>
        <v>2000-3000</v>
      </c>
    </row>
    <row r="940" spans="1:46" x14ac:dyDescent="0.2">
      <c r="A940" s="44" t="s">
        <v>541</v>
      </c>
      <c r="B940" s="48">
        <v>0.78263888888888899</v>
      </c>
      <c r="C940" s="48"/>
      <c r="D940" s="48" t="s">
        <v>150</v>
      </c>
      <c r="E940" s="13">
        <v>2</v>
      </c>
      <c r="F940" s="38" t="str">
        <f>VLOOKUP(E940,[4]Key!$A$17:$B$21,2,FALSE)</f>
        <v>Road Vehicle</v>
      </c>
      <c r="G940" s="49">
        <v>4</v>
      </c>
      <c r="H940" s="39" t="str">
        <f>VLOOKUP(G940,[4]Key!$A$2:$B$13,2,FALSE)</f>
        <v>Minibus</v>
      </c>
      <c r="I940" s="13" t="s">
        <v>156</v>
      </c>
      <c r="J940" s="13">
        <v>2</v>
      </c>
      <c r="K940" s="40" t="str">
        <f>VLOOKUP(J940,[4]Key!$A$24:$B$29,2,FALSE)</f>
        <v>30-39</v>
      </c>
      <c r="L940" s="13" t="s">
        <v>454</v>
      </c>
      <c r="M940" s="23" t="s">
        <v>455</v>
      </c>
      <c r="N940" s="13" t="s">
        <v>152</v>
      </c>
      <c r="O940" s="46">
        <v>1</v>
      </c>
      <c r="P940" s="30" t="str">
        <f>VLOOKUP(O940,[4]Key!$E$2:$F$9,2,FALSE)</f>
        <v>Home</v>
      </c>
      <c r="Q940" s="13" t="s">
        <v>424</v>
      </c>
      <c r="R940" s="23" t="s">
        <v>421</v>
      </c>
      <c r="S940" s="13" t="s">
        <v>152</v>
      </c>
      <c r="T940" s="23">
        <v>4</v>
      </c>
      <c r="U940" s="30" t="str">
        <f>VLOOKUP(T940,[4]Key!$E$2:$F$9,2,FALSE)</f>
        <v>Commercial</v>
      </c>
      <c r="V940" s="30" t="str">
        <f t="shared" si="56"/>
        <v>Home-Commercial</v>
      </c>
      <c r="W940" s="51">
        <v>10000</v>
      </c>
      <c r="X940" s="50">
        <v>136</v>
      </c>
      <c r="Y940" s="50" t="str">
        <f t="shared" si="57"/>
        <v>100-200</v>
      </c>
      <c r="Z940" s="50">
        <v>2</v>
      </c>
      <c r="AA940" s="50" t="str">
        <f t="shared" si="58"/>
        <v>2.0-3.5</v>
      </c>
      <c r="AB940" s="23">
        <v>7</v>
      </c>
      <c r="AC940" s="30" t="str">
        <f>VLOOKUP(AB940,[4]Key!$C$20:$D$29,2,FALSE)</f>
        <v>Farmer</v>
      </c>
      <c r="AD940" s="23">
        <v>1</v>
      </c>
      <c r="AE940" s="30" t="str">
        <f>VLOOKUP(AD940,[4]Key!$E$20:$F$24,2,FALSE)</f>
        <v>&lt;300,000</v>
      </c>
      <c r="AF940" s="23">
        <v>5</v>
      </c>
      <c r="AG940" s="50">
        <v>1</v>
      </c>
      <c r="AH940" s="50">
        <v>1</v>
      </c>
      <c r="AI940" s="50">
        <v>1</v>
      </c>
      <c r="AJ940" s="50">
        <v>1</v>
      </c>
      <c r="AK940" s="46" t="s">
        <v>94</v>
      </c>
      <c r="AL940" s="36">
        <v>1000</v>
      </c>
      <c r="AM940" t="str">
        <f t="shared" si="59"/>
        <v>1000-2000</v>
      </c>
    </row>
    <row r="941" spans="1:46" x14ac:dyDescent="0.2">
      <c r="A941" s="44" t="s">
        <v>547</v>
      </c>
      <c r="B941" s="48">
        <v>0.37291666666666662</v>
      </c>
      <c r="C941" s="48" t="s">
        <v>632</v>
      </c>
      <c r="D941" s="48" t="s">
        <v>97</v>
      </c>
      <c r="E941" s="13">
        <v>2</v>
      </c>
      <c r="F941" s="38" t="str">
        <f>VLOOKUP(E941,[4]Key!$A$17:$B$21,2,FALSE)</f>
        <v>Road Vehicle</v>
      </c>
      <c r="G941" s="49">
        <v>4</v>
      </c>
      <c r="H941" s="39" t="str">
        <f>VLOOKUP(G941,[4]Key!$A$2:$B$13,2,FALSE)</f>
        <v>Minibus</v>
      </c>
      <c r="I941" s="13" t="s">
        <v>156</v>
      </c>
      <c r="J941" s="13">
        <v>2</v>
      </c>
      <c r="K941" s="40" t="str">
        <f>VLOOKUP(J941,[4]Key!$A$24:$B$29,2,FALSE)</f>
        <v>30-39</v>
      </c>
      <c r="L941" s="13" t="s">
        <v>427</v>
      </c>
      <c r="M941" s="23" t="s">
        <v>428</v>
      </c>
      <c r="N941" s="13" t="s">
        <v>152</v>
      </c>
      <c r="O941" s="46">
        <v>1</v>
      </c>
      <c r="P941" s="30" t="str">
        <f>VLOOKUP(O941,[4]Key!$E$2:$F$9,2,FALSE)</f>
        <v>Home</v>
      </c>
      <c r="Q941" s="13" t="s">
        <v>434</v>
      </c>
      <c r="R941" s="23" t="s">
        <v>153</v>
      </c>
      <c r="S941" s="13" t="s">
        <v>152</v>
      </c>
      <c r="T941" s="23">
        <v>2</v>
      </c>
      <c r="U941" s="30" t="str">
        <f>VLOOKUP(T941,[4]Key!$E$2:$F$9,2,FALSE)</f>
        <v>Work</v>
      </c>
      <c r="V941" s="30" t="str">
        <f t="shared" si="56"/>
        <v>Home-Work</v>
      </c>
      <c r="W941" s="51">
        <v>400000</v>
      </c>
      <c r="X941" s="50">
        <v>470</v>
      </c>
      <c r="Y941" s="50" t="str">
        <f t="shared" si="57"/>
        <v>Over 200</v>
      </c>
      <c r="Z941" s="50">
        <v>5</v>
      </c>
      <c r="AA941" s="50" t="str">
        <f t="shared" si="58"/>
        <v>Over 3.5</v>
      </c>
      <c r="AB941" s="23">
        <v>4</v>
      </c>
      <c r="AC941" s="30" t="str">
        <f>VLOOKUP(AB941,[4]Key!$C$20:$D$29,2,FALSE)</f>
        <v>Office Worker</v>
      </c>
      <c r="AD941" s="23">
        <v>2</v>
      </c>
      <c r="AE941" s="30" t="str">
        <f>VLOOKUP(AD941,[4]Key!$E$20:$F$24,2,FALSE)</f>
        <v>300,000-500,000</v>
      </c>
      <c r="AF941" s="23">
        <v>1</v>
      </c>
      <c r="AG941" s="50">
        <v>5</v>
      </c>
      <c r="AH941" s="50">
        <v>5</v>
      </c>
      <c r="AI941" s="50">
        <v>5</v>
      </c>
      <c r="AJ941" s="50">
        <v>1</v>
      </c>
      <c r="AK941" s="46" t="s">
        <v>94</v>
      </c>
      <c r="AL941" s="36">
        <v>1000</v>
      </c>
      <c r="AM941" t="str">
        <f t="shared" si="59"/>
        <v>1000-2000</v>
      </c>
    </row>
    <row r="942" spans="1:46" x14ac:dyDescent="0.2">
      <c r="A942" s="44" t="s">
        <v>547</v>
      </c>
      <c r="B942" s="48">
        <v>0.38194444444444442</v>
      </c>
      <c r="C942" s="48"/>
      <c r="D942" s="48" t="s">
        <v>150</v>
      </c>
      <c r="E942" s="13">
        <v>2</v>
      </c>
      <c r="F942" s="38" t="str">
        <f>VLOOKUP(E942,[4]Key!$A$17:$B$21,2,FALSE)</f>
        <v>Road Vehicle</v>
      </c>
      <c r="G942" s="49">
        <v>4</v>
      </c>
      <c r="H942" s="39" t="str">
        <f>VLOOKUP(G942,[4]Key!$A$2:$B$13,2,FALSE)</f>
        <v>Minibus</v>
      </c>
      <c r="I942" s="13" t="s">
        <v>156</v>
      </c>
      <c r="J942" s="13">
        <v>2</v>
      </c>
      <c r="K942" s="40" t="str">
        <f>VLOOKUP(J942,[4]Key!$A$24:$B$29,2,FALSE)</f>
        <v>30-39</v>
      </c>
      <c r="L942" s="13"/>
      <c r="M942" s="23"/>
      <c r="N942" s="13" t="s">
        <v>152</v>
      </c>
      <c r="O942" s="46">
        <v>1</v>
      </c>
      <c r="P942" s="30" t="str">
        <f>VLOOKUP(O942,[4]Key!$E$2:$F$9,2,FALSE)</f>
        <v>Home</v>
      </c>
      <c r="Q942" s="13"/>
      <c r="R942" s="23"/>
      <c r="S942" s="13" t="s">
        <v>152</v>
      </c>
      <c r="T942" s="23">
        <v>2</v>
      </c>
      <c r="U942" s="30" t="str">
        <f>VLOOKUP(T942,[4]Key!$E$2:$F$9,2,FALSE)</f>
        <v>Work</v>
      </c>
      <c r="V942" s="30" t="str">
        <f t="shared" si="56"/>
        <v>Home-Work</v>
      </c>
      <c r="W942" s="23"/>
      <c r="X942" s="50"/>
      <c r="Y942" s="50" t="str">
        <f t="shared" si="57"/>
        <v>0-10</v>
      </c>
      <c r="Z942" s="50"/>
      <c r="AA942" s="50" t="str">
        <f t="shared" si="58"/>
        <v>0-0.5</v>
      </c>
      <c r="AB942" s="23">
        <v>5</v>
      </c>
      <c r="AC942" s="30" t="str">
        <f>VLOOKUP(AB942,[4]Key!$C$20:$D$29,2,FALSE)</f>
        <v>Professional</v>
      </c>
      <c r="AD942" s="23">
        <v>5</v>
      </c>
      <c r="AE942" s="30" t="str">
        <f>VLOOKUP(AD942,[4]Key!$E$20:$F$24,2,FALSE)</f>
        <v>&gt;1,000,000</v>
      </c>
      <c r="AF942" s="23">
        <v>5</v>
      </c>
      <c r="AG942" s="50">
        <v>1</v>
      </c>
      <c r="AH942" s="50">
        <v>1</v>
      </c>
      <c r="AI942" s="50">
        <v>5</v>
      </c>
      <c r="AJ942" s="50">
        <v>5</v>
      </c>
      <c r="AK942" s="46" t="s">
        <v>94</v>
      </c>
      <c r="AL942" s="36">
        <v>2000</v>
      </c>
      <c r="AM942" t="str">
        <f t="shared" si="59"/>
        <v>2000-3000</v>
      </c>
    </row>
    <row r="943" spans="1:46" x14ac:dyDescent="0.2">
      <c r="A943" s="44" t="s">
        <v>547</v>
      </c>
      <c r="B943" s="48">
        <v>0.38680555555555557</v>
      </c>
      <c r="C943" s="48"/>
      <c r="D943" s="48" t="s">
        <v>150</v>
      </c>
      <c r="E943" s="13">
        <v>2</v>
      </c>
      <c r="F943" s="38" t="str">
        <f>VLOOKUP(E943,[4]Key!$A$17:$B$21,2,FALSE)</f>
        <v>Road Vehicle</v>
      </c>
      <c r="G943" s="49">
        <v>4</v>
      </c>
      <c r="H943" s="39" t="str">
        <f>VLOOKUP(G943,[4]Key!$A$2:$B$13,2,FALSE)</f>
        <v>Minibus</v>
      </c>
      <c r="I943" s="13" t="s">
        <v>156</v>
      </c>
      <c r="J943" s="13">
        <v>2</v>
      </c>
      <c r="K943" s="40" t="str">
        <f>VLOOKUP(J943,[4]Key!$A$24:$B$29,2,FALSE)</f>
        <v>30-39</v>
      </c>
      <c r="L943" s="13" t="s">
        <v>546</v>
      </c>
      <c r="M943" s="23" t="s">
        <v>455</v>
      </c>
      <c r="N943" s="13" t="s">
        <v>152</v>
      </c>
      <c r="O943" s="46">
        <v>1</v>
      </c>
      <c r="P943" s="30" t="str">
        <f>VLOOKUP(O943,[4]Key!$E$2:$F$9,2,FALSE)</f>
        <v>Home</v>
      </c>
      <c r="Q943" s="13" t="s">
        <v>454</v>
      </c>
      <c r="R943" s="23" t="s">
        <v>455</v>
      </c>
      <c r="S943" s="13" t="s">
        <v>152</v>
      </c>
      <c r="T943" s="23">
        <v>4</v>
      </c>
      <c r="U943" s="30" t="str">
        <f>VLOOKUP(T943,[4]Key!$E$2:$F$9,2,FALSE)</f>
        <v>Commercial</v>
      </c>
      <c r="V943" s="30" t="str">
        <f t="shared" si="56"/>
        <v>Home-Commercial</v>
      </c>
      <c r="W943" s="51">
        <v>4000</v>
      </c>
      <c r="X943" s="50">
        <v>2</v>
      </c>
      <c r="Y943" s="50" t="str">
        <f t="shared" si="57"/>
        <v>0-10</v>
      </c>
      <c r="Z943" s="50">
        <v>0.33</v>
      </c>
      <c r="AA943" s="50" t="str">
        <f t="shared" si="58"/>
        <v>0-0.5</v>
      </c>
      <c r="AB943" s="23">
        <v>2</v>
      </c>
      <c r="AC943" s="30" t="str">
        <f>VLOOKUP(AB943,[4]Key!$C$20:$D$29,2,FALSE)</f>
        <v>Manual Labour</v>
      </c>
      <c r="AD943" s="23">
        <v>2</v>
      </c>
      <c r="AE943" s="30" t="str">
        <f>VLOOKUP(AD943,[4]Key!$E$20:$F$24,2,FALSE)</f>
        <v>300,000-500,000</v>
      </c>
      <c r="AF943" s="23">
        <v>1</v>
      </c>
      <c r="AG943" s="50">
        <v>1</v>
      </c>
      <c r="AH943" s="50">
        <v>5</v>
      </c>
      <c r="AI943" s="50">
        <v>5</v>
      </c>
      <c r="AJ943" s="50">
        <v>1</v>
      </c>
      <c r="AK943" s="46" t="s">
        <v>94</v>
      </c>
      <c r="AL943" s="36">
        <v>6000</v>
      </c>
      <c r="AM943" t="str">
        <f t="shared" si="59"/>
        <v>5000-10000</v>
      </c>
    </row>
    <row r="944" spans="1:46" x14ac:dyDescent="0.2">
      <c r="A944" s="44" t="s">
        <v>547</v>
      </c>
      <c r="B944" s="48">
        <v>0.4069444444444445</v>
      </c>
      <c r="C944" s="48" t="s">
        <v>633</v>
      </c>
      <c r="D944" s="48" t="s">
        <v>97</v>
      </c>
      <c r="E944" s="13">
        <v>2</v>
      </c>
      <c r="F944" s="38" t="str">
        <f>VLOOKUP(E944,[4]Key!$A$17:$B$21,2,FALSE)</f>
        <v>Road Vehicle</v>
      </c>
      <c r="G944" s="49">
        <v>4</v>
      </c>
      <c r="H944" s="39" t="str">
        <f>VLOOKUP(G944,[4]Key!$A$2:$B$13,2,FALSE)</f>
        <v>Minibus</v>
      </c>
      <c r="I944" s="13" t="s">
        <v>156</v>
      </c>
      <c r="J944" s="13">
        <v>2</v>
      </c>
      <c r="K944" s="40" t="str">
        <f>VLOOKUP(J944,[4]Key!$A$24:$B$29,2,FALSE)</f>
        <v>30-39</v>
      </c>
      <c r="L944" s="13" t="s">
        <v>552</v>
      </c>
      <c r="M944" s="23" t="s">
        <v>455</v>
      </c>
      <c r="N944" s="13" t="s">
        <v>152</v>
      </c>
      <c r="O944" s="46">
        <v>1</v>
      </c>
      <c r="P944" s="30" t="str">
        <f>VLOOKUP(O944,[4]Key!$E$2:$F$9,2,FALSE)</f>
        <v>Home</v>
      </c>
      <c r="Q944" s="13" t="s">
        <v>454</v>
      </c>
      <c r="R944" s="23" t="s">
        <v>455</v>
      </c>
      <c r="S944" s="13" t="s">
        <v>152</v>
      </c>
      <c r="T944" s="23">
        <v>2</v>
      </c>
      <c r="U944" s="30" t="str">
        <f>VLOOKUP(T944,[4]Key!$E$2:$F$9,2,FALSE)</f>
        <v>Work</v>
      </c>
      <c r="V944" s="30" t="str">
        <f t="shared" si="56"/>
        <v>Home-Work</v>
      </c>
      <c r="W944" s="51">
        <v>10000</v>
      </c>
      <c r="X944" s="50">
        <v>3</v>
      </c>
      <c r="Y944" s="50" t="str">
        <f t="shared" si="57"/>
        <v>0-10</v>
      </c>
      <c r="Z944" s="50">
        <v>0.25</v>
      </c>
      <c r="AA944" s="50" t="str">
        <f t="shared" si="58"/>
        <v>0-0.5</v>
      </c>
      <c r="AB944" s="23">
        <v>5</v>
      </c>
      <c r="AC944" s="30" t="str">
        <f>VLOOKUP(AB944,[4]Key!$C$20:$D$29,2,FALSE)</f>
        <v>Professional</v>
      </c>
      <c r="AD944" s="23">
        <v>2</v>
      </c>
      <c r="AE944" s="30" t="str">
        <f>VLOOKUP(AD944,[4]Key!$E$20:$F$24,2,FALSE)</f>
        <v>300,000-500,000</v>
      </c>
      <c r="AF944" s="23">
        <v>1</v>
      </c>
      <c r="AG944" s="50">
        <v>1</v>
      </c>
      <c r="AH944" s="50">
        <v>1</v>
      </c>
      <c r="AI944" s="50">
        <v>5</v>
      </c>
      <c r="AJ944" s="50">
        <v>5</v>
      </c>
      <c r="AK944" s="46" t="s">
        <v>94</v>
      </c>
      <c r="AL944" s="36">
        <v>1000</v>
      </c>
      <c r="AM944" t="str">
        <f t="shared" si="59"/>
        <v>1000-2000</v>
      </c>
    </row>
    <row r="945" spans="1:39" x14ac:dyDescent="0.2">
      <c r="A945" s="44" t="s">
        <v>547</v>
      </c>
      <c r="B945" s="48">
        <v>0.44722222222222219</v>
      </c>
      <c r="C945" s="48"/>
      <c r="D945" s="48" t="s">
        <v>150</v>
      </c>
      <c r="E945" s="13">
        <v>2</v>
      </c>
      <c r="F945" s="38" t="str">
        <f>VLOOKUP(E945,[4]Key!$A$17:$B$21,2,FALSE)</f>
        <v>Road Vehicle</v>
      </c>
      <c r="G945" s="49">
        <v>4</v>
      </c>
      <c r="H945" s="39" t="str">
        <f>VLOOKUP(G945,[4]Key!$A$2:$B$13,2,FALSE)</f>
        <v>Minibus</v>
      </c>
      <c r="I945" s="13" t="s">
        <v>156</v>
      </c>
      <c r="J945" s="13">
        <v>2</v>
      </c>
      <c r="K945" s="40" t="str">
        <f>VLOOKUP(J945,[4]Key!$A$24:$B$29,2,FALSE)</f>
        <v>30-39</v>
      </c>
      <c r="L945" s="13" t="s">
        <v>454</v>
      </c>
      <c r="M945" s="23" t="s">
        <v>455</v>
      </c>
      <c r="N945" s="13" t="s">
        <v>152</v>
      </c>
      <c r="O945" s="46">
        <v>1</v>
      </c>
      <c r="P945" s="30" t="str">
        <f>VLOOKUP(O945,[4]Key!$E$2:$F$9,2,FALSE)</f>
        <v>Home</v>
      </c>
      <c r="Q945" s="13" t="s">
        <v>553</v>
      </c>
      <c r="R945" s="23" t="s">
        <v>183</v>
      </c>
      <c r="S945" s="13" t="s">
        <v>152</v>
      </c>
      <c r="T945" s="23">
        <v>4</v>
      </c>
      <c r="U945" s="30" t="str">
        <f>VLOOKUP(T945,[4]Key!$E$2:$F$9,2,FALSE)</f>
        <v>Commercial</v>
      </c>
      <c r="V945" s="30" t="str">
        <f t="shared" si="56"/>
        <v>Home-Commercial</v>
      </c>
      <c r="W945" s="51">
        <v>40000</v>
      </c>
      <c r="X945" s="50">
        <v>240</v>
      </c>
      <c r="Y945" s="50" t="str">
        <f t="shared" si="57"/>
        <v>Over 200</v>
      </c>
      <c r="Z945" s="50">
        <v>6</v>
      </c>
      <c r="AA945" s="50" t="str">
        <f t="shared" si="58"/>
        <v>Over 3.5</v>
      </c>
      <c r="AB945" s="23">
        <v>1</v>
      </c>
      <c r="AC945" s="30" t="str">
        <f>VLOOKUP(AB945,[4]Key!$C$20:$D$29,2,FALSE)</f>
        <v>Unemployed</v>
      </c>
      <c r="AD945" s="23">
        <v>1</v>
      </c>
      <c r="AE945" s="30" t="str">
        <f>VLOOKUP(AD945,[4]Key!$E$20:$F$24,2,FALSE)</f>
        <v>&lt;300,000</v>
      </c>
      <c r="AF945" s="23">
        <v>5</v>
      </c>
      <c r="AG945" s="50">
        <v>5</v>
      </c>
      <c r="AH945" s="50">
        <v>1</v>
      </c>
      <c r="AI945" s="50">
        <v>4</v>
      </c>
      <c r="AJ945" s="50">
        <v>5</v>
      </c>
      <c r="AK945" s="46" t="s">
        <v>94</v>
      </c>
      <c r="AL945" s="36">
        <v>1000</v>
      </c>
      <c r="AM945" t="str">
        <f t="shared" si="59"/>
        <v>1000-2000</v>
      </c>
    </row>
    <row r="946" spans="1:39" x14ac:dyDescent="0.2">
      <c r="A946" s="44" t="s">
        <v>547</v>
      </c>
      <c r="B946" s="48">
        <v>0.4770833333333333</v>
      </c>
      <c r="C946" s="48"/>
      <c r="D946" s="48" t="s">
        <v>150</v>
      </c>
      <c r="E946" s="13">
        <v>2</v>
      </c>
      <c r="F946" s="38" t="str">
        <f>VLOOKUP(E946,[4]Key!$A$17:$B$21,2,FALSE)</f>
        <v>Road Vehicle</v>
      </c>
      <c r="G946" s="49">
        <v>4</v>
      </c>
      <c r="H946" s="39" t="str">
        <f>VLOOKUP(G946,[4]Key!$A$2:$B$13,2,FALSE)</f>
        <v>Minibus</v>
      </c>
      <c r="I946" s="13" t="s">
        <v>156</v>
      </c>
      <c r="J946" s="13">
        <v>2</v>
      </c>
      <c r="K946" s="40" t="str">
        <f>VLOOKUP(J946,[4]Key!$A$24:$B$29,2,FALSE)</f>
        <v>30-39</v>
      </c>
      <c r="L946" s="13" t="s">
        <v>552</v>
      </c>
      <c r="M946" s="23" t="s">
        <v>455</v>
      </c>
      <c r="N946" s="13" t="s">
        <v>152</v>
      </c>
      <c r="O946" s="46">
        <v>1</v>
      </c>
      <c r="P946" s="30" t="str">
        <f>VLOOKUP(O946,[4]Key!$E$2:$F$9,2,FALSE)</f>
        <v>Home</v>
      </c>
      <c r="Q946" s="13" t="s">
        <v>454</v>
      </c>
      <c r="R946" s="23" t="s">
        <v>455</v>
      </c>
      <c r="S946" s="13" t="s">
        <v>152</v>
      </c>
      <c r="T946" s="23">
        <v>2</v>
      </c>
      <c r="U946" s="30" t="str">
        <f>VLOOKUP(T946,[4]Key!$E$2:$F$9,2,FALSE)</f>
        <v>Work</v>
      </c>
      <c r="V946" s="30" t="str">
        <f t="shared" si="56"/>
        <v>Home-Work</v>
      </c>
      <c r="W946" s="51">
        <v>3000</v>
      </c>
      <c r="X946" s="50">
        <v>20</v>
      </c>
      <c r="Y946" s="50" t="str">
        <f t="shared" si="57"/>
        <v>20-40</v>
      </c>
      <c r="Z946" s="50">
        <v>0.25</v>
      </c>
      <c r="AA946" s="50" t="str">
        <f t="shared" si="58"/>
        <v>0-0.5</v>
      </c>
      <c r="AB946" s="23">
        <v>2</v>
      </c>
      <c r="AC946" s="30" t="str">
        <f>VLOOKUP(AB946,[4]Key!$C$20:$D$29,2,FALSE)</f>
        <v>Manual Labour</v>
      </c>
      <c r="AD946" s="23">
        <v>1</v>
      </c>
      <c r="AE946" s="30" t="str">
        <f>VLOOKUP(AD946,[4]Key!$E$20:$F$24,2,FALSE)</f>
        <v>&lt;300,000</v>
      </c>
      <c r="AF946" s="23">
        <v>5</v>
      </c>
      <c r="AG946" s="50">
        <v>5</v>
      </c>
      <c r="AH946" s="50">
        <v>5</v>
      </c>
      <c r="AI946" s="50">
        <v>1</v>
      </c>
      <c r="AJ946" s="50">
        <v>5</v>
      </c>
      <c r="AK946" s="46" t="s">
        <v>94</v>
      </c>
      <c r="AL946" s="36">
        <v>3000</v>
      </c>
      <c r="AM946" t="str">
        <f t="shared" si="59"/>
        <v>3000-5000</v>
      </c>
    </row>
    <row r="947" spans="1:39" x14ac:dyDescent="0.2">
      <c r="A947" s="44" t="s">
        <v>547</v>
      </c>
      <c r="B947" s="48">
        <v>0.49027777777777781</v>
      </c>
      <c r="C947" s="48"/>
      <c r="D947" s="48" t="s">
        <v>150</v>
      </c>
      <c r="E947" s="13">
        <v>2</v>
      </c>
      <c r="F947" s="38" t="str">
        <f>VLOOKUP(E947,[4]Key!$A$17:$B$21,2,FALSE)</f>
        <v>Road Vehicle</v>
      </c>
      <c r="G947" s="49">
        <v>4</v>
      </c>
      <c r="H947" s="39" t="str">
        <f>VLOOKUP(G947,[4]Key!$A$2:$B$13,2,FALSE)</f>
        <v>Minibus</v>
      </c>
      <c r="I947" s="13" t="s">
        <v>156</v>
      </c>
      <c r="J947" s="13">
        <v>2</v>
      </c>
      <c r="K947" s="40" t="str">
        <f>VLOOKUP(J947,[4]Key!$A$24:$B$29,2,FALSE)</f>
        <v>30-39</v>
      </c>
      <c r="L947" s="13" t="s">
        <v>634</v>
      </c>
      <c r="M947" s="23" t="s">
        <v>455</v>
      </c>
      <c r="N947" s="13" t="s">
        <v>152</v>
      </c>
      <c r="O947" s="46">
        <v>1</v>
      </c>
      <c r="P947" s="30" t="str">
        <f>VLOOKUP(O947,[4]Key!$E$2:$F$9,2,FALSE)</f>
        <v>Home</v>
      </c>
      <c r="Q947" s="13" t="s">
        <v>454</v>
      </c>
      <c r="R947" s="23" t="s">
        <v>455</v>
      </c>
      <c r="S947" s="13" t="s">
        <v>152</v>
      </c>
      <c r="T947" s="23">
        <v>2</v>
      </c>
      <c r="U947" s="30" t="str">
        <f>VLOOKUP(T947,[4]Key!$E$2:$F$9,2,FALSE)</f>
        <v>Work</v>
      </c>
      <c r="V947" s="30" t="str">
        <f t="shared" si="56"/>
        <v>Home-Work</v>
      </c>
      <c r="W947" s="51">
        <v>7000</v>
      </c>
      <c r="X947" s="50">
        <v>32</v>
      </c>
      <c r="Y947" s="50" t="str">
        <f t="shared" si="57"/>
        <v>20-40</v>
      </c>
      <c r="Z947" s="50">
        <v>1</v>
      </c>
      <c r="AA947" s="50" t="str">
        <f t="shared" si="58"/>
        <v>1.0-2.0</v>
      </c>
      <c r="AB947" s="23">
        <v>5</v>
      </c>
      <c r="AC947" s="30" t="str">
        <f>VLOOKUP(AB947,[4]Key!$C$20:$D$29,2,FALSE)</f>
        <v>Professional</v>
      </c>
      <c r="AD947" s="23">
        <v>2</v>
      </c>
      <c r="AE947" s="30" t="str">
        <f>VLOOKUP(AD947,[4]Key!$E$20:$F$24,2,FALSE)</f>
        <v>300,000-500,000</v>
      </c>
      <c r="AF947" s="23">
        <v>5</v>
      </c>
      <c r="AG947" s="50">
        <v>1</v>
      </c>
      <c r="AH947" s="50">
        <v>1</v>
      </c>
      <c r="AI947" s="50">
        <v>5</v>
      </c>
      <c r="AJ947" s="50">
        <v>4</v>
      </c>
      <c r="AK947" s="46" t="s">
        <v>94</v>
      </c>
      <c r="AL947" s="36">
        <v>0</v>
      </c>
      <c r="AM947" t="str">
        <f t="shared" si="59"/>
        <v>0-1000</v>
      </c>
    </row>
    <row r="948" spans="1:39" x14ac:dyDescent="0.2">
      <c r="A948" s="44" t="s">
        <v>547</v>
      </c>
      <c r="B948" s="48">
        <v>0.54861111111111105</v>
      </c>
      <c r="C948" s="48" t="s">
        <v>635</v>
      </c>
      <c r="D948" s="48" t="s">
        <v>97</v>
      </c>
      <c r="E948" s="13">
        <v>2</v>
      </c>
      <c r="F948" s="38" t="str">
        <f>VLOOKUP(E948,[4]Key!$A$17:$B$21,2,FALSE)</f>
        <v>Road Vehicle</v>
      </c>
      <c r="G948" s="49">
        <v>4</v>
      </c>
      <c r="H948" s="39" t="str">
        <f>VLOOKUP(G948,[4]Key!$A$2:$B$13,2,FALSE)</f>
        <v>Minibus</v>
      </c>
      <c r="I948" s="13" t="s">
        <v>156</v>
      </c>
      <c r="J948" s="13">
        <v>2</v>
      </c>
      <c r="K948" s="40" t="str">
        <f>VLOOKUP(J948,[4]Key!$A$24:$B$29,2,FALSE)</f>
        <v>30-39</v>
      </c>
      <c r="L948" s="13" t="s">
        <v>454</v>
      </c>
      <c r="M948" s="23" t="s">
        <v>455</v>
      </c>
      <c r="N948" s="13" t="s">
        <v>152</v>
      </c>
      <c r="O948" s="46">
        <v>4</v>
      </c>
      <c r="P948" s="30" t="str">
        <f>VLOOKUP(O948,[4]Key!$E$2:$F$9,2,FALSE)</f>
        <v>Commercial</v>
      </c>
      <c r="Q948" s="13" t="s">
        <v>555</v>
      </c>
      <c r="R948" s="23" t="s">
        <v>556</v>
      </c>
      <c r="S948" s="13" t="s">
        <v>152</v>
      </c>
      <c r="T948" s="23">
        <v>4</v>
      </c>
      <c r="U948" s="30" t="str">
        <f>VLOOKUP(T948,[4]Key!$E$2:$F$9,2,FALSE)</f>
        <v>Commercial</v>
      </c>
      <c r="V948" s="30" t="str">
        <f t="shared" si="56"/>
        <v>Commercial-Commercial</v>
      </c>
      <c r="W948" s="51">
        <v>300000</v>
      </c>
      <c r="X948" s="50">
        <v>470</v>
      </c>
      <c r="Y948" s="50" t="str">
        <f t="shared" si="57"/>
        <v>Over 200</v>
      </c>
      <c r="Z948" s="50"/>
      <c r="AA948" s="50" t="str">
        <f t="shared" si="58"/>
        <v>0-0.5</v>
      </c>
      <c r="AB948" s="23">
        <v>5</v>
      </c>
      <c r="AC948" s="30" t="str">
        <f>VLOOKUP(AB948,[4]Key!$C$20:$D$29,2,FALSE)</f>
        <v>Professional</v>
      </c>
      <c r="AD948" s="23">
        <v>2</v>
      </c>
      <c r="AE948" s="30" t="str">
        <f>VLOOKUP(AD948,[4]Key!$E$20:$F$24,2,FALSE)</f>
        <v>300,000-500,000</v>
      </c>
      <c r="AF948" s="23">
        <v>1</v>
      </c>
      <c r="AG948" s="50">
        <v>5</v>
      </c>
      <c r="AH948" s="50">
        <v>5</v>
      </c>
      <c r="AI948" s="50">
        <v>5</v>
      </c>
      <c r="AJ948" s="50">
        <v>5</v>
      </c>
      <c r="AK948" s="46" t="s">
        <v>94</v>
      </c>
      <c r="AL948" s="36">
        <v>0</v>
      </c>
      <c r="AM948" t="str">
        <f t="shared" si="59"/>
        <v>0-1000</v>
      </c>
    </row>
    <row r="949" spans="1:39" x14ac:dyDescent="0.2">
      <c r="A949" s="44" t="s">
        <v>547</v>
      </c>
      <c r="B949" s="48">
        <v>0.55277777777777781</v>
      </c>
      <c r="C949" s="48"/>
      <c r="D949" s="48" t="s">
        <v>150</v>
      </c>
      <c r="E949" s="13">
        <v>2</v>
      </c>
      <c r="F949" s="38" t="str">
        <f>VLOOKUP(E949,[4]Key!$A$17:$B$21,2,FALSE)</f>
        <v>Road Vehicle</v>
      </c>
      <c r="G949" s="49">
        <v>4</v>
      </c>
      <c r="H949" s="39" t="str">
        <f>VLOOKUP(G949,[4]Key!$A$2:$B$13,2,FALSE)</f>
        <v>Minibus</v>
      </c>
      <c r="I949" s="13" t="s">
        <v>156</v>
      </c>
      <c r="J949" s="13">
        <v>2</v>
      </c>
      <c r="K949" s="40" t="str">
        <f>VLOOKUP(J949,[4]Key!$A$24:$B$29,2,FALSE)</f>
        <v>30-39</v>
      </c>
      <c r="L949" s="13" t="s">
        <v>454</v>
      </c>
      <c r="M949" s="23" t="s">
        <v>455</v>
      </c>
      <c r="N949" s="13" t="s">
        <v>152</v>
      </c>
      <c r="O949" s="46">
        <v>1</v>
      </c>
      <c r="P949" s="30" t="str">
        <f>VLOOKUP(O949,[4]Key!$E$2:$F$9,2,FALSE)</f>
        <v>Home</v>
      </c>
      <c r="Q949" s="13" t="s">
        <v>557</v>
      </c>
      <c r="R949" s="23" t="s">
        <v>558</v>
      </c>
      <c r="S949" s="13" t="s">
        <v>152</v>
      </c>
      <c r="T949" s="23">
        <v>1</v>
      </c>
      <c r="U949" s="30" t="str">
        <f>VLOOKUP(T949,[4]Key!$E$2:$F$9,2,FALSE)</f>
        <v>Home</v>
      </c>
      <c r="V949" s="30" t="str">
        <f t="shared" si="56"/>
        <v>Home-Home</v>
      </c>
      <c r="W949" s="51">
        <v>40000</v>
      </c>
      <c r="X949" s="50">
        <v>470</v>
      </c>
      <c r="Y949" s="50" t="str">
        <f t="shared" si="57"/>
        <v>Over 200</v>
      </c>
      <c r="Z949" s="50">
        <v>5</v>
      </c>
      <c r="AA949" s="50" t="str">
        <f t="shared" si="58"/>
        <v>Over 3.5</v>
      </c>
      <c r="AB949" s="23">
        <v>1</v>
      </c>
      <c r="AC949" s="30" t="str">
        <f>VLOOKUP(AB949,[4]Key!$C$20:$D$29,2,FALSE)</f>
        <v>Unemployed</v>
      </c>
      <c r="AD949" s="23">
        <v>1</v>
      </c>
      <c r="AE949" s="30" t="str">
        <f>VLOOKUP(AD949,[4]Key!$E$20:$F$24,2,FALSE)</f>
        <v>&lt;300,000</v>
      </c>
      <c r="AF949" s="23">
        <v>5</v>
      </c>
      <c r="AG949" s="50">
        <v>5</v>
      </c>
      <c r="AH949" s="50">
        <v>5</v>
      </c>
      <c r="AI949" s="50">
        <v>5</v>
      </c>
      <c r="AJ949" s="50">
        <v>1</v>
      </c>
      <c r="AK949" s="46" t="s">
        <v>94</v>
      </c>
      <c r="AL949" s="36">
        <v>0</v>
      </c>
      <c r="AM949" t="str">
        <f t="shared" si="59"/>
        <v>0-1000</v>
      </c>
    </row>
    <row r="950" spans="1:39" x14ac:dyDescent="0.2">
      <c r="A950" s="44" t="s">
        <v>547</v>
      </c>
      <c r="B950" s="48">
        <v>0.60138888888888886</v>
      </c>
      <c r="C950" s="48"/>
      <c r="D950" s="48" t="s">
        <v>150</v>
      </c>
      <c r="E950" s="13">
        <v>2</v>
      </c>
      <c r="F950" s="38" t="str">
        <f>VLOOKUP(E950,[4]Key!$A$17:$B$21,2,FALSE)</f>
        <v>Road Vehicle</v>
      </c>
      <c r="G950" s="49">
        <v>4</v>
      </c>
      <c r="H950" s="39" t="str">
        <f>VLOOKUP(G950,[4]Key!$A$2:$B$13,2,FALSE)</f>
        <v>Minibus</v>
      </c>
      <c r="I950" s="13" t="s">
        <v>156</v>
      </c>
      <c r="J950" s="13">
        <v>2</v>
      </c>
      <c r="K950" s="40" t="str">
        <f>VLOOKUP(J950,[4]Key!$A$24:$B$29,2,FALSE)</f>
        <v>30-39</v>
      </c>
      <c r="L950" s="13" t="s">
        <v>554</v>
      </c>
      <c r="M950" s="23" t="s">
        <v>455</v>
      </c>
      <c r="N950" s="13" t="s">
        <v>152</v>
      </c>
      <c r="O950" s="46">
        <v>1</v>
      </c>
      <c r="P950" s="30" t="str">
        <f>VLOOKUP(O950,[4]Key!$E$2:$F$9,2,FALSE)</f>
        <v>Home</v>
      </c>
      <c r="Q950" s="13" t="s">
        <v>454</v>
      </c>
      <c r="R950" s="23" t="s">
        <v>455</v>
      </c>
      <c r="S950" s="13" t="s">
        <v>152</v>
      </c>
      <c r="T950" s="23">
        <v>4</v>
      </c>
      <c r="U950" s="30" t="str">
        <f>VLOOKUP(T950,[4]Key!$E$2:$F$9,2,FALSE)</f>
        <v>Commercial</v>
      </c>
      <c r="V950" s="30" t="str">
        <f t="shared" si="56"/>
        <v>Home-Commercial</v>
      </c>
      <c r="W950" s="51">
        <v>4000</v>
      </c>
      <c r="X950" s="50">
        <v>32</v>
      </c>
      <c r="Y950" s="50" t="str">
        <f t="shared" si="57"/>
        <v>20-40</v>
      </c>
      <c r="Z950" s="50">
        <v>0.33</v>
      </c>
      <c r="AA950" s="50" t="str">
        <f t="shared" si="58"/>
        <v>0-0.5</v>
      </c>
      <c r="AB950" s="23">
        <v>3</v>
      </c>
      <c r="AC950" s="30" t="str">
        <f>VLOOKUP(AB950,[4]Key!$C$20:$D$29,2,FALSE)</f>
        <v>Artisan/Domestic</v>
      </c>
      <c r="AD950" s="23">
        <v>1</v>
      </c>
      <c r="AE950" s="30" t="str">
        <f>VLOOKUP(AD950,[4]Key!$E$20:$F$24,2,FALSE)</f>
        <v>&lt;300,000</v>
      </c>
      <c r="AF950" s="23">
        <v>4</v>
      </c>
      <c r="AG950" s="50">
        <v>1</v>
      </c>
      <c r="AH950" s="50">
        <v>1</v>
      </c>
      <c r="AI950" s="50">
        <v>1</v>
      </c>
      <c r="AJ950" s="50">
        <v>1</v>
      </c>
      <c r="AK950" s="46" t="s">
        <v>94</v>
      </c>
      <c r="AL950" s="36">
        <v>0</v>
      </c>
      <c r="AM950" t="str">
        <f t="shared" si="59"/>
        <v>0-1000</v>
      </c>
    </row>
    <row r="951" spans="1:39" x14ac:dyDescent="0.2">
      <c r="A951" s="44" t="s">
        <v>547</v>
      </c>
      <c r="B951" s="48">
        <v>0.60416666666666663</v>
      </c>
      <c r="C951" s="48"/>
      <c r="D951" s="48" t="s">
        <v>150</v>
      </c>
      <c r="E951" s="13">
        <v>2</v>
      </c>
      <c r="F951" s="38" t="str">
        <f>VLOOKUP(E951,[4]Key!$A$17:$B$21,2,FALSE)</f>
        <v>Road Vehicle</v>
      </c>
      <c r="G951" s="49">
        <v>4</v>
      </c>
      <c r="H951" s="39" t="str">
        <f>VLOOKUP(G951,[4]Key!$A$2:$B$13,2,FALSE)</f>
        <v>Minibus</v>
      </c>
      <c r="I951" s="13" t="s">
        <v>156</v>
      </c>
      <c r="J951" s="13">
        <v>2</v>
      </c>
      <c r="K951" s="40" t="str">
        <f>VLOOKUP(J951,[4]Key!$A$24:$B$29,2,FALSE)</f>
        <v>30-39</v>
      </c>
      <c r="L951" s="13" t="s">
        <v>552</v>
      </c>
      <c r="M951" s="23" t="s">
        <v>455</v>
      </c>
      <c r="N951" s="13" t="s">
        <v>152</v>
      </c>
      <c r="O951" s="46">
        <v>1</v>
      </c>
      <c r="P951" s="30" t="str">
        <f>VLOOKUP(O951,[4]Key!$E$2:$F$9,2,FALSE)</f>
        <v>Home</v>
      </c>
      <c r="Q951" s="13" t="s">
        <v>454</v>
      </c>
      <c r="R951" s="23" t="s">
        <v>455</v>
      </c>
      <c r="S951" s="13" t="s">
        <v>152</v>
      </c>
      <c r="T951" s="23">
        <v>2</v>
      </c>
      <c r="U951" s="30" t="str">
        <f>VLOOKUP(T951,[4]Key!$E$2:$F$9,2,FALSE)</f>
        <v>Work</v>
      </c>
      <c r="V951" s="30" t="str">
        <f t="shared" si="56"/>
        <v>Home-Work</v>
      </c>
      <c r="W951" s="51">
        <v>10000</v>
      </c>
      <c r="X951" s="50">
        <v>3</v>
      </c>
      <c r="Y951" s="50" t="str">
        <f t="shared" si="57"/>
        <v>0-10</v>
      </c>
      <c r="Z951" s="50">
        <v>0.28000000000000003</v>
      </c>
      <c r="AA951" s="50" t="str">
        <f t="shared" si="58"/>
        <v>0-0.5</v>
      </c>
      <c r="AB951" s="23">
        <v>4</v>
      </c>
      <c r="AC951" s="30" t="str">
        <f>VLOOKUP(AB951,[4]Key!$C$20:$D$29,2,FALSE)</f>
        <v>Office Worker</v>
      </c>
      <c r="AD951" s="23">
        <v>2</v>
      </c>
      <c r="AE951" s="30" t="str">
        <f>VLOOKUP(AD951,[4]Key!$E$20:$F$24,2,FALSE)</f>
        <v>300,000-500,000</v>
      </c>
      <c r="AF951" s="23">
        <v>1</v>
      </c>
      <c r="AG951" s="50">
        <v>1</v>
      </c>
      <c r="AH951" s="50">
        <v>1</v>
      </c>
      <c r="AI951" s="50">
        <v>1</v>
      </c>
      <c r="AJ951" s="50">
        <v>5</v>
      </c>
      <c r="AK951" s="46" t="s">
        <v>94</v>
      </c>
      <c r="AL951" s="36">
        <v>2000</v>
      </c>
      <c r="AM951" t="str">
        <f t="shared" si="59"/>
        <v>2000-3000</v>
      </c>
    </row>
    <row r="952" spans="1:39" x14ac:dyDescent="0.2">
      <c r="A952" s="44" t="s">
        <v>547</v>
      </c>
      <c r="B952" s="48">
        <v>0.61527777777777781</v>
      </c>
      <c r="C952" s="48"/>
      <c r="D952" s="48" t="s">
        <v>150</v>
      </c>
      <c r="E952" s="13">
        <v>2</v>
      </c>
      <c r="F952" s="38" t="str">
        <f>VLOOKUP(E952,[4]Key!$A$17:$B$21,2,FALSE)</f>
        <v>Road Vehicle</v>
      </c>
      <c r="G952" s="49">
        <v>4</v>
      </c>
      <c r="H952" s="39" t="str">
        <f>VLOOKUP(G952,[4]Key!$A$2:$B$13,2,FALSE)</f>
        <v>Minibus</v>
      </c>
      <c r="I952" s="13" t="s">
        <v>156</v>
      </c>
      <c r="J952" s="13">
        <v>2</v>
      </c>
      <c r="K952" s="40" t="str">
        <f>VLOOKUP(J952,[4]Key!$A$24:$B$29,2,FALSE)</f>
        <v>30-39</v>
      </c>
      <c r="L952" s="13" t="s">
        <v>454</v>
      </c>
      <c r="M952" s="23" t="s">
        <v>455</v>
      </c>
      <c r="N952" s="13" t="s">
        <v>152</v>
      </c>
      <c r="O952" s="46">
        <v>4</v>
      </c>
      <c r="P952" s="30" t="str">
        <f>VLOOKUP(O952,[4]Key!$E$2:$F$9,2,FALSE)</f>
        <v>Commercial</v>
      </c>
      <c r="Q952" s="13" t="s">
        <v>454</v>
      </c>
      <c r="R952" s="23" t="s">
        <v>455</v>
      </c>
      <c r="S952" s="13" t="s">
        <v>152</v>
      </c>
      <c r="T952" s="23">
        <v>4</v>
      </c>
      <c r="U952" s="30" t="str">
        <f>VLOOKUP(T952,[4]Key!$E$2:$F$9,2,FALSE)</f>
        <v>Commercial</v>
      </c>
      <c r="V952" s="30" t="str">
        <f t="shared" si="56"/>
        <v>Commercial-Commercial</v>
      </c>
      <c r="W952" s="51">
        <v>1000</v>
      </c>
      <c r="X952" s="50">
        <v>1</v>
      </c>
      <c r="Y952" s="50" t="str">
        <f t="shared" si="57"/>
        <v>0-10</v>
      </c>
      <c r="Z952" s="50">
        <v>0.06</v>
      </c>
      <c r="AA952" s="50" t="str">
        <f t="shared" si="58"/>
        <v>0-0.5</v>
      </c>
      <c r="AB952" s="23">
        <v>6</v>
      </c>
      <c r="AC952" s="30" t="str">
        <f>VLOOKUP(AB952,[4]Key!$C$20:$D$29,2,FALSE)</f>
        <v>Businessman</v>
      </c>
      <c r="AD952" s="23">
        <v>2</v>
      </c>
      <c r="AE952" s="30" t="str">
        <f>VLOOKUP(AD952,[4]Key!$E$20:$F$24,2,FALSE)</f>
        <v>300,000-500,000</v>
      </c>
      <c r="AF952" s="23">
        <v>1</v>
      </c>
      <c r="AG952" s="50">
        <v>1</v>
      </c>
      <c r="AH952" s="50">
        <v>1</v>
      </c>
      <c r="AI952" s="50">
        <v>1</v>
      </c>
      <c r="AJ952" s="50">
        <v>1</v>
      </c>
      <c r="AK952" s="46" t="s">
        <v>94</v>
      </c>
      <c r="AL952" s="36">
        <v>2000</v>
      </c>
      <c r="AM952" t="str">
        <f t="shared" si="59"/>
        <v>2000-3000</v>
      </c>
    </row>
    <row r="953" spans="1:39" x14ac:dyDescent="0.2">
      <c r="A953" s="44" t="s">
        <v>547</v>
      </c>
      <c r="B953" s="48">
        <v>0.63680555555555551</v>
      </c>
      <c r="C953" s="48"/>
      <c r="D953" s="48" t="s">
        <v>150</v>
      </c>
      <c r="E953" s="13">
        <v>2</v>
      </c>
      <c r="F953" s="38" t="str">
        <f>VLOOKUP(E953,[4]Key!$A$17:$B$21,2,FALSE)</f>
        <v>Road Vehicle</v>
      </c>
      <c r="G953" s="49">
        <v>4</v>
      </c>
      <c r="H953" s="39" t="str">
        <f>VLOOKUP(G953,[4]Key!$A$2:$B$13,2,FALSE)</f>
        <v>Minibus</v>
      </c>
      <c r="I953" s="13" t="s">
        <v>156</v>
      </c>
      <c r="J953" s="13">
        <v>2</v>
      </c>
      <c r="K953" s="40" t="str">
        <f>VLOOKUP(J953,[4]Key!$A$24:$B$29,2,FALSE)</f>
        <v>30-39</v>
      </c>
      <c r="L953" s="13" t="s">
        <v>454</v>
      </c>
      <c r="M953" s="23" t="s">
        <v>455</v>
      </c>
      <c r="N953" s="13" t="s">
        <v>152</v>
      </c>
      <c r="O953" s="46">
        <v>4</v>
      </c>
      <c r="P953" s="30" t="str">
        <f>VLOOKUP(O953,[4]Key!$E$2:$F$9,2,FALSE)</f>
        <v>Commercial</v>
      </c>
      <c r="Q953" s="13" t="s">
        <v>467</v>
      </c>
      <c r="R953" s="23" t="s">
        <v>468</v>
      </c>
      <c r="S953" s="13" t="s">
        <v>152</v>
      </c>
      <c r="T953" s="23">
        <v>4</v>
      </c>
      <c r="U953" s="30" t="str">
        <f>VLOOKUP(T953,[4]Key!$E$2:$F$9,2,FALSE)</f>
        <v>Commercial</v>
      </c>
      <c r="V953" s="30" t="str">
        <f t="shared" si="56"/>
        <v>Commercial-Commercial</v>
      </c>
      <c r="W953" s="51">
        <v>10000</v>
      </c>
      <c r="X953" s="50">
        <v>130</v>
      </c>
      <c r="Y953" s="50" t="str">
        <f t="shared" si="57"/>
        <v>100-200</v>
      </c>
      <c r="Z953" s="50">
        <v>3</v>
      </c>
      <c r="AA953" s="50" t="str">
        <f t="shared" si="58"/>
        <v>2.0-3.5</v>
      </c>
      <c r="AB953" s="23">
        <v>5</v>
      </c>
      <c r="AC953" s="30" t="str">
        <f>VLOOKUP(AB953,[4]Key!$C$20:$D$29,2,FALSE)</f>
        <v>Professional</v>
      </c>
      <c r="AD953" s="23">
        <v>2</v>
      </c>
      <c r="AE953" s="30" t="str">
        <f>VLOOKUP(AD953,[4]Key!$E$20:$F$24,2,FALSE)</f>
        <v>300,000-500,000</v>
      </c>
      <c r="AF953" s="23">
        <v>5</v>
      </c>
      <c r="AG953" s="50">
        <v>1</v>
      </c>
      <c r="AH953" s="50">
        <v>5</v>
      </c>
      <c r="AI953" s="50">
        <v>5</v>
      </c>
      <c r="AJ953" s="50">
        <v>5</v>
      </c>
      <c r="AK953" s="46" t="s">
        <v>94</v>
      </c>
      <c r="AL953" s="36">
        <v>1000</v>
      </c>
      <c r="AM953" t="str">
        <f t="shared" si="59"/>
        <v>1000-2000</v>
      </c>
    </row>
    <row r="954" spans="1:39" x14ac:dyDescent="0.2">
      <c r="A954" s="44" t="s">
        <v>547</v>
      </c>
      <c r="B954" s="48">
        <v>0.59930555555555554</v>
      </c>
      <c r="C954" s="48"/>
      <c r="D954" s="48" t="s">
        <v>150</v>
      </c>
      <c r="E954" s="13">
        <v>2</v>
      </c>
      <c r="F954" s="38" t="str">
        <f>VLOOKUP(E954,[4]Key!$A$17:$B$21,2,FALSE)</f>
        <v>Road Vehicle</v>
      </c>
      <c r="G954" s="49">
        <v>4</v>
      </c>
      <c r="H954" s="39" t="str">
        <f>VLOOKUP(G954,[4]Key!$A$2:$B$13,2,FALSE)</f>
        <v>Minibus</v>
      </c>
      <c r="I954" s="13" t="s">
        <v>156</v>
      </c>
      <c r="J954" s="13">
        <v>2</v>
      </c>
      <c r="K954" s="40" t="str">
        <f>VLOOKUP(J954,[4]Key!$A$24:$B$29,2,FALSE)</f>
        <v>30-39</v>
      </c>
      <c r="L954" s="13" t="s">
        <v>454</v>
      </c>
      <c r="M954" s="23" t="s">
        <v>455</v>
      </c>
      <c r="N954" s="13" t="s">
        <v>152</v>
      </c>
      <c r="O954" s="46">
        <v>2</v>
      </c>
      <c r="P954" s="30" t="str">
        <f>VLOOKUP(O954,[4]Key!$E$2:$F$9,2,FALSE)</f>
        <v>Work</v>
      </c>
      <c r="Q954" s="13" t="s">
        <v>615</v>
      </c>
      <c r="R954" s="23" t="s">
        <v>616</v>
      </c>
      <c r="S954" s="13" t="s">
        <v>152</v>
      </c>
      <c r="T954" s="23">
        <v>3</v>
      </c>
      <c r="U954" s="30" t="str">
        <f>VLOOKUP(T954,[4]Key!$E$2:$F$9,2,FALSE)</f>
        <v>Study</v>
      </c>
      <c r="V954" s="30" t="str">
        <f t="shared" si="56"/>
        <v>Work-Study</v>
      </c>
      <c r="W954" s="51">
        <v>10000</v>
      </c>
      <c r="X954" s="50">
        <v>90</v>
      </c>
      <c r="Y954" s="50" t="str">
        <f t="shared" si="57"/>
        <v>70-100</v>
      </c>
      <c r="Z954" s="50">
        <v>2</v>
      </c>
      <c r="AA954" s="50" t="str">
        <f t="shared" si="58"/>
        <v>2.0-3.5</v>
      </c>
      <c r="AB954" s="23">
        <v>8</v>
      </c>
      <c r="AC954" s="30" t="str">
        <f>VLOOKUP(AB954,[4]Key!$C$20:$D$29,2,FALSE)</f>
        <v>Student</v>
      </c>
      <c r="AD954" s="23">
        <v>1</v>
      </c>
      <c r="AE954" s="30" t="str">
        <f>VLOOKUP(AD954,[4]Key!$E$20:$F$24,2,FALSE)</f>
        <v>&lt;300,000</v>
      </c>
      <c r="AF954" s="23">
        <v>2</v>
      </c>
      <c r="AG954" s="50">
        <v>4</v>
      </c>
      <c r="AH954" s="50">
        <v>1</v>
      </c>
      <c r="AI954" s="50">
        <v>2</v>
      </c>
      <c r="AJ954" s="50">
        <v>2</v>
      </c>
      <c r="AK954" s="46" t="s">
        <v>94</v>
      </c>
      <c r="AL954" s="36">
        <v>0</v>
      </c>
      <c r="AM954" t="str">
        <f t="shared" si="59"/>
        <v>0-1000</v>
      </c>
    </row>
    <row r="955" spans="1:39" x14ac:dyDescent="0.2">
      <c r="A955" s="44" t="s">
        <v>547</v>
      </c>
      <c r="B955" s="48">
        <v>0.44444444444444442</v>
      </c>
      <c r="C955" s="48"/>
      <c r="D955" s="48" t="s">
        <v>150</v>
      </c>
      <c r="E955" s="13">
        <v>2</v>
      </c>
      <c r="F955" s="38" t="str">
        <f>VLOOKUP(E955,[4]Key!$A$17:$B$21,2,FALSE)</f>
        <v>Road Vehicle</v>
      </c>
      <c r="G955" s="49">
        <v>4</v>
      </c>
      <c r="H955" s="39" t="str">
        <f>VLOOKUP(G955,[4]Key!$A$2:$B$13,2,FALSE)</f>
        <v>Minibus</v>
      </c>
      <c r="I955" s="13" t="s">
        <v>156</v>
      </c>
      <c r="J955" s="13">
        <v>2</v>
      </c>
      <c r="K955" s="40" t="str">
        <f>VLOOKUP(J955,[4]Key!$A$24:$B$29,2,FALSE)</f>
        <v>30-39</v>
      </c>
      <c r="L955" s="13" t="s">
        <v>454</v>
      </c>
      <c r="M955" s="23" t="s">
        <v>455</v>
      </c>
      <c r="N955" s="13" t="s">
        <v>152</v>
      </c>
      <c r="O955" s="46">
        <v>2</v>
      </c>
      <c r="P955" s="30" t="str">
        <f>VLOOKUP(O955,[4]Key!$E$2:$F$9,2,FALSE)</f>
        <v>Work</v>
      </c>
      <c r="Q955" s="13" t="s">
        <v>636</v>
      </c>
      <c r="R955" s="23" t="s">
        <v>421</v>
      </c>
      <c r="S955" s="13" t="s">
        <v>152</v>
      </c>
      <c r="T955" s="23">
        <v>1</v>
      </c>
      <c r="U955" s="30" t="str">
        <f>VLOOKUP(T955,[4]Key!$E$2:$F$9,2,FALSE)</f>
        <v>Home</v>
      </c>
      <c r="V955" s="30" t="str">
        <f t="shared" si="56"/>
        <v>Work-Home</v>
      </c>
      <c r="W955" s="51">
        <v>15000</v>
      </c>
      <c r="X955" s="50">
        <v>150</v>
      </c>
      <c r="Y955" s="50" t="str">
        <f t="shared" si="57"/>
        <v>100-200</v>
      </c>
      <c r="Z955" s="50">
        <v>2</v>
      </c>
      <c r="AA955" s="50" t="str">
        <f t="shared" si="58"/>
        <v>2.0-3.5</v>
      </c>
      <c r="AB955" s="23">
        <v>6</v>
      </c>
      <c r="AC955" s="30" t="str">
        <f>VLOOKUP(AB955,[4]Key!$C$20:$D$29,2,FALSE)</f>
        <v>Businessman</v>
      </c>
      <c r="AD955" s="23">
        <v>1</v>
      </c>
      <c r="AE955" s="30" t="str">
        <f>VLOOKUP(AD955,[4]Key!$E$20:$F$24,2,FALSE)</f>
        <v>&lt;300,000</v>
      </c>
      <c r="AF955" s="23">
        <v>2</v>
      </c>
      <c r="AG955" s="50">
        <v>2</v>
      </c>
      <c r="AH955" s="50">
        <v>2</v>
      </c>
      <c r="AI955" s="50">
        <v>2</v>
      </c>
      <c r="AJ955" s="50">
        <v>2</v>
      </c>
      <c r="AK955" s="46" t="s">
        <v>94</v>
      </c>
      <c r="AL955" s="36">
        <v>0</v>
      </c>
      <c r="AM955" t="str">
        <f t="shared" si="59"/>
        <v>0-1000</v>
      </c>
    </row>
    <row r="956" spans="1:39" x14ac:dyDescent="0.2">
      <c r="A956" s="44" t="s">
        <v>547</v>
      </c>
      <c r="B956" s="48">
        <v>0.43124999999999997</v>
      </c>
      <c r="C956" s="48"/>
      <c r="D956" s="48" t="s">
        <v>150</v>
      </c>
      <c r="E956" s="13">
        <v>2</v>
      </c>
      <c r="F956" s="38" t="str">
        <f>VLOOKUP(E956,[4]Key!$A$17:$B$21,2,FALSE)</f>
        <v>Road Vehicle</v>
      </c>
      <c r="G956" s="49">
        <v>4</v>
      </c>
      <c r="H956" s="39" t="str">
        <f>VLOOKUP(G956,[4]Key!$A$2:$B$13,2,FALSE)</f>
        <v>Minibus</v>
      </c>
      <c r="I956" s="13" t="s">
        <v>156</v>
      </c>
      <c r="J956" s="13">
        <v>2</v>
      </c>
      <c r="K956" s="40" t="str">
        <f>VLOOKUP(J956,[4]Key!$A$24:$B$29,2,FALSE)</f>
        <v>30-39</v>
      </c>
      <c r="L956" s="13" t="s">
        <v>454</v>
      </c>
      <c r="M956" s="23" t="s">
        <v>455</v>
      </c>
      <c r="N956" s="13" t="s">
        <v>152</v>
      </c>
      <c r="O956" s="46">
        <v>2</v>
      </c>
      <c r="P956" s="30" t="str">
        <f>VLOOKUP(O956,[4]Key!$E$2:$F$9,2,FALSE)</f>
        <v>Work</v>
      </c>
      <c r="Q956" s="13" t="s">
        <v>427</v>
      </c>
      <c r="R956" s="23" t="s">
        <v>428</v>
      </c>
      <c r="S956" s="13" t="s">
        <v>152</v>
      </c>
      <c r="T956" s="23">
        <v>1</v>
      </c>
      <c r="U956" s="30" t="str">
        <f>VLOOKUP(T956,[4]Key!$E$2:$F$9,2,FALSE)</f>
        <v>Home</v>
      </c>
      <c r="V956" s="30" t="str">
        <f t="shared" si="56"/>
        <v>Work-Home</v>
      </c>
      <c r="W956" s="51">
        <v>15000</v>
      </c>
      <c r="X956" s="50">
        <v>150</v>
      </c>
      <c r="Y956" s="50" t="str">
        <f t="shared" si="57"/>
        <v>100-200</v>
      </c>
      <c r="Z956" s="50">
        <v>2</v>
      </c>
      <c r="AA956" s="50" t="str">
        <f t="shared" si="58"/>
        <v>2.0-3.5</v>
      </c>
      <c r="AB956" s="23">
        <v>6</v>
      </c>
      <c r="AC956" s="30" t="str">
        <f>VLOOKUP(AB956,[4]Key!$C$20:$D$29,2,FALSE)</f>
        <v>Businessman</v>
      </c>
      <c r="AD956" s="23">
        <v>1</v>
      </c>
      <c r="AE956" s="30" t="str">
        <f>VLOOKUP(AD956,[4]Key!$E$20:$F$24,2,FALSE)</f>
        <v>&lt;300,000</v>
      </c>
      <c r="AF956" s="23">
        <v>2</v>
      </c>
      <c r="AG956" s="50">
        <v>1</v>
      </c>
      <c r="AH956" s="50">
        <v>2</v>
      </c>
      <c r="AI956" s="50">
        <v>2</v>
      </c>
      <c r="AJ956" s="50">
        <v>2</v>
      </c>
      <c r="AK956" s="46" t="s">
        <v>94</v>
      </c>
      <c r="AL956" s="36">
        <v>0</v>
      </c>
      <c r="AM956" t="str">
        <f t="shared" si="59"/>
        <v>0-1000</v>
      </c>
    </row>
    <row r="957" spans="1:39" x14ac:dyDescent="0.2">
      <c r="A957" s="44" t="s">
        <v>544</v>
      </c>
      <c r="B957" s="48">
        <v>0.32083333333333336</v>
      </c>
      <c r="C957" s="48"/>
      <c r="D957" s="48" t="s">
        <v>150</v>
      </c>
      <c r="E957" s="13">
        <v>2</v>
      </c>
      <c r="F957" s="38" t="str">
        <f>VLOOKUP(E957,[4]Key!$A$17:$B$21,2,FALSE)</f>
        <v>Road Vehicle</v>
      </c>
      <c r="G957" s="49">
        <v>4</v>
      </c>
      <c r="H957" s="39" t="str">
        <f>VLOOKUP(G957,[4]Key!$A$2:$B$13,2,FALSE)</f>
        <v>Minibus</v>
      </c>
      <c r="I957" s="13" t="s">
        <v>156</v>
      </c>
      <c r="J957" s="13">
        <v>2</v>
      </c>
      <c r="K957" s="40" t="str">
        <f>VLOOKUP(J957,[4]Key!$A$24:$B$29,2,FALSE)</f>
        <v>30-39</v>
      </c>
      <c r="L957" s="13" t="s">
        <v>454</v>
      </c>
      <c r="M957" s="23" t="s">
        <v>455</v>
      </c>
      <c r="N957" s="13" t="s">
        <v>152</v>
      </c>
      <c r="O957" s="46">
        <v>6</v>
      </c>
      <c r="P957" s="30" t="str">
        <f>VLOOKUP(O957,[4]Key!$E$2:$F$9,2,FALSE)</f>
        <v>Leisure/Social</v>
      </c>
      <c r="Q957" s="13" t="s">
        <v>555</v>
      </c>
      <c r="R957" s="23" t="s">
        <v>556</v>
      </c>
      <c r="S957" s="13" t="s">
        <v>152</v>
      </c>
      <c r="T957" s="23">
        <v>6</v>
      </c>
      <c r="U957" s="30" t="str">
        <f>VLOOKUP(T957,[4]Key!$E$2:$F$9,2,FALSE)</f>
        <v>Leisure/Social</v>
      </c>
      <c r="V957" s="30" t="str">
        <f t="shared" si="56"/>
        <v>Leisure/Social-Leisure/Social</v>
      </c>
      <c r="W957" s="51">
        <v>50000</v>
      </c>
      <c r="X957" s="50">
        <v>480</v>
      </c>
      <c r="Y957" s="50" t="str">
        <f t="shared" si="57"/>
        <v>Over 200</v>
      </c>
      <c r="Z957" s="50">
        <v>7</v>
      </c>
      <c r="AA957" s="50" t="str">
        <f t="shared" si="58"/>
        <v>Over 3.5</v>
      </c>
      <c r="AB957" s="23">
        <v>1</v>
      </c>
      <c r="AC957" s="30" t="str">
        <f>VLOOKUP(AB957,[4]Key!$C$20:$D$29,2,FALSE)</f>
        <v>Unemployed</v>
      </c>
      <c r="AD957" s="23">
        <v>1</v>
      </c>
      <c r="AE957" s="30" t="str">
        <f>VLOOKUP(AD957,[4]Key!$E$20:$F$24,2,FALSE)</f>
        <v>&lt;300,000</v>
      </c>
      <c r="AF957" s="23">
        <v>1</v>
      </c>
      <c r="AG957" s="50">
        <v>1</v>
      </c>
      <c r="AH957" s="50">
        <v>1</v>
      </c>
      <c r="AI957" s="50">
        <v>5</v>
      </c>
      <c r="AJ957" s="50">
        <v>5</v>
      </c>
      <c r="AK957" s="46" t="s">
        <v>94</v>
      </c>
      <c r="AL957" s="36">
        <v>0</v>
      </c>
      <c r="AM957" t="str">
        <f t="shared" si="59"/>
        <v>0-1000</v>
      </c>
    </row>
    <row r="958" spans="1:39" x14ac:dyDescent="0.2">
      <c r="A958" s="44" t="s">
        <v>544</v>
      </c>
      <c r="B958" s="48">
        <v>0.33194444444444443</v>
      </c>
      <c r="C958" s="48"/>
      <c r="D958" s="48" t="s">
        <v>97</v>
      </c>
      <c r="E958" s="13">
        <v>2</v>
      </c>
      <c r="F958" s="38" t="str">
        <f>VLOOKUP(E958,[4]Key!$A$17:$B$21,2,FALSE)</f>
        <v>Road Vehicle</v>
      </c>
      <c r="G958" s="49">
        <v>4</v>
      </c>
      <c r="H958" s="39" t="str">
        <f>VLOOKUP(G958,[4]Key!$A$2:$B$13,2,FALSE)</f>
        <v>Minibus</v>
      </c>
      <c r="I958" s="13" t="s">
        <v>156</v>
      </c>
      <c r="J958" s="13">
        <v>2</v>
      </c>
      <c r="K958" s="40" t="str">
        <f>VLOOKUP(J958,[4]Key!$A$24:$B$29,2,FALSE)</f>
        <v>30-39</v>
      </c>
      <c r="L958" s="13" t="s">
        <v>554</v>
      </c>
      <c r="M958" s="23" t="s">
        <v>455</v>
      </c>
      <c r="N958" s="13" t="s">
        <v>152</v>
      </c>
      <c r="O958" s="46">
        <v>1</v>
      </c>
      <c r="P958" s="30" t="str">
        <f>VLOOKUP(O958,[4]Key!$E$2:$F$9,2,FALSE)</f>
        <v>Home</v>
      </c>
      <c r="Q958" s="13" t="s">
        <v>454</v>
      </c>
      <c r="R958" s="23" t="s">
        <v>455</v>
      </c>
      <c r="S958" s="13" t="s">
        <v>152</v>
      </c>
      <c r="T958" s="23">
        <v>2</v>
      </c>
      <c r="U958" s="30" t="str">
        <f>VLOOKUP(T958,[4]Key!$E$2:$F$9,2,FALSE)</f>
        <v>Work</v>
      </c>
      <c r="V958" s="30" t="str">
        <f t="shared" si="56"/>
        <v>Home-Work</v>
      </c>
      <c r="W958" s="51">
        <v>10000</v>
      </c>
      <c r="X958" s="50">
        <v>40</v>
      </c>
      <c r="Y958" s="50" t="str">
        <f t="shared" si="57"/>
        <v>40-70</v>
      </c>
      <c r="Z958" s="50">
        <v>0.5</v>
      </c>
      <c r="AA958" s="50" t="str">
        <f t="shared" si="58"/>
        <v>0.5-1.0</v>
      </c>
      <c r="AB958" s="23">
        <v>4</v>
      </c>
      <c r="AC958" s="30" t="str">
        <f>VLOOKUP(AB958,[4]Key!$C$20:$D$29,2,FALSE)</f>
        <v>Office Worker</v>
      </c>
      <c r="AD958" s="23">
        <v>2</v>
      </c>
      <c r="AE958" s="30" t="str">
        <f>VLOOKUP(AD958,[4]Key!$E$20:$F$24,2,FALSE)</f>
        <v>300,000-500,000</v>
      </c>
      <c r="AF958" s="23">
        <v>1</v>
      </c>
      <c r="AG958" s="50">
        <v>1</v>
      </c>
      <c r="AH958" s="50">
        <v>1</v>
      </c>
      <c r="AI958" s="50">
        <v>5</v>
      </c>
      <c r="AJ958" s="50">
        <v>5</v>
      </c>
      <c r="AK958" s="46" t="s">
        <v>94</v>
      </c>
      <c r="AL958" s="36">
        <v>2000</v>
      </c>
      <c r="AM958" t="str">
        <f t="shared" si="59"/>
        <v>2000-3000</v>
      </c>
    </row>
    <row r="959" spans="1:39" x14ac:dyDescent="0.2">
      <c r="A959" s="44" t="s">
        <v>544</v>
      </c>
      <c r="B959" s="48">
        <v>0.35000000000000003</v>
      </c>
      <c r="C959" s="48"/>
      <c r="D959" s="48" t="s">
        <v>150</v>
      </c>
      <c r="E959" s="13">
        <v>2</v>
      </c>
      <c r="F959" s="38" t="str">
        <f>VLOOKUP(E959,[4]Key!$A$17:$B$21,2,FALSE)</f>
        <v>Road Vehicle</v>
      </c>
      <c r="G959" s="49">
        <v>4</v>
      </c>
      <c r="H959" s="39" t="str">
        <f>VLOOKUP(G959,[4]Key!$A$2:$B$13,2,FALSE)</f>
        <v>Minibus</v>
      </c>
      <c r="I959" s="13" t="s">
        <v>156</v>
      </c>
      <c r="J959" s="13">
        <v>2</v>
      </c>
      <c r="K959" s="40" t="str">
        <f>VLOOKUP(J959,[4]Key!$A$24:$B$29,2,FALSE)</f>
        <v>30-39</v>
      </c>
      <c r="L959" s="13" t="s">
        <v>454</v>
      </c>
      <c r="M959" s="23" t="s">
        <v>455</v>
      </c>
      <c r="N959" s="13" t="s">
        <v>152</v>
      </c>
      <c r="O959" s="46">
        <v>1</v>
      </c>
      <c r="P959" s="30" t="str">
        <f>VLOOKUP(O959,[4]Key!$E$2:$F$9,2,FALSE)</f>
        <v>Home</v>
      </c>
      <c r="Q959" s="13" t="s">
        <v>555</v>
      </c>
      <c r="R959" s="23" t="s">
        <v>556</v>
      </c>
      <c r="S959" s="13" t="s">
        <v>152</v>
      </c>
      <c r="T959" s="23">
        <v>6</v>
      </c>
      <c r="U959" s="30" t="str">
        <f>VLOOKUP(T959,[4]Key!$E$2:$F$9,2,FALSE)</f>
        <v>Leisure/Social</v>
      </c>
      <c r="V959" s="30" t="str">
        <f t="shared" si="56"/>
        <v>Home-Leisure/Social</v>
      </c>
      <c r="W959" s="51">
        <v>40000</v>
      </c>
      <c r="X959" s="50">
        <v>487</v>
      </c>
      <c r="Y959" s="50" t="str">
        <f t="shared" si="57"/>
        <v>Over 200</v>
      </c>
      <c r="Z959" s="50">
        <v>7</v>
      </c>
      <c r="AA959" s="50" t="str">
        <f t="shared" si="58"/>
        <v>Over 3.5</v>
      </c>
      <c r="AB959" s="23">
        <v>2</v>
      </c>
      <c r="AC959" s="30" t="str">
        <f>VLOOKUP(AB959,[4]Key!$C$20:$D$29,2,FALSE)</f>
        <v>Manual Labour</v>
      </c>
      <c r="AD959" s="23">
        <v>2</v>
      </c>
      <c r="AE959" s="30" t="str">
        <f>VLOOKUP(AD959,[4]Key!$E$20:$F$24,2,FALSE)</f>
        <v>300,000-500,000</v>
      </c>
      <c r="AF959" s="23">
        <v>1</v>
      </c>
      <c r="AG959" s="50">
        <v>1</v>
      </c>
      <c r="AH959" s="50">
        <v>5</v>
      </c>
      <c r="AI959" s="50">
        <v>5</v>
      </c>
      <c r="AJ959" s="50">
        <v>5</v>
      </c>
      <c r="AK959" s="46" t="s">
        <v>94</v>
      </c>
      <c r="AL959" s="36">
        <v>2000</v>
      </c>
      <c r="AM959" t="str">
        <f t="shared" si="59"/>
        <v>2000-3000</v>
      </c>
    </row>
    <row r="960" spans="1:39" x14ac:dyDescent="0.2">
      <c r="A960" s="44" t="s">
        <v>544</v>
      </c>
      <c r="B960" s="48">
        <v>0.375</v>
      </c>
      <c r="C960" s="48"/>
      <c r="D960" s="48" t="s">
        <v>150</v>
      </c>
      <c r="E960" s="13">
        <v>2</v>
      </c>
      <c r="F960" s="38" t="str">
        <f>VLOOKUP(E960,[4]Key!$A$17:$B$21,2,FALSE)</f>
        <v>Road Vehicle</v>
      </c>
      <c r="G960" s="49">
        <v>4</v>
      </c>
      <c r="H960" s="39" t="str">
        <f>VLOOKUP(G960,[4]Key!$A$2:$B$13,2,FALSE)</f>
        <v>Minibus</v>
      </c>
      <c r="I960" s="13" t="s">
        <v>156</v>
      </c>
      <c r="J960" s="13">
        <v>2</v>
      </c>
      <c r="K960" s="40" t="str">
        <f>VLOOKUP(J960,[4]Key!$A$24:$B$29,2,FALSE)</f>
        <v>30-39</v>
      </c>
      <c r="L960" s="13" t="s">
        <v>454</v>
      </c>
      <c r="M960" s="23" t="s">
        <v>455</v>
      </c>
      <c r="N960" s="13" t="s">
        <v>152</v>
      </c>
      <c r="O960" s="46">
        <v>1</v>
      </c>
      <c r="P960" s="30" t="str">
        <f>VLOOKUP(O960,[4]Key!$E$2:$F$9,2,FALSE)</f>
        <v>Home</v>
      </c>
      <c r="Q960" s="13" t="s">
        <v>434</v>
      </c>
      <c r="R960" s="23" t="s">
        <v>153</v>
      </c>
      <c r="S960" s="13" t="s">
        <v>152</v>
      </c>
      <c r="T960" s="23">
        <v>4</v>
      </c>
      <c r="U960" s="30" t="str">
        <f>VLOOKUP(T960,[4]Key!$E$2:$F$9,2,FALSE)</f>
        <v>Commercial</v>
      </c>
      <c r="V960" s="30" t="str">
        <f t="shared" si="56"/>
        <v>Home-Commercial</v>
      </c>
      <c r="W960" s="51">
        <v>30000</v>
      </c>
      <c r="X960" s="50">
        <v>340</v>
      </c>
      <c r="Y960" s="50" t="str">
        <f t="shared" si="57"/>
        <v>Over 200</v>
      </c>
      <c r="Z960" s="50">
        <v>5</v>
      </c>
      <c r="AA960" s="50" t="str">
        <f t="shared" si="58"/>
        <v>Over 3.5</v>
      </c>
      <c r="AB960" s="23">
        <v>6</v>
      </c>
      <c r="AC960" s="30" t="str">
        <f>VLOOKUP(AB960,[4]Key!$C$20:$D$29,2,FALSE)</f>
        <v>Businessman</v>
      </c>
      <c r="AD960" s="23">
        <v>3</v>
      </c>
      <c r="AE960" s="30" t="str">
        <f>VLOOKUP(AD960,[4]Key!$E$20:$F$24,2,FALSE)</f>
        <v>500,000-750,000</v>
      </c>
      <c r="AF960" s="23">
        <v>1</v>
      </c>
      <c r="AG960" s="50">
        <v>1</v>
      </c>
      <c r="AH960" s="50">
        <v>5</v>
      </c>
      <c r="AI960" s="50">
        <v>5</v>
      </c>
      <c r="AJ960" s="50">
        <v>5</v>
      </c>
      <c r="AK960" s="46" t="s">
        <v>94</v>
      </c>
      <c r="AL960" s="36">
        <v>5000</v>
      </c>
      <c r="AM960" t="str">
        <f t="shared" si="59"/>
        <v>5000-10000</v>
      </c>
    </row>
    <row r="961" spans="1:39" x14ac:dyDescent="0.2">
      <c r="A961" s="44" t="s">
        <v>544</v>
      </c>
      <c r="B961" s="48">
        <v>0.38680555555555557</v>
      </c>
      <c r="C961" s="48"/>
      <c r="D961" s="48" t="s">
        <v>150</v>
      </c>
      <c r="E961" s="13">
        <v>2</v>
      </c>
      <c r="F961" s="38" t="str">
        <f>VLOOKUP(E961,[4]Key!$A$17:$B$21,2,FALSE)</f>
        <v>Road Vehicle</v>
      </c>
      <c r="G961" s="49">
        <v>4</v>
      </c>
      <c r="H961" s="39" t="str">
        <f>VLOOKUP(G961,[4]Key!$A$2:$B$13,2,FALSE)</f>
        <v>Minibus</v>
      </c>
      <c r="I961" s="13" t="s">
        <v>156</v>
      </c>
      <c r="J961" s="13">
        <v>2</v>
      </c>
      <c r="K961" s="40" t="str">
        <f>VLOOKUP(J961,[4]Key!$A$24:$B$29,2,FALSE)</f>
        <v>30-39</v>
      </c>
      <c r="L961" s="13" t="s">
        <v>454</v>
      </c>
      <c r="M961" s="23" t="s">
        <v>455</v>
      </c>
      <c r="N961" s="13" t="s">
        <v>152</v>
      </c>
      <c r="O961" s="46">
        <v>1</v>
      </c>
      <c r="P961" s="30" t="str">
        <f>VLOOKUP(O961,[4]Key!$E$2:$F$9,2,FALSE)</f>
        <v>Home</v>
      </c>
      <c r="Q961" s="13" t="s">
        <v>555</v>
      </c>
      <c r="R961" s="23" t="s">
        <v>556</v>
      </c>
      <c r="S961" s="13" t="s">
        <v>152</v>
      </c>
      <c r="T961" s="23">
        <v>2</v>
      </c>
      <c r="U961" s="30" t="str">
        <f>VLOOKUP(T961,[4]Key!$E$2:$F$9,2,FALSE)</f>
        <v>Work</v>
      </c>
      <c r="V961" s="30" t="str">
        <f t="shared" si="56"/>
        <v>Home-Work</v>
      </c>
      <c r="W961" s="51">
        <v>50000</v>
      </c>
      <c r="X961" s="50">
        <v>448</v>
      </c>
      <c r="Y961" s="50" t="str">
        <f t="shared" si="57"/>
        <v>Over 200</v>
      </c>
      <c r="Z961" s="50">
        <v>7</v>
      </c>
      <c r="AA961" s="50" t="str">
        <f t="shared" si="58"/>
        <v>Over 3.5</v>
      </c>
      <c r="AB961" s="23">
        <v>6</v>
      </c>
      <c r="AC961" s="30" t="str">
        <f>VLOOKUP(AB961,[4]Key!$C$20:$D$29,2,FALSE)</f>
        <v>Businessman</v>
      </c>
      <c r="AD961" s="23">
        <v>2</v>
      </c>
      <c r="AE961" s="30" t="str">
        <f>VLOOKUP(AD961,[4]Key!$E$20:$F$24,2,FALSE)</f>
        <v>300,000-500,000</v>
      </c>
      <c r="AF961" s="23">
        <v>1</v>
      </c>
      <c r="AG961" s="50">
        <v>5</v>
      </c>
      <c r="AH961" s="50">
        <v>5</v>
      </c>
      <c r="AI961" s="50">
        <v>5</v>
      </c>
      <c r="AJ961" s="50">
        <v>5</v>
      </c>
      <c r="AK961" s="46" t="s">
        <v>94</v>
      </c>
      <c r="AL961" s="36">
        <v>3000</v>
      </c>
      <c r="AM961" t="str">
        <f t="shared" si="59"/>
        <v>3000-5000</v>
      </c>
    </row>
    <row r="962" spans="1:39" x14ac:dyDescent="0.2">
      <c r="A962" s="44" t="s">
        <v>544</v>
      </c>
      <c r="B962" s="48">
        <v>0.55972222222222223</v>
      </c>
      <c r="C962" s="48"/>
      <c r="D962" s="48" t="s">
        <v>150</v>
      </c>
      <c r="E962" s="13">
        <v>2</v>
      </c>
      <c r="F962" s="38" t="str">
        <f>VLOOKUP(E962,[4]Key!$A$17:$B$21,2,FALSE)</f>
        <v>Road Vehicle</v>
      </c>
      <c r="G962" s="49">
        <v>4</v>
      </c>
      <c r="H962" s="39" t="str">
        <f>VLOOKUP(G962,[4]Key!$A$2:$B$13,2,FALSE)</f>
        <v>Minibus</v>
      </c>
      <c r="I962" s="13" t="s">
        <v>156</v>
      </c>
      <c r="J962" s="13">
        <v>2</v>
      </c>
      <c r="K962" s="40" t="str">
        <f>VLOOKUP(J962,[4]Key!$A$24:$B$29,2,FALSE)</f>
        <v>30-39</v>
      </c>
      <c r="L962" s="13" t="s">
        <v>454</v>
      </c>
      <c r="M962" s="23" t="s">
        <v>455</v>
      </c>
      <c r="N962" s="13" t="s">
        <v>152</v>
      </c>
      <c r="O962" s="46">
        <v>1</v>
      </c>
      <c r="P962" s="30" t="str">
        <f>VLOOKUP(O962,[4]Key!$E$2:$F$9,2,FALSE)</f>
        <v>Home</v>
      </c>
      <c r="Q962" s="13" t="s">
        <v>424</v>
      </c>
      <c r="R962" s="23" t="s">
        <v>421</v>
      </c>
      <c r="S962" s="13" t="s">
        <v>152</v>
      </c>
      <c r="T962" s="23">
        <v>6</v>
      </c>
      <c r="U962" s="30" t="str">
        <f>VLOOKUP(T962,[4]Key!$E$2:$F$9,2,FALSE)</f>
        <v>Leisure/Social</v>
      </c>
      <c r="V962" s="30" t="str">
        <f t="shared" ref="V962:V1025" si="60">P962&amp;"-"&amp;U962</f>
        <v>Home-Leisure/Social</v>
      </c>
      <c r="W962" s="51">
        <v>15000</v>
      </c>
      <c r="X962" s="50">
        <v>139</v>
      </c>
      <c r="Y962" s="50" t="str">
        <f t="shared" si="57"/>
        <v>100-200</v>
      </c>
      <c r="Z962" s="50">
        <v>1.5</v>
      </c>
      <c r="AA962" s="50" t="str">
        <f t="shared" si="58"/>
        <v>1.0-2.0</v>
      </c>
      <c r="AB962" s="23">
        <v>6</v>
      </c>
      <c r="AC962" s="30" t="str">
        <f>VLOOKUP(AB962,[4]Key!$C$20:$D$29,2,FALSE)</f>
        <v>Businessman</v>
      </c>
      <c r="AD962" s="23">
        <v>3</v>
      </c>
      <c r="AE962" s="30" t="str">
        <f>VLOOKUP(AD962,[4]Key!$E$20:$F$24,2,FALSE)</f>
        <v>500,000-750,000</v>
      </c>
      <c r="AF962" s="23">
        <v>1</v>
      </c>
      <c r="AG962" s="50">
        <v>1</v>
      </c>
      <c r="AH962" s="50">
        <v>1</v>
      </c>
      <c r="AI962" s="50">
        <v>1</v>
      </c>
      <c r="AJ962" s="50">
        <v>1</v>
      </c>
      <c r="AK962" s="46" t="s">
        <v>94</v>
      </c>
      <c r="AL962" s="36">
        <v>2000</v>
      </c>
      <c r="AM962" t="str">
        <f t="shared" si="59"/>
        <v>2000-3000</v>
      </c>
    </row>
    <row r="963" spans="1:39" x14ac:dyDescent="0.2">
      <c r="A963" s="44" t="s">
        <v>544</v>
      </c>
      <c r="B963" s="48">
        <v>0.60347222222222219</v>
      </c>
      <c r="C963" s="48"/>
      <c r="D963" s="48" t="s">
        <v>150</v>
      </c>
      <c r="E963" s="13">
        <v>2</v>
      </c>
      <c r="F963" s="38" t="str">
        <f>VLOOKUP(E963,[4]Key!$A$17:$B$21,2,FALSE)</f>
        <v>Road Vehicle</v>
      </c>
      <c r="G963" s="49">
        <v>4</v>
      </c>
      <c r="H963" s="39" t="str">
        <f>VLOOKUP(G963,[4]Key!$A$2:$B$13,2,FALSE)</f>
        <v>Minibus</v>
      </c>
      <c r="I963" s="13" t="s">
        <v>156</v>
      </c>
      <c r="J963" s="13">
        <v>2</v>
      </c>
      <c r="K963" s="40" t="str">
        <f>VLOOKUP(J963,[4]Key!$A$24:$B$29,2,FALSE)</f>
        <v>30-39</v>
      </c>
      <c r="L963" s="13" t="s">
        <v>454</v>
      </c>
      <c r="M963" s="23" t="s">
        <v>455</v>
      </c>
      <c r="N963" s="13" t="s">
        <v>152</v>
      </c>
      <c r="O963" s="46">
        <v>1</v>
      </c>
      <c r="P963" s="30" t="str">
        <f>VLOOKUP(O963,[4]Key!$E$2:$F$9,2,FALSE)</f>
        <v>Home</v>
      </c>
      <c r="Q963" s="13" t="s">
        <v>636</v>
      </c>
      <c r="R963" s="23" t="s">
        <v>421</v>
      </c>
      <c r="S963" s="13" t="s">
        <v>152</v>
      </c>
      <c r="T963" s="23">
        <v>4</v>
      </c>
      <c r="U963" s="30" t="str">
        <f>VLOOKUP(T963,[4]Key!$E$2:$F$9,2,FALSE)</f>
        <v>Commercial</v>
      </c>
      <c r="V963" s="30" t="str">
        <f t="shared" si="60"/>
        <v>Home-Commercial</v>
      </c>
      <c r="W963" s="51">
        <v>15000</v>
      </c>
      <c r="X963" s="50">
        <v>40</v>
      </c>
      <c r="Y963" s="50" t="str">
        <f t="shared" ref="Y963:Y1026" si="61">IF(X963&lt;10,"0-10",IF(X963&lt;20,"10-20",IF(X963&lt;40,"20-40",IF(X963&lt;70,"40-70",IF(X963&lt;100,"70-100",IF(X963&lt;200,"100-200","Over 200"))))))</f>
        <v>40-70</v>
      </c>
      <c r="Z963" s="50">
        <v>0.66</v>
      </c>
      <c r="AA963" s="50" t="str">
        <f t="shared" ref="AA963:AA1026" si="62">IF(Z963&lt;0.5,"0-0.5",IF(Z963&lt;1,"0.5-1.0",IF(Z963&lt;2,"1.0-2.0",IF(Z963&lt;3.5,"2.0-3.5","Over 3.5"))))</f>
        <v>0.5-1.0</v>
      </c>
      <c r="AB963" s="23">
        <v>6</v>
      </c>
      <c r="AC963" s="30" t="str">
        <f>VLOOKUP(AB963,[4]Key!$C$20:$D$29,2,FALSE)</f>
        <v>Businessman</v>
      </c>
      <c r="AD963" s="23">
        <v>2</v>
      </c>
      <c r="AE963" s="30" t="str">
        <f>VLOOKUP(AD963,[4]Key!$E$20:$F$24,2,FALSE)</f>
        <v>300,000-500,000</v>
      </c>
      <c r="AF963" s="23">
        <v>1</v>
      </c>
      <c r="AG963" s="50">
        <v>1</v>
      </c>
      <c r="AH963" s="50">
        <v>1</v>
      </c>
      <c r="AI963" s="50">
        <v>1</v>
      </c>
      <c r="AJ963" s="50">
        <v>1</v>
      </c>
      <c r="AK963" s="46" t="s">
        <v>94</v>
      </c>
      <c r="AL963" s="36">
        <v>5000</v>
      </c>
      <c r="AM963" t="str">
        <f t="shared" ref="AM963:AM1026" si="63">IF(AL963&lt;1000,"0-1000",IF(AL963&lt;2000,"1000-2000",IF(AL963&lt;3000,"2000-3000",IF(AL963&lt;5000,"3000-5000",IF(AL963&lt;10000,"5000-10000","Over 10000")))))</f>
        <v>5000-10000</v>
      </c>
    </row>
    <row r="964" spans="1:39" x14ac:dyDescent="0.2">
      <c r="A964" s="44" t="s">
        <v>544</v>
      </c>
      <c r="B964" s="48">
        <v>0.65972222222222221</v>
      </c>
      <c r="C964" s="48"/>
      <c r="D964" s="48" t="s">
        <v>150</v>
      </c>
      <c r="E964" s="13">
        <v>2</v>
      </c>
      <c r="F964" s="38" t="str">
        <f>VLOOKUP(E964,[4]Key!$A$17:$B$21,2,FALSE)</f>
        <v>Road Vehicle</v>
      </c>
      <c r="G964" s="49">
        <v>4</v>
      </c>
      <c r="H964" s="39" t="str">
        <f>VLOOKUP(G964,[4]Key!$A$2:$B$13,2,FALSE)</f>
        <v>Minibus</v>
      </c>
      <c r="I964" s="13" t="s">
        <v>156</v>
      </c>
      <c r="J964" s="13">
        <v>2</v>
      </c>
      <c r="K964" s="40" t="str">
        <f>VLOOKUP(J964,[4]Key!$A$24:$B$29,2,FALSE)</f>
        <v>30-39</v>
      </c>
      <c r="L964" s="13" t="s">
        <v>454</v>
      </c>
      <c r="M964" s="23" t="s">
        <v>455</v>
      </c>
      <c r="N964" s="13" t="s">
        <v>152</v>
      </c>
      <c r="O964" s="46">
        <v>2</v>
      </c>
      <c r="P964" s="30" t="str">
        <f>VLOOKUP(O964,[4]Key!$E$2:$F$9,2,FALSE)</f>
        <v>Work</v>
      </c>
      <c r="Q964" s="13" t="s">
        <v>424</v>
      </c>
      <c r="R964" s="23" t="s">
        <v>421</v>
      </c>
      <c r="S964" s="13" t="s">
        <v>152</v>
      </c>
      <c r="T964" s="23">
        <v>1</v>
      </c>
      <c r="U964" s="30" t="str">
        <f>VLOOKUP(T964,[4]Key!$E$2:$F$9,2,FALSE)</f>
        <v>Home</v>
      </c>
      <c r="V964" s="30" t="str">
        <f t="shared" si="60"/>
        <v>Work-Home</v>
      </c>
      <c r="W964" s="51">
        <v>10000</v>
      </c>
      <c r="X964" s="50">
        <v>95</v>
      </c>
      <c r="Y964" s="50" t="str">
        <f t="shared" si="61"/>
        <v>70-100</v>
      </c>
      <c r="Z964" s="50">
        <v>2.5</v>
      </c>
      <c r="AA964" s="50" t="str">
        <f t="shared" si="62"/>
        <v>2.0-3.5</v>
      </c>
      <c r="AB964" s="23">
        <v>6</v>
      </c>
      <c r="AC964" s="30" t="str">
        <f>VLOOKUP(AB964,[4]Key!$C$20:$D$29,2,FALSE)</f>
        <v>Businessman</v>
      </c>
      <c r="AD964" s="23">
        <v>1</v>
      </c>
      <c r="AE964" s="30" t="str">
        <f>VLOOKUP(AD964,[4]Key!$E$20:$F$24,2,FALSE)</f>
        <v>&lt;300,000</v>
      </c>
      <c r="AF964" s="23">
        <v>5</v>
      </c>
      <c r="AG964" s="50">
        <v>4</v>
      </c>
      <c r="AH964" s="50">
        <v>2</v>
      </c>
      <c r="AI964" s="50">
        <v>2</v>
      </c>
      <c r="AJ964" s="50">
        <v>2</v>
      </c>
      <c r="AK964" s="46" t="s">
        <v>94</v>
      </c>
      <c r="AL964" s="36">
        <v>0</v>
      </c>
      <c r="AM964" t="str">
        <f t="shared" si="63"/>
        <v>0-1000</v>
      </c>
    </row>
    <row r="965" spans="1:39" x14ac:dyDescent="0.2">
      <c r="A965" s="44" t="s">
        <v>544</v>
      </c>
      <c r="B965" s="48">
        <v>0.64583333333333337</v>
      </c>
      <c r="C965" s="48"/>
      <c r="D965" s="48" t="s">
        <v>150</v>
      </c>
      <c r="E965" s="13">
        <v>2</v>
      </c>
      <c r="F965" s="38" t="str">
        <f>VLOOKUP(E965,[4]Key!$A$17:$B$21,2,FALSE)</f>
        <v>Road Vehicle</v>
      </c>
      <c r="G965" s="49">
        <v>4</v>
      </c>
      <c r="H965" s="39" t="str">
        <f>VLOOKUP(G965,[4]Key!$A$2:$B$13,2,FALSE)</f>
        <v>Minibus</v>
      </c>
      <c r="I965" s="13" t="s">
        <v>156</v>
      </c>
      <c r="J965" s="13">
        <v>2</v>
      </c>
      <c r="K965" s="40" t="str">
        <f>VLOOKUP(J965,[4]Key!$A$24:$B$29,2,FALSE)</f>
        <v>30-39</v>
      </c>
      <c r="L965" s="13" t="s">
        <v>454</v>
      </c>
      <c r="M965" s="23" t="s">
        <v>455</v>
      </c>
      <c r="N965" s="13" t="s">
        <v>152</v>
      </c>
      <c r="O965" s="46">
        <v>2</v>
      </c>
      <c r="P965" s="30" t="str">
        <f>VLOOKUP(O965,[4]Key!$E$2:$F$9,2,FALSE)</f>
        <v>Work</v>
      </c>
      <c r="Q965" s="13" t="s">
        <v>634</v>
      </c>
      <c r="R965" s="23" t="s">
        <v>455</v>
      </c>
      <c r="S965" s="13" t="s">
        <v>152</v>
      </c>
      <c r="T965" s="23">
        <v>1</v>
      </c>
      <c r="U965" s="30" t="str">
        <f>VLOOKUP(T965,[4]Key!$E$2:$F$9,2,FALSE)</f>
        <v>Home</v>
      </c>
      <c r="V965" s="30" t="str">
        <f t="shared" si="60"/>
        <v>Work-Home</v>
      </c>
      <c r="W965" s="51">
        <v>7000</v>
      </c>
      <c r="X965" s="50">
        <v>48</v>
      </c>
      <c r="Y965" s="50" t="str">
        <f t="shared" si="61"/>
        <v>40-70</v>
      </c>
      <c r="Z965" s="50">
        <v>1.5</v>
      </c>
      <c r="AA965" s="50" t="str">
        <f t="shared" si="62"/>
        <v>1.0-2.0</v>
      </c>
      <c r="AB965" s="23">
        <v>6</v>
      </c>
      <c r="AC965" s="30" t="str">
        <f>VLOOKUP(AB965,[4]Key!$C$20:$D$29,2,FALSE)</f>
        <v>Businessman</v>
      </c>
      <c r="AD965" s="23">
        <v>1</v>
      </c>
      <c r="AE965" s="30" t="str">
        <f>VLOOKUP(AD965,[4]Key!$E$20:$F$24,2,FALSE)</f>
        <v>&lt;300,000</v>
      </c>
      <c r="AF965" s="23">
        <v>2</v>
      </c>
      <c r="AG965" s="50">
        <v>2</v>
      </c>
      <c r="AH965" s="50">
        <v>2</v>
      </c>
      <c r="AI965" s="50">
        <v>2</v>
      </c>
      <c r="AJ965" s="50">
        <v>2</v>
      </c>
      <c r="AK965" s="46" t="s">
        <v>94</v>
      </c>
      <c r="AL965" s="36">
        <v>0</v>
      </c>
      <c r="AM965" t="str">
        <f t="shared" si="63"/>
        <v>0-1000</v>
      </c>
    </row>
    <row r="966" spans="1:39" x14ac:dyDescent="0.2">
      <c r="A966" s="44" t="s">
        <v>544</v>
      </c>
      <c r="B966" s="48">
        <v>0.60277777777777775</v>
      </c>
      <c r="C966" s="48"/>
      <c r="D966" s="48" t="s">
        <v>150</v>
      </c>
      <c r="E966" s="13">
        <v>2</v>
      </c>
      <c r="F966" s="38" t="str">
        <f>VLOOKUP(E966,[4]Key!$A$17:$B$21,2,FALSE)</f>
        <v>Road Vehicle</v>
      </c>
      <c r="G966" s="49">
        <v>4</v>
      </c>
      <c r="H966" s="39" t="str">
        <f>VLOOKUP(G966,[4]Key!$A$2:$B$13,2,FALSE)</f>
        <v>Minibus</v>
      </c>
      <c r="I966" s="13" t="s">
        <v>156</v>
      </c>
      <c r="J966" s="13">
        <v>2</v>
      </c>
      <c r="K966" s="40" t="str">
        <f>VLOOKUP(J966,[4]Key!$A$24:$B$29,2,FALSE)</f>
        <v>30-39</v>
      </c>
      <c r="L966" s="13" t="s">
        <v>454</v>
      </c>
      <c r="M966" s="23" t="s">
        <v>455</v>
      </c>
      <c r="N966" s="13" t="s">
        <v>152</v>
      </c>
      <c r="O966" s="46">
        <v>2</v>
      </c>
      <c r="P966" s="30" t="str">
        <f>VLOOKUP(O966,[4]Key!$E$2:$F$9,2,FALSE)</f>
        <v>Work</v>
      </c>
      <c r="Q966" s="13" t="s">
        <v>631</v>
      </c>
      <c r="R966" s="23" t="s">
        <v>455</v>
      </c>
      <c r="S966" s="13" t="s">
        <v>152</v>
      </c>
      <c r="T966" s="23">
        <v>1</v>
      </c>
      <c r="U966" s="30" t="str">
        <f>VLOOKUP(T966,[4]Key!$E$2:$F$9,2,FALSE)</f>
        <v>Home</v>
      </c>
      <c r="V966" s="30" t="str">
        <f t="shared" si="60"/>
        <v>Work-Home</v>
      </c>
      <c r="W966" s="51">
        <v>5000</v>
      </c>
      <c r="X966" s="50">
        <v>45</v>
      </c>
      <c r="Y966" s="50" t="str">
        <f t="shared" si="61"/>
        <v>40-70</v>
      </c>
      <c r="Z966" s="50">
        <v>1</v>
      </c>
      <c r="AA966" s="50" t="str">
        <f t="shared" si="62"/>
        <v>1.0-2.0</v>
      </c>
      <c r="AB966" s="23">
        <v>6</v>
      </c>
      <c r="AC966" s="30" t="str">
        <f>VLOOKUP(AB966,[4]Key!$C$20:$D$29,2,FALSE)</f>
        <v>Businessman</v>
      </c>
      <c r="AD966" s="23">
        <v>1</v>
      </c>
      <c r="AE966" s="30" t="str">
        <f>VLOOKUP(AD966,[4]Key!$E$20:$F$24,2,FALSE)</f>
        <v>&lt;300,000</v>
      </c>
      <c r="AF966" s="23">
        <v>2</v>
      </c>
      <c r="AG966" s="50">
        <v>4</v>
      </c>
      <c r="AH966" s="50">
        <v>2</v>
      </c>
      <c r="AI966" s="50">
        <v>2</v>
      </c>
      <c r="AJ966" s="50">
        <v>2</v>
      </c>
      <c r="AK966" s="46" t="s">
        <v>94</v>
      </c>
      <c r="AL966" s="36">
        <v>0</v>
      </c>
      <c r="AM966" t="str">
        <f t="shared" si="63"/>
        <v>0-1000</v>
      </c>
    </row>
    <row r="967" spans="1:39" x14ac:dyDescent="0.2">
      <c r="A967" s="44" t="s">
        <v>544</v>
      </c>
      <c r="B967" s="48">
        <v>0.60277777777777775</v>
      </c>
      <c r="C967" s="48"/>
      <c r="D967" s="48" t="s">
        <v>150</v>
      </c>
      <c r="E967" s="13">
        <v>2</v>
      </c>
      <c r="F967" s="38" t="str">
        <f>VLOOKUP(E967,[4]Key!$A$17:$B$21,2,FALSE)</f>
        <v>Road Vehicle</v>
      </c>
      <c r="G967" s="49">
        <v>4</v>
      </c>
      <c r="H967" s="39" t="str">
        <f>VLOOKUP(G967,[4]Key!$A$2:$B$13,2,FALSE)</f>
        <v>Minibus</v>
      </c>
      <c r="I967" s="13" t="s">
        <v>156</v>
      </c>
      <c r="J967" s="13">
        <v>2</v>
      </c>
      <c r="K967" s="40" t="str">
        <f>VLOOKUP(J967,[4]Key!$A$24:$B$29,2,FALSE)</f>
        <v>30-39</v>
      </c>
      <c r="L967" s="13" t="s">
        <v>454</v>
      </c>
      <c r="M967" s="23" t="s">
        <v>455</v>
      </c>
      <c r="N967" s="13" t="s">
        <v>152</v>
      </c>
      <c r="O967" s="46">
        <v>2</v>
      </c>
      <c r="P967" s="30" t="str">
        <f>VLOOKUP(O967,[4]Key!$E$2:$F$9,2,FALSE)</f>
        <v>Work</v>
      </c>
      <c r="Q967" s="13" t="s">
        <v>631</v>
      </c>
      <c r="R967" s="23" t="s">
        <v>455</v>
      </c>
      <c r="S967" s="13" t="s">
        <v>152</v>
      </c>
      <c r="T967" s="23">
        <v>1</v>
      </c>
      <c r="U967" s="30" t="str">
        <f>VLOOKUP(T967,[4]Key!$E$2:$F$9,2,FALSE)</f>
        <v>Home</v>
      </c>
      <c r="V967" s="30" t="str">
        <f t="shared" si="60"/>
        <v>Work-Home</v>
      </c>
      <c r="W967" s="51">
        <v>5000</v>
      </c>
      <c r="X967" s="50">
        <v>45</v>
      </c>
      <c r="Y967" s="50" t="str">
        <f t="shared" si="61"/>
        <v>40-70</v>
      </c>
      <c r="Z967" s="50">
        <v>1</v>
      </c>
      <c r="AA967" s="50" t="str">
        <f t="shared" si="62"/>
        <v>1.0-2.0</v>
      </c>
      <c r="AB967" s="23">
        <v>6</v>
      </c>
      <c r="AC967" s="30" t="str">
        <f>VLOOKUP(AB967,[4]Key!$C$20:$D$29,2,FALSE)</f>
        <v>Businessman</v>
      </c>
      <c r="AD967" s="23">
        <v>1</v>
      </c>
      <c r="AE967" s="30" t="str">
        <f>VLOOKUP(AD967,[4]Key!$E$20:$F$24,2,FALSE)</f>
        <v>&lt;300,000</v>
      </c>
      <c r="AF967" s="23">
        <v>2</v>
      </c>
      <c r="AG967" s="50">
        <v>4</v>
      </c>
      <c r="AH967" s="50">
        <v>2</v>
      </c>
      <c r="AI967" s="50">
        <v>2</v>
      </c>
      <c r="AJ967" s="50">
        <v>2</v>
      </c>
      <c r="AK967" s="46" t="s">
        <v>94</v>
      </c>
      <c r="AL967" s="36">
        <v>0</v>
      </c>
      <c r="AM967" t="str">
        <f t="shared" si="63"/>
        <v>0-1000</v>
      </c>
    </row>
    <row r="968" spans="1:39" x14ac:dyDescent="0.2">
      <c r="A968" s="44" t="s">
        <v>544</v>
      </c>
      <c r="B968" s="48">
        <v>0.56805555555555554</v>
      </c>
      <c r="C968" s="48"/>
      <c r="D968" s="48" t="s">
        <v>150</v>
      </c>
      <c r="E968" s="13">
        <v>2</v>
      </c>
      <c r="F968" s="38" t="str">
        <f>VLOOKUP(E968,[4]Key!$A$17:$B$21,2,FALSE)</f>
        <v>Road Vehicle</v>
      </c>
      <c r="G968" s="49">
        <v>4</v>
      </c>
      <c r="H968" s="39" t="str">
        <f>VLOOKUP(G968,[4]Key!$A$2:$B$13,2,FALSE)</f>
        <v>Minibus</v>
      </c>
      <c r="I968" s="13" t="s">
        <v>156</v>
      </c>
      <c r="J968" s="13">
        <v>2</v>
      </c>
      <c r="K968" s="40" t="str">
        <f>VLOOKUP(J968,[4]Key!$A$24:$B$29,2,FALSE)</f>
        <v>30-39</v>
      </c>
      <c r="L968" s="13" t="s">
        <v>454</v>
      </c>
      <c r="M968" s="23" t="s">
        <v>455</v>
      </c>
      <c r="N968" s="13" t="s">
        <v>152</v>
      </c>
      <c r="O968" s="46">
        <v>2</v>
      </c>
      <c r="P968" s="30" t="str">
        <f>VLOOKUP(O968,[4]Key!$E$2:$F$9,2,FALSE)</f>
        <v>Work</v>
      </c>
      <c r="Q968" s="13" t="s">
        <v>637</v>
      </c>
      <c r="R968" s="23" t="s">
        <v>499</v>
      </c>
      <c r="S968" s="13" t="s">
        <v>152</v>
      </c>
      <c r="T968" s="23">
        <v>1</v>
      </c>
      <c r="U968" s="30" t="str">
        <f>VLOOKUP(T968,[4]Key!$E$2:$F$9,2,FALSE)</f>
        <v>Home</v>
      </c>
      <c r="V968" s="30" t="str">
        <f t="shared" si="60"/>
        <v>Work-Home</v>
      </c>
      <c r="W968" s="51">
        <v>10000</v>
      </c>
      <c r="X968" s="50">
        <v>95</v>
      </c>
      <c r="Y968" s="50" t="str">
        <f t="shared" si="61"/>
        <v>70-100</v>
      </c>
      <c r="Z968" s="50">
        <v>2.5</v>
      </c>
      <c r="AA968" s="50" t="str">
        <f t="shared" si="62"/>
        <v>2.0-3.5</v>
      </c>
      <c r="AB968" s="23">
        <v>6</v>
      </c>
      <c r="AC968" s="30" t="str">
        <f>VLOOKUP(AB968,[4]Key!$C$20:$D$29,2,FALSE)</f>
        <v>Businessman</v>
      </c>
      <c r="AD968" s="23">
        <v>1</v>
      </c>
      <c r="AE968" s="30" t="str">
        <f>VLOOKUP(AD968,[4]Key!$E$20:$F$24,2,FALSE)</f>
        <v>&lt;300,000</v>
      </c>
      <c r="AF968" s="23">
        <v>5</v>
      </c>
      <c r="AG968" s="50">
        <v>2</v>
      </c>
      <c r="AH968" s="50">
        <v>1</v>
      </c>
      <c r="AI968" s="50">
        <v>2</v>
      </c>
      <c r="AJ968" s="50">
        <v>2</v>
      </c>
      <c r="AK968" s="46" t="s">
        <v>94</v>
      </c>
      <c r="AL968" s="36">
        <v>0</v>
      </c>
      <c r="AM968" t="str">
        <f t="shared" si="63"/>
        <v>0-1000</v>
      </c>
    </row>
    <row r="969" spans="1:39" x14ac:dyDescent="0.2">
      <c r="A969" s="44" t="s">
        <v>544</v>
      </c>
      <c r="B969" s="48">
        <v>0.51944444444444449</v>
      </c>
      <c r="C969" s="48"/>
      <c r="D969" s="48" t="s">
        <v>150</v>
      </c>
      <c r="E969" s="13">
        <v>2</v>
      </c>
      <c r="F969" s="38" t="str">
        <f>VLOOKUP(E969,[4]Key!$A$17:$B$21,2,FALSE)</f>
        <v>Road Vehicle</v>
      </c>
      <c r="G969" s="49">
        <v>4</v>
      </c>
      <c r="H969" s="39" t="str">
        <f>VLOOKUP(G969,[4]Key!$A$2:$B$13,2,FALSE)</f>
        <v>Minibus</v>
      </c>
      <c r="I969" s="13" t="s">
        <v>156</v>
      </c>
      <c r="J969" s="13">
        <v>2</v>
      </c>
      <c r="K969" s="40" t="str">
        <f>VLOOKUP(J969,[4]Key!$A$24:$B$29,2,FALSE)</f>
        <v>30-39</v>
      </c>
      <c r="L969" s="13" t="s">
        <v>454</v>
      </c>
      <c r="M969" s="23" t="s">
        <v>455</v>
      </c>
      <c r="N969" s="13" t="s">
        <v>152</v>
      </c>
      <c r="O969" s="46">
        <v>2</v>
      </c>
      <c r="P969" s="30" t="str">
        <f>VLOOKUP(O969,[4]Key!$E$2:$F$9,2,FALSE)</f>
        <v>Work</v>
      </c>
      <c r="Q969" s="13" t="s">
        <v>487</v>
      </c>
      <c r="R969" s="23" t="s">
        <v>488</v>
      </c>
      <c r="S969" s="13" t="s">
        <v>152</v>
      </c>
      <c r="T969" s="23">
        <v>1</v>
      </c>
      <c r="U969" s="30" t="str">
        <f>VLOOKUP(T969,[4]Key!$E$2:$F$9,2,FALSE)</f>
        <v>Home</v>
      </c>
      <c r="V969" s="30" t="str">
        <f t="shared" si="60"/>
        <v>Work-Home</v>
      </c>
      <c r="W969" s="51">
        <v>7000</v>
      </c>
      <c r="X969" s="50">
        <v>68</v>
      </c>
      <c r="Y969" s="50" t="str">
        <f t="shared" si="61"/>
        <v>40-70</v>
      </c>
      <c r="Z969" s="50">
        <v>1.5</v>
      </c>
      <c r="AA969" s="50" t="str">
        <f t="shared" si="62"/>
        <v>1.0-2.0</v>
      </c>
      <c r="AB969" s="23">
        <v>6</v>
      </c>
      <c r="AC969" s="30" t="str">
        <f>VLOOKUP(AB969,[4]Key!$C$20:$D$29,2,FALSE)</f>
        <v>Businessman</v>
      </c>
      <c r="AD969" s="23">
        <v>1</v>
      </c>
      <c r="AE969" s="30" t="str">
        <f>VLOOKUP(AD969,[4]Key!$E$20:$F$24,2,FALSE)</f>
        <v>&lt;300,000</v>
      </c>
      <c r="AF969" s="23">
        <v>2</v>
      </c>
      <c r="AG969" s="50">
        <v>2</v>
      </c>
      <c r="AH969" s="50">
        <v>2</v>
      </c>
      <c r="AI969" s="50">
        <v>2</v>
      </c>
      <c r="AJ969" s="50">
        <v>2</v>
      </c>
      <c r="AK969" s="46" t="s">
        <v>94</v>
      </c>
      <c r="AL969" s="36">
        <v>0</v>
      </c>
      <c r="AM969" t="str">
        <f t="shared" si="63"/>
        <v>0-1000</v>
      </c>
    </row>
    <row r="970" spans="1:39" x14ac:dyDescent="0.2">
      <c r="A970" s="44" t="s">
        <v>544</v>
      </c>
      <c r="B970" s="48">
        <v>0.32083333333333336</v>
      </c>
      <c r="C970" s="48"/>
      <c r="D970" s="48" t="s">
        <v>150</v>
      </c>
      <c r="E970" s="13">
        <v>2</v>
      </c>
      <c r="F970" s="38" t="str">
        <f>VLOOKUP(E970,[4]Key!$A$17:$B$21,2,FALSE)</f>
        <v>Road Vehicle</v>
      </c>
      <c r="G970" s="49">
        <v>4</v>
      </c>
      <c r="H970" s="39" t="str">
        <f>VLOOKUP(G970,[4]Key!$A$2:$B$13,2,FALSE)</f>
        <v>Minibus</v>
      </c>
      <c r="I970" s="13" t="s">
        <v>156</v>
      </c>
      <c r="J970" s="13">
        <v>2</v>
      </c>
      <c r="K970" s="40" t="str">
        <f>VLOOKUP(J970,[4]Key!$A$24:$B$29,2,FALSE)</f>
        <v>30-39</v>
      </c>
      <c r="L970" s="13" t="s">
        <v>454</v>
      </c>
      <c r="M970" s="23" t="s">
        <v>455</v>
      </c>
      <c r="N970" s="13" t="s">
        <v>152</v>
      </c>
      <c r="O970" s="46">
        <v>1</v>
      </c>
      <c r="P970" s="30" t="str">
        <f>VLOOKUP(O970,[4]Key!$E$2:$F$9,2,FALSE)</f>
        <v>Home</v>
      </c>
      <c r="Q970" s="13" t="s">
        <v>615</v>
      </c>
      <c r="R970" s="23" t="s">
        <v>616</v>
      </c>
      <c r="S970" s="13" t="s">
        <v>152</v>
      </c>
      <c r="T970" s="23">
        <v>4</v>
      </c>
      <c r="U970" s="30" t="str">
        <f>VLOOKUP(T970,[4]Key!$E$2:$F$9,2,FALSE)</f>
        <v>Commercial</v>
      </c>
      <c r="V970" s="30" t="str">
        <f t="shared" si="60"/>
        <v>Home-Commercial</v>
      </c>
      <c r="W970" s="51">
        <v>10000</v>
      </c>
      <c r="X970" s="50">
        <v>95</v>
      </c>
      <c r="Y970" s="50" t="str">
        <f t="shared" si="61"/>
        <v>70-100</v>
      </c>
      <c r="Z970" s="50">
        <v>2.5</v>
      </c>
      <c r="AA970" s="50" t="str">
        <f t="shared" si="62"/>
        <v>2.0-3.5</v>
      </c>
      <c r="AB970" s="23">
        <v>6</v>
      </c>
      <c r="AC970" s="30" t="str">
        <f>VLOOKUP(AB970,[4]Key!$C$20:$D$29,2,FALSE)</f>
        <v>Businessman</v>
      </c>
      <c r="AD970" s="23">
        <v>1</v>
      </c>
      <c r="AE970" s="30" t="str">
        <f>VLOOKUP(AD970,[4]Key!$E$20:$F$24,2,FALSE)</f>
        <v>&lt;300,000</v>
      </c>
      <c r="AF970" s="23">
        <v>2</v>
      </c>
      <c r="AG970" s="50">
        <v>2</v>
      </c>
      <c r="AH970" s="50">
        <v>2</v>
      </c>
      <c r="AI970" s="50">
        <v>5</v>
      </c>
      <c r="AJ970" s="50">
        <v>5</v>
      </c>
      <c r="AK970" s="46" t="s">
        <v>94</v>
      </c>
      <c r="AL970" s="36">
        <v>0</v>
      </c>
      <c r="AM970" t="str">
        <f t="shared" si="63"/>
        <v>0-1000</v>
      </c>
    </row>
    <row r="971" spans="1:39" x14ac:dyDescent="0.2">
      <c r="A971" s="44" t="s">
        <v>544</v>
      </c>
      <c r="B971" s="48">
        <v>0.31111111111111112</v>
      </c>
      <c r="C971" s="48"/>
      <c r="D971" s="48" t="s">
        <v>150</v>
      </c>
      <c r="E971" s="13">
        <v>2</v>
      </c>
      <c r="F971" s="38" t="str">
        <f>VLOOKUP(E971,[4]Key!$A$17:$B$21,2,FALSE)</f>
        <v>Road Vehicle</v>
      </c>
      <c r="G971" s="49">
        <v>4</v>
      </c>
      <c r="H971" s="39" t="str">
        <f>VLOOKUP(G971,[4]Key!$A$2:$B$13,2,FALSE)</f>
        <v>Minibus</v>
      </c>
      <c r="I971" s="13" t="s">
        <v>156</v>
      </c>
      <c r="J971" s="13">
        <v>2</v>
      </c>
      <c r="K971" s="40" t="str">
        <f>VLOOKUP(J971,[4]Key!$A$24:$B$29,2,FALSE)</f>
        <v>30-39</v>
      </c>
      <c r="L971" s="13" t="s">
        <v>454</v>
      </c>
      <c r="M971" s="23" t="s">
        <v>455</v>
      </c>
      <c r="N971" s="13" t="s">
        <v>152</v>
      </c>
      <c r="O971" s="46">
        <v>2</v>
      </c>
      <c r="P971" s="30" t="str">
        <f>VLOOKUP(O971,[4]Key!$E$2:$F$9,2,FALSE)</f>
        <v>Work</v>
      </c>
      <c r="Q971" s="13" t="s">
        <v>638</v>
      </c>
      <c r="R971" s="23" t="s">
        <v>639</v>
      </c>
      <c r="S971" s="13" t="s">
        <v>152</v>
      </c>
      <c r="T971" s="23">
        <v>1</v>
      </c>
      <c r="U971" s="30" t="str">
        <f>VLOOKUP(T971,[4]Key!$E$2:$F$9,2,FALSE)</f>
        <v>Home</v>
      </c>
      <c r="V971" s="30" t="str">
        <f t="shared" si="60"/>
        <v>Work-Home</v>
      </c>
      <c r="W971" s="51">
        <v>5000</v>
      </c>
      <c r="X971" s="50">
        <v>30</v>
      </c>
      <c r="Y971" s="50" t="str">
        <f t="shared" si="61"/>
        <v>20-40</v>
      </c>
      <c r="Z971" s="50">
        <v>1</v>
      </c>
      <c r="AA971" s="50" t="str">
        <f t="shared" si="62"/>
        <v>1.0-2.0</v>
      </c>
      <c r="AB971" s="23">
        <v>6</v>
      </c>
      <c r="AC971" s="30" t="str">
        <f>VLOOKUP(AB971,[4]Key!$C$20:$D$29,2,FALSE)</f>
        <v>Businessman</v>
      </c>
      <c r="AD971" s="23">
        <v>1</v>
      </c>
      <c r="AE971" s="30" t="str">
        <f>VLOOKUP(AD971,[4]Key!$E$20:$F$24,2,FALSE)</f>
        <v>&lt;300,000</v>
      </c>
      <c r="AF971" s="23">
        <v>2</v>
      </c>
      <c r="AG971" s="50">
        <v>4</v>
      </c>
      <c r="AH971" s="50">
        <v>1</v>
      </c>
      <c r="AI971" s="50">
        <v>2</v>
      </c>
      <c r="AJ971" s="50">
        <v>2</v>
      </c>
      <c r="AK971" s="46" t="s">
        <v>94</v>
      </c>
      <c r="AL971" s="36">
        <v>0</v>
      </c>
      <c r="AM971" t="str">
        <f t="shared" si="63"/>
        <v>0-1000</v>
      </c>
    </row>
    <row r="972" spans="1:39" x14ac:dyDescent="0.2">
      <c r="A972" s="44" t="s">
        <v>544</v>
      </c>
      <c r="B972" s="48">
        <v>0.29166666666666669</v>
      </c>
      <c r="C972" s="48" t="s">
        <v>640</v>
      </c>
      <c r="D972" s="48" t="s">
        <v>97</v>
      </c>
      <c r="E972" s="13">
        <v>2</v>
      </c>
      <c r="F972" s="38" t="str">
        <f>VLOOKUP(E972,[4]Key!$A$17:$B$21,2,FALSE)</f>
        <v>Road Vehicle</v>
      </c>
      <c r="G972" s="49">
        <v>4</v>
      </c>
      <c r="H972" s="39" t="str">
        <f>VLOOKUP(G972,[4]Key!$A$2:$B$13,2,FALSE)</f>
        <v>Minibus</v>
      </c>
      <c r="I972" s="13" t="s">
        <v>156</v>
      </c>
      <c r="J972" s="13">
        <v>2</v>
      </c>
      <c r="K972" s="40" t="str">
        <f>VLOOKUP(J972,[4]Key!$A$24:$B$29,2,FALSE)</f>
        <v>30-39</v>
      </c>
      <c r="L972" s="13" t="s">
        <v>454</v>
      </c>
      <c r="M972" s="23" t="s">
        <v>455</v>
      </c>
      <c r="N972" s="13" t="s">
        <v>152</v>
      </c>
      <c r="O972" s="46">
        <v>2</v>
      </c>
      <c r="P972" s="30" t="str">
        <f>VLOOKUP(O972,[4]Key!$E$2:$F$9,2,FALSE)</f>
        <v>Work</v>
      </c>
      <c r="Q972" s="13" t="s">
        <v>554</v>
      </c>
      <c r="R972" s="23" t="s">
        <v>455</v>
      </c>
      <c r="S972" s="13" t="s">
        <v>152</v>
      </c>
      <c r="T972" s="23">
        <v>8</v>
      </c>
      <c r="U972" s="30" t="str">
        <f>VLOOKUP(T972,[4]Key!$E$2:$F$9,2,FALSE)</f>
        <v>Others</v>
      </c>
      <c r="V972" s="30" t="str">
        <f t="shared" si="60"/>
        <v>Work-Others</v>
      </c>
      <c r="W972" s="51">
        <v>30000</v>
      </c>
      <c r="X972" s="50">
        <v>15</v>
      </c>
      <c r="Y972" s="50" t="str">
        <f t="shared" si="61"/>
        <v>10-20</v>
      </c>
      <c r="Z972" s="50">
        <v>0.83</v>
      </c>
      <c r="AA972" s="50" t="str">
        <f t="shared" si="62"/>
        <v>0.5-1.0</v>
      </c>
      <c r="AB972" s="23">
        <v>10</v>
      </c>
      <c r="AC972" s="30" t="str">
        <f>VLOOKUP(AB972,[4]Key!$C$20:$D$29,2,FALSE)</f>
        <v>Other</v>
      </c>
      <c r="AD972" s="23">
        <v>1</v>
      </c>
      <c r="AE972" s="30" t="str">
        <f>VLOOKUP(AD972,[4]Key!$E$20:$F$24,2,FALSE)</f>
        <v>&lt;300,000</v>
      </c>
      <c r="AF972" s="23">
        <v>5</v>
      </c>
      <c r="AG972" s="50">
        <v>4</v>
      </c>
      <c r="AH972" s="50">
        <v>2</v>
      </c>
      <c r="AI972" s="50">
        <v>5</v>
      </c>
      <c r="AJ972" s="50">
        <v>2</v>
      </c>
      <c r="AK972" s="46" t="s">
        <v>94</v>
      </c>
      <c r="AL972" s="36">
        <v>0</v>
      </c>
      <c r="AM972" t="str">
        <f t="shared" si="63"/>
        <v>0-1000</v>
      </c>
    </row>
    <row r="973" spans="1:39" x14ac:dyDescent="0.2">
      <c r="A973" s="44" t="s">
        <v>541</v>
      </c>
      <c r="B973" s="48">
        <v>0.7055555555555556</v>
      </c>
      <c r="C973" s="48"/>
      <c r="D973" s="48" t="s">
        <v>150</v>
      </c>
      <c r="E973" s="13">
        <v>2</v>
      </c>
      <c r="F973" s="38" t="str">
        <f>VLOOKUP(E973,[4]Key!$A$17:$B$21,2,FALSE)</f>
        <v>Road Vehicle</v>
      </c>
      <c r="G973" s="49">
        <v>4</v>
      </c>
      <c r="H973" s="39" t="str">
        <f>VLOOKUP(G973,[4]Key!$A$2:$B$13,2,FALSE)</f>
        <v>Minibus</v>
      </c>
      <c r="I973" s="13" t="s">
        <v>109</v>
      </c>
      <c r="J973" s="13">
        <v>2</v>
      </c>
      <c r="K973" s="40" t="str">
        <f>VLOOKUP(J973,[4]Key!$A$24:$B$29,2,FALSE)</f>
        <v>30-39</v>
      </c>
      <c r="L973" s="13" t="s">
        <v>424</v>
      </c>
      <c r="M973" s="23" t="s">
        <v>421</v>
      </c>
      <c r="N973" s="13" t="s">
        <v>152</v>
      </c>
      <c r="O973" s="46">
        <v>7</v>
      </c>
      <c r="P973" s="30" t="str">
        <f>VLOOKUP(O973,[4]Key!$E$2:$F$9,2,FALSE)</f>
        <v>Hospital</v>
      </c>
      <c r="Q973" s="13" t="s">
        <v>454</v>
      </c>
      <c r="R973" s="23" t="s">
        <v>455</v>
      </c>
      <c r="S973" s="13" t="s">
        <v>152</v>
      </c>
      <c r="T973" s="23">
        <v>1</v>
      </c>
      <c r="U973" s="30" t="str">
        <f>VLOOKUP(T973,[4]Key!$E$2:$F$9,2,FALSE)</f>
        <v>Home</v>
      </c>
      <c r="V973" s="30" t="str">
        <f t="shared" si="60"/>
        <v>Hospital-Home</v>
      </c>
      <c r="W973" s="51">
        <v>15000</v>
      </c>
      <c r="X973" s="50">
        <v>136</v>
      </c>
      <c r="Y973" s="50" t="str">
        <f t="shared" si="61"/>
        <v>100-200</v>
      </c>
      <c r="Z973" s="50">
        <v>3</v>
      </c>
      <c r="AA973" s="50" t="str">
        <f t="shared" si="62"/>
        <v>2.0-3.5</v>
      </c>
      <c r="AB973" s="23">
        <v>7</v>
      </c>
      <c r="AC973" s="30" t="str">
        <f>VLOOKUP(AB973,[4]Key!$C$20:$D$29,2,FALSE)</f>
        <v>Farmer</v>
      </c>
      <c r="AD973" s="23">
        <v>2</v>
      </c>
      <c r="AE973" s="30" t="str">
        <f>VLOOKUP(AD973,[4]Key!$E$20:$F$24,2,FALSE)</f>
        <v>300,000-500,000</v>
      </c>
      <c r="AF973" s="23">
        <v>1</v>
      </c>
      <c r="AG973" s="50">
        <v>1</v>
      </c>
      <c r="AH973" s="50">
        <v>1</v>
      </c>
      <c r="AI973" s="50">
        <v>2</v>
      </c>
      <c r="AJ973" s="50">
        <v>2</v>
      </c>
      <c r="AK973" s="46" t="s">
        <v>94</v>
      </c>
      <c r="AL973" s="36">
        <v>0</v>
      </c>
      <c r="AM973" t="str">
        <f t="shared" si="63"/>
        <v>0-1000</v>
      </c>
    </row>
    <row r="974" spans="1:39" x14ac:dyDescent="0.2">
      <c r="A974" s="44" t="s">
        <v>541</v>
      </c>
      <c r="B974" s="48">
        <v>0.65138888888888891</v>
      </c>
      <c r="C974" s="48" t="s">
        <v>641</v>
      </c>
      <c r="D974" s="48" t="s">
        <v>97</v>
      </c>
      <c r="E974" s="13">
        <v>2</v>
      </c>
      <c r="F974" s="38" t="str">
        <f>VLOOKUP(E974,[4]Key!$A$17:$B$21,2,FALSE)</f>
        <v>Road Vehicle</v>
      </c>
      <c r="G974" s="49">
        <v>4</v>
      </c>
      <c r="H974" s="39" t="str">
        <f>VLOOKUP(G974,[4]Key!$A$2:$B$13,2,FALSE)</f>
        <v>Minibus</v>
      </c>
      <c r="I974" s="13" t="s">
        <v>109</v>
      </c>
      <c r="J974" s="13">
        <v>2</v>
      </c>
      <c r="K974" s="40" t="str">
        <f>VLOOKUP(J974,[4]Key!$A$24:$B$29,2,FALSE)</f>
        <v>30-39</v>
      </c>
      <c r="L974" s="13" t="s">
        <v>554</v>
      </c>
      <c r="M974" s="23" t="s">
        <v>455</v>
      </c>
      <c r="N974" s="13" t="s">
        <v>152</v>
      </c>
      <c r="O974" s="46">
        <v>2</v>
      </c>
      <c r="P974" s="30" t="str">
        <f>VLOOKUP(O974,[4]Key!$E$2:$F$9,2,FALSE)</f>
        <v>Work</v>
      </c>
      <c r="Q974" s="13" t="s">
        <v>454</v>
      </c>
      <c r="R974" s="23" t="s">
        <v>455</v>
      </c>
      <c r="S974" s="13" t="s">
        <v>152</v>
      </c>
      <c r="T974" s="23">
        <v>1</v>
      </c>
      <c r="U974" s="30" t="str">
        <f>VLOOKUP(T974,[4]Key!$E$2:$F$9,2,FALSE)</f>
        <v>Home</v>
      </c>
      <c r="V974" s="30" t="str">
        <f t="shared" si="60"/>
        <v>Work-Home</v>
      </c>
      <c r="W974" s="51">
        <v>7000</v>
      </c>
      <c r="X974" s="50">
        <v>54</v>
      </c>
      <c r="Y974" s="50" t="str">
        <f t="shared" si="61"/>
        <v>40-70</v>
      </c>
      <c r="Z974" s="50">
        <v>1</v>
      </c>
      <c r="AA974" s="50" t="str">
        <f t="shared" si="62"/>
        <v>1.0-2.0</v>
      </c>
      <c r="AB974" s="23">
        <v>6</v>
      </c>
      <c r="AC974" s="30" t="str">
        <f>VLOOKUP(AB974,[4]Key!$C$20:$D$29,2,FALSE)</f>
        <v>Businessman</v>
      </c>
      <c r="AD974" s="23">
        <v>2</v>
      </c>
      <c r="AE974" s="30" t="str">
        <f>VLOOKUP(AD974,[4]Key!$E$20:$F$24,2,FALSE)</f>
        <v>300,000-500,000</v>
      </c>
      <c r="AF974" s="23">
        <v>4</v>
      </c>
      <c r="AG974" s="50">
        <v>4</v>
      </c>
      <c r="AH974" s="50">
        <v>4</v>
      </c>
      <c r="AI974" s="50">
        <v>3</v>
      </c>
      <c r="AJ974" s="50">
        <v>4</v>
      </c>
      <c r="AK974" s="46" t="s">
        <v>94</v>
      </c>
      <c r="AL974" s="36">
        <v>0</v>
      </c>
      <c r="AM974" t="str">
        <f t="shared" si="63"/>
        <v>0-1000</v>
      </c>
    </row>
    <row r="975" spans="1:39" x14ac:dyDescent="0.2">
      <c r="A975" s="44" t="s">
        <v>541</v>
      </c>
      <c r="B975" s="48">
        <v>0.58958333333333335</v>
      </c>
      <c r="C975" s="48"/>
      <c r="D975" s="48" t="s">
        <v>150</v>
      </c>
      <c r="E975" s="13">
        <v>2</v>
      </c>
      <c r="F975" s="38" t="str">
        <f>VLOOKUP(E975,[4]Key!$A$17:$B$21,2,FALSE)</f>
        <v>Road Vehicle</v>
      </c>
      <c r="G975" s="49">
        <v>4</v>
      </c>
      <c r="H975" s="39" t="str">
        <f>VLOOKUP(G975,[4]Key!$A$2:$B$13,2,FALSE)</f>
        <v>Minibus</v>
      </c>
      <c r="I975" s="13" t="s">
        <v>109</v>
      </c>
      <c r="J975" s="13">
        <v>2</v>
      </c>
      <c r="K975" s="40" t="str">
        <f>VLOOKUP(J975,[4]Key!$A$24:$B$29,2,FALSE)</f>
        <v>30-39</v>
      </c>
      <c r="L975" s="13" t="s">
        <v>546</v>
      </c>
      <c r="M975" s="23" t="s">
        <v>455</v>
      </c>
      <c r="N975" s="13" t="s">
        <v>152</v>
      </c>
      <c r="O975" s="46">
        <v>1</v>
      </c>
      <c r="P975" s="30" t="str">
        <f>VLOOKUP(O975,[4]Key!$E$2:$F$9,2,FALSE)</f>
        <v>Home</v>
      </c>
      <c r="Q975" s="13" t="s">
        <v>454</v>
      </c>
      <c r="R975" s="23" t="s">
        <v>455</v>
      </c>
      <c r="S975" s="13" t="s">
        <v>152</v>
      </c>
      <c r="T975" s="23">
        <v>4</v>
      </c>
      <c r="U975" s="30" t="str">
        <f>VLOOKUP(T975,[4]Key!$E$2:$F$9,2,FALSE)</f>
        <v>Commercial</v>
      </c>
      <c r="V975" s="30" t="str">
        <f t="shared" si="60"/>
        <v>Home-Commercial</v>
      </c>
      <c r="W975" s="51">
        <v>4000</v>
      </c>
      <c r="X975" s="50">
        <v>40</v>
      </c>
      <c r="Y975" s="50" t="str">
        <f t="shared" si="61"/>
        <v>40-70</v>
      </c>
      <c r="Z975" s="50">
        <v>0.33</v>
      </c>
      <c r="AA975" s="50" t="str">
        <f t="shared" si="62"/>
        <v>0-0.5</v>
      </c>
      <c r="AB975" s="23">
        <v>7</v>
      </c>
      <c r="AC975" s="30" t="str">
        <f>VLOOKUP(AB975,[4]Key!$C$20:$D$29,2,FALSE)</f>
        <v>Farmer</v>
      </c>
      <c r="AD975" s="23">
        <v>2</v>
      </c>
      <c r="AE975" s="30" t="str">
        <f>VLOOKUP(AD975,[4]Key!$E$20:$F$24,2,FALSE)</f>
        <v>300,000-500,000</v>
      </c>
      <c r="AF975" s="23">
        <v>2</v>
      </c>
      <c r="AG975" s="50">
        <v>2</v>
      </c>
      <c r="AH975" s="50">
        <v>2</v>
      </c>
      <c r="AI975" s="50">
        <v>1</v>
      </c>
      <c r="AJ975" s="50">
        <v>1</v>
      </c>
      <c r="AK975" s="46" t="s">
        <v>94</v>
      </c>
      <c r="AL975" s="36">
        <v>1000</v>
      </c>
      <c r="AM975" t="str">
        <f t="shared" si="63"/>
        <v>1000-2000</v>
      </c>
    </row>
    <row r="976" spans="1:39" x14ac:dyDescent="0.2">
      <c r="A976" s="44" t="s">
        <v>541</v>
      </c>
      <c r="B976" s="48">
        <v>0.72638888888888886</v>
      </c>
      <c r="C976" s="48"/>
      <c r="D976" s="48" t="s">
        <v>150</v>
      </c>
      <c r="E976" s="13">
        <v>2</v>
      </c>
      <c r="F976" s="38" t="str">
        <f>VLOOKUP(E976,[4]Key!$A$17:$B$21,2,FALSE)</f>
        <v>Road Vehicle</v>
      </c>
      <c r="G976" s="49">
        <v>4</v>
      </c>
      <c r="H976" s="39" t="str">
        <f>VLOOKUP(G976,[4]Key!$A$2:$B$13,2,FALSE)</f>
        <v>Minibus</v>
      </c>
      <c r="I976" s="13" t="s">
        <v>109</v>
      </c>
      <c r="J976" s="13">
        <v>2</v>
      </c>
      <c r="K976" s="40" t="str">
        <f>VLOOKUP(J976,[4]Key!$A$24:$B$29,2,FALSE)</f>
        <v>30-39</v>
      </c>
      <c r="L976" s="13" t="s">
        <v>454</v>
      </c>
      <c r="M976" s="23" t="s">
        <v>455</v>
      </c>
      <c r="N976" s="13" t="s">
        <v>152</v>
      </c>
      <c r="O976" s="46">
        <v>1</v>
      </c>
      <c r="P976" s="30" t="str">
        <f>VLOOKUP(O976,[4]Key!$E$2:$F$9,2,FALSE)</f>
        <v>Home</v>
      </c>
      <c r="Q976" s="13" t="s">
        <v>429</v>
      </c>
      <c r="R976" s="23" t="s">
        <v>430</v>
      </c>
      <c r="S976" s="13" t="s">
        <v>152</v>
      </c>
      <c r="T976" s="23">
        <v>4</v>
      </c>
      <c r="U976" s="30" t="str">
        <f>VLOOKUP(T976,[4]Key!$E$2:$F$9,2,FALSE)</f>
        <v>Commercial</v>
      </c>
      <c r="V976" s="30" t="str">
        <f t="shared" si="60"/>
        <v>Home-Commercial</v>
      </c>
      <c r="W976" s="51">
        <v>30000</v>
      </c>
      <c r="X976" s="50">
        <v>480</v>
      </c>
      <c r="Y976" s="50" t="str">
        <f t="shared" si="61"/>
        <v>Over 200</v>
      </c>
      <c r="Z976" s="50">
        <v>4</v>
      </c>
      <c r="AA976" s="50" t="str">
        <f t="shared" si="62"/>
        <v>Over 3.5</v>
      </c>
      <c r="AB976" s="23">
        <v>5</v>
      </c>
      <c r="AC976" s="30" t="str">
        <f>VLOOKUP(AB976,[4]Key!$C$20:$D$29,2,FALSE)</f>
        <v>Professional</v>
      </c>
      <c r="AD976" s="23">
        <v>2</v>
      </c>
      <c r="AE976" s="30" t="str">
        <f>VLOOKUP(AD976,[4]Key!$E$20:$F$24,2,FALSE)</f>
        <v>300,000-500,000</v>
      </c>
      <c r="AF976" s="23">
        <v>5</v>
      </c>
      <c r="AG976" s="50">
        <v>5</v>
      </c>
      <c r="AH976" s="50">
        <v>5</v>
      </c>
      <c r="AI976" s="50">
        <v>5</v>
      </c>
      <c r="AJ976" s="50">
        <v>5</v>
      </c>
      <c r="AK976" s="46" t="s">
        <v>94</v>
      </c>
      <c r="AL976" s="36">
        <v>1000</v>
      </c>
      <c r="AM976" t="str">
        <f t="shared" si="63"/>
        <v>1000-2000</v>
      </c>
    </row>
    <row r="977" spans="1:39" x14ac:dyDescent="0.2">
      <c r="A977" s="44" t="s">
        <v>541</v>
      </c>
      <c r="B977" s="48">
        <v>0.7006944444444444</v>
      </c>
      <c r="C977" s="48"/>
      <c r="D977" s="48" t="s">
        <v>150</v>
      </c>
      <c r="E977" s="13">
        <v>2</v>
      </c>
      <c r="F977" s="38" t="str">
        <f>VLOOKUP(E977,[4]Key!$A$17:$B$21,2,FALSE)</f>
        <v>Road Vehicle</v>
      </c>
      <c r="G977" s="49">
        <v>4</v>
      </c>
      <c r="H977" s="39" t="str">
        <f>VLOOKUP(G977,[4]Key!$A$2:$B$13,2,FALSE)</f>
        <v>Minibus</v>
      </c>
      <c r="I977" s="13" t="s">
        <v>109</v>
      </c>
      <c r="J977" s="13">
        <v>2</v>
      </c>
      <c r="K977" s="40" t="str">
        <f>VLOOKUP(J977,[4]Key!$A$24:$B$29,2,FALSE)</f>
        <v>30-39</v>
      </c>
      <c r="L977" s="13" t="s">
        <v>454</v>
      </c>
      <c r="M977" s="23" t="s">
        <v>455</v>
      </c>
      <c r="N977" s="13" t="s">
        <v>152</v>
      </c>
      <c r="O977" s="46">
        <v>1</v>
      </c>
      <c r="P977" s="30" t="str">
        <f>VLOOKUP(O977,[4]Key!$E$2:$F$9,2,FALSE)</f>
        <v>Home</v>
      </c>
      <c r="Q977" s="13" t="s">
        <v>429</v>
      </c>
      <c r="R977" s="23" t="s">
        <v>430</v>
      </c>
      <c r="S977" s="13" t="s">
        <v>152</v>
      </c>
      <c r="T977" s="23">
        <v>2</v>
      </c>
      <c r="U977" s="30" t="str">
        <f>VLOOKUP(T977,[4]Key!$E$2:$F$9,2,FALSE)</f>
        <v>Work</v>
      </c>
      <c r="V977" s="30" t="str">
        <f t="shared" si="60"/>
        <v>Home-Work</v>
      </c>
      <c r="W977" s="51">
        <v>30000</v>
      </c>
      <c r="X977" s="50">
        <v>470</v>
      </c>
      <c r="Y977" s="50" t="str">
        <f t="shared" si="61"/>
        <v>Over 200</v>
      </c>
      <c r="Z977" s="50">
        <v>5</v>
      </c>
      <c r="AA977" s="50" t="str">
        <f t="shared" si="62"/>
        <v>Over 3.5</v>
      </c>
      <c r="AB977" s="23">
        <v>4</v>
      </c>
      <c r="AC977" s="30" t="str">
        <f>VLOOKUP(AB977,[4]Key!$C$20:$D$29,2,FALSE)</f>
        <v>Office Worker</v>
      </c>
      <c r="AD977" s="23">
        <v>2</v>
      </c>
      <c r="AE977" s="30" t="str">
        <f>VLOOKUP(AD977,[4]Key!$E$20:$F$24,2,FALSE)</f>
        <v>300,000-500,000</v>
      </c>
      <c r="AF977" s="23">
        <v>5</v>
      </c>
      <c r="AG977" s="50">
        <v>5</v>
      </c>
      <c r="AH977" s="50">
        <v>5</v>
      </c>
      <c r="AI977" s="50">
        <v>5</v>
      </c>
      <c r="AJ977" s="50">
        <v>5</v>
      </c>
      <c r="AK977" s="46" t="s">
        <v>94</v>
      </c>
      <c r="AL977" s="36">
        <v>5000</v>
      </c>
      <c r="AM977" t="str">
        <f t="shared" si="63"/>
        <v>5000-10000</v>
      </c>
    </row>
    <row r="978" spans="1:39" x14ac:dyDescent="0.2">
      <c r="A978" s="44" t="s">
        <v>541</v>
      </c>
      <c r="B978" s="48">
        <v>0.69236111111111109</v>
      </c>
      <c r="C978" s="48" t="s">
        <v>642</v>
      </c>
      <c r="D978" s="48" t="s">
        <v>97</v>
      </c>
      <c r="E978" s="13">
        <v>2</v>
      </c>
      <c r="F978" s="38" t="str">
        <f>VLOOKUP(E978,[4]Key!$A$17:$B$21,2,FALSE)</f>
        <v>Road Vehicle</v>
      </c>
      <c r="G978" s="49">
        <v>4</v>
      </c>
      <c r="H978" s="39" t="str">
        <f>VLOOKUP(G978,[4]Key!$A$2:$B$13,2,FALSE)</f>
        <v>Minibus</v>
      </c>
      <c r="I978" s="13" t="s">
        <v>109</v>
      </c>
      <c r="J978" s="13">
        <v>2</v>
      </c>
      <c r="K978" s="40" t="str">
        <f>VLOOKUP(J978,[4]Key!$A$24:$B$29,2,FALSE)</f>
        <v>30-39</v>
      </c>
      <c r="L978" s="13" t="s">
        <v>454</v>
      </c>
      <c r="M978" s="23" t="s">
        <v>455</v>
      </c>
      <c r="N978" s="13" t="s">
        <v>152</v>
      </c>
      <c r="O978" s="46">
        <v>1</v>
      </c>
      <c r="P978" s="30" t="str">
        <f>VLOOKUP(O978,[4]Key!$E$2:$F$9,2,FALSE)</f>
        <v>Home</v>
      </c>
      <c r="Q978" s="13" t="s">
        <v>424</v>
      </c>
      <c r="R978" s="23" t="s">
        <v>421</v>
      </c>
      <c r="S978" s="13" t="s">
        <v>152</v>
      </c>
      <c r="T978" s="23">
        <v>4</v>
      </c>
      <c r="U978" s="30" t="str">
        <f>VLOOKUP(T978,[4]Key!$E$2:$F$9,2,FALSE)</f>
        <v>Commercial</v>
      </c>
      <c r="V978" s="30" t="str">
        <f t="shared" si="60"/>
        <v>Home-Commercial</v>
      </c>
      <c r="W978" s="51">
        <v>100000</v>
      </c>
      <c r="X978" s="50">
        <v>270</v>
      </c>
      <c r="Y978" s="50" t="str">
        <f t="shared" si="61"/>
        <v>Over 200</v>
      </c>
      <c r="Z978" s="50">
        <v>2</v>
      </c>
      <c r="AA978" s="50" t="str">
        <f t="shared" si="62"/>
        <v>2.0-3.5</v>
      </c>
      <c r="AB978" s="23">
        <v>2</v>
      </c>
      <c r="AC978" s="30" t="str">
        <f>VLOOKUP(AB978,[4]Key!$C$20:$D$29,2,FALSE)</f>
        <v>Manual Labour</v>
      </c>
      <c r="AD978" s="23">
        <v>2</v>
      </c>
      <c r="AE978" s="30" t="str">
        <f>VLOOKUP(AD978,[4]Key!$E$20:$F$24,2,FALSE)</f>
        <v>300,000-500,000</v>
      </c>
      <c r="AF978" s="23">
        <v>1</v>
      </c>
      <c r="AG978" s="50">
        <v>1</v>
      </c>
      <c r="AH978" s="50">
        <v>1</v>
      </c>
      <c r="AI978" s="50">
        <v>1</v>
      </c>
      <c r="AJ978" s="50">
        <v>1</v>
      </c>
      <c r="AK978" s="46" t="s">
        <v>94</v>
      </c>
      <c r="AL978" s="36">
        <v>1000</v>
      </c>
      <c r="AM978" t="str">
        <f t="shared" si="63"/>
        <v>1000-2000</v>
      </c>
    </row>
    <row r="979" spans="1:39" x14ac:dyDescent="0.2">
      <c r="A979" s="44" t="s">
        <v>547</v>
      </c>
      <c r="B979" s="48">
        <v>0.39652777777777781</v>
      </c>
      <c r="C979" s="48"/>
      <c r="D979" s="48" t="s">
        <v>150</v>
      </c>
      <c r="E979" s="13">
        <v>2</v>
      </c>
      <c r="F979" s="38" t="str">
        <f>VLOOKUP(E979,[4]Key!$A$17:$B$21,2,FALSE)</f>
        <v>Road Vehicle</v>
      </c>
      <c r="G979" s="49">
        <v>4</v>
      </c>
      <c r="H979" s="39" t="str">
        <f>VLOOKUP(G979,[4]Key!$A$2:$B$13,2,FALSE)</f>
        <v>Minibus</v>
      </c>
      <c r="I979" s="13" t="s">
        <v>109</v>
      </c>
      <c r="J979" s="13">
        <v>2</v>
      </c>
      <c r="K979" s="40" t="str">
        <f>VLOOKUP(J979,[4]Key!$A$24:$B$29,2,FALSE)</f>
        <v>30-39</v>
      </c>
      <c r="L979" s="13" t="s">
        <v>454</v>
      </c>
      <c r="M979" s="23" t="s">
        <v>455</v>
      </c>
      <c r="N979" s="13" t="s">
        <v>152</v>
      </c>
      <c r="O979" s="46">
        <v>1</v>
      </c>
      <c r="P979" s="30" t="str">
        <f>VLOOKUP(O979,[4]Key!$E$2:$F$9,2,FALSE)</f>
        <v>Home</v>
      </c>
      <c r="Q979" s="13" t="s">
        <v>643</v>
      </c>
      <c r="R979" s="23" t="s">
        <v>563</v>
      </c>
      <c r="S979" s="13" t="s">
        <v>152</v>
      </c>
      <c r="T979" s="23">
        <v>1</v>
      </c>
      <c r="U979" s="30" t="str">
        <f>VLOOKUP(T979,[4]Key!$E$2:$F$9,2,FALSE)</f>
        <v>Home</v>
      </c>
      <c r="V979" s="30" t="str">
        <f t="shared" si="60"/>
        <v>Home-Home</v>
      </c>
      <c r="W979" s="51">
        <v>50000</v>
      </c>
      <c r="X979" s="50">
        <v>340</v>
      </c>
      <c r="Y979" s="50" t="str">
        <f t="shared" si="61"/>
        <v>Over 200</v>
      </c>
      <c r="Z979" s="50">
        <v>6</v>
      </c>
      <c r="AA979" s="50" t="str">
        <f t="shared" si="62"/>
        <v>Over 3.5</v>
      </c>
      <c r="AB979" s="23">
        <v>1</v>
      </c>
      <c r="AC979" s="30" t="str">
        <f>VLOOKUP(AB979,[4]Key!$C$20:$D$29,2,FALSE)</f>
        <v>Unemployed</v>
      </c>
      <c r="AD979" s="23">
        <v>1</v>
      </c>
      <c r="AE979" s="30" t="str">
        <f>VLOOKUP(AD979,[4]Key!$E$20:$F$24,2,FALSE)</f>
        <v>&lt;300,000</v>
      </c>
      <c r="AF979" s="23">
        <v>5</v>
      </c>
      <c r="AG979" s="50">
        <v>3</v>
      </c>
      <c r="AH979" s="50">
        <v>1</v>
      </c>
      <c r="AI979" s="50">
        <v>1</v>
      </c>
      <c r="AJ979" s="50">
        <v>5</v>
      </c>
      <c r="AK979" s="46" t="s">
        <v>94</v>
      </c>
      <c r="AL979" s="36">
        <v>1000</v>
      </c>
      <c r="AM979" t="str">
        <f t="shared" si="63"/>
        <v>1000-2000</v>
      </c>
    </row>
    <row r="980" spans="1:39" x14ac:dyDescent="0.2">
      <c r="A980" s="44" t="s">
        <v>547</v>
      </c>
      <c r="B980" s="48">
        <v>0.44375000000000003</v>
      </c>
      <c r="C980" s="48" t="s">
        <v>644</v>
      </c>
      <c r="D980" s="48" t="s">
        <v>97</v>
      </c>
      <c r="E980" s="13">
        <v>2</v>
      </c>
      <c r="F980" s="38" t="str">
        <f>VLOOKUP(E980,[4]Key!$A$17:$B$21,2,FALSE)</f>
        <v>Road Vehicle</v>
      </c>
      <c r="G980" s="49">
        <v>4</v>
      </c>
      <c r="H980" s="39" t="str">
        <f>VLOOKUP(G980,[4]Key!$A$2:$B$13,2,FALSE)</f>
        <v>Minibus</v>
      </c>
      <c r="I980" s="13" t="s">
        <v>109</v>
      </c>
      <c r="J980" s="13">
        <v>2</v>
      </c>
      <c r="K980" s="40" t="str">
        <f>VLOOKUP(J980,[4]Key!$A$24:$B$29,2,FALSE)</f>
        <v>30-39</v>
      </c>
      <c r="L980" s="13" t="s">
        <v>454</v>
      </c>
      <c r="M980" s="23" t="s">
        <v>455</v>
      </c>
      <c r="N980" s="13" t="s">
        <v>152</v>
      </c>
      <c r="O980" s="46">
        <v>4</v>
      </c>
      <c r="P980" s="30" t="str">
        <f>VLOOKUP(O980,[4]Key!$E$2:$F$9,2,FALSE)</f>
        <v>Commercial</v>
      </c>
      <c r="Q980" s="13" t="s">
        <v>553</v>
      </c>
      <c r="R980" s="23" t="s">
        <v>183</v>
      </c>
      <c r="S980" s="13" t="s">
        <v>152</v>
      </c>
      <c r="T980" s="23">
        <v>4</v>
      </c>
      <c r="U980" s="30" t="str">
        <f>VLOOKUP(T980,[4]Key!$E$2:$F$9,2,FALSE)</f>
        <v>Commercial</v>
      </c>
      <c r="V980" s="30" t="str">
        <f t="shared" si="60"/>
        <v>Commercial-Commercial</v>
      </c>
      <c r="W980" s="51">
        <v>200000</v>
      </c>
      <c r="X980" s="50">
        <v>240</v>
      </c>
      <c r="Y980" s="50" t="str">
        <f t="shared" si="61"/>
        <v>Over 200</v>
      </c>
      <c r="Z980" s="50">
        <v>4</v>
      </c>
      <c r="AA980" s="50" t="str">
        <f t="shared" si="62"/>
        <v>Over 3.5</v>
      </c>
      <c r="AB980" s="23">
        <v>5</v>
      </c>
      <c r="AC980" s="30" t="str">
        <f>VLOOKUP(AB980,[4]Key!$C$20:$D$29,2,FALSE)</f>
        <v>Professional</v>
      </c>
      <c r="AD980" s="23">
        <v>2</v>
      </c>
      <c r="AE980" s="30" t="str">
        <f>VLOOKUP(AD980,[4]Key!$E$20:$F$24,2,FALSE)</f>
        <v>300,000-500,000</v>
      </c>
      <c r="AF980" s="23">
        <v>5</v>
      </c>
      <c r="AG980" s="50">
        <v>5</v>
      </c>
      <c r="AH980" s="50">
        <v>5</v>
      </c>
      <c r="AI980" s="50">
        <v>5</v>
      </c>
      <c r="AJ980" s="50">
        <v>1</v>
      </c>
      <c r="AK980" s="46" t="s">
        <v>94</v>
      </c>
      <c r="AL980" s="36">
        <v>2000</v>
      </c>
      <c r="AM980" t="str">
        <f t="shared" si="63"/>
        <v>2000-3000</v>
      </c>
    </row>
    <row r="981" spans="1:39" x14ac:dyDescent="0.2">
      <c r="A981" s="44" t="s">
        <v>547</v>
      </c>
      <c r="B981" s="48">
        <v>0.4597222222222222</v>
      </c>
      <c r="C981" s="48"/>
      <c r="D981" s="48" t="s">
        <v>97</v>
      </c>
      <c r="E981" s="13">
        <v>2</v>
      </c>
      <c r="F981" s="38" t="str">
        <f>VLOOKUP(E981,[4]Key!$A$17:$B$21,2,FALSE)</f>
        <v>Road Vehicle</v>
      </c>
      <c r="G981" s="49">
        <v>4</v>
      </c>
      <c r="H981" s="39" t="str">
        <f>VLOOKUP(G981,[4]Key!$A$2:$B$13,2,FALSE)</f>
        <v>Minibus</v>
      </c>
      <c r="I981" s="13" t="s">
        <v>109</v>
      </c>
      <c r="J981" s="13">
        <v>2</v>
      </c>
      <c r="K981" s="40" t="str">
        <f>VLOOKUP(J981,[4]Key!$A$24:$B$29,2,FALSE)</f>
        <v>30-39</v>
      </c>
      <c r="L981" s="13" t="s">
        <v>546</v>
      </c>
      <c r="M981" s="23" t="s">
        <v>455</v>
      </c>
      <c r="N981" s="13" t="s">
        <v>152</v>
      </c>
      <c r="O981" s="46">
        <v>1</v>
      </c>
      <c r="P981" s="30" t="str">
        <f>VLOOKUP(O981,[4]Key!$E$2:$F$9,2,FALSE)</f>
        <v>Home</v>
      </c>
      <c r="Q981" s="13" t="s">
        <v>487</v>
      </c>
      <c r="R981" s="23" t="s">
        <v>488</v>
      </c>
      <c r="S981" s="13" t="s">
        <v>152</v>
      </c>
      <c r="T981" s="23">
        <v>2</v>
      </c>
      <c r="U981" s="30" t="str">
        <f>VLOOKUP(T981,[4]Key!$E$2:$F$9,2,FALSE)</f>
        <v>Work</v>
      </c>
      <c r="V981" s="30" t="str">
        <f t="shared" si="60"/>
        <v>Home-Work</v>
      </c>
      <c r="W981" s="51">
        <v>120000</v>
      </c>
      <c r="X981" s="50">
        <v>109</v>
      </c>
      <c r="Y981" s="50" t="str">
        <f t="shared" si="61"/>
        <v>100-200</v>
      </c>
      <c r="Z981" s="50">
        <v>1.5</v>
      </c>
      <c r="AA981" s="50" t="str">
        <f t="shared" si="62"/>
        <v>1.0-2.0</v>
      </c>
      <c r="AB981" s="23">
        <v>4</v>
      </c>
      <c r="AC981" s="30" t="str">
        <f>VLOOKUP(AB981,[4]Key!$C$20:$D$29,2,FALSE)</f>
        <v>Office Worker</v>
      </c>
      <c r="AD981" s="23">
        <v>2</v>
      </c>
      <c r="AE981" s="30" t="str">
        <f>VLOOKUP(AD981,[4]Key!$E$20:$F$24,2,FALSE)</f>
        <v>300,000-500,000</v>
      </c>
      <c r="AF981" s="23">
        <v>1</v>
      </c>
      <c r="AG981" s="50">
        <v>1</v>
      </c>
      <c r="AH981" s="50">
        <v>1</v>
      </c>
      <c r="AI981" s="50">
        <v>1</v>
      </c>
      <c r="AJ981" s="50">
        <v>1</v>
      </c>
      <c r="AK981" s="46" t="s">
        <v>94</v>
      </c>
      <c r="AL981" s="36">
        <v>5000</v>
      </c>
      <c r="AM981" t="str">
        <f t="shared" si="63"/>
        <v>5000-10000</v>
      </c>
    </row>
    <row r="982" spans="1:39" x14ac:dyDescent="0.2">
      <c r="A982" s="44" t="s">
        <v>547</v>
      </c>
      <c r="B982" s="48">
        <v>0.48333333333333334</v>
      </c>
      <c r="C982" s="48"/>
      <c r="D982" s="48" t="s">
        <v>150</v>
      </c>
      <c r="E982" s="13">
        <v>2</v>
      </c>
      <c r="F982" s="38" t="str">
        <f>VLOOKUP(E982,[4]Key!$A$17:$B$21,2,FALSE)</f>
        <v>Road Vehicle</v>
      </c>
      <c r="G982" s="49">
        <v>4</v>
      </c>
      <c r="H982" s="39" t="str">
        <f>VLOOKUP(G982,[4]Key!$A$2:$B$13,2,FALSE)</f>
        <v>Minibus</v>
      </c>
      <c r="I982" s="13" t="s">
        <v>109</v>
      </c>
      <c r="J982" s="13">
        <v>2</v>
      </c>
      <c r="K982" s="40" t="str">
        <f>VLOOKUP(J982,[4]Key!$A$24:$B$29,2,FALSE)</f>
        <v>30-39</v>
      </c>
      <c r="L982" s="13" t="s">
        <v>639</v>
      </c>
      <c r="M982" s="23" t="s">
        <v>455</v>
      </c>
      <c r="N982" s="13" t="s">
        <v>152</v>
      </c>
      <c r="O982" s="46">
        <v>1</v>
      </c>
      <c r="P982" s="30" t="str">
        <f>VLOOKUP(O982,[4]Key!$E$2:$F$9,2,FALSE)</f>
        <v>Home</v>
      </c>
      <c r="Q982" s="13" t="s">
        <v>454</v>
      </c>
      <c r="R982" s="23" t="s">
        <v>455</v>
      </c>
      <c r="S982" s="13" t="s">
        <v>152</v>
      </c>
      <c r="T982" s="23">
        <v>3</v>
      </c>
      <c r="U982" s="30" t="str">
        <f>VLOOKUP(T982,[4]Key!$E$2:$F$9,2,FALSE)</f>
        <v>Study</v>
      </c>
      <c r="V982" s="30" t="str">
        <f t="shared" si="60"/>
        <v>Home-Study</v>
      </c>
      <c r="W982" s="51">
        <v>5000</v>
      </c>
      <c r="X982" s="50">
        <v>32</v>
      </c>
      <c r="Y982" s="50" t="str">
        <f t="shared" si="61"/>
        <v>20-40</v>
      </c>
      <c r="Z982" s="50">
        <v>0.33</v>
      </c>
      <c r="AA982" s="50" t="str">
        <f t="shared" si="62"/>
        <v>0-0.5</v>
      </c>
      <c r="AB982" s="23">
        <v>5</v>
      </c>
      <c r="AC982" s="30" t="str">
        <f>VLOOKUP(AB982,[4]Key!$C$20:$D$29,2,FALSE)</f>
        <v>Professional</v>
      </c>
      <c r="AD982" s="23">
        <v>2</v>
      </c>
      <c r="AE982" s="30" t="str">
        <f>VLOOKUP(AD982,[4]Key!$E$20:$F$24,2,FALSE)</f>
        <v>300,000-500,000</v>
      </c>
      <c r="AF982" s="23">
        <v>1</v>
      </c>
      <c r="AG982" s="50">
        <v>1</v>
      </c>
      <c r="AH982" s="50">
        <v>5</v>
      </c>
      <c r="AI982" s="50">
        <v>5</v>
      </c>
      <c r="AJ982" s="50">
        <v>5</v>
      </c>
      <c r="AK982" s="46" t="s">
        <v>94</v>
      </c>
      <c r="AL982" s="36">
        <v>2000</v>
      </c>
      <c r="AM982" t="str">
        <f t="shared" si="63"/>
        <v>2000-3000</v>
      </c>
    </row>
    <row r="983" spans="1:39" x14ac:dyDescent="0.2">
      <c r="A983" s="44" t="s">
        <v>547</v>
      </c>
      <c r="B983" s="48">
        <v>0.53055555555555556</v>
      </c>
      <c r="C983" s="48" t="s">
        <v>645</v>
      </c>
      <c r="D983" s="48" t="s">
        <v>97</v>
      </c>
      <c r="E983" s="13">
        <v>2</v>
      </c>
      <c r="F983" s="38" t="str">
        <f>VLOOKUP(E983,[4]Key!$A$17:$B$21,2,FALSE)</f>
        <v>Road Vehicle</v>
      </c>
      <c r="G983" s="49">
        <v>4</v>
      </c>
      <c r="H983" s="39" t="str">
        <f>VLOOKUP(G983,[4]Key!$A$2:$B$13,2,FALSE)</f>
        <v>Minibus</v>
      </c>
      <c r="I983" s="13" t="s">
        <v>109</v>
      </c>
      <c r="J983" s="13">
        <v>2</v>
      </c>
      <c r="K983" s="40" t="str">
        <f>VLOOKUP(J983,[4]Key!$A$24:$B$29,2,FALSE)</f>
        <v>30-39</v>
      </c>
      <c r="L983" s="13" t="s">
        <v>454</v>
      </c>
      <c r="M983" s="23" t="s">
        <v>455</v>
      </c>
      <c r="N983" s="13" t="s">
        <v>152</v>
      </c>
      <c r="O983" s="46">
        <v>4</v>
      </c>
      <c r="P983" s="30" t="str">
        <f>VLOOKUP(O983,[4]Key!$E$2:$F$9,2,FALSE)</f>
        <v>Commercial</v>
      </c>
      <c r="Q983" s="13" t="s">
        <v>510</v>
      </c>
      <c r="R983" s="23" t="s">
        <v>511</v>
      </c>
      <c r="S983" s="13" t="s">
        <v>152</v>
      </c>
      <c r="T983" s="23">
        <v>4</v>
      </c>
      <c r="U983" s="30" t="str">
        <f>VLOOKUP(T983,[4]Key!$E$2:$F$9,2,FALSE)</f>
        <v>Commercial</v>
      </c>
      <c r="V983" s="30" t="str">
        <f t="shared" si="60"/>
        <v>Commercial-Commercial</v>
      </c>
      <c r="W983" s="51">
        <v>100000</v>
      </c>
      <c r="X983" s="50">
        <v>347</v>
      </c>
      <c r="Y983" s="50" t="str">
        <f t="shared" si="61"/>
        <v>Over 200</v>
      </c>
      <c r="Z983" s="50">
        <v>5</v>
      </c>
      <c r="AA983" s="50" t="str">
        <f t="shared" si="62"/>
        <v>Over 3.5</v>
      </c>
      <c r="AB983" s="23">
        <v>5</v>
      </c>
      <c r="AC983" s="30" t="str">
        <f>VLOOKUP(AB983,[4]Key!$C$20:$D$29,2,FALSE)</f>
        <v>Professional</v>
      </c>
      <c r="AD983" s="23">
        <v>2</v>
      </c>
      <c r="AE983" s="30" t="str">
        <f>VLOOKUP(AD983,[4]Key!$E$20:$F$24,2,FALSE)</f>
        <v>300,000-500,000</v>
      </c>
      <c r="AF983" s="23">
        <v>5</v>
      </c>
      <c r="AG983" s="50">
        <v>5</v>
      </c>
      <c r="AH983" s="50">
        <v>5</v>
      </c>
      <c r="AI983" s="50">
        <v>5</v>
      </c>
      <c r="AJ983" s="50">
        <v>5</v>
      </c>
      <c r="AK983" s="46" t="s">
        <v>94</v>
      </c>
      <c r="AL983" s="36">
        <v>1000</v>
      </c>
      <c r="AM983" t="str">
        <f t="shared" si="63"/>
        <v>1000-2000</v>
      </c>
    </row>
    <row r="984" spans="1:39" x14ac:dyDescent="0.2">
      <c r="A984" s="44" t="s">
        <v>547</v>
      </c>
      <c r="B984" s="48">
        <v>0.57500000000000007</v>
      </c>
      <c r="C984" s="48" t="s">
        <v>646</v>
      </c>
      <c r="D984" s="48" t="s">
        <v>97</v>
      </c>
      <c r="E984" s="13">
        <v>2</v>
      </c>
      <c r="F984" s="38" t="s">
        <v>102</v>
      </c>
      <c r="G984" s="49">
        <v>4</v>
      </c>
      <c r="H984" s="39" t="str">
        <f>VLOOKUP(G984,[4]Key!$A$2:$B$13,2,FALSE)</f>
        <v>Minibus</v>
      </c>
      <c r="I984" s="13" t="s">
        <v>109</v>
      </c>
      <c r="J984" s="13">
        <v>2</v>
      </c>
      <c r="K984" s="40" t="str">
        <f>VLOOKUP(J984,[4]Key!$A$24:$B$29,2,FALSE)</f>
        <v>30-39</v>
      </c>
      <c r="L984" s="13" t="s">
        <v>586</v>
      </c>
      <c r="M984" s="23" t="s">
        <v>455</v>
      </c>
      <c r="N984" s="13" t="s">
        <v>152</v>
      </c>
      <c r="O984" s="46">
        <v>4</v>
      </c>
      <c r="P984" s="30" t="str">
        <f>VLOOKUP(O984,[4]Key!$E$2:$F$9,2,FALSE)</f>
        <v>Commercial</v>
      </c>
      <c r="Q984" s="13" t="s">
        <v>454</v>
      </c>
      <c r="R984" s="23" t="s">
        <v>455</v>
      </c>
      <c r="S984" s="13" t="s">
        <v>152</v>
      </c>
      <c r="T984" s="23">
        <v>4</v>
      </c>
      <c r="U984" s="30" t="str">
        <f>VLOOKUP(T984,[4]Key!$E$2:$F$9,2,FALSE)</f>
        <v>Commercial</v>
      </c>
      <c r="V984" s="30" t="str">
        <f t="shared" si="60"/>
        <v>Commercial-Commercial</v>
      </c>
      <c r="W984" s="51">
        <v>20000</v>
      </c>
      <c r="X984" s="50">
        <v>90</v>
      </c>
      <c r="Y984" s="50" t="str">
        <f t="shared" si="61"/>
        <v>70-100</v>
      </c>
      <c r="Z984" s="50">
        <v>1</v>
      </c>
      <c r="AA984" s="50" t="str">
        <f t="shared" si="62"/>
        <v>1.0-2.0</v>
      </c>
      <c r="AB984" s="23">
        <v>5</v>
      </c>
      <c r="AC984" s="30" t="str">
        <f>VLOOKUP(AB984,[4]Key!$C$20:$D$29,2,FALSE)</f>
        <v>Professional</v>
      </c>
      <c r="AD984" s="23">
        <v>2</v>
      </c>
      <c r="AE984" s="30" t="str">
        <f>VLOOKUP(AD984,[4]Key!$E$20:$F$24,2,FALSE)</f>
        <v>300,000-500,000</v>
      </c>
      <c r="AF984" s="23">
        <v>5</v>
      </c>
      <c r="AG984" s="50">
        <v>4</v>
      </c>
      <c r="AH984" s="50">
        <v>5</v>
      </c>
      <c r="AI984" s="50">
        <v>5</v>
      </c>
      <c r="AJ984" s="50">
        <v>1</v>
      </c>
      <c r="AK984" s="46" t="s">
        <v>94</v>
      </c>
      <c r="AL984" s="36">
        <v>2000</v>
      </c>
      <c r="AM984" t="str">
        <f t="shared" si="63"/>
        <v>2000-3000</v>
      </c>
    </row>
    <row r="985" spans="1:39" x14ac:dyDescent="0.2">
      <c r="A985" s="44" t="s">
        <v>547</v>
      </c>
      <c r="B985" s="48">
        <v>0.7006944444444444</v>
      </c>
      <c r="C985" s="48"/>
      <c r="D985" s="48" t="s">
        <v>150</v>
      </c>
      <c r="E985" s="13">
        <v>2</v>
      </c>
      <c r="F985" s="38" t="str">
        <f>VLOOKUP(E985,[4]Key!$A$17:$B$21,2,FALSE)</f>
        <v>Road Vehicle</v>
      </c>
      <c r="G985" s="49">
        <v>4</v>
      </c>
      <c r="H985" s="39" t="str">
        <f>VLOOKUP(G985,[4]Key!$A$2:$B$13,2,FALSE)</f>
        <v>Minibus</v>
      </c>
      <c r="I985" s="13" t="s">
        <v>109</v>
      </c>
      <c r="J985" s="13">
        <v>2</v>
      </c>
      <c r="K985" s="40" t="str">
        <f>VLOOKUP(J985,[4]Key!$A$24:$B$29,2,FALSE)</f>
        <v>30-39</v>
      </c>
      <c r="L985" s="13" t="s">
        <v>647</v>
      </c>
      <c r="M985" s="23" t="s">
        <v>455</v>
      </c>
      <c r="N985" s="13" t="s">
        <v>152</v>
      </c>
      <c r="O985" s="46">
        <v>1</v>
      </c>
      <c r="P985" s="30" t="str">
        <f>VLOOKUP(O985,[4]Key!$E$2:$F$9,2,FALSE)</f>
        <v>Home</v>
      </c>
      <c r="Q985" s="13" t="s">
        <v>510</v>
      </c>
      <c r="R985" s="23" t="s">
        <v>511</v>
      </c>
      <c r="S985" s="13" t="s">
        <v>152</v>
      </c>
      <c r="T985" s="23">
        <v>6</v>
      </c>
      <c r="U985" s="30" t="str">
        <f>VLOOKUP(T985,[4]Key!$E$2:$F$9,2,FALSE)</f>
        <v>Leisure/Social</v>
      </c>
      <c r="V985" s="30" t="str">
        <f t="shared" si="60"/>
        <v>Home-Leisure/Social</v>
      </c>
      <c r="W985" s="51">
        <v>40000</v>
      </c>
      <c r="X985" s="50">
        <v>480</v>
      </c>
      <c r="Y985" s="50" t="str">
        <f t="shared" si="61"/>
        <v>Over 200</v>
      </c>
      <c r="Z985" s="50">
        <v>5</v>
      </c>
      <c r="AA985" s="50" t="str">
        <f t="shared" si="62"/>
        <v>Over 3.5</v>
      </c>
      <c r="AB985" s="23">
        <v>1</v>
      </c>
      <c r="AC985" s="30" t="str">
        <f>VLOOKUP(AB985,[4]Key!$C$20:$D$29,2,FALSE)</f>
        <v>Unemployed</v>
      </c>
      <c r="AD985" s="23">
        <v>1</v>
      </c>
      <c r="AE985" s="30" t="str">
        <f>VLOOKUP(AD985,[4]Key!$E$20:$F$24,2,FALSE)</f>
        <v>&lt;300,000</v>
      </c>
      <c r="AF985" s="23">
        <v>1</v>
      </c>
      <c r="AG985" s="50">
        <v>1</v>
      </c>
      <c r="AH985" s="50">
        <v>5</v>
      </c>
      <c r="AI985" s="50">
        <v>5</v>
      </c>
      <c r="AJ985" s="50">
        <v>5</v>
      </c>
      <c r="AK985" s="46" t="s">
        <v>94</v>
      </c>
      <c r="AL985" s="36">
        <v>1000</v>
      </c>
      <c r="AM985" t="str">
        <f t="shared" si="63"/>
        <v>1000-2000</v>
      </c>
    </row>
    <row r="986" spans="1:39" x14ac:dyDescent="0.2">
      <c r="A986" s="44" t="s">
        <v>547</v>
      </c>
      <c r="B986" s="48">
        <v>0.7895833333333333</v>
      </c>
      <c r="C986" s="48" t="s">
        <v>648</v>
      </c>
      <c r="D986" s="48" t="s">
        <v>97</v>
      </c>
      <c r="E986" s="13">
        <v>2</v>
      </c>
      <c r="F986" s="38" t="str">
        <f>VLOOKUP(E986,[4]Key!$A$17:$B$21,2,FALSE)</f>
        <v>Road Vehicle</v>
      </c>
      <c r="G986" s="49">
        <v>4</v>
      </c>
      <c r="H986" s="39" t="str">
        <f>VLOOKUP(G986,[4]Key!$A$2:$B$13,2,FALSE)</f>
        <v>Minibus</v>
      </c>
      <c r="I986" s="13" t="s">
        <v>109</v>
      </c>
      <c r="J986" s="13">
        <v>2</v>
      </c>
      <c r="K986" s="40" t="str">
        <f>VLOOKUP(J986,[4]Key!$A$24:$B$29,2,FALSE)</f>
        <v>30-39</v>
      </c>
      <c r="L986" s="13" t="s">
        <v>454</v>
      </c>
      <c r="M986" s="23" t="s">
        <v>455</v>
      </c>
      <c r="N986" s="13" t="s">
        <v>152</v>
      </c>
      <c r="O986" s="46">
        <v>4</v>
      </c>
      <c r="P986" s="30" t="str">
        <f>VLOOKUP(O986,[4]Key!$E$2:$F$9,2,FALSE)</f>
        <v>Commercial</v>
      </c>
      <c r="Q986" s="13" t="s">
        <v>425</v>
      </c>
      <c r="R986" s="23" t="s">
        <v>426</v>
      </c>
      <c r="S986" s="13" t="s">
        <v>152</v>
      </c>
      <c r="T986" s="23">
        <v>4</v>
      </c>
      <c r="U986" s="30" t="str">
        <f>VLOOKUP(T986,[4]Key!$E$2:$F$9,2,FALSE)</f>
        <v>Commercial</v>
      </c>
      <c r="V986" s="30" t="str">
        <f t="shared" si="60"/>
        <v>Commercial-Commercial</v>
      </c>
      <c r="W986" s="51">
        <v>70000</v>
      </c>
      <c r="X986" s="50">
        <v>240</v>
      </c>
      <c r="Y986" s="50" t="str">
        <f t="shared" si="61"/>
        <v>Over 200</v>
      </c>
      <c r="Z986" s="50">
        <v>2</v>
      </c>
      <c r="AA986" s="50" t="str">
        <f t="shared" si="62"/>
        <v>2.0-3.5</v>
      </c>
      <c r="AB986" s="23">
        <v>5</v>
      </c>
      <c r="AC986" s="30" t="str">
        <f>VLOOKUP(AB986,[4]Key!$C$20:$D$29,2,FALSE)</f>
        <v>Professional</v>
      </c>
      <c r="AD986" s="23">
        <v>2</v>
      </c>
      <c r="AE986" s="30" t="str">
        <f>VLOOKUP(AD986,[4]Key!$E$20:$F$24,2,FALSE)</f>
        <v>300,000-500,000</v>
      </c>
      <c r="AF986" s="23">
        <v>1</v>
      </c>
      <c r="AG986" s="50">
        <v>1</v>
      </c>
      <c r="AH986" s="50">
        <v>1</v>
      </c>
      <c r="AI986" s="50">
        <v>1</v>
      </c>
      <c r="AJ986" s="50">
        <v>1</v>
      </c>
      <c r="AK986" s="46" t="s">
        <v>94</v>
      </c>
      <c r="AL986" s="36">
        <v>1000</v>
      </c>
      <c r="AM986" t="str">
        <f t="shared" si="63"/>
        <v>1000-2000</v>
      </c>
    </row>
    <row r="987" spans="1:39" x14ac:dyDescent="0.2">
      <c r="A987" s="44" t="s">
        <v>547</v>
      </c>
      <c r="B987" s="48">
        <v>0.4375</v>
      </c>
      <c r="C987" s="48" t="s">
        <v>628</v>
      </c>
      <c r="D987" s="48" t="s">
        <v>97</v>
      </c>
      <c r="E987" s="13">
        <v>2</v>
      </c>
      <c r="F987" s="38" t="str">
        <f>VLOOKUP(E987,[4]Key!$A$17:$B$21,2,FALSE)</f>
        <v>Road Vehicle</v>
      </c>
      <c r="G987" s="49">
        <v>4</v>
      </c>
      <c r="H987" s="39" t="str">
        <f>VLOOKUP(G987,[4]Key!$A$2:$B$13,2,FALSE)</f>
        <v>Minibus</v>
      </c>
      <c r="I987" s="13" t="s">
        <v>109</v>
      </c>
      <c r="J987" s="13">
        <v>2</v>
      </c>
      <c r="K987" s="40" t="str">
        <f>VLOOKUP(J987,[4]Key!$A$24:$B$29,2,FALSE)</f>
        <v>30-39</v>
      </c>
      <c r="L987" s="13" t="s">
        <v>454</v>
      </c>
      <c r="M987" s="23" t="s">
        <v>455</v>
      </c>
      <c r="N987" s="13" t="s">
        <v>152</v>
      </c>
      <c r="O987" s="46">
        <v>2</v>
      </c>
      <c r="P987" s="30" t="str">
        <f>VLOOKUP(O987,[4]Key!$E$2:$F$9,2,FALSE)</f>
        <v>Work</v>
      </c>
      <c r="Q987" s="13" t="s">
        <v>636</v>
      </c>
      <c r="R987" s="23" t="s">
        <v>421</v>
      </c>
      <c r="S987" s="13" t="s">
        <v>152</v>
      </c>
      <c r="T987" s="23">
        <v>1</v>
      </c>
      <c r="U987" s="30" t="str">
        <f>VLOOKUP(T987,[4]Key!$E$2:$F$9,2,FALSE)</f>
        <v>Home</v>
      </c>
      <c r="V987" s="30" t="str">
        <f t="shared" si="60"/>
        <v>Work-Home</v>
      </c>
      <c r="W987" s="51">
        <v>100000</v>
      </c>
      <c r="X987" s="50">
        <v>150</v>
      </c>
      <c r="Y987" s="50" t="str">
        <f t="shared" si="61"/>
        <v>100-200</v>
      </c>
      <c r="Z987" s="50">
        <v>2</v>
      </c>
      <c r="AA987" s="50" t="str">
        <f t="shared" si="62"/>
        <v>2.0-3.5</v>
      </c>
      <c r="AB987" s="23">
        <v>5</v>
      </c>
      <c r="AC987" s="30" t="str">
        <f>VLOOKUP(AB987,[4]Key!$C$20:$D$29,2,FALSE)</f>
        <v>Professional</v>
      </c>
      <c r="AD987" s="23">
        <v>1</v>
      </c>
      <c r="AE987" s="30" t="str">
        <f>VLOOKUP(AD987,[4]Key!$E$20:$F$24,2,FALSE)</f>
        <v>&lt;300,000</v>
      </c>
      <c r="AF987" s="23">
        <v>2</v>
      </c>
      <c r="AG987" s="50">
        <v>4</v>
      </c>
      <c r="AH987" s="50">
        <v>1</v>
      </c>
      <c r="AI987" s="50">
        <v>2</v>
      </c>
      <c r="AJ987" s="50">
        <v>2</v>
      </c>
      <c r="AK987" s="46" t="s">
        <v>94</v>
      </c>
      <c r="AL987" s="36">
        <v>1000</v>
      </c>
      <c r="AM987" t="str">
        <f t="shared" si="63"/>
        <v>1000-2000</v>
      </c>
    </row>
    <row r="988" spans="1:39" x14ac:dyDescent="0.2">
      <c r="A988" s="44" t="s">
        <v>544</v>
      </c>
      <c r="B988" s="48">
        <v>0.37013888888888885</v>
      </c>
      <c r="C988" s="48"/>
      <c r="D988" s="48" t="s">
        <v>97</v>
      </c>
      <c r="E988" s="13">
        <v>2</v>
      </c>
      <c r="F988" s="38" t="str">
        <f>VLOOKUP(E988,[4]Key!$A$17:$B$21,2,FALSE)</f>
        <v>Road Vehicle</v>
      </c>
      <c r="G988" s="49">
        <v>4</v>
      </c>
      <c r="H988" s="39" t="str">
        <f>VLOOKUP(G988,[4]Key!$A$2:$B$13,2,FALSE)</f>
        <v>Minibus</v>
      </c>
      <c r="I988" s="13" t="s">
        <v>109</v>
      </c>
      <c r="J988" s="13">
        <v>2</v>
      </c>
      <c r="K988" s="40" t="str">
        <f>VLOOKUP(J988,[4]Key!$A$24:$B$29,2,FALSE)</f>
        <v>30-39</v>
      </c>
      <c r="L988" s="13" t="s">
        <v>454</v>
      </c>
      <c r="M988" s="23" t="s">
        <v>455</v>
      </c>
      <c r="N988" s="13" t="s">
        <v>152</v>
      </c>
      <c r="O988" s="46">
        <v>4</v>
      </c>
      <c r="P988" s="30" t="str">
        <f>VLOOKUP(O988,[4]Key!$E$2:$F$9,2,FALSE)</f>
        <v>Commercial</v>
      </c>
      <c r="Q988" s="13" t="s">
        <v>555</v>
      </c>
      <c r="R988" s="23" t="s">
        <v>556</v>
      </c>
      <c r="S988" s="13" t="s">
        <v>152</v>
      </c>
      <c r="T988" s="23">
        <v>4</v>
      </c>
      <c r="U988" s="30" t="str">
        <f>VLOOKUP(T988,[4]Key!$E$2:$F$9,2,FALSE)</f>
        <v>Commercial</v>
      </c>
      <c r="V988" s="30" t="str">
        <f t="shared" si="60"/>
        <v>Commercial-Commercial</v>
      </c>
      <c r="W988" s="51">
        <v>200000</v>
      </c>
      <c r="X988" s="50">
        <v>480</v>
      </c>
      <c r="Y988" s="50" t="str">
        <f t="shared" si="61"/>
        <v>Over 200</v>
      </c>
      <c r="Z988" s="50">
        <v>7</v>
      </c>
      <c r="AA988" s="50" t="str">
        <f t="shared" si="62"/>
        <v>Over 3.5</v>
      </c>
      <c r="AB988" s="23">
        <v>5</v>
      </c>
      <c r="AC988" s="30" t="str">
        <f>VLOOKUP(AB988,[4]Key!$C$20:$D$29,2,FALSE)</f>
        <v>Professional</v>
      </c>
      <c r="AD988" s="23">
        <v>2</v>
      </c>
      <c r="AE988" s="30" t="str">
        <f>VLOOKUP(AD988,[4]Key!$E$20:$F$24,2,FALSE)</f>
        <v>300,000-500,000</v>
      </c>
      <c r="AF988" s="23">
        <v>5</v>
      </c>
      <c r="AG988" s="50">
        <v>1</v>
      </c>
      <c r="AH988" s="50">
        <v>1</v>
      </c>
      <c r="AI988" s="50">
        <v>5</v>
      </c>
      <c r="AJ988" s="50">
        <v>2</v>
      </c>
      <c r="AK988" s="46" t="s">
        <v>94</v>
      </c>
      <c r="AL988" s="36">
        <v>2000</v>
      </c>
      <c r="AM988" t="str">
        <f t="shared" si="63"/>
        <v>2000-3000</v>
      </c>
    </row>
    <row r="989" spans="1:39" x14ac:dyDescent="0.2">
      <c r="A989" s="44" t="s">
        <v>544</v>
      </c>
      <c r="B989" s="48">
        <v>0.45694444444444443</v>
      </c>
      <c r="C989" s="48"/>
      <c r="D989" s="48" t="s">
        <v>150</v>
      </c>
      <c r="E989" s="13">
        <v>2</v>
      </c>
      <c r="F989" s="38" t="str">
        <f>VLOOKUP(E989,[4]Key!$A$17:$B$21,2,FALSE)</f>
        <v>Road Vehicle</v>
      </c>
      <c r="G989" s="49">
        <v>4</v>
      </c>
      <c r="H989" s="39" t="str">
        <f>VLOOKUP(G989,[4]Key!$A$2:$B$13,2,FALSE)</f>
        <v>Minibus</v>
      </c>
      <c r="I989" s="13" t="s">
        <v>109</v>
      </c>
      <c r="J989" s="13">
        <v>2</v>
      </c>
      <c r="K989" s="40" t="str">
        <f>VLOOKUP(J989,[4]Key!$A$24:$B$29,2,FALSE)</f>
        <v>30-39</v>
      </c>
      <c r="L989" s="13" t="s">
        <v>454</v>
      </c>
      <c r="M989" s="23" t="s">
        <v>455</v>
      </c>
      <c r="N989" s="13" t="s">
        <v>152</v>
      </c>
      <c r="O989" s="46">
        <v>1</v>
      </c>
      <c r="P989" s="30" t="str">
        <f>VLOOKUP(O989,[4]Key!$E$2:$F$9,2,FALSE)</f>
        <v>Home</v>
      </c>
      <c r="Q989" s="13" t="s">
        <v>427</v>
      </c>
      <c r="R989" s="23" t="s">
        <v>428</v>
      </c>
      <c r="S989" s="13" t="s">
        <v>152</v>
      </c>
      <c r="T989" s="23">
        <v>4</v>
      </c>
      <c r="U989" s="30" t="str">
        <f>VLOOKUP(T989,[4]Key!$E$2:$F$9,2,FALSE)</f>
        <v>Commercial</v>
      </c>
      <c r="V989" s="30" t="str">
        <f t="shared" si="60"/>
        <v>Home-Commercial</v>
      </c>
      <c r="W989" s="51">
        <v>30000</v>
      </c>
      <c r="X989" s="50">
        <v>121</v>
      </c>
      <c r="Y989" s="50" t="str">
        <f t="shared" si="61"/>
        <v>100-200</v>
      </c>
      <c r="Z989" s="50">
        <v>2</v>
      </c>
      <c r="AA989" s="50" t="str">
        <f t="shared" si="62"/>
        <v>2.0-3.5</v>
      </c>
      <c r="AB989" s="23">
        <v>5</v>
      </c>
      <c r="AC989" s="30" t="str">
        <f>VLOOKUP(AB989,[4]Key!$C$20:$D$29,2,FALSE)</f>
        <v>Professional</v>
      </c>
      <c r="AD989" s="23">
        <v>3</v>
      </c>
      <c r="AE989" s="30" t="str">
        <f>VLOOKUP(AD989,[4]Key!$E$20:$F$24,2,FALSE)</f>
        <v>500,000-750,000</v>
      </c>
      <c r="AF989" s="23">
        <v>5</v>
      </c>
      <c r="AG989" s="50">
        <v>5</v>
      </c>
      <c r="AH989" s="50">
        <v>5</v>
      </c>
      <c r="AI989" s="50">
        <v>5</v>
      </c>
      <c r="AJ989" s="50">
        <v>5</v>
      </c>
      <c r="AK989" s="46" t="s">
        <v>94</v>
      </c>
      <c r="AL989" s="36">
        <v>5000</v>
      </c>
      <c r="AM989" t="str">
        <f t="shared" si="63"/>
        <v>5000-10000</v>
      </c>
    </row>
    <row r="990" spans="1:39" x14ac:dyDescent="0.2">
      <c r="A990" s="44" t="s">
        <v>544</v>
      </c>
      <c r="B990" s="48">
        <v>0.47222222222222227</v>
      </c>
      <c r="C990" s="48"/>
      <c r="D990" s="48" t="s">
        <v>150</v>
      </c>
      <c r="E990" s="13">
        <v>2</v>
      </c>
      <c r="F990" s="38" t="str">
        <f>VLOOKUP(E990,[4]Key!$A$17:$B$21,2,FALSE)</f>
        <v>Road Vehicle</v>
      </c>
      <c r="G990" s="49">
        <v>4</v>
      </c>
      <c r="H990" s="39" t="str">
        <f>VLOOKUP(G990,[4]Key!$A$2:$B$13,2,FALSE)</f>
        <v>Minibus</v>
      </c>
      <c r="I990" s="13" t="s">
        <v>109</v>
      </c>
      <c r="J990" s="13">
        <v>2</v>
      </c>
      <c r="K990" s="40" t="str">
        <f>VLOOKUP(J990,[4]Key!$A$24:$B$29,2,FALSE)</f>
        <v>30-39</v>
      </c>
      <c r="L990" s="13" t="s">
        <v>454</v>
      </c>
      <c r="M990" s="23" t="s">
        <v>455</v>
      </c>
      <c r="N990" s="13" t="s">
        <v>152</v>
      </c>
      <c r="O990" s="46">
        <v>1</v>
      </c>
      <c r="P990" s="30" t="str">
        <f>VLOOKUP(O990,[4]Key!$E$2:$F$9,2,FALSE)</f>
        <v>Home</v>
      </c>
      <c r="Q990" s="13" t="s">
        <v>562</v>
      </c>
      <c r="R990" s="23" t="s">
        <v>563</v>
      </c>
      <c r="S990" s="13" t="s">
        <v>152</v>
      </c>
      <c r="T990" s="23">
        <v>4</v>
      </c>
      <c r="U990" s="30" t="str">
        <f>VLOOKUP(T990,[4]Key!$E$2:$F$9,2,FALSE)</f>
        <v>Commercial</v>
      </c>
      <c r="V990" s="30" t="str">
        <f t="shared" si="60"/>
        <v>Home-Commercial</v>
      </c>
      <c r="W990" s="51">
        <v>70000</v>
      </c>
      <c r="X990" s="50">
        <v>361</v>
      </c>
      <c r="Y990" s="50" t="str">
        <f t="shared" si="61"/>
        <v>Over 200</v>
      </c>
      <c r="Z990" s="50">
        <v>6</v>
      </c>
      <c r="AA990" s="50" t="str">
        <f t="shared" si="62"/>
        <v>Over 3.5</v>
      </c>
      <c r="AB990" s="23">
        <v>6</v>
      </c>
      <c r="AC990" s="30" t="str">
        <f>VLOOKUP(AB990,[4]Key!$C$20:$D$29,2,FALSE)</f>
        <v>Businessman</v>
      </c>
      <c r="AD990" s="23">
        <v>3</v>
      </c>
      <c r="AE990" s="30" t="str">
        <f>VLOOKUP(AD990,[4]Key!$E$20:$F$24,2,FALSE)</f>
        <v>500,000-750,000</v>
      </c>
      <c r="AF990" s="23">
        <v>5</v>
      </c>
      <c r="AG990" s="50">
        <v>5</v>
      </c>
      <c r="AH990" s="50">
        <v>5</v>
      </c>
      <c r="AI990" s="50">
        <v>5</v>
      </c>
      <c r="AJ990" s="50">
        <v>5</v>
      </c>
      <c r="AK990" s="46" t="s">
        <v>94</v>
      </c>
      <c r="AL990" s="36">
        <v>1000</v>
      </c>
      <c r="AM990" t="str">
        <f t="shared" si="63"/>
        <v>1000-2000</v>
      </c>
    </row>
    <row r="991" spans="1:39" x14ac:dyDescent="0.2">
      <c r="A991" s="44" t="s">
        <v>544</v>
      </c>
      <c r="B991" s="48">
        <v>0.48055555555555557</v>
      </c>
      <c r="C991" s="48"/>
      <c r="D991" s="48" t="s">
        <v>150</v>
      </c>
      <c r="E991" s="13">
        <v>2</v>
      </c>
      <c r="F991" s="38" t="str">
        <f>VLOOKUP(E991,[4]Key!$A$17:$B$21,2,FALSE)</f>
        <v>Road Vehicle</v>
      </c>
      <c r="G991" s="49">
        <v>4</v>
      </c>
      <c r="H991" s="39" t="str">
        <f>VLOOKUP(G991,[4]Key!$A$2:$B$13,2,FALSE)</f>
        <v>Minibus</v>
      </c>
      <c r="I991" s="13" t="s">
        <v>109</v>
      </c>
      <c r="J991" s="13">
        <v>2</v>
      </c>
      <c r="K991" s="40" t="str">
        <f>VLOOKUP(J991,[4]Key!$A$24:$B$29,2,FALSE)</f>
        <v>30-39</v>
      </c>
      <c r="L991" s="13" t="s">
        <v>454</v>
      </c>
      <c r="M991" s="23" t="s">
        <v>455</v>
      </c>
      <c r="N991" s="13" t="s">
        <v>152</v>
      </c>
      <c r="O991" s="46">
        <v>1</v>
      </c>
      <c r="P991" s="30" t="str">
        <f>VLOOKUP(O991,[4]Key!$E$2:$F$9,2,FALSE)</f>
        <v>Home</v>
      </c>
      <c r="Q991" s="13" t="s">
        <v>484</v>
      </c>
      <c r="R991" s="23" t="s">
        <v>485</v>
      </c>
      <c r="S991" s="13" t="s">
        <v>152</v>
      </c>
      <c r="T991" s="23">
        <v>4</v>
      </c>
      <c r="U991" s="30" t="str">
        <f>VLOOKUP(T991,[4]Key!$E$2:$F$9,2,FALSE)</f>
        <v>Commercial</v>
      </c>
      <c r="V991" s="30" t="str">
        <f t="shared" si="60"/>
        <v>Home-Commercial</v>
      </c>
      <c r="W991" s="51">
        <v>10000</v>
      </c>
      <c r="X991" s="50">
        <v>140</v>
      </c>
      <c r="Y991" s="50" t="str">
        <f t="shared" si="61"/>
        <v>100-200</v>
      </c>
      <c r="Z991" s="50">
        <v>2</v>
      </c>
      <c r="AA991" s="50" t="str">
        <f t="shared" si="62"/>
        <v>2.0-3.5</v>
      </c>
      <c r="AB991" s="23">
        <v>2</v>
      </c>
      <c r="AC991" s="30" t="str">
        <f>VLOOKUP(AB991,[4]Key!$C$20:$D$29,2,FALSE)</f>
        <v>Manual Labour</v>
      </c>
      <c r="AD991" s="23">
        <v>2</v>
      </c>
      <c r="AE991" s="30" t="str">
        <f>VLOOKUP(AD991,[4]Key!$E$20:$F$24,2,FALSE)</f>
        <v>300,000-500,000</v>
      </c>
      <c r="AF991" s="23">
        <v>1</v>
      </c>
      <c r="AG991" s="50">
        <v>1</v>
      </c>
      <c r="AH991" s="50">
        <v>1</v>
      </c>
      <c r="AI991" s="50">
        <v>1</v>
      </c>
      <c r="AJ991" s="50">
        <v>1</v>
      </c>
      <c r="AK991" s="46" t="s">
        <v>94</v>
      </c>
      <c r="AL991" s="36">
        <v>1000</v>
      </c>
      <c r="AM991" t="str">
        <f t="shared" si="63"/>
        <v>1000-2000</v>
      </c>
    </row>
    <row r="992" spans="1:39" x14ac:dyDescent="0.2">
      <c r="A992" s="44" t="s">
        <v>544</v>
      </c>
      <c r="B992" s="48">
        <v>0.48958333333333331</v>
      </c>
      <c r="C992" s="48"/>
      <c r="D992" s="48" t="s">
        <v>97</v>
      </c>
      <c r="E992" s="13">
        <v>2</v>
      </c>
      <c r="F992" s="38" t="str">
        <f>VLOOKUP(E992,[4]Key!$A$17:$B$21,2,FALSE)</f>
        <v>Road Vehicle</v>
      </c>
      <c r="G992" s="49">
        <v>4</v>
      </c>
      <c r="H992" s="39" t="str">
        <f>VLOOKUP(G992,[4]Key!$A$2:$B$13,2,FALSE)</f>
        <v>Minibus</v>
      </c>
      <c r="I992" s="13" t="s">
        <v>109</v>
      </c>
      <c r="J992" s="13">
        <v>2</v>
      </c>
      <c r="K992" s="40" t="str">
        <f>VLOOKUP(J992,[4]Key!$A$24:$B$29,2,FALSE)</f>
        <v>30-39</v>
      </c>
      <c r="L992" s="13" t="s">
        <v>454</v>
      </c>
      <c r="M992" s="23" t="s">
        <v>455</v>
      </c>
      <c r="N992" s="13" t="s">
        <v>152</v>
      </c>
      <c r="O992" s="46">
        <v>4</v>
      </c>
      <c r="P992" s="30" t="str">
        <f>VLOOKUP(O992,[4]Key!$E$2:$F$9,2,FALSE)</f>
        <v>Commercial</v>
      </c>
      <c r="Q992" s="13" t="s">
        <v>424</v>
      </c>
      <c r="R992" s="23" t="s">
        <v>421</v>
      </c>
      <c r="S992" s="13" t="s">
        <v>152</v>
      </c>
      <c r="T992" s="23">
        <v>4</v>
      </c>
      <c r="U992" s="30" t="str">
        <f>VLOOKUP(T992,[4]Key!$E$2:$F$9,2,FALSE)</f>
        <v>Commercial</v>
      </c>
      <c r="V992" s="30" t="str">
        <f t="shared" si="60"/>
        <v>Commercial-Commercial</v>
      </c>
      <c r="W992" s="51">
        <v>50000</v>
      </c>
      <c r="X992" s="50">
        <v>142</v>
      </c>
      <c r="Y992" s="50" t="str">
        <f t="shared" si="61"/>
        <v>100-200</v>
      </c>
      <c r="Z992" s="50">
        <v>2</v>
      </c>
      <c r="AA992" s="50" t="str">
        <f t="shared" si="62"/>
        <v>2.0-3.5</v>
      </c>
      <c r="AB992" s="23">
        <v>5</v>
      </c>
      <c r="AC992" s="30" t="str">
        <f>VLOOKUP(AB992,[4]Key!$C$20:$D$29,2,FALSE)</f>
        <v>Professional</v>
      </c>
      <c r="AD992" s="23">
        <v>2</v>
      </c>
      <c r="AE992" s="30" t="str">
        <f>VLOOKUP(AD992,[4]Key!$E$20:$F$24,2,FALSE)</f>
        <v>300,000-500,000</v>
      </c>
      <c r="AF992" s="23">
        <v>1</v>
      </c>
      <c r="AG992" s="50">
        <v>1</v>
      </c>
      <c r="AH992" s="50">
        <v>1</v>
      </c>
      <c r="AI992" s="50">
        <v>1</v>
      </c>
      <c r="AJ992" s="50">
        <v>1</v>
      </c>
      <c r="AK992" s="46" t="s">
        <v>94</v>
      </c>
      <c r="AL992" s="36">
        <v>5000</v>
      </c>
      <c r="AM992" t="str">
        <f t="shared" si="63"/>
        <v>5000-10000</v>
      </c>
    </row>
    <row r="993" spans="1:39" x14ac:dyDescent="0.2">
      <c r="A993" s="44" t="s">
        <v>544</v>
      </c>
      <c r="B993" s="48">
        <v>0.62152777777777779</v>
      </c>
      <c r="C993" s="48"/>
      <c r="D993" s="48" t="s">
        <v>97</v>
      </c>
      <c r="E993" s="13">
        <v>2</v>
      </c>
      <c r="F993" s="38" t="str">
        <f>VLOOKUP(E993,[4]Key!$A$17:$B$21,2,FALSE)</f>
        <v>Road Vehicle</v>
      </c>
      <c r="G993" s="49">
        <v>4</v>
      </c>
      <c r="H993" s="39" t="str">
        <f>VLOOKUP(G993,[4]Key!$A$2:$B$13,2,FALSE)</f>
        <v>Minibus</v>
      </c>
      <c r="I993" s="13" t="s">
        <v>109</v>
      </c>
      <c r="J993" s="13">
        <v>2</v>
      </c>
      <c r="K993" s="40" t="str">
        <f>VLOOKUP(J993,[4]Key!$A$24:$B$29,2,FALSE)</f>
        <v>30-39</v>
      </c>
      <c r="L993" s="13" t="s">
        <v>454</v>
      </c>
      <c r="M993" s="23" t="s">
        <v>455</v>
      </c>
      <c r="N993" s="13" t="s">
        <v>152</v>
      </c>
      <c r="O993" s="46">
        <v>1</v>
      </c>
      <c r="P993" s="30" t="str">
        <f>VLOOKUP(O993,[4]Key!$E$2:$F$9,2,FALSE)</f>
        <v>Home</v>
      </c>
      <c r="Q993" s="13" t="s">
        <v>510</v>
      </c>
      <c r="R993" s="23" t="s">
        <v>511</v>
      </c>
      <c r="S993" s="13" t="s">
        <v>152</v>
      </c>
      <c r="T993" s="23">
        <v>6</v>
      </c>
      <c r="U993" s="30" t="str">
        <f>VLOOKUP(T993,[4]Key!$E$2:$F$9,2,FALSE)</f>
        <v>Leisure/Social</v>
      </c>
      <c r="V993" s="30" t="str">
        <f t="shared" si="60"/>
        <v>Home-Leisure/Social</v>
      </c>
      <c r="W993" s="51">
        <v>200000</v>
      </c>
      <c r="X993" s="50">
        <v>312</v>
      </c>
      <c r="Y993" s="50" t="str">
        <f t="shared" si="61"/>
        <v>Over 200</v>
      </c>
      <c r="Z993" s="50">
        <v>4</v>
      </c>
      <c r="AA993" s="50" t="str">
        <f t="shared" si="62"/>
        <v>Over 3.5</v>
      </c>
      <c r="AB993" s="23">
        <v>2</v>
      </c>
      <c r="AC993" s="30" t="str">
        <f>VLOOKUP(AB993,[4]Key!$C$20:$D$29,2,FALSE)</f>
        <v>Manual Labour</v>
      </c>
      <c r="AD993" s="23">
        <v>2</v>
      </c>
      <c r="AE993" s="30" t="str">
        <f>VLOOKUP(AD993,[4]Key!$E$20:$F$24,2,FALSE)</f>
        <v>300,000-500,000</v>
      </c>
      <c r="AF993" s="23">
        <v>5</v>
      </c>
      <c r="AG993" s="50">
        <v>5</v>
      </c>
      <c r="AH993" s="50">
        <v>5</v>
      </c>
      <c r="AI993" s="50">
        <v>5</v>
      </c>
      <c r="AJ993" s="50">
        <v>5</v>
      </c>
      <c r="AK993" s="46" t="s">
        <v>94</v>
      </c>
      <c r="AL993" s="36">
        <v>2000</v>
      </c>
      <c r="AM993" t="str">
        <f t="shared" si="63"/>
        <v>2000-3000</v>
      </c>
    </row>
    <row r="994" spans="1:39" x14ac:dyDescent="0.2">
      <c r="A994" s="44" t="s">
        <v>544</v>
      </c>
      <c r="B994" s="48">
        <v>0.65277777777777779</v>
      </c>
      <c r="C994" s="48" t="s">
        <v>649</v>
      </c>
      <c r="D994" s="48" t="s">
        <v>97</v>
      </c>
      <c r="E994" s="13">
        <v>2</v>
      </c>
      <c r="F994" s="38" t="str">
        <f>VLOOKUP(E994,[4]Key!$A$17:$B$21,2,FALSE)</f>
        <v>Road Vehicle</v>
      </c>
      <c r="G994" s="49">
        <v>4</v>
      </c>
      <c r="H994" s="39" t="str">
        <f>VLOOKUP(G994,[4]Key!$A$2:$B$13,2,FALSE)</f>
        <v>Minibus</v>
      </c>
      <c r="I994" s="13" t="s">
        <v>109</v>
      </c>
      <c r="J994" s="13">
        <v>2</v>
      </c>
      <c r="K994" s="40" t="str">
        <f>VLOOKUP(J994,[4]Key!$A$24:$B$29,2,FALSE)</f>
        <v>30-39</v>
      </c>
      <c r="L994" s="13" t="s">
        <v>454</v>
      </c>
      <c r="M994" s="23" t="s">
        <v>455</v>
      </c>
      <c r="N994" s="13" t="s">
        <v>152</v>
      </c>
      <c r="O994" s="46">
        <v>2</v>
      </c>
      <c r="P994" s="30" t="str">
        <f>VLOOKUP(O994,[4]Key!$E$2:$F$9,2,FALSE)</f>
        <v>Work</v>
      </c>
      <c r="Q994" s="13" t="s">
        <v>598</v>
      </c>
      <c r="R994" s="23" t="s">
        <v>599</v>
      </c>
      <c r="S994" s="13" t="s">
        <v>152</v>
      </c>
      <c r="T994" s="23">
        <v>8</v>
      </c>
      <c r="U994" s="30" t="str">
        <f>VLOOKUP(T994,[4]Key!$E$2:$F$9,2,FALSE)</f>
        <v>Others</v>
      </c>
      <c r="V994" s="30" t="str">
        <f t="shared" si="60"/>
        <v>Work-Others</v>
      </c>
      <c r="W994" s="51">
        <v>70000</v>
      </c>
      <c r="X994" s="50">
        <v>95</v>
      </c>
      <c r="Y994" s="50" t="str">
        <f t="shared" si="61"/>
        <v>70-100</v>
      </c>
      <c r="Z994" s="50">
        <v>2.5</v>
      </c>
      <c r="AA994" s="50" t="str">
        <f t="shared" si="62"/>
        <v>2.0-3.5</v>
      </c>
      <c r="AB994" s="23">
        <v>10</v>
      </c>
      <c r="AC994" s="30" t="str">
        <f>VLOOKUP(AB994,[4]Key!$C$20:$D$29,2,FALSE)</f>
        <v>Other</v>
      </c>
      <c r="AD994" s="23">
        <v>1</v>
      </c>
      <c r="AE994" s="30" t="str">
        <f>VLOOKUP(AD994,[4]Key!$E$20:$F$24,2,FALSE)</f>
        <v>&lt;300,000</v>
      </c>
      <c r="AF994" s="23">
        <v>5</v>
      </c>
      <c r="AG994" s="50">
        <v>4</v>
      </c>
      <c r="AH994" s="50">
        <v>5</v>
      </c>
      <c r="AI994" s="50">
        <v>5</v>
      </c>
      <c r="AJ994" s="50">
        <v>5</v>
      </c>
      <c r="AK994" s="46" t="s">
        <v>94</v>
      </c>
      <c r="AL994" s="36">
        <v>1000</v>
      </c>
      <c r="AM994" t="str">
        <f t="shared" si="63"/>
        <v>1000-2000</v>
      </c>
    </row>
    <row r="995" spans="1:39" x14ac:dyDescent="0.2">
      <c r="A995" s="44" t="s">
        <v>544</v>
      </c>
      <c r="B995" s="48">
        <v>0.63750000000000007</v>
      </c>
      <c r="C995" s="48" t="s">
        <v>650</v>
      </c>
      <c r="D995" s="48" t="s">
        <v>97</v>
      </c>
      <c r="E995" s="13">
        <v>2</v>
      </c>
      <c r="F995" s="38" t="str">
        <f>VLOOKUP(E995,[4]Key!$A$17:$B$21,2,FALSE)</f>
        <v>Road Vehicle</v>
      </c>
      <c r="G995" s="49">
        <v>4</v>
      </c>
      <c r="H995" s="39" t="str">
        <f>VLOOKUP(G995,[4]Key!$A$2:$B$13,2,FALSE)</f>
        <v>Minibus</v>
      </c>
      <c r="I995" s="13" t="s">
        <v>109</v>
      </c>
      <c r="J995" s="13">
        <v>2</v>
      </c>
      <c r="K995" s="40" t="str">
        <f>VLOOKUP(J995,[4]Key!$A$24:$B$29,2,FALSE)</f>
        <v>30-39</v>
      </c>
      <c r="L995" s="13" t="s">
        <v>454</v>
      </c>
      <c r="M995" s="23" t="s">
        <v>455</v>
      </c>
      <c r="N995" s="13" t="s">
        <v>152</v>
      </c>
      <c r="O995" s="46">
        <v>2</v>
      </c>
      <c r="P995" s="30" t="str">
        <f>VLOOKUP(O995,[4]Key!$E$2:$F$9,2,FALSE)</f>
        <v>Work</v>
      </c>
      <c r="Q995" s="13" t="s">
        <v>634</v>
      </c>
      <c r="R995" s="23" t="s">
        <v>455</v>
      </c>
      <c r="S995" s="13" t="s">
        <v>152</v>
      </c>
      <c r="T995" s="23">
        <v>8</v>
      </c>
      <c r="U995" s="30" t="str">
        <f>VLOOKUP(T995,[4]Key!$E$2:$F$9,2,FALSE)</f>
        <v>Others</v>
      </c>
      <c r="V995" s="30" t="str">
        <f t="shared" si="60"/>
        <v>Work-Others</v>
      </c>
      <c r="W995" s="51">
        <v>70000</v>
      </c>
      <c r="X995" s="50">
        <v>48</v>
      </c>
      <c r="Y995" s="50" t="str">
        <f t="shared" si="61"/>
        <v>40-70</v>
      </c>
      <c r="Z995" s="50">
        <v>1.5</v>
      </c>
      <c r="AA995" s="50" t="str">
        <f t="shared" si="62"/>
        <v>1.0-2.0</v>
      </c>
      <c r="AB995" s="23">
        <v>10</v>
      </c>
      <c r="AC995" s="30" t="str">
        <f>VLOOKUP(AB995,[4]Key!$C$20:$D$29,2,FALSE)</f>
        <v>Other</v>
      </c>
      <c r="AD995" s="23">
        <v>1</v>
      </c>
      <c r="AE995" s="30" t="str">
        <f>VLOOKUP(AD995,[4]Key!$E$20:$F$24,2,FALSE)</f>
        <v>&lt;300,000</v>
      </c>
      <c r="AF995" s="23">
        <v>5</v>
      </c>
      <c r="AG995" s="50">
        <v>4</v>
      </c>
      <c r="AH995" s="50">
        <v>5</v>
      </c>
      <c r="AI995" s="50">
        <v>5</v>
      </c>
      <c r="AJ995" s="50">
        <v>5</v>
      </c>
      <c r="AK995" s="46" t="s">
        <v>94</v>
      </c>
      <c r="AL995" s="36">
        <v>0</v>
      </c>
      <c r="AM995" t="str">
        <f t="shared" si="63"/>
        <v>0-1000</v>
      </c>
    </row>
    <row r="996" spans="1:39" x14ac:dyDescent="0.2">
      <c r="A996" s="44" t="s">
        <v>544</v>
      </c>
      <c r="B996" s="48">
        <v>0.59027777777777779</v>
      </c>
      <c r="C996" s="48" t="s">
        <v>651</v>
      </c>
      <c r="D996" s="48" t="s">
        <v>97</v>
      </c>
      <c r="E996" s="13">
        <v>2</v>
      </c>
      <c r="F996" s="38" t="str">
        <f>VLOOKUP(E996,[4]Key!$A$17:$B$21,2,FALSE)</f>
        <v>Road Vehicle</v>
      </c>
      <c r="G996" s="49">
        <v>4</v>
      </c>
      <c r="H996" s="39" t="str">
        <f>VLOOKUP(G996,[4]Key!$A$2:$B$13,2,FALSE)</f>
        <v>Minibus</v>
      </c>
      <c r="I996" s="13" t="s">
        <v>109</v>
      </c>
      <c r="J996" s="13">
        <v>2</v>
      </c>
      <c r="K996" s="40" t="str">
        <f>VLOOKUP(J996,[4]Key!$A$24:$B$29,2,FALSE)</f>
        <v>30-39</v>
      </c>
      <c r="L996" s="13" t="s">
        <v>454</v>
      </c>
      <c r="M996" s="23" t="s">
        <v>455</v>
      </c>
      <c r="N996" s="13" t="s">
        <v>152</v>
      </c>
      <c r="O996" s="46">
        <v>2</v>
      </c>
      <c r="P996" s="30" t="str">
        <f>VLOOKUP(O996,[4]Key!$E$2:$F$9,2,FALSE)</f>
        <v>Work</v>
      </c>
      <c r="Q996" s="13" t="s">
        <v>631</v>
      </c>
      <c r="R996" s="23" t="s">
        <v>455</v>
      </c>
      <c r="S996" s="13" t="s">
        <v>152</v>
      </c>
      <c r="T996" s="23">
        <v>1</v>
      </c>
      <c r="U996" s="30" t="str">
        <f>VLOOKUP(T996,[4]Key!$E$2:$F$9,2,FALSE)</f>
        <v>Home</v>
      </c>
      <c r="V996" s="30" t="str">
        <f t="shared" si="60"/>
        <v>Work-Home</v>
      </c>
      <c r="W996" s="51">
        <v>70000</v>
      </c>
      <c r="X996" s="50">
        <v>45</v>
      </c>
      <c r="Y996" s="50" t="str">
        <f t="shared" si="61"/>
        <v>40-70</v>
      </c>
      <c r="Z996" s="50">
        <v>1</v>
      </c>
      <c r="AA996" s="50" t="str">
        <f t="shared" si="62"/>
        <v>1.0-2.0</v>
      </c>
      <c r="AB996" s="23">
        <v>10</v>
      </c>
      <c r="AC996" s="30" t="str">
        <f>VLOOKUP(AB996,[4]Key!$C$20:$D$29,2,FALSE)</f>
        <v>Other</v>
      </c>
      <c r="AD996" s="23">
        <v>1</v>
      </c>
      <c r="AE996" s="30" t="str">
        <f>VLOOKUP(AD996,[4]Key!$E$20:$F$24,2,FALSE)</f>
        <v>&lt;300,000</v>
      </c>
      <c r="AF996" s="23">
        <v>5</v>
      </c>
      <c r="AG996" s="50">
        <v>4</v>
      </c>
      <c r="AH996" s="50">
        <v>5</v>
      </c>
      <c r="AI996" s="50">
        <v>5</v>
      </c>
      <c r="AJ996" s="50">
        <v>5</v>
      </c>
      <c r="AK996" s="46" t="s">
        <v>94</v>
      </c>
      <c r="AL996" s="36">
        <v>0</v>
      </c>
      <c r="AM996" t="str">
        <f t="shared" si="63"/>
        <v>0-1000</v>
      </c>
    </row>
    <row r="997" spans="1:39" x14ac:dyDescent="0.2">
      <c r="A997" s="44" t="s">
        <v>544</v>
      </c>
      <c r="B997" s="48">
        <v>0.54791666666666672</v>
      </c>
      <c r="C997" s="48" t="s">
        <v>652</v>
      </c>
      <c r="D997" s="48" t="s">
        <v>97</v>
      </c>
      <c r="E997" s="13">
        <v>2</v>
      </c>
      <c r="F997" s="38" t="str">
        <f>VLOOKUP(E997,[4]Key!$A$17:$B$21,2,FALSE)</f>
        <v>Road Vehicle</v>
      </c>
      <c r="G997" s="49">
        <v>4</v>
      </c>
      <c r="H997" s="39" t="str">
        <f>VLOOKUP(G997,[4]Key!$A$2:$B$13,2,FALSE)</f>
        <v>Minibus</v>
      </c>
      <c r="I997" s="13" t="s">
        <v>109</v>
      </c>
      <c r="J997" s="13">
        <v>2</v>
      </c>
      <c r="K997" s="40" t="str">
        <f>VLOOKUP(J997,[4]Key!$A$24:$B$29,2,FALSE)</f>
        <v>30-39</v>
      </c>
      <c r="L997" s="13" t="s">
        <v>454</v>
      </c>
      <c r="M997" s="23" t="s">
        <v>455</v>
      </c>
      <c r="N997" s="13" t="s">
        <v>152</v>
      </c>
      <c r="O997" s="46">
        <v>2</v>
      </c>
      <c r="P997" s="30" t="str">
        <f>VLOOKUP(O997,[4]Key!$E$2:$F$9,2,FALSE)</f>
        <v>Work</v>
      </c>
      <c r="Q997" s="13" t="s">
        <v>637</v>
      </c>
      <c r="R997" s="23" t="s">
        <v>499</v>
      </c>
      <c r="S997" s="13" t="s">
        <v>152</v>
      </c>
      <c r="T997" s="23">
        <v>8</v>
      </c>
      <c r="U997" s="30" t="str">
        <f>VLOOKUP(T997,[4]Key!$E$2:$F$9,2,FALSE)</f>
        <v>Others</v>
      </c>
      <c r="V997" s="30" t="str">
        <f t="shared" si="60"/>
        <v>Work-Others</v>
      </c>
      <c r="W997" s="51">
        <v>80000</v>
      </c>
      <c r="X997" s="50">
        <v>95</v>
      </c>
      <c r="Y997" s="50" t="str">
        <f t="shared" si="61"/>
        <v>70-100</v>
      </c>
      <c r="Z997" s="50">
        <v>2.5</v>
      </c>
      <c r="AA997" s="50" t="str">
        <f t="shared" si="62"/>
        <v>2.0-3.5</v>
      </c>
      <c r="AB997" s="23">
        <v>5</v>
      </c>
      <c r="AC997" s="30" t="str">
        <f>VLOOKUP(AB997,[4]Key!$C$20:$D$29,2,FALSE)</f>
        <v>Professional</v>
      </c>
      <c r="AD997" s="23">
        <v>2</v>
      </c>
      <c r="AE997" s="30" t="str">
        <f>VLOOKUP(AD997,[4]Key!$E$20:$F$24,2,FALSE)</f>
        <v>300,000-500,000</v>
      </c>
      <c r="AF997" s="23">
        <v>5</v>
      </c>
      <c r="AG997" s="50">
        <v>5</v>
      </c>
      <c r="AH997" s="50">
        <v>5</v>
      </c>
      <c r="AI997" s="50">
        <v>5</v>
      </c>
      <c r="AJ997" s="50">
        <v>5</v>
      </c>
      <c r="AK997" s="46" t="s">
        <v>94</v>
      </c>
      <c r="AL997" s="36">
        <v>2000</v>
      </c>
      <c r="AM997" t="str">
        <f t="shared" si="63"/>
        <v>2000-3000</v>
      </c>
    </row>
    <row r="998" spans="1:39" x14ac:dyDescent="0.2">
      <c r="A998" s="44" t="s">
        <v>544</v>
      </c>
      <c r="B998" s="48">
        <v>0.50694444444444442</v>
      </c>
      <c r="C998" s="48" t="s">
        <v>653</v>
      </c>
      <c r="D998" s="48" t="s">
        <v>97</v>
      </c>
      <c r="E998" s="13">
        <v>2</v>
      </c>
      <c r="F998" s="38" t="str">
        <f>VLOOKUP(E998,[4]Key!$A$17:$B$21,2,FALSE)</f>
        <v>Road Vehicle</v>
      </c>
      <c r="G998" s="49">
        <v>4</v>
      </c>
      <c r="H998" s="39" t="str">
        <f>VLOOKUP(G998,[4]Key!$A$2:$B$13,2,FALSE)</f>
        <v>Minibus</v>
      </c>
      <c r="I998" s="13" t="s">
        <v>109</v>
      </c>
      <c r="J998" s="13">
        <v>2</v>
      </c>
      <c r="K998" s="40" t="str">
        <f>VLOOKUP(J998,[4]Key!$A$24:$B$29,2,FALSE)</f>
        <v>30-39</v>
      </c>
      <c r="L998" s="13" t="s">
        <v>454</v>
      </c>
      <c r="M998" s="23" t="s">
        <v>455</v>
      </c>
      <c r="N998" s="13" t="s">
        <v>152</v>
      </c>
      <c r="O998" s="46">
        <v>2</v>
      </c>
      <c r="P998" s="30" t="str">
        <f>VLOOKUP(O998,[4]Key!$E$2:$F$9,2,FALSE)</f>
        <v>Work</v>
      </c>
      <c r="Q998" s="13" t="s">
        <v>487</v>
      </c>
      <c r="R998" s="23" t="s">
        <v>488</v>
      </c>
      <c r="S998" s="13" t="s">
        <v>152</v>
      </c>
      <c r="T998" s="23">
        <v>8</v>
      </c>
      <c r="U998" s="30" t="str">
        <f>VLOOKUP(T998,[4]Key!$E$2:$F$9,2,FALSE)</f>
        <v>Others</v>
      </c>
      <c r="V998" s="30" t="str">
        <f t="shared" si="60"/>
        <v>Work-Others</v>
      </c>
      <c r="W998" s="51">
        <v>70000</v>
      </c>
      <c r="X998" s="50">
        <v>68</v>
      </c>
      <c r="Y998" s="50" t="str">
        <f t="shared" si="61"/>
        <v>40-70</v>
      </c>
      <c r="Z998" s="50">
        <v>1.5</v>
      </c>
      <c r="AA998" s="50" t="str">
        <f t="shared" si="62"/>
        <v>1.0-2.0</v>
      </c>
      <c r="AB998" s="23">
        <v>10</v>
      </c>
      <c r="AC998" s="30" t="str">
        <f>VLOOKUP(AB998,[4]Key!$C$20:$D$29,2,FALSE)</f>
        <v>Other</v>
      </c>
      <c r="AD998" s="23">
        <v>2</v>
      </c>
      <c r="AE998" s="30" t="str">
        <f>VLOOKUP(AD998,[4]Key!$E$20:$F$24,2,FALSE)</f>
        <v>300,000-500,000</v>
      </c>
      <c r="AF998" s="23">
        <v>5</v>
      </c>
      <c r="AG998" s="50">
        <v>5</v>
      </c>
      <c r="AH998" s="50">
        <v>5</v>
      </c>
      <c r="AI998" s="50">
        <v>5</v>
      </c>
      <c r="AJ998" s="50">
        <v>5</v>
      </c>
      <c r="AK998" s="46" t="s">
        <v>94</v>
      </c>
      <c r="AL998" s="36">
        <v>0</v>
      </c>
      <c r="AM998" t="str">
        <f t="shared" si="63"/>
        <v>0-1000</v>
      </c>
    </row>
    <row r="999" spans="1:39" x14ac:dyDescent="0.2">
      <c r="A999" s="44" t="s">
        <v>544</v>
      </c>
      <c r="B999" s="48">
        <v>0.46458333333333335</v>
      </c>
      <c r="C999" s="48" t="s">
        <v>654</v>
      </c>
      <c r="D999" s="48" t="s">
        <v>97</v>
      </c>
      <c r="E999" s="13">
        <v>2</v>
      </c>
      <c r="F999" s="38" t="str">
        <f>VLOOKUP(E999,[4]Key!$A$17:$B$21,2,FALSE)</f>
        <v>Road Vehicle</v>
      </c>
      <c r="G999" s="49">
        <v>4</v>
      </c>
      <c r="H999" s="39" t="str">
        <f>VLOOKUP(G999,[4]Key!$A$2:$B$13,2,FALSE)</f>
        <v>Minibus</v>
      </c>
      <c r="I999" s="13" t="s">
        <v>109</v>
      </c>
      <c r="J999" s="13">
        <v>2</v>
      </c>
      <c r="K999" s="40" t="str">
        <f>VLOOKUP(J999,[4]Key!$A$24:$B$29,2,FALSE)</f>
        <v>30-39</v>
      </c>
      <c r="L999" s="13" t="s">
        <v>454</v>
      </c>
      <c r="M999" s="23" t="s">
        <v>455</v>
      </c>
      <c r="N999" s="13" t="s">
        <v>152</v>
      </c>
      <c r="O999" s="46">
        <v>2</v>
      </c>
      <c r="P999" s="30" t="str">
        <f>VLOOKUP(O999,[4]Key!$E$2:$F$9,2,FALSE)</f>
        <v>Work</v>
      </c>
      <c r="Q999" s="13" t="s">
        <v>560</v>
      </c>
      <c r="R999" s="23" t="s">
        <v>455</v>
      </c>
      <c r="S999" s="13" t="s">
        <v>152</v>
      </c>
      <c r="T999" s="23">
        <v>8</v>
      </c>
      <c r="U999" s="30" t="str">
        <f>VLOOKUP(T999,[4]Key!$E$2:$F$9,2,FALSE)</f>
        <v>Others</v>
      </c>
      <c r="V999" s="30" t="str">
        <f t="shared" si="60"/>
        <v>Work-Others</v>
      </c>
      <c r="W999" s="51">
        <v>30000</v>
      </c>
      <c r="X999" s="50">
        <v>12</v>
      </c>
      <c r="Y999" s="50" t="str">
        <f t="shared" si="61"/>
        <v>10-20</v>
      </c>
      <c r="Z999" s="50">
        <v>0.66</v>
      </c>
      <c r="AA999" s="50" t="str">
        <f t="shared" si="62"/>
        <v>0.5-1.0</v>
      </c>
      <c r="AB999" s="23">
        <v>10</v>
      </c>
      <c r="AC999" s="30" t="str">
        <f>VLOOKUP(AB999,[4]Key!$C$20:$D$29,2,FALSE)</f>
        <v>Other</v>
      </c>
      <c r="AD999" s="23">
        <v>1</v>
      </c>
      <c r="AE999" s="30" t="str">
        <f>VLOOKUP(AD999,[4]Key!$E$20:$F$24,2,FALSE)</f>
        <v>&lt;300,000</v>
      </c>
      <c r="AF999" s="23">
        <v>5</v>
      </c>
      <c r="AG999" s="50">
        <v>4</v>
      </c>
      <c r="AH999" s="50">
        <v>5</v>
      </c>
      <c r="AI999" s="50">
        <v>2</v>
      </c>
      <c r="AJ999" s="50">
        <v>2</v>
      </c>
      <c r="AK999" s="46" t="s">
        <v>94</v>
      </c>
      <c r="AL999" s="36">
        <v>1000</v>
      </c>
      <c r="AM999" t="str">
        <f t="shared" si="63"/>
        <v>1000-2000</v>
      </c>
    </row>
    <row r="1000" spans="1:39" x14ac:dyDescent="0.2">
      <c r="A1000" s="44" t="s">
        <v>544</v>
      </c>
      <c r="B1000" s="48">
        <v>0.31597222222222221</v>
      </c>
      <c r="C1000" s="48" t="s">
        <v>655</v>
      </c>
      <c r="D1000" s="48" t="s">
        <v>97</v>
      </c>
      <c r="E1000" s="13">
        <v>2</v>
      </c>
      <c r="F1000" s="38" t="str">
        <f>VLOOKUP(E1000,[4]Key!$A$17:$B$21,2,FALSE)</f>
        <v>Road Vehicle</v>
      </c>
      <c r="G1000" s="49">
        <v>4</v>
      </c>
      <c r="H1000" s="39" t="str">
        <f>VLOOKUP(G1000,[4]Key!$A$2:$B$13,2,FALSE)</f>
        <v>Minibus</v>
      </c>
      <c r="I1000" s="13" t="s">
        <v>109</v>
      </c>
      <c r="J1000" s="13">
        <v>2</v>
      </c>
      <c r="K1000" s="40" t="str">
        <f>VLOOKUP(J1000,[4]Key!$A$24:$B$29,2,FALSE)</f>
        <v>30-39</v>
      </c>
      <c r="L1000" s="13" t="s">
        <v>454</v>
      </c>
      <c r="M1000" s="23" t="s">
        <v>455</v>
      </c>
      <c r="N1000" s="13" t="s">
        <v>152</v>
      </c>
      <c r="O1000" s="46">
        <v>2</v>
      </c>
      <c r="P1000" s="30" t="str">
        <f>VLOOKUP(O1000,[4]Key!$E$2:$F$9,2,FALSE)</f>
        <v>Work</v>
      </c>
      <c r="Q1000" s="13" t="s">
        <v>615</v>
      </c>
      <c r="R1000" s="23" t="s">
        <v>616</v>
      </c>
      <c r="S1000" s="13" t="s">
        <v>152</v>
      </c>
      <c r="T1000" s="23">
        <v>8</v>
      </c>
      <c r="U1000" s="30" t="str">
        <f>VLOOKUP(T1000,[4]Key!$E$2:$F$9,2,FALSE)</f>
        <v>Others</v>
      </c>
      <c r="V1000" s="30" t="str">
        <f t="shared" si="60"/>
        <v>Work-Others</v>
      </c>
      <c r="W1000" s="51">
        <v>70000</v>
      </c>
      <c r="X1000" s="50">
        <v>95</v>
      </c>
      <c r="Y1000" s="50" t="str">
        <f t="shared" si="61"/>
        <v>70-100</v>
      </c>
      <c r="Z1000" s="50">
        <v>2.5</v>
      </c>
      <c r="AA1000" s="50" t="str">
        <f t="shared" si="62"/>
        <v>2.0-3.5</v>
      </c>
      <c r="AB1000" s="23">
        <v>5</v>
      </c>
      <c r="AC1000" s="30" t="str">
        <f>VLOOKUP(AB1000,[4]Key!$C$20:$D$29,2,FALSE)</f>
        <v>Professional</v>
      </c>
      <c r="AD1000" s="23">
        <v>1</v>
      </c>
      <c r="AE1000" s="30" t="str">
        <f>VLOOKUP(AD1000,[4]Key!$E$20:$F$24,2,FALSE)</f>
        <v>&lt;300,000</v>
      </c>
      <c r="AF1000" s="23">
        <v>5</v>
      </c>
      <c r="AG1000" s="50">
        <v>5</v>
      </c>
      <c r="AH1000" s="50">
        <v>5</v>
      </c>
      <c r="AI1000" s="50">
        <v>5</v>
      </c>
      <c r="AJ1000" s="50">
        <v>5</v>
      </c>
      <c r="AK1000" s="46" t="s">
        <v>94</v>
      </c>
      <c r="AL1000" s="36">
        <v>1000</v>
      </c>
      <c r="AM1000" t="str">
        <f t="shared" si="63"/>
        <v>1000-2000</v>
      </c>
    </row>
    <row r="1001" spans="1:39" x14ac:dyDescent="0.2">
      <c r="A1001" s="44" t="s">
        <v>544</v>
      </c>
      <c r="B1001" s="48">
        <v>0.30555555555555552</v>
      </c>
      <c r="C1001" s="48" t="s">
        <v>656</v>
      </c>
      <c r="D1001" s="48" t="s">
        <v>97</v>
      </c>
      <c r="E1001" s="13">
        <v>2</v>
      </c>
      <c r="F1001" s="38" t="str">
        <f>VLOOKUP(E1001,[4]Key!$A$17:$B$21,2,FALSE)</f>
        <v>Road Vehicle</v>
      </c>
      <c r="G1001" s="49">
        <v>4</v>
      </c>
      <c r="H1001" s="39" t="str">
        <f>VLOOKUP(G1001,[4]Key!$A$2:$B$13,2,FALSE)</f>
        <v>Minibus</v>
      </c>
      <c r="I1001" s="13" t="s">
        <v>109</v>
      </c>
      <c r="J1001" s="13">
        <v>2</v>
      </c>
      <c r="K1001" s="40" t="str">
        <f>VLOOKUP(J1001,[4]Key!$A$24:$B$29,2,FALSE)</f>
        <v>30-39</v>
      </c>
      <c r="L1001" s="13" t="s">
        <v>454</v>
      </c>
      <c r="M1001" s="23" t="s">
        <v>455</v>
      </c>
      <c r="N1001" s="13" t="s">
        <v>152</v>
      </c>
      <c r="O1001" s="46">
        <v>2</v>
      </c>
      <c r="P1001" s="30" t="str">
        <f>VLOOKUP(O1001,[4]Key!$E$2:$F$9,2,FALSE)</f>
        <v>Work</v>
      </c>
      <c r="Q1001" s="13" t="s">
        <v>638</v>
      </c>
      <c r="R1001" s="23" t="s">
        <v>639</v>
      </c>
      <c r="S1001" s="13" t="s">
        <v>152</v>
      </c>
      <c r="T1001" s="23">
        <v>8</v>
      </c>
      <c r="U1001" s="30" t="str">
        <f>VLOOKUP(T1001,[4]Key!$E$2:$F$9,2,FALSE)</f>
        <v>Others</v>
      </c>
      <c r="V1001" s="30" t="str">
        <f t="shared" si="60"/>
        <v>Work-Others</v>
      </c>
      <c r="W1001" s="51">
        <v>50000</v>
      </c>
      <c r="X1001" s="50">
        <v>30</v>
      </c>
      <c r="Y1001" s="50" t="str">
        <f t="shared" si="61"/>
        <v>20-40</v>
      </c>
      <c r="Z1001" s="50">
        <v>1</v>
      </c>
      <c r="AA1001" s="50" t="str">
        <f t="shared" si="62"/>
        <v>1.0-2.0</v>
      </c>
      <c r="AB1001" s="23">
        <v>6</v>
      </c>
      <c r="AC1001" s="30" t="str">
        <f>VLOOKUP(AB1001,[4]Key!$C$20:$D$29,2,FALSE)</f>
        <v>Businessman</v>
      </c>
      <c r="AD1001" s="23">
        <v>2</v>
      </c>
      <c r="AE1001" s="30" t="str">
        <f>VLOOKUP(AD1001,[4]Key!$E$20:$F$24,2,FALSE)</f>
        <v>300,000-500,000</v>
      </c>
      <c r="AF1001" s="23">
        <v>5</v>
      </c>
      <c r="AG1001" s="50">
        <v>4</v>
      </c>
      <c r="AH1001" s="50">
        <v>2</v>
      </c>
      <c r="AI1001" s="50">
        <v>2</v>
      </c>
      <c r="AJ1001" s="50">
        <v>2</v>
      </c>
      <c r="AK1001" s="46" t="s">
        <v>94</v>
      </c>
      <c r="AL1001" s="36">
        <v>2000</v>
      </c>
      <c r="AM1001" t="str">
        <f t="shared" si="63"/>
        <v>2000-3000</v>
      </c>
    </row>
    <row r="1002" spans="1:39" x14ac:dyDescent="0.2">
      <c r="A1002" s="44" t="s">
        <v>544</v>
      </c>
      <c r="B1002" s="48">
        <v>0.29722222222222222</v>
      </c>
      <c r="C1002" s="48"/>
      <c r="D1002" s="48" t="s">
        <v>150</v>
      </c>
      <c r="E1002" s="13">
        <v>2</v>
      </c>
      <c r="F1002" s="38" t="str">
        <f>VLOOKUP(E1002,[4]Key!$A$17:$B$21,2,FALSE)</f>
        <v>Road Vehicle</v>
      </c>
      <c r="G1002" s="49">
        <v>4</v>
      </c>
      <c r="H1002" s="39" t="str">
        <f>VLOOKUP(G1002,[4]Key!$A$2:$B$13,2,FALSE)</f>
        <v>Minibus</v>
      </c>
      <c r="I1002" s="13" t="s">
        <v>109</v>
      </c>
      <c r="J1002" s="13">
        <v>2</v>
      </c>
      <c r="K1002" s="40" t="str">
        <f>VLOOKUP(J1002,[4]Key!$A$24:$B$29,2,FALSE)</f>
        <v>30-39</v>
      </c>
      <c r="L1002" s="13" t="s">
        <v>454</v>
      </c>
      <c r="M1002" s="23" t="s">
        <v>455</v>
      </c>
      <c r="N1002" s="13" t="s">
        <v>152</v>
      </c>
      <c r="O1002" s="46">
        <v>2</v>
      </c>
      <c r="P1002" s="30" t="str">
        <f>VLOOKUP(O1002,[4]Key!$E$2:$F$9,2,FALSE)</f>
        <v>Work</v>
      </c>
      <c r="Q1002" s="13" t="s">
        <v>554</v>
      </c>
      <c r="R1002" s="23" t="s">
        <v>455</v>
      </c>
      <c r="S1002" s="13" t="s">
        <v>152</v>
      </c>
      <c r="T1002" s="23">
        <v>4</v>
      </c>
      <c r="U1002" s="30" t="str">
        <f>VLOOKUP(T1002,[4]Key!$E$2:$F$9,2,FALSE)</f>
        <v>Commercial</v>
      </c>
      <c r="V1002" s="30" t="str">
        <f t="shared" si="60"/>
        <v>Work-Commercial</v>
      </c>
      <c r="W1002" s="51">
        <v>4000</v>
      </c>
      <c r="X1002" s="50">
        <v>15</v>
      </c>
      <c r="Y1002" s="50" t="str">
        <f t="shared" si="61"/>
        <v>10-20</v>
      </c>
      <c r="Z1002" s="50">
        <v>0.83</v>
      </c>
      <c r="AA1002" s="50" t="str">
        <f t="shared" si="62"/>
        <v>0.5-1.0</v>
      </c>
      <c r="AB1002" s="23">
        <v>7</v>
      </c>
      <c r="AC1002" s="30" t="str">
        <f>VLOOKUP(AB1002,[4]Key!$C$20:$D$29,2,FALSE)</f>
        <v>Farmer</v>
      </c>
      <c r="AD1002" s="23">
        <v>1</v>
      </c>
      <c r="AE1002" s="30" t="str">
        <f>VLOOKUP(AD1002,[4]Key!$E$20:$F$24,2,FALSE)</f>
        <v>&lt;300,000</v>
      </c>
      <c r="AF1002" s="23">
        <v>2</v>
      </c>
      <c r="AG1002" s="50">
        <v>4</v>
      </c>
      <c r="AH1002" s="50">
        <v>1</v>
      </c>
      <c r="AI1002" s="50">
        <v>2</v>
      </c>
      <c r="AJ1002" s="50">
        <v>1</v>
      </c>
      <c r="AK1002" s="46" t="s">
        <v>94</v>
      </c>
      <c r="AL1002" s="36">
        <v>0</v>
      </c>
      <c r="AM1002" t="str">
        <f t="shared" si="63"/>
        <v>0-1000</v>
      </c>
    </row>
    <row r="1003" spans="1:39" x14ac:dyDescent="0.2">
      <c r="A1003" s="44" t="s">
        <v>544</v>
      </c>
      <c r="B1003" s="48">
        <v>0.35555555555555557</v>
      </c>
      <c r="C1003" s="48" t="s">
        <v>657</v>
      </c>
      <c r="D1003" s="48" t="s">
        <v>97</v>
      </c>
      <c r="E1003" s="13">
        <v>2</v>
      </c>
      <c r="F1003" s="38" t="str">
        <f>VLOOKUP(E1003,[4]Key!$A$17:$B$21,2,FALSE)</f>
        <v>Road Vehicle</v>
      </c>
      <c r="G1003" s="49">
        <v>4</v>
      </c>
      <c r="H1003" s="39" t="str">
        <f>VLOOKUP(G1003,[4]Key!$A$2:$B$13,2,FALSE)</f>
        <v>Minibus</v>
      </c>
      <c r="I1003" s="13" t="s">
        <v>109</v>
      </c>
      <c r="J1003" s="13">
        <v>2</v>
      </c>
      <c r="K1003" s="40" t="str">
        <f>VLOOKUP(J1003,[4]Key!$A$24:$B$29,2,FALSE)</f>
        <v>30-39</v>
      </c>
      <c r="L1003" s="13" t="s">
        <v>454</v>
      </c>
      <c r="M1003" s="23" t="s">
        <v>455</v>
      </c>
      <c r="N1003" s="13" t="s">
        <v>152</v>
      </c>
      <c r="O1003" s="46">
        <v>1</v>
      </c>
      <c r="P1003" s="30" t="str">
        <f>VLOOKUP(O1003,[4]Key!$E$2:$F$9,2,FALSE)</f>
        <v>Home</v>
      </c>
      <c r="Q1003" s="13" t="s">
        <v>658</v>
      </c>
      <c r="R1003" s="23" t="s">
        <v>455</v>
      </c>
      <c r="S1003" s="13" t="s">
        <v>152</v>
      </c>
      <c r="T1003" s="23">
        <v>5</v>
      </c>
      <c r="U1003" s="30" t="str">
        <f>VLOOKUP(T1003,[4]Key!$E$2:$F$9,2,FALSE)</f>
        <v>Tourism</v>
      </c>
      <c r="V1003" s="30" t="str">
        <f t="shared" si="60"/>
        <v>Home-Tourism</v>
      </c>
      <c r="W1003" s="51">
        <v>30000</v>
      </c>
      <c r="X1003" s="50">
        <v>42</v>
      </c>
      <c r="Y1003" s="50" t="str">
        <f t="shared" si="61"/>
        <v>40-70</v>
      </c>
      <c r="Z1003" s="50"/>
      <c r="AA1003" s="50" t="str">
        <f t="shared" si="62"/>
        <v>0-0.5</v>
      </c>
      <c r="AB1003" s="23">
        <v>5</v>
      </c>
      <c r="AC1003" s="30" t="str">
        <f>VLOOKUP(AB1003,[4]Key!$C$20:$D$29,2,FALSE)</f>
        <v>Professional</v>
      </c>
      <c r="AD1003" s="23">
        <v>5</v>
      </c>
      <c r="AE1003" s="30" t="str">
        <f>VLOOKUP(AD1003,[4]Key!$E$20:$F$24,2,FALSE)</f>
        <v>&gt;1,000,000</v>
      </c>
      <c r="AF1003" s="23">
        <v>2</v>
      </c>
      <c r="AG1003" s="50">
        <v>2</v>
      </c>
      <c r="AH1003" s="50">
        <v>2</v>
      </c>
      <c r="AI1003" s="50">
        <v>3</v>
      </c>
      <c r="AJ1003" s="50">
        <v>1</v>
      </c>
      <c r="AK1003" s="46" t="s">
        <v>94</v>
      </c>
      <c r="AL1003" s="36">
        <v>4000</v>
      </c>
      <c r="AM1003" t="str">
        <f t="shared" si="63"/>
        <v>3000-5000</v>
      </c>
    </row>
    <row r="1004" spans="1:39" x14ac:dyDescent="0.2">
      <c r="A1004" s="44" t="s">
        <v>541</v>
      </c>
      <c r="B1004" s="48">
        <v>0.73402777777777783</v>
      </c>
      <c r="C1004" s="48" t="s">
        <v>659</v>
      </c>
      <c r="D1004" s="48" t="s">
        <v>97</v>
      </c>
      <c r="E1004" s="13">
        <v>2</v>
      </c>
      <c r="F1004" s="38" t="str">
        <f>VLOOKUP(E1004,[4]Key!$A$17:$B$21,2,FALSE)</f>
        <v>Road Vehicle</v>
      </c>
      <c r="G1004" s="49">
        <v>3</v>
      </c>
      <c r="H1004" s="39" t="str">
        <f>VLOOKUP(G1004,[4]Key!$A$2:$B$13,2,FALSE)</f>
        <v>Pickups</v>
      </c>
      <c r="I1004" s="13" t="s">
        <v>109</v>
      </c>
      <c r="J1004" s="13">
        <v>2</v>
      </c>
      <c r="K1004" s="40" t="str">
        <f>VLOOKUP(J1004,[4]Key!$A$24:$B$29,2,FALSE)</f>
        <v>30-39</v>
      </c>
      <c r="L1004" s="13" t="s">
        <v>590</v>
      </c>
      <c r="M1004" s="23" t="s">
        <v>455</v>
      </c>
      <c r="N1004" s="13" t="s">
        <v>152</v>
      </c>
      <c r="O1004" s="46">
        <v>2</v>
      </c>
      <c r="P1004" s="30" t="str">
        <f>VLOOKUP(O1004,[4]Key!$E$2:$F$9,2,FALSE)</f>
        <v>Work</v>
      </c>
      <c r="Q1004" s="13" t="s">
        <v>454</v>
      </c>
      <c r="R1004" s="23" t="s">
        <v>455</v>
      </c>
      <c r="S1004" s="13" t="s">
        <v>152</v>
      </c>
      <c r="T1004" s="23">
        <v>1</v>
      </c>
      <c r="U1004" s="30" t="str">
        <f>VLOOKUP(T1004,[4]Key!$E$2:$F$9,2,FALSE)</f>
        <v>Home</v>
      </c>
      <c r="V1004" s="30" t="str">
        <f t="shared" si="60"/>
        <v>Work-Home</v>
      </c>
      <c r="W1004" s="51">
        <v>20000</v>
      </c>
      <c r="X1004" s="50">
        <v>20</v>
      </c>
      <c r="Y1004" s="50" t="str">
        <f t="shared" si="61"/>
        <v>20-40</v>
      </c>
      <c r="Z1004" s="50">
        <v>1</v>
      </c>
      <c r="AA1004" s="50" t="str">
        <f t="shared" si="62"/>
        <v>1.0-2.0</v>
      </c>
      <c r="AB1004" s="23">
        <v>7</v>
      </c>
      <c r="AC1004" s="30" t="str">
        <f>VLOOKUP(AB1004,[4]Key!$C$20:$D$29,2,FALSE)</f>
        <v>Farmer</v>
      </c>
      <c r="AD1004" s="23">
        <v>2</v>
      </c>
      <c r="AE1004" s="30" t="str">
        <f>VLOOKUP(AD1004,[4]Key!$E$20:$F$24,2,FALSE)</f>
        <v>300,000-500,000</v>
      </c>
      <c r="AF1004" s="23">
        <v>4</v>
      </c>
      <c r="AG1004" s="50">
        <v>4</v>
      </c>
      <c r="AH1004" s="50">
        <v>4</v>
      </c>
      <c r="AI1004" s="50">
        <v>4</v>
      </c>
      <c r="AJ1004" s="50">
        <v>4</v>
      </c>
      <c r="AK1004" s="46" t="s">
        <v>94</v>
      </c>
      <c r="AL1004" s="36">
        <v>500</v>
      </c>
      <c r="AM1004" t="str">
        <f t="shared" si="63"/>
        <v>0-1000</v>
      </c>
    </row>
    <row r="1005" spans="1:39" x14ac:dyDescent="0.2">
      <c r="A1005" s="44" t="s">
        <v>541</v>
      </c>
      <c r="B1005" s="48">
        <v>0.70763888888888893</v>
      </c>
      <c r="C1005" s="48" t="s">
        <v>660</v>
      </c>
      <c r="D1005" s="48" t="s">
        <v>97</v>
      </c>
      <c r="E1005" s="13">
        <v>2</v>
      </c>
      <c r="F1005" s="38" t="str">
        <f>VLOOKUP(E1005,[4]Key!$A$17:$B$21,2,FALSE)</f>
        <v>Road Vehicle</v>
      </c>
      <c r="G1005" s="49">
        <v>3</v>
      </c>
      <c r="H1005" s="39" t="str">
        <f>VLOOKUP(G1005,[4]Key!$A$2:$B$13,2,FALSE)</f>
        <v>Pickups</v>
      </c>
      <c r="I1005" s="13" t="s">
        <v>109</v>
      </c>
      <c r="J1005" s="13">
        <v>2</v>
      </c>
      <c r="K1005" s="40" t="str">
        <f>VLOOKUP(J1005,[4]Key!$A$24:$B$29,2,FALSE)</f>
        <v>30-39</v>
      </c>
      <c r="L1005" s="13" t="s">
        <v>542</v>
      </c>
      <c r="M1005" s="23" t="s">
        <v>543</v>
      </c>
      <c r="N1005" s="13" t="s">
        <v>152</v>
      </c>
      <c r="O1005" s="46">
        <v>4</v>
      </c>
      <c r="P1005" s="30" t="str">
        <f>VLOOKUP(O1005,[4]Key!$E$2:$F$9,2,FALSE)</f>
        <v>Commercial</v>
      </c>
      <c r="Q1005" s="13" t="s">
        <v>487</v>
      </c>
      <c r="R1005" s="23" t="s">
        <v>488</v>
      </c>
      <c r="S1005" s="13" t="s">
        <v>152</v>
      </c>
      <c r="T1005" s="23">
        <v>4</v>
      </c>
      <c r="U1005" s="30" t="str">
        <f>VLOOKUP(T1005,[4]Key!$E$2:$F$9,2,FALSE)</f>
        <v>Commercial</v>
      </c>
      <c r="V1005" s="30" t="str">
        <f t="shared" si="60"/>
        <v>Commercial-Commercial</v>
      </c>
      <c r="W1005" s="51">
        <v>50000</v>
      </c>
      <c r="X1005" s="50">
        <v>126</v>
      </c>
      <c r="Y1005" s="50" t="str">
        <f t="shared" si="61"/>
        <v>100-200</v>
      </c>
      <c r="Z1005" s="50">
        <v>3</v>
      </c>
      <c r="AA1005" s="50" t="str">
        <f t="shared" si="62"/>
        <v>2.0-3.5</v>
      </c>
      <c r="AB1005" s="23">
        <v>6</v>
      </c>
      <c r="AC1005" s="30" t="s">
        <v>129</v>
      </c>
      <c r="AD1005" s="23">
        <v>3</v>
      </c>
      <c r="AE1005" s="30" t="s">
        <v>139</v>
      </c>
      <c r="AF1005" s="23">
        <v>4</v>
      </c>
      <c r="AG1005" s="50">
        <v>2</v>
      </c>
      <c r="AH1005" s="50">
        <v>2</v>
      </c>
      <c r="AI1005" s="50">
        <v>2</v>
      </c>
      <c r="AJ1005" s="50">
        <v>2</v>
      </c>
      <c r="AK1005" s="46" t="s">
        <v>94</v>
      </c>
      <c r="AL1005" s="36">
        <v>1000</v>
      </c>
      <c r="AM1005" t="str">
        <f t="shared" si="63"/>
        <v>1000-2000</v>
      </c>
    </row>
    <row r="1006" spans="1:39" x14ac:dyDescent="0.2">
      <c r="A1006" s="44" t="s">
        <v>541</v>
      </c>
      <c r="B1006" s="48">
        <v>0.67499999999999993</v>
      </c>
      <c r="C1006" s="48" t="s">
        <v>661</v>
      </c>
      <c r="D1006" s="48" t="s">
        <v>97</v>
      </c>
      <c r="E1006" s="13">
        <v>2</v>
      </c>
      <c r="F1006" s="38" t="str">
        <f>VLOOKUP(E1006,[4]Key!$A$17:$B$21,2,FALSE)</f>
        <v>Road Vehicle</v>
      </c>
      <c r="G1006" s="49">
        <v>2</v>
      </c>
      <c r="H1006" s="39" t="str">
        <f>VLOOKUP(G1006,[4]Key!$A$2:$B$13,2,FALSE)</f>
        <v>Station Wagon</v>
      </c>
      <c r="I1006" s="13" t="s">
        <v>156</v>
      </c>
      <c r="J1006" s="13">
        <v>2</v>
      </c>
      <c r="K1006" s="40" t="str">
        <f>VLOOKUP(J1006,[4]Key!$A$24:$B$29,2,FALSE)</f>
        <v>30-39</v>
      </c>
      <c r="L1006" s="13" t="s">
        <v>662</v>
      </c>
      <c r="M1006" s="23" t="s">
        <v>455</v>
      </c>
      <c r="N1006" s="13" t="s">
        <v>152</v>
      </c>
      <c r="O1006" s="46">
        <v>5</v>
      </c>
      <c r="P1006" s="30" t="str">
        <f>VLOOKUP(O1006,[4]Key!$E$2:$F$9,2,FALSE)</f>
        <v>Tourism</v>
      </c>
      <c r="Q1006" s="13" t="s">
        <v>454</v>
      </c>
      <c r="R1006" s="23" t="s">
        <v>455</v>
      </c>
      <c r="S1006" s="13" t="s">
        <v>152</v>
      </c>
      <c r="T1006" s="23">
        <v>5</v>
      </c>
      <c r="U1006" s="30" t="str">
        <f>VLOOKUP(T1006,[4]Key!$E$2:$F$9,2,FALSE)</f>
        <v>Tourism</v>
      </c>
      <c r="V1006" s="30" t="str">
        <f t="shared" si="60"/>
        <v>Tourism-Tourism</v>
      </c>
      <c r="W1006" s="51">
        <v>20000</v>
      </c>
      <c r="X1006" s="50">
        <v>17</v>
      </c>
      <c r="Y1006" s="50" t="str">
        <f t="shared" si="61"/>
        <v>10-20</v>
      </c>
      <c r="Z1006" s="50">
        <v>1</v>
      </c>
      <c r="AA1006" s="50" t="str">
        <f t="shared" si="62"/>
        <v>1.0-2.0</v>
      </c>
      <c r="AB1006" s="23">
        <v>10</v>
      </c>
      <c r="AC1006" s="30" t="str">
        <f>VLOOKUP(AB1006,[4]Key!$C$20:$D$29,2,FALSE)</f>
        <v>Other</v>
      </c>
      <c r="AD1006" s="23">
        <v>5</v>
      </c>
      <c r="AE1006" s="30" t="str">
        <f>VLOOKUP(AD1006,[4]Key!$E$20:$F$24,2,FALSE)</f>
        <v>&gt;1,000,000</v>
      </c>
      <c r="AF1006" s="23">
        <v>1</v>
      </c>
      <c r="AG1006" s="50">
        <v>1</v>
      </c>
      <c r="AH1006" s="50">
        <v>1</v>
      </c>
      <c r="AI1006" s="50">
        <v>1</v>
      </c>
      <c r="AJ1006" s="50">
        <v>1</v>
      </c>
      <c r="AK1006" s="46" t="s">
        <v>94</v>
      </c>
      <c r="AL1006" s="36">
        <v>0</v>
      </c>
      <c r="AM1006" t="str">
        <f t="shared" si="63"/>
        <v>0-1000</v>
      </c>
    </row>
    <row r="1007" spans="1:39" x14ac:dyDescent="0.2">
      <c r="A1007" s="44" t="s">
        <v>544</v>
      </c>
      <c r="B1007" s="48">
        <v>0.29722222222222222</v>
      </c>
      <c r="C1007" s="48" t="s">
        <v>663</v>
      </c>
      <c r="D1007" s="48" t="s">
        <v>97</v>
      </c>
      <c r="E1007" s="13">
        <v>2</v>
      </c>
      <c r="F1007" s="38" t="str">
        <f>VLOOKUP(E1007,[4]Key!$A$17:$B$21,2,FALSE)</f>
        <v>Road Vehicle</v>
      </c>
      <c r="G1007" s="49">
        <v>2</v>
      </c>
      <c r="H1007" s="39" t="str">
        <f>VLOOKUP(G1007,[4]Key!$A$2:$B$13,2,FALSE)</f>
        <v>Station Wagon</v>
      </c>
      <c r="I1007" s="13" t="s">
        <v>156</v>
      </c>
      <c r="J1007" s="13">
        <v>2</v>
      </c>
      <c r="K1007" s="40" t="str">
        <f>VLOOKUP(J1007,[4]Key!$A$24:$B$29,2,FALSE)</f>
        <v>30-39</v>
      </c>
      <c r="L1007" s="13" t="s">
        <v>454</v>
      </c>
      <c r="M1007" s="23" t="s">
        <v>455</v>
      </c>
      <c r="N1007" s="13" t="s">
        <v>152</v>
      </c>
      <c r="O1007" s="46">
        <v>1</v>
      </c>
      <c r="P1007" s="30" t="str">
        <f>VLOOKUP(O1007,[4]Key!$E$2:$F$9,2,FALSE)</f>
        <v>Home</v>
      </c>
      <c r="Q1007" s="13" t="s">
        <v>487</v>
      </c>
      <c r="R1007" s="23" t="s">
        <v>488</v>
      </c>
      <c r="S1007" s="13" t="s">
        <v>152</v>
      </c>
      <c r="T1007" s="23">
        <v>7</v>
      </c>
      <c r="U1007" s="30" t="str">
        <f>VLOOKUP(T1007,[4]Key!$E$2:$F$9,2,FALSE)</f>
        <v>Hospital</v>
      </c>
      <c r="V1007" s="30" t="str">
        <f t="shared" si="60"/>
        <v>Home-Hospital</v>
      </c>
      <c r="W1007" s="51">
        <v>30000</v>
      </c>
      <c r="X1007" s="50">
        <v>74</v>
      </c>
      <c r="Y1007" s="50" t="str">
        <f t="shared" si="61"/>
        <v>70-100</v>
      </c>
      <c r="Z1007" s="50">
        <v>1</v>
      </c>
      <c r="AA1007" s="50" t="str">
        <f t="shared" si="62"/>
        <v>1.0-2.0</v>
      </c>
      <c r="AB1007" s="23">
        <v>5</v>
      </c>
      <c r="AC1007" s="30" t="str">
        <f>VLOOKUP(AB1007,[4]Key!$C$20:$D$29,2,FALSE)</f>
        <v>Professional</v>
      </c>
      <c r="AD1007" s="23">
        <v>5</v>
      </c>
      <c r="AE1007" s="30" t="str">
        <f>VLOOKUP(AD1007,[4]Key!$E$20:$F$24,2,FALSE)</f>
        <v>&gt;1,000,000</v>
      </c>
      <c r="AF1007" s="23">
        <v>2</v>
      </c>
      <c r="AG1007" s="50">
        <v>1</v>
      </c>
      <c r="AH1007" s="50">
        <v>1</v>
      </c>
      <c r="AI1007" s="50">
        <v>1</v>
      </c>
      <c r="AJ1007" s="50">
        <v>1</v>
      </c>
      <c r="AK1007" s="46" t="s">
        <v>94</v>
      </c>
      <c r="AL1007" s="36">
        <v>1000</v>
      </c>
      <c r="AM1007" t="str">
        <f t="shared" si="63"/>
        <v>1000-2000</v>
      </c>
    </row>
    <row r="1008" spans="1:39" x14ac:dyDescent="0.2">
      <c r="A1008" s="44" t="s">
        <v>544</v>
      </c>
      <c r="B1008" s="48">
        <v>0.31319444444444444</v>
      </c>
      <c r="C1008" s="48" t="s">
        <v>664</v>
      </c>
      <c r="D1008" s="48" t="s">
        <v>97</v>
      </c>
      <c r="E1008" s="13">
        <v>2</v>
      </c>
      <c r="F1008" s="38" t="str">
        <f>VLOOKUP(E1008,[4]Key!$A$17:$B$21,2,FALSE)</f>
        <v>Road Vehicle</v>
      </c>
      <c r="G1008" s="49">
        <v>2</v>
      </c>
      <c r="H1008" s="39" t="str">
        <f>VLOOKUP(G1008,[4]Key!$A$2:$B$13,2,FALSE)</f>
        <v>Station Wagon</v>
      </c>
      <c r="I1008" s="13" t="s">
        <v>156</v>
      </c>
      <c r="J1008" s="13">
        <v>2</v>
      </c>
      <c r="K1008" s="40" t="str">
        <f>VLOOKUP(J1008,[4]Key!$A$24:$B$29,2,FALSE)</f>
        <v>30-39</v>
      </c>
      <c r="L1008" s="13" t="s">
        <v>557</v>
      </c>
      <c r="M1008" s="23" t="s">
        <v>558</v>
      </c>
      <c r="N1008" s="13" t="s">
        <v>152</v>
      </c>
      <c r="O1008" s="46">
        <v>5</v>
      </c>
      <c r="P1008" s="30" t="str">
        <f>VLOOKUP(O1008,[4]Key!$E$2:$F$9,2,FALSE)</f>
        <v>Tourism</v>
      </c>
      <c r="Q1008" s="13" t="s">
        <v>454</v>
      </c>
      <c r="R1008" s="23" t="s">
        <v>455</v>
      </c>
      <c r="S1008" s="13" t="s">
        <v>152</v>
      </c>
      <c r="T1008" s="23">
        <v>2</v>
      </c>
      <c r="U1008" s="30" t="str">
        <f>VLOOKUP(T1008,[4]Key!$E$2:$F$9,2,FALSE)</f>
        <v>Work</v>
      </c>
      <c r="V1008" s="30" t="str">
        <f t="shared" si="60"/>
        <v>Tourism-Work</v>
      </c>
      <c r="W1008" s="51">
        <v>20000</v>
      </c>
      <c r="X1008" s="50">
        <v>30</v>
      </c>
      <c r="Y1008" s="50" t="str">
        <f t="shared" si="61"/>
        <v>20-40</v>
      </c>
      <c r="Z1008" s="50">
        <v>1</v>
      </c>
      <c r="AA1008" s="50" t="str">
        <f t="shared" si="62"/>
        <v>1.0-2.0</v>
      </c>
      <c r="AB1008" s="23">
        <v>4</v>
      </c>
      <c r="AC1008" s="30" t="str">
        <f>VLOOKUP(AB1008,[4]Key!$C$20:$D$29,2,FALSE)</f>
        <v>Office Worker</v>
      </c>
      <c r="AD1008" s="23">
        <v>5</v>
      </c>
      <c r="AE1008" s="30" t="str">
        <f>VLOOKUP(AD1008,[4]Key!$E$20:$F$24,2,FALSE)</f>
        <v>&gt;1,000,000</v>
      </c>
      <c r="AF1008" s="23">
        <v>1</v>
      </c>
      <c r="AG1008" s="50">
        <v>1</v>
      </c>
      <c r="AH1008" s="50">
        <v>1</v>
      </c>
      <c r="AI1008" s="50">
        <v>1</v>
      </c>
      <c r="AJ1008" s="50">
        <v>1</v>
      </c>
      <c r="AK1008" s="46" t="s">
        <v>94</v>
      </c>
      <c r="AL1008" s="36">
        <v>3000</v>
      </c>
      <c r="AM1008" t="str">
        <f t="shared" si="63"/>
        <v>3000-5000</v>
      </c>
    </row>
    <row r="1009" spans="1:39" x14ac:dyDescent="0.2">
      <c r="A1009" s="44" t="s">
        <v>544</v>
      </c>
      <c r="B1009" s="48">
        <v>0.3444444444444445</v>
      </c>
      <c r="C1009" s="48"/>
      <c r="D1009" s="48" t="s">
        <v>150</v>
      </c>
      <c r="E1009" s="13">
        <v>2</v>
      </c>
      <c r="F1009" s="38" t="str">
        <f>VLOOKUP(E1009,[4]Key!$A$17:$B$21,2,FALSE)</f>
        <v>Road Vehicle</v>
      </c>
      <c r="G1009" s="49">
        <v>2</v>
      </c>
      <c r="H1009" s="39" t="str">
        <f>VLOOKUP(G1009,[4]Key!$A$2:$B$13,2,FALSE)</f>
        <v>Station Wagon</v>
      </c>
      <c r="I1009" s="13" t="s">
        <v>156</v>
      </c>
      <c r="J1009" s="13">
        <v>2</v>
      </c>
      <c r="K1009" s="40" t="str">
        <f>VLOOKUP(J1009,[4]Key!$A$24:$B$29,2,FALSE)</f>
        <v>30-39</v>
      </c>
      <c r="L1009" s="13" t="s">
        <v>484</v>
      </c>
      <c r="M1009" s="23" t="s">
        <v>485</v>
      </c>
      <c r="N1009" s="13" t="s">
        <v>152</v>
      </c>
      <c r="O1009" s="46">
        <v>5</v>
      </c>
      <c r="P1009" s="30" t="str">
        <f>VLOOKUP(O1009,[4]Key!$E$2:$F$9,2,FALSE)</f>
        <v>Tourism</v>
      </c>
      <c r="Q1009" s="13" t="s">
        <v>454</v>
      </c>
      <c r="R1009" s="23" t="s">
        <v>455</v>
      </c>
      <c r="S1009" s="13" t="s">
        <v>152</v>
      </c>
      <c r="T1009" s="23">
        <v>1</v>
      </c>
      <c r="U1009" s="30" t="str">
        <f>VLOOKUP(T1009,[4]Key!$E$2:$F$9,2,FALSE)</f>
        <v>Home</v>
      </c>
      <c r="V1009" s="30" t="str">
        <f t="shared" si="60"/>
        <v>Tourism-Home</v>
      </c>
      <c r="W1009" s="23"/>
      <c r="X1009" s="50">
        <v>61</v>
      </c>
      <c r="Y1009" s="50" t="str">
        <f t="shared" si="61"/>
        <v>40-70</v>
      </c>
      <c r="Z1009" s="50"/>
      <c r="AA1009" s="50" t="str">
        <f t="shared" si="62"/>
        <v>0-0.5</v>
      </c>
      <c r="AB1009" s="23">
        <v>10</v>
      </c>
      <c r="AC1009" s="30" t="str">
        <f>VLOOKUP(AB1009,[4]Key!$C$20:$D$29,2,FALSE)</f>
        <v>Other</v>
      </c>
      <c r="AD1009" s="23">
        <v>5</v>
      </c>
      <c r="AE1009" s="30" t="str">
        <f>VLOOKUP(AD1009,[4]Key!$E$20:$F$24,2,FALSE)</f>
        <v>&gt;1,000,000</v>
      </c>
      <c r="AF1009" s="23">
        <v>1</v>
      </c>
      <c r="AG1009" s="50">
        <v>1</v>
      </c>
      <c r="AH1009" s="50">
        <v>1</v>
      </c>
      <c r="AI1009" s="50">
        <v>1</v>
      </c>
      <c r="AJ1009" s="50">
        <v>1</v>
      </c>
      <c r="AK1009" s="46" t="s">
        <v>94</v>
      </c>
      <c r="AL1009" s="36">
        <v>0</v>
      </c>
      <c r="AM1009" t="str">
        <f t="shared" si="63"/>
        <v>0-1000</v>
      </c>
    </row>
    <row r="1010" spans="1:39" x14ac:dyDescent="0.2">
      <c r="A1010" s="44" t="s">
        <v>541</v>
      </c>
      <c r="B1010" s="48">
        <v>0.6972222222222223</v>
      </c>
      <c r="C1010" s="48" t="s">
        <v>665</v>
      </c>
      <c r="D1010" s="48" t="s">
        <v>97</v>
      </c>
      <c r="E1010" s="13">
        <v>2</v>
      </c>
      <c r="F1010" s="38" t="str">
        <f>VLOOKUP(E1010,[4]Key!$A$17:$B$21,2,FALSE)</f>
        <v>Road Vehicle</v>
      </c>
      <c r="G1010" s="49">
        <v>2</v>
      </c>
      <c r="H1010" s="39" t="str">
        <f>VLOOKUP(G1010,[4]Key!$A$2:$B$13,2,FALSE)</f>
        <v>Station Wagon</v>
      </c>
      <c r="I1010" s="13" t="s">
        <v>109</v>
      </c>
      <c r="J1010" s="13">
        <v>2</v>
      </c>
      <c r="K1010" s="40" t="str">
        <f>VLOOKUP(J1010,[4]Key!$A$24:$B$29,2,FALSE)</f>
        <v>30-39</v>
      </c>
      <c r="L1010" s="13" t="s">
        <v>546</v>
      </c>
      <c r="M1010" s="23" t="s">
        <v>455</v>
      </c>
      <c r="N1010" s="13" t="s">
        <v>152</v>
      </c>
      <c r="O1010" s="46">
        <v>4</v>
      </c>
      <c r="P1010" s="30" t="str">
        <f>VLOOKUP(O1010,[4]Key!$E$2:$F$9,2,FALSE)</f>
        <v>Commercial</v>
      </c>
      <c r="Q1010" s="13" t="s">
        <v>487</v>
      </c>
      <c r="R1010" s="23" t="s">
        <v>488</v>
      </c>
      <c r="S1010" s="13" t="s">
        <v>152</v>
      </c>
      <c r="T1010" s="23">
        <v>1</v>
      </c>
      <c r="U1010" s="30" t="str">
        <f>VLOOKUP(T1010,[4]Key!$E$2:$F$9,2,FALSE)</f>
        <v>Home</v>
      </c>
      <c r="V1010" s="30" t="str">
        <f t="shared" si="60"/>
        <v>Commercial-Home</v>
      </c>
      <c r="W1010" s="51">
        <v>30000</v>
      </c>
      <c r="X1010" s="50">
        <v>86</v>
      </c>
      <c r="Y1010" s="50" t="str">
        <f t="shared" si="61"/>
        <v>70-100</v>
      </c>
      <c r="Z1010" s="50">
        <v>1</v>
      </c>
      <c r="AA1010" s="50" t="str">
        <f t="shared" si="62"/>
        <v>1.0-2.0</v>
      </c>
      <c r="AB1010" s="23">
        <v>6</v>
      </c>
      <c r="AC1010" s="30" t="str">
        <f>VLOOKUP(AB1010,[4]Key!$C$20:$D$29,2,FALSE)</f>
        <v>Businessman</v>
      </c>
      <c r="AD1010" s="23">
        <v>5</v>
      </c>
      <c r="AE1010" s="30" t="str">
        <f>VLOOKUP(AD1010,[4]Key!$E$20:$F$24,2,FALSE)</f>
        <v>&gt;1,000,000</v>
      </c>
      <c r="AF1010" s="23">
        <v>2</v>
      </c>
      <c r="AG1010" s="50">
        <v>2</v>
      </c>
      <c r="AH1010" s="50">
        <v>1</v>
      </c>
      <c r="AI1010" s="50">
        <v>1</v>
      </c>
      <c r="AJ1010" s="50">
        <v>1</v>
      </c>
      <c r="AK1010" s="46" t="s">
        <v>94</v>
      </c>
      <c r="AL1010" s="36">
        <v>2000</v>
      </c>
      <c r="AM1010" t="str">
        <f t="shared" si="63"/>
        <v>2000-3000</v>
      </c>
    </row>
    <row r="1011" spans="1:39" x14ac:dyDescent="0.2">
      <c r="A1011" s="44" t="s">
        <v>541</v>
      </c>
      <c r="B1011" s="48">
        <v>0.6694444444444444</v>
      </c>
      <c r="C1011" s="48"/>
      <c r="D1011" s="48" t="s">
        <v>150</v>
      </c>
      <c r="E1011" s="13">
        <v>2</v>
      </c>
      <c r="F1011" s="38" t="str">
        <f>VLOOKUP(E1011,[4]Key!$A$17:$B$21,2,FALSE)</f>
        <v>Road Vehicle</v>
      </c>
      <c r="G1011" s="49">
        <v>6</v>
      </c>
      <c r="H1011" s="39" t="str">
        <f>VLOOKUP(G1011,[4]Key!$A$2:$B$13,2,FALSE)</f>
        <v>Large Bus</v>
      </c>
      <c r="I1011" s="13" t="s">
        <v>156</v>
      </c>
      <c r="J1011" s="13">
        <v>3</v>
      </c>
      <c r="K1011" s="40" t="str">
        <f>VLOOKUP(J1011,[4]Key!$A$24:$B$29,2,FALSE)</f>
        <v>40-49</v>
      </c>
      <c r="L1011" s="13" t="s">
        <v>454</v>
      </c>
      <c r="M1011" s="23" t="s">
        <v>455</v>
      </c>
      <c r="N1011" s="13" t="s">
        <v>152</v>
      </c>
      <c r="O1011" s="46">
        <v>1</v>
      </c>
      <c r="P1011" s="30" t="str">
        <f>VLOOKUP(O1011,[4]Key!$E$2:$F$9,2,FALSE)</f>
        <v>Home</v>
      </c>
      <c r="Q1011" s="13" t="s">
        <v>424</v>
      </c>
      <c r="R1011" s="23" t="s">
        <v>421</v>
      </c>
      <c r="S1011" s="13" t="s">
        <v>152</v>
      </c>
      <c r="T1011" s="23">
        <v>2</v>
      </c>
      <c r="U1011" s="30" t="str">
        <f>VLOOKUP(T1011,[4]Key!$E$2:$F$9,2,FALSE)</f>
        <v>Work</v>
      </c>
      <c r="V1011" s="30" t="str">
        <f t="shared" si="60"/>
        <v>Home-Work</v>
      </c>
      <c r="W1011" s="51">
        <v>15000</v>
      </c>
      <c r="X1011" s="50">
        <v>136</v>
      </c>
      <c r="Y1011" s="50" t="str">
        <f t="shared" si="61"/>
        <v>100-200</v>
      </c>
      <c r="Z1011" s="50">
        <v>2</v>
      </c>
      <c r="AA1011" s="50" t="str">
        <f t="shared" si="62"/>
        <v>2.0-3.5</v>
      </c>
      <c r="AB1011" s="23">
        <v>4</v>
      </c>
      <c r="AC1011" s="30" t="str">
        <f>VLOOKUP(AB1011,[4]Key!$C$20:$D$29,2,FALSE)</f>
        <v>Office Worker</v>
      </c>
      <c r="AD1011" s="23">
        <v>5</v>
      </c>
      <c r="AE1011" s="30" t="str">
        <f>VLOOKUP(AD1011,[4]Key!$E$20:$F$24,2,FALSE)</f>
        <v>&gt;1,000,000</v>
      </c>
      <c r="AF1011" s="23">
        <v>3</v>
      </c>
      <c r="AG1011" s="50">
        <v>2</v>
      </c>
      <c r="AH1011" s="50">
        <v>1</v>
      </c>
      <c r="AI1011" s="50">
        <v>3</v>
      </c>
      <c r="AJ1011" s="50">
        <v>4</v>
      </c>
      <c r="AK1011" s="46" t="s">
        <v>94</v>
      </c>
      <c r="AL1011" s="36">
        <v>3000</v>
      </c>
      <c r="AM1011" t="str">
        <f t="shared" si="63"/>
        <v>3000-5000</v>
      </c>
    </row>
    <row r="1012" spans="1:39" x14ac:dyDescent="0.2">
      <c r="A1012" s="44" t="s">
        <v>541</v>
      </c>
      <c r="B1012" s="48">
        <v>0.77638888888888891</v>
      </c>
      <c r="C1012" s="48"/>
      <c r="D1012" s="48" t="s">
        <v>150</v>
      </c>
      <c r="E1012" s="13">
        <v>2</v>
      </c>
      <c r="F1012" s="38" t="str">
        <f>VLOOKUP(E1012,[4]Key!$A$17:$B$21,2,FALSE)</f>
        <v>Road Vehicle</v>
      </c>
      <c r="G1012" s="49">
        <v>6</v>
      </c>
      <c r="H1012" s="39" t="str">
        <f>VLOOKUP(G1012,[4]Key!$A$2:$B$13,2,FALSE)</f>
        <v>Large Bus</v>
      </c>
      <c r="I1012" s="13" t="s">
        <v>156</v>
      </c>
      <c r="J1012" s="13">
        <v>3</v>
      </c>
      <c r="K1012" s="40" t="str">
        <f>VLOOKUP(J1012,[4]Key!$A$24:$B$29,2,FALSE)</f>
        <v>40-49</v>
      </c>
      <c r="L1012" s="13" t="s">
        <v>581</v>
      </c>
      <c r="M1012" s="23" t="s">
        <v>581</v>
      </c>
      <c r="N1012" s="13" t="s">
        <v>582</v>
      </c>
      <c r="O1012" s="46">
        <v>1</v>
      </c>
      <c r="P1012" s="30" t="str">
        <f>VLOOKUP(O1012,[4]Key!$E$2:$F$9,2,FALSE)</f>
        <v>Home</v>
      </c>
      <c r="Q1012" s="13" t="s">
        <v>434</v>
      </c>
      <c r="R1012" s="23" t="s">
        <v>153</v>
      </c>
      <c r="S1012" s="13" t="s">
        <v>152</v>
      </c>
      <c r="T1012" s="23">
        <v>4</v>
      </c>
      <c r="U1012" s="30" t="str">
        <f>VLOOKUP(T1012,[4]Key!$E$2:$F$9,2,FALSE)</f>
        <v>Commercial</v>
      </c>
      <c r="V1012" s="30" t="str">
        <f t="shared" si="60"/>
        <v>Home-Commercial</v>
      </c>
      <c r="W1012" s="51">
        <v>50000</v>
      </c>
      <c r="X1012" s="50">
        <v>750</v>
      </c>
      <c r="Y1012" s="50" t="str">
        <f t="shared" si="61"/>
        <v>Over 200</v>
      </c>
      <c r="Z1012" s="50">
        <v>7</v>
      </c>
      <c r="AA1012" s="50" t="str">
        <f t="shared" si="62"/>
        <v>Over 3.5</v>
      </c>
      <c r="AB1012" s="23">
        <v>6</v>
      </c>
      <c r="AC1012" s="30" t="str">
        <f>VLOOKUP(AB1012,[4]Key!$C$20:$D$29,2,FALSE)</f>
        <v>Businessman</v>
      </c>
      <c r="AD1012" s="23">
        <v>2</v>
      </c>
      <c r="AE1012" s="30" t="str">
        <f>VLOOKUP(AD1012,[4]Key!$E$20:$F$24,2,FALSE)</f>
        <v>300,000-500,000</v>
      </c>
      <c r="AF1012" s="23">
        <v>5</v>
      </c>
      <c r="AG1012" s="50">
        <v>5</v>
      </c>
      <c r="AH1012" s="50">
        <v>5</v>
      </c>
      <c r="AI1012" s="50">
        <v>5</v>
      </c>
      <c r="AJ1012" s="50">
        <v>5</v>
      </c>
      <c r="AK1012" s="46" t="s">
        <v>94</v>
      </c>
      <c r="AL1012" s="36">
        <v>2000</v>
      </c>
      <c r="AM1012" t="str">
        <f t="shared" si="63"/>
        <v>2000-3000</v>
      </c>
    </row>
    <row r="1013" spans="1:39" x14ac:dyDescent="0.2">
      <c r="A1013" s="52" t="s">
        <v>547</v>
      </c>
      <c r="B1013" s="48">
        <v>0.36527777777777781</v>
      </c>
      <c r="C1013" s="48"/>
      <c r="D1013" s="48" t="s">
        <v>150</v>
      </c>
      <c r="E1013" s="13">
        <v>2</v>
      </c>
      <c r="F1013" s="38" t="str">
        <f>VLOOKUP(E1013,[4]Key!$A$17:$B$21,2,FALSE)</f>
        <v>Road Vehicle</v>
      </c>
      <c r="G1013" s="49">
        <v>6</v>
      </c>
      <c r="H1013" s="39" t="str">
        <f>VLOOKUP(G1013,[4]Key!$A$2:$B$13,2,FALSE)</f>
        <v>Large Bus</v>
      </c>
      <c r="I1013" s="13" t="s">
        <v>156</v>
      </c>
      <c r="J1013" s="13">
        <v>3</v>
      </c>
      <c r="K1013" s="40" t="str">
        <f>VLOOKUP(J1013,[4]Key!$A$24:$B$29,2,FALSE)</f>
        <v>40-49</v>
      </c>
      <c r="L1013" s="13" t="s">
        <v>454</v>
      </c>
      <c r="M1013" s="23" t="s">
        <v>455</v>
      </c>
      <c r="N1013" s="13" t="s">
        <v>152</v>
      </c>
      <c r="O1013" s="46">
        <v>1</v>
      </c>
      <c r="P1013" s="30" t="str">
        <f>VLOOKUP(O1013,[4]Key!$E$2:$F$9,2,FALSE)</f>
        <v>Home</v>
      </c>
      <c r="Q1013" s="13" t="s">
        <v>666</v>
      </c>
      <c r="R1013" s="23" t="s">
        <v>168</v>
      </c>
      <c r="S1013" s="13" t="s">
        <v>152</v>
      </c>
      <c r="T1013" s="23">
        <v>4</v>
      </c>
      <c r="U1013" s="30" t="str">
        <f>VLOOKUP(T1013,[4]Key!$E$2:$F$9,2,FALSE)</f>
        <v>Commercial</v>
      </c>
      <c r="V1013" s="30" t="str">
        <f t="shared" si="60"/>
        <v>Home-Commercial</v>
      </c>
      <c r="W1013" s="51">
        <v>30000</v>
      </c>
      <c r="X1013" s="50">
        <v>280</v>
      </c>
      <c r="Y1013" s="50" t="str">
        <f t="shared" si="61"/>
        <v>Over 200</v>
      </c>
      <c r="Z1013" s="50">
        <v>4</v>
      </c>
      <c r="AA1013" s="50" t="str">
        <f t="shared" si="62"/>
        <v>Over 3.5</v>
      </c>
      <c r="AB1013" s="23">
        <v>2</v>
      </c>
      <c r="AC1013" s="30" t="str">
        <f>VLOOKUP(AB1013,[4]Key!$C$20:$D$29,2,FALSE)</f>
        <v>Manual Labour</v>
      </c>
      <c r="AD1013" s="23">
        <v>3</v>
      </c>
      <c r="AE1013" s="30" t="str">
        <f>VLOOKUP(AD1013,[4]Key!$E$20:$F$24,2,FALSE)</f>
        <v>500,000-750,000</v>
      </c>
      <c r="AF1013" s="23">
        <v>1</v>
      </c>
      <c r="AG1013" s="50">
        <v>5</v>
      </c>
      <c r="AH1013" s="50">
        <v>5</v>
      </c>
      <c r="AI1013" s="50">
        <v>5</v>
      </c>
      <c r="AJ1013" s="50">
        <v>5</v>
      </c>
      <c r="AK1013" s="46" t="s">
        <v>94</v>
      </c>
      <c r="AL1013" s="36">
        <v>1000</v>
      </c>
      <c r="AM1013" t="str">
        <f t="shared" si="63"/>
        <v>1000-2000</v>
      </c>
    </row>
    <row r="1014" spans="1:39" x14ac:dyDescent="0.2">
      <c r="A1014" s="44" t="s">
        <v>547</v>
      </c>
      <c r="B1014" s="48">
        <v>0.68611111111111101</v>
      </c>
      <c r="C1014" s="48"/>
      <c r="D1014" s="48" t="s">
        <v>150</v>
      </c>
      <c r="E1014" s="13">
        <v>2</v>
      </c>
      <c r="F1014" s="38" t="str">
        <f>VLOOKUP(E1014,[4]Key!$A$17:$B$21,2,FALSE)</f>
        <v>Road Vehicle</v>
      </c>
      <c r="G1014" s="49">
        <v>6</v>
      </c>
      <c r="H1014" s="39" t="str">
        <f>VLOOKUP(G1014,[4]Key!$A$2:$B$13,2,FALSE)</f>
        <v>Large Bus</v>
      </c>
      <c r="I1014" s="13" t="s">
        <v>156</v>
      </c>
      <c r="J1014" s="13">
        <v>3</v>
      </c>
      <c r="K1014" s="40" t="str">
        <f>VLOOKUP(J1014,[4]Key!$A$24:$B$29,2,FALSE)</f>
        <v>40-49</v>
      </c>
      <c r="L1014" s="13" t="s">
        <v>484</v>
      </c>
      <c r="M1014" s="23" t="s">
        <v>485</v>
      </c>
      <c r="N1014" s="13" t="s">
        <v>152</v>
      </c>
      <c r="O1014" s="46">
        <v>1</v>
      </c>
      <c r="P1014" s="30" t="str">
        <f>VLOOKUP(O1014,[4]Key!$E$2:$F$9,2,FALSE)</f>
        <v>Home</v>
      </c>
      <c r="Q1014" s="13" t="s">
        <v>667</v>
      </c>
      <c r="R1014" s="23" t="s">
        <v>153</v>
      </c>
      <c r="S1014" s="13" t="s">
        <v>152</v>
      </c>
      <c r="T1014" s="23">
        <v>2</v>
      </c>
      <c r="U1014" s="30" t="str">
        <f>VLOOKUP(T1014,[4]Key!$E$2:$F$9,2,FALSE)</f>
        <v>Work</v>
      </c>
      <c r="V1014" s="30" t="str">
        <f t="shared" si="60"/>
        <v>Home-Work</v>
      </c>
      <c r="W1014" s="51">
        <v>30000</v>
      </c>
      <c r="X1014" s="50">
        <v>200</v>
      </c>
      <c r="Y1014" s="50" t="str">
        <f t="shared" si="61"/>
        <v>Over 200</v>
      </c>
      <c r="Z1014" s="50">
        <v>4.5</v>
      </c>
      <c r="AA1014" s="50" t="str">
        <f t="shared" si="62"/>
        <v>Over 3.5</v>
      </c>
      <c r="AB1014" s="23">
        <v>6</v>
      </c>
      <c r="AC1014" s="30" t="str">
        <f>VLOOKUP(AB1014,[4]Key!$C$20:$D$29,2,FALSE)</f>
        <v>Businessman</v>
      </c>
      <c r="AD1014" s="23">
        <v>1</v>
      </c>
      <c r="AE1014" s="30" t="str">
        <f>VLOOKUP(AD1014,[4]Key!$E$20:$F$24,2,FALSE)</f>
        <v>&lt;300,000</v>
      </c>
      <c r="AF1014" s="23">
        <v>1</v>
      </c>
      <c r="AG1014" s="50">
        <v>2</v>
      </c>
      <c r="AH1014" s="50">
        <v>1</v>
      </c>
      <c r="AI1014" s="50">
        <v>2</v>
      </c>
      <c r="AJ1014" s="50">
        <v>2</v>
      </c>
      <c r="AK1014" s="46" t="s">
        <v>94</v>
      </c>
      <c r="AL1014" s="36">
        <v>0</v>
      </c>
      <c r="AM1014" t="str">
        <f t="shared" si="63"/>
        <v>0-1000</v>
      </c>
    </row>
    <row r="1015" spans="1:39" x14ac:dyDescent="0.2">
      <c r="A1015" s="44" t="s">
        <v>541</v>
      </c>
      <c r="B1015" s="48">
        <v>0.68958333333333333</v>
      </c>
      <c r="C1015" s="48"/>
      <c r="D1015" s="48" t="s">
        <v>150</v>
      </c>
      <c r="E1015" s="13">
        <v>2</v>
      </c>
      <c r="F1015" s="38" t="str">
        <f>VLOOKUP(E1015,[4]Key!$A$17:$B$21,2,FALSE)</f>
        <v>Road Vehicle</v>
      </c>
      <c r="G1015" s="49">
        <v>6</v>
      </c>
      <c r="H1015" s="39" t="str">
        <f>VLOOKUP(G1015,[4]Key!$A$2:$B$13,2,FALSE)</f>
        <v>Large Bus</v>
      </c>
      <c r="I1015" s="13" t="s">
        <v>109</v>
      </c>
      <c r="J1015" s="13">
        <v>3</v>
      </c>
      <c r="K1015" s="40" t="str">
        <f>VLOOKUP(J1015,[4]Key!$A$24:$B$29,2,FALSE)</f>
        <v>40-49</v>
      </c>
      <c r="L1015" s="13" t="s">
        <v>484</v>
      </c>
      <c r="M1015" s="23" t="s">
        <v>485</v>
      </c>
      <c r="N1015" s="13" t="s">
        <v>152</v>
      </c>
      <c r="O1015" s="46">
        <v>1</v>
      </c>
      <c r="P1015" s="30" t="str">
        <f>VLOOKUP(O1015,[4]Key!$E$2:$F$9,2,FALSE)</f>
        <v>Home</v>
      </c>
      <c r="Q1015" s="13" t="s">
        <v>434</v>
      </c>
      <c r="R1015" s="23" t="s">
        <v>153</v>
      </c>
      <c r="S1015" s="13" t="s">
        <v>152</v>
      </c>
      <c r="T1015" s="23">
        <v>2</v>
      </c>
      <c r="U1015" s="30" t="str">
        <f>VLOOKUP(T1015,[4]Key!$E$2:$F$9,2,FALSE)</f>
        <v>Work</v>
      </c>
      <c r="V1015" s="30" t="str">
        <f t="shared" si="60"/>
        <v>Home-Work</v>
      </c>
      <c r="W1015" s="51">
        <v>30000</v>
      </c>
      <c r="X1015" s="50">
        <v>480</v>
      </c>
      <c r="Y1015" s="50" t="str">
        <f t="shared" si="61"/>
        <v>Over 200</v>
      </c>
      <c r="Z1015" s="50">
        <v>14</v>
      </c>
      <c r="AA1015" s="50" t="str">
        <f t="shared" si="62"/>
        <v>Over 3.5</v>
      </c>
      <c r="AB1015" s="23">
        <v>5</v>
      </c>
      <c r="AC1015" s="30" t="str">
        <f>VLOOKUP(AB1015,[4]Key!$C$20:$D$29,2,FALSE)</f>
        <v>Professional</v>
      </c>
      <c r="AD1015" s="23">
        <v>5</v>
      </c>
      <c r="AE1015" s="30" t="str">
        <f>VLOOKUP(AD1015,[4]Key!$E$20:$F$24,2,FALSE)</f>
        <v>&gt;1,000,000</v>
      </c>
      <c r="AF1015" s="23">
        <v>3</v>
      </c>
      <c r="AG1015" s="50">
        <v>2</v>
      </c>
      <c r="AH1015" s="50">
        <v>3</v>
      </c>
      <c r="AI1015" s="50">
        <v>3</v>
      </c>
      <c r="AJ1015" s="50">
        <v>4</v>
      </c>
      <c r="AK1015" s="46" t="s">
        <v>94</v>
      </c>
      <c r="AL1015" s="36">
        <v>0</v>
      </c>
      <c r="AM1015" t="str">
        <f t="shared" si="63"/>
        <v>0-1000</v>
      </c>
    </row>
    <row r="1016" spans="1:39" x14ac:dyDescent="0.2">
      <c r="A1016" s="44" t="s">
        <v>541</v>
      </c>
      <c r="B1016" s="48">
        <v>0.66388888888888886</v>
      </c>
      <c r="C1016" s="48"/>
      <c r="D1016" s="48" t="s">
        <v>150</v>
      </c>
      <c r="E1016" s="13">
        <v>2</v>
      </c>
      <c r="F1016" s="38" t="str">
        <f>VLOOKUP(E1016,[4]Key!$A$17:$B$21,2,FALSE)</f>
        <v>Road Vehicle</v>
      </c>
      <c r="G1016" s="49">
        <v>6</v>
      </c>
      <c r="H1016" s="39" t="str">
        <f>VLOOKUP(G1016,[4]Key!$A$2:$B$13,2,FALSE)</f>
        <v>Large Bus</v>
      </c>
      <c r="I1016" s="13" t="s">
        <v>109</v>
      </c>
      <c r="J1016" s="13">
        <v>3</v>
      </c>
      <c r="K1016" s="40" t="str">
        <f>VLOOKUP(J1016,[4]Key!$A$24:$B$29,2,FALSE)</f>
        <v>40-49</v>
      </c>
      <c r="L1016" s="13" t="s">
        <v>454</v>
      </c>
      <c r="M1016" s="23" t="s">
        <v>455</v>
      </c>
      <c r="N1016" s="13" t="s">
        <v>152</v>
      </c>
      <c r="O1016" s="46">
        <v>1</v>
      </c>
      <c r="P1016" s="30" t="str">
        <f>VLOOKUP(O1016,[4]Key!$E$2:$F$9,2,FALSE)</f>
        <v>Home</v>
      </c>
      <c r="Q1016" s="13" t="s">
        <v>434</v>
      </c>
      <c r="R1016" s="23" t="s">
        <v>153</v>
      </c>
      <c r="S1016" s="13" t="s">
        <v>152</v>
      </c>
      <c r="T1016" s="23">
        <v>2</v>
      </c>
      <c r="U1016" s="30" t="str">
        <f>VLOOKUP(T1016,[4]Key!$E$2:$F$9,2,FALSE)</f>
        <v>Work</v>
      </c>
      <c r="V1016" s="30" t="str">
        <f t="shared" si="60"/>
        <v>Home-Work</v>
      </c>
      <c r="W1016" s="51">
        <v>30000</v>
      </c>
      <c r="X1016" s="50">
        <v>400</v>
      </c>
      <c r="Y1016" s="50" t="str">
        <f t="shared" si="61"/>
        <v>Over 200</v>
      </c>
      <c r="Z1016" s="50">
        <v>13</v>
      </c>
      <c r="AA1016" s="50" t="str">
        <f t="shared" si="62"/>
        <v>Over 3.5</v>
      </c>
      <c r="AB1016" s="23">
        <v>5</v>
      </c>
      <c r="AC1016" s="30" t="str">
        <f>VLOOKUP(AB1016,[4]Key!$C$20:$D$29,2,FALSE)</f>
        <v>Professional</v>
      </c>
      <c r="AD1016" s="23">
        <v>3</v>
      </c>
      <c r="AE1016" s="30" t="str">
        <f>VLOOKUP(AD1016,[4]Key!$E$20:$F$24,2,FALSE)</f>
        <v>500,000-750,000</v>
      </c>
      <c r="AF1016" s="23">
        <v>3</v>
      </c>
      <c r="AG1016" s="50">
        <v>2</v>
      </c>
      <c r="AH1016" s="50">
        <v>3</v>
      </c>
      <c r="AI1016" s="50">
        <v>3</v>
      </c>
      <c r="AJ1016" s="50">
        <v>2</v>
      </c>
      <c r="AK1016" s="46" t="s">
        <v>94</v>
      </c>
      <c r="AL1016" s="36">
        <v>3000</v>
      </c>
      <c r="AM1016" t="str">
        <f t="shared" si="63"/>
        <v>3000-5000</v>
      </c>
    </row>
    <row r="1017" spans="1:39" x14ac:dyDescent="0.2">
      <c r="A1017" s="44" t="s">
        <v>541</v>
      </c>
      <c r="B1017" s="48">
        <v>0.59305555555555556</v>
      </c>
      <c r="C1017" s="48"/>
      <c r="D1017" s="48" t="s">
        <v>150</v>
      </c>
      <c r="E1017" s="13">
        <v>2</v>
      </c>
      <c r="F1017" s="38" t="str">
        <f>VLOOKUP(E1017,[4]Key!$A$17:$B$21,2,FALSE)</f>
        <v>Road Vehicle</v>
      </c>
      <c r="G1017" s="49">
        <v>6</v>
      </c>
      <c r="H1017" s="39" t="str">
        <f>VLOOKUP(G1017,[4]Key!$A$2:$B$13,2,FALSE)</f>
        <v>Large Bus</v>
      </c>
      <c r="I1017" s="13" t="s">
        <v>109</v>
      </c>
      <c r="J1017" s="13">
        <v>3</v>
      </c>
      <c r="K1017" s="40" t="str">
        <f>VLOOKUP(J1017,[4]Key!$A$24:$B$29,2,FALSE)</f>
        <v>40-49</v>
      </c>
      <c r="L1017" s="13" t="s">
        <v>542</v>
      </c>
      <c r="M1017" s="23" t="s">
        <v>543</v>
      </c>
      <c r="N1017" s="13" t="s">
        <v>152</v>
      </c>
      <c r="O1017" s="46">
        <v>1</v>
      </c>
      <c r="P1017" s="30" t="str">
        <f>VLOOKUP(O1017,[4]Key!$E$2:$F$9,2,FALSE)</f>
        <v>Home</v>
      </c>
      <c r="Q1017" s="13" t="s">
        <v>434</v>
      </c>
      <c r="R1017" s="23" t="s">
        <v>153</v>
      </c>
      <c r="S1017" s="13" t="s">
        <v>152</v>
      </c>
      <c r="T1017" s="23">
        <v>4</v>
      </c>
      <c r="U1017" s="30" t="str">
        <f>VLOOKUP(T1017,[4]Key!$E$2:$F$9,2,FALSE)</f>
        <v>Commercial</v>
      </c>
      <c r="V1017" s="30" t="str">
        <f t="shared" si="60"/>
        <v>Home-Commercial</v>
      </c>
      <c r="W1017" s="51">
        <v>30000</v>
      </c>
      <c r="X1017" s="50">
        <v>420</v>
      </c>
      <c r="Y1017" s="50" t="str">
        <f t="shared" si="61"/>
        <v>Over 200</v>
      </c>
      <c r="Z1017" s="50">
        <v>14</v>
      </c>
      <c r="AA1017" s="50" t="str">
        <f t="shared" si="62"/>
        <v>Over 3.5</v>
      </c>
      <c r="AB1017" s="23">
        <v>7</v>
      </c>
      <c r="AC1017" s="30" t="str">
        <f>VLOOKUP(AB1017,[4]Key!$C$20:$D$29,2,FALSE)</f>
        <v>Farmer</v>
      </c>
      <c r="AD1017" s="23">
        <v>3</v>
      </c>
      <c r="AE1017" s="30" t="str">
        <f>VLOOKUP(AD1017,[4]Key!$E$20:$F$24,2,FALSE)</f>
        <v>500,000-750,000</v>
      </c>
      <c r="AF1017" s="23">
        <v>1</v>
      </c>
      <c r="AG1017" s="50">
        <v>1</v>
      </c>
      <c r="AH1017" s="50">
        <v>1</v>
      </c>
      <c r="AI1017" s="50">
        <v>1</v>
      </c>
      <c r="AJ1017" s="50">
        <v>1</v>
      </c>
      <c r="AK1017" s="46" t="s">
        <v>94</v>
      </c>
      <c r="AL1017" s="36">
        <v>4000</v>
      </c>
      <c r="AM1017" t="str">
        <f t="shared" si="63"/>
        <v>3000-5000</v>
      </c>
    </row>
    <row r="1018" spans="1:39" x14ac:dyDescent="0.2">
      <c r="A1018" s="44" t="s">
        <v>541</v>
      </c>
      <c r="B1018" s="48">
        <v>0.70000000000000007</v>
      </c>
      <c r="C1018" s="48" t="s">
        <v>668</v>
      </c>
      <c r="D1018" s="48" t="s">
        <v>97</v>
      </c>
      <c r="E1018" s="13">
        <v>2</v>
      </c>
      <c r="F1018" s="38" t="str">
        <f>VLOOKUP(E1018,[4]Key!$A$17:$B$21,2,FALSE)</f>
        <v>Road Vehicle</v>
      </c>
      <c r="G1018" s="49">
        <v>6</v>
      </c>
      <c r="H1018" s="39" t="str">
        <f>VLOOKUP(G1018,[4]Key!$A$2:$B$13,2,FALSE)</f>
        <v>Large Bus</v>
      </c>
      <c r="I1018" s="13" t="s">
        <v>109</v>
      </c>
      <c r="J1018" s="13">
        <v>3</v>
      </c>
      <c r="K1018" s="40" t="str">
        <f>VLOOKUP(J1018,[4]Key!$A$24:$B$29,2,FALSE)</f>
        <v>40-49</v>
      </c>
      <c r="L1018" s="13" t="s">
        <v>568</v>
      </c>
      <c r="M1018" s="23" t="s">
        <v>455</v>
      </c>
      <c r="N1018" s="13" t="s">
        <v>152</v>
      </c>
      <c r="O1018" s="46">
        <v>2</v>
      </c>
      <c r="P1018" s="30" t="str">
        <f>VLOOKUP(O1018,[4]Key!$E$2:$F$9,2,FALSE)</f>
        <v>Work</v>
      </c>
      <c r="Q1018" s="13" t="s">
        <v>434</v>
      </c>
      <c r="R1018" s="23" t="s">
        <v>153</v>
      </c>
      <c r="S1018" s="13" t="s">
        <v>152</v>
      </c>
      <c r="T1018" s="23">
        <v>8</v>
      </c>
      <c r="U1018" s="30" t="str">
        <f>VLOOKUP(T1018,[4]Key!$E$2:$F$9,2,FALSE)</f>
        <v>Others</v>
      </c>
      <c r="V1018" s="30" t="str">
        <f t="shared" si="60"/>
        <v>Work-Others</v>
      </c>
      <c r="W1018" s="51">
        <v>200000</v>
      </c>
      <c r="X1018" s="50">
        <v>250</v>
      </c>
      <c r="Y1018" s="50" t="str">
        <f t="shared" si="61"/>
        <v>Over 200</v>
      </c>
      <c r="Z1018" s="50">
        <v>6</v>
      </c>
      <c r="AA1018" s="50" t="str">
        <f t="shared" si="62"/>
        <v>Over 3.5</v>
      </c>
      <c r="AB1018" s="23">
        <v>5</v>
      </c>
      <c r="AC1018" s="30" t="str">
        <f>VLOOKUP(AB1018,[4]Key!$C$20:$D$29,2,FALSE)</f>
        <v>Professional</v>
      </c>
      <c r="AD1018" s="23">
        <v>2</v>
      </c>
      <c r="AE1018" s="30" t="str">
        <f>VLOOKUP(AD1018,[4]Key!$E$20:$F$24,2,FALSE)</f>
        <v>300,000-500,000</v>
      </c>
      <c r="AF1018" s="23">
        <v>5</v>
      </c>
      <c r="AG1018" s="50">
        <v>4</v>
      </c>
      <c r="AH1018" s="50">
        <v>2</v>
      </c>
      <c r="AI1018" s="50">
        <v>2</v>
      </c>
      <c r="AJ1018" s="50">
        <v>2</v>
      </c>
      <c r="AK1018" s="46" t="s">
        <v>94</v>
      </c>
      <c r="AL1018" s="36">
        <v>2000</v>
      </c>
      <c r="AM1018" t="str">
        <f t="shared" si="63"/>
        <v>2000-3000</v>
      </c>
    </row>
    <row r="1019" spans="1:39" x14ac:dyDescent="0.2">
      <c r="A1019" s="44" t="s">
        <v>541</v>
      </c>
      <c r="B1019" s="48">
        <v>0.68125000000000002</v>
      </c>
      <c r="C1019" s="48" t="s">
        <v>669</v>
      </c>
      <c r="D1019" s="48" t="s">
        <v>97</v>
      </c>
      <c r="E1019" s="13">
        <v>2</v>
      </c>
      <c r="F1019" s="38" t="str">
        <f>VLOOKUP(E1019,[4]Key!$A$17:$B$21,2,FALSE)</f>
        <v>Road Vehicle</v>
      </c>
      <c r="G1019" s="49">
        <v>6</v>
      </c>
      <c r="H1019" s="39" t="str">
        <f>VLOOKUP(G1019,[4]Key!$A$2:$B$13,2,FALSE)</f>
        <v>Large Bus</v>
      </c>
      <c r="I1019" s="13" t="s">
        <v>109</v>
      </c>
      <c r="J1019" s="13">
        <v>3</v>
      </c>
      <c r="K1019" s="40" t="str">
        <f>VLOOKUP(J1019,[4]Key!$A$24:$B$29,2,FALSE)</f>
        <v>40-49</v>
      </c>
      <c r="L1019" s="13" t="s">
        <v>454</v>
      </c>
      <c r="M1019" s="23" t="s">
        <v>455</v>
      </c>
      <c r="N1019" s="13" t="s">
        <v>152</v>
      </c>
      <c r="O1019" s="46">
        <v>4</v>
      </c>
      <c r="P1019" s="30" t="str">
        <f>VLOOKUP(O1019,[4]Key!$E$2:$F$9,2,FALSE)</f>
        <v>Commercial</v>
      </c>
      <c r="Q1019" s="13" t="s">
        <v>434</v>
      </c>
      <c r="R1019" s="23" t="s">
        <v>153</v>
      </c>
      <c r="S1019" s="13" t="s">
        <v>152</v>
      </c>
      <c r="T1019" s="23">
        <v>4</v>
      </c>
      <c r="U1019" s="30" t="str">
        <f>VLOOKUP(T1019,[4]Key!$E$2:$F$9,2,FALSE)</f>
        <v>Commercial</v>
      </c>
      <c r="V1019" s="30" t="str">
        <f t="shared" si="60"/>
        <v>Commercial-Commercial</v>
      </c>
      <c r="W1019" s="51">
        <v>200000</v>
      </c>
      <c r="X1019" s="50">
        <v>396</v>
      </c>
      <c r="Y1019" s="50" t="str">
        <f t="shared" si="61"/>
        <v>Over 200</v>
      </c>
      <c r="Z1019" s="50">
        <v>4</v>
      </c>
      <c r="AA1019" s="50" t="str">
        <f t="shared" si="62"/>
        <v>Over 3.5</v>
      </c>
      <c r="AB1019" s="23">
        <v>5</v>
      </c>
      <c r="AC1019" s="30" t="str">
        <f>VLOOKUP(AB1019,[4]Key!$C$20:$D$29,2,FALSE)</f>
        <v>Professional</v>
      </c>
      <c r="AD1019" s="23">
        <v>3</v>
      </c>
      <c r="AE1019" s="30" t="str">
        <f>VLOOKUP(AD1019,[4]Key!$E$20:$F$24,2,FALSE)</f>
        <v>500,000-750,000</v>
      </c>
      <c r="AF1019" s="23">
        <v>1</v>
      </c>
      <c r="AG1019" s="50">
        <v>1</v>
      </c>
      <c r="AH1019" s="50">
        <v>5</v>
      </c>
      <c r="AI1019" s="50">
        <v>5</v>
      </c>
      <c r="AJ1019" s="50">
        <v>5</v>
      </c>
      <c r="AK1019" s="46" t="s">
        <v>94</v>
      </c>
      <c r="AL1019" s="36">
        <v>5000</v>
      </c>
      <c r="AM1019" t="str">
        <f t="shared" si="63"/>
        <v>5000-10000</v>
      </c>
    </row>
    <row r="1020" spans="1:39" x14ac:dyDescent="0.2">
      <c r="A1020" s="44" t="s">
        <v>541</v>
      </c>
      <c r="B1020" s="48"/>
      <c r="C1020" s="48"/>
      <c r="D1020" s="48" t="s">
        <v>150</v>
      </c>
      <c r="E1020" s="13">
        <v>2</v>
      </c>
      <c r="F1020" s="38" t="str">
        <f>VLOOKUP(E1020,[4]Key!$A$17:$B$21,2,FALSE)</f>
        <v>Road Vehicle</v>
      </c>
      <c r="G1020" s="49">
        <v>6</v>
      </c>
      <c r="H1020" s="39" t="str">
        <f>VLOOKUP(G1020,[4]Key!$A$2:$B$13,2,FALSE)</f>
        <v>Large Bus</v>
      </c>
      <c r="I1020" s="13" t="s">
        <v>109</v>
      </c>
      <c r="J1020" s="13">
        <v>3</v>
      </c>
      <c r="K1020" s="40" t="str">
        <f>VLOOKUP(J1020,[4]Key!$A$24:$B$29,2,FALSE)</f>
        <v>40-49</v>
      </c>
      <c r="L1020" s="13" t="s">
        <v>454</v>
      </c>
      <c r="M1020" s="23" t="s">
        <v>455</v>
      </c>
      <c r="N1020" s="13" t="s">
        <v>152</v>
      </c>
      <c r="O1020" s="46">
        <v>4</v>
      </c>
      <c r="P1020" s="30" t="str">
        <f>VLOOKUP(O1020,[4]Key!$E$2:$F$9,2,FALSE)</f>
        <v>Commercial</v>
      </c>
      <c r="Q1020" s="13" t="s">
        <v>437</v>
      </c>
      <c r="R1020" s="23" t="s">
        <v>175</v>
      </c>
      <c r="S1020" s="13" t="s">
        <v>152</v>
      </c>
      <c r="T1020" s="23">
        <v>4</v>
      </c>
      <c r="U1020" s="30" t="str">
        <f>VLOOKUP(T1020,[4]Key!$E$2:$F$9,2,FALSE)</f>
        <v>Commercial</v>
      </c>
      <c r="V1020" s="30" t="str">
        <f t="shared" si="60"/>
        <v>Commercial-Commercial</v>
      </c>
      <c r="W1020" s="51">
        <v>30000</v>
      </c>
      <c r="X1020" s="50"/>
      <c r="Y1020" s="50" t="str">
        <f t="shared" si="61"/>
        <v>0-10</v>
      </c>
      <c r="Z1020" s="50">
        <v>4</v>
      </c>
      <c r="AA1020" s="50" t="str">
        <f t="shared" si="62"/>
        <v>Over 3.5</v>
      </c>
      <c r="AB1020" s="23">
        <v>1</v>
      </c>
      <c r="AC1020" s="30" t="str">
        <f>VLOOKUP(AB1020,[4]Key!$C$20:$D$29,2,FALSE)</f>
        <v>Unemployed</v>
      </c>
      <c r="AD1020" s="23">
        <v>1</v>
      </c>
      <c r="AE1020" s="30" t="str">
        <f>VLOOKUP(AD1020,[4]Key!$E$20:$F$24,2,FALSE)</f>
        <v>&lt;300,000</v>
      </c>
      <c r="AF1020" s="23">
        <v>1</v>
      </c>
      <c r="AG1020" s="50">
        <v>1</v>
      </c>
      <c r="AH1020" s="50">
        <v>1</v>
      </c>
      <c r="AI1020" s="50">
        <v>1</v>
      </c>
      <c r="AJ1020" s="50">
        <v>1</v>
      </c>
      <c r="AK1020" s="46" t="s">
        <v>94</v>
      </c>
      <c r="AL1020" s="36">
        <v>1000</v>
      </c>
      <c r="AM1020" t="str">
        <f t="shared" si="63"/>
        <v>1000-2000</v>
      </c>
    </row>
    <row r="1021" spans="1:39" x14ac:dyDescent="0.2">
      <c r="A1021" s="44" t="s">
        <v>547</v>
      </c>
      <c r="B1021" s="48">
        <v>0.4201388888888889</v>
      </c>
      <c r="C1021" s="48"/>
      <c r="D1021" s="48" t="s">
        <v>150</v>
      </c>
      <c r="E1021" s="13">
        <v>2</v>
      </c>
      <c r="F1021" s="38" t="str">
        <f>VLOOKUP(E1021,[4]Key!$A$17:$B$21,2,FALSE)</f>
        <v>Road Vehicle</v>
      </c>
      <c r="G1021" s="49">
        <v>6</v>
      </c>
      <c r="H1021" s="39" t="str">
        <f>VLOOKUP(G1021,[4]Key!$A$2:$B$13,2,FALSE)</f>
        <v>Large Bus</v>
      </c>
      <c r="I1021" s="13" t="s">
        <v>109</v>
      </c>
      <c r="J1021" s="13">
        <v>3</v>
      </c>
      <c r="K1021" s="40" t="str">
        <f>VLOOKUP(J1021,[4]Key!$A$24:$B$29,2,FALSE)</f>
        <v>40-49</v>
      </c>
      <c r="L1021" s="13" t="s">
        <v>454</v>
      </c>
      <c r="M1021" s="23" t="s">
        <v>455</v>
      </c>
      <c r="N1021" s="13" t="s">
        <v>152</v>
      </c>
      <c r="O1021" s="46">
        <v>1</v>
      </c>
      <c r="P1021" s="30" t="str">
        <f>VLOOKUP(O1021,[4]Key!$E$2:$F$9,2,FALSE)</f>
        <v>Home</v>
      </c>
      <c r="Q1021" s="13" t="s">
        <v>424</v>
      </c>
      <c r="R1021" s="23" t="s">
        <v>421</v>
      </c>
      <c r="S1021" s="13" t="s">
        <v>152</v>
      </c>
      <c r="T1021" s="23">
        <v>4</v>
      </c>
      <c r="U1021" s="30" t="str">
        <f>VLOOKUP(T1021,[4]Key!$E$2:$F$9,2,FALSE)</f>
        <v>Commercial</v>
      </c>
      <c r="V1021" s="30" t="str">
        <f t="shared" si="60"/>
        <v>Home-Commercial</v>
      </c>
      <c r="W1021" s="51">
        <v>15000</v>
      </c>
      <c r="X1021" s="50">
        <v>96</v>
      </c>
      <c r="Y1021" s="50" t="str">
        <f t="shared" si="61"/>
        <v>70-100</v>
      </c>
      <c r="Z1021" s="50">
        <v>2</v>
      </c>
      <c r="AA1021" s="50" t="str">
        <f t="shared" si="62"/>
        <v>2.0-3.5</v>
      </c>
      <c r="AB1021" s="23">
        <v>5</v>
      </c>
      <c r="AC1021" s="30" t="str">
        <f>VLOOKUP(AB1021,[4]Key!$C$20:$D$29,2,FALSE)</f>
        <v>Professional</v>
      </c>
      <c r="AD1021" s="23">
        <v>2</v>
      </c>
      <c r="AE1021" s="30" t="str">
        <f>VLOOKUP(AD1021,[4]Key!$E$20:$F$24,2,FALSE)</f>
        <v>300,000-500,000</v>
      </c>
      <c r="AF1021" s="23">
        <v>1</v>
      </c>
      <c r="AG1021" s="50">
        <v>1</v>
      </c>
      <c r="AH1021" s="50">
        <v>1</v>
      </c>
      <c r="AI1021" s="50">
        <v>1</v>
      </c>
      <c r="AJ1021" s="50">
        <v>1</v>
      </c>
      <c r="AK1021" s="46" t="s">
        <v>94</v>
      </c>
      <c r="AL1021" s="36">
        <v>2000</v>
      </c>
      <c r="AM1021" t="str">
        <f t="shared" si="63"/>
        <v>2000-3000</v>
      </c>
    </row>
    <row r="1022" spans="1:39" x14ac:dyDescent="0.2">
      <c r="A1022" s="44" t="s">
        <v>547</v>
      </c>
      <c r="B1022" s="48">
        <v>0.76597222222222217</v>
      </c>
      <c r="C1022" s="48" t="s">
        <v>670</v>
      </c>
      <c r="D1022" s="48" t="s">
        <v>97</v>
      </c>
      <c r="E1022" s="13">
        <v>2</v>
      </c>
      <c r="F1022" s="38" t="str">
        <f>VLOOKUP(E1022,[4]Key!$A$17:$B$21,2,FALSE)</f>
        <v>Road Vehicle</v>
      </c>
      <c r="G1022" s="49">
        <v>6</v>
      </c>
      <c r="H1022" s="39" t="str">
        <f>VLOOKUP(G1022,[4]Key!$A$2:$B$13,2,FALSE)</f>
        <v>Large Bus</v>
      </c>
      <c r="I1022" s="13" t="s">
        <v>109</v>
      </c>
      <c r="J1022" s="13">
        <v>3</v>
      </c>
      <c r="K1022" s="40" t="str">
        <f>VLOOKUP(J1022,[4]Key!$A$24:$B$29,2,FALSE)</f>
        <v>40-49</v>
      </c>
      <c r="L1022" s="13" t="s">
        <v>484</v>
      </c>
      <c r="M1022" s="23" t="s">
        <v>485</v>
      </c>
      <c r="N1022" s="13" t="s">
        <v>152</v>
      </c>
      <c r="O1022" s="46">
        <v>4</v>
      </c>
      <c r="P1022" s="30" t="str">
        <f>VLOOKUP(O1022,[4]Key!$E$2:$F$9,2,FALSE)</f>
        <v>Commercial</v>
      </c>
      <c r="Q1022" s="13" t="s">
        <v>454</v>
      </c>
      <c r="R1022" s="23" t="s">
        <v>455</v>
      </c>
      <c r="S1022" s="13" t="s">
        <v>152</v>
      </c>
      <c r="T1022" s="23">
        <v>4</v>
      </c>
      <c r="U1022" s="30" t="str">
        <f>VLOOKUP(T1022,[4]Key!$E$2:$F$9,2,FALSE)</f>
        <v>Commercial</v>
      </c>
      <c r="V1022" s="30" t="str">
        <f t="shared" si="60"/>
        <v>Commercial-Commercial</v>
      </c>
      <c r="W1022" s="51">
        <v>200000</v>
      </c>
      <c r="X1022" s="50">
        <v>390</v>
      </c>
      <c r="Y1022" s="50" t="str">
        <f t="shared" si="61"/>
        <v>Over 200</v>
      </c>
      <c r="Z1022" s="50">
        <v>4</v>
      </c>
      <c r="AA1022" s="50" t="str">
        <f t="shared" si="62"/>
        <v>Over 3.5</v>
      </c>
      <c r="AB1022" s="23">
        <v>5</v>
      </c>
      <c r="AC1022" s="30" t="str">
        <f>VLOOKUP(AB1022,[4]Key!$C$20:$D$29,2,FALSE)</f>
        <v>Professional</v>
      </c>
      <c r="AD1022" s="23">
        <v>3</v>
      </c>
      <c r="AE1022" s="30" t="str">
        <f>VLOOKUP(AD1022,[4]Key!$E$20:$F$24,2,FALSE)</f>
        <v>500,000-750,000</v>
      </c>
      <c r="AF1022" s="23">
        <v>1</v>
      </c>
      <c r="AG1022" s="50">
        <v>1</v>
      </c>
      <c r="AH1022" s="50">
        <v>1</v>
      </c>
      <c r="AI1022" s="50">
        <v>1</v>
      </c>
      <c r="AJ1022" s="50">
        <v>1</v>
      </c>
      <c r="AK1022" s="46" t="s">
        <v>94</v>
      </c>
      <c r="AL1022" s="36">
        <v>5000</v>
      </c>
      <c r="AM1022" t="str">
        <f t="shared" si="63"/>
        <v>5000-10000</v>
      </c>
    </row>
    <row r="1023" spans="1:39" x14ac:dyDescent="0.2">
      <c r="A1023" s="44" t="s">
        <v>547</v>
      </c>
      <c r="B1023" s="48">
        <v>0.56805555555555554</v>
      </c>
      <c r="C1023" s="48" t="s">
        <v>671</v>
      </c>
      <c r="D1023" s="48" t="s">
        <v>97</v>
      </c>
      <c r="E1023" s="13">
        <v>2</v>
      </c>
      <c r="F1023" s="38" t="str">
        <f>VLOOKUP(E1023,[4]Key!$A$17:$B$21,2,FALSE)</f>
        <v>Road Vehicle</v>
      </c>
      <c r="G1023" s="49">
        <v>6</v>
      </c>
      <c r="H1023" s="39" t="str">
        <f>VLOOKUP(G1023,[4]Key!$A$2:$B$13,2,FALSE)</f>
        <v>Large Bus</v>
      </c>
      <c r="I1023" s="13" t="s">
        <v>109</v>
      </c>
      <c r="J1023" s="13">
        <v>3</v>
      </c>
      <c r="K1023" s="40" t="str">
        <f>VLOOKUP(J1023,[4]Key!$A$24:$B$29,2,FALSE)</f>
        <v>40-49</v>
      </c>
      <c r="L1023" s="13" t="s">
        <v>454</v>
      </c>
      <c r="M1023" s="23" t="s">
        <v>455</v>
      </c>
      <c r="N1023" s="13" t="s">
        <v>152</v>
      </c>
      <c r="O1023" s="46">
        <v>2</v>
      </c>
      <c r="P1023" s="30" t="str">
        <f>VLOOKUP(O1023,[4]Key!$E$2:$F$9,2,FALSE)</f>
        <v>Work</v>
      </c>
      <c r="Q1023" s="13" t="s">
        <v>437</v>
      </c>
      <c r="R1023" s="23" t="s">
        <v>175</v>
      </c>
      <c r="S1023" s="13" t="s">
        <v>152</v>
      </c>
      <c r="T1023" s="23">
        <v>2</v>
      </c>
      <c r="U1023" s="30" t="str">
        <f>VLOOKUP(T1023,[4]Key!$E$2:$F$9,2,FALSE)</f>
        <v>Work</v>
      </c>
      <c r="V1023" s="30" t="str">
        <f t="shared" si="60"/>
        <v>Work-Work</v>
      </c>
      <c r="W1023" s="51">
        <v>100000</v>
      </c>
      <c r="X1023" s="50">
        <v>270</v>
      </c>
      <c r="Y1023" s="50" t="str">
        <f t="shared" si="61"/>
        <v>Over 200</v>
      </c>
      <c r="Z1023" s="50">
        <v>3</v>
      </c>
      <c r="AA1023" s="50" t="str">
        <f t="shared" si="62"/>
        <v>2.0-3.5</v>
      </c>
      <c r="AB1023" s="23">
        <v>5</v>
      </c>
      <c r="AC1023" s="30" t="str">
        <f>VLOOKUP(AB1023,[4]Key!$C$20:$D$29,2,FALSE)</f>
        <v>Professional</v>
      </c>
      <c r="AD1023" s="23">
        <v>2</v>
      </c>
      <c r="AE1023" s="30" t="str">
        <f>VLOOKUP(AD1023,[4]Key!$E$20:$F$24,2,FALSE)</f>
        <v>300,000-500,000</v>
      </c>
      <c r="AF1023" s="23">
        <v>5</v>
      </c>
      <c r="AG1023" s="50">
        <v>5</v>
      </c>
      <c r="AH1023" s="50">
        <v>4</v>
      </c>
      <c r="AI1023" s="50">
        <v>2</v>
      </c>
      <c r="AJ1023" s="50">
        <v>2</v>
      </c>
      <c r="AK1023" s="46" t="s">
        <v>94</v>
      </c>
      <c r="AL1023" s="36">
        <v>2000</v>
      </c>
      <c r="AM1023" t="str">
        <f t="shared" si="63"/>
        <v>2000-3000</v>
      </c>
    </row>
    <row r="1024" spans="1:39" x14ac:dyDescent="0.2">
      <c r="A1024" s="44" t="s">
        <v>547</v>
      </c>
      <c r="B1024" s="48">
        <v>0.5</v>
      </c>
      <c r="C1024" s="48" t="s">
        <v>620</v>
      </c>
      <c r="D1024" s="48" t="s">
        <v>97</v>
      </c>
      <c r="E1024" s="13">
        <v>2</v>
      </c>
      <c r="F1024" s="38" t="str">
        <f>VLOOKUP(E1024,[4]Key!$A$17:$B$21,2,FALSE)</f>
        <v>Road Vehicle</v>
      </c>
      <c r="G1024" s="49">
        <v>6</v>
      </c>
      <c r="H1024" s="39" t="str">
        <f>VLOOKUP(G1024,[4]Key!$A$2:$B$13,2,FALSE)</f>
        <v>Large Bus</v>
      </c>
      <c r="I1024" s="13" t="s">
        <v>109</v>
      </c>
      <c r="J1024" s="13">
        <v>3</v>
      </c>
      <c r="K1024" s="40" t="str">
        <f>VLOOKUP(J1024,[4]Key!$A$24:$B$29,2,FALSE)</f>
        <v>40-49</v>
      </c>
      <c r="L1024" s="13" t="s">
        <v>454</v>
      </c>
      <c r="M1024" s="23" t="s">
        <v>455</v>
      </c>
      <c r="N1024" s="13" t="s">
        <v>152</v>
      </c>
      <c r="O1024" s="46">
        <v>2</v>
      </c>
      <c r="P1024" s="30" t="str">
        <f>VLOOKUP(O1024,[4]Key!$E$2:$F$9,2,FALSE)</f>
        <v>Work</v>
      </c>
      <c r="Q1024" s="13" t="s">
        <v>434</v>
      </c>
      <c r="R1024" s="23" t="s">
        <v>153</v>
      </c>
      <c r="S1024" s="13" t="s">
        <v>152</v>
      </c>
      <c r="T1024" s="23">
        <v>8</v>
      </c>
      <c r="U1024" s="30" t="str">
        <f>VLOOKUP(T1024,[4]Key!$E$2:$F$9,2,FALSE)</f>
        <v>Others</v>
      </c>
      <c r="V1024" s="30" t="str">
        <f t="shared" si="60"/>
        <v>Work-Others</v>
      </c>
      <c r="W1024" s="51">
        <v>150000</v>
      </c>
      <c r="X1024" s="50">
        <v>390</v>
      </c>
      <c r="Y1024" s="50" t="str">
        <f t="shared" si="61"/>
        <v>Over 200</v>
      </c>
      <c r="Z1024" s="50">
        <v>4.5</v>
      </c>
      <c r="AA1024" s="50" t="str">
        <f t="shared" si="62"/>
        <v>Over 3.5</v>
      </c>
      <c r="AB1024" s="23">
        <v>5</v>
      </c>
      <c r="AC1024" s="30" t="str">
        <f>VLOOKUP(AB1024,[4]Key!$C$20:$D$29,2,FALSE)</f>
        <v>Professional</v>
      </c>
      <c r="AD1024" s="23">
        <v>2</v>
      </c>
      <c r="AE1024" s="30" t="str">
        <f>VLOOKUP(AD1024,[4]Key!$E$20:$F$24,2,FALSE)</f>
        <v>300,000-500,000</v>
      </c>
      <c r="AF1024" s="23">
        <v>5</v>
      </c>
      <c r="AG1024" s="50">
        <v>5</v>
      </c>
      <c r="AH1024" s="50">
        <v>2</v>
      </c>
      <c r="AI1024" s="50">
        <v>2</v>
      </c>
      <c r="AJ1024" s="50">
        <v>2</v>
      </c>
      <c r="AK1024" s="46" t="s">
        <v>94</v>
      </c>
      <c r="AL1024" s="36">
        <v>2000</v>
      </c>
      <c r="AM1024" t="str">
        <f t="shared" si="63"/>
        <v>2000-3000</v>
      </c>
    </row>
    <row r="1025" spans="1:39" x14ac:dyDescent="0.2">
      <c r="A1025" s="44" t="s">
        <v>547</v>
      </c>
      <c r="B1025" s="48">
        <v>0.3611111111111111</v>
      </c>
      <c r="C1025" s="48" t="s">
        <v>608</v>
      </c>
      <c r="D1025" s="48" t="s">
        <v>97</v>
      </c>
      <c r="E1025" s="13">
        <v>2</v>
      </c>
      <c r="F1025" s="38" t="str">
        <f>VLOOKUP(E1025,[4]Key!$A$17:$B$21,2,FALSE)</f>
        <v>Road Vehicle</v>
      </c>
      <c r="G1025" s="49">
        <v>6</v>
      </c>
      <c r="H1025" s="39" t="str">
        <f>VLOOKUP(G1025,[4]Key!$A$2:$B$13,2,FALSE)</f>
        <v>Large Bus</v>
      </c>
      <c r="I1025" s="13" t="s">
        <v>109</v>
      </c>
      <c r="J1025" s="13">
        <v>3</v>
      </c>
      <c r="K1025" s="40" t="str">
        <f>VLOOKUP(J1025,[4]Key!$A$24:$B$29,2,FALSE)</f>
        <v>40-49</v>
      </c>
      <c r="L1025" s="13" t="s">
        <v>587</v>
      </c>
      <c r="M1025" s="23" t="s">
        <v>428</v>
      </c>
      <c r="N1025" s="13" t="s">
        <v>152</v>
      </c>
      <c r="O1025" s="46">
        <v>2</v>
      </c>
      <c r="P1025" s="30" t="str">
        <f>VLOOKUP(O1025,[4]Key!$E$2:$F$9,2,FALSE)</f>
        <v>Work</v>
      </c>
      <c r="Q1025" s="13" t="s">
        <v>434</v>
      </c>
      <c r="R1025" s="23" t="s">
        <v>153</v>
      </c>
      <c r="S1025" s="13" t="s">
        <v>152</v>
      </c>
      <c r="T1025" s="23">
        <v>8</v>
      </c>
      <c r="U1025" s="30" t="str">
        <f>VLOOKUP(T1025,[4]Key!$E$2:$F$9,2,FALSE)</f>
        <v>Others</v>
      </c>
      <c r="V1025" s="30" t="str">
        <f t="shared" si="60"/>
        <v>Work-Others</v>
      </c>
      <c r="W1025" s="51">
        <v>150000</v>
      </c>
      <c r="X1025" s="50">
        <v>150</v>
      </c>
      <c r="Y1025" s="50" t="str">
        <f t="shared" si="61"/>
        <v>100-200</v>
      </c>
      <c r="Z1025" s="50">
        <v>4</v>
      </c>
      <c r="AA1025" s="50" t="str">
        <f t="shared" si="62"/>
        <v>Over 3.5</v>
      </c>
      <c r="AB1025" s="23">
        <v>10</v>
      </c>
      <c r="AC1025" s="30" t="str">
        <f>VLOOKUP(AB1025,[4]Key!$C$20:$D$29,2,FALSE)</f>
        <v>Other</v>
      </c>
      <c r="AD1025" s="23">
        <v>2</v>
      </c>
      <c r="AE1025" s="30" t="str">
        <f>VLOOKUP(AD1025,[4]Key!$E$20:$F$24,2,FALSE)</f>
        <v>300,000-500,000</v>
      </c>
      <c r="AF1025" s="23">
        <v>5</v>
      </c>
      <c r="AG1025" s="50">
        <v>4</v>
      </c>
      <c r="AH1025" s="50">
        <v>2</v>
      </c>
      <c r="AI1025" s="50">
        <v>2</v>
      </c>
      <c r="AJ1025" s="50">
        <v>2</v>
      </c>
      <c r="AK1025" s="46" t="s">
        <v>94</v>
      </c>
      <c r="AL1025" s="36">
        <v>3000</v>
      </c>
      <c r="AM1025" t="str">
        <f t="shared" si="63"/>
        <v>3000-5000</v>
      </c>
    </row>
    <row r="1026" spans="1:39" x14ac:dyDescent="0.2">
      <c r="A1026" s="44" t="s">
        <v>547</v>
      </c>
      <c r="B1026" s="48">
        <v>0.60416666666666663</v>
      </c>
      <c r="C1026" s="48" t="s">
        <v>672</v>
      </c>
      <c r="D1026" s="48" t="s">
        <v>97</v>
      </c>
      <c r="E1026" s="13">
        <v>2</v>
      </c>
      <c r="F1026" s="38" t="str">
        <f>VLOOKUP(E1026,[4]Key!$A$17:$B$21,2,FALSE)</f>
        <v>Road Vehicle</v>
      </c>
      <c r="G1026" s="49">
        <v>6</v>
      </c>
      <c r="H1026" s="39" t="str">
        <f>VLOOKUP(G1026,[4]Key!$A$2:$B$13,2,FALSE)</f>
        <v>Large Bus</v>
      </c>
      <c r="I1026" s="13" t="s">
        <v>109</v>
      </c>
      <c r="J1026" s="13">
        <v>3</v>
      </c>
      <c r="K1026" s="40" t="str">
        <f>VLOOKUP(J1026,[4]Key!$A$24:$B$29,2,FALSE)</f>
        <v>40-49</v>
      </c>
      <c r="L1026" s="13" t="s">
        <v>454</v>
      </c>
      <c r="M1026" s="23" t="s">
        <v>455</v>
      </c>
      <c r="N1026" s="13" t="s">
        <v>152</v>
      </c>
      <c r="O1026" s="46">
        <v>2</v>
      </c>
      <c r="P1026" s="30" t="str">
        <f>VLOOKUP(O1026,[4]Key!$E$2:$F$9,2,FALSE)</f>
        <v>Work</v>
      </c>
      <c r="Q1026" s="13" t="s">
        <v>598</v>
      </c>
      <c r="R1026" s="23" t="s">
        <v>599</v>
      </c>
      <c r="S1026" s="13" t="s">
        <v>152</v>
      </c>
      <c r="T1026" s="23">
        <v>2</v>
      </c>
      <c r="U1026" s="30" t="str">
        <f>VLOOKUP(T1026,[4]Key!$E$2:$F$9,2,FALSE)</f>
        <v>Work</v>
      </c>
      <c r="V1026" s="30" t="str">
        <f t="shared" ref="V1026:V1089" si="64">P1026&amp;"-"&amp;U1026</f>
        <v>Work-Work</v>
      </c>
      <c r="W1026" s="51">
        <v>100000</v>
      </c>
      <c r="X1026" s="50">
        <v>90</v>
      </c>
      <c r="Y1026" s="50" t="str">
        <f t="shared" si="61"/>
        <v>70-100</v>
      </c>
      <c r="Z1026" s="50">
        <v>2</v>
      </c>
      <c r="AA1026" s="50" t="str">
        <f t="shared" si="62"/>
        <v>2.0-3.5</v>
      </c>
      <c r="AB1026" s="23">
        <v>5</v>
      </c>
      <c r="AC1026" s="30" t="str">
        <f>VLOOKUP(AB1026,[4]Key!$C$20:$D$29,2,FALSE)</f>
        <v>Professional</v>
      </c>
      <c r="AD1026" s="23">
        <v>2</v>
      </c>
      <c r="AE1026" s="30" t="str">
        <f>VLOOKUP(AD1026,[4]Key!$E$20:$F$24,2,FALSE)</f>
        <v>300,000-500,000</v>
      </c>
      <c r="AF1026" s="23">
        <v>5</v>
      </c>
      <c r="AG1026" s="50">
        <v>4</v>
      </c>
      <c r="AH1026" s="50">
        <v>2</v>
      </c>
      <c r="AI1026" s="50">
        <v>2</v>
      </c>
      <c r="AJ1026" s="50">
        <v>2</v>
      </c>
      <c r="AK1026" s="46" t="s">
        <v>94</v>
      </c>
      <c r="AL1026" s="36">
        <v>2000</v>
      </c>
      <c r="AM1026" t="str">
        <f t="shared" si="63"/>
        <v>2000-3000</v>
      </c>
    </row>
    <row r="1027" spans="1:39" x14ac:dyDescent="0.2">
      <c r="A1027" s="44" t="s">
        <v>547</v>
      </c>
      <c r="B1027" s="48">
        <v>0.6958333333333333</v>
      </c>
      <c r="C1027" s="48" t="s">
        <v>608</v>
      </c>
      <c r="D1027" s="48" t="s">
        <v>97</v>
      </c>
      <c r="E1027" s="13">
        <v>2</v>
      </c>
      <c r="F1027" s="38" t="str">
        <f>VLOOKUP(E1027,[4]Key!$A$17:$B$21,2,FALSE)</f>
        <v>Road Vehicle</v>
      </c>
      <c r="G1027" s="49">
        <v>6</v>
      </c>
      <c r="H1027" s="39" t="str">
        <f>VLOOKUP(G1027,[4]Key!$A$2:$B$13,2,FALSE)</f>
        <v>Large Bus</v>
      </c>
      <c r="I1027" s="13" t="s">
        <v>109</v>
      </c>
      <c r="J1027" s="13">
        <v>3</v>
      </c>
      <c r="K1027" s="40" t="str">
        <f>VLOOKUP(J1027,[4]Key!$A$24:$B$29,2,FALSE)</f>
        <v>40-49</v>
      </c>
      <c r="L1027" s="13" t="s">
        <v>454</v>
      </c>
      <c r="M1027" s="23" t="s">
        <v>455</v>
      </c>
      <c r="N1027" s="13" t="s">
        <v>152</v>
      </c>
      <c r="O1027" s="46">
        <v>2</v>
      </c>
      <c r="P1027" s="30" t="str">
        <f>VLOOKUP(O1027,[4]Key!$E$2:$F$9,2,FALSE)</f>
        <v>Work</v>
      </c>
      <c r="Q1027" s="13" t="s">
        <v>435</v>
      </c>
      <c r="R1027" s="23" t="s">
        <v>436</v>
      </c>
      <c r="S1027" s="13" t="s">
        <v>152</v>
      </c>
      <c r="T1027" s="23">
        <v>8</v>
      </c>
      <c r="U1027" s="30" t="str">
        <f>VLOOKUP(T1027,[4]Key!$E$2:$F$9,2,FALSE)</f>
        <v>Others</v>
      </c>
      <c r="V1027" s="30" t="str">
        <f t="shared" si="64"/>
        <v>Work-Others</v>
      </c>
      <c r="W1027" s="51">
        <v>150000</v>
      </c>
      <c r="X1027" s="50">
        <v>270</v>
      </c>
      <c r="Y1027" s="50" t="str">
        <f t="shared" ref="Y1027:Y1090" si="65">IF(X1027&lt;10,"0-10",IF(X1027&lt;20,"10-20",IF(X1027&lt;40,"20-40",IF(X1027&lt;70,"40-70",IF(X1027&lt;100,"70-100",IF(X1027&lt;200,"100-200","Over 200"))))))</f>
        <v>Over 200</v>
      </c>
      <c r="Z1027" s="50">
        <v>3</v>
      </c>
      <c r="AA1027" s="50" t="str">
        <f t="shared" ref="AA1027:AA1090" si="66">IF(Z1027&lt;0.5,"0-0.5",IF(Z1027&lt;1,"0.5-1.0",IF(Z1027&lt;2,"1.0-2.0",IF(Z1027&lt;3.5,"2.0-3.5","Over 3.5"))))</f>
        <v>2.0-3.5</v>
      </c>
      <c r="AB1027" s="23">
        <v>5</v>
      </c>
      <c r="AC1027" s="30" t="str">
        <f>VLOOKUP(AB1027,[4]Key!$C$20:$D$29,2,FALSE)</f>
        <v>Professional</v>
      </c>
      <c r="AD1027" s="23">
        <v>2</v>
      </c>
      <c r="AE1027" s="30" t="str">
        <f>VLOOKUP(AD1027,[4]Key!$E$20:$F$24,2,FALSE)</f>
        <v>300,000-500,000</v>
      </c>
      <c r="AF1027" s="23">
        <v>5</v>
      </c>
      <c r="AG1027" s="50">
        <v>2</v>
      </c>
      <c r="AH1027" s="50">
        <v>5</v>
      </c>
      <c r="AI1027" s="50">
        <v>5</v>
      </c>
      <c r="AJ1027" s="50">
        <v>5</v>
      </c>
      <c r="AK1027" s="46" t="s">
        <v>94</v>
      </c>
      <c r="AL1027" s="36">
        <v>2000</v>
      </c>
      <c r="AM1027" t="str">
        <f t="shared" ref="AM1027:AM1090" si="67">IF(AL1027&lt;1000,"0-1000",IF(AL1027&lt;2000,"1000-2000",IF(AL1027&lt;3000,"2000-3000",IF(AL1027&lt;5000,"3000-5000",IF(AL1027&lt;10000,"5000-10000","Over 10000")))))</f>
        <v>2000-3000</v>
      </c>
    </row>
    <row r="1028" spans="1:39" x14ac:dyDescent="0.2">
      <c r="A1028" s="44" t="s">
        <v>547</v>
      </c>
      <c r="B1028" s="48">
        <v>0.67569444444444438</v>
      </c>
      <c r="C1028" s="48" t="s">
        <v>673</v>
      </c>
      <c r="D1028" s="48" t="s">
        <v>97</v>
      </c>
      <c r="E1028" s="13">
        <v>2</v>
      </c>
      <c r="F1028" s="38" t="str">
        <f>VLOOKUP(E1028,[4]Key!$A$17:$B$21,2,FALSE)</f>
        <v>Road Vehicle</v>
      </c>
      <c r="G1028" s="49">
        <v>6</v>
      </c>
      <c r="H1028" s="39" t="str">
        <f>VLOOKUP(G1028,[4]Key!$A$2:$B$13,2,FALSE)</f>
        <v>Large Bus</v>
      </c>
      <c r="I1028" s="13" t="s">
        <v>109</v>
      </c>
      <c r="J1028" s="13">
        <v>3</v>
      </c>
      <c r="K1028" s="40" t="str">
        <f>VLOOKUP(J1028,[4]Key!$A$24:$B$29,2,FALSE)</f>
        <v>40-49</v>
      </c>
      <c r="L1028" s="13" t="s">
        <v>454</v>
      </c>
      <c r="M1028" s="23" t="s">
        <v>455</v>
      </c>
      <c r="N1028" s="13" t="s">
        <v>152</v>
      </c>
      <c r="O1028" s="46">
        <v>2</v>
      </c>
      <c r="P1028" s="30" t="str">
        <f>VLOOKUP(O1028,[4]Key!$E$2:$F$9,2,FALSE)</f>
        <v>Work</v>
      </c>
      <c r="Q1028" s="13" t="s">
        <v>438</v>
      </c>
      <c r="R1028" s="23" t="s">
        <v>446</v>
      </c>
      <c r="S1028" s="13" t="s">
        <v>152</v>
      </c>
      <c r="T1028" s="23">
        <v>2</v>
      </c>
      <c r="U1028" s="30" t="str">
        <f>VLOOKUP(T1028,[4]Key!$E$2:$F$9,2,FALSE)</f>
        <v>Work</v>
      </c>
      <c r="V1028" s="30" t="str">
        <f t="shared" si="64"/>
        <v>Work-Work</v>
      </c>
      <c r="W1028" s="51">
        <v>200000</v>
      </c>
      <c r="X1028" s="50">
        <v>330</v>
      </c>
      <c r="Y1028" s="50" t="str">
        <f t="shared" si="65"/>
        <v>Over 200</v>
      </c>
      <c r="Z1028" s="50">
        <v>4</v>
      </c>
      <c r="AA1028" s="50" t="str">
        <f t="shared" si="66"/>
        <v>Over 3.5</v>
      </c>
      <c r="AB1028" s="23">
        <v>10</v>
      </c>
      <c r="AC1028" s="30" t="str">
        <f>VLOOKUP(AB1028,[4]Key!$C$20:$D$29,2,FALSE)</f>
        <v>Other</v>
      </c>
      <c r="AD1028" s="23">
        <v>2</v>
      </c>
      <c r="AE1028" s="30" t="str">
        <f>VLOOKUP(AD1028,[4]Key!$E$20:$F$24,2,FALSE)</f>
        <v>300,000-500,000</v>
      </c>
      <c r="AF1028" s="23">
        <v>5</v>
      </c>
      <c r="AG1028" s="50">
        <v>4</v>
      </c>
      <c r="AH1028" s="50">
        <v>5</v>
      </c>
      <c r="AI1028" s="50">
        <v>5</v>
      </c>
      <c r="AJ1028" s="50">
        <v>5</v>
      </c>
      <c r="AK1028" s="46" t="s">
        <v>94</v>
      </c>
      <c r="AL1028" s="36">
        <v>1000</v>
      </c>
      <c r="AM1028" t="str">
        <f t="shared" si="67"/>
        <v>1000-2000</v>
      </c>
    </row>
    <row r="1029" spans="1:39" x14ac:dyDescent="0.2">
      <c r="A1029" s="44" t="s">
        <v>547</v>
      </c>
      <c r="B1029" s="48">
        <v>0.63750000000000007</v>
      </c>
      <c r="C1029" s="48" t="s">
        <v>674</v>
      </c>
      <c r="D1029" s="48" t="s">
        <v>97</v>
      </c>
      <c r="E1029" s="13">
        <v>2</v>
      </c>
      <c r="F1029" s="38" t="str">
        <f>VLOOKUP(E1029,[4]Key!$A$17:$B$21,2,FALSE)</f>
        <v>Road Vehicle</v>
      </c>
      <c r="G1029" s="49">
        <v>6</v>
      </c>
      <c r="H1029" s="39" t="str">
        <f>VLOOKUP(G1029,[4]Key!$A$2:$B$13,2,FALSE)</f>
        <v>Large Bus</v>
      </c>
      <c r="I1029" s="13" t="s">
        <v>109</v>
      </c>
      <c r="J1029" s="13">
        <v>3</v>
      </c>
      <c r="K1029" s="40" t="str">
        <f>VLOOKUP(J1029,[4]Key!$A$24:$B$29,2,FALSE)</f>
        <v>40-49</v>
      </c>
      <c r="L1029" s="13" t="s">
        <v>454</v>
      </c>
      <c r="M1029" s="23" t="s">
        <v>455</v>
      </c>
      <c r="N1029" s="13" t="s">
        <v>152</v>
      </c>
      <c r="O1029" s="46">
        <v>2</v>
      </c>
      <c r="P1029" s="30" t="str">
        <f>VLOOKUP(O1029,[4]Key!$E$2:$F$9,2,FALSE)</f>
        <v>Work</v>
      </c>
      <c r="Q1029" s="13" t="s">
        <v>424</v>
      </c>
      <c r="R1029" s="23" t="s">
        <v>421</v>
      </c>
      <c r="S1029" s="13" t="s">
        <v>152</v>
      </c>
      <c r="T1029" s="23">
        <v>2</v>
      </c>
      <c r="U1029" s="30" t="str">
        <f>VLOOKUP(T1029,[4]Key!$E$2:$F$9,2,FALSE)</f>
        <v>Work</v>
      </c>
      <c r="V1029" s="30" t="str">
        <f t="shared" si="64"/>
        <v>Work-Work</v>
      </c>
      <c r="W1029" s="51">
        <v>100000</v>
      </c>
      <c r="X1029" s="50">
        <v>135</v>
      </c>
      <c r="Y1029" s="50" t="str">
        <f t="shared" si="65"/>
        <v>100-200</v>
      </c>
      <c r="Z1029" s="50">
        <v>2.5</v>
      </c>
      <c r="AA1029" s="50" t="str">
        <f t="shared" si="66"/>
        <v>2.0-3.5</v>
      </c>
      <c r="AB1029" s="23">
        <v>5</v>
      </c>
      <c r="AC1029" s="30" t="str">
        <f>VLOOKUP(AB1029,[4]Key!$C$20:$D$29,2,FALSE)</f>
        <v>Professional</v>
      </c>
      <c r="AD1029" s="23">
        <v>2</v>
      </c>
      <c r="AE1029" s="30" t="str">
        <f>VLOOKUP(AD1029,[4]Key!$E$20:$F$24,2,FALSE)</f>
        <v>300,000-500,000</v>
      </c>
      <c r="AF1029" s="23">
        <v>2</v>
      </c>
      <c r="AG1029" s="50">
        <v>4</v>
      </c>
      <c r="AH1029" s="50">
        <v>2</v>
      </c>
      <c r="AI1029" s="50">
        <v>1</v>
      </c>
      <c r="AJ1029" s="50">
        <v>1</v>
      </c>
      <c r="AK1029" s="46" t="s">
        <v>94</v>
      </c>
      <c r="AL1029" s="36">
        <v>0</v>
      </c>
      <c r="AM1029" t="str">
        <f t="shared" si="67"/>
        <v>0-1000</v>
      </c>
    </row>
    <row r="1030" spans="1:39" x14ac:dyDescent="0.2">
      <c r="A1030" s="44" t="s">
        <v>544</v>
      </c>
      <c r="B1030" s="48">
        <v>0.4069444444444445</v>
      </c>
      <c r="C1030" s="48"/>
      <c r="D1030" s="48" t="s">
        <v>97</v>
      </c>
      <c r="E1030" s="13">
        <v>2</v>
      </c>
      <c r="F1030" s="38" t="str">
        <f>VLOOKUP(E1030,[4]Key!$A$17:$B$21,2,FALSE)</f>
        <v>Road Vehicle</v>
      </c>
      <c r="G1030" s="49">
        <v>6</v>
      </c>
      <c r="H1030" s="39" t="str">
        <f>VLOOKUP(G1030,[4]Key!$A$2:$B$13,2,FALSE)</f>
        <v>Large Bus</v>
      </c>
      <c r="I1030" s="13" t="s">
        <v>109</v>
      </c>
      <c r="J1030" s="13">
        <v>3</v>
      </c>
      <c r="K1030" s="40" t="str">
        <f>VLOOKUP(J1030,[4]Key!$A$24:$B$29,2,FALSE)</f>
        <v>40-49</v>
      </c>
      <c r="L1030" s="13" t="s">
        <v>427</v>
      </c>
      <c r="M1030" s="23" t="s">
        <v>428</v>
      </c>
      <c r="N1030" s="13" t="s">
        <v>152</v>
      </c>
      <c r="O1030" s="46">
        <v>4</v>
      </c>
      <c r="P1030" s="30" t="str">
        <f>VLOOKUP(O1030,[4]Key!$E$2:$F$9,2,FALSE)</f>
        <v>Commercial</v>
      </c>
      <c r="Q1030" s="13" t="s">
        <v>454</v>
      </c>
      <c r="R1030" s="23" t="s">
        <v>455</v>
      </c>
      <c r="S1030" s="13" t="s">
        <v>152</v>
      </c>
      <c r="T1030" s="23">
        <v>4</v>
      </c>
      <c r="U1030" s="30" t="str">
        <f>VLOOKUP(T1030,[4]Key!$E$2:$F$9,2,FALSE)</f>
        <v>Commercial</v>
      </c>
      <c r="V1030" s="30" t="str">
        <f t="shared" si="64"/>
        <v>Commercial-Commercial</v>
      </c>
      <c r="W1030" s="51">
        <v>50000</v>
      </c>
      <c r="X1030" s="50">
        <v>47</v>
      </c>
      <c r="Y1030" s="50" t="str">
        <f t="shared" si="65"/>
        <v>40-70</v>
      </c>
      <c r="Z1030" s="50">
        <v>2</v>
      </c>
      <c r="AA1030" s="50" t="str">
        <f t="shared" si="66"/>
        <v>2.0-3.5</v>
      </c>
      <c r="AB1030" s="23">
        <v>5</v>
      </c>
      <c r="AC1030" s="30" t="str">
        <f>VLOOKUP(AB1030,[4]Key!$C$20:$D$29,2,FALSE)</f>
        <v>Professional</v>
      </c>
      <c r="AD1030" s="23">
        <v>3</v>
      </c>
      <c r="AE1030" s="30" t="str">
        <f>VLOOKUP(AD1030,[4]Key!$E$20:$F$24,2,FALSE)</f>
        <v>500,000-750,000</v>
      </c>
      <c r="AF1030" s="23">
        <v>1</v>
      </c>
      <c r="AG1030" s="50">
        <v>5</v>
      </c>
      <c r="AH1030" s="50">
        <v>5</v>
      </c>
      <c r="AI1030" s="50">
        <v>5</v>
      </c>
      <c r="AJ1030" s="50">
        <v>5</v>
      </c>
      <c r="AK1030" s="46" t="s">
        <v>94</v>
      </c>
      <c r="AL1030" s="36">
        <v>2000</v>
      </c>
      <c r="AM1030" t="str">
        <f t="shared" si="67"/>
        <v>2000-3000</v>
      </c>
    </row>
    <row r="1031" spans="1:39" x14ac:dyDescent="0.2">
      <c r="A1031" s="44" t="s">
        <v>544</v>
      </c>
      <c r="B1031" s="48">
        <v>0.41319444444444442</v>
      </c>
      <c r="C1031" s="48" t="s">
        <v>610</v>
      </c>
      <c r="D1031" s="48" t="s">
        <v>97</v>
      </c>
      <c r="E1031" s="13">
        <v>2</v>
      </c>
      <c r="F1031" s="38" t="str">
        <f>VLOOKUP(E1031,[4]Key!$A$17:$B$21,2,FALSE)</f>
        <v>Road Vehicle</v>
      </c>
      <c r="G1031" s="49">
        <v>6</v>
      </c>
      <c r="H1031" s="39" t="str">
        <f>VLOOKUP(G1031,[4]Key!$A$2:$B$13,2,FALSE)</f>
        <v>Large Bus</v>
      </c>
      <c r="I1031" s="13" t="s">
        <v>109</v>
      </c>
      <c r="J1031" s="13">
        <v>3</v>
      </c>
      <c r="K1031" s="40" t="str">
        <f>VLOOKUP(J1031,[4]Key!$A$24:$B$29,2,FALSE)</f>
        <v>40-49</v>
      </c>
      <c r="L1031" s="13" t="s">
        <v>603</v>
      </c>
      <c r="M1031" s="23" t="s">
        <v>444</v>
      </c>
      <c r="N1031" s="13" t="s">
        <v>152</v>
      </c>
      <c r="O1031" s="46">
        <v>2</v>
      </c>
      <c r="P1031" s="30" t="str">
        <f>VLOOKUP(O1031,[4]Key!$E$2:$F$9,2,FALSE)</f>
        <v>Work</v>
      </c>
      <c r="Q1031" s="13" t="s">
        <v>434</v>
      </c>
      <c r="R1031" s="23" t="s">
        <v>153</v>
      </c>
      <c r="S1031" s="13" t="s">
        <v>152</v>
      </c>
      <c r="T1031" s="23">
        <v>8</v>
      </c>
      <c r="U1031" s="30" t="str">
        <f>VLOOKUP(T1031,[4]Key!$E$2:$F$9,2,FALSE)</f>
        <v>Others</v>
      </c>
      <c r="V1031" s="30" t="str">
        <f t="shared" si="64"/>
        <v>Work-Others</v>
      </c>
      <c r="W1031" s="51">
        <v>200000</v>
      </c>
      <c r="X1031" s="50">
        <v>340</v>
      </c>
      <c r="Y1031" s="50" t="str">
        <f t="shared" si="65"/>
        <v>Over 200</v>
      </c>
      <c r="Z1031" s="50">
        <v>6</v>
      </c>
      <c r="AA1031" s="50" t="str">
        <f t="shared" si="66"/>
        <v>Over 3.5</v>
      </c>
      <c r="AB1031" s="23">
        <v>10</v>
      </c>
      <c r="AC1031" s="30" t="str">
        <f>VLOOKUP(AB1031,[4]Key!$C$20:$D$29,2,FALSE)</f>
        <v>Other</v>
      </c>
      <c r="AD1031" s="23">
        <v>2</v>
      </c>
      <c r="AE1031" s="30" t="str">
        <f>VLOOKUP(AD1031,[4]Key!$E$20:$F$24,2,FALSE)</f>
        <v>300,000-500,000</v>
      </c>
      <c r="AF1031" s="23">
        <v>5</v>
      </c>
      <c r="AG1031" s="50">
        <v>4</v>
      </c>
      <c r="AH1031" s="50">
        <v>5</v>
      </c>
      <c r="AI1031" s="50">
        <v>5</v>
      </c>
      <c r="AJ1031" s="50">
        <v>5</v>
      </c>
      <c r="AK1031" s="46" t="s">
        <v>94</v>
      </c>
      <c r="AL1031" s="36">
        <v>3000</v>
      </c>
      <c r="AM1031" t="str">
        <f t="shared" si="67"/>
        <v>3000-5000</v>
      </c>
    </row>
    <row r="1032" spans="1:39" x14ac:dyDescent="0.2">
      <c r="A1032" s="44" t="s">
        <v>544</v>
      </c>
      <c r="B1032" s="48">
        <v>0.3888888888888889</v>
      </c>
      <c r="C1032" s="48"/>
      <c r="D1032" s="48" t="s">
        <v>150</v>
      </c>
      <c r="E1032" s="13">
        <v>2</v>
      </c>
      <c r="F1032" s="38" t="str">
        <f>VLOOKUP(E1032,[4]Key!$A$17:$B$21,2,FALSE)</f>
        <v>Road Vehicle</v>
      </c>
      <c r="G1032" s="49">
        <v>6</v>
      </c>
      <c r="H1032" s="39" t="str">
        <f>VLOOKUP(G1032,[4]Key!$A$2:$B$13,2,FALSE)</f>
        <v>Large Bus</v>
      </c>
      <c r="I1032" s="13" t="s">
        <v>109</v>
      </c>
      <c r="J1032" s="13">
        <v>3</v>
      </c>
      <c r="K1032" s="40" t="str">
        <f>VLOOKUP(J1032,[4]Key!$A$24:$B$29,2,FALSE)</f>
        <v>40-49</v>
      </c>
      <c r="L1032" s="13" t="s">
        <v>454</v>
      </c>
      <c r="M1032" s="23" t="s">
        <v>455</v>
      </c>
      <c r="N1032" s="13" t="s">
        <v>152</v>
      </c>
      <c r="O1032" s="46">
        <v>2</v>
      </c>
      <c r="P1032" s="30" t="str">
        <f>VLOOKUP(O1032,[4]Key!$E$2:$F$9,2,FALSE)</f>
        <v>Work</v>
      </c>
      <c r="Q1032" s="13" t="s">
        <v>555</v>
      </c>
      <c r="R1032" s="23" t="s">
        <v>556</v>
      </c>
      <c r="S1032" s="13" t="s">
        <v>152</v>
      </c>
      <c r="T1032" s="23">
        <v>8</v>
      </c>
      <c r="U1032" s="30" t="str">
        <f>VLOOKUP(T1032,[4]Key!$E$2:$F$9,2,FALSE)</f>
        <v>Others</v>
      </c>
      <c r="V1032" s="30" t="str">
        <f t="shared" si="64"/>
        <v>Work-Others</v>
      </c>
      <c r="W1032" s="51">
        <v>50000</v>
      </c>
      <c r="X1032" s="50">
        <v>600</v>
      </c>
      <c r="Y1032" s="50" t="str">
        <f t="shared" si="65"/>
        <v>Over 200</v>
      </c>
      <c r="Z1032" s="50">
        <v>9</v>
      </c>
      <c r="AA1032" s="50" t="str">
        <f t="shared" si="66"/>
        <v>Over 3.5</v>
      </c>
      <c r="AB1032" s="23">
        <v>5</v>
      </c>
      <c r="AC1032" s="30" t="str">
        <f>VLOOKUP(AB1032,[4]Key!$C$20:$D$29,2,FALSE)</f>
        <v>Professional</v>
      </c>
      <c r="AD1032" s="23">
        <v>2</v>
      </c>
      <c r="AE1032" s="30" t="str">
        <f>VLOOKUP(AD1032,[4]Key!$E$20:$F$24,2,FALSE)</f>
        <v>300,000-500,000</v>
      </c>
      <c r="AF1032" s="23">
        <v>5</v>
      </c>
      <c r="AG1032" s="50">
        <v>5</v>
      </c>
      <c r="AH1032" s="50">
        <v>5</v>
      </c>
      <c r="AI1032" s="50">
        <v>5</v>
      </c>
      <c r="AJ1032" s="50">
        <v>5</v>
      </c>
      <c r="AK1032" s="46" t="s">
        <v>94</v>
      </c>
      <c r="AL1032" s="36">
        <v>0</v>
      </c>
      <c r="AM1032" t="str">
        <f t="shared" si="67"/>
        <v>0-1000</v>
      </c>
    </row>
    <row r="1033" spans="1:39" x14ac:dyDescent="0.2">
      <c r="A1033" s="44" t="s">
        <v>544</v>
      </c>
      <c r="B1033" s="48">
        <v>0.35972222222222222</v>
      </c>
      <c r="C1033" s="48" t="s">
        <v>626</v>
      </c>
      <c r="D1033" s="48" t="s">
        <v>97</v>
      </c>
      <c r="E1033" s="13">
        <v>2</v>
      </c>
      <c r="F1033" s="38" t="str">
        <f>VLOOKUP(E1033,[4]Key!$A$17:$B$21,2,FALSE)</f>
        <v>Road Vehicle</v>
      </c>
      <c r="G1033" s="49">
        <v>6</v>
      </c>
      <c r="H1033" s="39" t="str">
        <f>VLOOKUP(G1033,[4]Key!$A$2:$B$13,2,FALSE)</f>
        <v>Large Bus</v>
      </c>
      <c r="I1033" s="13" t="s">
        <v>109</v>
      </c>
      <c r="J1033" s="13">
        <v>3</v>
      </c>
      <c r="K1033" s="40" t="str">
        <f>VLOOKUP(J1033,[4]Key!$A$24:$B$29,2,FALSE)</f>
        <v>40-49</v>
      </c>
      <c r="L1033" s="13" t="s">
        <v>454</v>
      </c>
      <c r="M1033" s="23" t="s">
        <v>455</v>
      </c>
      <c r="N1033" s="13" t="s">
        <v>152</v>
      </c>
      <c r="O1033" s="46">
        <v>2</v>
      </c>
      <c r="P1033" s="30" t="str">
        <f>VLOOKUP(O1033,[4]Key!$E$2:$F$9,2,FALSE)</f>
        <v>Work</v>
      </c>
      <c r="Q1033" s="13" t="s">
        <v>553</v>
      </c>
      <c r="R1033" s="23" t="s">
        <v>183</v>
      </c>
      <c r="S1033" s="13" t="s">
        <v>152</v>
      </c>
      <c r="T1033" s="23">
        <v>8</v>
      </c>
      <c r="U1033" s="30" t="str">
        <f>VLOOKUP(T1033,[4]Key!$E$2:$F$9,2,FALSE)</f>
        <v>Others</v>
      </c>
      <c r="V1033" s="30" t="str">
        <f t="shared" si="64"/>
        <v>Work-Others</v>
      </c>
      <c r="W1033" s="51">
        <v>200000</v>
      </c>
      <c r="X1033" s="50">
        <v>360</v>
      </c>
      <c r="Y1033" s="50" t="str">
        <f t="shared" si="65"/>
        <v>Over 200</v>
      </c>
      <c r="Z1033" s="50">
        <v>6</v>
      </c>
      <c r="AA1033" s="50" t="str">
        <f t="shared" si="66"/>
        <v>Over 3.5</v>
      </c>
      <c r="AB1033" s="23">
        <v>5</v>
      </c>
      <c r="AC1033" s="30" t="str">
        <f>VLOOKUP(AB1033,[4]Key!$C$20:$D$29,2,FALSE)</f>
        <v>Professional</v>
      </c>
      <c r="AD1033" s="23">
        <v>2</v>
      </c>
      <c r="AE1033" s="30" t="str">
        <f>VLOOKUP(AD1033,[4]Key!$E$20:$F$24,2,FALSE)</f>
        <v>300,000-500,000</v>
      </c>
      <c r="AF1033" s="23">
        <v>5</v>
      </c>
      <c r="AG1033" s="50">
        <v>4</v>
      </c>
      <c r="AH1033" s="50">
        <v>1</v>
      </c>
      <c r="AI1033" s="50">
        <v>1</v>
      </c>
      <c r="AJ1033" s="50">
        <v>2</v>
      </c>
      <c r="AK1033" s="46" t="s">
        <v>94</v>
      </c>
      <c r="AL1033" s="36">
        <v>2000</v>
      </c>
      <c r="AM1033" t="str">
        <f t="shared" si="67"/>
        <v>2000-3000</v>
      </c>
    </row>
    <row r="1034" spans="1:39" x14ac:dyDescent="0.2">
      <c r="A1034" s="44" t="s">
        <v>544</v>
      </c>
      <c r="B1034" s="48">
        <v>0.34861111111111115</v>
      </c>
      <c r="C1034" s="48" t="s">
        <v>675</v>
      </c>
      <c r="D1034" s="48" t="s">
        <v>97</v>
      </c>
      <c r="E1034" s="13">
        <v>2</v>
      </c>
      <c r="F1034" s="38" t="str">
        <f>VLOOKUP(E1034,[4]Key!$A$17:$B$21,2,FALSE)</f>
        <v>Road Vehicle</v>
      </c>
      <c r="G1034" s="49">
        <v>6</v>
      </c>
      <c r="H1034" s="39" t="str">
        <f>VLOOKUP(G1034,[4]Key!$A$2:$B$13,2,FALSE)</f>
        <v>Large Bus</v>
      </c>
      <c r="I1034" s="13" t="s">
        <v>109</v>
      </c>
      <c r="J1034" s="13">
        <v>3</v>
      </c>
      <c r="K1034" s="40" t="str">
        <f>VLOOKUP(J1034,[4]Key!$A$24:$B$29,2,FALSE)</f>
        <v>40-49</v>
      </c>
      <c r="L1034" s="13" t="s">
        <v>454</v>
      </c>
      <c r="M1034" s="23" t="s">
        <v>455</v>
      </c>
      <c r="N1034" s="13" t="s">
        <v>152</v>
      </c>
      <c r="O1034" s="46">
        <v>2</v>
      </c>
      <c r="P1034" s="30" t="str">
        <f>VLOOKUP(O1034,[4]Key!$E$2:$F$9,2,FALSE)</f>
        <v>Work</v>
      </c>
      <c r="Q1034" s="13" t="s">
        <v>510</v>
      </c>
      <c r="R1034" s="23" t="s">
        <v>511</v>
      </c>
      <c r="S1034" s="13" t="s">
        <v>152</v>
      </c>
      <c r="T1034" s="23">
        <v>8</v>
      </c>
      <c r="U1034" s="30" t="str">
        <f>VLOOKUP(T1034,[4]Key!$E$2:$F$9,2,FALSE)</f>
        <v>Others</v>
      </c>
      <c r="V1034" s="30" t="str">
        <f t="shared" si="64"/>
        <v>Work-Others</v>
      </c>
      <c r="W1034" s="51">
        <v>20000</v>
      </c>
      <c r="X1034" s="50">
        <v>320</v>
      </c>
      <c r="Y1034" s="50" t="str">
        <f t="shared" si="65"/>
        <v>Over 200</v>
      </c>
      <c r="Z1034" s="50">
        <v>5</v>
      </c>
      <c r="AA1034" s="50" t="str">
        <f t="shared" si="66"/>
        <v>Over 3.5</v>
      </c>
      <c r="AB1034" s="23">
        <v>5</v>
      </c>
      <c r="AC1034" s="30" t="str">
        <f>VLOOKUP(AB1034,[4]Key!$C$20:$D$29,2,FALSE)</f>
        <v>Professional</v>
      </c>
      <c r="AD1034" s="23">
        <v>2</v>
      </c>
      <c r="AE1034" s="30" t="str">
        <f>VLOOKUP(AD1034,[4]Key!$E$20:$F$24,2,FALSE)</f>
        <v>300,000-500,000</v>
      </c>
      <c r="AF1034" s="23">
        <v>5</v>
      </c>
      <c r="AG1034" s="50">
        <v>4</v>
      </c>
      <c r="AH1034" s="50">
        <v>2</v>
      </c>
      <c r="AI1034" s="50">
        <v>2</v>
      </c>
      <c r="AJ1034" s="50">
        <v>2</v>
      </c>
      <c r="AK1034" s="46" t="s">
        <v>94</v>
      </c>
      <c r="AL1034" s="36">
        <v>2000</v>
      </c>
      <c r="AM1034" t="str">
        <f t="shared" si="67"/>
        <v>2000-3000</v>
      </c>
    </row>
    <row r="1035" spans="1:39" x14ac:dyDescent="0.2">
      <c r="A1035" s="44" t="s">
        <v>544</v>
      </c>
      <c r="B1035" s="48">
        <v>0.30694444444444441</v>
      </c>
      <c r="C1035" s="48" t="s">
        <v>676</v>
      </c>
      <c r="D1035" s="48" t="s">
        <v>97</v>
      </c>
      <c r="E1035" s="13">
        <v>2</v>
      </c>
      <c r="F1035" s="38" t="str">
        <f>VLOOKUP(E1035,[4]Key!$A$17:$B$21,2,FALSE)</f>
        <v>Road Vehicle</v>
      </c>
      <c r="G1035" s="49">
        <v>6</v>
      </c>
      <c r="H1035" s="39" t="str">
        <f>VLOOKUP(G1035,[4]Key!$A$2:$B$13,2,FALSE)</f>
        <v>Large Bus</v>
      </c>
      <c r="I1035" s="13" t="s">
        <v>109</v>
      </c>
      <c r="J1035" s="13">
        <v>3</v>
      </c>
      <c r="K1035" s="40" t="str">
        <f>VLOOKUP(J1035,[4]Key!$A$24:$B$29,2,FALSE)</f>
        <v>40-49</v>
      </c>
      <c r="L1035" s="13" t="s">
        <v>484</v>
      </c>
      <c r="M1035" s="23" t="s">
        <v>485</v>
      </c>
      <c r="N1035" s="13" t="s">
        <v>152</v>
      </c>
      <c r="O1035" s="46">
        <v>2</v>
      </c>
      <c r="P1035" s="30" t="str">
        <f>VLOOKUP(O1035,[4]Key!$E$2:$F$9,2,FALSE)</f>
        <v>Work</v>
      </c>
      <c r="Q1035" s="13" t="s">
        <v>434</v>
      </c>
      <c r="R1035" s="23" t="s">
        <v>153</v>
      </c>
      <c r="S1035" s="13" t="s">
        <v>152</v>
      </c>
      <c r="T1035" s="23">
        <v>2</v>
      </c>
      <c r="U1035" s="30" t="str">
        <f>VLOOKUP(T1035,[4]Key!$E$2:$F$9,2,FALSE)</f>
        <v>Work</v>
      </c>
      <c r="V1035" s="30" t="str">
        <f t="shared" si="64"/>
        <v>Work-Work</v>
      </c>
      <c r="W1035" s="51">
        <v>400000</v>
      </c>
      <c r="X1035" s="50">
        <v>480</v>
      </c>
      <c r="Y1035" s="50" t="str">
        <f t="shared" si="65"/>
        <v>Over 200</v>
      </c>
      <c r="Z1035" s="50">
        <v>13</v>
      </c>
      <c r="AA1035" s="50" t="str">
        <f t="shared" si="66"/>
        <v>Over 3.5</v>
      </c>
      <c r="AB1035" s="23">
        <v>5</v>
      </c>
      <c r="AC1035" s="30" t="str">
        <f>VLOOKUP(AB1035,[4]Key!$C$20:$D$29,2,FALSE)</f>
        <v>Professional</v>
      </c>
      <c r="AD1035" s="23">
        <v>5</v>
      </c>
      <c r="AE1035" s="30" t="str">
        <f>VLOOKUP(AD1035,[4]Key!$E$20:$F$24,2,FALSE)</f>
        <v>&gt;1,000,000</v>
      </c>
      <c r="AF1035" s="23">
        <v>2</v>
      </c>
      <c r="AG1035" s="50">
        <v>2</v>
      </c>
      <c r="AH1035" s="50">
        <v>1</v>
      </c>
      <c r="AI1035" s="50">
        <v>1</v>
      </c>
      <c r="AJ1035" s="50">
        <v>2</v>
      </c>
      <c r="AK1035" s="46" t="s">
        <v>94</v>
      </c>
      <c r="AL1035" s="36">
        <v>5000</v>
      </c>
      <c r="AM1035" t="str">
        <f t="shared" si="67"/>
        <v>5000-10000</v>
      </c>
    </row>
    <row r="1036" spans="1:39" x14ac:dyDescent="0.2">
      <c r="A1036" s="44" t="s">
        <v>541</v>
      </c>
      <c r="B1036" s="48">
        <v>0.67638888888888893</v>
      </c>
      <c r="C1036" s="48" t="s">
        <v>677</v>
      </c>
      <c r="D1036" s="48" t="s">
        <v>97</v>
      </c>
      <c r="E1036" s="13">
        <v>2</v>
      </c>
      <c r="F1036" s="38" t="str">
        <f>VLOOKUP(E1036,[4]Key!$A$17:$B$21,2,FALSE)</f>
        <v>Road Vehicle</v>
      </c>
      <c r="G1036" s="49">
        <v>7</v>
      </c>
      <c r="H1036" s="39" t="str">
        <f>VLOOKUP(G1036,[4]Key!$A$2:$B$13,2,FALSE)</f>
        <v xml:space="preserve">Light Truck </v>
      </c>
      <c r="I1036" s="13" t="s">
        <v>109</v>
      </c>
      <c r="J1036" s="13">
        <v>3</v>
      </c>
      <c r="K1036" s="40" t="str">
        <f>VLOOKUP(J1036,[4]Key!$A$24:$B$29,2,FALSE)</f>
        <v>40-49</v>
      </c>
      <c r="L1036" s="13" t="s">
        <v>484</v>
      </c>
      <c r="M1036" s="23" t="s">
        <v>485</v>
      </c>
      <c r="N1036" s="13" t="s">
        <v>152</v>
      </c>
      <c r="O1036" s="46">
        <v>2</v>
      </c>
      <c r="P1036" s="30" t="str">
        <f>VLOOKUP(O1036,[4]Key!$E$2:$F$9,2,FALSE)</f>
        <v>Work</v>
      </c>
      <c r="Q1036" s="13" t="s">
        <v>424</v>
      </c>
      <c r="R1036" s="23" t="s">
        <v>421</v>
      </c>
      <c r="S1036" s="13" t="s">
        <v>152</v>
      </c>
      <c r="T1036" s="23">
        <v>4</v>
      </c>
      <c r="U1036" s="30" t="str">
        <f>VLOOKUP(T1036,[4]Key!$E$2:$F$9,2,FALSE)</f>
        <v>Commercial</v>
      </c>
      <c r="V1036" s="30" t="str">
        <f t="shared" si="64"/>
        <v>Work-Commercial</v>
      </c>
      <c r="W1036" s="51">
        <v>160000</v>
      </c>
      <c r="X1036" s="50">
        <v>224</v>
      </c>
      <c r="Y1036" s="50" t="str">
        <f t="shared" si="65"/>
        <v>Over 200</v>
      </c>
      <c r="Z1036" s="50">
        <v>5</v>
      </c>
      <c r="AA1036" s="50" t="str">
        <f t="shared" si="66"/>
        <v>Over 3.5</v>
      </c>
      <c r="AB1036" s="23">
        <v>7</v>
      </c>
      <c r="AC1036" s="30" t="str">
        <f>VLOOKUP(AB1036,[4]Key!$C$20:$D$29,2,FALSE)</f>
        <v>Farmer</v>
      </c>
      <c r="AD1036" s="23">
        <v>5</v>
      </c>
      <c r="AE1036" s="30" t="str">
        <f>VLOOKUP(AD1036,[4]Key!$E$20:$F$24,2,FALSE)</f>
        <v>&gt;1,000,000</v>
      </c>
      <c r="AF1036" s="23">
        <v>3</v>
      </c>
      <c r="AG1036" s="50">
        <v>3</v>
      </c>
      <c r="AH1036" s="50">
        <v>2</v>
      </c>
      <c r="AI1036" s="50">
        <v>3</v>
      </c>
      <c r="AJ1036" s="50">
        <v>3</v>
      </c>
      <c r="AK1036" s="46" t="s">
        <v>94</v>
      </c>
      <c r="AL1036" s="36">
        <v>4000</v>
      </c>
      <c r="AM1036" t="str">
        <f t="shared" si="67"/>
        <v>3000-5000</v>
      </c>
    </row>
    <row r="1037" spans="1:39" x14ac:dyDescent="0.2">
      <c r="A1037" s="44" t="s">
        <v>541</v>
      </c>
      <c r="B1037" s="48">
        <v>0.65486111111111112</v>
      </c>
      <c r="C1037" s="48"/>
      <c r="D1037" s="48" t="s">
        <v>150</v>
      </c>
      <c r="E1037" s="13">
        <v>2</v>
      </c>
      <c r="F1037" s="38" t="str">
        <f>VLOOKUP(E1037,[4]Key!$A$17:$B$21,2,FALSE)</f>
        <v>Road Vehicle</v>
      </c>
      <c r="G1037" s="49">
        <v>5</v>
      </c>
      <c r="H1037" s="39" t="str">
        <f>VLOOKUP(G1037,[4]Key!$A$2:$B$13,2,FALSE)</f>
        <v xml:space="preserve">Medium bus </v>
      </c>
      <c r="I1037" s="13" t="s">
        <v>109</v>
      </c>
      <c r="J1037" s="13">
        <v>3</v>
      </c>
      <c r="K1037" s="40" t="str">
        <f>VLOOKUP(J1037,[4]Key!$A$24:$B$29,2,FALSE)</f>
        <v>40-49</v>
      </c>
      <c r="L1037" s="13" t="s">
        <v>484</v>
      </c>
      <c r="M1037" s="23" t="s">
        <v>485</v>
      </c>
      <c r="N1037" s="13" t="s">
        <v>152</v>
      </c>
      <c r="O1037" s="46">
        <v>2</v>
      </c>
      <c r="P1037" s="30" t="str">
        <f>VLOOKUP(O1037,[4]Key!$E$2:$F$9,2,FALSE)</f>
        <v>Work</v>
      </c>
      <c r="Q1037" s="13" t="s">
        <v>454</v>
      </c>
      <c r="R1037" s="23" t="s">
        <v>455</v>
      </c>
      <c r="S1037" s="13" t="s">
        <v>152</v>
      </c>
      <c r="T1037" s="23">
        <v>2</v>
      </c>
      <c r="U1037" s="30" t="str">
        <f>VLOOKUP(T1037,[4]Key!$E$2:$F$9,2,FALSE)</f>
        <v>Work</v>
      </c>
      <c r="V1037" s="30" t="str">
        <f t="shared" si="64"/>
        <v>Work-Work</v>
      </c>
      <c r="W1037" s="51">
        <v>7000</v>
      </c>
      <c r="X1037" s="50">
        <v>70</v>
      </c>
      <c r="Y1037" s="50" t="str">
        <f t="shared" si="65"/>
        <v>70-100</v>
      </c>
      <c r="Z1037" s="50">
        <v>1</v>
      </c>
      <c r="AA1037" s="50" t="str">
        <f t="shared" si="66"/>
        <v>1.0-2.0</v>
      </c>
      <c r="AB1037" s="23">
        <v>4</v>
      </c>
      <c r="AC1037" s="30" t="str">
        <f>VLOOKUP(AB1037,[4]Key!$C$20:$D$29,2,FALSE)</f>
        <v>Office Worker</v>
      </c>
      <c r="AD1037" s="23">
        <v>4</v>
      </c>
      <c r="AE1037" s="30" t="str">
        <f>VLOOKUP(AD1037,[4]Key!$E$20:$F$24,2,FALSE)</f>
        <v>750,000-1,000,000</v>
      </c>
      <c r="AF1037" s="23">
        <v>2</v>
      </c>
      <c r="AG1037" s="50">
        <v>2</v>
      </c>
      <c r="AH1037" s="50">
        <v>2</v>
      </c>
      <c r="AI1037" s="50">
        <v>3</v>
      </c>
      <c r="AJ1037" s="50">
        <v>4</v>
      </c>
      <c r="AK1037" s="46" t="s">
        <v>94</v>
      </c>
      <c r="AL1037" s="36">
        <v>3000</v>
      </c>
      <c r="AM1037" t="str">
        <f t="shared" si="67"/>
        <v>3000-5000</v>
      </c>
    </row>
    <row r="1038" spans="1:39" x14ac:dyDescent="0.2">
      <c r="A1038" s="44" t="s">
        <v>541</v>
      </c>
      <c r="B1038" s="48">
        <v>0.68472222222222223</v>
      </c>
      <c r="C1038" s="48" t="s">
        <v>678</v>
      </c>
      <c r="D1038" s="48" t="s">
        <v>97</v>
      </c>
      <c r="E1038" s="13">
        <v>2</v>
      </c>
      <c r="F1038" s="38" t="str">
        <f>VLOOKUP(E1038,[4]Key!$A$17:$B$21,2,FALSE)</f>
        <v>Road Vehicle</v>
      </c>
      <c r="G1038" s="49">
        <v>8</v>
      </c>
      <c r="H1038" s="39" t="str">
        <f>VLOOKUP(G1038,[4]Key!$A$2:$B$13,2,FALSE)</f>
        <v xml:space="preserve">Medium Truck </v>
      </c>
      <c r="I1038" s="13" t="s">
        <v>109</v>
      </c>
      <c r="J1038" s="13">
        <v>3</v>
      </c>
      <c r="K1038" s="40" t="str">
        <f>VLOOKUP(J1038,[4]Key!$A$24:$B$29,2,FALSE)</f>
        <v>40-49</v>
      </c>
      <c r="L1038" s="13" t="s">
        <v>484</v>
      </c>
      <c r="M1038" s="23" t="s">
        <v>485</v>
      </c>
      <c r="N1038" s="13" t="s">
        <v>152</v>
      </c>
      <c r="O1038" s="46">
        <v>4</v>
      </c>
      <c r="P1038" s="30" t="str">
        <f>VLOOKUP(O1038,[4]Key!$E$2:$F$9,2,FALSE)</f>
        <v>Commercial</v>
      </c>
      <c r="Q1038" s="13" t="s">
        <v>437</v>
      </c>
      <c r="R1038" s="23" t="s">
        <v>175</v>
      </c>
      <c r="S1038" s="13" t="s">
        <v>152</v>
      </c>
      <c r="T1038" s="23">
        <v>4</v>
      </c>
      <c r="U1038" s="30" t="str">
        <f>VLOOKUP(T1038,[4]Key!$E$2:$F$9,2,FALSE)</f>
        <v>Commercial</v>
      </c>
      <c r="V1038" s="30" t="str">
        <f t="shared" si="64"/>
        <v>Commercial-Commercial</v>
      </c>
      <c r="W1038" s="51">
        <v>260000</v>
      </c>
      <c r="X1038" s="50">
        <v>359</v>
      </c>
      <c r="Y1038" s="50" t="str">
        <f t="shared" si="65"/>
        <v>Over 200</v>
      </c>
      <c r="Z1038" s="50">
        <v>6</v>
      </c>
      <c r="AA1038" s="50" t="str">
        <f t="shared" si="66"/>
        <v>Over 3.5</v>
      </c>
      <c r="AB1038" s="23">
        <v>6</v>
      </c>
      <c r="AC1038" s="30" t="str">
        <f>VLOOKUP(AB1038,[4]Key!$C$20:$D$29,2,FALSE)</f>
        <v>Businessman</v>
      </c>
      <c r="AD1038" s="23">
        <v>3</v>
      </c>
      <c r="AE1038" s="30" t="str">
        <f>VLOOKUP(AD1038,[4]Key!$E$20:$F$24,2,FALSE)</f>
        <v>500,000-750,000</v>
      </c>
      <c r="AF1038" s="23">
        <v>2</v>
      </c>
      <c r="AG1038" s="50">
        <v>2</v>
      </c>
      <c r="AH1038" s="50">
        <v>2</v>
      </c>
      <c r="AI1038" s="50">
        <v>4</v>
      </c>
      <c r="AJ1038" s="50">
        <v>3</v>
      </c>
      <c r="AK1038" s="46" t="s">
        <v>94</v>
      </c>
      <c r="AL1038" s="36">
        <v>0</v>
      </c>
      <c r="AM1038" t="str">
        <f t="shared" si="67"/>
        <v>0-1000</v>
      </c>
    </row>
    <row r="1039" spans="1:39" x14ac:dyDescent="0.2">
      <c r="A1039" s="44" t="s">
        <v>541</v>
      </c>
      <c r="B1039" s="48">
        <v>0.65555555555555556</v>
      </c>
      <c r="C1039" s="48"/>
      <c r="D1039" s="48" t="s">
        <v>150</v>
      </c>
      <c r="E1039" s="13">
        <v>2</v>
      </c>
      <c r="F1039" s="38" t="str">
        <f>VLOOKUP(E1039,[4]Key!$A$17:$B$21,2,FALSE)</f>
        <v>Road Vehicle</v>
      </c>
      <c r="G1039" s="49">
        <v>4</v>
      </c>
      <c r="H1039" s="39" t="str">
        <f>VLOOKUP(G1039,[4]Key!$A$2:$B$13,2,FALSE)</f>
        <v>Minibus</v>
      </c>
      <c r="I1039" s="13" t="s">
        <v>156</v>
      </c>
      <c r="J1039" s="13">
        <v>3</v>
      </c>
      <c r="K1039" s="40" t="str">
        <f>VLOOKUP(J1039,[4]Key!$A$24:$B$29,2,FALSE)</f>
        <v>40-49</v>
      </c>
      <c r="L1039" s="13" t="s">
        <v>454</v>
      </c>
      <c r="M1039" s="23" t="s">
        <v>455</v>
      </c>
      <c r="N1039" s="13" t="s">
        <v>152</v>
      </c>
      <c r="O1039" s="46">
        <v>1</v>
      </c>
      <c r="P1039" s="30" t="str">
        <f>VLOOKUP(O1039,[4]Key!$E$2:$F$9,2,FALSE)</f>
        <v>Home</v>
      </c>
      <c r="Q1039" s="13" t="s">
        <v>487</v>
      </c>
      <c r="R1039" s="23" t="s">
        <v>488</v>
      </c>
      <c r="S1039" s="13" t="s">
        <v>152</v>
      </c>
      <c r="T1039" s="23">
        <v>4</v>
      </c>
      <c r="U1039" s="30" t="str">
        <f>VLOOKUP(T1039,[4]Key!$E$2:$F$9,2,FALSE)</f>
        <v>Commercial</v>
      </c>
      <c r="V1039" s="30" t="str">
        <f t="shared" si="64"/>
        <v>Home-Commercial</v>
      </c>
      <c r="W1039" s="51">
        <v>10000</v>
      </c>
      <c r="X1039" s="50">
        <v>96</v>
      </c>
      <c r="Y1039" s="50" t="str">
        <f t="shared" si="65"/>
        <v>70-100</v>
      </c>
      <c r="Z1039" s="50">
        <v>2</v>
      </c>
      <c r="AA1039" s="50" t="str">
        <f t="shared" si="66"/>
        <v>2.0-3.5</v>
      </c>
      <c r="AB1039" s="23">
        <v>1</v>
      </c>
      <c r="AC1039" s="30" t="str">
        <f>VLOOKUP(AB1039,[4]Key!$C$20:$D$29,2,FALSE)</f>
        <v>Unemployed</v>
      </c>
      <c r="AD1039" s="23">
        <v>2</v>
      </c>
      <c r="AE1039" s="30" t="str">
        <f>VLOOKUP(AD1039,[4]Key!$E$20:$F$24,2,FALSE)</f>
        <v>300,000-500,000</v>
      </c>
      <c r="AF1039" s="23">
        <v>1</v>
      </c>
      <c r="AG1039" s="50">
        <v>1</v>
      </c>
      <c r="AH1039" s="50">
        <v>1</v>
      </c>
      <c r="AI1039" s="50">
        <v>1</v>
      </c>
      <c r="AJ1039" s="50">
        <v>1</v>
      </c>
      <c r="AK1039" s="46" t="s">
        <v>94</v>
      </c>
      <c r="AL1039" s="36">
        <v>1000</v>
      </c>
      <c r="AM1039" t="str">
        <f t="shared" si="67"/>
        <v>1000-2000</v>
      </c>
    </row>
    <row r="1040" spans="1:39" x14ac:dyDescent="0.2">
      <c r="A1040" s="44" t="s">
        <v>547</v>
      </c>
      <c r="B1040" s="48">
        <v>0.36944444444444446</v>
      </c>
      <c r="C1040" s="48"/>
      <c r="D1040" s="48" t="s">
        <v>150</v>
      </c>
      <c r="E1040" s="13">
        <v>2</v>
      </c>
      <c r="F1040" s="38" t="str">
        <f>VLOOKUP(E1040,[4]Key!$A$17:$B$21,2,FALSE)</f>
        <v>Road Vehicle</v>
      </c>
      <c r="G1040" s="49">
        <v>4</v>
      </c>
      <c r="H1040" s="39" t="str">
        <f>VLOOKUP(G1040,[4]Key!$A$2:$B$13,2,FALSE)</f>
        <v>Minibus</v>
      </c>
      <c r="I1040" s="13" t="s">
        <v>156</v>
      </c>
      <c r="J1040" s="13">
        <v>3</v>
      </c>
      <c r="K1040" s="40" t="str">
        <f>VLOOKUP(J1040,[4]Key!$A$24:$B$29,2,FALSE)</f>
        <v>40-49</v>
      </c>
      <c r="L1040" s="13" t="s">
        <v>454</v>
      </c>
      <c r="M1040" s="23" t="s">
        <v>455</v>
      </c>
      <c r="N1040" s="13" t="s">
        <v>152</v>
      </c>
      <c r="O1040" s="46">
        <v>1</v>
      </c>
      <c r="P1040" s="30" t="str">
        <f>VLOOKUP(O1040,[4]Key!$E$2:$F$9,2,FALSE)</f>
        <v>Home</v>
      </c>
      <c r="Q1040" s="13" t="s">
        <v>555</v>
      </c>
      <c r="R1040" s="23" t="s">
        <v>556</v>
      </c>
      <c r="S1040" s="13" t="s">
        <v>152</v>
      </c>
      <c r="T1040" s="23">
        <v>4</v>
      </c>
      <c r="U1040" s="30" t="str">
        <f>VLOOKUP(T1040,[4]Key!$E$2:$F$9,2,FALSE)</f>
        <v>Commercial</v>
      </c>
      <c r="V1040" s="30" t="str">
        <f t="shared" si="64"/>
        <v>Home-Commercial</v>
      </c>
      <c r="W1040" s="51">
        <v>50000</v>
      </c>
      <c r="X1040" s="50">
        <v>360</v>
      </c>
      <c r="Y1040" s="50" t="str">
        <f t="shared" si="65"/>
        <v>Over 200</v>
      </c>
      <c r="Z1040" s="50">
        <v>6</v>
      </c>
      <c r="AA1040" s="50" t="str">
        <f t="shared" si="66"/>
        <v>Over 3.5</v>
      </c>
      <c r="AB1040" s="23">
        <v>5</v>
      </c>
      <c r="AC1040" s="30" t="str">
        <f>VLOOKUP(AB1040,[4]Key!$C$20:$D$29,2,FALSE)</f>
        <v>Professional</v>
      </c>
      <c r="AD1040" s="23">
        <v>2</v>
      </c>
      <c r="AE1040" s="30" t="str">
        <f>VLOOKUP(AD1040,[4]Key!$E$20:$F$24,2,FALSE)</f>
        <v>300,000-500,000</v>
      </c>
      <c r="AF1040" s="23">
        <v>5</v>
      </c>
      <c r="AG1040" s="50">
        <v>5</v>
      </c>
      <c r="AH1040" s="50">
        <v>5</v>
      </c>
      <c r="AI1040" s="50">
        <v>5</v>
      </c>
      <c r="AJ1040" s="50">
        <v>5</v>
      </c>
      <c r="AK1040" s="46" t="s">
        <v>94</v>
      </c>
      <c r="AL1040" s="36">
        <v>4000</v>
      </c>
      <c r="AM1040" t="str">
        <f t="shared" si="67"/>
        <v>3000-5000</v>
      </c>
    </row>
    <row r="1041" spans="1:39" x14ac:dyDescent="0.2">
      <c r="A1041" s="44" t="s">
        <v>547</v>
      </c>
      <c r="B1041" s="48">
        <v>0.43541666666666662</v>
      </c>
      <c r="C1041" s="48"/>
      <c r="D1041" s="48" t="s">
        <v>150</v>
      </c>
      <c r="E1041" s="13">
        <v>2</v>
      </c>
      <c r="F1041" s="38" t="str">
        <f>VLOOKUP(E1041,[4]Key!$A$17:$B$21,2,FALSE)</f>
        <v>Road Vehicle</v>
      </c>
      <c r="G1041" s="49">
        <v>4</v>
      </c>
      <c r="H1041" s="39" t="str">
        <f>VLOOKUP(G1041,[4]Key!$A$2:$B$13,2,FALSE)</f>
        <v>Minibus</v>
      </c>
      <c r="I1041" s="13" t="s">
        <v>156</v>
      </c>
      <c r="J1041" s="13">
        <v>3</v>
      </c>
      <c r="K1041" s="40" t="str">
        <f>VLOOKUP(J1041,[4]Key!$A$24:$B$29,2,FALSE)</f>
        <v>40-49</v>
      </c>
      <c r="L1041" s="13" t="s">
        <v>454</v>
      </c>
      <c r="M1041" s="23" t="s">
        <v>455</v>
      </c>
      <c r="N1041" s="13" t="s">
        <v>152</v>
      </c>
      <c r="O1041" s="46">
        <v>1</v>
      </c>
      <c r="P1041" s="30" t="str">
        <f>VLOOKUP(O1041,[4]Key!$E$2:$F$9,2,FALSE)</f>
        <v>Home</v>
      </c>
      <c r="Q1041" s="13" t="s">
        <v>679</v>
      </c>
      <c r="R1041" s="23" t="s">
        <v>175</v>
      </c>
      <c r="S1041" s="13" t="s">
        <v>152</v>
      </c>
      <c r="T1041" s="23">
        <v>6</v>
      </c>
      <c r="U1041" s="30" t="str">
        <f>VLOOKUP(T1041,[4]Key!$E$2:$F$9,2,FALSE)</f>
        <v>Leisure/Social</v>
      </c>
      <c r="V1041" s="30" t="str">
        <f t="shared" si="64"/>
        <v>Home-Leisure/Social</v>
      </c>
      <c r="W1041" s="51">
        <v>20000</v>
      </c>
      <c r="X1041" s="50">
        <v>200</v>
      </c>
      <c r="Y1041" s="50" t="str">
        <f t="shared" si="65"/>
        <v>Over 200</v>
      </c>
      <c r="Z1041" s="50">
        <v>3</v>
      </c>
      <c r="AA1041" s="50" t="str">
        <f t="shared" si="66"/>
        <v>2.0-3.5</v>
      </c>
      <c r="AB1041" s="23">
        <v>1</v>
      </c>
      <c r="AC1041" s="30" t="str">
        <f>VLOOKUP(AB1041,[4]Key!$C$20:$D$29,2,FALSE)</f>
        <v>Unemployed</v>
      </c>
      <c r="AD1041" s="23">
        <v>1</v>
      </c>
      <c r="AE1041" s="30" t="str">
        <f>VLOOKUP(AD1041,[4]Key!$E$20:$F$24,2,FALSE)</f>
        <v>&lt;300,000</v>
      </c>
      <c r="AF1041" s="23">
        <v>1</v>
      </c>
      <c r="AG1041" s="50">
        <v>1</v>
      </c>
      <c r="AH1041" s="50">
        <v>1</v>
      </c>
      <c r="AI1041" s="50">
        <v>1</v>
      </c>
      <c r="AJ1041" s="50">
        <v>1</v>
      </c>
      <c r="AK1041" s="46" t="s">
        <v>94</v>
      </c>
      <c r="AL1041" s="36">
        <v>0</v>
      </c>
      <c r="AM1041" t="str">
        <f t="shared" si="67"/>
        <v>0-1000</v>
      </c>
    </row>
    <row r="1042" spans="1:39" x14ac:dyDescent="0.2">
      <c r="A1042" s="44" t="s">
        <v>547</v>
      </c>
      <c r="B1042" s="48">
        <v>0.76180555555555562</v>
      </c>
      <c r="C1042" s="48" t="s">
        <v>680</v>
      </c>
      <c r="D1042" s="48" t="s">
        <v>97</v>
      </c>
      <c r="E1042" s="13">
        <v>2</v>
      </c>
      <c r="F1042" s="38" t="str">
        <f>VLOOKUP(E1042,[4]Key!$A$17:$B$21,2,FALSE)</f>
        <v>Road Vehicle</v>
      </c>
      <c r="G1042" s="49">
        <v>4</v>
      </c>
      <c r="H1042" s="39" t="str">
        <f>VLOOKUP(G1042,[4]Key!$A$2:$B$13,2,FALSE)</f>
        <v>Minibus</v>
      </c>
      <c r="I1042" s="13" t="s">
        <v>156</v>
      </c>
      <c r="J1042" s="13">
        <v>3</v>
      </c>
      <c r="K1042" s="40" t="str">
        <f>VLOOKUP(J1042,[4]Key!$A$24:$B$29,2,FALSE)</f>
        <v>40-49</v>
      </c>
      <c r="L1042" s="13" t="s">
        <v>554</v>
      </c>
      <c r="M1042" s="23" t="s">
        <v>455</v>
      </c>
      <c r="N1042" s="13" t="s">
        <v>152</v>
      </c>
      <c r="O1042" s="46">
        <v>1</v>
      </c>
      <c r="P1042" s="30" t="str">
        <f>VLOOKUP(O1042,[4]Key!$E$2:$F$9,2,FALSE)</f>
        <v>Home</v>
      </c>
      <c r="Q1042" s="13" t="s">
        <v>454</v>
      </c>
      <c r="R1042" s="23" t="s">
        <v>455</v>
      </c>
      <c r="S1042" s="13" t="s">
        <v>152</v>
      </c>
      <c r="T1042" s="23">
        <v>2</v>
      </c>
      <c r="U1042" s="30" t="str">
        <f>VLOOKUP(T1042,[4]Key!$E$2:$F$9,2,FALSE)</f>
        <v>Work</v>
      </c>
      <c r="V1042" s="30" t="str">
        <f t="shared" si="64"/>
        <v>Home-Work</v>
      </c>
      <c r="W1042" s="51">
        <v>10000</v>
      </c>
      <c r="X1042" s="50">
        <v>3</v>
      </c>
      <c r="Y1042" s="50" t="str">
        <f t="shared" si="65"/>
        <v>0-10</v>
      </c>
      <c r="Z1042" s="50">
        <v>0.28000000000000003</v>
      </c>
      <c r="AA1042" s="50" t="str">
        <f t="shared" si="66"/>
        <v>0-0.5</v>
      </c>
      <c r="AB1042" s="23">
        <v>4</v>
      </c>
      <c r="AC1042" s="30" t="str">
        <f>VLOOKUP(AB1042,[4]Key!$C$20:$D$29,2,FALSE)</f>
        <v>Office Worker</v>
      </c>
      <c r="AD1042" s="23">
        <v>3</v>
      </c>
      <c r="AE1042" s="30" t="str">
        <f>VLOOKUP(AD1042,[4]Key!$E$20:$F$24,2,FALSE)</f>
        <v>500,000-750,000</v>
      </c>
      <c r="AF1042" s="23">
        <v>1</v>
      </c>
      <c r="AG1042" s="50">
        <v>1</v>
      </c>
      <c r="AH1042" s="50">
        <v>1</v>
      </c>
      <c r="AI1042" s="50">
        <v>1</v>
      </c>
      <c r="AJ1042" s="50">
        <v>1</v>
      </c>
      <c r="AK1042" s="46" t="s">
        <v>94</v>
      </c>
      <c r="AL1042" s="36">
        <v>2000</v>
      </c>
      <c r="AM1042" t="str">
        <f t="shared" si="67"/>
        <v>2000-3000</v>
      </c>
    </row>
    <row r="1043" spans="1:39" x14ac:dyDescent="0.2">
      <c r="A1043" s="44" t="s">
        <v>547</v>
      </c>
      <c r="B1043" s="48">
        <v>0.78055555555555556</v>
      </c>
      <c r="C1043" s="48"/>
      <c r="D1043" s="48" t="s">
        <v>150</v>
      </c>
      <c r="E1043" s="13">
        <v>2</v>
      </c>
      <c r="F1043" s="38" t="str">
        <f>VLOOKUP(E1043,[4]Key!$A$17:$B$21,2,FALSE)</f>
        <v>Road Vehicle</v>
      </c>
      <c r="G1043" s="49">
        <v>4</v>
      </c>
      <c r="H1043" s="39" t="str">
        <f>VLOOKUP(G1043,[4]Key!$A$2:$B$13,2,FALSE)</f>
        <v>Minibus</v>
      </c>
      <c r="I1043" s="13" t="s">
        <v>156</v>
      </c>
      <c r="J1043" s="13">
        <v>3</v>
      </c>
      <c r="K1043" s="40" t="str">
        <f>VLOOKUP(J1043,[4]Key!$A$24:$B$29,2,FALSE)</f>
        <v>40-49</v>
      </c>
      <c r="L1043" s="13" t="s">
        <v>454</v>
      </c>
      <c r="M1043" s="23" t="s">
        <v>455</v>
      </c>
      <c r="N1043" s="13" t="s">
        <v>152</v>
      </c>
      <c r="O1043" s="46">
        <v>1</v>
      </c>
      <c r="P1043" s="30" t="str">
        <f>VLOOKUP(O1043,[4]Key!$E$2:$F$9,2,FALSE)</f>
        <v>Home</v>
      </c>
      <c r="Q1043" s="13" t="s">
        <v>425</v>
      </c>
      <c r="R1043" s="23" t="s">
        <v>426</v>
      </c>
      <c r="S1043" s="13" t="s">
        <v>152</v>
      </c>
      <c r="T1043" s="23">
        <v>1</v>
      </c>
      <c r="U1043" s="30" t="str">
        <f>VLOOKUP(T1043,[4]Key!$E$2:$F$9,2,FALSE)</f>
        <v>Home</v>
      </c>
      <c r="V1043" s="30" t="str">
        <f t="shared" si="64"/>
        <v>Home-Home</v>
      </c>
      <c r="W1043" s="51">
        <v>25000</v>
      </c>
      <c r="X1043" s="50">
        <v>230</v>
      </c>
      <c r="Y1043" s="50" t="str">
        <f t="shared" si="65"/>
        <v>Over 200</v>
      </c>
      <c r="Z1043" s="50">
        <v>2</v>
      </c>
      <c r="AA1043" s="50" t="str">
        <f t="shared" si="66"/>
        <v>2.0-3.5</v>
      </c>
      <c r="AB1043" s="23">
        <v>2</v>
      </c>
      <c r="AC1043" s="30" t="str">
        <f>VLOOKUP(AB1043,[4]Key!$C$20:$D$29,2,FALSE)</f>
        <v>Manual Labour</v>
      </c>
      <c r="AD1043" s="23">
        <v>2</v>
      </c>
      <c r="AE1043" s="30" t="str">
        <f>VLOOKUP(AD1043,[4]Key!$E$20:$F$24,2,FALSE)</f>
        <v>300,000-500,000</v>
      </c>
      <c r="AF1043" s="23">
        <v>1</v>
      </c>
      <c r="AG1043" s="50">
        <v>5</v>
      </c>
      <c r="AH1043" s="50">
        <v>5</v>
      </c>
      <c r="AI1043" s="50">
        <v>1</v>
      </c>
      <c r="AJ1043" s="50">
        <v>1</v>
      </c>
      <c r="AK1043" s="46" t="s">
        <v>94</v>
      </c>
      <c r="AL1043" s="36">
        <v>2000</v>
      </c>
      <c r="AM1043" t="str">
        <f t="shared" si="67"/>
        <v>2000-3000</v>
      </c>
    </row>
    <row r="1044" spans="1:39" x14ac:dyDescent="0.2">
      <c r="A1044" s="44" t="s">
        <v>544</v>
      </c>
      <c r="B1044" s="48">
        <v>0.30833333333333335</v>
      </c>
      <c r="C1044" s="48"/>
      <c r="D1044" s="48" t="s">
        <v>97</v>
      </c>
      <c r="E1044" s="13">
        <v>2</v>
      </c>
      <c r="F1044" s="38" t="str">
        <f>VLOOKUP(E1044,[4]Key!$A$17:$B$21,2,FALSE)</f>
        <v>Road Vehicle</v>
      </c>
      <c r="G1044" s="49">
        <v>4</v>
      </c>
      <c r="H1044" s="39" t="str">
        <f>VLOOKUP(G1044,[4]Key!$A$2:$B$13,2,FALSE)</f>
        <v>Minibus</v>
      </c>
      <c r="I1044" s="13" t="s">
        <v>156</v>
      </c>
      <c r="J1044" s="13">
        <v>3</v>
      </c>
      <c r="K1044" s="40" t="str">
        <f>VLOOKUP(J1044,[4]Key!$A$24:$B$29,2,FALSE)</f>
        <v>40-49</v>
      </c>
      <c r="L1044" s="13" t="s">
        <v>681</v>
      </c>
      <c r="M1044" s="23" t="s">
        <v>421</v>
      </c>
      <c r="N1044" s="13" t="s">
        <v>152</v>
      </c>
      <c r="O1044" s="46">
        <v>1</v>
      </c>
      <c r="P1044" s="30" t="str">
        <f>VLOOKUP(O1044,[4]Key!$E$2:$F$9,2,FALSE)</f>
        <v>Home</v>
      </c>
      <c r="Q1044" s="13" t="s">
        <v>454</v>
      </c>
      <c r="R1044" s="23" t="s">
        <v>455</v>
      </c>
      <c r="S1044" s="13" t="s">
        <v>152</v>
      </c>
      <c r="T1044" s="23">
        <v>4</v>
      </c>
      <c r="U1044" s="30" t="str">
        <f>VLOOKUP(T1044,[4]Key!$E$2:$F$9,2,FALSE)</f>
        <v>Commercial</v>
      </c>
      <c r="V1044" s="30" t="str">
        <f t="shared" si="64"/>
        <v>Home-Commercial</v>
      </c>
      <c r="W1044" s="51">
        <v>30000</v>
      </c>
      <c r="X1044" s="50">
        <v>40</v>
      </c>
      <c r="Y1044" s="50" t="str">
        <f t="shared" si="65"/>
        <v>40-70</v>
      </c>
      <c r="Z1044" s="50">
        <v>2</v>
      </c>
      <c r="AA1044" s="50" t="str">
        <f t="shared" si="66"/>
        <v>2.0-3.5</v>
      </c>
      <c r="AB1044" s="23">
        <v>2</v>
      </c>
      <c r="AC1044" s="30" t="str">
        <f>VLOOKUP(AB1044,[4]Key!$C$20:$D$29,2,FALSE)</f>
        <v>Manual Labour</v>
      </c>
      <c r="AD1044" s="23">
        <v>2</v>
      </c>
      <c r="AE1044" s="30" t="str">
        <f>VLOOKUP(AD1044,[4]Key!$E$20:$F$24,2,FALSE)</f>
        <v>300,000-500,000</v>
      </c>
      <c r="AF1044" s="23">
        <v>5</v>
      </c>
      <c r="AG1044" s="50">
        <v>5</v>
      </c>
      <c r="AH1044" s="50">
        <v>5</v>
      </c>
      <c r="AI1044" s="50">
        <v>5</v>
      </c>
      <c r="AJ1044" s="50">
        <v>5</v>
      </c>
      <c r="AK1044" s="46" t="s">
        <v>94</v>
      </c>
      <c r="AL1044" s="36">
        <v>1000</v>
      </c>
      <c r="AM1044" t="str">
        <f t="shared" si="67"/>
        <v>1000-2000</v>
      </c>
    </row>
    <row r="1045" spans="1:39" x14ac:dyDescent="0.2">
      <c r="A1045" s="44" t="s">
        <v>544</v>
      </c>
      <c r="B1045" s="48">
        <v>0.44305555555555554</v>
      </c>
      <c r="C1045" s="48"/>
      <c r="D1045" s="48" t="s">
        <v>150</v>
      </c>
      <c r="E1045" s="13">
        <v>2</v>
      </c>
      <c r="F1045" s="38" t="str">
        <f>VLOOKUP(E1045,[4]Key!$A$17:$B$21,2,FALSE)</f>
        <v>Road Vehicle</v>
      </c>
      <c r="G1045" s="49">
        <v>4</v>
      </c>
      <c r="H1045" s="39" t="str">
        <f>VLOOKUP(G1045,[4]Key!$A$2:$B$13,2,FALSE)</f>
        <v>Minibus</v>
      </c>
      <c r="I1045" s="13" t="s">
        <v>156</v>
      </c>
      <c r="J1045" s="13">
        <v>3</v>
      </c>
      <c r="K1045" s="40" t="str">
        <f>VLOOKUP(J1045,[4]Key!$A$24:$B$29,2,FALSE)</f>
        <v>40-49</v>
      </c>
      <c r="L1045" s="13" t="s">
        <v>557</v>
      </c>
      <c r="M1045" s="23" t="s">
        <v>444</v>
      </c>
      <c r="N1045" s="13" t="s">
        <v>152</v>
      </c>
      <c r="O1045" s="46">
        <v>4</v>
      </c>
      <c r="P1045" s="30" t="str">
        <f>VLOOKUP(O1045,[4]Key!$E$2:$F$9,2,FALSE)</f>
        <v>Commercial</v>
      </c>
      <c r="Q1045" s="13" t="s">
        <v>454</v>
      </c>
      <c r="R1045" s="23" t="s">
        <v>455</v>
      </c>
      <c r="S1045" s="13" t="s">
        <v>152</v>
      </c>
      <c r="T1045" s="23">
        <v>4</v>
      </c>
      <c r="U1045" s="30" t="str">
        <f>VLOOKUP(T1045,[4]Key!$E$2:$F$9,2,FALSE)</f>
        <v>Commercial</v>
      </c>
      <c r="V1045" s="30" t="str">
        <f t="shared" si="64"/>
        <v>Commercial-Commercial</v>
      </c>
      <c r="W1045" s="51">
        <v>40000</v>
      </c>
      <c r="X1045" s="50">
        <v>420</v>
      </c>
      <c r="Y1045" s="50" t="str">
        <f t="shared" si="65"/>
        <v>Over 200</v>
      </c>
      <c r="Z1045" s="50">
        <v>7</v>
      </c>
      <c r="AA1045" s="50" t="str">
        <f t="shared" si="66"/>
        <v>Over 3.5</v>
      </c>
      <c r="AB1045" s="23">
        <v>6</v>
      </c>
      <c r="AC1045" s="30" t="str">
        <f>VLOOKUP(AB1045,[4]Key!$C$20:$D$29,2,FALSE)</f>
        <v>Businessman</v>
      </c>
      <c r="AD1045" s="23">
        <v>3</v>
      </c>
      <c r="AE1045" s="30" t="str">
        <f>VLOOKUP(AD1045,[4]Key!$E$20:$F$24,2,FALSE)</f>
        <v>500,000-750,000</v>
      </c>
      <c r="AF1045" s="23">
        <v>5</v>
      </c>
      <c r="AG1045" s="50">
        <v>5</v>
      </c>
      <c r="AH1045" s="50">
        <v>5</v>
      </c>
      <c r="AI1045" s="50">
        <v>5</v>
      </c>
      <c r="AJ1045" s="50">
        <v>5</v>
      </c>
      <c r="AK1045" s="46" t="s">
        <v>94</v>
      </c>
      <c r="AL1045" s="36">
        <v>3000</v>
      </c>
      <c r="AM1045" t="str">
        <f t="shared" si="67"/>
        <v>3000-5000</v>
      </c>
    </row>
    <row r="1046" spans="1:39" x14ac:dyDescent="0.2">
      <c r="A1046" s="44" t="s">
        <v>544</v>
      </c>
      <c r="B1046" s="48">
        <v>0.44722222222222219</v>
      </c>
      <c r="C1046" s="48"/>
      <c r="D1046" s="48" t="s">
        <v>150</v>
      </c>
      <c r="E1046" s="13">
        <v>2</v>
      </c>
      <c r="F1046" s="38" t="str">
        <f>VLOOKUP(E1046,[4]Key!$A$17:$B$21,2,FALSE)</f>
        <v>Road Vehicle</v>
      </c>
      <c r="G1046" s="49">
        <v>4</v>
      </c>
      <c r="H1046" s="39" t="str">
        <f>VLOOKUP(G1046,[4]Key!$A$2:$B$13,2,FALSE)</f>
        <v>Minibus</v>
      </c>
      <c r="I1046" s="13" t="s">
        <v>156</v>
      </c>
      <c r="J1046" s="13">
        <v>3</v>
      </c>
      <c r="K1046" s="40" t="str">
        <f>VLOOKUP(J1046,[4]Key!$A$24:$B$29,2,FALSE)</f>
        <v>40-49</v>
      </c>
      <c r="L1046" s="13" t="s">
        <v>454</v>
      </c>
      <c r="M1046" s="23" t="s">
        <v>455</v>
      </c>
      <c r="N1046" s="13" t="s">
        <v>152</v>
      </c>
      <c r="O1046" s="46">
        <v>4</v>
      </c>
      <c r="P1046" s="30" t="str">
        <f>VLOOKUP(O1046,[4]Key!$E$2:$F$9,2,FALSE)</f>
        <v>Commercial</v>
      </c>
      <c r="Q1046" s="13" t="s">
        <v>462</v>
      </c>
      <c r="R1046" s="23" t="s">
        <v>463</v>
      </c>
      <c r="S1046" s="13" t="s">
        <v>152</v>
      </c>
      <c r="T1046" s="23">
        <v>6</v>
      </c>
      <c r="U1046" s="30" t="str">
        <f>VLOOKUP(T1046,[4]Key!$E$2:$F$9,2,FALSE)</f>
        <v>Leisure/Social</v>
      </c>
      <c r="V1046" s="30" t="str">
        <f t="shared" si="64"/>
        <v>Commercial-Leisure/Social</v>
      </c>
      <c r="W1046" s="51">
        <v>12000</v>
      </c>
      <c r="X1046" s="50">
        <v>120</v>
      </c>
      <c r="Y1046" s="50" t="str">
        <f t="shared" si="65"/>
        <v>100-200</v>
      </c>
      <c r="Z1046" s="50">
        <v>2</v>
      </c>
      <c r="AA1046" s="50" t="str">
        <f t="shared" si="66"/>
        <v>2.0-3.5</v>
      </c>
      <c r="AB1046" s="23">
        <v>5</v>
      </c>
      <c r="AC1046" s="30" t="str">
        <f>VLOOKUP(AB1046,[4]Key!$C$20:$D$29,2,FALSE)</f>
        <v>Professional</v>
      </c>
      <c r="AD1046" s="23">
        <v>2</v>
      </c>
      <c r="AE1046" s="30" t="str">
        <f>VLOOKUP(AD1046,[4]Key!$E$20:$F$24,2,FALSE)</f>
        <v>300,000-500,000</v>
      </c>
      <c r="AF1046" s="23">
        <v>2</v>
      </c>
      <c r="AG1046" s="50">
        <v>2</v>
      </c>
      <c r="AH1046" s="50">
        <v>5</v>
      </c>
      <c r="AI1046" s="50">
        <v>5</v>
      </c>
      <c r="AJ1046" s="50">
        <v>2</v>
      </c>
      <c r="AK1046" s="46" t="s">
        <v>94</v>
      </c>
      <c r="AL1046" s="36">
        <v>0</v>
      </c>
      <c r="AM1046" t="str">
        <f t="shared" si="67"/>
        <v>0-1000</v>
      </c>
    </row>
    <row r="1047" spans="1:39" x14ac:dyDescent="0.2">
      <c r="A1047" s="44" t="s">
        <v>544</v>
      </c>
      <c r="B1047" s="48">
        <v>0.49652777777777773</v>
      </c>
      <c r="C1047" s="48"/>
      <c r="D1047" s="48" t="s">
        <v>150</v>
      </c>
      <c r="E1047" s="13">
        <v>2</v>
      </c>
      <c r="F1047" s="38" t="str">
        <f>VLOOKUP(E1047,[4]Key!$A$17:$B$21,2,FALSE)</f>
        <v>Road Vehicle</v>
      </c>
      <c r="G1047" s="49">
        <v>4</v>
      </c>
      <c r="H1047" s="39" t="str">
        <f>VLOOKUP(G1047,[4]Key!$A$2:$B$13,2,FALSE)</f>
        <v>Minibus</v>
      </c>
      <c r="I1047" s="13" t="s">
        <v>156</v>
      </c>
      <c r="J1047" s="13">
        <v>3</v>
      </c>
      <c r="K1047" s="40" t="str">
        <f>VLOOKUP(J1047,[4]Key!$A$24:$B$29,2,FALSE)</f>
        <v>40-49</v>
      </c>
      <c r="L1047" s="13" t="s">
        <v>454</v>
      </c>
      <c r="M1047" s="23" t="s">
        <v>455</v>
      </c>
      <c r="N1047" s="13" t="s">
        <v>152</v>
      </c>
      <c r="O1047" s="46">
        <v>1</v>
      </c>
      <c r="P1047" s="30" t="str">
        <f>VLOOKUP(O1047,[4]Key!$E$2:$F$9,2,FALSE)</f>
        <v>Home</v>
      </c>
      <c r="Q1047" s="13" t="s">
        <v>472</v>
      </c>
      <c r="R1047" s="23" t="s">
        <v>439</v>
      </c>
      <c r="S1047" s="13" t="s">
        <v>152</v>
      </c>
      <c r="T1047" s="23">
        <v>4</v>
      </c>
      <c r="U1047" s="30" t="str">
        <f>VLOOKUP(T1047,[4]Key!$E$2:$F$9,2,FALSE)</f>
        <v>Commercial</v>
      </c>
      <c r="V1047" s="30" t="str">
        <f t="shared" si="64"/>
        <v>Home-Commercial</v>
      </c>
      <c r="W1047" s="51">
        <v>3000</v>
      </c>
      <c r="X1047" s="50">
        <v>47</v>
      </c>
      <c r="Y1047" s="50" t="str">
        <f t="shared" si="65"/>
        <v>40-70</v>
      </c>
      <c r="Z1047" s="50">
        <v>0.78</v>
      </c>
      <c r="AA1047" s="50" t="str">
        <f t="shared" si="66"/>
        <v>0.5-1.0</v>
      </c>
      <c r="AB1047" s="23">
        <v>6</v>
      </c>
      <c r="AC1047" s="30" t="str">
        <f>VLOOKUP(AB1047,[4]Key!$C$20:$D$29,2,FALSE)</f>
        <v>Businessman</v>
      </c>
      <c r="AD1047" s="23">
        <v>3</v>
      </c>
      <c r="AE1047" s="30" t="str">
        <f>VLOOKUP(AD1047,[4]Key!$E$20:$F$24,2,FALSE)</f>
        <v>500,000-750,000</v>
      </c>
      <c r="AF1047" s="23">
        <v>1</v>
      </c>
      <c r="AG1047" s="50">
        <v>1</v>
      </c>
      <c r="AH1047" s="50">
        <v>1</v>
      </c>
      <c r="AI1047" s="50">
        <v>1</v>
      </c>
      <c r="AJ1047" s="50">
        <v>1</v>
      </c>
      <c r="AK1047" s="46" t="s">
        <v>94</v>
      </c>
      <c r="AL1047" s="36">
        <v>1000</v>
      </c>
      <c r="AM1047" t="str">
        <f t="shared" si="67"/>
        <v>1000-2000</v>
      </c>
    </row>
    <row r="1048" spans="1:39" x14ac:dyDescent="0.2">
      <c r="A1048" s="44" t="s">
        <v>544</v>
      </c>
      <c r="B1048" s="48">
        <v>0.52847222222222223</v>
      </c>
      <c r="C1048" s="48"/>
      <c r="D1048" s="48" t="s">
        <v>150</v>
      </c>
      <c r="E1048" s="13">
        <v>2</v>
      </c>
      <c r="F1048" s="38" t="str">
        <f>VLOOKUP(E1048,[4]Key!$A$17:$B$21,2,FALSE)</f>
        <v>Road Vehicle</v>
      </c>
      <c r="G1048" s="49">
        <v>4</v>
      </c>
      <c r="H1048" s="39" t="str">
        <f>VLOOKUP(G1048,[4]Key!$A$2:$B$13,2,FALSE)</f>
        <v>Minibus</v>
      </c>
      <c r="I1048" s="13" t="s">
        <v>156</v>
      </c>
      <c r="J1048" s="13">
        <v>3</v>
      </c>
      <c r="K1048" s="40" t="str">
        <f>VLOOKUP(J1048,[4]Key!$A$24:$B$29,2,FALSE)</f>
        <v>40-49</v>
      </c>
      <c r="L1048" s="13" t="s">
        <v>454</v>
      </c>
      <c r="M1048" s="23" t="s">
        <v>455</v>
      </c>
      <c r="N1048" s="13" t="s">
        <v>152</v>
      </c>
      <c r="O1048" s="46">
        <v>1</v>
      </c>
      <c r="P1048" s="30" t="str">
        <f>VLOOKUP(O1048,[4]Key!$E$2:$F$9,2,FALSE)</f>
        <v>Home</v>
      </c>
      <c r="Q1048" s="13" t="s">
        <v>555</v>
      </c>
      <c r="R1048" s="23" t="s">
        <v>556</v>
      </c>
      <c r="S1048" s="13" t="s">
        <v>152</v>
      </c>
      <c r="T1048" s="23">
        <v>4</v>
      </c>
      <c r="U1048" s="30" t="str">
        <f>VLOOKUP(T1048,[4]Key!$E$2:$F$9,2,FALSE)</f>
        <v>Commercial</v>
      </c>
      <c r="V1048" s="30" t="str">
        <f t="shared" si="64"/>
        <v>Home-Commercial</v>
      </c>
      <c r="W1048" s="51">
        <v>50000</v>
      </c>
      <c r="X1048" s="50">
        <v>480</v>
      </c>
      <c r="Y1048" s="50" t="str">
        <f t="shared" si="65"/>
        <v>Over 200</v>
      </c>
      <c r="Z1048" s="50">
        <v>7</v>
      </c>
      <c r="AA1048" s="50" t="str">
        <f t="shared" si="66"/>
        <v>Over 3.5</v>
      </c>
      <c r="AB1048" s="23">
        <v>6</v>
      </c>
      <c r="AC1048" s="30" t="str">
        <f>VLOOKUP(AB1048,[4]Key!$C$20:$D$29,2,FALSE)</f>
        <v>Businessman</v>
      </c>
      <c r="AD1048" s="23">
        <v>3</v>
      </c>
      <c r="AE1048" s="30" t="str">
        <f>VLOOKUP(AD1048,[4]Key!$E$20:$F$24,2,FALSE)</f>
        <v>500,000-750,000</v>
      </c>
      <c r="AF1048" s="23">
        <v>5</v>
      </c>
      <c r="AG1048" s="50">
        <v>5</v>
      </c>
      <c r="AH1048" s="50">
        <v>5</v>
      </c>
      <c r="AI1048" s="50">
        <v>5</v>
      </c>
      <c r="AJ1048" s="50">
        <v>5</v>
      </c>
      <c r="AK1048" s="46" t="s">
        <v>94</v>
      </c>
      <c r="AL1048" s="36">
        <v>3000</v>
      </c>
      <c r="AM1048" t="str">
        <f t="shared" si="67"/>
        <v>3000-5000</v>
      </c>
    </row>
    <row r="1049" spans="1:39" x14ac:dyDescent="0.2">
      <c r="A1049" s="44" t="s">
        <v>544</v>
      </c>
      <c r="B1049" s="48">
        <v>0.59027777777777779</v>
      </c>
      <c r="C1049" s="48"/>
      <c r="D1049" s="48" t="s">
        <v>97</v>
      </c>
      <c r="E1049" s="13">
        <v>2</v>
      </c>
      <c r="F1049" s="38" t="str">
        <f>VLOOKUP(E1049,[4]Key!$A$17:$B$21,2,FALSE)</f>
        <v>Road Vehicle</v>
      </c>
      <c r="G1049" s="49">
        <v>4</v>
      </c>
      <c r="H1049" s="39" t="str">
        <f>VLOOKUP(G1049,[4]Key!$A$2:$B$13,2,FALSE)</f>
        <v>Minibus</v>
      </c>
      <c r="I1049" s="13" t="s">
        <v>156</v>
      </c>
      <c r="J1049" s="13">
        <v>3</v>
      </c>
      <c r="K1049" s="40" t="str">
        <f>VLOOKUP(J1049,[4]Key!$A$24:$B$29,2,FALSE)</f>
        <v>40-49</v>
      </c>
      <c r="L1049" s="13" t="s">
        <v>546</v>
      </c>
      <c r="M1049" s="23" t="s">
        <v>455</v>
      </c>
      <c r="N1049" s="13" t="s">
        <v>152</v>
      </c>
      <c r="O1049" s="46">
        <v>1</v>
      </c>
      <c r="P1049" s="30" t="str">
        <f>VLOOKUP(O1049,[4]Key!$E$2:$F$9,2,FALSE)</f>
        <v>Home</v>
      </c>
      <c r="Q1049" s="13" t="s">
        <v>454</v>
      </c>
      <c r="R1049" s="23" t="s">
        <v>455</v>
      </c>
      <c r="S1049" s="13" t="s">
        <v>152</v>
      </c>
      <c r="T1049" s="23">
        <v>2</v>
      </c>
      <c r="U1049" s="30" t="str">
        <f>VLOOKUP(T1049,[4]Key!$E$2:$F$9,2,FALSE)</f>
        <v>Work</v>
      </c>
      <c r="V1049" s="30" t="str">
        <f t="shared" si="64"/>
        <v>Home-Work</v>
      </c>
      <c r="W1049" s="51">
        <v>20000</v>
      </c>
      <c r="X1049" s="50">
        <v>30</v>
      </c>
      <c r="Y1049" s="50" t="str">
        <f t="shared" si="65"/>
        <v>20-40</v>
      </c>
      <c r="Z1049" s="50">
        <v>0.5</v>
      </c>
      <c r="AA1049" s="50" t="str">
        <f t="shared" si="66"/>
        <v>0.5-1.0</v>
      </c>
      <c r="AB1049" s="23">
        <v>4</v>
      </c>
      <c r="AC1049" s="30" t="str">
        <f>VLOOKUP(AB1049,[4]Key!$C$20:$D$29,2,FALSE)</f>
        <v>Office Worker</v>
      </c>
      <c r="AD1049" s="23">
        <v>3</v>
      </c>
      <c r="AE1049" s="30" t="str">
        <f>VLOOKUP(AD1049,[4]Key!$E$20:$F$24,2,FALSE)</f>
        <v>500,000-750,000</v>
      </c>
      <c r="AF1049" s="23">
        <v>1</v>
      </c>
      <c r="AG1049" s="50">
        <v>1</v>
      </c>
      <c r="AH1049" s="50">
        <v>1</v>
      </c>
      <c r="AI1049" s="50">
        <v>1</v>
      </c>
      <c r="AJ1049" s="50">
        <v>1</v>
      </c>
      <c r="AK1049" s="46" t="s">
        <v>94</v>
      </c>
      <c r="AL1049" s="36">
        <v>2000</v>
      </c>
      <c r="AM1049" t="str">
        <f t="shared" si="67"/>
        <v>2000-3000</v>
      </c>
    </row>
    <row r="1050" spans="1:39" x14ac:dyDescent="0.2">
      <c r="A1050" s="44" t="s">
        <v>541</v>
      </c>
      <c r="B1050" s="48">
        <v>0.63402777777777775</v>
      </c>
      <c r="C1050" s="48"/>
      <c r="D1050" s="48" t="s">
        <v>150</v>
      </c>
      <c r="E1050" s="13">
        <v>2</v>
      </c>
      <c r="F1050" s="38" t="str">
        <f>VLOOKUP(E1050,[4]Key!$A$17:$B$21,2,FALSE)</f>
        <v>Road Vehicle</v>
      </c>
      <c r="G1050" s="49">
        <v>4</v>
      </c>
      <c r="H1050" s="39" t="str">
        <f>VLOOKUP(G1050,[4]Key!$A$2:$B$13,2,FALSE)</f>
        <v>Minibus</v>
      </c>
      <c r="I1050" s="13" t="s">
        <v>109</v>
      </c>
      <c r="J1050" s="13">
        <v>3</v>
      </c>
      <c r="K1050" s="40" t="str">
        <f>VLOOKUP(J1050,[4]Key!$A$24:$B$29,2,FALSE)</f>
        <v>40-49</v>
      </c>
      <c r="L1050" s="13" t="s">
        <v>631</v>
      </c>
      <c r="M1050" s="23" t="s">
        <v>455</v>
      </c>
      <c r="N1050" s="13" t="s">
        <v>152</v>
      </c>
      <c r="O1050" s="46">
        <v>1</v>
      </c>
      <c r="P1050" s="30" t="str">
        <f>VLOOKUP(O1050,[4]Key!$E$2:$F$9,2,FALSE)</f>
        <v>Home</v>
      </c>
      <c r="Q1050" s="13" t="s">
        <v>454</v>
      </c>
      <c r="R1050" s="23" t="s">
        <v>455</v>
      </c>
      <c r="S1050" s="13" t="s">
        <v>152</v>
      </c>
      <c r="T1050" s="23">
        <v>4</v>
      </c>
      <c r="U1050" s="30" t="str">
        <f>VLOOKUP(T1050,[4]Key!$E$2:$F$9,2,FALSE)</f>
        <v>Commercial</v>
      </c>
      <c r="V1050" s="30" t="str">
        <f t="shared" si="64"/>
        <v>Home-Commercial</v>
      </c>
      <c r="W1050" s="51">
        <v>5000</v>
      </c>
      <c r="X1050" s="50">
        <v>41</v>
      </c>
      <c r="Y1050" s="50" t="str">
        <f t="shared" si="65"/>
        <v>40-70</v>
      </c>
      <c r="Z1050" s="50">
        <v>0.5</v>
      </c>
      <c r="AA1050" s="50" t="str">
        <f t="shared" si="66"/>
        <v>0.5-1.0</v>
      </c>
      <c r="AB1050" s="23">
        <v>7</v>
      </c>
      <c r="AC1050" s="30" t="str">
        <f>VLOOKUP(AB1050,[4]Key!$C$20:$D$29,2,FALSE)</f>
        <v>Farmer</v>
      </c>
      <c r="AD1050" s="23">
        <v>2</v>
      </c>
      <c r="AE1050" s="30" t="str">
        <f>VLOOKUP(AD1050,[4]Key!$E$20:$F$24,2,FALSE)</f>
        <v>300,000-500,000</v>
      </c>
      <c r="AF1050" s="23">
        <v>1</v>
      </c>
      <c r="AG1050" s="50">
        <v>1</v>
      </c>
      <c r="AH1050" s="50">
        <v>1</v>
      </c>
      <c r="AI1050" s="50">
        <v>1</v>
      </c>
      <c r="AJ1050" s="50">
        <v>1</v>
      </c>
      <c r="AK1050" s="46" t="s">
        <v>94</v>
      </c>
      <c r="AL1050" s="36">
        <v>0</v>
      </c>
      <c r="AM1050" t="str">
        <f t="shared" si="67"/>
        <v>0-1000</v>
      </c>
    </row>
    <row r="1051" spans="1:39" x14ac:dyDescent="0.2">
      <c r="A1051" s="44" t="s">
        <v>541</v>
      </c>
      <c r="B1051" s="48">
        <v>0.64374999999999993</v>
      </c>
      <c r="C1051" s="48"/>
      <c r="D1051" s="48" t="s">
        <v>150</v>
      </c>
      <c r="E1051" s="13">
        <v>2</v>
      </c>
      <c r="F1051" s="38" t="str">
        <f>VLOOKUP(E1051,[4]Key!$A$17:$B$21,2,FALSE)</f>
        <v>Road Vehicle</v>
      </c>
      <c r="G1051" s="49">
        <v>4</v>
      </c>
      <c r="H1051" s="39" t="str">
        <f>VLOOKUP(G1051,[4]Key!$A$2:$B$13,2,FALSE)</f>
        <v>Minibus</v>
      </c>
      <c r="I1051" s="13" t="s">
        <v>109</v>
      </c>
      <c r="J1051" s="13">
        <v>3</v>
      </c>
      <c r="K1051" s="40" t="str">
        <f>VLOOKUP(J1051,[4]Key!$A$24:$B$29,2,FALSE)</f>
        <v>40-49</v>
      </c>
      <c r="L1051" s="13" t="s">
        <v>681</v>
      </c>
      <c r="M1051" s="23" t="s">
        <v>455</v>
      </c>
      <c r="N1051" s="13" t="s">
        <v>152</v>
      </c>
      <c r="O1051" s="46">
        <v>1</v>
      </c>
      <c r="P1051" s="30" t="str">
        <f>VLOOKUP(O1051,[4]Key!$E$2:$F$9,2,FALSE)</f>
        <v>Home</v>
      </c>
      <c r="Q1051" s="13" t="s">
        <v>454</v>
      </c>
      <c r="R1051" s="23" t="s">
        <v>455</v>
      </c>
      <c r="S1051" s="13" t="s">
        <v>152</v>
      </c>
      <c r="T1051" s="23">
        <v>4</v>
      </c>
      <c r="U1051" s="30" t="str">
        <f>VLOOKUP(T1051,[4]Key!$E$2:$F$9,2,FALSE)</f>
        <v>Commercial</v>
      </c>
      <c r="V1051" s="30" t="str">
        <f t="shared" si="64"/>
        <v>Home-Commercial</v>
      </c>
      <c r="W1051" s="51">
        <v>15000</v>
      </c>
      <c r="X1051" s="50">
        <v>57</v>
      </c>
      <c r="Y1051" s="50" t="str">
        <f t="shared" si="65"/>
        <v>40-70</v>
      </c>
      <c r="Z1051" s="50">
        <v>2</v>
      </c>
      <c r="AA1051" s="50" t="str">
        <f t="shared" si="66"/>
        <v>2.0-3.5</v>
      </c>
      <c r="AB1051" s="23">
        <v>2</v>
      </c>
      <c r="AC1051" s="30" t="str">
        <f>VLOOKUP(AB1051,[4]Key!$C$20:$D$29,2,FALSE)</f>
        <v>Manual Labour</v>
      </c>
      <c r="AD1051" s="23">
        <v>2</v>
      </c>
      <c r="AE1051" s="30" t="str">
        <f>VLOOKUP(AD1051,[4]Key!$E$20:$F$24,2,FALSE)</f>
        <v>300,000-500,000</v>
      </c>
      <c r="AF1051" s="23">
        <v>5</v>
      </c>
      <c r="AG1051" s="50">
        <v>5</v>
      </c>
      <c r="AH1051" s="50">
        <v>5</v>
      </c>
      <c r="AI1051" s="50">
        <v>5</v>
      </c>
      <c r="AJ1051" s="50">
        <v>5</v>
      </c>
      <c r="AK1051" s="46" t="s">
        <v>94</v>
      </c>
      <c r="AL1051" s="36">
        <v>2000</v>
      </c>
      <c r="AM1051" t="str">
        <f t="shared" si="67"/>
        <v>2000-3000</v>
      </c>
    </row>
    <row r="1052" spans="1:39" x14ac:dyDescent="0.2">
      <c r="A1052" s="44" t="s">
        <v>547</v>
      </c>
      <c r="B1052" s="48">
        <v>0.39305555555555555</v>
      </c>
      <c r="C1052" s="48" t="s">
        <v>682</v>
      </c>
      <c r="D1052" s="48" t="s">
        <v>97</v>
      </c>
      <c r="E1052" s="13">
        <v>2</v>
      </c>
      <c r="F1052" s="38" t="str">
        <f>VLOOKUP(E1052,[4]Key!$A$17:$B$21,2,FALSE)</f>
        <v>Road Vehicle</v>
      </c>
      <c r="G1052" s="49">
        <v>4</v>
      </c>
      <c r="H1052" s="39" t="str">
        <f>VLOOKUP(G1052,[4]Key!$A$2:$B$13,2,FALSE)</f>
        <v>Minibus</v>
      </c>
      <c r="I1052" s="13" t="s">
        <v>109</v>
      </c>
      <c r="J1052" s="13">
        <v>3</v>
      </c>
      <c r="K1052" s="40" t="str">
        <f>VLOOKUP(J1052,[4]Key!$A$24:$B$29,2,FALSE)</f>
        <v>40-49</v>
      </c>
      <c r="L1052" s="13" t="s">
        <v>554</v>
      </c>
      <c r="M1052" s="23" t="s">
        <v>455</v>
      </c>
      <c r="N1052" s="13" t="s">
        <v>152</v>
      </c>
      <c r="O1052" s="46">
        <v>4</v>
      </c>
      <c r="P1052" s="30" t="str">
        <f>VLOOKUP(O1052,[4]Key!$E$2:$F$9,2,FALSE)</f>
        <v>Commercial</v>
      </c>
      <c r="Q1052" s="13" t="s">
        <v>454</v>
      </c>
      <c r="R1052" s="23" t="s">
        <v>455</v>
      </c>
      <c r="S1052" s="13" t="s">
        <v>152</v>
      </c>
      <c r="T1052" s="23">
        <v>4</v>
      </c>
      <c r="U1052" s="30" t="str">
        <f>VLOOKUP(T1052,[4]Key!$E$2:$F$9,2,FALSE)</f>
        <v>Commercial</v>
      </c>
      <c r="V1052" s="30" t="str">
        <f t="shared" si="64"/>
        <v>Commercial-Commercial</v>
      </c>
      <c r="W1052" s="51">
        <v>70000</v>
      </c>
      <c r="X1052" s="50">
        <v>3</v>
      </c>
      <c r="Y1052" s="50" t="str">
        <f t="shared" si="65"/>
        <v>0-10</v>
      </c>
      <c r="Z1052" s="50">
        <v>1</v>
      </c>
      <c r="AA1052" s="50" t="str">
        <f t="shared" si="66"/>
        <v>1.0-2.0</v>
      </c>
      <c r="AB1052" s="23">
        <v>5</v>
      </c>
      <c r="AC1052" s="30" t="str">
        <f>VLOOKUP(AB1052,[4]Key!$C$20:$D$29,2,FALSE)</f>
        <v>Professional</v>
      </c>
      <c r="AD1052" s="23">
        <v>2</v>
      </c>
      <c r="AE1052" s="30" t="str">
        <f>VLOOKUP(AD1052,[4]Key!$E$20:$F$24,2,FALSE)</f>
        <v>300,000-500,000</v>
      </c>
      <c r="AF1052" s="23">
        <v>5</v>
      </c>
      <c r="AG1052" s="50">
        <v>5</v>
      </c>
      <c r="AH1052" s="50">
        <v>5</v>
      </c>
      <c r="AI1052" s="50">
        <v>5</v>
      </c>
      <c r="AJ1052" s="50">
        <v>5</v>
      </c>
      <c r="AK1052" s="46" t="s">
        <v>94</v>
      </c>
      <c r="AL1052" s="36">
        <v>3000</v>
      </c>
      <c r="AM1052" t="str">
        <f t="shared" si="67"/>
        <v>3000-5000</v>
      </c>
    </row>
    <row r="1053" spans="1:39" x14ac:dyDescent="0.2">
      <c r="A1053" s="44" t="s">
        <v>547</v>
      </c>
      <c r="B1053" s="48">
        <v>0.40069444444444446</v>
      </c>
      <c r="C1053" s="48" t="s">
        <v>683</v>
      </c>
      <c r="D1053" s="48" t="s">
        <v>97</v>
      </c>
      <c r="E1053" s="13">
        <v>2</v>
      </c>
      <c r="F1053" s="38" t="str">
        <f>VLOOKUP(E1053,[4]Key!$A$17:$B$21,2,FALSE)</f>
        <v>Road Vehicle</v>
      </c>
      <c r="G1053" s="49">
        <v>4</v>
      </c>
      <c r="H1053" s="39" t="str">
        <f>VLOOKUP(G1053,[4]Key!$A$2:$B$13,2,FALSE)</f>
        <v>Minibus</v>
      </c>
      <c r="I1053" s="13" t="s">
        <v>109</v>
      </c>
      <c r="J1053" s="13">
        <v>3</v>
      </c>
      <c r="K1053" s="40" t="str">
        <f>VLOOKUP(J1053,[4]Key!$A$24:$B$29,2,FALSE)</f>
        <v>40-49</v>
      </c>
      <c r="L1053" s="13" t="s">
        <v>554</v>
      </c>
      <c r="M1053" s="23" t="s">
        <v>455</v>
      </c>
      <c r="N1053" s="13" t="s">
        <v>152</v>
      </c>
      <c r="O1053" s="46">
        <v>4</v>
      </c>
      <c r="P1053" s="30" t="str">
        <f>VLOOKUP(O1053,[4]Key!$E$2:$F$9,2,FALSE)</f>
        <v>Commercial</v>
      </c>
      <c r="Q1053" s="13" t="s">
        <v>454</v>
      </c>
      <c r="R1053" s="23" t="s">
        <v>455</v>
      </c>
      <c r="S1053" s="13" t="s">
        <v>152</v>
      </c>
      <c r="T1053" s="23">
        <v>4</v>
      </c>
      <c r="U1053" s="30" t="str">
        <f>VLOOKUP(T1053,[4]Key!$E$2:$F$9,2,FALSE)</f>
        <v>Commercial</v>
      </c>
      <c r="V1053" s="30" t="str">
        <f t="shared" si="64"/>
        <v>Commercial-Commercial</v>
      </c>
      <c r="W1053" s="51">
        <v>60000</v>
      </c>
      <c r="X1053" s="50">
        <v>3</v>
      </c>
      <c r="Y1053" s="50" t="str">
        <f t="shared" si="65"/>
        <v>0-10</v>
      </c>
      <c r="Z1053" s="50">
        <v>1</v>
      </c>
      <c r="AA1053" s="50" t="str">
        <f t="shared" si="66"/>
        <v>1.0-2.0</v>
      </c>
      <c r="AB1053" s="23">
        <v>5</v>
      </c>
      <c r="AC1053" s="30" t="str">
        <f>VLOOKUP(AB1053,[4]Key!$C$20:$D$29,2,FALSE)</f>
        <v>Professional</v>
      </c>
      <c r="AD1053" s="23">
        <v>2</v>
      </c>
      <c r="AE1053" s="30" t="str">
        <f>VLOOKUP(AD1053,[4]Key!$E$20:$F$24,2,FALSE)</f>
        <v>300,000-500,000</v>
      </c>
      <c r="AF1053" s="23">
        <v>5</v>
      </c>
      <c r="AG1053" s="50">
        <v>5</v>
      </c>
      <c r="AH1053" s="50">
        <v>1</v>
      </c>
      <c r="AI1053" s="50">
        <v>1</v>
      </c>
      <c r="AJ1053" s="50">
        <v>3</v>
      </c>
      <c r="AK1053" s="46" t="s">
        <v>94</v>
      </c>
      <c r="AL1053" s="36">
        <v>500</v>
      </c>
      <c r="AM1053" t="str">
        <f t="shared" si="67"/>
        <v>0-1000</v>
      </c>
    </row>
    <row r="1054" spans="1:39" x14ac:dyDescent="0.2">
      <c r="A1054" s="44" t="s">
        <v>547</v>
      </c>
      <c r="B1054" s="48">
        <v>0.56805555555555554</v>
      </c>
      <c r="C1054" s="48" t="s">
        <v>684</v>
      </c>
      <c r="D1054" s="48" t="s">
        <v>97</v>
      </c>
      <c r="E1054" s="13">
        <v>2</v>
      </c>
      <c r="F1054" s="38" t="str">
        <f>VLOOKUP(E1054,[4]Key!$A$17:$B$21,2,FALSE)</f>
        <v>Road Vehicle</v>
      </c>
      <c r="G1054" s="49">
        <v>4</v>
      </c>
      <c r="H1054" s="39" t="str">
        <f>VLOOKUP(G1054,[4]Key!$A$2:$B$13,2,FALSE)</f>
        <v>Minibus</v>
      </c>
      <c r="I1054" s="13" t="s">
        <v>109</v>
      </c>
      <c r="J1054" s="13">
        <v>3</v>
      </c>
      <c r="K1054" s="40" t="str">
        <f>VLOOKUP(J1054,[4]Key!$A$24:$B$29,2,FALSE)</f>
        <v>40-49</v>
      </c>
      <c r="L1054" s="13" t="s">
        <v>454</v>
      </c>
      <c r="M1054" s="23" t="s">
        <v>455</v>
      </c>
      <c r="N1054" s="13" t="s">
        <v>152</v>
      </c>
      <c r="O1054" s="46">
        <v>4</v>
      </c>
      <c r="P1054" s="30" t="str">
        <f>VLOOKUP(O1054,[4]Key!$E$2:$F$9,2,FALSE)</f>
        <v>Commercial</v>
      </c>
      <c r="Q1054" s="13" t="s">
        <v>685</v>
      </c>
      <c r="R1054" s="23" t="s">
        <v>455</v>
      </c>
      <c r="S1054" s="13" t="s">
        <v>152</v>
      </c>
      <c r="T1054" s="23">
        <v>4</v>
      </c>
      <c r="U1054" s="30" t="str">
        <f>VLOOKUP(T1054,[4]Key!$E$2:$F$9,2,FALSE)</f>
        <v>Commercial</v>
      </c>
      <c r="V1054" s="30" t="str">
        <f t="shared" si="64"/>
        <v>Commercial-Commercial</v>
      </c>
      <c r="W1054" s="51">
        <v>10000</v>
      </c>
      <c r="X1054" s="50">
        <v>137</v>
      </c>
      <c r="Y1054" s="50" t="str">
        <f t="shared" si="65"/>
        <v>100-200</v>
      </c>
      <c r="Z1054" s="50">
        <v>2</v>
      </c>
      <c r="AA1054" s="50" t="str">
        <f t="shared" si="66"/>
        <v>2.0-3.5</v>
      </c>
      <c r="AB1054" s="23">
        <v>5</v>
      </c>
      <c r="AC1054" s="30" t="str">
        <f>VLOOKUP(AB1054,[4]Key!$C$20:$D$29,2,FALSE)</f>
        <v>Professional</v>
      </c>
      <c r="AD1054" s="23">
        <v>2</v>
      </c>
      <c r="AE1054" s="30" t="str">
        <f>VLOOKUP(AD1054,[4]Key!$E$20:$F$24,2,FALSE)</f>
        <v>300,000-500,000</v>
      </c>
      <c r="AF1054" s="23">
        <v>5</v>
      </c>
      <c r="AG1054" s="50">
        <v>5</v>
      </c>
      <c r="AH1054" s="50">
        <v>1</v>
      </c>
      <c r="AI1054" s="50">
        <v>5</v>
      </c>
      <c r="AJ1054" s="50">
        <v>1</v>
      </c>
      <c r="AK1054" s="46" t="s">
        <v>94</v>
      </c>
      <c r="AL1054" s="36">
        <v>2000</v>
      </c>
      <c r="AM1054" t="str">
        <f t="shared" si="67"/>
        <v>2000-3000</v>
      </c>
    </row>
    <row r="1055" spans="1:39" x14ac:dyDescent="0.2">
      <c r="A1055" s="44" t="s">
        <v>547</v>
      </c>
      <c r="B1055" s="48">
        <v>0.62291666666666667</v>
      </c>
      <c r="C1055" s="48" t="s">
        <v>635</v>
      </c>
      <c r="D1055" s="48" t="s">
        <v>97</v>
      </c>
      <c r="E1055" s="13">
        <v>2</v>
      </c>
      <c r="F1055" s="38" t="str">
        <f>VLOOKUP(E1055,[4]Key!$A$17:$B$21,2,FALSE)</f>
        <v>Road Vehicle</v>
      </c>
      <c r="G1055" s="49">
        <v>4</v>
      </c>
      <c r="H1055" s="39" t="str">
        <f>VLOOKUP(G1055,[4]Key!$A$2:$B$13,2,FALSE)</f>
        <v>Minibus</v>
      </c>
      <c r="I1055" s="13" t="s">
        <v>109</v>
      </c>
      <c r="J1055" s="13">
        <v>3</v>
      </c>
      <c r="K1055" s="40" t="str">
        <f>VLOOKUP(J1055,[4]Key!$A$24:$B$29,2,FALSE)</f>
        <v>40-49</v>
      </c>
      <c r="L1055" s="13"/>
      <c r="M1055" s="23"/>
      <c r="N1055" s="13" t="s">
        <v>152</v>
      </c>
      <c r="O1055" s="46">
        <v>4</v>
      </c>
      <c r="P1055" s="30" t="str">
        <f>VLOOKUP(O1055,[4]Key!$E$2:$F$9,2,FALSE)</f>
        <v>Commercial</v>
      </c>
      <c r="Q1055" s="13"/>
      <c r="R1055" s="23"/>
      <c r="S1055" s="13" t="s">
        <v>152</v>
      </c>
      <c r="T1055" s="23">
        <v>4</v>
      </c>
      <c r="U1055" s="30" t="str">
        <f>VLOOKUP(T1055,[4]Key!$E$2:$F$9,2,FALSE)</f>
        <v>Commercial</v>
      </c>
      <c r="V1055" s="30" t="str">
        <f t="shared" si="64"/>
        <v>Commercial-Commercial</v>
      </c>
      <c r="W1055" s="51">
        <v>700000</v>
      </c>
      <c r="X1055" s="50">
        <v>240</v>
      </c>
      <c r="Y1055" s="50" t="str">
        <f t="shared" si="65"/>
        <v>Over 200</v>
      </c>
      <c r="Z1055" s="50">
        <v>4</v>
      </c>
      <c r="AA1055" s="50" t="str">
        <f t="shared" si="66"/>
        <v>Over 3.5</v>
      </c>
      <c r="AB1055" s="23">
        <v>5</v>
      </c>
      <c r="AC1055" s="30" t="str">
        <f>VLOOKUP(AB1055,[4]Key!$C$20:$D$29,2,FALSE)</f>
        <v>Professional</v>
      </c>
      <c r="AD1055" s="23">
        <v>2</v>
      </c>
      <c r="AE1055" s="30" t="str">
        <f>VLOOKUP(AD1055,[4]Key!$E$20:$F$24,2,FALSE)</f>
        <v>300,000-500,000</v>
      </c>
      <c r="AF1055" s="23">
        <v>1</v>
      </c>
      <c r="AG1055" s="50">
        <v>5</v>
      </c>
      <c r="AH1055" s="50">
        <v>1</v>
      </c>
      <c r="AI1055" s="50">
        <v>5</v>
      </c>
      <c r="AJ1055" s="50">
        <v>5</v>
      </c>
      <c r="AK1055" s="46" t="s">
        <v>94</v>
      </c>
      <c r="AL1055" s="36">
        <v>1000</v>
      </c>
      <c r="AM1055" t="str">
        <f t="shared" si="67"/>
        <v>1000-2000</v>
      </c>
    </row>
    <row r="1056" spans="1:39" x14ac:dyDescent="0.2">
      <c r="A1056" s="44" t="s">
        <v>547</v>
      </c>
      <c r="B1056" s="48">
        <v>0.7402777777777777</v>
      </c>
      <c r="C1056" s="48"/>
      <c r="D1056" s="48" t="s">
        <v>150</v>
      </c>
      <c r="E1056" s="13">
        <v>2</v>
      </c>
      <c r="F1056" s="38" t="str">
        <f>VLOOKUP(E1056,[4]Key!$A$17:$B$21,2,FALSE)</f>
        <v>Road Vehicle</v>
      </c>
      <c r="G1056" s="49">
        <v>4</v>
      </c>
      <c r="H1056" s="39" t="str">
        <f>VLOOKUP(G1056,[4]Key!$A$2:$B$13,2,FALSE)</f>
        <v>Minibus</v>
      </c>
      <c r="I1056" s="13" t="s">
        <v>109</v>
      </c>
      <c r="J1056" s="13">
        <v>3</v>
      </c>
      <c r="K1056" s="40" t="str">
        <f>VLOOKUP(J1056,[4]Key!$A$24:$B$29,2,FALSE)</f>
        <v>40-49</v>
      </c>
      <c r="L1056" s="13" t="s">
        <v>686</v>
      </c>
      <c r="M1056" s="23" t="s">
        <v>455</v>
      </c>
      <c r="N1056" s="13" t="s">
        <v>152</v>
      </c>
      <c r="O1056" s="46">
        <v>1</v>
      </c>
      <c r="P1056" s="30" t="str">
        <f>VLOOKUP(O1056,[4]Key!$E$2:$F$9,2,FALSE)</f>
        <v>Home</v>
      </c>
      <c r="Q1056" s="13" t="s">
        <v>454</v>
      </c>
      <c r="R1056" s="23" t="s">
        <v>455</v>
      </c>
      <c r="S1056" s="13" t="s">
        <v>152</v>
      </c>
      <c r="T1056" s="23">
        <v>2</v>
      </c>
      <c r="U1056" s="30" t="str">
        <f>VLOOKUP(T1056,[4]Key!$E$2:$F$9,2,FALSE)</f>
        <v>Work</v>
      </c>
      <c r="V1056" s="30" t="str">
        <f t="shared" si="64"/>
        <v>Home-Work</v>
      </c>
      <c r="W1056" s="51">
        <v>4000</v>
      </c>
      <c r="X1056" s="50">
        <v>30</v>
      </c>
      <c r="Y1056" s="50" t="str">
        <f t="shared" si="65"/>
        <v>20-40</v>
      </c>
      <c r="Z1056" s="50">
        <v>0.36599999999999999</v>
      </c>
      <c r="AA1056" s="50" t="str">
        <f t="shared" si="66"/>
        <v>0-0.5</v>
      </c>
      <c r="AB1056" s="23">
        <v>7</v>
      </c>
      <c r="AC1056" s="30" t="str">
        <f>VLOOKUP(AB1056,[4]Key!$C$20:$D$29,2,FALSE)</f>
        <v>Farmer</v>
      </c>
      <c r="AD1056" s="23">
        <v>2</v>
      </c>
      <c r="AE1056" s="30" t="str">
        <f>VLOOKUP(AD1056,[4]Key!$E$20:$F$24,2,FALSE)</f>
        <v>300,000-500,000</v>
      </c>
      <c r="AF1056" s="23">
        <v>1</v>
      </c>
      <c r="AG1056" s="50">
        <v>1</v>
      </c>
      <c r="AH1056" s="50">
        <v>5</v>
      </c>
      <c r="AI1056" s="50">
        <v>5</v>
      </c>
      <c r="AJ1056" s="50">
        <v>5</v>
      </c>
      <c r="AK1056" s="46" t="s">
        <v>94</v>
      </c>
      <c r="AL1056" s="36">
        <v>1000</v>
      </c>
      <c r="AM1056" t="str">
        <f t="shared" si="67"/>
        <v>1000-2000</v>
      </c>
    </row>
    <row r="1057" spans="1:39" x14ac:dyDescent="0.2">
      <c r="A1057" s="44" t="s">
        <v>547</v>
      </c>
      <c r="B1057" s="48">
        <v>0.41736111111111113</v>
      </c>
      <c r="C1057" s="48" t="s">
        <v>687</v>
      </c>
      <c r="D1057" s="48" t="s">
        <v>97</v>
      </c>
      <c r="E1057" s="13">
        <v>2</v>
      </c>
      <c r="F1057" s="38" t="str">
        <f>VLOOKUP(E1057,[4]Key!$A$17:$B$21,2,FALSE)</f>
        <v>Road Vehicle</v>
      </c>
      <c r="G1057" s="49">
        <v>4</v>
      </c>
      <c r="H1057" s="39" t="str">
        <f>VLOOKUP(G1057,[4]Key!$A$2:$B$13,2,FALSE)</f>
        <v>Minibus</v>
      </c>
      <c r="I1057" s="13" t="s">
        <v>109</v>
      </c>
      <c r="J1057" s="13">
        <v>3</v>
      </c>
      <c r="K1057" s="40" t="str">
        <f>VLOOKUP(J1057,[4]Key!$A$24:$B$29,2,FALSE)</f>
        <v>40-49</v>
      </c>
      <c r="L1057" s="13" t="s">
        <v>454</v>
      </c>
      <c r="M1057" s="23" t="s">
        <v>455</v>
      </c>
      <c r="N1057" s="13" t="s">
        <v>152</v>
      </c>
      <c r="O1057" s="46">
        <v>2</v>
      </c>
      <c r="P1057" s="30" t="str">
        <f>VLOOKUP(O1057,[4]Key!$E$2:$F$9,2,FALSE)</f>
        <v>Work</v>
      </c>
      <c r="Q1057" s="13" t="s">
        <v>427</v>
      </c>
      <c r="R1057" s="23" t="s">
        <v>428</v>
      </c>
      <c r="S1057" s="13" t="s">
        <v>152</v>
      </c>
      <c r="T1057" s="23">
        <v>8</v>
      </c>
      <c r="U1057" s="30" t="str">
        <f>VLOOKUP(T1057,[4]Key!$E$2:$F$9,2,FALSE)</f>
        <v>Others</v>
      </c>
      <c r="V1057" s="30" t="str">
        <f t="shared" si="64"/>
        <v>Work-Others</v>
      </c>
      <c r="W1057" s="51">
        <v>100000</v>
      </c>
      <c r="X1057" s="50">
        <v>150</v>
      </c>
      <c r="Y1057" s="50" t="str">
        <f t="shared" si="65"/>
        <v>100-200</v>
      </c>
      <c r="Z1057" s="50">
        <v>2</v>
      </c>
      <c r="AA1057" s="50" t="str">
        <f t="shared" si="66"/>
        <v>2.0-3.5</v>
      </c>
      <c r="AB1057" s="23">
        <v>5</v>
      </c>
      <c r="AC1057" s="30" t="str">
        <f>VLOOKUP(AB1057,[4]Key!$C$20:$D$29,2,FALSE)</f>
        <v>Professional</v>
      </c>
      <c r="AD1057" s="23">
        <v>1</v>
      </c>
      <c r="AE1057" s="30" t="str">
        <f>VLOOKUP(AD1057,[4]Key!$E$20:$F$24,2,FALSE)</f>
        <v>&lt;300,000</v>
      </c>
      <c r="AF1057" s="23">
        <v>5</v>
      </c>
      <c r="AG1057" s="50">
        <v>4</v>
      </c>
      <c r="AH1057" s="50">
        <v>5</v>
      </c>
      <c r="AI1057" s="50">
        <v>5</v>
      </c>
      <c r="AJ1057" s="50">
        <v>5</v>
      </c>
      <c r="AK1057" s="46" t="s">
        <v>94</v>
      </c>
      <c r="AL1057" s="36">
        <v>0</v>
      </c>
      <c r="AM1057" t="str">
        <f t="shared" si="67"/>
        <v>0-1000</v>
      </c>
    </row>
    <row r="1058" spans="1:39" x14ac:dyDescent="0.2">
      <c r="A1058" s="44" t="s">
        <v>544</v>
      </c>
      <c r="B1058" s="48">
        <v>0.66736111111111107</v>
      </c>
      <c r="C1058" s="48"/>
      <c r="D1058" s="48" t="s">
        <v>97</v>
      </c>
      <c r="E1058" s="13">
        <v>2</v>
      </c>
      <c r="F1058" s="38" t="str">
        <f>VLOOKUP(E1058,[4]Key!$A$17:$B$21,2,FALSE)</f>
        <v>Road Vehicle</v>
      </c>
      <c r="G1058" s="49">
        <v>4</v>
      </c>
      <c r="H1058" s="39" t="str">
        <f>VLOOKUP(G1058,[4]Key!$A$2:$B$13,2,FALSE)</f>
        <v>Minibus</v>
      </c>
      <c r="I1058" s="13" t="s">
        <v>109</v>
      </c>
      <c r="J1058" s="13">
        <v>3</v>
      </c>
      <c r="K1058" s="40" t="str">
        <f>VLOOKUP(J1058,[4]Key!$A$24:$B$29,2,FALSE)</f>
        <v>40-49</v>
      </c>
      <c r="L1058" s="13" t="s">
        <v>424</v>
      </c>
      <c r="M1058" s="23" t="s">
        <v>421</v>
      </c>
      <c r="N1058" s="13" t="s">
        <v>152</v>
      </c>
      <c r="O1058" s="46">
        <v>4</v>
      </c>
      <c r="P1058" s="30" t="str">
        <f>VLOOKUP(O1058,[4]Key!$E$2:$F$9,2,FALSE)</f>
        <v>Commercial</v>
      </c>
      <c r="Q1058" s="13" t="s">
        <v>454</v>
      </c>
      <c r="R1058" s="23" t="s">
        <v>455</v>
      </c>
      <c r="S1058" s="13" t="s">
        <v>152</v>
      </c>
      <c r="T1058" s="23">
        <v>4</v>
      </c>
      <c r="U1058" s="30" t="str">
        <f>VLOOKUP(T1058,[4]Key!$E$2:$F$9,2,FALSE)</f>
        <v>Commercial</v>
      </c>
      <c r="V1058" s="30" t="str">
        <f t="shared" si="64"/>
        <v>Commercial-Commercial</v>
      </c>
      <c r="W1058" s="51">
        <v>60000</v>
      </c>
      <c r="X1058" s="50">
        <v>143</v>
      </c>
      <c r="Y1058" s="50" t="str">
        <f t="shared" si="65"/>
        <v>100-200</v>
      </c>
      <c r="Z1058" s="50">
        <v>2.5</v>
      </c>
      <c r="AA1058" s="50" t="str">
        <f t="shared" si="66"/>
        <v>2.0-3.5</v>
      </c>
      <c r="AB1058" s="23">
        <v>5</v>
      </c>
      <c r="AC1058" s="30" t="str">
        <f>VLOOKUP(AB1058,[4]Key!$C$20:$D$29,2,FALSE)</f>
        <v>Professional</v>
      </c>
      <c r="AD1058" s="23">
        <v>3</v>
      </c>
      <c r="AE1058" s="30" t="str">
        <f>VLOOKUP(AD1058,[4]Key!$E$20:$F$24,2,FALSE)</f>
        <v>500,000-750,000</v>
      </c>
      <c r="AF1058" s="23">
        <v>1</v>
      </c>
      <c r="AG1058" s="50">
        <v>1</v>
      </c>
      <c r="AH1058" s="50">
        <v>1</v>
      </c>
      <c r="AI1058" s="50">
        <v>1</v>
      </c>
      <c r="AJ1058" s="50">
        <v>1</v>
      </c>
      <c r="AK1058" s="46" t="s">
        <v>94</v>
      </c>
      <c r="AL1058" s="36">
        <v>2000</v>
      </c>
      <c r="AM1058" t="str">
        <f t="shared" si="67"/>
        <v>2000-3000</v>
      </c>
    </row>
    <row r="1059" spans="1:39" x14ac:dyDescent="0.2">
      <c r="A1059" s="44" t="s">
        <v>544</v>
      </c>
      <c r="B1059" s="48">
        <v>0.36180555555555555</v>
      </c>
      <c r="C1059" s="48"/>
      <c r="D1059" s="48" t="s">
        <v>97</v>
      </c>
      <c r="E1059" s="13">
        <v>2</v>
      </c>
      <c r="F1059" s="38" t="s">
        <v>102</v>
      </c>
      <c r="G1059" s="49">
        <v>4</v>
      </c>
      <c r="H1059" s="39" t="str">
        <f>VLOOKUP(G1059,[4]Key!$A$2:$B$13,2,FALSE)</f>
        <v>Minibus</v>
      </c>
      <c r="I1059" s="13" t="s">
        <v>109</v>
      </c>
      <c r="J1059" s="13">
        <v>3</v>
      </c>
      <c r="K1059" s="40" t="str">
        <f>VLOOKUP(J1059,[4]Key!$A$24:$B$29,2,FALSE)</f>
        <v>40-49</v>
      </c>
      <c r="L1059" s="13" t="s">
        <v>454</v>
      </c>
      <c r="M1059" s="23" t="s">
        <v>455</v>
      </c>
      <c r="N1059" s="13" t="s">
        <v>152</v>
      </c>
      <c r="O1059" s="46">
        <v>4</v>
      </c>
      <c r="P1059" s="30" t="str">
        <f>VLOOKUP(O1059,[4]Key!$E$2:$F$9,2,FALSE)</f>
        <v>Commercial</v>
      </c>
      <c r="Q1059" s="13" t="s">
        <v>510</v>
      </c>
      <c r="R1059" s="23" t="s">
        <v>511</v>
      </c>
      <c r="S1059" s="13" t="s">
        <v>152</v>
      </c>
      <c r="T1059" s="23">
        <v>4</v>
      </c>
      <c r="U1059" s="30" t="str">
        <f>VLOOKUP(T1059,[4]Key!$E$2:$F$9,2,FALSE)</f>
        <v>Commercial</v>
      </c>
      <c r="V1059" s="30" t="str">
        <f t="shared" si="64"/>
        <v>Commercial-Commercial</v>
      </c>
      <c r="W1059" s="51">
        <v>200000</v>
      </c>
      <c r="X1059" s="50">
        <v>360</v>
      </c>
      <c r="Y1059" s="50" t="str">
        <f t="shared" si="65"/>
        <v>Over 200</v>
      </c>
      <c r="Z1059" s="50">
        <v>3</v>
      </c>
      <c r="AA1059" s="50" t="str">
        <f t="shared" si="66"/>
        <v>2.0-3.5</v>
      </c>
      <c r="AB1059" s="23">
        <v>5</v>
      </c>
      <c r="AC1059" s="30" t="str">
        <f>VLOOKUP(AB1059,[4]Key!$C$20:$D$29,2,FALSE)</f>
        <v>Professional</v>
      </c>
      <c r="AD1059" s="23">
        <v>2</v>
      </c>
      <c r="AE1059" s="30" t="str">
        <f>VLOOKUP(AD1059,[4]Key!$E$20:$F$24,2,FALSE)</f>
        <v>300,000-500,000</v>
      </c>
      <c r="AF1059" s="23">
        <v>1</v>
      </c>
      <c r="AG1059" s="50">
        <v>1</v>
      </c>
      <c r="AH1059" s="50">
        <v>1</v>
      </c>
      <c r="AI1059" s="50">
        <v>1</v>
      </c>
      <c r="AJ1059" s="50">
        <v>1</v>
      </c>
      <c r="AK1059" s="46" t="s">
        <v>94</v>
      </c>
      <c r="AL1059" s="36">
        <v>2000</v>
      </c>
      <c r="AM1059" t="str">
        <f t="shared" si="67"/>
        <v>2000-3000</v>
      </c>
    </row>
    <row r="1060" spans="1:39" x14ac:dyDescent="0.2">
      <c r="A1060" s="44" t="s">
        <v>544</v>
      </c>
      <c r="B1060" s="48">
        <v>0.49236111111111108</v>
      </c>
      <c r="C1060" s="48"/>
      <c r="D1060" s="48" t="s">
        <v>97</v>
      </c>
      <c r="E1060" s="13">
        <v>2</v>
      </c>
      <c r="F1060" s="38" t="str">
        <f>VLOOKUP(E1060,[4]Key!$A$17:$B$21,2,FALSE)</f>
        <v>Road Vehicle</v>
      </c>
      <c r="G1060" s="49">
        <v>4</v>
      </c>
      <c r="H1060" s="39" t="str">
        <f>VLOOKUP(G1060,[4]Key!$A$2:$B$13,2,FALSE)</f>
        <v>Minibus</v>
      </c>
      <c r="I1060" s="13" t="s">
        <v>109</v>
      </c>
      <c r="J1060" s="13">
        <v>3</v>
      </c>
      <c r="K1060" s="40" t="str">
        <f>VLOOKUP(J1060,[4]Key!$A$24:$B$29,2,FALSE)</f>
        <v>40-49</v>
      </c>
      <c r="L1060" s="13" t="s">
        <v>454</v>
      </c>
      <c r="M1060" s="23" t="s">
        <v>455</v>
      </c>
      <c r="N1060" s="13" t="s">
        <v>152</v>
      </c>
      <c r="O1060" s="46">
        <v>4</v>
      </c>
      <c r="P1060" s="30" t="str">
        <f>VLOOKUP(O1060,[4]Key!$E$2:$F$9,2,FALSE)</f>
        <v>Commercial</v>
      </c>
      <c r="Q1060" s="13" t="s">
        <v>451</v>
      </c>
      <c r="R1060" s="23" t="s">
        <v>452</v>
      </c>
      <c r="S1060" s="13" t="s">
        <v>152</v>
      </c>
      <c r="T1060" s="23">
        <v>4</v>
      </c>
      <c r="U1060" s="30" t="str">
        <f>VLOOKUP(T1060,[4]Key!$E$2:$F$9,2,FALSE)</f>
        <v>Commercial</v>
      </c>
      <c r="V1060" s="30" t="str">
        <f t="shared" si="64"/>
        <v>Commercial-Commercial</v>
      </c>
      <c r="W1060" s="51">
        <v>20000</v>
      </c>
      <c r="X1060" s="50">
        <v>223</v>
      </c>
      <c r="Y1060" s="50" t="str">
        <f t="shared" si="65"/>
        <v>Over 200</v>
      </c>
      <c r="Z1060" s="50">
        <v>3</v>
      </c>
      <c r="AA1060" s="50" t="str">
        <f t="shared" si="66"/>
        <v>2.0-3.5</v>
      </c>
      <c r="AB1060" s="23">
        <v>5</v>
      </c>
      <c r="AC1060" s="30" t="str">
        <f>VLOOKUP(AB1060,[4]Key!$C$20:$D$29,2,FALSE)</f>
        <v>Professional</v>
      </c>
      <c r="AD1060" s="23">
        <v>2</v>
      </c>
      <c r="AE1060" s="30" t="str">
        <f>VLOOKUP(AD1060,[4]Key!$E$20:$F$24,2,FALSE)</f>
        <v>300,000-500,000</v>
      </c>
      <c r="AF1060" s="23">
        <v>1</v>
      </c>
      <c r="AG1060" s="50">
        <v>1</v>
      </c>
      <c r="AH1060" s="50">
        <v>1</v>
      </c>
      <c r="AI1060" s="50">
        <v>1</v>
      </c>
      <c r="AJ1060" s="50">
        <v>1</v>
      </c>
      <c r="AK1060" s="46" t="s">
        <v>94</v>
      </c>
      <c r="AL1060" s="36">
        <v>1000</v>
      </c>
      <c r="AM1060" t="str">
        <f t="shared" si="67"/>
        <v>1000-2000</v>
      </c>
    </row>
    <row r="1061" spans="1:39" x14ac:dyDescent="0.2">
      <c r="A1061" s="44" t="s">
        <v>544</v>
      </c>
      <c r="B1061" s="48">
        <v>0.51597222222222217</v>
      </c>
      <c r="C1061" s="48"/>
      <c r="D1061" s="48" t="s">
        <v>97</v>
      </c>
      <c r="E1061" s="13">
        <v>2</v>
      </c>
      <c r="F1061" s="38" t="str">
        <f>VLOOKUP(E1061,[4]Key!$A$17:$B$21,2,FALSE)</f>
        <v>Road Vehicle</v>
      </c>
      <c r="G1061" s="49">
        <v>4</v>
      </c>
      <c r="H1061" s="39" t="str">
        <f>VLOOKUP(G1061,[4]Key!$A$2:$B$13,2,FALSE)</f>
        <v>Minibus</v>
      </c>
      <c r="I1061" s="13" t="s">
        <v>109</v>
      </c>
      <c r="J1061" s="13">
        <v>3</v>
      </c>
      <c r="K1061" s="40" t="str">
        <f>VLOOKUP(J1061,[4]Key!$A$24:$B$29,2,FALSE)</f>
        <v>40-49</v>
      </c>
      <c r="L1061" s="13" t="s">
        <v>454</v>
      </c>
      <c r="M1061" s="23" t="s">
        <v>455</v>
      </c>
      <c r="N1061" s="13" t="s">
        <v>152</v>
      </c>
      <c r="O1061" s="46">
        <v>4</v>
      </c>
      <c r="P1061" s="30" t="str">
        <f>VLOOKUP(O1061,[4]Key!$E$2:$F$9,2,FALSE)</f>
        <v>Commercial</v>
      </c>
      <c r="Q1061" s="13" t="s">
        <v>510</v>
      </c>
      <c r="R1061" s="23" t="s">
        <v>511</v>
      </c>
      <c r="S1061" s="13" t="s">
        <v>152</v>
      </c>
      <c r="T1061" s="23">
        <v>4</v>
      </c>
      <c r="U1061" s="30" t="str">
        <f>VLOOKUP(T1061,[4]Key!$E$2:$F$9,2,FALSE)</f>
        <v>Commercial</v>
      </c>
      <c r="V1061" s="30" t="str">
        <f t="shared" si="64"/>
        <v>Commercial-Commercial</v>
      </c>
      <c r="W1061" s="51">
        <v>300000</v>
      </c>
      <c r="X1061" s="50">
        <v>312</v>
      </c>
      <c r="Y1061" s="50" t="str">
        <f t="shared" si="65"/>
        <v>Over 200</v>
      </c>
      <c r="Z1061" s="50">
        <v>4</v>
      </c>
      <c r="AA1061" s="50" t="str">
        <f t="shared" si="66"/>
        <v>Over 3.5</v>
      </c>
      <c r="AB1061" s="23">
        <v>5</v>
      </c>
      <c r="AC1061" s="30" t="str">
        <f>VLOOKUP(AB1061,[4]Key!$C$20:$D$29,2,FALSE)</f>
        <v>Professional</v>
      </c>
      <c r="AD1061" s="23">
        <v>3</v>
      </c>
      <c r="AE1061" s="30" t="str">
        <f>VLOOKUP(AD1061,[4]Key!$E$20:$F$24,2,FALSE)</f>
        <v>500,000-750,000</v>
      </c>
      <c r="AF1061" s="23">
        <v>5</v>
      </c>
      <c r="AG1061" s="50">
        <v>5</v>
      </c>
      <c r="AH1061" s="50">
        <v>1</v>
      </c>
      <c r="AI1061" s="50">
        <v>1</v>
      </c>
      <c r="AJ1061" s="50">
        <v>5</v>
      </c>
      <c r="AK1061" s="46" t="s">
        <v>94</v>
      </c>
      <c r="AL1061" s="36">
        <v>5000</v>
      </c>
      <c r="AM1061" t="str">
        <f t="shared" si="67"/>
        <v>5000-10000</v>
      </c>
    </row>
    <row r="1062" spans="1:39" x14ac:dyDescent="0.2">
      <c r="A1062" s="44" t="s">
        <v>544</v>
      </c>
      <c r="B1062" s="48">
        <v>0.56666666666666665</v>
      </c>
      <c r="C1062" s="48"/>
      <c r="D1062" s="48" t="s">
        <v>97</v>
      </c>
      <c r="E1062" s="13">
        <v>2</v>
      </c>
      <c r="F1062" s="38" t="str">
        <f>VLOOKUP(E1062,[4]Key!$A$17:$B$21,2,FALSE)</f>
        <v>Road Vehicle</v>
      </c>
      <c r="G1062" s="49">
        <v>4</v>
      </c>
      <c r="H1062" s="39" t="str">
        <f>VLOOKUP(G1062,[4]Key!$A$2:$B$13,2,FALSE)</f>
        <v>Minibus</v>
      </c>
      <c r="I1062" s="13" t="s">
        <v>109</v>
      </c>
      <c r="J1062" s="13">
        <v>3</v>
      </c>
      <c r="K1062" s="40" t="str">
        <f>VLOOKUP(J1062,[4]Key!$A$24:$B$29,2,FALSE)</f>
        <v>40-49</v>
      </c>
      <c r="L1062" s="13" t="s">
        <v>587</v>
      </c>
      <c r="M1062" s="23" t="s">
        <v>428</v>
      </c>
      <c r="N1062" s="13" t="s">
        <v>152</v>
      </c>
      <c r="O1062" s="46">
        <v>4</v>
      </c>
      <c r="P1062" s="30" t="str">
        <f>VLOOKUP(O1062,[4]Key!$E$2:$F$9,2,FALSE)</f>
        <v>Commercial</v>
      </c>
      <c r="Q1062" s="13" t="s">
        <v>454</v>
      </c>
      <c r="R1062" s="23" t="s">
        <v>455</v>
      </c>
      <c r="S1062" s="13" t="s">
        <v>152</v>
      </c>
      <c r="T1062" s="23">
        <v>4</v>
      </c>
      <c r="U1062" s="30" t="str">
        <f>VLOOKUP(T1062,[4]Key!$E$2:$F$9,2,FALSE)</f>
        <v>Commercial</v>
      </c>
      <c r="V1062" s="30" t="str">
        <f t="shared" si="64"/>
        <v>Commercial-Commercial</v>
      </c>
      <c r="W1062" s="51">
        <v>3000</v>
      </c>
      <c r="X1062" s="50">
        <v>40</v>
      </c>
      <c r="Y1062" s="50" t="str">
        <f t="shared" si="65"/>
        <v>40-70</v>
      </c>
      <c r="Z1062" s="50">
        <v>0.66</v>
      </c>
      <c r="AA1062" s="50" t="str">
        <f t="shared" si="66"/>
        <v>0.5-1.0</v>
      </c>
      <c r="AB1062" s="23">
        <v>5</v>
      </c>
      <c r="AC1062" s="30" t="str">
        <f>VLOOKUP(AB1062,[4]Key!$C$20:$D$29,2,FALSE)</f>
        <v>Professional</v>
      </c>
      <c r="AD1062" s="23">
        <v>2</v>
      </c>
      <c r="AE1062" s="30" t="str">
        <f>VLOOKUP(AD1062,[4]Key!$E$20:$F$24,2,FALSE)</f>
        <v>300,000-500,000</v>
      </c>
      <c r="AF1062" s="23">
        <v>1</v>
      </c>
      <c r="AG1062" s="50">
        <v>5</v>
      </c>
      <c r="AH1062" s="50">
        <v>5</v>
      </c>
      <c r="AI1062" s="50">
        <v>5</v>
      </c>
      <c r="AJ1062" s="50">
        <v>1</v>
      </c>
      <c r="AK1062" s="46" t="s">
        <v>94</v>
      </c>
      <c r="AL1062" s="36">
        <v>0</v>
      </c>
      <c r="AM1062" t="str">
        <f t="shared" si="67"/>
        <v>0-1000</v>
      </c>
    </row>
    <row r="1063" spans="1:39" x14ac:dyDescent="0.2">
      <c r="A1063" s="44" t="s">
        <v>544</v>
      </c>
      <c r="B1063" s="48">
        <v>0.48194444444444445</v>
      </c>
      <c r="C1063" s="48" t="s">
        <v>652</v>
      </c>
      <c r="D1063" s="48" t="s">
        <v>97</v>
      </c>
      <c r="E1063" s="13">
        <v>2</v>
      </c>
      <c r="F1063" s="38" t="str">
        <f>VLOOKUP(E1063,[4]Key!$A$17:$B$21,2,FALSE)</f>
        <v>Road Vehicle</v>
      </c>
      <c r="G1063" s="49">
        <v>4</v>
      </c>
      <c r="H1063" s="39" t="str">
        <f>VLOOKUP(G1063,[4]Key!$A$2:$B$13,2,FALSE)</f>
        <v>Minibus</v>
      </c>
      <c r="I1063" s="13" t="s">
        <v>109</v>
      </c>
      <c r="J1063" s="13">
        <v>3</v>
      </c>
      <c r="K1063" s="40" t="str">
        <f>VLOOKUP(J1063,[4]Key!$A$24:$B$29,2,FALSE)</f>
        <v>40-49</v>
      </c>
      <c r="L1063" s="13" t="s">
        <v>454</v>
      </c>
      <c r="M1063" s="23" t="s">
        <v>455</v>
      </c>
      <c r="N1063" s="13" t="s">
        <v>152</v>
      </c>
      <c r="O1063" s="46">
        <v>2</v>
      </c>
      <c r="P1063" s="30" t="str">
        <f>VLOOKUP(O1063,[4]Key!$E$2:$F$9,2,FALSE)</f>
        <v>Work</v>
      </c>
      <c r="Q1063" s="13" t="s">
        <v>554</v>
      </c>
      <c r="R1063" s="23" t="s">
        <v>455</v>
      </c>
      <c r="S1063" s="13" t="s">
        <v>152</v>
      </c>
      <c r="T1063" s="23">
        <v>1</v>
      </c>
      <c r="U1063" s="30" t="str">
        <f>VLOOKUP(T1063,[4]Key!$E$2:$F$9,2,FALSE)</f>
        <v>Home</v>
      </c>
      <c r="V1063" s="30" t="str">
        <f t="shared" si="64"/>
        <v>Work-Home</v>
      </c>
      <c r="W1063" s="51">
        <v>30000</v>
      </c>
      <c r="X1063" s="50">
        <v>15</v>
      </c>
      <c r="Y1063" s="50" t="str">
        <f t="shared" si="65"/>
        <v>10-20</v>
      </c>
      <c r="Z1063" s="50">
        <v>0.83</v>
      </c>
      <c r="AA1063" s="50" t="str">
        <f t="shared" si="66"/>
        <v>0.5-1.0</v>
      </c>
      <c r="AB1063" s="23">
        <v>10</v>
      </c>
      <c r="AC1063" s="30" t="str">
        <f>VLOOKUP(AB1063,[4]Key!$C$20:$D$29,2,FALSE)</f>
        <v>Other</v>
      </c>
      <c r="AD1063" s="23">
        <v>1</v>
      </c>
      <c r="AE1063" s="30" t="str">
        <f>VLOOKUP(AD1063,[4]Key!$E$20:$F$24,2,FALSE)</f>
        <v>&lt;300,000</v>
      </c>
      <c r="AF1063" s="23">
        <v>2</v>
      </c>
      <c r="AG1063" s="50">
        <v>2</v>
      </c>
      <c r="AH1063" s="50">
        <v>2</v>
      </c>
      <c r="AI1063" s="50">
        <v>2</v>
      </c>
      <c r="AJ1063" s="50">
        <v>2</v>
      </c>
      <c r="AK1063" s="46" t="s">
        <v>94</v>
      </c>
      <c r="AL1063" s="36">
        <v>0</v>
      </c>
      <c r="AM1063" t="str">
        <f t="shared" si="67"/>
        <v>0-1000</v>
      </c>
    </row>
    <row r="1064" spans="1:39" x14ac:dyDescent="0.2">
      <c r="A1064" s="44" t="s">
        <v>544</v>
      </c>
      <c r="B1064" s="48">
        <v>0.34652777777777777</v>
      </c>
      <c r="C1064" s="48"/>
      <c r="D1064" s="48" t="s">
        <v>150</v>
      </c>
      <c r="E1064" s="13">
        <v>2</v>
      </c>
      <c r="F1064" s="38" t="str">
        <f>VLOOKUP(E1064,[4]Key!$A$17:$B$21,2,FALSE)</f>
        <v>Road Vehicle</v>
      </c>
      <c r="G1064" s="49">
        <v>3</v>
      </c>
      <c r="H1064" s="39" t="str">
        <f>VLOOKUP(G1064,[4]Key!$A$2:$B$13,2,FALSE)</f>
        <v>Pickups</v>
      </c>
      <c r="I1064" s="13" t="s">
        <v>156</v>
      </c>
      <c r="J1064" s="13">
        <v>3</v>
      </c>
      <c r="K1064" s="40" t="str">
        <f>VLOOKUP(J1064,[4]Key!$A$24:$B$29,2,FALSE)</f>
        <v>40-49</v>
      </c>
      <c r="L1064" s="13" t="s">
        <v>542</v>
      </c>
      <c r="M1064" s="23" t="s">
        <v>543</v>
      </c>
      <c r="N1064" s="13" t="s">
        <v>152</v>
      </c>
      <c r="O1064" s="46">
        <v>4</v>
      </c>
      <c r="P1064" s="30" t="str">
        <f>VLOOKUP(O1064,[4]Key!$E$2:$F$9,2,FALSE)</f>
        <v>Commercial</v>
      </c>
      <c r="Q1064" s="13" t="s">
        <v>454</v>
      </c>
      <c r="R1064" s="23" t="s">
        <v>455</v>
      </c>
      <c r="S1064" s="13" t="s">
        <v>152</v>
      </c>
      <c r="T1064" s="23">
        <v>1</v>
      </c>
      <c r="U1064" s="30" t="str">
        <f>VLOOKUP(T1064,[4]Key!$E$2:$F$9,2,FALSE)</f>
        <v>Home</v>
      </c>
      <c r="V1064" s="30" t="str">
        <f t="shared" si="64"/>
        <v>Commercial-Home</v>
      </c>
      <c r="W1064" s="51">
        <v>10000</v>
      </c>
      <c r="X1064" s="50">
        <v>33</v>
      </c>
      <c r="Y1064" s="50" t="str">
        <f t="shared" si="65"/>
        <v>20-40</v>
      </c>
      <c r="Z1064" s="50">
        <v>0.83</v>
      </c>
      <c r="AA1064" s="50" t="str">
        <f t="shared" si="66"/>
        <v>0.5-1.0</v>
      </c>
      <c r="AB1064" s="23">
        <v>5</v>
      </c>
      <c r="AC1064" s="30" t="str">
        <f>VLOOKUP(AB1064,[4]Key!$C$20:$D$29,2,FALSE)</f>
        <v>Professional</v>
      </c>
      <c r="AD1064" s="23">
        <v>5</v>
      </c>
      <c r="AE1064" s="30" t="str">
        <f>VLOOKUP(AD1064,[4]Key!$E$20:$F$24,2,FALSE)</f>
        <v>&gt;1,000,000</v>
      </c>
      <c r="AF1064" s="23">
        <v>2</v>
      </c>
      <c r="AG1064" s="50">
        <v>2</v>
      </c>
      <c r="AH1064" s="50">
        <v>2</v>
      </c>
      <c r="AI1064" s="50">
        <v>3</v>
      </c>
      <c r="AJ1064" s="50">
        <v>3</v>
      </c>
      <c r="AK1064" s="46" t="s">
        <v>94</v>
      </c>
      <c r="AL1064" s="36">
        <v>5000</v>
      </c>
      <c r="AM1064" t="str">
        <f t="shared" si="67"/>
        <v>5000-10000</v>
      </c>
    </row>
    <row r="1065" spans="1:39" x14ac:dyDescent="0.2">
      <c r="A1065" s="44" t="s">
        <v>541</v>
      </c>
      <c r="B1065" s="48">
        <v>0.69374999999999998</v>
      </c>
      <c r="C1065" s="48" t="s">
        <v>688</v>
      </c>
      <c r="D1065" s="48" t="s">
        <v>97</v>
      </c>
      <c r="E1065" s="13">
        <v>2</v>
      </c>
      <c r="F1065" s="38" t="str">
        <f>VLOOKUP(E1065,[4]Key!$A$17:$B$21,2,FALSE)</f>
        <v>Road Vehicle</v>
      </c>
      <c r="G1065" s="49">
        <v>2</v>
      </c>
      <c r="H1065" s="39" t="str">
        <f>VLOOKUP(G1065,[4]Key!$A$2:$B$13,2,FALSE)</f>
        <v>Station Wagon</v>
      </c>
      <c r="I1065" s="13" t="s">
        <v>156</v>
      </c>
      <c r="J1065" s="13">
        <v>3</v>
      </c>
      <c r="K1065" s="40" t="str">
        <f>VLOOKUP(J1065,[4]Key!$A$24:$B$29,2,FALSE)</f>
        <v>40-49</v>
      </c>
      <c r="L1065" s="13" t="s">
        <v>454</v>
      </c>
      <c r="M1065" s="23" t="s">
        <v>455</v>
      </c>
      <c r="N1065" s="13" t="s">
        <v>152</v>
      </c>
      <c r="O1065" s="46">
        <v>2</v>
      </c>
      <c r="P1065" s="30" t="str">
        <f>VLOOKUP(O1065,[4]Key!$E$2:$F$9,2,FALSE)</f>
        <v>Work</v>
      </c>
      <c r="Q1065" s="13" t="s">
        <v>689</v>
      </c>
      <c r="R1065" s="23" t="s">
        <v>455</v>
      </c>
      <c r="S1065" s="13" t="s">
        <v>152</v>
      </c>
      <c r="T1065" s="23">
        <v>1</v>
      </c>
      <c r="U1065" s="30" t="str">
        <f>VLOOKUP(T1065,[4]Key!$E$2:$F$9,2,FALSE)</f>
        <v>Home</v>
      </c>
      <c r="V1065" s="30" t="str">
        <f t="shared" si="64"/>
        <v>Work-Home</v>
      </c>
      <c r="W1065" s="51">
        <v>5000</v>
      </c>
      <c r="X1065" s="50">
        <v>3</v>
      </c>
      <c r="Y1065" s="50" t="str">
        <f t="shared" si="65"/>
        <v>0-10</v>
      </c>
      <c r="Z1065" s="50">
        <v>0.05</v>
      </c>
      <c r="AA1065" s="50" t="str">
        <f t="shared" si="66"/>
        <v>0-0.5</v>
      </c>
      <c r="AB1065" s="23">
        <v>4</v>
      </c>
      <c r="AC1065" s="30" t="str">
        <f>VLOOKUP(AB1065,[4]Key!$C$20:$D$29,2,FALSE)</f>
        <v>Office Worker</v>
      </c>
      <c r="AD1065" s="23">
        <v>5</v>
      </c>
      <c r="AE1065" s="30" t="str">
        <f>VLOOKUP(AD1065,[4]Key!$E$20:$F$24,2,FALSE)</f>
        <v>&gt;1,000,000</v>
      </c>
      <c r="AF1065" s="23">
        <v>1</v>
      </c>
      <c r="AG1065" s="50">
        <v>1</v>
      </c>
      <c r="AH1065" s="50">
        <v>1</v>
      </c>
      <c r="AI1065" s="50">
        <v>1</v>
      </c>
      <c r="AJ1065" s="50">
        <v>1</v>
      </c>
      <c r="AK1065" s="46" t="s">
        <v>94</v>
      </c>
      <c r="AL1065" s="36">
        <v>5000</v>
      </c>
      <c r="AM1065" t="str">
        <f t="shared" si="67"/>
        <v>5000-10000</v>
      </c>
    </row>
    <row r="1066" spans="1:39" x14ac:dyDescent="0.2">
      <c r="A1066" s="44" t="s">
        <v>541</v>
      </c>
      <c r="B1066" s="48">
        <v>0.67222222222222217</v>
      </c>
      <c r="C1066" s="48" t="s">
        <v>690</v>
      </c>
      <c r="D1066" s="48" t="s">
        <v>97</v>
      </c>
      <c r="E1066" s="13">
        <v>2</v>
      </c>
      <c r="F1066" s="38" t="str">
        <f>VLOOKUP(E1066,[4]Key!$A$17:$B$21,2,FALSE)</f>
        <v>Road Vehicle</v>
      </c>
      <c r="G1066" s="49">
        <v>9</v>
      </c>
      <c r="H1066" s="39" t="str">
        <f>VLOOKUP(G1066,[4]Key!$A$2:$B$13,2,FALSE)</f>
        <v xml:space="preserve">Heavy truck </v>
      </c>
      <c r="I1066" s="13" t="s">
        <v>109</v>
      </c>
      <c r="J1066" s="13">
        <v>4</v>
      </c>
      <c r="K1066" s="40" t="str">
        <f>VLOOKUP(J1066,[4]Key!$A$24:$B$29,2,FALSE)</f>
        <v>50-59</v>
      </c>
      <c r="L1066" s="13" t="s">
        <v>484</v>
      </c>
      <c r="M1066" s="23" t="s">
        <v>485</v>
      </c>
      <c r="N1066" s="13" t="s">
        <v>152</v>
      </c>
      <c r="O1066" s="46">
        <v>4</v>
      </c>
      <c r="P1066" s="30" t="str">
        <f>VLOOKUP(O1066,[4]Key!$E$2:$F$9,2,FALSE)</f>
        <v>Commercial</v>
      </c>
      <c r="Q1066" s="13" t="s">
        <v>434</v>
      </c>
      <c r="R1066" s="23" t="s">
        <v>153</v>
      </c>
      <c r="S1066" s="13" t="s">
        <v>152</v>
      </c>
      <c r="T1066" s="23">
        <v>2</v>
      </c>
      <c r="U1066" s="30" t="str">
        <f>VLOOKUP(T1066,[4]Key!$E$2:$F$9,2,FALSE)</f>
        <v>Work</v>
      </c>
      <c r="V1066" s="30" t="str">
        <f t="shared" si="64"/>
        <v>Commercial-Work</v>
      </c>
      <c r="W1066" s="51">
        <v>500000</v>
      </c>
      <c r="X1066" s="50">
        <v>460</v>
      </c>
      <c r="Y1066" s="50" t="str">
        <f t="shared" si="65"/>
        <v>Over 200</v>
      </c>
      <c r="Z1066" s="50">
        <v>16</v>
      </c>
      <c r="AA1066" s="50" t="str">
        <f t="shared" si="66"/>
        <v>Over 3.5</v>
      </c>
      <c r="AB1066" s="23">
        <v>5</v>
      </c>
      <c r="AC1066" s="30" t="str">
        <f>VLOOKUP(AB1066,[4]Key!$C$20:$D$29,2,FALSE)</f>
        <v>Professional</v>
      </c>
      <c r="AD1066" s="23">
        <v>5</v>
      </c>
      <c r="AE1066" s="30" t="str">
        <f>VLOOKUP(AD1066,[4]Key!$E$20:$F$24,2,FALSE)</f>
        <v>&gt;1,000,000</v>
      </c>
      <c r="AF1066" s="23">
        <v>3</v>
      </c>
      <c r="AG1066" s="50">
        <v>3</v>
      </c>
      <c r="AH1066" s="50">
        <v>3</v>
      </c>
      <c r="AI1066" s="50">
        <v>3</v>
      </c>
      <c r="AJ1066" s="50">
        <v>2</v>
      </c>
      <c r="AK1066" s="46" t="s">
        <v>94</v>
      </c>
      <c r="AL1066" s="36">
        <v>5000</v>
      </c>
      <c r="AM1066" t="str">
        <f t="shared" si="67"/>
        <v>5000-10000</v>
      </c>
    </row>
    <row r="1067" spans="1:39" x14ac:dyDescent="0.2">
      <c r="A1067" s="44" t="s">
        <v>541</v>
      </c>
      <c r="B1067" s="48">
        <v>0.64444444444444449</v>
      </c>
      <c r="C1067" s="48" t="s">
        <v>691</v>
      </c>
      <c r="D1067" s="48" t="s">
        <v>97</v>
      </c>
      <c r="E1067" s="13">
        <v>2</v>
      </c>
      <c r="F1067" s="38" t="str">
        <f>VLOOKUP(E1067,[4]Key!$A$17:$B$21,2,FALSE)</f>
        <v>Road Vehicle</v>
      </c>
      <c r="G1067" s="49">
        <v>6</v>
      </c>
      <c r="H1067" s="39" t="str">
        <f>VLOOKUP(G1067,[4]Key!$A$2:$B$13,2,FALSE)</f>
        <v>Large Bus</v>
      </c>
      <c r="I1067" s="13" t="s">
        <v>109</v>
      </c>
      <c r="J1067" s="13">
        <v>4</v>
      </c>
      <c r="K1067" s="40" t="str">
        <f>VLOOKUP(J1067,[4]Key!$A$24:$B$29,2,FALSE)</f>
        <v>50-59</v>
      </c>
      <c r="L1067" s="13" t="s">
        <v>484</v>
      </c>
      <c r="M1067" s="23" t="s">
        <v>485</v>
      </c>
      <c r="N1067" s="13" t="s">
        <v>152</v>
      </c>
      <c r="O1067" s="46">
        <v>2</v>
      </c>
      <c r="P1067" s="30" t="str">
        <f>VLOOKUP(O1067,[4]Key!$E$2:$F$9,2,FALSE)</f>
        <v>Work</v>
      </c>
      <c r="Q1067" s="13" t="s">
        <v>434</v>
      </c>
      <c r="R1067" s="23" t="s">
        <v>153</v>
      </c>
      <c r="S1067" s="13" t="s">
        <v>152</v>
      </c>
      <c r="T1067" s="23">
        <v>2</v>
      </c>
      <c r="U1067" s="30" t="str">
        <f>VLOOKUP(T1067,[4]Key!$E$2:$F$9,2,FALSE)</f>
        <v>Work</v>
      </c>
      <c r="V1067" s="30" t="str">
        <f t="shared" si="64"/>
        <v>Work-Work</v>
      </c>
      <c r="W1067" s="51">
        <v>350000</v>
      </c>
      <c r="X1067" s="50">
        <v>436</v>
      </c>
      <c r="Y1067" s="50" t="str">
        <f t="shared" si="65"/>
        <v>Over 200</v>
      </c>
      <c r="Z1067" s="50">
        <v>14</v>
      </c>
      <c r="AA1067" s="50" t="str">
        <f t="shared" si="66"/>
        <v>Over 3.5</v>
      </c>
      <c r="AB1067" s="23">
        <v>5</v>
      </c>
      <c r="AC1067" s="30" t="str">
        <f>VLOOKUP(AB1067,[4]Key!$C$20:$D$29,2,FALSE)</f>
        <v>Professional</v>
      </c>
      <c r="AD1067" s="23">
        <v>5</v>
      </c>
      <c r="AE1067" s="30" t="str">
        <f>VLOOKUP(AD1067,[4]Key!$E$20:$F$24,2,FALSE)</f>
        <v>&gt;1,000,000</v>
      </c>
      <c r="AF1067" s="23">
        <v>1</v>
      </c>
      <c r="AG1067" s="50">
        <v>1</v>
      </c>
      <c r="AH1067" s="50">
        <v>1</v>
      </c>
      <c r="AI1067" s="50">
        <v>1</v>
      </c>
      <c r="AJ1067" s="50">
        <v>1</v>
      </c>
      <c r="AK1067" s="46" t="s">
        <v>94</v>
      </c>
      <c r="AL1067" s="36">
        <v>5000</v>
      </c>
      <c r="AM1067" t="str">
        <f t="shared" si="67"/>
        <v>5000-10000</v>
      </c>
    </row>
    <row r="1068" spans="1:39" x14ac:dyDescent="0.2">
      <c r="A1068" s="44" t="s">
        <v>541</v>
      </c>
      <c r="B1068" s="48">
        <v>0.60625000000000007</v>
      </c>
      <c r="C1068" s="48" t="s">
        <v>692</v>
      </c>
      <c r="D1068" s="48" t="s">
        <v>97</v>
      </c>
      <c r="E1068" s="13">
        <v>2</v>
      </c>
      <c r="F1068" s="38" t="str">
        <f>VLOOKUP(E1068,[4]Key!$A$17:$B$21,2,FALSE)</f>
        <v>Road Vehicle</v>
      </c>
      <c r="G1068" s="49">
        <v>6</v>
      </c>
      <c r="H1068" s="39" t="str">
        <f>VLOOKUP(G1068,[4]Key!$A$2:$B$13,2,FALSE)</f>
        <v>Large Bus</v>
      </c>
      <c r="I1068" s="13" t="s">
        <v>109</v>
      </c>
      <c r="J1068" s="13">
        <v>4</v>
      </c>
      <c r="K1068" s="40" t="str">
        <f>VLOOKUP(J1068,[4]Key!$A$24:$B$29,2,FALSE)</f>
        <v>50-59</v>
      </c>
      <c r="L1068" s="13" t="s">
        <v>484</v>
      </c>
      <c r="M1068" s="23" t="s">
        <v>485</v>
      </c>
      <c r="N1068" s="13" t="s">
        <v>152</v>
      </c>
      <c r="O1068" s="46">
        <v>2</v>
      </c>
      <c r="P1068" s="30" t="str">
        <f>VLOOKUP(O1068,[4]Key!$E$2:$F$9,2,FALSE)</f>
        <v>Work</v>
      </c>
      <c r="Q1068" s="13" t="s">
        <v>434</v>
      </c>
      <c r="R1068" s="23" t="s">
        <v>153</v>
      </c>
      <c r="S1068" s="13" t="s">
        <v>152</v>
      </c>
      <c r="T1068" s="23">
        <v>2</v>
      </c>
      <c r="U1068" s="30" t="str">
        <f>VLOOKUP(T1068,[4]Key!$E$2:$F$9,2,FALSE)</f>
        <v>Work</v>
      </c>
      <c r="V1068" s="30" t="str">
        <f t="shared" si="64"/>
        <v>Work-Work</v>
      </c>
      <c r="W1068" s="51">
        <v>320000</v>
      </c>
      <c r="X1068" s="50">
        <v>480</v>
      </c>
      <c r="Y1068" s="50" t="str">
        <f t="shared" si="65"/>
        <v>Over 200</v>
      </c>
      <c r="Z1068" s="50">
        <v>14</v>
      </c>
      <c r="AA1068" s="50" t="str">
        <f t="shared" si="66"/>
        <v>Over 3.5</v>
      </c>
      <c r="AB1068" s="23">
        <v>5</v>
      </c>
      <c r="AC1068" s="30" t="str">
        <f>VLOOKUP(AB1068,[4]Key!$C$20:$D$29,2,FALSE)</f>
        <v>Professional</v>
      </c>
      <c r="AD1068" s="23">
        <v>5</v>
      </c>
      <c r="AE1068" s="30" t="str">
        <f>VLOOKUP(AD1068,[4]Key!$E$20:$F$24,2,FALSE)</f>
        <v>&gt;1,000,000</v>
      </c>
      <c r="AF1068" s="23">
        <v>1</v>
      </c>
      <c r="AG1068" s="50">
        <v>1</v>
      </c>
      <c r="AH1068" s="50">
        <v>1</v>
      </c>
      <c r="AI1068" s="50">
        <v>1</v>
      </c>
      <c r="AJ1068" s="50">
        <v>1</v>
      </c>
      <c r="AK1068" s="46" t="s">
        <v>94</v>
      </c>
      <c r="AL1068" s="36">
        <v>5000</v>
      </c>
      <c r="AM1068" t="str">
        <f t="shared" si="67"/>
        <v>5000-10000</v>
      </c>
    </row>
    <row r="1069" spans="1:39" x14ac:dyDescent="0.2">
      <c r="A1069" s="44" t="s">
        <v>547</v>
      </c>
      <c r="B1069" s="48">
        <v>0.39166666666666666</v>
      </c>
      <c r="C1069" s="48"/>
      <c r="D1069" s="48" t="s">
        <v>150</v>
      </c>
      <c r="E1069" s="13">
        <v>2</v>
      </c>
      <c r="F1069" s="38" t="str">
        <f>VLOOKUP(E1069,[4]Key!$A$17:$B$21,2,FALSE)</f>
        <v>Road Vehicle</v>
      </c>
      <c r="G1069" s="49">
        <v>4</v>
      </c>
      <c r="H1069" s="39" t="str">
        <f>VLOOKUP(G1069,[4]Key!$A$2:$B$13,2,FALSE)</f>
        <v>Minibus</v>
      </c>
      <c r="I1069" s="13" t="s">
        <v>156</v>
      </c>
      <c r="J1069" s="13">
        <v>4</v>
      </c>
      <c r="K1069" s="40" t="str">
        <f>VLOOKUP(J1069,[4]Key!$A$24:$B$29,2,FALSE)</f>
        <v>50-59</v>
      </c>
      <c r="L1069" s="13" t="s">
        <v>454</v>
      </c>
      <c r="M1069" s="23" t="s">
        <v>455</v>
      </c>
      <c r="N1069" s="13" t="s">
        <v>152</v>
      </c>
      <c r="O1069" s="46">
        <v>1</v>
      </c>
      <c r="P1069" s="30" t="str">
        <f>VLOOKUP(O1069,[4]Key!$E$2:$F$9,2,FALSE)</f>
        <v>Home</v>
      </c>
      <c r="Q1069" s="13" t="s">
        <v>438</v>
      </c>
      <c r="R1069" s="23" t="s">
        <v>446</v>
      </c>
      <c r="S1069" s="13" t="s">
        <v>152</v>
      </c>
      <c r="T1069" s="23">
        <v>3</v>
      </c>
      <c r="U1069" s="30" t="str">
        <f>VLOOKUP(T1069,[4]Key!$E$2:$F$9,2,FALSE)</f>
        <v>Study</v>
      </c>
      <c r="V1069" s="30" t="str">
        <f t="shared" si="64"/>
        <v>Home-Study</v>
      </c>
      <c r="W1069" s="51">
        <v>25000</v>
      </c>
      <c r="X1069" s="50">
        <v>260</v>
      </c>
      <c r="Y1069" s="50" t="str">
        <f t="shared" si="65"/>
        <v>Over 200</v>
      </c>
      <c r="Z1069" s="50">
        <v>3</v>
      </c>
      <c r="AA1069" s="50" t="str">
        <f t="shared" si="66"/>
        <v>2.0-3.5</v>
      </c>
      <c r="AB1069" s="23">
        <v>1</v>
      </c>
      <c r="AC1069" s="30" t="str">
        <f>VLOOKUP(AB1069,[4]Key!$C$20:$D$29,2,FALSE)</f>
        <v>Unemployed</v>
      </c>
      <c r="AD1069" s="23">
        <v>1</v>
      </c>
      <c r="AE1069" s="30" t="str">
        <f>VLOOKUP(AD1069,[4]Key!$E$20:$F$24,2,FALSE)</f>
        <v>&lt;300,000</v>
      </c>
      <c r="AF1069" s="23">
        <v>1</v>
      </c>
      <c r="AG1069" s="50">
        <v>1</v>
      </c>
      <c r="AH1069" s="50">
        <v>1</v>
      </c>
      <c r="AI1069" s="50">
        <v>1</v>
      </c>
      <c r="AJ1069" s="50">
        <v>5</v>
      </c>
      <c r="AK1069" s="46" t="s">
        <v>94</v>
      </c>
      <c r="AL1069" s="36">
        <v>0</v>
      </c>
      <c r="AM1069" t="str">
        <f t="shared" si="67"/>
        <v>0-1000</v>
      </c>
    </row>
    <row r="1070" spans="1:39" x14ac:dyDescent="0.2">
      <c r="A1070" s="44" t="s">
        <v>544</v>
      </c>
      <c r="B1070" s="48">
        <v>0.39027777777777778</v>
      </c>
      <c r="C1070" s="48"/>
      <c r="D1070" s="48" t="s">
        <v>150</v>
      </c>
      <c r="E1070" s="13">
        <v>2</v>
      </c>
      <c r="F1070" s="38" t="str">
        <f>VLOOKUP(E1070,[4]Key!$A$17:$B$21,2,FALSE)</f>
        <v>Road Vehicle</v>
      </c>
      <c r="G1070" s="49">
        <v>4</v>
      </c>
      <c r="H1070" s="39" t="str">
        <f>VLOOKUP(G1070,[4]Key!$A$2:$B$13,2,FALSE)</f>
        <v>Minibus</v>
      </c>
      <c r="I1070" s="13" t="s">
        <v>156</v>
      </c>
      <c r="J1070" s="13">
        <v>4</v>
      </c>
      <c r="K1070" s="40" t="str">
        <f>VLOOKUP(J1070,[4]Key!$A$24:$B$29,2,FALSE)</f>
        <v>50-59</v>
      </c>
      <c r="L1070" s="13" t="s">
        <v>454</v>
      </c>
      <c r="M1070" s="23" t="s">
        <v>455</v>
      </c>
      <c r="N1070" s="13" t="s">
        <v>152</v>
      </c>
      <c r="O1070" s="46">
        <v>1</v>
      </c>
      <c r="P1070" s="30" t="str">
        <f>VLOOKUP(O1070,[4]Key!$E$2:$F$9,2,FALSE)</f>
        <v>Home</v>
      </c>
      <c r="Q1070" s="13" t="s">
        <v>424</v>
      </c>
      <c r="R1070" s="23" t="s">
        <v>421</v>
      </c>
      <c r="S1070" s="13" t="s">
        <v>152</v>
      </c>
      <c r="T1070" s="23">
        <v>7</v>
      </c>
      <c r="U1070" s="30" t="str">
        <f>VLOOKUP(T1070,[4]Key!$E$2:$F$9,2,FALSE)</f>
        <v>Hospital</v>
      </c>
      <c r="V1070" s="30" t="str">
        <f t="shared" si="64"/>
        <v>Home-Hospital</v>
      </c>
      <c r="W1070" s="51">
        <v>15000</v>
      </c>
      <c r="X1070" s="50">
        <v>139</v>
      </c>
      <c r="Y1070" s="50" t="str">
        <f t="shared" si="65"/>
        <v>100-200</v>
      </c>
      <c r="Z1070" s="50">
        <v>2</v>
      </c>
      <c r="AA1070" s="50" t="str">
        <f t="shared" si="66"/>
        <v>2.0-3.5</v>
      </c>
      <c r="AB1070" s="23">
        <v>2</v>
      </c>
      <c r="AC1070" s="30" t="str">
        <f>VLOOKUP(AB1070,[4]Key!$C$20:$D$29,2,FALSE)</f>
        <v>Manual Labour</v>
      </c>
      <c r="AD1070" s="23">
        <v>2</v>
      </c>
      <c r="AE1070" s="30" t="str">
        <f>VLOOKUP(AD1070,[4]Key!$E$20:$F$24,2,FALSE)</f>
        <v>300,000-500,000</v>
      </c>
      <c r="AF1070" s="23">
        <v>1</v>
      </c>
      <c r="AG1070" s="50">
        <v>1</v>
      </c>
      <c r="AH1070" s="50">
        <v>1</v>
      </c>
      <c r="AI1070" s="50">
        <v>1</v>
      </c>
      <c r="AJ1070" s="50">
        <v>1</v>
      </c>
      <c r="AK1070" s="46" t="s">
        <v>94</v>
      </c>
      <c r="AL1070" s="36">
        <v>1000</v>
      </c>
      <c r="AM1070" t="str">
        <f t="shared" si="67"/>
        <v>1000-2000</v>
      </c>
    </row>
    <row r="1071" spans="1:39" x14ac:dyDescent="0.2">
      <c r="A1071" s="44" t="s">
        <v>541</v>
      </c>
      <c r="B1071" s="48">
        <v>0.76180555555555562</v>
      </c>
      <c r="C1071" s="48" t="s">
        <v>693</v>
      </c>
      <c r="D1071" s="48" t="s">
        <v>97</v>
      </c>
      <c r="E1071" s="13">
        <v>2</v>
      </c>
      <c r="F1071" s="38" t="str">
        <f>VLOOKUP(E1071,[4]Key!$A$17:$B$21,2,FALSE)</f>
        <v>Road Vehicle</v>
      </c>
      <c r="G1071" s="49">
        <v>4</v>
      </c>
      <c r="H1071" s="39" t="str">
        <f>VLOOKUP(G1071,[4]Key!$A$2:$B$13,2,FALSE)</f>
        <v>Minibus</v>
      </c>
      <c r="I1071" s="13" t="s">
        <v>109</v>
      </c>
      <c r="J1071" s="13">
        <v>4</v>
      </c>
      <c r="K1071" s="40" t="str">
        <f>VLOOKUP(J1071,[4]Key!$A$24:$B$29,2,FALSE)</f>
        <v>50-59</v>
      </c>
      <c r="L1071" s="13" t="s">
        <v>454</v>
      </c>
      <c r="M1071" s="23" t="s">
        <v>455</v>
      </c>
      <c r="N1071" s="13" t="s">
        <v>152</v>
      </c>
      <c r="O1071" s="46">
        <v>4</v>
      </c>
      <c r="P1071" s="30" t="str">
        <f>VLOOKUP(O1071,[4]Key!$E$2:$F$9,2,FALSE)</f>
        <v>Commercial</v>
      </c>
      <c r="Q1071" s="13" t="s">
        <v>555</v>
      </c>
      <c r="R1071" s="23" t="s">
        <v>556</v>
      </c>
      <c r="S1071" s="13" t="s">
        <v>152</v>
      </c>
      <c r="T1071" s="23">
        <v>4</v>
      </c>
      <c r="U1071" s="30" t="str">
        <f>VLOOKUP(T1071,[4]Key!$E$2:$F$9,2,FALSE)</f>
        <v>Commercial</v>
      </c>
      <c r="V1071" s="30" t="str">
        <f t="shared" si="64"/>
        <v>Commercial-Commercial</v>
      </c>
      <c r="W1071" s="51">
        <v>200000</v>
      </c>
      <c r="X1071" s="50">
        <v>460</v>
      </c>
      <c r="Y1071" s="50" t="str">
        <f t="shared" si="65"/>
        <v>Over 200</v>
      </c>
      <c r="Z1071" s="50">
        <v>4</v>
      </c>
      <c r="AA1071" s="50" t="str">
        <f t="shared" si="66"/>
        <v>Over 3.5</v>
      </c>
      <c r="AB1071" s="23">
        <v>5</v>
      </c>
      <c r="AC1071" s="30" t="str">
        <f>VLOOKUP(AB1071,[4]Key!$C$20:$D$29,2,FALSE)</f>
        <v>Professional</v>
      </c>
      <c r="AD1071" s="23">
        <v>2</v>
      </c>
      <c r="AE1071" s="30" t="str">
        <f>VLOOKUP(AD1071,[4]Key!$E$20:$F$24,2,FALSE)</f>
        <v>300,000-500,000</v>
      </c>
      <c r="AF1071" s="23">
        <v>5</v>
      </c>
      <c r="AG1071" s="50">
        <v>5</v>
      </c>
      <c r="AH1071" s="50">
        <v>1</v>
      </c>
      <c r="AI1071" s="50">
        <v>5</v>
      </c>
      <c r="AJ1071" s="50">
        <v>5</v>
      </c>
      <c r="AK1071" s="46" t="s">
        <v>94</v>
      </c>
      <c r="AL1071" s="36">
        <v>2000</v>
      </c>
      <c r="AM1071" t="str">
        <f t="shared" si="67"/>
        <v>2000-3000</v>
      </c>
    </row>
    <row r="1072" spans="1:39" x14ac:dyDescent="0.2">
      <c r="A1072" s="44" t="s">
        <v>547</v>
      </c>
      <c r="B1072" s="48">
        <v>0.42708333333333331</v>
      </c>
      <c r="C1072" s="48"/>
      <c r="D1072" s="48" t="s">
        <v>150</v>
      </c>
      <c r="E1072" s="13">
        <v>2</v>
      </c>
      <c r="F1072" s="38" t="str">
        <f>VLOOKUP(E1072,[4]Key!$A$17:$B$21,2,FALSE)</f>
        <v>Road Vehicle</v>
      </c>
      <c r="G1072" s="49">
        <v>4</v>
      </c>
      <c r="H1072" s="39" t="str">
        <f>VLOOKUP(G1072,[4]Key!$A$2:$B$13,2,FALSE)</f>
        <v>Minibus</v>
      </c>
      <c r="I1072" s="13" t="s">
        <v>109</v>
      </c>
      <c r="J1072" s="13">
        <v>4</v>
      </c>
      <c r="K1072" s="40" t="str">
        <f>VLOOKUP(J1072,[4]Key!$A$24:$B$29,2,FALSE)</f>
        <v>50-59</v>
      </c>
      <c r="L1072" s="13" t="s">
        <v>694</v>
      </c>
      <c r="M1072" s="23" t="s">
        <v>455</v>
      </c>
      <c r="N1072" s="13" t="s">
        <v>152</v>
      </c>
      <c r="O1072" s="46">
        <v>1</v>
      </c>
      <c r="P1072" s="30" t="str">
        <f>VLOOKUP(O1072,[4]Key!$E$2:$F$9,2,FALSE)</f>
        <v>Home</v>
      </c>
      <c r="Q1072" s="13" t="s">
        <v>454</v>
      </c>
      <c r="R1072" s="23" t="s">
        <v>455</v>
      </c>
      <c r="S1072" s="13" t="s">
        <v>152</v>
      </c>
      <c r="T1072" s="23">
        <v>1</v>
      </c>
      <c r="U1072" s="30" t="str">
        <f>VLOOKUP(T1072,[4]Key!$E$2:$F$9,2,FALSE)</f>
        <v>Home</v>
      </c>
      <c r="V1072" s="30" t="str">
        <f t="shared" si="64"/>
        <v>Home-Home</v>
      </c>
      <c r="W1072" s="51">
        <v>7000</v>
      </c>
      <c r="X1072" s="50">
        <v>3</v>
      </c>
      <c r="Y1072" s="50" t="str">
        <f t="shared" si="65"/>
        <v>0-10</v>
      </c>
      <c r="Z1072" s="50">
        <v>0.5</v>
      </c>
      <c r="AA1072" s="50" t="str">
        <f t="shared" si="66"/>
        <v>0.5-1.0</v>
      </c>
      <c r="AB1072" s="23">
        <v>4</v>
      </c>
      <c r="AC1072" s="30" t="str">
        <f>VLOOKUP(AB1072,[4]Key!$C$20:$D$29,2,FALSE)</f>
        <v>Office Worker</v>
      </c>
      <c r="AD1072" s="23">
        <v>3</v>
      </c>
      <c r="AE1072" s="30" t="str">
        <f>VLOOKUP(AD1072,[4]Key!$E$20:$F$24,2,FALSE)</f>
        <v>500,000-750,000</v>
      </c>
      <c r="AF1072" s="23">
        <v>1</v>
      </c>
      <c r="AG1072" s="50">
        <v>5</v>
      </c>
      <c r="AH1072" s="50">
        <v>5</v>
      </c>
      <c r="AI1072" s="50">
        <v>5</v>
      </c>
      <c r="AJ1072" s="50">
        <v>1</v>
      </c>
      <c r="AK1072" s="46" t="s">
        <v>94</v>
      </c>
      <c r="AL1072" s="36">
        <v>2000</v>
      </c>
      <c r="AM1072" t="str">
        <f t="shared" si="67"/>
        <v>2000-3000</v>
      </c>
    </row>
    <row r="1073" spans="1:46" x14ac:dyDescent="0.2">
      <c r="A1073" s="44" t="s">
        <v>547</v>
      </c>
      <c r="B1073" s="48">
        <v>0.49791666666666662</v>
      </c>
      <c r="C1073" s="48" t="s">
        <v>695</v>
      </c>
      <c r="D1073" s="48" t="s">
        <v>97</v>
      </c>
      <c r="E1073" s="13">
        <v>2</v>
      </c>
      <c r="F1073" s="38" t="str">
        <f>VLOOKUP(E1073,[4]Key!$A$17:$B$21,2,FALSE)</f>
        <v>Road Vehicle</v>
      </c>
      <c r="G1073" s="49">
        <v>4</v>
      </c>
      <c r="H1073" s="39" t="str">
        <f>VLOOKUP(G1073,[4]Key!$A$2:$B$13,2,FALSE)</f>
        <v>Minibus</v>
      </c>
      <c r="I1073" s="13" t="s">
        <v>109</v>
      </c>
      <c r="J1073" s="13">
        <v>4</v>
      </c>
      <c r="K1073" s="40" t="str">
        <f>VLOOKUP(J1073,[4]Key!$A$24:$B$29,2,FALSE)</f>
        <v>50-59</v>
      </c>
      <c r="L1073" s="13" t="s">
        <v>454</v>
      </c>
      <c r="M1073" s="23" t="s">
        <v>455</v>
      </c>
      <c r="N1073" s="13" t="s">
        <v>152</v>
      </c>
      <c r="O1073" s="46">
        <v>4</v>
      </c>
      <c r="P1073" s="30" t="str">
        <f>VLOOKUP(O1073,[4]Key!$E$2:$F$9,2,FALSE)</f>
        <v>Commercial</v>
      </c>
      <c r="Q1073" s="13" t="s">
        <v>631</v>
      </c>
      <c r="R1073" s="23" t="s">
        <v>455</v>
      </c>
      <c r="S1073" s="13" t="s">
        <v>152</v>
      </c>
      <c r="T1073" s="23">
        <v>4</v>
      </c>
      <c r="U1073" s="30" t="str">
        <f>VLOOKUP(T1073,[4]Key!$E$2:$F$9,2,FALSE)</f>
        <v>Commercial</v>
      </c>
      <c r="V1073" s="30" t="str">
        <f t="shared" si="64"/>
        <v>Commercial-Commercial</v>
      </c>
      <c r="W1073" s="51">
        <v>30000</v>
      </c>
      <c r="X1073" s="50">
        <v>42</v>
      </c>
      <c r="Y1073" s="50" t="str">
        <f t="shared" si="65"/>
        <v>40-70</v>
      </c>
      <c r="Z1073" s="50">
        <v>0.66</v>
      </c>
      <c r="AA1073" s="50" t="str">
        <f t="shared" si="66"/>
        <v>0.5-1.0</v>
      </c>
      <c r="AB1073" s="23">
        <v>5</v>
      </c>
      <c r="AC1073" s="30" t="str">
        <f>VLOOKUP(AB1073,[4]Key!$C$20:$D$29,2,FALSE)</f>
        <v>Professional</v>
      </c>
      <c r="AD1073" s="23">
        <v>2</v>
      </c>
      <c r="AE1073" s="30" t="str">
        <f>VLOOKUP(AD1073,[4]Key!$E$20:$F$24,2,FALSE)</f>
        <v>300,000-500,000</v>
      </c>
      <c r="AF1073" s="23">
        <v>5</v>
      </c>
      <c r="AG1073" s="50">
        <v>5</v>
      </c>
      <c r="AH1073" s="50">
        <v>5</v>
      </c>
      <c r="AI1073" s="50">
        <v>5</v>
      </c>
      <c r="AJ1073" s="50">
        <v>5</v>
      </c>
      <c r="AK1073" s="46" t="s">
        <v>94</v>
      </c>
      <c r="AL1073" s="36">
        <v>1000</v>
      </c>
      <c r="AM1073" t="str">
        <f t="shared" si="67"/>
        <v>1000-2000</v>
      </c>
    </row>
    <row r="1074" spans="1:46" x14ac:dyDescent="0.2">
      <c r="A1074" s="44" t="s">
        <v>547</v>
      </c>
      <c r="B1074" s="48">
        <v>0.51180555555555551</v>
      </c>
      <c r="C1074" s="48" t="s">
        <v>696</v>
      </c>
      <c r="D1074" s="48" t="s">
        <v>97</v>
      </c>
      <c r="E1074" s="13">
        <v>2</v>
      </c>
      <c r="F1074" s="38" t="str">
        <f>VLOOKUP(E1074,[4]Key!$A$17:$B$21,2,FALSE)</f>
        <v>Road Vehicle</v>
      </c>
      <c r="G1074" s="49">
        <v>4</v>
      </c>
      <c r="H1074" s="39" t="str">
        <f>VLOOKUP(G1074,[4]Key!$A$2:$B$13,2,FALSE)</f>
        <v>Minibus</v>
      </c>
      <c r="I1074" s="13" t="s">
        <v>109</v>
      </c>
      <c r="J1074" s="13">
        <v>4</v>
      </c>
      <c r="K1074" s="40" t="str">
        <f>VLOOKUP(J1074,[4]Key!$A$24:$B$29,2,FALSE)</f>
        <v>50-59</v>
      </c>
      <c r="L1074" s="13" t="s">
        <v>546</v>
      </c>
      <c r="M1074" s="23" t="s">
        <v>455</v>
      </c>
      <c r="N1074" s="13" t="s">
        <v>152</v>
      </c>
      <c r="O1074" s="46">
        <v>4</v>
      </c>
      <c r="P1074" s="30" t="str">
        <f>VLOOKUP(O1074,[4]Key!$E$2:$F$9,2,FALSE)</f>
        <v>Commercial</v>
      </c>
      <c r="Q1074" s="13" t="s">
        <v>454</v>
      </c>
      <c r="R1074" s="23" t="s">
        <v>455</v>
      </c>
      <c r="S1074" s="13" t="s">
        <v>152</v>
      </c>
      <c r="T1074" s="23">
        <v>4</v>
      </c>
      <c r="U1074" s="30" t="str">
        <f>VLOOKUP(T1074,[4]Key!$E$2:$F$9,2,FALSE)</f>
        <v>Commercial</v>
      </c>
      <c r="V1074" s="30" t="str">
        <f t="shared" si="64"/>
        <v>Commercial-Commercial</v>
      </c>
      <c r="W1074" s="51">
        <v>10000</v>
      </c>
      <c r="X1074" s="50">
        <v>2</v>
      </c>
      <c r="Y1074" s="50" t="str">
        <f t="shared" si="65"/>
        <v>0-10</v>
      </c>
      <c r="Z1074" s="50">
        <v>0.28000000000000003</v>
      </c>
      <c r="AA1074" s="50" t="str">
        <f t="shared" si="66"/>
        <v>0-0.5</v>
      </c>
      <c r="AB1074" s="23">
        <v>5</v>
      </c>
      <c r="AC1074" s="30" t="str">
        <f>VLOOKUP(AB1074,[4]Key!$C$20:$D$29,2,FALSE)</f>
        <v>Professional</v>
      </c>
      <c r="AD1074" s="23">
        <v>2</v>
      </c>
      <c r="AE1074" s="30" t="str">
        <f>VLOOKUP(AD1074,[4]Key!$E$20:$F$24,2,FALSE)</f>
        <v>300,000-500,000</v>
      </c>
      <c r="AF1074" s="23">
        <v>5</v>
      </c>
      <c r="AG1074" s="50">
        <v>5</v>
      </c>
      <c r="AH1074" s="50">
        <v>1</v>
      </c>
      <c r="AI1074" s="50">
        <v>5</v>
      </c>
      <c r="AJ1074" s="50">
        <v>1</v>
      </c>
      <c r="AK1074" s="46" t="s">
        <v>94</v>
      </c>
      <c r="AL1074" s="36">
        <v>2000</v>
      </c>
      <c r="AM1074" t="str">
        <f t="shared" si="67"/>
        <v>2000-3000</v>
      </c>
    </row>
    <row r="1075" spans="1:46" x14ac:dyDescent="0.2">
      <c r="A1075" s="44" t="s">
        <v>547</v>
      </c>
      <c r="B1075" s="48">
        <v>0.62916666666666665</v>
      </c>
      <c r="C1075" s="48"/>
      <c r="D1075" s="48" t="s">
        <v>150</v>
      </c>
      <c r="E1075" s="13">
        <v>2</v>
      </c>
      <c r="F1075" s="38" t="str">
        <f>VLOOKUP(E1075,[4]Key!$A$17:$B$21,2,FALSE)</f>
        <v>Road Vehicle</v>
      </c>
      <c r="G1075" s="49">
        <v>4</v>
      </c>
      <c r="H1075" s="39" t="str">
        <f>VLOOKUP(G1075,[4]Key!$A$2:$B$13,2,FALSE)</f>
        <v>Minibus</v>
      </c>
      <c r="I1075" s="13" t="s">
        <v>109</v>
      </c>
      <c r="J1075" s="13">
        <v>4</v>
      </c>
      <c r="K1075" s="40" t="str">
        <f>VLOOKUP(J1075,[4]Key!$A$24:$B$29,2,FALSE)</f>
        <v>50-59</v>
      </c>
      <c r="L1075" s="13" t="s">
        <v>454</v>
      </c>
      <c r="M1075" s="23" t="s">
        <v>455</v>
      </c>
      <c r="N1075" s="13" t="s">
        <v>152</v>
      </c>
      <c r="O1075" s="46">
        <v>1</v>
      </c>
      <c r="P1075" s="30" t="str">
        <f>VLOOKUP(O1075,[4]Key!$E$2:$F$9,2,FALSE)</f>
        <v>Home</v>
      </c>
      <c r="Q1075" s="13" t="s">
        <v>434</v>
      </c>
      <c r="R1075" s="23" t="s">
        <v>153</v>
      </c>
      <c r="S1075" s="13" t="s">
        <v>152</v>
      </c>
      <c r="T1075" s="23">
        <v>2</v>
      </c>
      <c r="U1075" s="30" t="str">
        <f>VLOOKUP(T1075,[4]Key!$E$2:$F$9,2,FALSE)</f>
        <v>Work</v>
      </c>
      <c r="V1075" s="30" t="str">
        <f t="shared" si="64"/>
        <v>Home-Work</v>
      </c>
      <c r="W1075" s="51">
        <v>40000</v>
      </c>
      <c r="X1075" s="50">
        <v>399</v>
      </c>
      <c r="Y1075" s="50" t="str">
        <f t="shared" si="65"/>
        <v>Over 200</v>
      </c>
      <c r="Z1075" s="50">
        <v>5</v>
      </c>
      <c r="AA1075" s="50" t="str">
        <f t="shared" si="66"/>
        <v>Over 3.5</v>
      </c>
      <c r="AB1075" s="23">
        <v>5</v>
      </c>
      <c r="AC1075" s="30" t="str">
        <f>VLOOKUP(AB1075,[4]Key!$C$20:$D$29,2,FALSE)</f>
        <v>Professional</v>
      </c>
      <c r="AD1075" s="23">
        <v>3</v>
      </c>
      <c r="AE1075" s="30" t="str">
        <f>VLOOKUP(AD1075,[4]Key!$E$20:$F$24,2,FALSE)</f>
        <v>500,000-750,000</v>
      </c>
      <c r="AF1075" s="23">
        <v>5</v>
      </c>
      <c r="AG1075" s="50">
        <v>5</v>
      </c>
      <c r="AH1075" s="50">
        <v>1</v>
      </c>
      <c r="AI1075" s="50">
        <v>5</v>
      </c>
      <c r="AJ1075" s="50">
        <v>1</v>
      </c>
      <c r="AK1075" s="46" t="s">
        <v>94</v>
      </c>
      <c r="AL1075" s="36">
        <v>10000</v>
      </c>
      <c r="AM1075" t="str">
        <f t="shared" si="67"/>
        <v>Over 10000</v>
      </c>
    </row>
    <row r="1076" spans="1:46" x14ac:dyDescent="0.2">
      <c r="A1076" s="44" t="s">
        <v>547</v>
      </c>
      <c r="B1076" s="48">
        <v>0.69166666666666676</v>
      </c>
      <c r="C1076" s="48" t="s">
        <v>697</v>
      </c>
      <c r="D1076" s="48" t="s">
        <v>97</v>
      </c>
      <c r="E1076" s="13">
        <v>2</v>
      </c>
      <c r="F1076" s="38" t="str">
        <f>VLOOKUP(E1076,[4]Key!$A$17:$B$21,2,FALSE)</f>
        <v>Road Vehicle</v>
      </c>
      <c r="G1076" s="49">
        <v>4</v>
      </c>
      <c r="H1076" s="39" t="str">
        <f>VLOOKUP(G1076,[4]Key!$A$2:$B$13,2,FALSE)</f>
        <v>Minibus</v>
      </c>
      <c r="I1076" s="13" t="s">
        <v>109</v>
      </c>
      <c r="J1076" s="13">
        <v>4</v>
      </c>
      <c r="K1076" s="40" t="str">
        <f>VLOOKUP(J1076,[4]Key!$A$24:$B$29,2,FALSE)</f>
        <v>50-59</v>
      </c>
      <c r="L1076" s="13" t="s">
        <v>454</v>
      </c>
      <c r="M1076" s="23" t="s">
        <v>455</v>
      </c>
      <c r="N1076" s="13" t="s">
        <v>152</v>
      </c>
      <c r="O1076" s="46">
        <v>4</v>
      </c>
      <c r="P1076" s="30" t="str">
        <f>VLOOKUP(O1076,[4]Key!$E$2:$F$9,2,FALSE)</f>
        <v>Commercial</v>
      </c>
      <c r="Q1076" s="13" t="s">
        <v>553</v>
      </c>
      <c r="R1076" s="23" t="s">
        <v>183</v>
      </c>
      <c r="S1076" s="13" t="s">
        <v>152</v>
      </c>
      <c r="T1076" s="23">
        <v>4</v>
      </c>
      <c r="U1076" s="30" t="str">
        <f>VLOOKUP(T1076,[4]Key!$E$2:$F$9,2,FALSE)</f>
        <v>Commercial</v>
      </c>
      <c r="V1076" s="30" t="str">
        <f t="shared" si="64"/>
        <v>Commercial-Commercial</v>
      </c>
      <c r="W1076" s="51">
        <v>100000</v>
      </c>
      <c r="X1076" s="50">
        <v>560</v>
      </c>
      <c r="Y1076" s="50" t="str">
        <f t="shared" si="65"/>
        <v>Over 200</v>
      </c>
      <c r="Z1076" s="50">
        <v>5</v>
      </c>
      <c r="AA1076" s="50" t="str">
        <f t="shared" si="66"/>
        <v>Over 3.5</v>
      </c>
      <c r="AB1076" s="23">
        <v>5</v>
      </c>
      <c r="AC1076" s="30" t="str">
        <f>VLOOKUP(AB1076,[4]Key!$C$20:$D$29,2,FALSE)</f>
        <v>Professional</v>
      </c>
      <c r="AD1076" s="23">
        <v>2</v>
      </c>
      <c r="AE1076" s="30" t="str">
        <f>VLOOKUP(AD1076,[4]Key!$E$20:$F$24,2,FALSE)</f>
        <v>300,000-500,000</v>
      </c>
      <c r="AF1076" s="23">
        <v>5</v>
      </c>
      <c r="AG1076" s="50">
        <v>5</v>
      </c>
      <c r="AH1076" s="50">
        <v>5</v>
      </c>
      <c r="AI1076" s="50">
        <v>5</v>
      </c>
      <c r="AJ1076" s="50">
        <v>1</v>
      </c>
      <c r="AK1076" s="46" t="s">
        <v>94</v>
      </c>
      <c r="AL1076" s="36">
        <v>5000</v>
      </c>
      <c r="AM1076" t="str">
        <f t="shared" si="67"/>
        <v>5000-10000</v>
      </c>
    </row>
    <row r="1077" spans="1:46" x14ac:dyDescent="0.2">
      <c r="A1077" s="44" t="s">
        <v>544</v>
      </c>
      <c r="B1077" s="48">
        <v>0.31736111111111115</v>
      </c>
      <c r="C1077" s="48"/>
      <c r="D1077" s="48" t="s">
        <v>97</v>
      </c>
      <c r="E1077" s="13">
        <v>2</v>
      </c>
      <c r="F1077" s="38" t="str">
        <f>VLOOKUP(E1077,[4]Key!$A$17:$B$21,2,FALSE)</f>
        <v>Road Vehicle</v>
      </c>
      <c r="G1077" s="49">
        <v>4</v>
      </c>
      <c r="H1077" s="39" t="str">
        <f>VLOOKUP(G1077,[4]Key!$A$2:$B$13,2,FALSE)</f>
        <v>Minibus</v>
      </c>
      <c r="I1077" s="13" t="s">
        <v>109</v>
      </c>
      <c r="J1077" s="13">
        <v>4</v>
      </c>
      <c r="K1077" s="40" t="str">
        <f>VLOOKUP(J1077,[4]Key!$A$24:$B$29,2,FALSE)</f>
        <v>50-59</v>
      </c>
      <c r="L1077" s="13" t="s">
        <v>575</v>
      </c>
      <c r="M1077" s="23" t="s">
        <v>485</v>
      </c>
      <c r="N1077" s="13" t="s">
        <v>152</v>
      </c>
      <c r="O1077" s="46">
        <v>4</v>
      </c>
      <c r="P1077" s="30" t="str">
        <f>VLOOKUP(O1077,[4]Key!$E$2:$F$9,2,FALSE)</f>
        <v>Commercial</v>
      </c>
      <c r="Q1077" s="13" t="s">
        <v>434</v>
      </c>
      <c r="R1077" s="23" t="s">
        <v>153</v>
      </c>
      <c r="S1077" s="13" t="s">
        <v>152</v>
      </c>
      <c r="T1077" s="23">
        <v>4</v>
      </c>
      <c r="U1077" s="30" t="str">
        <f>VLOOKUP(T1077,[4]Key!$E$2:$F$9,2,FALSE)</f>
        <v>Commercial</v>
      </c>
      <c r="V1077" s="30" t="str">
        <f t="shared" si="64"/>
        <v>Commercial-Commercial</v>
      </c>
      <c r="W1077" s="51">
        <v>200000</v>
      </c>
      <c r="X1077" s="50">
        <v>470</v>
      </c>
      <c r="Y1077" s="50" t="str">
        <f t="shared" si="65"/>
        <v>Over 200</v>
      </c>
      <c r="Z1077" s="50">
        <v>8</v>
      </c>
      <c r="AA1077" s="50" t="str">
        <f t="shared" si="66"/>
        <v>Over 3.5</v>
      </c>
      <c r="AB1077" s="23">
        <v>5</v>
      </c>
      <c r="AC1077" s="30" t="str">
        <f>VLOOKUP(AB1077,[4]Key!$C$20:$D$29,2,FALSE)</f>
        <v>Professional</v>
      </c>
      <c r="AD1077" s="23">
        <v>2</v>
      </c>
      <c r="AE1077" s="30" t="str">
        <f>VLOOKUP(AD1077,[4]Key!$E$20:$F$24,2,FALSE)</f>
        <v>300,000-500,000</v>
      </c>
      <c r="AF1077" s="23">
        <v>5</v>
      </c>
      <c r="AG1077" s="50">
        <v>1</v>
      </c>
      <c r="AH1077" s="50">
        <v>5</v>
      </c>
      <c r="AI1077" s="50">
        <v>5</v>
      </c>
      <c r="AJ1077" s="50">
        <v>5</v>
      </c>
      <c r="AK1077" s="46" t="s">
        <v>94</v>
      </c>
      <c r="AL1077" s="36">
        <v>1000</v>
      </c>
      <c r="AM1077" t="str">
        <f t="shared" si="67"/>
        <v>1000-2000</v>
      </c>
    </row>
    <row r="1078" spans="1:46" x14ac:dyDescent="0.2">
      <c r="A1078" s="44" t="s">
        <v>544</v>
      </c>
      <c r="B1078" s="48">
        <v>0.39930555555555558</v>
      </c>
      <c r="C1078" s="48"/>
      <c r="D1078" s="48" t="s">
        <v>97</v>
      </c>
      <c r="E1078" s="13">
        <v>2</v>
      </c>
      <c r="F1078" s="38" t="str">
        <f>VLOOKUP(E1078,[4]Key!$A$17:$B$21,2,FALSE)</f>
        <v>Road Vehicle</v>
      </c>
      <c r="G1078" s="49">
        <v>4</v>
      </c>
      <c r="H1078" s="39" t="str">
        <f>VLOOKUP(G1078,[4]Key!$A$2:$B$13,2,FALSE)</f>
        <v>Minibus</v>
      </c>
      <c r="I1078" s="13" t="s">
        <v>109</v>
      </c>
      <c r="J1078" s="13">
        <v>4</v>
      </c>
      <c r="K1078" s="40" t="str">
        <f>VLOOKUP(J1078,[4]Key!$A$24:$B$29,2,FALSE)</f>
        <v>50-59</v>
      </c>
      <c r="L1078" s="13" t="s">
        <v>454</v>
      </c>
      <c r="M1078" s="23" t="s">
        <v>455</v>
      </c>
      <c r="N1078" s="13" t="s">
        <v>152</v>
      </c>
      <c r="O1078" s="46">
        <v>4</v>
      </c>
      <c r="P1078" s="30" t="str">
        <f>VLOOKUP(O1078,[4]Key!$E$2:$F$9,2,FALSE)</f>
        <v>Commercial</v>
      </c>
      <c r="Q1078" s="13" t="s">
        <v>467</v>
      </c>
      <c r="R1078" s="23" t="s">
        <v>468</v>
      </c>
      <c r="S1078" s="13" t="s">
        <v>152</v>
      </c>
      <c r="T1078" s="23">
        <v>4</v>
      </c>
      <c r="U1078" s="30" t="str">
        <f>VLOOKUP(T1078,[4]Key!$E$2:$F$9,2,FALSE)</f>
        <v>Commercial</v>
      </c>
      <c r="V1078" s="30" t="str">
        <f t="shared" si="64"/>
        <v>Commercial-Commercial</v>
      </c>
      <c r="W1078" s="51">
        <v>300000</v>
      </c>
      <c r="X1078" s="50">
        <v>360</v>
      </c>
      <c r="Y1078" s="50" t="str">
        <f t="shared" si="65"/>
        <v>Over 200</v>
      </c>
      <c r="Z1078" s="50">
        <v>3</v>
      </c>
      <c r="AA1078" s="50" t="str">
        <f t="shared" si="66"/>
        <v>2.0-3.5</v>
      </c>
      <c r="AB1078" s="23">
        <v>5</v>
      </c>
      <c r="AC1078" s="30" t="str">
        <f>VLOOKUP(AB1078,[4]Key!$C$20:$D$29,2,FALSE)</f>
        <v>Professional</v>
      </c>
      <c r="AD1078" s="23">
        <v>2</v>
      </c>
      <c r="AE1078" s="30" t="str">
        <f>VLOOKUP(AD1078,[4]Key!$E$20:$F$24,2,FALSE)</f>
        <v>300,000-500,000</v>
      </c>
      <c r="AF1078" s="23">
        <v>1</v>
      </c>
      <c r="AG1078" s="50">
        <v>5</v>
      </c>
      <c r="AH1078" s="50">
        <v>5</v>
      </c>
      <c r="AI1078" s="50">
        <v>5</v>
      </c>
      <c r="AJ1078" s="50">
        <v>5</v>
      </c>
      <c r="AK1078" s="46" t="s">
        <v>94</v>
      </c>
      <c r="AL1078" s="36">
        <v>1000</v>
      </c>
      <c r="AM1078" t="str">
        <f t="shared" si="67"/>
        <v>1000-2000</v>
      </c>
    </row>
    <row r="1079" spans="1:46" x14ac:dyDescent="0.2">
      <c r="A1079" s="44" t="s">
        <v>544</v>
      </c>
      <c r="B1079" s="48">
        <v>0.43541666666666662</v>
      </c>
      <c r="C1079" s="48"/>
      <c r="D1079" s="48" t="s">
        <v>150</v>
      </c>
      <c r="E1079" s="13">
        <v>2</v>
      </c>
      <c r="F1079" s="38" t="str">
        <f>VLOOKUP(E1079,[4]Key!$A$17:$B$21,2,FALSE)</f>
        <v>Road Vehicle</v>
      </c>
      <c r="G1079" s="49">
        <v>4</v>
      </c>
      <c r="H1079" s="39" t="str">
        <f>VLOOKUP(G1079,[4]Key!$A$2:$B$13,2,FALSE)</f>
        <v>Minibus</v>
      </c>
      <c r="I1079" s="13" t="s">
        <v>156</v>
      </c>
      <c r="J1079" s="13">
        <v>5</v>
      </c>
      <c r="K1079" s="40" t="str">
        <f>VLOOKUP(J1079,[4]Key!$A$24:$B$29,2,FALSE)</f>
        <v>60-69</v>
      </c>
      <c r="L1079" s="13" t="s">
        <v>454</v>
      </c>
      <c r="M1079" s="23" t="s">
        <v>455</v>
      </c>
      <c r="N1079" s="13" t="s">
        <v>152</v>
      </c>
      <c r="O1079" s="46">
        <v>1</v>
      </c>
      <c r="P1079" s="30" t="str">
        <f>VLOOKUP(O1079,[4]Key!$E$2:$F$9,2,FALSE)</f>
        <v>Home</v>
      </c>
      <c r="Q1079" s="13" t="s">
        <v>424</v>
      </c>
      <c r="R1079" s="23" t="s">
        <v>421</v>
      </c>
      <c r="S1079" s="13" t="s">
        <v>152</v>
      </c>
      <c r="T1079" s="23">
        <v>7</v>
      </c>
      <c r="U1079" s="30" t="str">
        <f>VLOOKUP(T1079,[4]Key!$E$2:$F$9,2,FALSE)</f>
        <v>Hospital</v>
      </c>
      <c r="V1079" s="30" t="str">
        <f t="shared" si="64"/>
        <v>Home-Hospital</v>
      </c>
      <c r="W1079" s="51">
        <v>15000</v>
      </c>
      <c r="X1079" s="50">
        <v>136</v>
      </c>
      <c r="Y1079" s="50" t="str">
        <f t="shared" si="65"/>
        <v>100-200</v>
      </c>
      <c r="Z1079" s="50">
        <v>2</v>
      </c>
      <c r="AA1079" s="50" t="str">
        <f t="shared" si="66"/>
        <v>2.0-3.5</v>
      </c>
      <c r="AB1079" s="23">
        <v>3</v>
      </c>
      <c r="AC1079" s="30" t="str">
        <f>VLOOKUP(AB1079,[4]Key!$C$20:$D$29,2,FALSE)</f>
        <v>Artisan/Domestic</v>
      </c>
      <c r="AD1079" s="23">
        <v>2</v>
      </c>
      <c r="AE1079" s="30" t="str">
        <f>VLOOKUP(AD1079,[4]Key!$E$20:$F$24,2,FALSE)</f>
        <v>300,000-500,000</v>
      </c>
      <c r="AF1079" s="23">
        <v>1</v>
      </c>
      <c r="AG1079" s="50">
        <v>1</v>
      </c>
      <c r="AH1079" s="50">
        <v>1</v>
      </c>
      <c r="AI1079" s="50">
        <v>1</v>
      </c>
      <c r="AJ1079" s="50">
        <v>1</v>
      </c>
      <c r="AK1079" s="46" t="s">
        <v>94</v>
      </c>
      <c r="AL1079" s="36">
        <v>0</v>
      </c>
      <c r="AM1079" t="str">
        <f t="shared" si="67"/>
        <v>0-1000</v>
      </c>
    </row>
    <row r="1080" spans="1:46" s="19" customFormat="1" x14ac:dyDescent="0.2">
      <c r="A1080" s="44">
        <v>43756</v>
      </c>
      <c r="B1080" s="48">
        <v>0.61458333333333337</v>
      </c>
      <c r="C1080" s="48"/>
      <c r="D1080" s="48" t="s">
        <v>150</v>
      </c>
      <c r="E1080" s="13">
        <v>1</v>
      </c>
      <c r="F1080" s="38" t="str">
        <f>VLOOKUP(E1080,[5]Key!$A$17:$B$21,2,FALSE)</f>
        <v>Walking/Cycling</v>
      </c>
      <c r="G1080" s="49">
        <v>13</v>
      </c>
      <c r="H1080" s="39" t="str">
        <f>VLOOKUP(G1080,[5]Key!$A$2:$B$14,2,FALSE)</f>
        <v>Bicycles</v>
      </c>
      <c r="I1080" s="13" t="s">
        <v>156</v>
      </c>
      <c r="J1080" s="13">
        <v>1</v>
      </c>
      <c r="K1080" s="40" t="str">
        <f>VLOOKUP(J1080,[5]Key!$A$24:$B$29,2,FALSE)</f>
        <v>20-29</v>
      </c>
      <c r="L1080" s="55" t="s">
        <v>698</v>
      </c>
      <c r="M1080" s="23" t="s">
        <v>439</v>
      </c>
      <c r="N1080" s="13" t="s">
        <v>221</v>
      </c>
      <c r="O1080" s="46">
        <v>3</v>
      </c>
      <c r="P1080" s="30" t="str">
        <f>VLOOKUP(O1080,[5]Key!$E$2:$F$9,2,FALSE)</f>
        <v>Study</v>
      </c>
      <c r="Q1080" s="13" t="s">
        <v>446</v>
      </c>
      <c r="R1080" s="23" t="s">
        <v>439</v>
      </c>
      <c r="S1080" s="13" t="s">
        <v>221</v>
      </c>
      <c r="T1080" s="23">
        <v>1</v>
      </c>
      <c r="U1080" s="30" t="str">
        <f>VLOOKUP(T1080,[5]Key!$E$2:$F$9,2,FALSE)</f>
        <v>Home</v>
      </c>
      <c r="V1080" s="30" t="str">
        <f t="shared" si="64"/>
        <v>Study-Home</v>
      </c>
      <c r="W1080" s="41">
        <v>1000</v>
      </c>
      <c r="X1080" s="50"/>
      <c r="Y1080" s="50" t="str">
        <f t="shared" si="65"/>
        <v>0-10</v>
      </c>
      <c r="Z1080" s="50">
        <v>0.3</v>
      </c>
      <c r="AA1080" s="50" t="str">
        <f t="shared" si="66"/>
        <v>0-0.5</v>
      </c>
      <c r="AB1080" s="23">
        <v>8</v>
      </c>
      <c r="AC1080" s="30" t="str">
        <f>VLOOKUP(AB1080,[5]Key!$C$20:$D$29,2,FALSE)</f>
        <v>Student</v>
      </c>
      <c r="AD1080" s="23">
        <v>1</v>
      </c>
      <c r="AE1080" s="30" t="str">
        <f>VLOOKUP(AD1080,[5]Key!$E$20:$F$24,2,FALSE)</f>
        <v>&lt;300,000</v>
      </c>
      <c r="AF1080" s="23">
        <v>1</v>
      </c>
      <c r="AG1080" s="50">
        <v>1</v>
      </c>
      <c r="AH1080" s="50">
        <v>1</v>
      </c>
      <c r="AI1080" s="50">
        <v>1</v>
      </c>
      <c r="AJ1080" s="50">
        <v>1</v>
      </c>
      <c r="AK1080" s="46" t="s">
        <v>94</v>
      </c>
      <c r="AL1080" s="36"/>
      <c r="AM1080" t="str">
        <f t="shared" si="67"/>
        <v>0-1000</v>
      </c>
      <c r="AN1080"/>
      <c r="AO1080"/>
      <c r="AP1080"/>
      <c r="AQ1080"/>
      <c r="AR1080"/>
      <c r="AS1080"/>
      <c r="AT1080"/>
    </row>
    <row r="1081" spans="1:46" x14ac:dyDescent="0.2">
      <c r="A1081" s="44">
        <v>43756</v>
      </c>
      <c r="B1081" s="48">
        <v>0.63888888888888895</v>
      </c>
      <c r="C1081" s="48"/>
      <c r="D1081" s="48" t="s">
        <v>150</v>
      </c>
      <c r="E1081" s="13">
        <v>1</v>
      </c>
      <c r="F1081" s="38" t="str">
        <f>VLOOKUP(E1081,[5]Key!$A$17:$B$21,2,FALSE)</f>
        <v>Walking/Cycling</v>
      </c>
      <c r="G1081" s="49">
        <v>13</v>
      </c>
      <c r="H1081" s="39" t="str">
        <f>VLOOKUP(G1081,[5]Key!$A$2:$B$14,2,FALSE)</f>
        <v>Bicycles</v>
      </c>
      <c r="I1081" s="13" t="s">
        <v>156</v>
      </c>
      <c r="J1081" s="13">
        <v>1</v>
      </c>
      <c r="K1081" s="40" t="str">
        <f>VLOOKUP(J1081,[5]Key!$A$24:$B$29,2,FALSE)</f>
        <v>20-29</v>
      </c>
      <c r="L1081" s="55" t="s">
        <v>699</v>
      </c>
      <c r="M1081" s="23" t="s">
        <v>439</v>
      </c>
      <c r="N1081" s="13" t="s">
        <v>221</v>
      </c>
      <c r="O1081" s="46">
        <v>3</v>
      </c>
      <c r="P1081" s="30" t="str">
        <f>VLOOKUP(O1081,[5]Key!$E$2:$F$9,2,FALSE)</f>
        <v>Study</v>
      </c>
      <c r="Q1081" s="13" t="s">
        <v>446</v>
      </c>
      <c r="R1081" s="23" t="s">
        <v>439</v>
      </c>
      <c r="S1081" s="13" t="s">
        <v>221</v>
      </c>
      <c r="T1081" s="23">
        <v>1</v>
      </c>
      <c r="U1081" s="30" t="str">
        <f>VLOOKUP(T1081,[5]Key!$E$2:$F$9,2,FALSE)</f>
        <v>Home</v>
      </c>
      <c r="V1081" s="30" t="str">
        <f t="shared" si="64"/>
        <v>Study-Home</v>
      </c>
      <c r="W1081" s="41">
        <v>1000</v>
      </c>
      <c r="X1081" s="50"/>
      <c r="Y1081" s="50" t="str">
        <f t="shared" si="65"/>
        <v>0-10</v>
      </c>
      <c r="Z1081" s="50">
        <v>0.2</v>
      </c>
      <c r="AA1081" s="50" t="str">
        <f t="shared" si="66"/>
        <v>0-0.5</v>
      </c>
      <c r="AB1081" s="23">
        <v>8</v>
      </c>
      <c r="AC1081" s="30" t="str">
        <f>VLOOKUP(AB1081,[5]Key!$C$20:$D$29,2,FALSE)</f>
        <v>Student</v>
      </c>
      <c r="AD1081" s="23">
        <v>1</v>
      </c>
      <c r="AE1081" s="30" t="str">
        <f>VLOOKUP(AD1081,[5]Key!$E$20:$F$24,2,FALSE)</f>
        <v>&lt;300,000</v>
      </c>
      <c r="AF1081" s="23">
        <v>1</v>
      </c>
      <c r="AG1081" s="50">
        <v>2</v>
      </c>
      <c r="AH1081" s="50">
        <v>3</v>
      </c>
      <c r="AI1081" s="50">
        <v>4</v>
      </c>
      <c r="AJ1081" s="50">
        <v>5</v>
      </c>
      <c r="AK1081" s="46" t="s">
        <v>700</v>
      </c>
      <c r="AL1081" s="36"/>
      <c r="AM1081" t="str">
        <f t="shared" si="67"/>
        <v>0-1000</v>
      </c>
    </row>
    <row r="1082" spans="1:46" x14ac:dyDescent="0.2">
      <c r="A1082" s="44">
        <v>43756</v>
      </c>
      <c r="B1082" s="48">
        <v>0.67708333333333337</v>
      </c>
      <c r="C1082" s="48"/>
      <c r="D1082" s="48"/>
      <c r="E1082" s="13">
        <v>1</v>
      </c>
      <c r="F1082" s="38" t="str">
        <f>VLOOKUP(E1082,[5]Key!$A$17:$B$21,2,FALSE)</f>
        <v>Walking/Cycling</v>
      </c>
      <c r="G1082" s="49">
        <v>13</v>
      </c>
      <c r="H1082" s="39" t="str">
        <f>VLOOKUP(G1082,[5]Key!$A$2:$B$14,2,FALSE)</f>
        <v>Bicycles</v>
      </c>
      <c r="I1082" s="13" t="s">
        <v>156</v>
      </c>
      <c r="J1082" s="13">
        <v>1</v>
      </c>
      <c r="K1082" s="40" t="str">
        <f>VLOOKUP(J1082,[5]Key!$A$24:$B$29,2,FALSE)</f>
        <v>20-29</v>
      </c>
      <c r="L1082" s="55" t="s">
        <v>446</v>
      </c>
      <c r="M1082" s="23" t="s">
        <v>439</v>
      </c>
      <c r="N1082" s="13" t="s">
        <v>221</v>
      </c>
      <c r="O1082" s="46">
        <v>3</v>
      </c>
      <c r="P1082" s="30" t="str">
        <f>VLOOKUP(O1082,[5]Key!$E$2:$F$9,2,FALSE)</f>
        <v>Study</v>
      </c>
      <c r="Q1082" s="13" t="s">
        <v>701</v>
      </c>
      <c r="R1082" s="23" t="s">
        <v>439</v>
      </c>
      <c r="S1082" s="13" t="s">
        <v>221</v>
      </c>
      <c r="T1082" s="23">
        <v>1</v>
      </c>
      <c r="U1082" s="30" t="str">
        <f>VLOOKUP(T1082,[5]Key!$E$2:$F$9,2,FALSE)</f>
        <v>Home</v>
      </c>
      <c r="V1082" s="30" t="str">
        <f t="shared" si="64"/>
        <v>Study-Home</v>
      </c>
      <c r="W1082" s="41">
        <v>1000</v>
      </c>
      <c r="X1082" s="50"/>
      <c r="Y1082" s="50" t="str">
        <f t="shared" si="65"/>
        <v>0-10</v>
      </c>
      <c r="Z1082" s="50">
        <v>0.3</v>
      </c>
      <c r="AA1082" s="50" t="str">
        <f t="shared" si="66"/>
        <v>0-0.5</v>
      </c>
      <c r="AB1082" s="23">
        <v>8</v>
      </c>
      <c r="AC1082" s="30" t="str">
        <f>VLOOKUP(AB1082,[5]Key!$C$20:$D$29,2,FALSE)</f>
        <v>Student</v>
      </c>
      <c r="AD1082" s="23">
        <v>1</v>
      </c>
      <c r="AE1082" s="30" t="str">
        <f>VLOOKUP(AD1082,[5]Key!$E$20:$F$24,2,FALSE)</f>
        <v>&lt;300,000</v>
      </c>
      <c r="AF1082" s="23">
        <v>3</v>
      </c>
      <c r="AG1082" s="50">
        <v>2</v>
      </c>
      <c r="AH1082" s="50">
        <v>4</v>
      </c>
      <c r="AI1082" s="50">
        <v>1</v>
      </c>
      <c r="AJ1082" s="50">
        <v>5</v>
      </c>
      <c r="AK1082" s="46" t="s">
        <v>94</v>
      </c>
      <c r="AL1082" s="36"/>
      <c r="AM1082" t="str">
        <f t="shared" si="67"/>
        <v>0-1000</v>
      </c>
    </row>
    <row r="1083" spans="1:46" x14ac:dyDescent="0.2">
      <c r="A1083" s="44">
        <v>43756</v>
      </c>
      <c r="B1083" s="48">
        <v>0.57638888888888895</v>
      </c>
      <c r="C1083" s="48"/>
      <c r="D1083" s="48"/>
      <c r="E1083" s="13">
        <v>1</v>
      </c>
      <c r="F1083" s="38" t="str">
        <f>VLOOKUP(E1083,[5]Key!$A$17:$B$21,2,FALSE)</f>
        <v>Walking/Cycling</v>
      </c>
      <c r="G1083" s="49">
        <v>13</v>
      </c>
      <c r="H1083" s="39" t="str">
        <f>VLOOKUP(G1083,[5]Key!$A$2:$B$14,2,FALSE)</f>
        <v>Bicycles</v>
      </c>
      <c r="I1083" s="13" t="s">
        <v>156</v>
      </c>
      <c r="J1083" s="13">
        <v>1</v>
      </c>
      <c r="K1083" s="40" t="str">
        <f>VLOOKUP(J1083,[5]Key!$A$24:$B$29,2,FALSE)</f>
        <v>20-29</v>
      </c>
      <c r="L1083" s="55" t="s">
        <v>702</v>
      </c>
      <c r="M1083" s="23" t="s">
        <v>439</v>
      </c>
      <c r="N1083" s="13" t="s">
        <v>221</v>
      </c>
      <c r="O1083" s="46">
        <v>3</v>
      </c>
      <c r="P1083" s="30" t="str">
        <f>VLOOKUP(O1083,[5]Key!$E$2:$F$9,2,FALSE)</f>
        <v>Study</v>
      </c>
      <c r="Q1083" s="13" t="s">
        <v>703</v>
      </c>
      <c r="R1083" s="23" t="s">
        <v>439</v>
      </c>
      <c r="S1083" s="13" t="s">
        <v>221</v>
      </c>
      <c r="T1083" s="23">
        <v>1</v>
      </c>
      <c r="U1083" s="30" t="str">
        <f>VLOOKUP(T1083,[5]Key!$E$2:$F$9,2,FALSE)</f>
        <v>Home</v>
      </c>
      <c r="V1083" s="30" t="str">
        <f t="shared" si="64"/>
        <v>Study-Home</v>
      </c>
      <c r="W1083" s="41">
        <v>2000</v>
      </c>
      <c r="X1083" s="50"/>
      <c r="Y1083" s="50" t="str">
        <f t="shared" si="65"/>
        <v>0-10</v>
      </c>
      <c r="Z1083" s="50">
        <v>0.3</v>
      </c>
      <c r="AA1083" s="50" t="str">
        <f t="shared" si="66"/>
        <v>0-0.5</v>
      </c>
      <c r="AB1083" s="23">
        <v>8</v>
      </c>
      <c r="AC1083" s="30" t="str">
        <f>VLOOKUP(AB1083,[5]Key!$C$20:$D$29,2,FALSE)</f>
        <v>Student</v>
      </c>
      <c r="AD1083" s="23">
        <v>1</v>
      </c>
      <c r="AE1083" s="30" t="str">
        <f>VLOOKUP(AD1083,[5]Key!$E$20:$F$24,2,FALSE)</f>
        <v>&lt;300,000</v>
      </c>
      <c r="AF1083" s="23">
        <v>1</v>
      </c>
      <c r="AG1083" s="50">
        <v>2</v>
      </c>
      <c r="AH1083" s="50">
        <v>4</v>
      </c>
      <c r="AI1083" s="50">
        <v>3</v>
      </c>
      <c r="AJ1083" s="50">
        <v>5</v>
      </c>
      <c r="AK1083" s="46" t="s">
        <v>94</v>
      </c>
      <c r="AL1083" s="36">
        <v>500</v>
      </c>
      <c r="AM1083" t="str">
        <f t="shared" si="67"/>
        <v>0-1000</v>
      </c>
    </row>
    <row r="1084" spans="1:46" x14ac:dyDescent="0.2">
      <c r="A1084" s="44">
        <v>43756</v>
      </c>
      <c r="B1084" s="48">
        <v>0.56944444444444442</v>
      </c>
      <c r="C1084" s="48"/>
      <c r="D1084" s="48"/>
      <c r="E1084" s="13">
        <v>1</v>
      </c>
      <c r="F1084" s="38" t="str">
        <f>VLOOKUP(E1084,[5]Key!$A$17:$B$21,2,FALSE)</f>
        <v>Walking/Cycling</v>
      </c>
      <c r="G1084" s="49">
        <v>13</v>
      </c>
      <c r="H1084" s="39" t="str">
        <f>VLOOKUP(G1084,[5]Key!$A$2:$B$14,2,FALSE)</f>
        <v>Bicycles</v>
      </c>
      <c r="I1084" s="13" t="s">
        <v>156</v>
      </c>
      <c r="J1084" s="13">
        <v>1</v>
      </c>
      <c r="K1084" s="40" t="str">
        <f>VLOOKUP(J1084,[5]Key!$A$24:$B$29,2,FALSE)</f>
        <v>20-29</v>
      </c>
      <c r="L1084" s="55" t="s">
        <v>702</v>
      </c>
      <c r="M1084" s="23" t="s">
        <v>439</v>
      </c>
      <c r="N1084" s="13" t="s">
        <v>221</v>
      </c>
      <c r="O1084" s="46">
        <v>3</v>
      </c>
      <c r="P1084" s="30" t="str">
        <f>VLOOKUP(O1084,[5]Key!$E$2:$F$9,2,FALSE)</f>
        <v>Study</v>
      </c>
      <c r="Q1084" s="13" t="s">
        <v>704</v>
      </c>
      <c r="R1084" s="23" t="s">
        <v>439</v>
      </c>
      <c r="S1084" s="13" t="s">
        <v>221</v>
      </c>
      <c r="T1084" s="23">
        <v>1</v>
      </c>
      <c r="U1084" s="30" t="str">
        <f>VLOOKUP(T1084,[5]Key!$E$2:$F$9,2,FALSE)</f>
        <v>Home</v>
      </c>
      <c r="V1084" s="30" t="str">
        <f t="shared" si="64"/>
        <v>Study-Home</v>
      </c>
      <c r="W1084" s="41">
        <v>1000</v>
      </c>
      <c r="X1084" s="50"/>
      <c r="Y1084" s="50" t="str">
        <f t="shared" si="65"/>
        <v>0-10</v>
      </c>
      <c r="Z1084" s="50">
        <v>0.2</v>
      </c>
      <c r="AA1084" s="50" t="str">
        <f t="shared" si="66"/>
        <v>0-0.5</v>
      </c>
      <c r="AB1084" s="23">
        <v>8</v>
      </c>
      <c r="AC1084" s="30" t="str">
        <f>VLOOKUP(AB1084,[5]Key!$C$20:$D$29,2,FALSE)</f>
        <v>Student</v>
      </c>
      <c r="AD1084" s="23">
        <v>1</v>
      </c>
      <c r="AE1084" s="30" t="str">
        <f>VLOOKUP(AD1084,[5]Key!$E$20:$F$24,2,FALSE)</f>
        <v>&lt;300,000</v>
      </c>
      <c r="AF1084" s="23">
        <v>1</v>
      </c>
      <c r="AG1084" s="50">
        <v>2</v>
      </c>
      <c r="AH1084" s="50">
        <v>4</v>
      </c>
      <c r="AI1084" s="50">
        <v>3</v>
      </c>
      <c r="AJ1084" s="50">
        <v>5</v>
      </c>
      <c r="AK1084" s="46" t="s">
        <v>94</v>
      </c>
      <c r="AL1084" s="36"/>
      <c r="AM1084" t="str">
        <f t="shared" si="67"/>
        <v>0-1000</v>
      </c>
    </row>
    <row r="1085" spans="1:46" x14ac:dyDescent="0.2">
      <c r="A1085" s="44">
        <v>43757</v>
      </c>
      <c r="B1085" s="48">
        <v>0.39930555555555558</v>
      </c>
      <c r="C1085" s="48"/>
      <c r="D1085" s="48"/>
      <c r="E1085" s="13">
        <v>1</v>
      </c>
      <c r="F1085" s="38" t="str">
        <f>VLOOKUP(E1085,[5]Key!$A$17:$B$21,2,FALSE)</f>
        <v>Walking/Cycling</v>
      </c>
      <c r="G1085" s="49">
        <v>13</v>
      </c>
      <c r="H1085" s="39" t="str">
        <f>VLOOKUP(G1085,[5]Key!$A$2:$B$14,2,FALSE)</f>
        <v>Bicycles</v>
      </c>
      <c r="I1085" s="13" t="s">
        <v>156</v>
      </c>
      <c r="J1085" s="13">
        <v>1</v>
      </c>
      <c r="K1085" s="40" t="str">
        <f>VLOOKUP(J1085,[5]Key!$A$24:$B$29,2,FALSE)</f>
        <v>20-29</v>
      </c>
      <c r="L1085" s="13" t="s">
        <v>699</v>
      </c>
      <c r="M1085" s="23" t="s">
        <v>439</v>
      </c>
      <c r="N1085" s="13" t="s">
        <v>221</v>
      </c>
      <c r="O1085" s="46">
        <v>1</v>
      </c>
      <c r="P1085" s="30" t="str">
        <f>VLOOKUP(O1085,[5]Key!$E$2:$F$9,2,FALSE)</f>
        <v>Home</v>
      </c>
      <c r="Q1085" s="13" t="s">
        <v>705</v>
      </c>
      <c r="R1085" s="23" t="s">
        <v>439</v>
      </c>
      <c r="S1085" s="13" t="s">
        <v>221</v>
      </c>
      <c r="T1085" s="23">
        <v>3</v>
      </c>
      <c r="U1085" s="30" t="str">
        <f>VLOOKUP(T1085,[5]Key!$E$2:$F$9,2,FALSE)</f>
        <v>Study</v>
      </c>
      <c r="V1085" s="30" t="str">
        <f t="shared" si="64"/>
        <v>Home-Study</v>
      </c>
      <c r="W1085" s="23">
        <v>1500</v>
      </c>
      <c r="X1085" s="50">
        <v>5</v>
      </c>
      <c r="Y1085" s="50" t="str">
        <f t="shared" si="65"/>
        <v>0-10</v>
      </c>
      <c r="Z1085" s="50">
        <v>0.2</v>
      </c>
      <c r="AA1085" s="50" t="str">
        <f t="shared" si="66"/>
        <v>0-0.5</v>
      </c>
      <c r="AB1085" s="23">
        <v>8</v>
      </c>
      <c r="AC1085" s="30" t="str">
        <f>VLOOKUP(AB1085,[5]Key!$C$20:$D$29,2,FALSE)</f>
        <v>Student</v>
      </c>
      <c r="AD1085" s="23">
        <v>1</v>
      </c>
      <c r="AE1085" s="30" t="str">
        <f>VLOOKUP(AD1085,[5]Key!$E$20:$F$24,2,FALSE)</f>
        <v>&lt;300,000</v>
      </c>
      <c r="AF1085" s="23">
        <v>1</v>
      </c>
      <c r="AG1085" s="50">
        <v>2</v>
      </c>
      <c r="AH1085" s="50">
        <v>5</v>
      </c>
      <c r="AI1085" s="50">
        <v>3</v>
      </c>
      <c r="AJ1085" s="50">
        <v>4</v>
      </c>
      <c r="AK1085" s="46" t="s">
        <v>94</v>
      </c>
      <c r="AL1085" s="36">
        <v>1000</v>
      </c>
      <c r="AM1085" t="str">
        <f t="shared" si="67"/>
        <v>1000-2000</v>
      </c>
    </row>
    <row r="1086" spans="1:46" x14ac:dyDescent="0.2">
      <c r="A1086" s="44">
        <v>43757</v>
      </c>
      <c r="B1086" s="48">
        <v>0.40416666666666662</v>
      </c>
      <c r="C1086" s="48"/>
      <c r="D1086" s="48"/>
      <c r="E1086" s="13">
        <v>1</v>
      </c>
      <c r="F1086" s="38" t="str">
        <f>VLOOKUP(E1086,[5]Key!$A$17:$B$21,2,FALSE)</f>
        <v>Walking/Cycling</v>
      </c>
      <c r="G1086" s="49">
        <v>13</v>
      </c>
      <c r="H1086" s="39" t="str">
        <f>VLOOKUP(G1086,[5]Key!$A$2:$B$14,2,FALSE)</f>
        <v>Bicycles</v>
      </c>
      <c r="I1086" s="13" t="s">
        <v>156</v>
      </c>
      <c r="J1086" s="13">
        <v>1</v>
      </c>
      <c r="K1086" s="40" t="str">
        <f>VLOOKUP(J1086,[5]Key!$A$24:$B$29,2,FALSE)</f>
        <v>20-29</v>
      </c>
      <c r="L1086" s="13" t="s">
        <v>706</v>
      </c>
      <c r="M1086" s="23" t="s">
        <v>439</v>
      </c>
      <c r="N1086" s="13" t="s">
        <v>221</v>
      </c>
      <c r="O1086" s="46">
        <v>1</v>
      </c>
      <c r="P1086" s="30" t="str">
        <f>VLOOKUP(O1086,[5]Key!$E$2:$F$9,2,FALSE)</f>
        <v>Home</v>
      </c>
      <c r="Q1086" s="13" t="s">
        <v>446</v>
      </c>
      <c r="R1086" s="23" t="s">
        <v>439</v>
      </c>
      <c r="S1086" s="13" t="s">
        <v>221</v>
      </c>
      <c r="T1086" s="23">
        <v>8</v>
      </c>
      <c r="U1086" s="30" t="str">
        <f>VLOOKUP(T1086,[5]Key!$E$2:$F$9,2,FALSE)</f>
        <v>Others</v>
      </c>
      <c r="V1086" s="30" t="str">
        <f t="shared" si="64"/>
        <v>Home-Others</v>
      </c>
      <c r="W1086" s="23">
        <v>2000</v>
      </c>
      <c r="X1086" s="50">
        <v>5</v>
      </c>
      <c r="Y1086" s="50" t="str">
        <f t="shared" si="65"/>
        <v>0-10</v>
      </c>
      <c r="Z1086" s="50">
        <v>0.2</v>
      </c>
      <c r="AA1086" s="50" t="str">
        <f t="shared" si="66"/>
        <v>0-0.5</v>
      </c>
      <c r="AB1086" s="23">
        <v>7</v>
      </c>
      <c r="AC1086" s="30" t="str">
        <f>VLOOKUP(AB1086,[5]Key!$C$20:$D$29,2,FALSE)</f>
        <v>Farmer</v>
      </c>
      <c r="AD1086" s="23">
        <v>1</v>
      </c>
      <c r="AE1086" s="30" t="str">
        <f>VLOOKUP(AD1086,[5]Key!$E$20:$F$24,2,FALSE)</f>
        <v>&lt;300,000</v>
      </c>
      <c r="AF1086" s="23">
        <v>5</v>
      </c>
      <c r="AG1086" s="50">
        <v>4</v>
      </c>
      <c r="AH1086" s="50">
        <v>3</v>
      </c>
      <c r="AI1086" s="50">
        <v>1</v>
      </c>
      <c r="AJ1086" s="50">
        <v>2</v>
      </c>
      <c r="AK1086" s="46" t="s">
        <v>94</v>
      </c>
      <c r="AL1086" s="36"/>
      <c r="AM1086" t="str">
        <f t="shared" si="67"/>
        <v>0-1000</v>
      </c>
    </row>
    <row r="1087" spans="1:46" x14ac:dyDescent="0.2">
      <c r="A1087" s="44">
        <v>43757</v>
      </c>
      <c r="B1087" s="48">
        <v>0.68819444444444444</v>
      </c>
      <c r="C1087" s="48"/>
      <c r="D1087" s="48"/>
      <c r="E1087" s="13">
        <v>1</v>
      </c>
      <c r="F1087" s="38" t="str">
        <f>VLOOKUP(E1087,[5]Key!$A$17:$B$21,2,FALSE)</f>
        <v>Walking/Cycling</v>
      </c>
      <c r="G1087" s="49">
        <v>13</v>
      </c>
      <c r="H1087" s="39" t="str">
        <f>VLOOKUP(G1087,[5]Key!$A$2:$B$14,2,FALSE)</f>
        <v>Bicycles</v>
      </c>
      <c r="I1087" s="13" t="s">
        <v>156</v>
      </c>
      <c r="J1087" s="13">
        <v>1</v>
      </c>
      <c r="K1087" s="40" t="str">
        <f>VLOOKUP(J1087,[5]Key!$A$24:$B$29,2,FALSE)</f>
        <v>20-29</v>
      </c>
      <c r="L1087" s="13" t="s">
        <v>699</v>
      </c>
      <c r="M1087" s="23" t="s">
        <v>439</v>
      </c>
      <c r="N1087" s="13" t="s">
        <v>221</v>
      </c>
      <c r="O1087" s="46">
        <v>1</v>
      </c>
      <c r="P1087" s="30" t="str">
        <f>VLOOKUP(O1087,[5]Key!$E$2:$F$9,2,FALSE)</f>
        <v>Home</v>
      </c>
      <c r="Q1087" s="13" t="s">
        <v>446</v>
      </c>
      <c r="R1087" s="23" t="s">
        <v>439</v>
      </c>
      <c r="S1087" s="13" t="s">
        <v>221</v>
      </c>
      <c r="T1087" s="23">
        <v>6</v>
      </c>
      <c r="U1087" s="30" t="str">
        <f>VLOOKUP(T1087,[5]Key!$E$2:$F$9,2,FALSE)</f>
        <v>Leisure/Social</v>
      </c>
      <c r="V1087" s="30" t="str">
        <f t="shared" si="64"/>
        <v>Home-Leisure/Social</v>
      </c>
      <c r="W1087" s="23">
        <v>1000</v>
      </c>
      <c r="X1087" s="50"/>
      <c r="Y1087" s="50" t="str">
        <f t="shared" si="65"/>
        <v>0-10</v>
      </c>
      <c r="Z1087" s="50">
        <v>0.1</v>
      </c>
      <c r="AA1087" s="50" t="str">
        <f t="shared" si="66"/>
        <v>0-0.5</v>
      </c>
      <c r="AB1087" s="23">
        <v>7</v>
      </c>
      <c r="AC1087" s="30" t="str">
        <f>VLOOKUP(AB1087,[5]Key!$C$20:$D$29,2,FALSE)</f>
        <v>Farmer</v>
      </c>
      <c r="AD1087" s="23">
        <v>2</v>
      </c>
      <c r="AE1087" s="30" t="str">
        <f>VLOOKUP(AD1087,[5]Key!$E$20:$F$24,2,FALSE)</f>
        <v>300,000-500,000</v>
      </c>
      <c r="AF1087" s="23">
        <v>2</v>
      </c>
      <c r="AG1087" s="50">
        <v>1</v>
      </c>
      <c r="AH1087" s="50">
        <v>3</v>
      </c>
      <c r="AI1087" s="50">
        <v>4</v>
      </c>
      <c r="AJ1087" s="50">
        <v>5</v>
      </c>
      <c r="AK1087" s="46" t="s">
        <v>94</v>
      </c>
      <c r="AL1087" s="36"/>
      <c r="AM1087" t="str">
        <f t="shared" si="67"/>
        <v>0-1000</v>
      </c>
    </row>
    <row r="1088" spans="1:46" x14ac:dyDescent="0.2">
      <c r="A1088" s="44">
        <v>43758</v>
      </c>
      <c r="B1088" s="48">
        <v>0.62916666666666665</v>
      </c>
      <c r="C1088" s="48"/>
      <c r="D1088" s="48" t="s">
        <v>150</v>
      </c>
      <c r="E1088" s="13">
        <v>1</v>
      </c>
      <c r="F1088" s="38" t="str">
        <f>VLOOKUP(E1088,[5]Key!$A$17:$B$21,2,FALSE)</f>
        <v>Walking/Cycling</v>
      </c>
      <c r="G1088" s="49">
        <v>13</v>
      </c>
      <c r="H1088" s="39" t="str">
        <f>VLOOKUP(G1088,[5]Key!$A$2:$B$14,2,FALSE)</f>
        <v>Bicycles</v>
      </c>
      <c r="I1088" s="13" t="s">
        <v>156</v>
      </c>
      <c r="J1088" s="13">
        <v>1</v>
      </c>
      <c r="K1088" s="40" t="str">
        <f>VLOOKUP(J1088,[5]Key!$A$24:$B$29,2,FALSE)</f>
        <v>20-29</v>
      </c>
      <c r="L1088" s="13" t="s">
        <v>699</v>
      </c>
      <c r="M1088" s="23" t="s">
        <v>439</v>
      </c>
      <c r="N1088" s="13" t="s">
        <v>221</v>
      </c>
      <c r="O1088" s="46">
        <v>1</v>
      </c>
      <c r="P1088" s="30" t="str">
        <f>VLOOKUP(O1088,[5]Key!$E$2:$F$9,2,FALSE)</f>
        <v>Home</v>
      </c>
      <c r="Q1088" s="13" t="s">
        <v>707</v>
      </c>
      <c r="R1088" s="23" t="s">
        <v>439</v>
      </c>
      <c r="S1088" s="13" t="s">
        <v>221</v>
      </c>
      <c r="T1088" s="23">
        <v>3</v>
      </c>
      <c r="U1088" s="30" t="str">
        <f>VLOOKUP(T1088,[5]Key!$E$2:$F$9,2,FALSE)</f>
        <v>Study</v>
      </c>
      <c r="V1088" s="30" t="str">
        <f t="shared" si="64"/>
        <v>Home-Study</v>
      </c>
      <c r="W1088" s="23">
        <v>1500</v>
      </c>
      <c r="X1088" s="50"/>
      <c r="Y1088" s="50" t="str">
        <f t="shared" si="65"/>
        <v>0-10</v>
      </c>
      <c r="Z1088" s="50">
        <v>0.3</v>
      </c>
      <c r="AA1088" s="50" t="str">
        <f t="shared" si="66"/>
        <v>0-0.5</v>
      </c>
      <c r="AB1088" s="23">
        <v>8</v>
      </c>
      <c r="AC1088" s="30" t="str">
        <f>VLOOKUP(AB1088,[5]Key!$C$20:$D$29,2,FALSE)</f>
        <v>Student</v>
      </c>
      <c r="AD1088" s="23">
        <v>1</v>
      </c>
      <c r="AE1088" s="30" t="str">
        <f>VLOOKUP(AD1088,[5]Key!$E$20:$F$24,2,FALSE)</f>
        <v>&lt;300,000</v>
      </c>
      <c r="AF1088" s="23">
        <v>3</v>
      </c>
      <c r="AG1088" s="50">
        <v>1</v>
      </c>
      <c r="AH1088" s="50">
        <v>2</v>
      </c>
      <c r="AI1088" s="50">
        <v>5</v>
      </c>
      <c r="AJ1088" s="50">
        <v>4</v>
      </c>
      <c r="AK1088" s="46" t="s">
        <v>94</v>
      </c>
      <c r="AL1088" s="36">
        <v>1000</v>
      </c>
      <c r="AM1088" t="str">
        <f t="shared" si="67"/>
        <v>1000-2000</v>
      </c>
    </row>
    <row r="1089" spans="1:39" x14ac:dyDescent="0.2">
      <c r="A1089" s="44">
        <v>43758</v>
      </c>
      <c r="B1089" s="48">
        <v>0.7270833333333333</v>
      </c>
      <c r="C1089" s="48"/>
      <c r="D1089" s="48"/>
      <c r="E1089" s="13">
        <v>1</v>
      </c>
      <c r="F1089" s="38" t="str">
        <f>VLOOKUP(E1089,[5]Key!$A$17:$B$21,2,FALSE)</f>
        <v>Walking/Cycling</v>
      </c>
      <c r="G1089" s="49">
        <v>13</v>
      </c>
      <c r="H1089" s="39" t="str">
        <f>VLOOKUP(G1089,[5]Key!$A$2:$B$14,2,FALSE)</f>
        <v>Bicycles</v>
      </c>
      <c r="I1089" s="13" t="s">
        <v>156</v>
      </c>
      <c r="J1089" s="13">
        <v>1</v>
      </c>
      <c r="K1089" s="40" t="str">
        <f>VLOOKUP(J1089,[5]Key!$A$24:$B$29,2,FALSE)</f>
        <v>20-29</v>
      </c>
      <c r="L1089" s="13" t="s">
        <v>446</v>
      </c>
      <c r="M1089" s="23" t="s">
        <v>439</v>
      </c>
      <c r="N1089" s="13" t="s">
        <v>221</v>
      </c>
      <c r="O1089" s="46">
        <v>3</v>
      </c>
      <c r="P1089" s="30" t="str">
        <f>VLOOKUP(O1089,[5]Key!$E$2:$F$9,2,FALSE)</f>
        <v>Study</v>
      </c>
      <c r="Q1089" s="13" t="s">
        <v>708</v>
      </c>
      <c r="R1089" s="23" t="s">
        <v>708</v>
      </c>
      <c r="S1089" s="13" t="s">
        <v>221</v>
      </c>
      <c r="T1089" s="23">
        <v>1</v>
      </c>
      <c r="U1089" s="30" t="str">
        <f>VLOOKUP(T1089,[5]Key!$E$2:$F$9,2,FALSE)</f>
        <v>Home</v>
      </c>
      <c r="V1089" s="30" t="str">
        <f t="shared" si="64"/>
        <v>Study-Home</v>
      </c>
      <c r="W1089" s="23">
        <v>5000</v>
      </c>
      <c r="X1089" s="50"/>
      <c r="Y1089" s="50" t="str">
        <f t="shared" si="65"/>
        <v>0-10</v>
      </c>
      <c r="Z1089" s="50">
        <v>1.5</v>
      </c>
      <c r="AA1089" s="50" t="str">
        <f t="shared" si="66"/>
        <v>1.0-2.0</v>
      </c>
      <c r="AB1089" s="23">
        <v>8</v>
      </c>
      <c r="AC1089" s="30" t="str">
        <f>VLOOKUP(AB1089,[5]Key!$C$20:$D$29,2,FALSE)</f>
        <v>Student</v>
      </c>
      <c r="AD1089" s="23">
        <v>1</v>
      </c>
      <c r="AE1089" s="30" t="str">
        <f>VLOOKUP(AD1089,[5]Key!$E$20:$F$24,2,FALSE)</f>
        <v>&lt;300,000</v>
      </c>
      <c r="AF1089" s="23">
        <v>3</v>
      </c>
      <c r="AG1089" s="50">
        <v>4</v>
      </c>
      <c r="AH1089" s="50">
        <v>1</v>
      </c>
      <c r="AI1089" s="50">
        <v>2</v>
      </c>
      <c r="AJ1089" s="50">
        <v>5</v>
      </c>
      <c r="AK1089" s="46" t="s">
        <v>94</v>
      </c>
      <c r="AL1089" s="36">
        <v>2000</v>
      </c>
      <c r="AM1089" t="str">
        <f t="shared" si="67"/>
        <v>2000-3000</v>
      </c>
    </row>
    <row r="1090" spans="1:39" x14ac:dyDescent="0.2">
      <c r="A1090" s="44">
        <v>43758</v>
      </c>
      <c r="B1090" s="48">
        <v>0.74513888888888891</v>
      </c>
      <c r="C1090" s="48"/>
      <c r="D1090" s="48"/>
      <c r="E1090" s="13">
        <v>1</v>
      </c>
      <c r="F1090" s="38" t="str">
        <f>VLOOKUP(E1090,[5]Key!$A$17:$B$21,2,FALSE)</f>
        <v>Walking/Cycling</v>
      </c>
      <c r="G1090" s="49">
        <v>13</v>
      </c>
      <c r="H1090" s="39" t="str">
        <f>VLOOKUP(G1090,[5]Key!$A$2:$B$14,2,FALSE)</f>
        <v>Bicycles</v>
      </c>
      <c r="I1090" s="13" t="s">
        <v>156</v>
      </c>
      <c r="J1090" s="13">
        <v>1</v>
      </c>
      <c r="K1090" s="40" t="str">
        <f>VLOOKUP(J1090,[5]Key!$A$24:$B$29,2,FALSE)</f>
        <v>20-29</v>
      </c>
      <c r="L1090" s="13" t="s">
        <v>709</v>
      </c>
      <c r="M1090" s="23" t="s">
        <v>439</v>
      </c>
      <c r="N1090" s="13" t="s">
        <v>221</v>
      </c>
      <c r="O1090" s="46">
        <v>1</v>
      </c>
      <c r="P1090" s="30" t="str">
        <f>VLOOKUP(O1090,[5]Key!$E$2:$F$9,2,FALSE)</f>
        <v>Home</v>
      </c>
      <c r="Q1090" s="13" t="s">
        <v>446</v>
      </c>
      <c r="R1090" s="23" t="s">
        <v>439</v>
      </c>
      <c r="S1090" s="13" t="s">
        <v>221</v>
      </c>
      <c r="T1090" s="23">
        <v>2</v>
      </c>
      <c r="U1090" s="30" t="str">
        <f>VLOOKUP(T1090,[5]Key!$E$2:$F$9,2,FALSE)</f>
        <v>Work</v>
      </c>
      <c r="V1090" s="30" t="str">
        <f t="shared" ref="V1090:V1153" si="68">P1090&amp;"-"&amp;U1090</f>
        <v>Home-Work</v>
      </c>
      <c r="W1090" s="23">
        <v>1000</v>
      </c>
      <c r="X1090" s="50"/>
      <c r="Y1090" s="50" t="str">
        <f t="shared" si="65"/>
        <v>0-10</v>
      </c>
      <c r="Z1090" s="50">
        <v>0.2</v>
      </c>
      <c r="AA1090" s="50" t="str">
        <f t="shared" si="66"/>
        <v>0-0.5</v>
      </c>
      <c r="AB1090" s="23">
        <v>10</v>
      </c>
      <c r="AC1090" s="30" t="str">
        <f>VLOOKUP(AB1090,[5]Key!$C$20:$D$29,2,FALSE)</f>
        <v>Other</v>
      </c>
      <c r="AD1090" s="23">
        <v>1</v>
      </c>
      <c r="AE1090" s="30" t="str">
        <f>VLOOKUP(AD1090,[5]Key!$E$20:$F$24,2,FALSE)</f>
        <v>&lt;300,000</v>
      </c>
      <c r="AF1090" s="23">
        <v>3</v>
      </c>
      <c r="AG1090" s="50">
        <v>2</v>
      </c>
      <c r="AH1090" s="50">
        <v>5</v>
      </c>
      <c r="AI1090" s="50">
        <v>1</v>
      </c>
      <c r="AJ1090" s="50">
        <v>4</v>
      </c>
      <c r="AK1090" s="46" t="s">
        <v>94</v>
      </c>
      <c r="AL1090" s="36">
        <v>1500</v>
      </c>
      <c r="AM1090" t="str">
        <f t="shared" si="67"/>
        <v>1000-2000</v>
      </c>
    </row>
    <row r="1091" spans="1:39" x14ac:dyDescent="0.2">
      <c r="A1091" s="44">
        <v>43758</v>
      </c>
      <c r="B1091" s="48">
        <v>0.74930555555555556</v>
      </c>
      <c r="C1091" s="48"/>
      <c r="D1091" s="48"/>
      <c r="E1091" s="13">
        <v>1</v>
      </c>
      <c r="F1091" s="38" t="str">
        <f>VLOOKUP(E1091,[5]Key!$A$17:$B$21,2,FALSE)</f>
        <v>Walking/Cycling</v>
      </c>
      <c r="G1091" s="49">
        <v>13</v>
      </c>
      <c r="H1091" s="39" t="str">
        <f>VLOOKUP(G1091,[5]Key!$A$2:$B$14,2,FALSE)</f>
        <v>Bicycles</v>
      </c>
      <c r="I1091" s="13" t="s">
        <v>156</v>
      </c>
      <c r="J1091" s="13">
        <v>1</v>
      </c>
      <c r="K1091" s="40" t="str">
        <f>VLOOKUP(J1091,[5]Key!$A$24:$B$29,2,FALSE)</f>
        <v>20-29</v>
      </c>
      <c r="L1091" s="13" t="s">
        <v>710</v>
      </c>
      <c r="M1091" s="23" t="s">
        <v>439</v>
      </c>
      <c r="N1091" s="13" t="s">
        <v>221</v>
      </c>
      <c r="O1091" s="46">
        <v>3</v>
      </c>
      <c r="P1091" s="30" t="str">
        <f>VLOOKUP(O1091,[5]Key!$E$2:$F$9,2,FALSE)</f>
        <v>Study</v>
      </c>
      <c r="Q1091" s="13" t="s">
        <v>711</v>
      </c>
      <c r="R1091" s="23" t="s">
        <v>439</v>
      </c>
      <c r="S1091" s="13" t="s">
        <v>221</v>
      </c>
      <c r="T1091" s="23">
        <v>1</v>
      </c>
      <c r="U1091" s="30" t="str">
        <f>VLOOKUP(T1091,[5]Key!$E$2:$F$9,2,FALSE)</f>
        <v>Home</v>
      </c>
      <c r="V1091" s="30" t="str">
        <f t="shared" si="68"/>
        <v>Study-Home</v>
      </c>
      <c r="W1091" s="23">
        <v>2000</v>
      </c>
      <c r="X1091" s="50"/>
      <c r="Y1091" s="50" t="str">
        <f t="shared" ref="Y1091:Y1154" si="69">IF(X1091&lt;10,"0-10",IF(X1091&lt;20,"10-20",IF(X1091&lt;40,"20-40",IF(X1091&lt;70,"40-70",IF(X1091&lt;100,"70-100",IF(X1091&lt;200,"100-200","Over 200"))))))</f>
        <v>0-10</v>
      </c>
      <c r="Z1091" s="50">
        <v>0.5</v>
      </c>
      <c r="AA1091" s="50" t="str">
        <f t="shared" ref="AA1091:AA1154" si="70">IF(Z1091&lt;0.5,"0-0.5",IF(Z1091&lt;1,"0.5-1.0",IF(Z1091&lt;2,"1.0-2.0",IF(Z1091&lt;3.5,"2.0-3.5","Over 3.5"))))</f>
        <v>0.5-1.0</v>
      </c>
      <c r="AB1091" s="23">
        <v>8</v>
      </c>
      <c r="AC1091" s="30" t="str">
        <f>VLOOKUP(AB1091,[5]Key!$C$20:$D$29,2,FALSE)</f>
        <v>Student</v>
      </c>
      <c r="AD1091" s="23">
        <v>1</v>
      </c>
      <c r="AE1091" s="30" t="str">
        <f>VLOOKUP(AD1091,[5]Key!$E$20:$F$24,2,FALSE)</f>
        <v>&lt;300,000</v>
      </c>
      <c r="AF1091" s="23">
        <v>2</v>
      </c>
      <c r="AG1091" s="50">
        <v>4</v>
      </c>
      <c r="AH1091" s="50">
        <v>3</v>
      </c>
      <c r="AI1091" s="50">
        <v>1</v>
      </c>
      <c r="AJ1091" s="50">
        <v>5</v>
      </c>
      <c r="AK1091" s="46" t="s">
        <v>94</v>
      </c>
      <c r="AL1091" s="36">
        <v>1000</v>
      </c>
      <c r="AM1091" t="str">
        <f t="shared" ref="AM1091:AM1154" si="71">IF(AL1091&lt;1000,"0-1000",IF(AL1091&lt;2000,"1000-2000",IF(AL1091&lt;3000,"2000-3000",IF(AL1091&lt;5000,"3000-5000",IF(AL1091&lt;10000,"5000-10000","Over 10000")))))</f>
        <v>1000-2000</v>
      </c>
    </row>
    <row r="1092" spans="1:39" x14ac:dyDescent="0.2">
      <c r="A1092" s="44">
        <v>43756</v>
      </c>
      <c r="B1092" s="48">
        <v>0.72916666666666663</v>
      </c>
      <c r="C1092" s="48"/>
      <c r="D1092" s="48"/>
      <c r="E1092" s="13">
        <v>1</v>
      </c>
      <c r="F1092" s="38" t="str">
        <f>VLOOKUP(E1092,[5]Key!$A$17:$B$21,2,FALSE)</f>
        <v>Walking/Cycling</v>
      </c>
      <c r="G1092" s="49">
        <v>13</v>
      </c>
      <c r="H1092" s="39" t="str">
        <f>VLOOKUP(G1092,[5]Key!$A$2:$B$14,2,FALSE)</f>
        <v>Bicycles</v>
      </c>
      <c r="I1092" s="13" t="s">
        <v>109</v>
      </c>
      <c r="J1092" s="13">
        <v>1</v>
      </c>
      <c r="K1092" s="40" t="str">
        <f>VLOOKUP(J1092,[5]Key!$A$24:$B$29,2,FALSE)</f>
        <v>20-29</v>
      </c>
      <c r="L1092" s="55" t="s">
        <v>698</v>
      </c>
      <c r="M1092" s="23" t="s">
        <v>439</v>
      </c>
      <c r="N1092" s="13" t="s">
        <v>221</v>
      </c>
      <c r="O1092" s="46">
        <v>3</v>
      </c>
      <c r="P1092" s="30" t="str">
        <f>VLOOKUP(O1092,[5]Key!$E$2:$F$9,2,FALSE)</f>
        <v>Study</v>
      </c>
      <c r="Q1092" s="13" t="s">
        <v>446</v>
      </c>
      <c r="R1092" s="23" t="s">
        <v>439</v>
      </c>
      <c r="S1092" s="13" t="s">
        <v>221</v>
      </c>
      <c r="T1092" s="23">
        <v>1</v>
      </c>
      <c r="U1092" s="30" t="str">
        <f>VLOOKUP(T1092,[5]Key!$E$2:$F$9,2,FALSE)</f>
        <v>Home</v>
      </c>
      <c r="V1092" s="30" t="str">
        <f t="shared" si="68"/>
        <v>Study-Home</v>
      </c>
      <c r="W1092" s="41"/>
      <c r="X1092" s="50"/>
      <c r="Y1092" s="50" t="str">
        <f t="shared" si="69"/>
        <v>0-10</v>
      </c>
      <c r="Z1092" s="50"/>
      <c r="AA1092" s="50" t="str">
        <f t="shared" si="70"/>
        <v>0-0.5</v>
      </c>
      <c r="AB1092" s="23">
        <v>8</v>
      </c>
      <c r="AC1092" s="30" t="str">
        <f>VLOOKUP(AB1092,[5]Key!$C$20:$D$29,2,FALSE)</f>
        <v>Student</v>
      </c>
      <c r="AD1092" s="23">
        <v>1</v>
      </c>
      <c r="AE1092" s="30" t="str">
        <f>VLOOKUP(AD1092,[5]Key!$E$20:$F$24,2,FALSE)</f>
        <v>&lt;300,000</v>
      </c>
      <c r="AF1092" s="23">
        <v>3</v>
      </c>
      <c r="AG1092" s="50">
        <v>1</v>
      </c>
      <c r="AH1092" s="50">
        <v>2</v>
      </c>
      <c r="AI1092" s="50">
        <v>5</v>
      </c>
      <c r="AJ1092" s="50">
        <v>4</v>
      </c>
      <c r="AK1092" s="46" t="s">
        <v>94</v>
      </c>
      <c r="AL1092" s="36">
        <v>5000</v>
      </c>
      <c r="AM1092" t="str">
        <f t="shared" si="71"/>
        <v>5000-10000</v>
      </c>
    </row>
    <row r="1093" spans="1:39" x14ac:dyDescent="0.2">
      <c r="A1093" s="44">
        <v>43756</v>
      </c>
      <c r="B1093" s="48">
        <v>0.75</v>
      </c>
      <c r="C1093" s="48"/>
      <c r="D1093" s="48"/>
      <c r="E1093" s="13">
        <v>1</v>
      </c>
      <c r="F1093" s="38" t="str">
        <f>VLOOKUP(E1093,[5]Key!$A$17:$B$21,2,FALSE)</f>
        <v>Walking/Cycling</v>
      </c>
      <c r="G1093" s="49">
        <v>13</v>
      </c>
      <c r="H1093" s="39" t="str">
        <f>VLOOKUP(G1093,[5]Key!$A$2:$B$14,2,FALSE)</f>
        <v>Bicycles</v>
      </c>
      <c r="I1093" s="13" t="s">
        <v>109</v>
      </c>
      <c r="J1093" s="13">
        <v>1</v>
      </c>
      <c r="K1093" s="40" t="str">
        <f>VLOOKUP(J1093,[5]Key!$A$24:$B$29,2,FALSE)</f>
        <v>20-29</v>
      </c>
      <c r="L1093" s="13" t="s">
        <v>698</v>
      </c>
      <c r="M1093" s="23" t="s">
        <v>439</v>
      </c>
      <c r="N1093" s="13" t="s">
        <v>221</v>
      </c>
      <c r="O1093" s="46">
        <v>3</v>
      </c>
      <c r="P1093" s="30" t="str">
        <f>VLOOKUP(O1093,[5]Key!$E$2:$F$9,2,FALSE)</f>
        <v>Study</v>
      </c>
      <c r="Q1093" s="13" t="s">
        <v>446</v>
      </c>
      <c r="R1093" s="23" t="s">
        <v>439</v>
      </c>
      <c r="S1093" s="13" t="s">
        <v>221</v>
      </c>
      <c r="T1093" s="23">
        <v>1</v>
      </c>
      <c r="U1093" s="30" t="str">
        <f>VLOOKUP(T1093,[5]Key!$E$2:$F$9,2,FALSE)</f>
        <v>Home</v>
      </c>
      <c r="V1093" s="30" t="str">
        <f t="shared" si="68"/>
        <v>Study-Home</v>
      </c>
      <c r="W1093" s="41">
        <v>1000</v>
      </c>
      <c r="X1093" s="50"/>
      <c r="Y1093" s="50" t="str">
        <f t="shared" si="69"/>
        <v>0-10</v>
      </c>
      <c r="Z1093" s="50">
        <v>0.3</v>
      </c>
      <c r="AA1093" s="50" t="str">
        <f t="shared" si="70"/>
        <v>0-0.5</v>
      </c>
      <c r="AB1093" s="23">
        <v>8</v>
      </c>
      <c r="AC1093" s="30" t="str">
        <f>VLOOKUP(AB1093,[5]Key!$C$20:$D$29,2,FALSE)</f>
        <v>Student</v>
      </c>
      <c r="AD1093" s="23">
        <v>1</v>
      </c>
      <c r="AE1093" s="30" t="str">
        <f>VLOOKUP(AD1093,[5]Key!$E$20:$F$24,2,FALSE)</f>
        <v>&lt;300,000</v>
      </c>
      <c r="AF1093" s="23">
        <v>1</v>
      </c>
      <c r="AG1093" s="50">
        <v>2</v>
      </c>
      <c r="AH1093" s="50">
        <v>3</v>
      </c>
      <c r="AI1093" s="50">
        <v>4</v>
      </c>
      <c r="AJ1093" s="50">
        <v>5</v>
      </c>
      <c r="AK1093" s="46" t="s">
        <v>94</v>
      </c>
      <c r="AL1093" s="36"/>
      <c r="AM1093" t="str">
        <f t="shared" si="71"/>
        <v>0-1000</v>
      </c>
    </row>
    <row r="1094" spans="1:39" x14ac:dyDescent="0.2">
      <c r="A1094" s="44">
        <v>43757</v>
      </c>
      <c r="B1094" s="48">
        <v>0.44375000000000003</v>
      </c>
      <c r="C1094" s="48"/>
      <c r="D1094" s="48" t="s">
        <v>150</v>
      </c>
      <c r="E1094" s="13">
        <v>1</v>
      </c>
      <c r="F1094" s="38" t="str">
        <f>VLOOKUP(E1094,[5]Key!$A$17:$B$21,2,FALSE)</f>
        <v>Walking/Cycling</v>
      </c>
      <c r="G1094" s="49">
        <v>13</v>
      </c>
      <c r="H1094" s="39" t="str">
        <f>VLOOKUP(G1094,[5]Key!$A$2:$B$14,2,FALSE)</f>
        <v>Bicycles</v>
      </c>
      <c r="I1094" s="13" t="s">
        <v>109</v>
      </c>
      <c r="J1094" s="13">
        <v>1</v>
      </c>
      <c r="K1094" s="40" t="str">
        <f>VLOOKUP(J1094,[5]Key!$A$24:$B$29,2,FALSE)</f>
        <v>20-29</v>
      </c>
      <c r="L1094" s="13" t="s">
        <v>712</v>
      </c>
      <c r="M1094" s="23" t="s">
        <v>441</v>
      </c>
      <c r="N1094" s="13" t="s">
        <v>221</v>
      </c>
      <c r="O1094" s="46">
        <v>2</v>
      </c>
      <c r="P1094" s="30" t="str">
        <f>VLOOKUP(O1094,[5]Key!$E$2:$F$9,2,FALSE)</f>
        <v>Work</v>
      </c>
      <c r="Q1094" s="13" t="s">
        <v>713</v>
      </c>
      <c r="R1094" s="23" t="s">
        <v>439</v>
      </c>
      <c r="S1094" s="13" t="s">
        <v>221</v>
      </c>
      <c r="T1094" s="23">
        <v>1</v>
      </c>
      <c r="U1094" s="30" t="str">
        <f>VLOOKUP(T1094,[5]Key!$E$2:$F$9,2,FALSE)</f>
        <v>Home</v>
      </c>
      <c r="V1094" s="30" t="str">
        <f t="shared" si="68"/>
        <v>Work-Home</v>
      </c>
      <c r="W1094" s="23">
        <v>3000</v>
      </c>
      <c r="X1094" s="50">
        <v>20</v>
      </c>
      <c r="Y1094" s="50" t="str">
        <f t="shared" si="69"/>
        <v>20-40</v>
      </c>
      <c r="Z1094" s="50">
        <v>1</v>
      </c>
      <c r="AA1094" s="50" t="str">
        <f t="shared" si="70"/>
        <v>1.0-2.0</v>
      </c>
      <c r="AB1094" s="23">
        <v>2</v>
      </c>
      <c r="AC1094" s="30" t="str">
        <f>VLOOKUP(AB1094,[5]Key!$C$20:$D$29,2,FALSE)</f>
        <v>Manual Labour</v>
      </c>
      <c r="AD1094" s="23">
        <v>1</v>
      </c>
      <c r="AE1094" s="30" t="str">
        <f>VLOOKUP(AD1094,[5]Key!$E$20:$F$24,2,FALSE)</f>
        <v>&lt;300,000</v>
      </c>
      <c r="AF1094" s="23">
        <v>1</v>
      </c>
      <c r="AG1094" s="50">
        <v>5</v>
      </c>
      <c r="AH1094" s="50">
        <v>2</v>
      </c>
      <c r="AI1094" s="50">
        <v>3</v>
      </c>
      <c r="AJ1094" s="50">
        <v>4</v>
      </c>
      <c r="AK1094" s="46" t="s">
        <v>94</v>
      </c>
      <c r="AL1094" s="36">
        <v>1000</v>
      </c>
      <c r="AM1094" t="str">
        <f t="shared" si="71"/>
        <v>1000-2000</v>
      </c>
    </row>
    <row r="1095" spans="1:39" x14ac:dyDescent="0.2">
      <c r="A1095" s="44">
        <v>43757</v>
      </c>
      <c r="B1095" s="48">
        <v>0.49444444444444446</v>
      </c>
      <c r="C1095" s="48"/>
      <c r="D1095" s="48"/>
      <c r="E1095" s="13">
        <v>1</v>
      </c>
      <c r="F1095" s="38" t="str">
        <f>VLOOKUP(E1095,[5]Key!$A$17:$B$21,2,FALSE)</f>
        <v>Walking/Cycling</v>
      </c>
      <c r="G1095" s="49">
        <v>13</v>
      </c>
      <c r="H1095" s="39" t="str">
        <f>VLOOKUP(G1095,[5]Key!$A$2:$B$14,2,FALSE)</f>
        <v>Bicycles</v>
      </c>
      <c r="I1095" s="13" t="s">
        <v>109</v>
      </c>
      <c r="J1095" s="13">
        <v>1</v>
      </c>
      <c r="K1095" s="40" t="str">
        <f>VLOOKUP(J1095,[5]Key!$A$24:$B$29,2,FALSE)</f>
        <v>20-29</v>
      </c>
      <c r="L1095" s="13" t="s">
        <v>714</v>
      </c>
      <c r="M1095" s="23" t="s">
        <v>439</v>
      </c>
      <c r="N1095" s="13" t="s">
        <v>221</v>
      </c>
      <c r="O1095" s="46">
        <v>1</v>
      </c>
      <c r="P1095" s="30" t="str">
        <f>VLOOKUP(O1095,[5]Key!$E$2:$F$9,2,FALSE)</f>
        <v>Home</v>
      </c>
      <c r="Q1095" s="13" t="s">
        <v>446</v>
      </c>
      <c r="R1095" s="23" t="s">
        <v>439</v>
      </c>
      <c r="S1095" s="13" t="s">
        <v>221</v>
      </c>
      <c r="T1095" s="23">
        <v>8</v>
      </c>
      <c r="U1095" s="30" t="str">
        <f>VLOOKUP(T1095,[5]Key!$E$2:$F$9,2,FALSE)</f>
        <v>Others</v>
      </c>
      <c r="V1095" s="30" t="str">
        <f t="shared" si="68"/>
        <v>Home-Others</v>
      </c>
      <c r="W1095" s="23">
        <v>1000</v>
      </c>
      <c r="X1095" s="50">
        <v>8</v>
      </c>
      <c r="Y1095" s="50" t="str">
        <f t="shared" si="69"/>
        <v>0-10</v>
      </c>
      <c r="Z1095" s="50">
        <v>0.1</v>
      </c>
      <c r="AA1095" s="50" t="str">
        <f t="shared" si="70"/>
        <v>0-0.5</v>
      </c>
      <c r="AB1095" s="23">
        <v>7</v>
      </c>
      <c r="AC1095" s="30" t="str">
        <f>VLOOKUP(AB1095,[5]Key!$C$20:$D$29,2,FALSE)</f>
        <v>Farmer</v>
      </c>
      <c r="AD1095" s="23">
        <v>1</v>
      </c>
      <c r="AE1095" s="30" t="str">
        <f>VLOOKUP(AD1095,[5]Key!$E$20:$F$24,2,FALSE)</f>
        <v>&lt;300,000</v>
      </c>
      <c r="AF1095" s="23">
        <v>2</v>
      </c>
      <c r="AG1095" s="50">
        <v>3</v>
      </c>
      <c r="AH1095" s="50">
        <v>5</v>
      </c>
      <c r="AI1095" s="50">
        <v>1</v>
      </c>
      <c r="AJ1095" s="50">
        <v>4</v>
      </c>
      <c r="AK1095" s="46" t="s">
        <v>94</v>
      </c>
      <c r="AL1095" s="36">
        <v>1000</v>
      </c>
      <c r="AM1095" t="str">
        <f t="shared" si="71"/>
        <v>1000-2000</v>
      </c>
    </row>
    <row r="1096" spans="1:39" x14ac:dyDescent="0.2">
      <c r="A1096" s="44">
        <v>43757</v>
      </c>
      <c r="B1096" s="48">
        <v>0.68055555555555547</v>
      </c>
      <c r="C1096" s="48"/>
      <c r="D1096" s="48"/>
      <c r="E1096" s="13">
        <v>1</v>
      </c>
      <c r="F1096" s="38" t="str">
        <f>VLOOKUP(E1096,[5]Key!$A$17:$B$21,2,FALSE)</f>
        <v>Walking/Cycling</v>
      </c>
      <c r="G1096" s="49">
        <v>13</v>
      </c>
      <c r="H1096" s="39" t="str">
        <f>VLOOKUP(G1096,[5]Key!$A$2:$B$14,2,FALSE)</f>
        <v>Bicycles</v>
      </c>
      <c r="I1096" s="13" t="s">
        <v>109</v>
      </c>
      <c r="J1096" s="13">
        <v>1</v>
      </c>
      <c r="K1096" s="40" t="str">
        <f>VLOOKUP(J1096,[5]Key!$A$24:$B$29,2,FALSE)</f>
        <v>20-29</v>
      </c>
      <c r="L1096" s="13" t="s">
        <v>699</v>
      </c>
      <c r="M1096" s="23" t="s">
        <v>439</v>
      </c>
      <c r="N1096" s="13" t="s">
        <v>221</v>
      </c>
      <c r="O1096" s="46">
        <v>1</v>
      </c>
      <c r="P1096" s="30" t="str">
        <f>VLOOKUP(O1096,[5]Key!$E$2:$F$9,2,FALSE)</f>
        <v>Home</v>
      </c>
      <c r="Q1096" s="13" t="s">
        <v>446</v>
      </c>
      <c r="R1096" s="23" t="s">
        <v>439</v>
      </c>
      <c r="S1096" s="13" t="s">
        <v>221</v>
      </c>
      <c r="T1096" s="23">
        <v>7</v>
      </c>
      <c r="U1096" s="30" t="str">
        <f>VLOOKUP(T1096,[5]Key!$E$2:$F$9,2,FALSE)</f>
        <v>Hospital</v>
      </c>
      <c r="V1096" s="30" t="str">
        <f t="shared" si="68"/>
        <v>Home-Hospital</v>
      </c>
      <c r="W1096" s="23">
        <v>1000</v>
      </c>
      <c r="X1096" s="50"/>
      <c r="Y1096" s="50" t="str">
        <f t="shared" si="69"/>
        <v>0-10</v>
      </c>
      <c r="Z1096" s="50">
        <v>0.1</v>
      </c>
      <c r="AA1096" s="50" t="str">
        <f t="shared" si="70"/>
        <v>0-0.5</v>
      </c>
      <c r="AB1096" s="23">
        <v>7</v>
      </c>
      <c r="AC1096" s="30" t="str">
        <f>VLOOKUP(AB1096,[5]Key!$C$20:$D$29,2,FALSE)</f>
        <v>Farmer</v>
      </c>
      <c r="AD1096" s="23">
        <v>2</v>
      </c>
      <c r="AE1096" s="30" t="str">
        <f>VLOOKUP(AD1096,[5]Key!$E$20:$F$24,2,FALSE)</f>
        <v>300,000-500,000</v>
      </c>
      <c r="AF1096" s="23">
        <v>3</v>
      </c>
      <c r="AG1096" s="50">
        <v>2</v>
      </c>
      <c r="AH1096" s="50">
        <v>1</v>
      </c>
      <c r="AI1096" s="50">
        <v>5</v>
      </c>
      <c r="AJ1096" s="50">
        <v>4</v>
      </c>
      <c r="AK1096" s="46" t="s">
        <v>94</v>
      </c>
      <c r="AL1096" s="36">
        <v>1000</v>
      </c>
      <c r="AM1096" t="str">
        <f t="shared" si="71"/>
        <v>1000-2000</v>
      </c>
    </row>
    <row r="1097" spans="1:39" x14ac:dyDescent="0.2">
      <c r="A1097" s="44">
        <v>43757</v>
      </c>
      <c r="B1097" s="48">
        <v>0.53263888888888888</v>
      </c>
      <c r="C1097" s="48"/>
      <c r="D1097" s="48" t="s">
        <v>150</v>
      </c>
      <c r="E1097" s="13">
        <v>1</v>
      </c>
      <c r="F1097" s="38" t="str">
        <f>VLOOKUP(E1097,[5]Key!$A$17:$B$21,2,FALSE)</f>
        <v>Walking/Cycling</v>
      </c>
      <c r="G1097" s="49">
        <v>13</v>
      </c>
      <c r="H1097" s="39" t="str">
        <f>VLOOKUP(G1097,[5]Key!$A$2:$B$14,2,FALSE)</f>
        <v>Bicycles</v>
      </c>
      <c r="I1097" s="13" t="s">
        <v>109</v>
      </c>
      <c r="J1097" s="13">
        <v>1</v>
      </c>
      <c r="K1097" s="40" t="str">
        <f>VLOOKUP(J1097,[5]Key!$A$24:$B$29,2,FALSE)</f>
        <v>20-29</v>
      </c>
      <c r="L1097" s="13" t="s">
        <v>715</v>
      </c>
      <c r="M1097" s="23" t="s">
        <v>441</v>
      </c>
      <c r="N1097" s="13" t="s">
        <v>221</v>
      </c>
      <c r="O1097" s="46">
        <v>1</v>
      </c>
      <c r="P1097" s="30" t="str">
        <f>VLOOKUP(O1097,[5]Key!$E$2:$F$9,2,FALSE)</f>
        <v>Home</v>
      </c>
      <c r="Q1097" s="13" t="s">
        <v>446</v>
      </c>
      <c r="R1097" s="23" t="s">
        <v>439</v>
      </c>
      <c r="S1097" s="13" t="s">
        <v>221</v>
      </c>
      <c r="T1097" s="23">
        <v>3</v>
      </c>
      <c r="U1097" s="30" t="str">
        <f>VLOOKUP(T1097,[5]Key!$E$2:$F$9,2,FALSE)</f>
        <v>Study</v>
      </c>
      <c r="V1097" s="30" t="str">
        <f t="shared" si="68"/>
        <v>Home-Study</v>
      </c>
      <c r="W1097" s="23">
        <v>3000</v>
      </c>
      <c r="X1097" s="50">
        <v>15</v>
      </c>
      <c r="Y1097" s="50" t="str">
        <f t="shared" si="69"/>
        <v>10-20</v>
      </c>
      <c r="Z1097" s="50">
        <v>0.3</v>
      </c>
      <c r="AA1097" s="50" t="str">
        <f t="shared" si="70"/>
        <v>0-0.5</v>
      </c>
      <c r="AB1097" s="23">
        <v>8</v>
      </c>
      <c r="AC1097" s="30" t="str">
        <f>VLOOKUP(AB1097,[5]Key!$C$20:$D$29,2,FALSE)</f>
        <v>Student</v>
      </c>
      <c r="AD1097" s="23">
        <v>1</v>
      </c>
      <c r="AE1097" s="30" t="str">
        <f>VLOOKUP(AD1097,[5]Key!$E$20:$F$24,2,FALSE)</f>
        <v>&lt;300,000</v>
      </c>
      <c r="AF1097" s="23">
        <v>5</v>
      </c>
      <c r="AG1097" s="50">
        <v>1</v>
      </c>
      <c r="AH1097" s="50">
        <v>2</v>
      </c>
      <c r="AI1097" s="50">
        <v>3</v>
      </c>
      <c r="AJ1097" s="50">
        <v>4</v>
      </c>
      <c r="AK1097" s="46" t="s">
        <v>94</v>
      </c>
      <c r="AL1097" s="36">
        <v>1000</v>
      </c>
      <c r="AM1097" t="str">
        <f t="shared" si="71"/>
        <v>1000-2000</v>
      </c>
    </row>
    <row r="1098" spans="1:39" x14ac:dyDescent="0.2">
      <c r="A1098" s="44">
        <v>43758</v>
      </c>
      <c r="B1098" s="48">
        <v>0.42708333333333331</v>
      </c>
      <c r="C1098" s="48"/>
      <c r="D1098" s="48"/>
      <c r="E1098" s="13">
        <v>1</v>
      </c>
      <c r="F1098" s="38" t="str">
        <f>VLOOKUP(E1098,[5]Key!$A$17:$B$21,2,FALSE)</f>
        <v>Walking/Cycling</v>
      </c>
      <c r="G1098" s="49">
        <v>13</v>
      </c>
      <c r="H1098" s="39" t="str">
        <f>VLOOKUP(G1098,[5]Key!$A$2:$B$14,2,FALSE)</f>
        <v>Bicycles</v>
      </c>
      <c r="I1098" s="13" t="s">
        <v>109</v>
      </c>
      <c r="J1098" s="13">
        <v>1</v>
      </c>
      <c r="K1098" s="40" t="str">
        <f>VLOOKUP(J1098,[5]Key!$A$24:$B$29,2,FALSE)</f>
        <v>20-29</v>
      </c>
      <c r="L1098" s="13" t="s">
        <v>699</v>
      </c>
      <c r="M1098" s="23" t="s">
        <v>439</v>
      </c>
      <c r="N1098" s="13" t="s">
        <v>221</v>
      </c>
      <c r="O1098" s="46">
        <v>1</v>
      </c>
      <c r="P1098" s="30" t="str">
        <f>VLOOKUP(O1098,[5]Key!$E$2:$F$9,2,FALSE)</f>
        <v>Home</v>
      </c>
      <c r="Q1098" s="13" t="s">
        <v>446</v>
      </c>
      <c r="R1098" s="23" t="s">
        <v>439</v>
      </c>
      <c r="S1098" s="13" t="s">
        <v>221</v>
      </c>
      <c r="T1098" s="23">
        <v>6</v>
      </c>
      <c r="U1098" s="30" t="str">
        <f>VLOOKUP(T1098,[5]Key!$E$2:$F$9,2,FALSE)</f>
        <v>Leisure/Social</v>
      </c>
      <c r="V1098" s="30" t="str">
        <f t="shared" si="68"/>
        <v>Home-Leisure/Social</v>
      </c>
      <c r="W1098" s="23">
        <v>1000</v>
      </c>
      <c r="X1098" s="50">
        <v>8</v>
      </c>
      <c r="Y1098" s="50" t="str">
        <f t="shared" si="69"/>
        <v>0-10</v>
      </c>
      <c r="Z1098" s="50">
        <v>0.3</v>
      </c>
      <c r="AA1098" s="50" t="str">
        <f t="shared" si="70"/>
        <v>0-0.5</v>
      </c>
      <c r="AB1098" s="23">
        <v>10</v>
      </c>
      <c r="AC1098" s="30" t="str">
        <f>VLOOKUP(AB1098,[5]Key!$C$20:$D$29,2,FALSE)</f>
        <v>Other</v>
      </c>
      <c r="AD1098" s="23">
        <v>2</v>
      </c>
      <c r="AE1098" s="30" t="str">
        <f>VLOOKUP(AD1098,[5]Key!$E$20:$F$24,2,FALSE)</f>
        <v>300,000-500,000</v>
      </c>
      <c r="AF1098" s="23">
        <v>4</v>
      </c>
      <c r="AG1098" s="50">
        <v>2</v>
      </c>
      <c r="AH1098" s="50">
        <v>3</v>
      </c>
      <c r="AI1098" s="50">
        <v>1</v>
      </c>
      <c r="AJ1098" s="50">
        <v>5</v>
      </c>
      <c r="AK1098" s="46" t="s">
        <v>94</v>
      </c>
      <c r="AL1098" s="36"/>
      <c r="AM1098" t="str">
        <f t="shared" si="71"/>
        <v>0-1000</v>
      </c>
    </row>
    <row r="1099" spans="1:39" x14ac:dyDescent="0.2">
      <c r="A1099" s="44">
        <v>43758</v>
      </c>
      <c r="B1099" s="48">
        <v>0.4513888888888889</v>
      </c>
      <c r="C1099" s="48"/>
      <c r="D1099" s="48"/>
      <c r="E1099" s="13">
        <v>1</v>
      </c>
      <c r="F1099" s="38" t="str">
        <f>VLOOKUP(E1099,[5]Key!$A$17:$B$21,2,FALSE)</f>
        <v>Walking/Cycling</v>
      </c>
      <c r="G1099" s="49">
        <v>13</v>
      </c>
      <c r="H1099" s="39" t="str">
        <f>VLOOKUP(G1099,[5]Key!$A$2:$B$14,2,FALSE)</f>
        <v>Bicycles</v>
      </c>
      <c r="I1099" s="13" t="s">
        <v>109</v>
      </c>
      <c r="J1099" s="13">
        <v>1</v>
      </c>
      <c r="K1099" s="40" t="str">
        <f>VLOOKUP(J1099,[5]Key!$A$24:$B$29,2,FALSE)</f>
        <v>20-29</v>
      </c>
      <c r="L1099" s="13" t="s">
        <v>699</v>
      </c>
      <c r="M1099" s="23" t="s">
        <v>439</v>
      </c>
      <c r="N1099" s="13" t="s">
        <v>221</v>
      </c>
      <c r="O1099" s="46">
        <v>1</v>
      </c>
      <c r="P1099" s="30" t="str">
        <f>VLOOKUP(O1099,[5]Key!$E$2:$F$9,2,FALSE)</f>
        <v>Home</v>
      </c>
      <c r="Q1099" s="13" t="s">
        <v>446</v>
      </c>
      <c r="R1099" s="23" t="s">
        <v>439</v>
      </c>
      <c r="S1099" s="13" t="s">
        <v>221</v>
      </c>
      <c r="T1099" s="23">
        <v>2</v>
      </c>
      <c r="U1099" s="30" t="str">
        <f>VLOOKUP(T1099,[5]Key!$E$2:$F$9,2,FALSE)</f>
        <v>Work</v>
      </c>
      <c r="V1099" s="30" t="str">
        <f t="shared" si="68"/>
        <v>Home-Work</v>
      </c>
      <c r="W1099" s="23">
        <v>1000</v>
      </c>
      <c r="X1099" s="50"/>
      <c r="Y1099" s="50" t="str">
        <f t="shared" si="69"/>
        <v>0-10</v>
      </c>
      <c r="Z1099" s="50">
        <v>0.2</v>
      </c>
      <c r="AA1099" s="50" t="str">
        <f t="shared" si="70"/>
        <v>0-0.5</v>
      </c>
      <c r="AB1099" s="23">
        <v>2</v>
      </c>
      <c r="AC1099" s="30" t="str">
        <f>VLOOKUP(AB1099,[5]Key!$C$20:$D$29,2,FALSE)</f>
        <v>Manual Labour</v>
      </c>
      <c r="AD1099" s="23">
        <v>1</v>
      </c>
      <c r="AE1099" s="30" t="str">
        <f>VLOOKUP(AD1099,[5]Key!$E$20:$F$24,2,FALSE)</f>
        <v>&lt;300,000</v>
      </c>
      <c r="AF1099" s="23">
        <v>3</v>
      </c>
      <c r="AG1099" s="50">
        <v>4</v>
      </c>
      <c r="AH1099" s="50">
        <v>2</v>
      </c>
      <c r="AI1099" s="50">
        <v>1</v>
      </c>
      <c r="AJ1099" s="50">
        <v>5</v>
      </c>
      <c r="AK1099" s="46" t="s">
        <v>94</v>
      </c>
      <c r="AL1099" s="36">
        <v>1000</v>
      </c>
      <c r="AM1099" t="str">
        <f t="shared" si="71"/>
        <v>1000-2000</v>
      </c>
    </row>
    <row r="1100" spans="1:39" x14ac:dyDescent="0.2">
      <c r="A1100" s="44">
        <v>43758</v>
      </c>
      <c r="B1100" s="48">
        <v>0.3125</v>
      </c>
      <c r="C1100" s="48"/>
      <c r="D1100" s="48"/>
      <c r="E1100" s="13">
        <v>1</v>
      </c>
      <c r="F1100" s="38" t="str">
        <f>VLOOKUP(E1100,[5]Key!$A$17:$B$21,2,FALSE)</f>
        <v>Walking/Cycling</v>
      </c>
      <c r="G1100" s="49">
        <v>13</v>
      </c>
      <c r="H1100" s="39" t="str">
        <f>VLOOKUP(G1100,[5]Key!$A$2:$B$14,2,FALSE)</f>
        <v>Bicycles</v>
      </c>
      <c r="I1100" s="13" t="s">
        <v>109</v>
      </c>
      <c r="J1100" s="13">
        <v>1</v>
      </c>
      <c r="K1100" s="40" t="str">
        <f>VLOOKUP(J1100,[5]Key!$A$24:$B$29,2,FALSE)</f>
        <v>20-29</v>
      </c>
      <c r="L1100" s="13" t="s">
        <v>701</v>
      </c>
      <c r="M1100" s="23" t="s">
        <v>439</v>
      </c>
      <c r="N1100" s="13" t="s">
        <v>221</v>
      </c>
      <c r="O1100" s="46">
        <v>1</v>
      </c>
      <c r="P1100" s="30" t="str">
        <f>VLOOKUP(O1100,[5]Key!$E$2:$F$9,2,FALSE)</f>
        <v>Home</v>
      </c>
      <c r="Q1100" s="13" t="s">
        <v>446</v>
      </c>
      <c r="R1100" s="23" t="s">
        <v>439</v>
      </c>
      <c r="S1100" s="13" t="s">
        <v>221</v>
      </c>
      <c r="T1100" s="23">
        <v>6</v>
      </c>
      <c r="U1100" s="30" t="str">
        <f>VLOOKUP(T1100,[5]Key!$E$2:$F$9,2,FALSE)</f>
        <v>Leisure/Social</v>
      </c>
      <c r="V1100" s="30" t="str">
        <f t="shared" si="68"/>
        <v>Home-Leisure/Social</v>
      </c>
      <c r="W1100" s="23">
        <v>1000</v>
      </c>
      <c r="X1100" s="50">
        <v>10</v>
      </c>
      <c r="Y1100" s="50" t="str">
        <f t="shared" si="69"/>
        <v>10-20</v>
      </c>
      <c r="Z1100" s="50">
        <v>0.3</v>
      </c>
      <c r="AA1100" s="50" t="str">
        <f t="shared" si="70"/>
        <v>0-0.5</v>
      </c>
      <c r="AB1100" s="23">
        <v>10</v>
      </c>
      <c r="AC1100" s="30" t="str">
        <f>VLOOKUP(AB1100,[5]Key!$C$20:$D$29,2,FALSE)</f>
        <v>Other</v>
      </c>
      <c r="AD1100" s="23">
        <v>1</v>
      </c>
      <c r="AE1100" s="30" t="str">
        <f>VLOOKUP(AD1100,[5]Key!$E$20:$F$24,2,FALSE)</f>
        <v>&lt;300,000</v>
      </c>
      <c r="AF1100" s="23">
        <v>4</v>
      </c>
      <c r="AG1100" s="50">
        <v>1</v>
      </c>
      <c r="AH1100" s="50">
        <v>3</v>
      </c>
      <c r="AI1100" s="50">
        <v>5</v>
      </c>
      <c r="AJ1100" s="50">
        <v>2</v>
      </c>
      <c r="AK1100" s="46" t="s">
        <v>94</v>
      </c>
      <c r="AL1100" s="36">
        <v>5000</v>
      </c>
      <c r="AM1100" t="str">
        <f t="shared" si="71"/>
        <v>5000-10000</v>
      </c>
    </row>
    <row r="1101" spans="1:39" x14ac:dyDescent="0.2">
      <c r="A1101" s="44">
        <v>43758</v>
      </c>
      <c r="B1101" s="48">
        <v>0.71180555555555547</v>
      </c>
      <c r="C1101" s="48"/>
      <c r="D1101" s="48"/>
      <c r="E1101" s="13">
        <v>1</v>
      </c>
      <c r="F1101" s="38" t="str">
        <f>VLOOKUP(E1101,[5]Key!$A$17:$B$21,2,FALSE)</f>
        <v>Walking/Cycling</v>
      </c>
      <c r="G1101" s="49">
        <v>13</v>
      </c>
      <c r="H1101" s="39" t="str">
        <f>VLOOKUP(G1101,[5]Key!$A$2:$B$14,2,FALSE)</f>
        <v>Bicycles</v>
      </c>
      <c r="I1101" s="13" t="s">
        <v>109</v>
      </c>
      <c r="J1101" s="13">
        <v>1</v>
      </c>
      <c r="K1101" s="40" t="str">
        <f>VLOOKUP(J1101,[5]Key!$A$24:$B$29,2,FALSE)</f>
        <v>20-29</v>
      </c>
      <c r="L1101" s="13" t="s">
        <v>701</v>
      </c>
      <c r="M1101" s="23" t="s">
        <v>439</v>
      </c>
      <c r="N1101" s="13" t="s">
        <v>221</v>
      </c>
      <c r="O1101" s="46">
        <v>1</v>
      </c>
      <c r="P1101" s="30" t="str">
        <f>VLOOKUP(O1101,[5]Key!$E$2:$F$9,2,FALSE)</f>
        <v>Home</v>
      </c>
      <c r="Q1101" s="13" t="s">
        <v>446</v>
      </c>
      <c r="R1101" s="23" t="s">
        <v>439</v>
      </c>
      <c r="S1101" s="13" t="s">
        <v>221</v>
      </c>
      <c r="T1101" s="23">
        <v>2</v>
      </c>
      <c r="U1101" s="30" t="str">
        <f>VLOOKUP(T1101,[5]Key!$E$2:$F$9,2,FALSE)</f>
        <v>Work</v>
      </c>
      <c r="V1101" s="30" t="str">
        <f t="shared" si="68"/>
        <v>Home-Work</v>
      </c>
      <c r="W1101" s="23">
        <v>2000</v>
      </c>
      <c r="X1101" s="50"/>
      <c r="Y1101" s="50" t="str">
        <f t="shared" si="69"/>
        <v>0-10</v>
      </c>
      <c r="Z1101" s="50">
        <v>0.7</v>
      </c>
      <c r="AA1101" s="50" t="str">
        <f t="shared" si="70"/>
        <v>0.5-1.0</v>
      </c>
      <c r="AB1101" s="23">
        <v>6</v>
      </c>
      <c r="AC1101" s="30" t="str">
        <f>VLOOKUP(AB1101,[5]Key!$C$20:$D$29,2,FALSE)</f>
        <v>Businessman</v>
      </c>
      <c r="AD1101" s="23">
        <v>1</v>
      </c>
      <c r="AE1101" s="30" t="str">
        <f>VLOOKUP(AD1101,[5]Key!$E$20:$F$24,2,FALSE)</f>
        <v>&lt;300,000</v>
      </c>
      <c r="AF1101" s="23">
        <v>2</v>
      </c>
      <c r="AG1101" s="50">
        <v>1</v>
      </c>
      <c r="AH1101" s="50">
        <v>4</v>
      </c>
      <c r="AI1101" s="50">
        <v>3</v>
      </c>
      <c r="AJ1101" s="50">
        <v>5</v>
      </c>
      <c r="AK1101" s="46" t="s">
        <v>94</v>
      </c>
      <c r="AL1101" s="36">
        <v>1000</v>
      </c>
      <c r="AM1101" t="str">
        <f t="shared" si="71"/>
        <v>1000-2000</v>
      </c>
    </row>
    <row r="1102" spans="1:39" x14ac:dyDescent="0.2">
      <c r="A1102" s="44">
        <v>43758</v>
      </c>
      <c r="B1102" s="48">
        <v>0.72569444444444453</v>
      </c>
      <c r="C1102" s="48"/>
      <c r="D1102" s="48"/>
      <c r="E1102" s="13">
        <v>1</v>
      </c>
      <c r="F1102" s="38" t="str">
        <f>VLOOKUP(E1102,[5]Key!$A$17:$B$21,2,FALSE)</f>
        <v>Walking/Cycling</v>
      </c>
      <c r="G1102" s="49">
        <v>13</v>
      </c>
      <c r="H1102" s="39" t="str">
        <f>VLOOKUP(G1102,[5]Key!$A$2:$B$14,2,FALSE)</f>
        <v>Bicycles</v>
      </c>
      <c r="I1102" s="13" t="s">
        <v>109</v>
      </c>
      <c r="J1102" s="13">
        <v>1</v>
      </c>
      <c r="K1102" s="40" t="str">
        <f>VLOOKUP(J1102,[5]Key!$A$24:$B$29,2,FALSE)</f>
        <v>20-29</v>
      </c>
      <c r="L1102" s="13" t="s">
        <v>709</v>
      </c>
      <c r="M1102" s="23" t="s">
        <v>439</v>
      </c>
      <c r="N1102" s="13" t="s">
        <v>221</v>
      </c>
      <c r="O1102" s="46">
        <v>1</v>
      </c>
      <c r="P1102" s="30" t="str">
        <f>VLOOKUP(O1102,[5]Key!$E$2:$F$9,2,FALSE)</f>
        <v>Home</v>
      </c>
      <c r="Q1102" s="13" t="s">
        <v>446</v>
      </c>
      <c r="R1102" s="23" t="s">
        <v>439</v>
      </c>
      <c r="S1102" s="13" t="s">
        <v>221</v>
      </c>
      <c r="T1102" s="23">
        <v>2</v>
      </c>
      <c r="U1102" s="30" t="str">
        <f>VLOOKUP(T1102,[5]Key!$E$2:$F$9,2,FALSE)</f>
        <v>Work</v>
      </c>
      <c r="V1102" s="30" t="str">
        <f t="shared" si="68"/>
        <v>Home-Work</v>
      </c>
      <c r="W1102" s="23">
        <v>1000</v>
      </c>
      <c r="X1102" s="50">
        <v>4</v>
      </c>
      <c r="Y1102" s="50" t="str">
        <f t="shared" si="69"/>
        <v>0-10</v>
      </c>
      <c r="Z1102" s="50">
        <v>0.2</v>
      </c>
      <c r="AA1102" s="50" t="str">
        <f t="shared" si="70"/>
        <v>0-0.5</v>
      </c>
      <c r="AB1102" s="23">
        <v>10</v>
      </c>
      <c r="AC1102" s="30" t="str">
        <f>VLOOKUP(AB1102,[5]Key!$C$20:$D$29,2,FALSE)</f>
        <v>Other</v>
      </c>
      <c r="AD1102" s="23">
        <v>1</v>
      </c>
      <c r="AE1102" s="30" t="str">
        <f>VLOOKUP(AD1102,[5]Key!$E$20:$F$24,2,FALSE)</f>
        <v>&lt;300,000</v>
      </c>
      <c r="AF1102" s="23"/>
      <c r="AG1102" s="50"/>
      <c r="AH1102" s="50"/>
      <c r="AI1102" s="50"/>
      <c r="AJ1102" s="50"/>
      <c r="AK1102" s="46" t="s">
        <v>94</v>
      </c>
      <c r="AL1102" s="36"/>
      <c r="AM1102" t="str">
        <f t="shared" si="71"/>
        <v>0-1000</v>
      </c>
    </row>
    <row r="1103" spans="1:39" x14ac:dyDescent="0.2">
      <c r="A1103" s="44">
        <v>43758</v>
      </c>
      <c r="B1103" s="48">
        <v>0.73749999999999993</v>
      </c>
      <c r="C1103" s="48"/>
      <c r="D1103" s="48"/>
      <c r="E1103" s="13">
        <v>1</v>
      </c>
      <c r="F1103" s="38" t="str">
        <f>VLOOKUP(E1103,[5]Key!$A$17:$B$21,2,FALSE)</f>
        <v>Walking/Cycling</v>
      </c>
      <c r="G1103" s="49">
        <v>13</v>
      </c>
      <c r="H1103" s="39" t="str">
        <f>VLOOKUP(G1103,[5]Key!$A$2:$B$14,2,FALSE)</f>
        <v>Bicycles</v>
      </c>
      <c r="I1103" s="13" t="s">
        <v>109</v>
      </c>
      <c r="J1103" s="13">
        <v>1</v>
      </c>
      <c r="K1103" s="40" t="str">
        <f>VLOOKUP(J1103,[5]Key!$A$24:$B$29,2,FALSE)</f>
        <v>20-29</v>
      </c>
      <c r="L1103" s="13" t="s">
        <v>701</v>
      </c>
      <c r="M1103" s="23" t="s">
        <v>439</v>
      </c>
      <c r="N1103" s="13" t="s">
        <v>221</v>
      </c>
      <c r="O1103" s="46">
        <v>1</v>
      </c>
      <c r="P1103" s="30" t="str">
        <f>VLOOKUP(O1103,[5]Key!$E$2:$F$9,2,FALSE)</f>
        <v>Home</v>
      </c>
      <c r="Q1103" s="13" t="s">
        <v>446</v>
      </c>
      <c r="R1103" s="23" t="s">
        <v>439</v>
      </c>
      <c r="S1103" s="13" t="s">
        <v>221</v>
      </c>
      <c r="T1103" s="23">
        <v>2</v>
      </c>
      <c r="U1103" s="30" t="str">
        <f>VLOOKUP(T1103,[5]Key!$E$2:$F$9,2,FALSE)</f>
        <v>Work</v>
      </c>
      <c r="V1103" s="30" t="str">
        <f t="shared" si="68"/>
        <v>Home-Work</v>
      </c>
      <c r="W1103" s="23">
        <v>2000</v>
      </c>
      <c r="X1103" s="50">
        <v>18</v>
      </c>
      <c r="Y1103" s="50" t="str">
        <f t="shared" si="69"/>
        <v>10-20</v>
      </c>
      <c r="Z1103" s="50">
        <v>0.3</v>
      </c>
      <c r="AA1103" s="50" t="str">
        <f t="shared" si="70"/>
        <v>0-0.5</v>
      </c>
      <c r="AB1103" s="23">
        <v>10</v>
      </c>
      <c r="AC1103" s="30" t="str">
        <f>VLOOKUP(AB1103,[5]Key!$C$20:$D$29,2,FALSE)</f>
        <v>Other</v>
      </c>
      <c r="AD1103" s="23">
        <v>2</v>
      </c>
      <c r="AE1103" s="30" t="str">
        <f>VLOOKUP(AD1103,[5]Key!$E$20:$F$24,2,FALSE)</f>
        <v>300,000-500,000</v>
      </c>
      <c r="AF1103" s="23">
        <v>4</v>
      </c>
      <c r="AG1103" s="50">
        <v>2</v>
      </c>
      <c r="AH1103" s="50">
        <v>3</v>
      </c>
      <c r="AI1103" s="50">
        <v>1</v>
      </c>
      <c r="AJ1103" s="50">
        <v>5</v>
      </c>
      <c r="AK1103" s="46" t="s">
        <v>94</v>
      </c>
      <c r="AL1103" s="36">
        <v>1000</v>
      </c>
      <c r="AM1103" t="str">
        <f t="shared" si="71"/>
        <v>1000-2000</v>
      </c>
    </row>
    <row r="1104" spans="1:39" x14ac:dyDescent="0.2">
      <c r="A1104" s="44">
        <v>43758</v>
      </c>
      <c r="B1104" s="48">
        <v>0.74097222222222225</v>
      </c>
      <c r="C1104" s="48"/>
      <c r="D1104" s="48"/>
      <c r="E1104" s="13">
        <v>1</v>
      </c>
      <c r="F1104" s="38" t="str">
        <f>VLOOKUP(E1104,[5]Key!$A$17:$B$21,2,FALSE)</f>
        <v>Walking/Cycling</v>
      </c>
      <c r="G1104" s="49">
        <v>13</v>
      </c>
      <c r="H1104" s="39" t="str">
        <f>VLOOKUP(G1104,[5]Key!$A$2:$B$14,2,FALSE)</f>
        <v>Bicycles</v>
      </c>
      <c r="I1104" s="13" t="s">
        <v>109</v>
      </c>
      <c r="J1104" s="13">
        <v>1</v>
      </c>
      <c r="K1104" s="40" t="str">
        <f>VLOOKUP(J1104,[5]Key!$A$24:$B$29,2,FALSE)</f>
        <v>20-29</v>
      </c>
      <c r="L1104" s="13" t="s">
        <v>709</v>
      </c>
      <c r="M1104" s="23" t="s">
        <v>439</v>
      </c>
      <c r="N1104" s="13" t="s">
        <v>221</v>
      </c>
      <c r="O1104" s="46">
        <v>1</v>
      </c>
      <c r="P1104" s="30" t="str">
        <f>VLOOKUP(O1104,[5]Key!$E$2:$F$9,2,FALSE)</f>
        <v>Home</v>
      </c>
      <c r="Q1104" s="13" t="s">
        <v>446</v>
      </c>
      <c r="R1104" s="23" t="s">
        <v>439</v>
      </c>
      <c r="S1104" s="13" t="s">
        <v>221</v>
      </c>
      <c r="T1104" s="23">
        <v>2</v>
      </c>
      <c r="U1104" s="30" t="str">
        <f>VLOOKUP(T1104,[5]Key!$E$2:$F$9,2,FALSE)</f>
        <v>Work</v>
      </c>
      <c r="V1104" s="30" t="str">
        <f t="shared" si="68"/>
        <v>Home-Work</v>
      </c>
      <c r="W1104" s="23">
        <v>1000</v>
      </c>
      <c r="X1104" s="50">
        <v>5</v>
      </c>
      <c r="Y1104" s="50" t="str">
        <f t="shared" si="69"/>
        <v>0-10</v>
      </c>
      <c r="Z1104" s="50">
        <v>0.2</v>
      </c>
      <c r="AA1104" s="50" t="str">
        <f t="shared" si="70"/>
        <v>0-0.5</v>
      </c>
      <c r="AB1104" s="23">
        <v>10</v>
      </c>
      <c r="AC1104" s="30" t="str">
        <f>VLOOKUP(AB1104,[5]Key!$C$20:$D$29,2,FALSE)</f>
        <v>Other</v>
      </c>
      <c r="AD1104" s="23">
        <v>1</v>
      </c>
      <c r="AE1104" s="30" t="str">
        <f>VLOOKUP(AD1104,[5]Key!$E$20:$F$24,2,FALSE)</f>
        <v>&lt;300,000</v>
      </c>
      <c r="AF1104" s="23">
        <v>2</v>
      </c>
      <c r="AG1104" s="50">
        <v>3</v>
      </c>
      <c r="AH1104" s="50">
        <v>4</v>
      </c>
      <c r="AI1104" s="50">
        <v>1</v>
      </c>
      <c r="AJ1104" s="50">
        <v>5</v>
      </c>
      <c r="AK1104" s="46" t="s">
        <v>94</v>
      </c>
      <c r="AL1104" s="36">
        <v>1000</v>
      </c>
      <c r="AM1104" t="str">
        <f t="shared" si="71"/>
        <v>1000-2000</v>
      </c>
    </row>
    <row r="1105" spans="1:39" x14ac:dyDescent="0.2">
      <c r="A1105" s="44">
        <v>43757</v>
      </c>
      <c r="B1105" s="48">
        <v>0.35972222222222222</v>
      </c>
      <c r="C1105" s="48"/>
      <c r="D1105" s="48" t="s">
        <v>150</v>
      </c>
      <c r="E1105" s="13">
        <v>2</v>
      </c>
      <c r="F1105" s="38" t="str">
        <f>VLOOKUP(E1105,[5]Key!$A$17:$B$21,2,FALSE)</f>
        <v>Road Vehicle</v>
      </c>
      <c r="G1105" s="49">
        <v>1</v>
      </c>
      <c r="H1105" s="39" t="str">
        <f>VLOOKUP(G1105,[5]Key!$A$2:$B$14,2,FALSE)</f>
        <v>Car</v>
      </c>
      <c r="I1105" s="13" t="s">
        <v>156</v>
      </c>
      <c r="J1105" s="13">
        <v>1</v>
      </c>
      <c r="K1105" s="40" t="str">
        <f>VLOOKUP(J1105,[5]Key!$A$24:$B$29,2,FALSE)</f>
        <v>20-29</v>
      </c>
      <c r="L1105" s="13" t="s">
        <v>715</v>
      </c>
      <c r="M1105" s="23" t="s">
        <v>441</v>
      </c>
      <c r="N1105" s="13" t="s">
        <v>221</v>
      </c>
      <c r="O1105" s="46">
        <v>1</v>
      </c>
      <c r="P1105" s="30" t="str">
        <f>VLOOKUP(O1105,[5]Key!$E$2:$F$9,2,FALSE)</f>
        <v>Home</v>
      </c>
      <c r="Q1105" s="13" t="s">
        <v>446</v>
      </c>
      <c r="R1105" s="23" t="s">
        <v>439</v>
      </c>
      <c r="S1105" s="13" t="s">
        <v>221</v>
      </c>
      <c r="T1105" s="23">
        <v>8</v>
      </c>
      <c r="U1105" s="30" t="str">
        <f>VLOOKUP(T1105,[5]Key!$E$2:$F$9,2,FALSE)</f>
        <v>Others</v>
      </c>
      <c r="V1105" s="30" t="str">
        <f t="shared" si="68"/>
        <v>Home-Others</v>
      </c>
      <c r="W1105" s="23">
        <v>2000</v>
      </c>
      <c r="X1105" s="50">
        <v>15</v>
      </c>
      <c r="Y1105" s="50" t="str">
        <f t="shared" si="69"/>
        <v>10-20</v>
      </c>
      <c r="Z1105" s="50">
        <v>0.2</v>
      </c>
      <c r="AA1105" s="50" t="str">
        <f t="shared" si="70"/>
        <v>0-0.5</v>
      </c>
      <c r="AB1105" s="23">
        <v>7</v>
      </c>
      <c r="AC1105" s="30" t="str">
        <f>VLOOKUP(AB1105,[5]Key!$C$20:$D$29,2,FALSE)</f>
        <v>Farmer</v>
      </c>
      <c r="AD1105" s="23">
        <v>1</v>
      </c>
      <c r="AE1105" s="30" t="str">
        <f>VLOOKUP(AD1105,[5]Key!$E$20:$F$24,2,FALSE)</f>
        <v>&lt;300,000</v>
      </c>
      <c r="AF1105" s="23">
        <v>2</v>
      </c>
      <c r="AG1105" s="50">
        <v>1</v>
      </c>
      <c r="AH1105" s="50">
        <v>3</v>
      </c>
      <c r="AI1105" s="50">
        <v>4</v>
      </c>
      <c r="AJ1105" s="50">
        <v>5</v>
      </c>
      <c r="AK1105" s="46" t="s">
        <v>94</v>
      </c>
      <c r="AL1105" s="36">
        <v>2000</v>
      </c>
      <c r="AM1105" t="str">
        <f t="shared" si="71"/>
        <v>2000-3000</v>
      </c>
    </row>
    <row r="1106" spans="1:39" x14ac:dyDescent="0.2">
      <c r="A1106" s="44">
        <v>43757</v>
      </c>
      <c r="B1106" s="48"/>
      <c r="C1106" s="48"/>
      <c r="D1106" s="48" t="s">
        <v>150</v>
      </c>
      <c r="E1106" s="13">
        <v>2</v>
      </c>
      <c r="F1106" s="38" t="str">
        <f>VLOOKUP(E1106,[5]Key!$A$17:$B$21,2,FALSE)</f>
        <v>Road Vehicle</v>
      </c>
      <c r="G1106" s="49">
        <v>1</v>
      </c>
      <c r="H1106" s="39" t="str">
        <f>VLOOKUP(G1106,[5]Key!$A$2:$B$14,2,FALSE)</f>
        <v>Car</v>
      </c>
      <c r="I1106" s="13" t="s">
        <v>156</v>
      </c>
      <c r="J1106" s="13">
        <v>1</v>
      </c>
      <c r="K1106" s="40" t="str">
        <f>VLOOKUP(J1106,[5]Key!$A$24:$B$29,2,FALSE)</f>
        <v>20-29</v>
      </c>
      <c r="L1106" s="13" t="s">
        <v>439</v>
      </c>
      <c r="M1106" s="23" t="s">
        <v>439</v>
      </c>
      <c r="N1106" s="13" t="s">
        <v>221</v>
      </c>
      <c r="O1106" s="46">
        <v>2</v>
      </c>
      <c r="P1106" s="30" t="str">
        <f>VLOOKUP(O1106,[5]Key!$E$2:$F$9,2,FALSE)</f>
        <v>Work</v>
      </c>
      <c r="Q1106" s="13" t="s">
        <v>716</v>
      </c>
      <c r="R1106" s="23" t="s">
        <v>421</v>
      </c>
      <c r="S1106" s="13" t="s">
        <v>221</v>
      </c>
      <c r="T1106" s="23">
        <v>1</v>
      </c>
      <c r="U1106" s="30" t="str">
        <f>VLOOKUP(T1106,[5]Key!$E$2:$F$9,2,FALSE)</f>
        <v>Home</v>
      </c>
      <c r="V1106" s="30" t="str">
        <f t="shared" si="68"/>
        <v>Work-Home</v>
      </c>
      <c r="W1106" s="23">
        <v>7000</v>
      </c>
      <c r="X1106" s="50"/>
      <c r="Y1106" s="50" t="str">
        <f t="shared" si="69"/>
        <v>0-10</v>
      </c>
      <c r="Z1106" s="50">
        <v>0.8</v>
      </c>
      <c r="AA1106" s="50" t="str">
        <f t="shared" si="70"/>
        <v>0.5-1.0</v>
      </c>
      <c r="AB1106" s="23">
        <v>6</v>
      </c>
      <c r="AC1106" s="30" t="str">
        <f>VLOOKUP(AB1106,[5]Key!$C$20:$D$29,2,FALSE)</f>
        <v>Businessman</v>
      </c>
      <c r="AD1106" s="23">
        <v>5</v>
      </c>
      <c r="AE1106" s="30" t="str">
        <f>VLOOKUP(AD1106,[5]Key!$E$20:$F$24,2,FALSE)</f>
        <v>&gt;1,000,000</v>
      </c>
      <c r="AF1106" s="23">
        <v>1</v>
      </c>
      <c r="AG1106" s="50">
        <v>5</v>
      </c>
      <c r="AH1106" s="50">
        <v>2</v>
      </c>
      <c r="AI1106" s="50">
        <v>3</v>
      </c>
      <c r="AJ1106" s="50">
        <v>4</v>
      </c>
      <c r="AK1106" s="46" t="s">
        <v>94</v>
      </c>
      <c r="AL1106" s="36">
        <v>2000</v>
      </c>
      <c r="AM1106" t="str">
        <f t="shared" si="71"/>
        <v>2000-3000</v>
      </c>
    </row>
    <row r="1107" spans="1:39" x14ac:dyDescent="0.2">
      <c r="A1107" s="44">
        <v>43757</v>
      </c>
      <c r="B1107" s="48">
        <v>0.46597222222222223</v>
      </c>
      <c r="C1107" s="48"/>
      <c r="D1107" s="48" t="s">
        <v>150</v>
      </c>
      <c r="E1107" s="13">
        <v>2</v>
      </c>
      <c r="F1107" s="38" t="str">
        <f>VLOOKUP(E1107,[5]Key!$A$17:$B$21,2,FALSE)</f>
        <v>Road Vehicle</v>
      </c>
      <c r="G1107" s="49">
        <v>1</v>
      </c>
      <c r="H1107" s="39" t="str">
        <f>VLOOKUP(G1107,[5]Key!$A$2:$B$14,2,FALSE)</f>
        <v>Car</v>
      </c>
      <c r="I1107" s="13" t="s">
        <v>156</v>
      </c>
      <c r="J1107" s="13">
        <v>1</v>
      </c>
      <c r="K1107" s="40" t="str">
        <f>VLOOKUP(J1107,[5]Key!$A$24:$B$29,2,FALSE)</f>
        <v>20-29</v>
      </c>
      <c r="L1107" s="13" t="s">
        <v>717</v>
      </c>
      <c r="M1107" s="23" t="s">
        <v>421</v>
      </c>
      <c r="N1107" s="13" t="s">
        <v>221</v>
      </c>
      <c r="O1107" s="46">
        <v>1</v>
      </c>
      <c r="P1107" s="30" t="str">
        <f>VLOOKUP(O1107,[5]Key!$E$2:$F$9,2,FALSE)</f>
        <v>Home</v>
      </c>
      <c r="Q1107" s="13" t="s">
        <v>446</v>
      </c>
      <c r="R1107" s="23" t="s">
        <v>439</v>
      </c>
      <c r="S1107" s="13" t="s">
        <v>221</v>
      </c>
      <c r="T1107" s="23">
        <v>2</v>
      </c>
      <c r="U1107" s="30" t="str">
        <f>VLOOKUP(T1107,[5]Key!$E$2:$F$9,2,FALSE)</f>
        <v>Work</v>
      </c>
      <c r="V1107" s="30" t="str">
        <f t="shared" si="68"/>
        <v>Home-Work</v>
      </c>
      <c r="W1107" s="23">
        <v>10000</v>
      </c>
      <c r="X1107" s="50"/>
      <c r="Y1107" s="50" t="str">
        <f t="shared" si="69"/>
        <v>0-10</v>
      </c>
      <c r="Z1107" s="50">
        <v>1.5</v>
      </c>
      <c r="AA1107" s="50" t="str">
        <f t="shared" si="70"/>
        <v>1.0-2.0</v>
      </c>
      <c r="AB1107" s="23">
        <v>2</v>
      </c>
      <c r="AC1107" s="30" t="str">
        <f>VLOOKUP(AB1107,[5]Key!$C$20:$D$29,2,FALSE)</f>
        <v>Manual Labour</v>
      </c>
      <c r="AD1107" s="23">
        <v>1</v>
      </c>
      <c r="AE1107" s="30" t="str">
        <f>VLOOKUP(AD1107,[5]Key!$E$20:$F$24,2,FALSE)</f>
        <v>&lt;300,000</v>
      </c>
      <c r="AF1107" s="23">
        <v>3</v>
      </c>
      <c r="AG1107" s="50">
        <v>2</v>
      </c>
      <c r="AH1107" s="50">
        <v>4</v>
      </c>
      <c r="AI1107" s="50">
        <v>1</v>
      </c>
      <c r="AJ1107" s="50">
        <v>5</v>
      </c>
      <c r="AK1107" s="46" t="s">
        <v>94</v>
      </c>
      <c r="AL1107" s="36"/>
      <c r="AM1107" t="str">
        <f t="shared" si="71"/>
        <v>0-1000</v>
      </c>
    </row>
    <row r="1108" spans="1:39" x14ac:dyDescent="0.2">
      <c r="A1108" s="44">
        <v>43758</v>
      </c>
      <c r="B1108" s="48">
        <v>0.42083333333333334</v>
      </c>
      <c r="C1108" s="48"/>
      <c r="D1108" s="48" t="s">
        <v>97</v>
      </c>
      <c r="E1108" s="13">
        <v>2</v>
      </c>
      <c r="F1108" s="38" t="str">
        <f>VLOOKUP(E1108,[5]Key!$A$17:$B$21,2,FALSE)</f>
        <v>Road Vehicle</v>
      </c>
      <c r="G1108" s="49">
        <v>1</v>
      </c>
      <c r="H1108" s="39" t="str">
        <f>VLOOKUP(G1108,[5]Key!$A$2:$B$14,2,FALSE)</f>
        <v>Car</v>
      </c>
      <c r="I1108" s="13" t="s">
        <v>156</v>
      </c>
      <c r="J1108" s="13">
        <v>1</v>
      </c>
      <c r="K1108" s="40" t="str">
        <f>VLOOKUP(J1108,[5]Key!$A$24:$B$29,2,FALSE)</f>
        <v>20-29</v>
      </c>
      <c r="L1108" s="13" t="s">
        <v>718</v>
      </c>
      <c r="M1108" s="23" t="s">
        <v>439</v>
      </c>
      <c r="N1108" s="13" t="s">
        <v>221</v>
      </c>
      <c r="O1108" s="46">
        <v>1</v>
      </c>
      <c r="P1108" s="30" t="str">
        <f>VLOOKUP(O1108,[5]Key!$E$2:$F$9,2,FALSE)</f>
        <v>Home</v>
      </c>
      <c r="Q1108" s="13" t="s">
        <v>446</v>
      </c>
      <c r="R1108" s="23" t="s">
        <v>439</v>
      </c>
      <c r="S1108" s="13" t="s">
        <v>221</v>
      </c>
      <c r="T1108" s="23">
        <v>2</v>
      </c>
      <c r="U1108" s="30" t="str">
        <f>VLOOKUP(T1108,[5]Key!$E$2:$F$9,2,FALSE)</f>
        <v>Work</v>
      </c>
      <c r="V1108" s="30" t="str">
        <f t="shared" si="68"/>
        <v>Home-Work</v>
      </c>
      <c r="W1108" s="23">
        <v>10000</v>
      </c>
      <c r="X1108" s="50"/>
      <c r="Y1108" s="50" t="str">
        <f t="shared" si="69"/>
        <v>0-10</v>
      </c>
      <c r="Z1108" s="50">
        <v>0.3</v>
      </c>
      <c r="AA1108" s="50" t="str">
        <f t="shared" si="70"/>
        <v>0-0.5</v>
      </c>
      <c r="AB1108" s="23">
        <v>4</v>
      </c>
      <c r="AC1108" s="30" t="str">
        <f>VLOOKUP(AB1108,[5]Key!$C$20:$D$29,2,FALSE)</f>
        <v>Office Worker</v>
      </c>
      <c r="AD1108" s="23">
        <v>2</v>
      </c>
      <c r="AE1108" s="30" t="str">
        <f>VLOOKUP(AD1108,[5]Key!$E$20:$F$24,2,FALSE)</f>
        <v>300,000-500,000</v>
      </c>
      <c r="AF1108" s="23">
        <v>3</v>
      </c>
      <c r="AG1108" s="50">
        <v>1</v>
      </c>
      <c r="AH1108" s="50">
        <v>2</v>
      </c>
      <c r="AI1108" s="50">
        <v>5</v>
      </c>
      <c r="AJ1108" s="50">
        <v>4</v>
      </c>
      <c r="AK1108" s="46" t="s">
        <v>94</v>
      </c>
      <c r="AL1108" s="36">
        <v>1000</v>
      </c>
      <c r="AM1108" t="str">
        <f t="shared" si="71"/>
        <v>1000-2000</v>
      </c>
    </row>
    <row r="1109" spans="1:39" x14ac:dyDescent="0.2">
      <c r="A1109" s="44">
        <v>43758</v>
      </c>
      <c r="B1109" s="48">
        <v>0.42430555555555555</v>
      </c>
      <c r="C1109" s="48"/>
      <c r="D1109" s="48" t="s">
        <v>150</v>
      </c>
      <c r="E1109" s="13">
        <v>2</v>
      </c>
      <c r="F1109" s="38" t="str">
        <f>VLOOKUP(E1109,[5]Key!$A$17:$B$21,2,FALSE)</f>
        <v>Road Vehicle</v>
      </c>
      <c r="G1109" s="49">
        <v>1</v>
      </c>
      <c r="H1109" s="39" t="str">
        <f>VLOOKUP(G1109,[5]Key!$A$2:$B$14,2,FALSE)</f>
        <v>Car</v>
      </c>
      <c r="I1109" s="13" t="s">
        <v>156</v>
      </c>
      <c r="J1109" s="13">
        <v>1</v>
      </c>
      <c r="K1109" s="40" t="str">
        <f>VLOOKUP(J1109,[5]Key!$A$24:$B$29,2,FALSE)</f>
        <v>20-29</v>
      </c>
      <c r="L1109" s="13" t="s">
        <v>446</v>
      </c>
      <c r="M1109" s="23" t="s">
        <v>439</v>
      </c>
      <c r="N1109" s="13" t="s">
        <v>221</v>
      </c>
      <c r="O1109" s="46">
        <v>1</v>
      </c>
      <c r="P1109" s="30" t="str">
        <f>VLOOKUP(O1109,[5]Key!$E$2:$F$9,2,FALSE)</f>
        <v>Home</v>
      </c>
      <c r="Q1109" s="13" t="s">
        <v>719</v>
      </c>
      <c r="R1109" s="23" t="s">
        <v>421</v>
      </c>
      <c r="S1109" s="13" t="s">
        <v>221</v>
      </c>
      <c r="T1109" s="23">
        <v>3</v>
      </c>
      <c r="U1109" s="30" t="str">
        <f>VLOOKUP(T1109,[5]Key!$E$2:$F$9,2,FALSE)</f>
        <v>Study</v>
      </c>
      <c r="V1109" s="30" t="str">
        <f t="shared" si="68"/>
        <v>Home-Study</v>
      </c>
      <c r="W1109" s="23">
        <v>8000</v>
      </c>
      <c r="X1109" s="50"/>
      <c r="Y1109" s="50" t="str">
        <f t="shared" si="69"/>
        <v>0-10</v>
      </c>
      <c r="Z1109" s="50">
        <v>0.8</v>
      </c>
      <c r="AA1109" s="50" t="str">
        <f t="shared" si="70"/>
        <v>0.5-1.0</v>
      </c>
      <c r="AB1109" s="23">
        <v>8</v>
      </c>
      <c r="AC1109" s="30" t="str">
        <f>VLOOKUP(AB1109,[5]Key!$C$20:$D$29,2,FALSE)</f>
        <v>Student</v>
      </c>
      <c r="AD1109" s="23">
        <v>1</v>
      </c>
      <c r="AE1109" s="30" t="str">
        <f>VLOOKUP(AD1109,[5]Key!$E$20:$F$24,2,FALSE)</f>
        <v>&lt;300,000</v>
      </c>
      <c r="AF1109" s="23">
        <v>2</v>
      </c>
      <c r="AG1109" s="50">
        <v>3</v>
      </c>
      <c r="AH1109" s="50">
        <v>5</v>
      </c>
      <c r="AI1109" s="50">
        <v>1</v>
      </c>
      <c r="AJ1109" s="50">
        <v>4</v>
      </c>
      <c r="AK1109" s="46" t="s">
        <v>94</v>
      </c>
      <c r="AL1109" s="36">
        <v>500</v>
      </c>
      <c r="AM1109" t="str">
        <f t="shared" si="71"/>
        <v>0-1000</v>
      </c>
    </row>
    <row r="1110" spans="1:39" x14ac:dyDescent="0.2">
      <c r="A1110" s="44">
        <v>43758</v>
      </c>
      <c r="B1110" s="48">
        <v>0.43888888888888888</v>
      </c>
      <c r="C1110" s="48"/>
      <c r="D1110" s="48" t="s">
        <v>150</v>
      </c>
      <c r="E1110" s="13">
        <v>2</v>
      </c>
      <c r="F1110" s="38" t="str">
        <f>VLOOKUP(E1110,[5]Key!$A$17:$B$21,2,FALSE)</f>
        <v>Road Vehicle</v>
      </c>
      <c r="G1110" s="49">
        <v>1</v>
      </c>
      <c r="H1110" s="39" t="str">
        <f>VLOOKUP(G1110,[5]Key!$A$2:$B$14,2,FALSE)</f>
        <v>Car</v>
      </c>
      <c r="I1110" s="13" t="s">
        <v>156</v>
      </c>
      <c r="J1110" s="13">
        <v>1</v>
      </c>
      <c r="K1110" s="40" t="str">
        <f>VLOOKUP(J1110,[5]Key!$A$24:$B$29,2,FALSE)</f>
        <v>20-29</v>
      </c>
      <c r="L1110" s="13" t="s">
        <v>720</v>
      </c>
      <c r="M1110" s="23" t="s">
        <v>421</v>
      </c>
      <c r="N1110" s="13" t="s">
        <v>221</v>
      </c>
      <c r="O1110" s="46">
        <v>8</v>
      </c>
      <c r="P1110" s="30" t="str">
        <f>VLOOKUP(O1110,[5]Key!$E$2:$F$9,2,FALSE)</f>
        <v>Others</v>
      </c>
      <c r="Q1110" s="13" t="s">
        <v>721</v>
      </c>
      <c r="R1110" s="23" t="s">
        <v>452</v>
      </c>
      <c r="S1110" s="13" t="s">
        <v>221</v>
      </c>
      <c r="T1110" s="23">
        <v>8</v>
      </c>
      <c r="U1110" s="30" t="str">
        <f>VLOOKUP(T1110,[5]Key!$E$2:$F$9,2,FALSE)</f>
        <v>Others</v>
      </c>
      <c r="V1110" s="30" t="str">
        <f t="shared" si="68"/>
        <v>Others-Others</v>
      </c>
      <c r="W1110" s="23">
        <v>19000</v>
      </c>
      <c r="X1110" s="50"/>
      <c r="Y1110" s="50" t="str">
        <f t="shared" si="69"/>
        <v>0-10</v>
      </c>
      <c r="Z1110" s="50"/>
      <c r="AA1110" s="50" t="str">
        <f t="shared" si="70"/>
        <v>0-0.5</v>
      </c>
      <c r="AB1110" s="23">
        <v>10</v>
      </c>
      <c r="AC1110" s="30" t="str">
        <f>VLOOKUP(AB1110,[5]Key!$C$20:$D$29,2,FALSE)</f>
        <v>Other</v>
      </c>
      <c r="AD1110" s="23">
        <v>3</v>
      </c>
      <c r="AE1110" s="30" t="str">
        <f>VLOOKUP(AD1110,[5]Key!$E$20:$F$24,2,FALSE)</f>
        <v>500,000-750,000</v>
      </c>
      <c r="AF1110" s="23"/>
      <c r="AG1110" s="50"/>
      <c r="AH1110" s="50"/>
      <c r="AI1110" s="50"/>
      <c r="AJ1110" s="50"/>
      <c r="AK1110" s="46" t="s">
        <v>94</v>
      </c>
      <c r="AL1110" s="36"/>
      <c r="AM1110" t="str">
        <f t="shared" si="71"/>
        <v>0-1000</v>
      </c>
    </row>
    <row r="1111" spans="1:39" x14ac:dyDescent="0.2">
      <c r="A1111" s="44">
        <v>43758</v>
      </c>
      <c r="B1111" s="48">
        <v>0.58263888888888882</v>
      </c>
      <c r="C1111" s="48"/>
      <c r="D1111" s="48" t="s">
        <v>150</v>
      </c>
      <c r="E1111" s="13">
        <v>2</v>
      </c>
      <c r="F1111" s="38" t="str">
        <f>VLOOKUP(E1111,[5]Key!$A$17:$B$21,2,FALSE)</f>
        <v>Road Vehicle</v>
      </c>
      <c r="G1111" s="49">
        <v>1</v>
      </c>
      <c r="H1111" s="39" t="str">
        <f>VLOOKUP(G1111,[5]Key!$A$2:$B$14,2,FALSE)</f>
        <v>Car</v>
      </c>
      <c r="I1111" s="13" t="s">
        <v>156</v>
      </c>
      <c r="J1111" s="13">
        <v>1</v>
      </c>
      <c r="K1111" s="40" t="str">
        <f>VLOOKUP(J1111,[5]Key!$A$24:$B$29,2,FALSE)</f>
        <v>20-29</v>
      </c>
      <c r="L1111" s="13" t="s">
        <v>446</v>
      </c>
      <c r="M1111" s="23" t="s">
        <v>439</v>
      </c>
      <c r="N1111" s="13" t="s">
        <v>221</v>
      </c>
      <c r="O1111" s="46">
        <v>6</v>
      </c>
      <c r="P1111" s="30" t="str">
        <f>VLOOKUP(O1111,[5]Key!$E$2:$F$9,2,FALSE)</f>
        <v>Leisure/Social</v>
      </c>
      <c r="Q1111" s="13" t="s">
        <v>722</v>
      </c>
      <c r="R1111" s="23" t="s">
        <v>421</v>
      </c>
      <c r="S1111" s="13" t="s">
        <v>221</v>
      </c>
      <c r="T1111" s="23">
        <v>1</v>
      </c>
      <c r="U1111" s="30" t="str">
        <f>VLOOKUP(T1111,[5]Key!$E$2:$F$9,2,FALSE)</f>
        <v>Home</v>
      </c>
      <c r="V1111" s="30" t="str">
        <f t="shared" si="68"/>
        <v>Leisure/Social-Home</v>
      </c>
      <c r="W1111" s="23">
        <v>8000</v>
      </c>
      <c r="X1111" s="50"/>
      <c r="Y1111" s="50" t="str">
        <f t="shared" si="69"/>
        <v>0-10</v>
      </c>
      <c r="Z1111" s="50">
        <v>1</v>
      </c>
      <c r="AA1111" s="50" t="str">
        <f t="shared" si="70"/>
        <v>1.0-2.0</v>
      </c>
      <c r="AB1111" s="23">
        <v>6</v>
      </c>
      <c r="AC1111" s="30" t="str">
        <f>VLOOKUP(AB1111,[5]Key!$C$20:$D$29,2,FALSE)</f>
        <v>Businessman</v>
      </c>
      <c r="AD1111" s="23">
        <v>2</v>
      </c>
      <c r="AE1111" s="30" t="str">
        <f>VLOOKUP(AD1111,[5]Key!$E$20:$F$24,2,FALSE)</f>
        <v>300,000-500,000</v>
      </c>
      <c r="AF1111" s="23">
        <v>3</v>
      </c>
      <c r="AG1111" s="50">
        <v>1</v>
      </c>
      <c r="AH1111" s="50">
        <v>4</v>
      </c>
      <c r="AI1111" s="50">
        <v>2</v>
      </c>
      <c r="AJ1111" s="50">
        <v>5</v>
      </c>
      <c r="AK1111" s="46" t="s">
        <v>94</v>
      </c>
      <c r="AL1111" s="36">
        <v>1000</v>
      </c>
      <c r="AM1111" t="str">
        <f t="shared" si="71"/>
        <v>1000-2000</v>
      </c>
    </row>
    <row r="1112" spans="1:39" x14ac:dyDescent="0.2">
      <c r="A1112" s="44">
        <v>43758</v>
      </c>
      <c r="B1112" s="48">
        <v>0.61111111111111105</v>
      </c>
      <c r="C1112" s="48"/>
      <c r="D1112" s="48" t="s">
        <v>150</v>
      </c>
      <c r="E1112" s="13">
        <v>2</v>
      </c>
      <c r="F1112" s="38" t="str">
        <f>VLOOKUP(E1112,[5]Key!$A$17:$B$21,2,FALSE)</f>
        <v>Road Vehicle</v>
      </c>
      <c r="G1112" s="49">
        <v>1</v>
      </c>
      <c r="H1112" s="39" t="str">
        <f>VLOOKUP(G1112,[5]Key!$A$2:$B$14,2,FALSE)</f>
        <v>Car</v>
      </c>
      <c r="I1112" s="13" t="s">
        <v>156</v>
      </c>
      <c r="J1112" s="13">
        <v>1</v>
      </c>
      <c r="K1112" s="40" t="str">
        <f>VLOOKUP(J1112,[5]Key!$A$24:$B$29,2,FALSE)</f>
        <v>20-29</v>
      </c>
      <c r="L1112" s="13" t="s">
        <v>723</v>
      </c>
      <c r="M1112" s="23" t="s">
        <v>439</v>
      </c>
      <c r="N1112" s="13" t="s">
        <v>221</v>
      </c>
      <c r="O1112" s="46">
        <v>1</v>
      </c>
      <c r="P1112" s="30" t="str">
        <f>VLOOKUP(O1112,[5]Key!$E$2:$F$9,2,FALSE)</f>
        <v>Home</v>
      </c>
      <c r="Q1112" s="13" t="s">
        <v>724</v>
      </c>
      <c r="R1112" s="23" t="s">
        <v>421</v>
      </c>
      <c r="S1112" s="13" t="s">
        <v>221</v>
      </c>
      <c r="T1112" s="23">
        <v>8</v>
      </c>
      <c r="U1112" s="30" t="str">
        <f>VLOOKUP(T1112,[5]Key!$E$2:$F$9,2,FALSE)</f>
        <v>Others</v>
      </c>
      <c r="V1112" s="30" t="str">
        <f t="shared" si="68"/>
        <v>Home-Others</v>
      </c>
      <c r="W1112" s="23">
        <v>9000</v>
      </c>
      <c r="X1112" s="50"/>
      <c r="Y1112" s="50" t="str">
        <f t="shared" si="69"/>
        <v>0-10</v>
      </c>
      <c r="Z1112" s="50">
        <v>0.7</v>
      </c>
      <c r="AA1112" s="50" t="str">
        <f t="shared" si="70"/>
        <v>0.5-1.0</v>
      </c>
      <c r="AB1112" s="23">
        <v>8</v>
      </c>
      <c r="AC1112" s="30" t="str">
        <f>VLOOKUP(AB1112,[5]Key!$C$20:$D$29,2,FALSE)</f>
        <v>Student</v>
      </c>
      <c r="AD1112" s="23">
        <v>1</v>
      </c>
      <c r="AE1112" s="30" t="str">
        <f>VLOOKUP(AD1112,[5]Key!$E$20:$F$24,2,FALSE)</f>
        <v>&lt;300,000</v>
      </c>
      <c r="AF1112" s="23">
        <v>5</v>
      </c>
      <c r="AG1112" s="50">
        <v>4</v>
      </c>
      <c r="AH1112" s="50">
        <v>2</v>
      </c>
      <c r="AI1112" s="50">
        <v>1</v>
      </c>
      <c r="AJ1112" s="50">
        <v>3</v>
      </c>
      <c r="AK1112" s="46" t="s">
        <v>94</v>
      </c>
      <c r="AL1112" s="36"/>
      <c r="AM1112" t="str">
        <f t="shared" si="71"/>
        <v>0-1000</v>
      </c>
    </row>
    <row r="1113" spans="1:39" x14ac:dyDescent="0.2">
      <c r="A1113" s="44">
        <v>43758</v>
      </c>
      <c r="B1113" s="48">
        <v>0.62430555555555556</v>
      </c>
      <c r="C1113" s="48"/>
      <c r="D1113" s="48" t="s">
        <v>150</v>
      </c>
      <c r="E1113" s="13">
        <v>2</v>
      </c>
      <c r="F1113" s="38" t="str">
        <f>VLOOKUP(E1113,[5]Key!$A$17:$B$21,2,FALSE)</f>
        <v>Road Vehicle</v>
      </c>
      <c r="G1113" s="49">
        <v>1</v>
      </c>
      <c r="H1113" s="39" t="str">
        <f>VLOOKUP(G1113,[5]Key!$A$2:$B$14,2,FALSE)</f>
        <v>Car</v>
      </c>
      <c r="I1113" s="13" t="s">
        <v>156</v>
      </c>
      <c r="J1113" s="13">
        <v>1</v>
      </c>
      <c r="K1113" s="40" t="str">
        <f>VLOOKUP(J1113,[5]Key!$A$24:$B$29,2,FALSE)</f>
        <v>20-29</v>
      </c>
      <c r="L1113" s="13" t="s">
        <v>446</v>
      </c>
      <c r="M1113" s="23" t="s">
        <v>439</v>
      </c>
      <c r="N1113" s="13" t="s">
        <v>221</v>
      </c>
      <c r="O1113" s="46">
        <v>6</v>
      </c>
      <c r="P1113" s="30" t="str">
        <f>VLOOKUP(O1113,[5]Key!$E$2:$F$9,2,FALSE)</f>
        <v>Leisure/Social</v>
      </c>
      <c r="Q1113" s="13" t="s">
        <v>725</v>
      </c>
      <c r="R1113" s="23" t="s">
        <v>428</v>
      </c>
      <c r="S1113" s="13" t="s">
        <v>221</v>
      </c>
      <c r="T1113" s="23">
        <v>1</v>
      </c>
      <c r="U1113" s="30" t="str">
        <f>VLOOKUP(T1113,[5]Key!$E$2:$F$9,2,FALSE)</f>
        <v>Home</v>
      </c>
      <c r="V1113" s="30" t="str">
        <f t="shared" si="68"/>
        <v>Leisure/Social-Home</v>
      </c>
      <c r="W1113" s="23">
        <v>12000</v>
      </c>
      <c r="X1113" s="50"/>
      <c r="Y1113" s="50" t="str">
        <f t="shared" si="69"/>
        <v>0-10</v>
      </c>
      <c r="Z1113" s="50"/>
      <c r="AA1113" s="50" t="str">
        <f t="shared" si="70"/>
        <v>0-0.5</v>
      </c>
      <c r="AB1113" s="23">
        <v>2</v>
      </c>
      <c r="AC1113" s="30" t="str">
        <f>VLOOKUP(AB1113,[5]Key!$C$20:$D$29,2,FALSE)</f>
        <v>Manual Labour</v>
      </c>
      <c r="AD1113" s="23">
        <v>2</v>
      </c>
      <c r="AE1113" s="30" t="str">
        <f>VLOOKUP(AD1113,[5]Key!$E$20:$F$24,2,FALSE)</f>
        <v>300,000-500,000</v>
      </c>
      <c r="AF1113" s="23">
        <v>5</v>
      </c>
      <c r="AG1113" s="50">
        <v>3</v>
      </c>
      <c r="AH1113" s="50">
        <v>1</v>
      </c>
      <c r="AI1113" s="50">
        <v>4</v>
      </c>
      <c r="AJ1113" s="50">
        <v>2</v>
      </c>
      <c r="AK1113" s="46" t="s">
        <v>94</v>
      </c>
      <c r="AL1113" s="36">
        <v>500</v>
      </c>
      <c r="AM1113" t="str">
        <f t="shared" si="71"/>
        <v>0-1000</v>
      </c>
    </row>
    <row r="1114" spans="1:39" x14ac:dyDescent="0.2">
      <c r="A1114" s="44">
        <v>43758</v>
      </c>
      <c r="B1114" s="48">
        <v>0.39583333333333331</v>
      </c>
      <c r="C1114" s="48"/>
      <c r="D1114" s="48" t="s">
        <v>150</v>
      </c>
      <c r="E1114" s="13">
        <v>2</v>
      </c>
      <c r="F1114" s="38" t="str">
        <f>VLOOKUP(E1114,[5]Key!$A$17:$B$21,2,FALSE)</f>
        <v>Road Vehicle</v>
      </c>
      <c r="G1114" s="49">
        <v>1</v>
      </c>
      <c r="H1114" s="39" t="str">
        <f>VLOOKUP(G1114,[5]Key!$A$2:$B$14,2,FALSE)</f>
        <v>Car</v>
      </c>
      <c r="I1114" s="13" t="s">
        <v>156</v>
      </c>
      <c r="J1114" s="13">
        <v>1</v>
      </c>
      <c r="K1114" s="40" t="str">
        <f>VLOOKUP(J1114,[5]Key!$A$24:$B$29,2,FALSE)</f>
        <v>20-29</v>
      </c>
      <c r="L1114" s="13" t="s">
        <v>726</v>
      </c>
      <c r="M1114" s="23" t="s">
        <v>441</v>
      </c>
      <c r="N1114" s="13" t="s">
        <v>221</v>
      </c>
      <c r="O1114" s="46">
        <v>8</v>
      </c>
      <c r="P1114" s="30" t="str">
        <f>VLOOKUP(O1114,[5]Key!$E$2:$F$9,2,FALSE)</f>
        <v>Others</v>
      </c>
      <c r="Q1114" s="13" t="s">
        <v>699</v>
      </c>
      <c r="R1114" s="23" t="s">
        <v>439</v>
      </c>
      <c r="S1114" s="13" t="s">
        <v>221</v>
      </c>
      <c r="T1114" s="23">
        <v>1</v>
      </c>
      <c r="U1114" s="30" t="str">
        <f>VLOOKUP(T1114,[5]Key!$E$2:$F$9,2,FALSE)</f>
        <v>Home</v>
      </c>
      <c r="V1114" s="30" t="str">
        <f t="shared" si="68"/>
        <v>Others-Home</v>
      </c>
      <c r="W1114" s="23">
        <v>2000</v>
      </c>
      <c r="X1114" s="50">
        <v>8</v>
      </c>
      <c r="Y1114" s="50" t="str">
        <f t="shared" si="69"/>
        <v>0-10</v>
      </c>
      <c r="Z1114" s="50">
        <v>0.7</v>
      </c>
      <c r="AA1114" s="50" t="str">
        <f t="shared" si="70"/>
        <v>0.5-1.0</v>
      </c>
      <c r="AB1114" s="23">
        <v>8</v>
      </c>
      <c r="AC1114" s="30" t="str">
        <f>VLOOKUP(AB1114,[5]Key!$C$20:$D$29,2,FALSE)</f>
        <v>Student</v>
      </c>
      <c r="AD1114" s="23">
        <v>3</v>
      </c>
      <c r="AE1114" s="30" t="str">
        <f>VLOOKUP(AD1114,[5]Key!$E$20:$F$24,2,FALSE)</f>
        <v>500,000-750,000</v>
      </c>
      <c r="AF1114" s="23">
        <v>5</v>
      </c>
      <c r="AG1114" s="50">
        <v>1</v>
      </c>
      <c r="AH1114" s="50">
        <v>4</v>
      </c>
      <c r="AI1114" s="50">
        <v>8</v>
      </c>
      <c r="AJ1114" s="50"/>
      <c r="AK1114" s="46" t="s">
        <v>94</v>
      </c>
      <c r="AL1114" s="36">
        <v>1000</v>
      </c>
      <c r="AM1114" t="str">
        <f t="shared" si="71"/>
        <v>1000-2000</v>
      </c>
    </row>
    <row r="1115" spans="1:39" x14ac:dyDescent="0.2">
      <c r="A1115" s="44">
        <v>43758</v>
      </c>
      <c r="B1115" s="48">
        <v>0.40138888888888885</v>
      </c>
      <c r="C1115" s="48"/>
      <c r="D1115" s="48" t="s">
        <v>150</v>
      </c>
      <c r="E1115" s="13">
        <v>2</v>
      </c>
      <c r="F1115" s="38" t="str">
        <f>VLOOKUP(E1115,[5]Key!$A$17:$B$21,2,FALSE)</f>
        <v>Road Vehicle</v>
      </c>
      <c r="G1115" s="49">
        <v>1</v>
      </c>
      <c r="H1115" s="39" t="str">
        <f>VLOOKUP(G1115,[5]Key!$A$2:$B$14,2,FALSE)</f>
        <v>Car</v>
      </c>
      <c r="I1115" s="13" t="s">
        <v>156</v>
      </c>
      <c r="J1115" s="13">
        <v>1</v>
      </c>
      <c r="K1115" s="40" t="str">
        <f>VLOOKUP(J1115,[5]Key!$A$24:$B$29,2,FALSE)</f>
        <v>20-29</v>
      </c>
      <c r="L1115" s="13" t="s">
        <v>727</v>
      </c>
      <c r="M1115" s="23" t="s">
        <v>439</v>
      </c>
      <c r="N1115" s="13" t="s">
        <v>221</v>
      </c>
      <c r="O1115" s="46">
        <v>8</v>
      </c>
      <c r="P1115" s="30" t="str">
        <f>VLOOKUP(O1115,[5]Key!$E$2:$F$9,2,FALSE)</f>
        <v>Others</v>
      </c>
      <c r="Q1115" s="13" t="s">
        <v>728</v>
      </c>
      <c r="R1115" s="23" t="s">
        <v>439</v>
      </c>
      <c r="S1115" s="13" t="s">
        <v>221</v>
      </c>
      <c r="T1115" s="23">
        <v>6</v>
      </c>
      <c r="U1115" s="30" t="str">
        <f>VLOOKUP(T1115,[5]Key!$E$2:$F$9,2,FALSE)</f>
        <v>Leisure/Social</v>
      </c>
      <c r="V1115" s="30" t="str">
        <f t="shared" si="68"/>
        <v>Others-Leisure/Social</v>
      </c>
      <c r="W1115" s="23">
        <v>2000</v>
      </c>
      <c r="X1115" s="50">
        <v>10</v>
      </c>
      <c r="Y1115" s="50" t="str">
        <f t="shared" si="69"/>
        <v>10-20</v>
      </c>
      <c r="Z1115" s="50">
        <v>0.7</v>
      </c>
      <c r="AA1115" s="50" t="str">
        <f t="shared" si="70"/>
        <v>0.5-1.0</v>
      </c>
      <c r="AB1115" s="23">
        <v>7</v>
      </c>
      <c r="AC1115" s="30" t="str">
        <f>VLOOKUP(AB1115,[5]Key!$C$20:$D$29,2,FALSE)</f>
        <v>Farmer</v>
      </c>
      <c r="AD1115" s="23">
        <v>3</v>
      </c>
      <c r="AE1115" s="30" t="str">
        <f>VLOOKUP(AD1115,[5]Key!$E$20:$F$24,2,FALSE)</f>
        <v>500,000-750,000</v>
      </c>
      <c r="AF1115" s="23">
        <v>4</v>
      </c>
      <c r="AG1115" s="50">
        <v>1</v>
      </c>
      <c r="AH1115" s="50">
        <v>2</v>
      </c>
      <c r="AI1115" s="50">
        <v>3</v>
      </c>
      <c r="AJ1115" s="50">
        <v>5</v>
      </c>
      <c r="AK1115" s="46" t="s">
        <v>94</v>
      </c>
      <c r="AL1115" s="36"/>
      <c r="AM1115" t="str">
        <f t="shared" si="71"/>
        <v>0-1000</v>
      </c>
    </row>
    <row r="1116" spans="1:39" x14ac:dyDescent="0.2">
      <c r="A1116" s="44">
        <v>43758</v>
      </c>
      <c r="B1116" s="48">
        <v>0.65277777777777779</v>
      </c>
      <c r="C1116" s="48"/>
      <c r="D1116" s="48" t="s">
        <v>150</v>
      </c>
      <c r="E1116" s="13">
        <v>2</v>
      </c>
      <c r="F1116" s="38" t="str">
        <f>VLOOKUP(E1116,[5]Key!$A$17:$B$21,2,FALSE)</f>
        <v>Road Vehicle</v>
      </c>
      <c r="G1116" s="49">
        <v>1</v>
      </c>
      <c r="H1116" s="39" t="str">
        <f>VLOOKUP(G1116,[5]Key!$A$2:$B$14,2,FALSE)</f>
        <v>Car</v>
      </c>
      <c r="I1116" s="13" t="s">
        <v>156</v>
      </c>
      <c r="J1116" s="13">
        <v>1</v>
      </c>
      <c r="K1116" s="40" t="str">
        <f>VLOOKUP(J1116,[5]Key!$A$24:$B$29,2,FALSE)</f>
        <v>20-29</v>
      </c>
      <c r="L1116" s="13" t="s">
        <v>726</v>
      </c>
      <c r="M1116" s="23" t="s">
        <v>441</v>
      </c>
      <c r="N1116" s="13" t="s">
        <v>221</v>
      </c>
      <c r="O1116" s="46">
        <v>8</v>
      </c>
      <c r="P1116" s="30" t="str">
        <f>VLOOKUP(O1116,[5]Key!$E$2:$F$9,2,FALSE)</f>
        <v>Others</v>
      </c>
      <c r="Q1116" s="13" t="s">
        <v>729</v>
      </c>
      <c r="R1116" s="23" t="s">
        <v>463</v>
      </c>
      <c r="S1116" s="13" t="s">
        <v>221</v>
      </c>
      <c r="T1116" s="23">
        <v>1</v>
      </c>
      <c r="U1116" s="30" t="str">
        <f>VLOOKUP(T1116,[5]Key!$E$2:$F$9,2,FALSE)</f>
        <v>Home</v>
      </c>
      <c r="V1116" s="30" t="str">
        <f t="shared" si="68"/>
        <v>Others-Home</v>
      </c>
      <c r="W1116" s="23">
        <v>8000</v>
      </c>
      <c r="X1116" s="50"/>
      <c r="Y1116" s="50" t="str">
        <f t="shared" si="69"/>
        <v>0-10</v>
      </c>
      <c r="Z1116" s="50">
        <v>1.5</v>
      </c>
      <c r="AA1116" s="50" t="str">
        <f t="shared" si="70"/>
        <v>1.0-2.0</v>
      </c>
      <c r="AB1116" s="23">
        <v>10</v>
      </c>
      <c r="AC1116" s="30" t="str">
        <f>VLOOKUP(AB1116,[5]Key!$C$20:$D$29,2,FALSE)</f>
        <v>Other</v>
      </c>
      <c r="AD1116" s="23">
        <v>1</v>
      </c>
      <c r="AE1116" s="30" t="str">
        <f>VLOOKUP(AD1116,[5]Key!$E$20:$F$24,2,FALSE)</f>
        <v>&lt;300,000</v>
      </c>
      <c r="AF1116" s="23">
        <v>2</v>
      </c>
      <c r="AG1116" s="50">
        <v>3</v>
      </c>
      <c r="AH1116" s="50">
        <v>4</v>
      </c>
      <c r="AI1116" s="50">
        <v>1</v>
      </c>
      <c r="AJ1116" s="50">
        <v>5</v>
      </c>
      <c r="AK1116" s="46" t="s">
        <v>94</v>
      </c>
      <c r="AL1116" s="36">
        <v>1000</v>
      </c>
      <c r="AM1116" t="str">
        <f t="shared" si="71"/>
        <v>1000-2000</v>
      </c>
    </row>
    <row r="1117" spans="1:39" x14ac:dyDescent="0.2">
      <c r="A1117" s="44">
        <v>43756</v>
      </c>
      <c r="B1117" s="48"/>
      <c r="C1117" s="48"/>
      <c r="D1117" s="48" t="s">
        <v>150</v>
      </c>
      <c r="E1117" s="13">
        <v>2</v>
      </c>
      <c r="F1117" s="38" t="str">
        <f>VLOOKUP(E1117,[5]Key!$A$17:$B$21,2,FALSE)</f>
        <v>Road Vehicle</v>
      </c>
      <c r="G1117" s="49">
        <v>1</v>
      </c>
      <c r="H1117" s="39" t="str">
        <f>VLOOKUP(G1117,[5]Key!$A$2:$B$14,2,FALSE)</f>
        <v>Car</v>
      </c>
      <c r="I1117" s="13" t="s">
        <v>109</v>
      </c>
      <c r="J1117" s="13">
        <v>1</v>
      </c>
      <c r="K1117" s="40" t="str">
        <f>VLOOKUP(J1117,[5]Key!$A$24:$B$29,2,FALSE)</f>
        <v>20-29</v>
      </c>
      <c r="L1117" s="55" t="s">
        <v>730</v>
      </c>
      <c r="M1117" s="23" t="s">
        <v>439</v>
      </c>
      <c r="N1117" s="13" t="s">
        <v>221</v>
      </c>
      <c r="O1117" s="46">
        <v>6</v>
      </c>
      <c r="P1117" s="30" t="str">
        <f>VLOOKUP(O1117,[5]Key!$E$2:$F$9,2,FALSE)</f>
        <v>Leisure/Social</v>
      </c>
      <c r="Q1117" s="13" t="s">
        <v>731</v>
      </c>
      <c r="R1117" s="23" t="s">
        <v>421</v>
      </c>
      <c r="S1117" s="13" t="s">
        <v>221</v>
      </c>
      <c r="T1117" s="23">
        <v>1</v>
      </c>
      <c r="U1117" s="30" t="str">
        <f>VLOOKUP(T1117,[5]Key!$E$2:$F$9,2,FALSE)</f>
        <v>Home</v>
      </c>
      <c r="V1117" s="30" t="str">
        <f t="shared" si="68"/>
        <v>Leisure/Social-Home</v>
      </c>
      <c r="W1117" s="41">
        <v>18000</v>
      </c>
      <c r="X1117" s="50"/>
      <c r="Y1117" s="50" t="str">
        <f t="shared" si="69"/>
        <v>0-10</v>
      </c>
      <c r="Z1117" s="50">
        <v>1.5</v>
      </c>
      <c r="AA1117" s="50" t="str">
        <f t="shared" si="70"/>
        <v>1.0-2.0</v>
      </c>
      <c r="AB1117" s="23">
        <v>8</v>
      </c>
      <c r="AC1117" s="30" t="str">
        <f>VLOOKUP(AB1117,[5]Key!$C$20:$D$29,2,FALSE)</f>
        <v>Student</v>
      </c>
      <c r="AD1117" s="23">
        <v>1</v>
      </c>
      <c r="AE1117" s="30" t="str">
        <f>VLOOKUP(AD1117,[5]Key!$E$20:$F$24,2,FALSE)</f>
        <v>&lt;300,000</v>
      </c>
      <c r="AF1117" s="23">
        <v>5</v>
      </c>
      <c r="AG1117" s="50">
        <v>2</v>
      </c>
      <c r="AH1117" s="50">
        <v>1</v>
      </c>
      <c r="AI1117" s="50">
        <v>3</v>
      </c>
      <c r="AJ1117" s="50">
        <v>4</v>
      </c>
      <c r="AK1117" s="46" t="s">
        <v>94</v>
      </c>
      <c r="AL1117" s="36">
        <v>3000</v>
      </c>
      <c r="AM1117" t="str">
        <f t="shared" si="71"/>
        <v>3000-5000</v>
      </c>
    </row>
    <row r="1118" spans="1:39" x14ac:dyDescent="0.2">
      <c r="A1118" s="44">
        <v>43756</v>
      </c>
      <c r="B1118" s="48"/>
      <c r="C1118" s="48"/>
      <c r="D1118" s="48" t="s">
        <v>97</v>
      </c>
      <c r="E1118" s="13">
        <v>2</v>
      </c>
      <c r="F1118" s="38" t="str">
        <f>VLOOKUP(E1118,[5]Key!$A$17:$B$21,2,FALSE)</f>
        <v>Road Vehicle</v>
      </c>
      <c r="G1118" s="49">
        <v>1</v>
      </c>
      <c r="H1118" s="39" t="str">
        <f>VLOOKUP(G1118,[5]Key!$A$2:$B$14,2,FALSE)</f>
        <v>Car</v>
      </c>
      <c r="I1118" s="13" t="s">
        <v>109</v>
      </c>
      <c r="J1118" s="13">
        <v>1</v>
      </c>
      <c r="K1118" s="40" t="str">
        <f>VLOOKUP(J1118,[5]Key!$A$24:$B$29,2,FALSE)</f>
        <v>20-29</v>
      </c>
      <c r="L1118" s="55" t="s">
        <v>446</v>
      </c>
      <c r="M1118" s="23" t="s">
        <v>439</v>
      </c>
      <c r="N1118" s="13" t="s">
        <v>221</v>
      </c>
      <c r="O1118" s="46">
        <v>1</v>
      </c>
      <c r="P1118" s="30" t="str">
        <f>VLOOKUP(O1118,[5]Key!$E$2:$F$9,2,FALSE)</f>
        <v>Home</v>
      </c>
      <c r="Q1118" s="13" t="s">
        <v>732</v>
      </c>
      <c r="R1118" s="23" t="s">
        <v>556</v>
      </c>
      <c r="S1118" s="13" t="s">
        <v>221</v>
      </c>
      <c r="T1118" s="23">
        <v>8</v>
      </c>
      <c r="U1118" s="30" t="str">
        <f>VLOOKUP(T1118,[5]Key!$E$2:$F$9,2,FALSE)</f>
        <v>Others</v>
      </c>
      <c r="V1118" s="30" t="str">
        <f t="shared" si="68"/>
        <v>Home-Others</v>
      </c>
      <c r="W1118" s="41">
        <v>300000</v>
      </c>
      <c r="X1118" s="50">
        <v>12</v>
      </c>
      <c r="Y1118" s="50" t="str">
        <f t="shared" si="69"/>
        <v>10-20</v>
      </c>
      <c r="Z1118" s="50">
        <v>8</v>
      </c>
      <c r="AA1118" s="50" t="str">
        <f t="shared" si="70"/>
        <v>Over 3.5</v>
      </c>
      <c r="AB1118" s="23">
        <v>6</v>
      </c>
      <c r="AC1118" s="30" t="str">
        <f>VLOOKUP(AB1118,[5]Key!$C$20:$D$29,2,FALSE)</f>
        <v>Businessman</v>
      </c>
      <c r="AD1118" s="23">
        <v>3</v>
      </c>
      <c r="AE1118" s="30" t="str">
        <f>VLOOKUP(AD1118,[5]Key!$E$20:$F$24,2,FALSE)</f>
        <v>500,000-750,000</v>
      </c>
      <c r="AF1118" s="23">
        <v>4</v>
      </c>
      <c r="AG1118" s="50">
        <v>2</v>
      </c>
      <c r="AH1118" s="50">
        <v>1</v>
      </c>
      <c r="AI1118" s="50">
        <v>3</v>
      </c>
      <c r="AJ1118" s="50">
        <v>5</v>
      </c>
      <c r="AK1118" s="46" t="s">
        <v>94</v>
      </c>
      <c r="AL1118" s="36">
        <v>1000</v>
      </c>
      <c r="AM1118" t="str">
        <f t="shared" si="71"/>
        <v>1000-2000</v>
      </c>
    </row>
    <row r="1119" spans="1:39" x14ac:dyDescent="0.2">
      <c r="A1119" s="44">
        <v>43756</v>
      </c>
      <c r="B1119" s="48">
        <v>0.66597222222222219</v>
      </c>
      <c r="C1119" s="48"/>
      <c r="D1119" s="48" t="s">
        <v>150</v>
      </c>
      <c r="E1119" s="13">
        <v>2</v>
      </c>
      <c r="F1119" s="38" t="str">
        <f>VLOOKUP(E1119,[5]Key!$A$17:$B$21,2,FALSE)</f>
        <v>Road Vehicle</v>
      </c>
      <c r="G1119" s="49">
        <v>1</v>
      </c>
      <c r="H1119" s="39" t="str">
        <f>VLOOKUP(G1119,[5]Key!$A$2:$B$14,2,FALSE)</f>
        <v>Car</v>
      </c>
      <c r="I1119" s="13" t="s">
        <v>109</v>
      </c>
      <c r="J1119" s="13">
        <v>1</v>
      </c>
      <c r="K1119" s="40" t="str">
        <f>VLOOKUP(J1119,[5]Key!$A$24:$B$29,2,FALSE)</f>
        <v>20-29</v>
      </c>
      <c r="L1119" s="13" t="s">
        <v>446</v>
      </c>
      <c r="M1119" s="23" t="s">
        <v>439</v>
      </c>
      <c r="N1119" s="13" t="s">
        <v>221</v>
      </c>
      <c r="O1119" s="46">
        <v>1</v>
      </c>
      <c r="P1119" s="30" t="str">
        <f>VLOOKUP(O1119,[5]Key!$E$2:$F$9,2,FALSE)</f>
        <v>Home</v>
      </c>
      <c r="Q1119" s="13" t="s">
        <v>421</v>
      </c>
      <c r="R1119" s="23" t="s">
        <v>421</v>
      </c>
      <c r="S1119" s="13" t="s">
        <v>221</v>
      </c>
      <c r="T1119" s="23">
        <v>7</v>
      </c>
      <c r="U1119" s="30" t="str">
        <f>VLOOKUP(T1119,[5]Key!$E$2:$F$9,2,FALSE)</f>
        <v>Hospital</v>
      </c>
      <c r="V1119" s="30" t="str">
        <f t="shared" si="68"/>
        <v>Home-Hospital</v>
      </c>
      <c r="W1119" s="41">
        <v>7000</v>
      </c>
      <c r="X1119" s="50"/>
      <c r="Y1119" s="50" t="str">
        <f t="shared" si="69"/>
        <v>0-10</v>
      </c>
      <c r="Z1119" s="50">
        <v>0.5</v>
      </c>
      <c r="AA1119" s="50" t="str">
        <f t="shared" si="70"/>
        <v>0.5-1.0</v>
      </c>
      <c r="AB1119" s="23">
        <v>6</v>
      </c>
      <c r="AC1119" s="30" t="str">
        <f>VLOOKUP(AB1119,[5]Key!$C$20:$D$29,2,FALSE)</f>
        <v>Businessman</v>
      </c>
      <c r="AD1119" s="23">
        <v>2</v>
      </c>
      <c r="AE1119" s="30" t="str">
        <f>VLOOKUP(AD1119,[5]Key!$E$20:$F$24,2,FALSE)</f>
        <v>300,000-500,000</v>
      </c>
      <c r="AF1119" s="23">
        <v>4</v>
      </c>
      <c r="AG1119" s="50">
        <v>5</v>
      </c>
      <c r="AH1119" s="50">
        <v>1</v>
      </c>
      <c r="AI1119" s="50">
        <v>3</v>
      </c>
      <c r="AJ1119" s="50">
        <v>2</v>
      </c>
      <c r="AK1119" s="46" t="s">
        <v>94</v>
      </c>
      <c r="AL1119" s="36">
        <v>500</v>
      </c>
      <c r="AM1119" t="str">
        <f t="shared" si="71"/>
        <v>0-1000</v>
      </c>
    </row>
    <row r="1120" spans="1:39" x14ac:dyDescent="0.2">
      <c r="A1120" s="44">
        <v>43757</v>
      </c>
      <c r="B1120" s="48">
        <v>0.2986111111111111</v>
      </c>
      <c r="C1120" s="48"/>
      <c r="D1120" s="48" t="s">
        <v>97</v>
      </c>
      <c r="E1120" s="13">
        <v>2</v>
      </c>
      <c r="F1120" s="38" t="str">
        <f>VLOOKUP(E1120,[5]Key!$A$17:$B$21,2,FALSE)</f>
        <v>Road Vehicle</v>
      </c>
      <c r="G1120" s="49">
        <v>1</v>
      </c>
      <c r="H1120" s="39" t="str">
        <f>VLOOKUP(G1120,[5]Key!$A$2:$B$14,2,FALSE)</f>
        <v>Car</v>
      </c>
      <c r="I1120" s="13" t="s">
        <v>109</v>
      </c>
      <c r="J1120" s="13">
        <v>1</v>
      </c>
      <c r="K1120" s="40" t="str">
        <f>VLOOKUP(J1120,[5]Key!$A$24:$B$29,2,FALSE)</f>
        <v>20-29</v>
      </c>
      <c r="L1120" s="13" t="s">
        <v>446</v>
      </c>
      <c r="M1120" s="23" t="s">
        <v>439</v>
      </c>
      <c r="N1120" s="13" t="s">
        <v>221</v>
      </c>
      <c r="O1120" s="46">
        <v>1</v>
      </c>
      <c r="P1120" s="30" t="str">
        <f>VLOOKUP(O1120,[5]Key!$E$2:$F$9,2,FALSE)</f>
        <v>Home</v>
      </c>
      <c r="Q1120" s="13" t="s">
        <v>421</v>
      </c>
      <c r="R1120" s="23" t="s">
        <v>421</v>
      </c>
      <c r="S1120" s="13" t="s">
        <v>221</v>
      </c>
      <c r="T1120" s="23">
        <v>2</v>
      </c>
      <c r="U1120" s="30" t="str">
        <f>VLOOKUP(T1120,[5]Key!$E$2:$F$9,2,FALSE)</f>
        <v>Work</v>
      </c>
      <c r="V1120" s="30" t="str">
        <f t="shared" si="68"/>
        <v>Home-Work</v>
      </c>
      <c r="W1120" s="23">
        <v>7000</v>
      </c>
      <c r="X1120" s="50">
        <v>40</v>
      </c>
      <c r="Y1120" s="50" t="str">
        <f t="shared" si="69"/>
        <v>40-70</v>
      </c>
      <c r="Z1120" s="50">
        <v>0.8</v>
      </c>
      <c r="AA1120" s="50" t="str">
        <f t="shared" si="70"/>
        <v>0.5-1.0</v>
      </c>
      <c r="AB1120" s="23">
        <v>2</v>
      </c>
      <c r="AC1120" s="30" t="str">
        <f>VLOOKUP(AB1120,[5]Key!$C$20:$D$29,2,FALSE)</f>
        <v>Manual Labour</v>
      </c>
      <c r="AD1120" s="23">
        <v>1</v>
      </c>
      <c r="AE1120" s="30" t="str">
        <f>VLOOKUP(AD1120,[5]Key!$E$20:$F$24,2,FALSE)</f>
        <v>&lt;300,000</v>
      </c>
      <c r="AF1120" s="23">
        <v>1</v>
      </c>
      <c r="AG1120" s="50">
        <v>3</v>
      </c>
      <c r="AH1120" s="50">
        <v>2</v>
      </c>
      <c r="AI1120" s="50">
        <v>5</v>
      </c>
      <c r="AJ1120" s="50">
        <v>4</v>
      </c>
      <c r="AK1120" s="46" t="s">
        <v>94</v>
      </c>
      <c r="AL1120" s="36">
        <v>1000</v>
      </c>
      <c r="AM1120" t="str">
        <f t="shared" si="71"/>
        <v>1000-2000</v>
      </c>
    </row>
    <row r="1121" spans="1:39" x14ac:dyDescent="0.2">
      <c r="A1121" s="44">
        <v>43757</v>
      </c>
      <c r="B1121" s="48">
        <v>0.33333333333333331</v>
      </c>
      <c r="C1121" s="48"/>
      <c r="D1121" s="48" t="s">
        <v>97</v>
      </c>
      <c r="E1121" s="13">
        <v>2</v>
      </c>
      <c r="F1121" s="38" t="str">
        <f>VLOOKUP(E1121,[5]Key!$A$17:$B$21,2,FALSE)</f>
        <v>Road Vehicle</v>
      </c>
      <c r="G1121" s="49">
        <v>1</v>
      </c>
      <c r="H1121" s="39" t="str">
        <f>VLOOKUP(G1121,[5]Key!$A$2:$B$14,2,FALSE)</f>
        <v>Car</v>
      </c>
      <c r="I1121" s="13" t="s">
        <v>109</v>
      </c>
      <c r="J1121" s="13">
        <v>1</v>
      </c>
      <c r="K1121" s="40" t="str">
        <f>VLOOKUP(J1121,[5]Key!$A$24:$B$29,2,FALSE)</f>
        <v>20-29</v>
      </c>
      <c r="L1121" s="13" t="s">
        <v>733</v>
      </c>
      <c r="M1121" s="23" t="s">
        <v>441</v>
      </c>
      <c r="N1121" s="13" t="s">
        <v>221</v>
      </c>
      <c r="O1121" s="46">
        <v>1</v>
      </c>
      <c r="P1121" s="30" t="str">
        <f>VLOOKUP(O1121,[5]Key!$E$2:$F$9,2,FALSE)</f>
        <v>Home</v>
      </c>
      <c r="Q1121" s="13" t="s">
        <v>734</v>
      </c>
      <c r="R1121" s="23" t="s">
        <v>488</v>
      </c>
      <c r="S1121" s="13" t="s">
        <v>221</v>
      </c>
      <c r="T1121" s="23">
        <v>2</v>
      </c>
      <c r="U1121" s="30" t="str">
        <f>VLOOKUP(T1121,[5]Key!$E$2:$F$9,2,FALSE)</f>
        <v>Work</v>
      </c>
      <c r="V1121" s="30" t="str">
        <f t="shared" si="68"/>
        <v>Home-Work</v>
      </c>
      <c r="W1121" s="23">
        <v>60000</v>
      </c>
      <c r="X1121" s="50">
        <v>50</v>
      </c>
      <c r="Y1121" s="50" t="str">
        <f t="shared" si="69"/>
        <v>40-70</v>
      </c>
      <c r="Z1121" s="50">
        <v>1</v>
      </c>
      <c r="AA1121" s="50" t="str">
        <f t="shared" si="70"/>
        <v>1.0-2.0</v>
      </c>
      <c r="AB1121" s="23">
        <v>2</v>
      </c>
      <c r="AC1121" s="30" t="str">
        <f>VLOOKUP(AB1121,[5]Key!$C$20:$D$29,2,FALSE)</f>
        <v>Manual Labour</v>
      </c>
      <c r="AD1121" s="23">
        <v>1</v>
      </c>
      <c r="AE1121" s="30" t="str">
        <f>VLOOKUP(AD1121,[5]Key!$E$20:$F$24,2,FALSE)</f>
        <v>&lt;300,000</v>
      </c>
      <c r="AF1121" s="23">
        <v>3</v>
      </c>
      <c r="AG1121" s="50">
        <v>1</v>
      </c>
      <c r="AH1121" s="50">
        <v>2</v>
      </c>
      <c r="AI1121" s="50">
        <v>5</v>
      </c>
      <c r="AJ1121" s="50">
        <v>4</v>
      </c>
      <c r="AK1121" s="46" t="s">
        <v>94</v>
      </c>
      <c r="AL1121" s="36">
        <v>1000</v>
      </c>
      <c r="AM1121" t="str">
        <f t="shared" si="71"/>
        <v>1000-2000</v>
      </c>
    </row>
    <row r="1122" spans="1:39" x14ac:dyDescent="0.2">
      <c r="A1122" s="44">
        <v>43757</v>
      </c>
      <c r="B1122" s="48">
        <v>0.36249999999999999</v>
      </c>
      <c r="C1122" s="48"/>
      <c r="D1122" s="48" t="s">
        <v>97</v>
      </c>
      <c r="E1122" s="13">
        <v>2</v>
      </c>
      <c r="F1122" s="38" t="str">
        <f>VLOOKUP(E1122,[5]Key!$A$17:$B$21,2,FALSE)</f>
        <v>Road Vehicle</v>
      </c>
      <c r="G1122" s="49">
        <v>1</v>
      </c>
      <c r="H1122" s="39" t="str">
        <f>VLOOKUP(G1122,[5]Key!$A$2:$B$14,2,FALSE)</f>
        <v>Car</v>
      </c>
      <c r="I1122" s="13" t="s">
        <v>109</v>
      </c>
      <c r="J1122" s="13">
        <v>1</v>
      </c>
      <c r="K1122" s="40" t="str">
        <f>VLOOKUP(J1122,[5]Key!$A$24:$B$29,2,FALSE)</f>
        <v>20-29</v>
      </c>
      <c r="L1122" s="13" t="s">
        <v>446</v>
      </c>
      <c r="M1122" s="23" t="s">
        <v>439</v>
      </c>
      <c r="N1122" s="13" t="s">
        <v>221</v>
      </c>
      <c r="O1122" s="46">
        <v>2</v>
      </c>
      <c r="P1122" s="30" t="str">
        <f>VLOOKUP(O1122,[5]Key!$E$2:$F$9,2,FALSE)</f>
        <v>Work</v>
      </c>
      <c r="Q1122" s="13" t="s">
        <v>421</v>
      </c>
      <c r="R1122" s="23" t="s">
        <v>421</v>
      </c>
      <c r="S1122" s="13" t="s">
        <v>221</v>
      </c>
      <c r="T1122" s="23">
        <v>2</v>
      </c>
      <c r="U1122" s="30" t="str">
        <f>VLOOKUP(T1122,[5]Key!$E$2:$F$9,2,FALSE)</f>
        <v>Work</v>
      </c>
      <c r="V1122" s="30" t="str">
        <f t="shared" si="68"/>
        <v>Work-Work</v>
      </c>
      <c r="W1122" s="23">
        <v>40000</v>
      </c>
      <c r="X1122" s="50">
        <v>0.7</v>
      </c>
      <c r="Y1122" s="50" t="str">
        <f t="shared" si="69"/>
        <v>0-10</v>
      </c>
      <c r="Z1122" s="50">
        <v>1</v>
      </c>
      <c r="AA1122" s="50" t="str">
        <f t="shared" si="70"/>
        <v>1.0-2.0</v>
      </c>
      <c r="AB1122" s="23">
        <v>2</v>
      </c>
      <c r="AC1122" s="30" t="str">
        <f>VLOOKUP(AB1122,[5]Key!$C$20:$D$29,2,FALSE)</f>
        <v>Manual Labour</v>
      </c>
      <c r="AD1122" s="23">
        <v>1</v>
      </c>
      <c r="AE1122" s="30" t="str">
        <f>VLOOKUP(AD1122,[5]Key!$E$20:$F$24,2,FALSE)</f>
        <v>&lt;300,000</v>
      </c>
      <c r="AF1122" s="23">
        <v>3</v>
      </c>
      <c r="AG1122" s="50">
        <v>1</v>
      </c>
      <c r="AH1122" s="50">
        <v>2</v>
      </c>
      <c r="AI1122" s="50">
        <v>4</v>
      </c>
      <c r="AJ1122" s="50">
        <v>5</v>
      </c>
      <c r="AK1122" s="46" t="s">
        <v>94</v>
      </c>
      <c r="AL1122" s="36">
        <v>5000</v>
      </c>
      <c r="AM1122" t="str">
        <f t="shared" si="71"/>
        <v>5000-10000</v>
      </c>
    </row>
    <row r="1123" spans="1:39" x14ac:dyDescent="0.2">
      <c r="A1123" s="44">
        <v>43758</v>
      </c>
      <c r="B1123" s="48">
        <v>0.29791666666666666</v>
      </c>
      <c r="C1123" s="48"/>
      <c r="D1123" s="48" t="s">
        <v>97</v>
      </c>
      <c r="E1123" s="13">
        <v>2</v>
      </c>
      <c r="F1123" s="38" t="str">
        <f>VLOOKUP(E1123,[5]Key!$A$17:$B$21,2,FALSE)</f>
        <v>Road Vehicle</v>
      </c>
      <c r="G1123" s="49">
        <v>1</v>
      </c>
      <c r="H1123" s="39" t="str">
        <f>VLOOKUP(G1123,[5]Key!$A$2:$B$14,2,FALSE)</f>
        <v>Car</v>
      </c>
      <c r="I1123" s="13" t="s">
        <v>109</v>
      </c>
      <c r="J1123" s="13">
        <v>1</v>
      </c>
      <c r="K1123" s="40" t="str">
        <f>VLOOKUP(J1123,[5]Key!$A$24:$B$29,2,FALSE)</f>
        <v>20-29</v>
      </c>
      <c r="L1123" s="13" t="s">
        <v>446</v>
      </c>
      <c r="M1123" s="23" t="s">
        <v>439</v>
      </c>
      <c r="N1123" s="13" t="s">
        <v>221</v>
      </c>
      <c r="O1123" s="46">
        <v>2</v>
      </c>
      <c r="P1123" s="30" t="str">
        <f>VLOOKUP(O1123,[5]Key!$E$2:$F$9,2,FALSE)</f>
        <v>Work</v>
      </c>
      <c r="Q1123" s="13" t="s">
        <v>719</v>
      </c>
      <c r="R1123" s="23" t="s">
        <v>421</v>
      </c>
      <c r="S1123" s="13" t="s">
        <v>221</v>
      </c>
      <c r="T1123" s="23">
        <v>2</v>
      </c>
      <c r="U1123" s="30" t="str">
        <f>VLOOKUP(T1123,[5]Key!$E$2:$F$9,2,FALSE)</f>
        <v>Work</v>
      </c>
      <c r="V1123" s="30" t="str">
        <f t="shared" si="68"/>
        <v>Work-Work</v>
      </c>
      <c r="W1123" s="23">
        <v>20000</v>
      </c>
      <c r="X1123" s="50">
        <v>83</v>
      </c>
      <c r="Y1123" s="50" t="str">
        <f t="shared" si="69"/>
        <v>70-100</v>
      </c>
      <c r="Z1123" s="50">
        <v>0.5</v>
      </c>
      <c r="AA1123" s="50" t="str">
        <f t="shared" si="70"/>
        <v>0.5-1.0</v>
      </c>
      <c r="AB1123" s="23">
        <v>10</v>
      </c>
      <c r="AC1123" s="30" t="str">
        <f>VLOOKUP(AB1123,[5]Key!$C$20:$D$29,2,FALSE)</f>
        <v>Other</v>
      </c>
      <c r="AD1123" s="23">
        <v>1</v>
      </c>
      <c r="AE1123" s="30" t="str">
        <f>VLOOKUP(AD1123,[5]Key!$E$20:$F$24,2,FALSE)</f>
        <v>&lt;300,000</v>
      </c>
      <c r="AF1123" s="23">
        <v>3</v>
      </c>
      <c r="AG1123" s="50">
        <v>2</v>
      </c>
      <c r="AH1123" s="50">
        <v>5</v>
      </c>
      <c r="AI1123" s="50">
        <v>1</v>
      </c>
      <c r="AJ1123" s="50">
        <v>4</v>
      </c>
      <c r="AK1123" s="46" t="s">
        <v>94</v>
      </c>
      <c r="AL1123" s="36">
        <v>500</v>
      </c>
      <c r="AM1123" t="str">
        <f t="shared" si="71"/>
        <v>0-1000</v>
      </c>
    </row>
    <row r="1124" spans="1:39" x14ac:dyDescent="0.2">
      <c r="A1124" s="44">
        <v>43758</v>
      </c>
      <c r="B1124" s="48">
        <v>0.6381944444444444</v>
      </c>
      <c r="C1124" s="48"/>
      <c r="D1124" s="48" t="s">
        <v>97</v>
      </c>
      <c r="E1124" s="13">
        <v>2</v>
      </c>
      <c r="F1124" s="38" t="str">
        <f>VLOOKUP(E1124,[5]Key!$A$17:$B$21,2,FALSE)</f>
        <v>Road Vehicle</v>
      </c>
      <c r="G1124" s="49">
        <v>1</v>
      </c>
      <c r="H1124" s="39" t="str">
        <f>VLOOKUP(G1124,[5]Key!$A$2:$B$14,2,FALSE)</f>
        <v>Car</v>
      </c>
      <c r="I1124" s="13" t="s">
        <v>109</v>
      </c>
      <c r="J1124" s="13">
        <v>1</v>
      </c>
      <c r="K1124" s="40" t="str">
        <f>VLOOKUP(J1124,[5]Key!$A$24:$B$29,2,FALSE)</f>
        <v>20-29</v>
      </c>
      <c r="L1124" s="13" t="s">
        <v>446</v>
      </c>
      <c r="M1124" s="23" t="s">
        <v>439</v>
      </c>
      <c r="N1124" s="13" t="s">
        <v>221</v>
      </c>
      <c r="O1124" s="46">
        <v>2</v>
      </c>
      <c r="P1124" s="30" t="str">
        <f>VLOOKUP(O1124,[5]Key!$E$2:$F$9,2,FALSE)</f>
        <v>Work</v>
      </c>
      <c r="Q1124" s="13" t="s">
        <v>719</v>
      </c>
      <c r="R1124" s="23" t="s">
        <v>421</v>
      </c>
      <c r="S1124" s="13" t="s">
        <v>221</v>
      </c>
      <c r="T1124" s="23">
        <v>2</v>
      </c>
      <c r="U1124" s="30" t="str">
        <f>VLOOKUP(T1124,[5]Key!$E$2:$F$9,2,FALSE)</f>
        <v>Work</v>
      </c>
      <c r="V1124" s="30" t="str">
        <f t="shared" si="68"/>
        <v>Work-Work</v>
      </c>
      <c r="W1124" s="23">
        <v>90000</v>
      </c>
      <c r="X1124" s="50"/>
      <c r="Y1124" s="50" t="str">
        <f t="shared" si="69"/>
        <v>0-10</v>
      </c>
      <c r="Z1124" s="50">
        <v>0.8</v>
      </c>
      <c r="AA1124" s="50" t="str">
        <f t="shared" si="70"/>
        <v>0.5-1.0</v>
      </c>
      <c r="AB1124" s="23">
        <v>10</v>
      </c>
      <c r="AC1124" s="30" t="str">
        <f>VLOOKUP(AB1124,[5]Key!$C$20:$D$29,2,FALSE)</f>
        <v>Other</v>
      </c>
      <c r="AD1124" s="23">
        <v>1</v>
      </c>
      <c r="AE1124" s="30" t="str">
        <f>VLOOKUP(AD1124,[5]Key!$E$20:$F$24,2,FALSE)</f>
        <v>&lt;300,000</v>
      </c>
      <c r="AF1124" s="23">
        <v>5</v>
      </c>
      <c r="AG1124" s="50">
        <v>2</v>
      </c>
      <c r="AH1124" s="50">
        <v>3</v>
      </c>
      <c r="AI1124" s="50">
        <v>1</v>
      </c>
      <c r="AJ1124" s="50">
        <v>4</v>
      </c>
      <c r="AK1124" s="46" t="s">
        <v>94</v>
      </c>
      <c r="AL1124" s="36">
        <v>1000</v>
      </c>
      <c r="AM1124" t="str">
        <f t="shared" si="71"/>
        <v>1000-2000</v>
      </c>
    </row>
    <row r="1125" spans="1:39" x14ac:dyDescent="0.2">
      <c r="A1125" s="44">
        <v>43758</v>
      </c>
      <c r="B1125" s="48">
        <v>0.6069444444444444</v>
      </c>
      <c r="C1125" s="48"/>
      <c r="D1125" s="48" t="s">
        <v>97</v>
      </c>
      <c r="E1125" s="13">
        <v>2</v>
      </c>
      <c r="F1125" s="38" t="str">
        <f>VLOOKUP(E1125,[5]Key!$A$17:$B$21,2,FALSE)</f>
        <v>Road Vehicle</v>
      </c>
      <c r="G1125" s="49">
        <v>1</v>
      </c>
      <c r="H1125" s="39" t="str">
        <f>VLOOKUP(G1125,[5]Key!$A$2:$B$14,2,FALSE)</f>
        <v>Car</v>
      </c>
      <c r="I1125" s="13" t="s">
        <v>109</v>
      </c>
      <c r="J1125" s="13">
        <v>1</v>
      </c>
      <c r="K1125" s="40" t="str">
        <f>VLOOKUP(J1125,[5]Key!$A$24:$B$29,2,FALSE)</f>
        <v>20-29</v>
      </c>
      <c r="L1125" s="13" t="s">
        <v>446</v>
      </c>
      <c r="M1125" s="23" t="s">
        <v>439</v>
      </c>
      <c r="N1125" s="13" t="s">
        <v>221</v>
      </c>
      <c r="O1125" s="46">
        <v>2</v>
      </c>
      <c r="P1125" s="30" t="str">
        <f>VLOOKUP(O1125,[5]Key!$E$2:$F$9,2,FALSE)</f>
        <v>Work</v>
      </c>
      <c r="Q1125" s="13" t="s">
        <v>719</v>
      </c>
      <c r="R1125" s="23" t="s">
        <v>421</v>
      </c>
      <c r="S1125" s="13" t="s">
        <v>221</v>
      </c>
      <c r="T1125" s="23">
        <v>2</v>
      </c>
      <c r="U1125" s="30" t="str">
        <f>VLOOKUP(T1125,[5]Key!$E$2:$F$9,2,FALSE)</f>
        <v>Work</v>
      </c>
      <c r="V1125" s="30" t="str">
        <f t="shared" si="68"/>
        <v>Work-Work</v>
      </c>
      <c r="W1125" s="23">
        <v>60000</v>
      </c>
      <c r="X1125" s="50"/>
      <c r="Y1125" s="50" t="str">
        <f t="shared" si="69"/>
        <v>0-10</v>
      </c>
      <c r="Z1125" s="50">
        <v>0.8</v>
      </c>
      <c r="AA1125" s="50" t="str">
        <f t="shared" si="70"/>
        <v>0.5-1.0</v>
      </c>
      <c r="AB1125" s="23">
        <v>10</v>
      </c>
      <c r="AC1125" s="30" t="str">
        <f>VLOOKUP(AB1125,[5]Key!$C$20:$D$29,2,FALSE)</f>
        <v>Other</v>
      </c>
      <c r="AD1125" s="23">
        <v>2</v>
      </c>
      <c r="AE1125" s="30" t="str">
        <f>VLOOKUP(AD1125,[5]Key!$E$20:$F$24,2,FALSE)</f>
        <v>300,000-500,000</v>
      </c>
      <c r="AF1125" s="23">
        <v>3</v>
      </c>
      <c r="AG1125" s="50">
        <v>2</v>
      </c>
      <c r="AH1125" s="50">
        <v>5</v>
      </c>
      <c r="AI1125" s="50">
        <v>1</v>
      </c>
      <c r="AJ1125" s="50">
        <v>4</v>
      </c>
      <c r="AK1125" s="46" t="s">
        <v>94</v>
      </c>
      <c r="AL1125" s="36">
        <v>600</v>
      </c>
      <c r="AM1125" t="str">
        <f t="shared" si="71"/>
        <v>0-1000</v>
      </c>
    </row>
    <row r="1126" spans="1:39" x14ac:dyDescent="0.2">
      <c r="A1126" s="44">
        <v>43758</v>
      </c>
      <c r="B1126" s="48">
        <v>0.70763888888888893</v>
      </c>
      <c r="C1126" s="48"/>
      <c r="D1126" s="48" t="s">
        <v>150</v>
      </c>
      <c r="E1126" s="13">
        <v>2</v>
      </c>
      <c r="F1126" s="38" t="str">
        <f>VLOOKUP(E1126,[5]Key!$A$17:$B$21,2,FALSE)</f>
        <v>Road Vehicle</v>
      </c>
      <c r="G1126" s="49">
        <v>1</v>
      </c>
      <c r="H1126" s="39" t="str">
        <f>VLOOKUP(G1126,[5]Key!$A$2:$B$14,2,FALSE)</f>
        <v>Car</v>
      </c>
      <c r="I1126" s="13" t="s">
        <v>109</v>
      </c>
      <c r="J1126" s="13">
        <v>1</v>
      </c>
      <c r="K1126" s="40" t="str">
        <f>VLOOKUP(J1126,[5]Key!$A$24:$B$29,2,FALSE)</f>
        <v>20-29</v>
      </c>
      <c r="L1126" s="13" t="s">
        <v>446</v>
      </c>
      <c r="M1126" s="23" t="s">
        <v>439</v>
      </c>
      <c r="N1126" s="13" t="s">
        <v>221</v>
      </c>
      <c r="O1126" s="46">
        <v>6</v>
      </c>
      <c r="P1126" s="30" t="str">
        <f>VLOOKUP(O1126,[5]Key!$E$2:$F$9,2,FALSE)</f>
        <v>Leisure/Social</v>
      </c>
      <c r="Q1126" s="13" t="s">
        <v>735</v>
      </c>
      <c r="R1126" s="23" t="s">
        <v>736</v>
      </c>
      <c r="S1126" s="13" t="s">
        <v>221</v>
      </c>
      <c r="T1126" s="23">
        <v>1</v>
      </c>
      <c r="U1126" s="30" t="str">
        <f>VLOOKUP(T1126,[5]Key!$E$2:$F$9,2,FALSE)</f>
        <v>Home</v>
      </c>
      <c r="V1126" s="30" t="str">
        <f t="shared" si="68"/>
        <v>Leisure/Social-Home</v>
      </c>
      <c r="W1126" s="23">
        <v>7000</v>
      </c>
      <c r="X1126" s="50"/>
      <c r="Y1126" s="50" t="str">
        <f t="shared" si="69"/>
        <v>0-10</v>
      </c>
      <c r="Z1126" s="50">
        <v>0.7</v>
      </c>
      <c r="AA1126" s="50" t="str">
        <f t="shared" si="70"/>
        <v>0.5-1.0</v>
      </c>
      <c r="AB1126" s="23">
        <v>4</v>
      </c>
      <c r="AC1126" s="30" t="str">
        <f>VLOOKUP(AB1126,[5]Key!$C$20:$D$29,2,FALSE)</f>
        <v>Office Worker</v>
      </c>
      <c r="AD1126" s="23">
        <v>2</v>
      </c>
      <c r="AE1126" s="30" t="str">
        <f>VLOOKUP(AD1126,[5]Key!$E$20:$F$24,2,FALSE)</f>
        <v>300,000-500,000</v>
      </c>
      <c r="AF1126" s="23">
        <v>5</v>
      </c>
      <c r="AG1126" s="50">
        <v>4</v>
      </c>
      <c r="AH1126" s="50">
        <v>1</v>
      </c>
      <c r="AI1126" s="50">
        <v>2</v>
      </c>
      <c r="AJ1126" s="50">
        <v>3</v>
      </c>
      <c r="AK1126" s="46" t="s">
        <v>94</v>
      </c>
      <c r="AL1126" s="36">
        <v>2000</v>
      </c>
      <c r="AM1126" t="str">
        <f t="shared" si="71"/>
        <v>2000-3000</v>
      </c>
    </row>
    <row r="1127" spans="1:39" x14ac:dyDescent="0.2">
      <c r="A1127" s="44">
        <v>43758</v>
      </c>
      <c r="B1127" s="48">
        <v>0.71666666666666667</v>
      </c>
      <c r="C1127" s="48"/>
      <c r="D1127" s="48" t="s">
        <v>150</v>
      </c>
      <c r="E1127" s="13">
        <v>2</v>
      </c>
      <c r="F1127" s="38" t="str">
        <f>VLOOKUP(E1127,[5]Key!$A$17:$B$21,2,FALSE)</f>
        <v>Road Vehicle</v>
      </c>
      <c r="G1127" s="49">
        <v>1</v>
      </c>
      <c r="H1127" s="39" t="str">
        <f>VLOOKUP(G1127,[5]Key!$A$2:$B$14,2,FALSE)</f>
        <v>Car</v>
      </c>
      <c r="I1127" s="13" t="s">
        <v>109</v>
      </c>
      <c r="J1127" s="13">
        <v>1</v>
      </c>
      <c r="K1127" s="40" t="str">
        <f>VLOOKUP(J1127,[5]Key!$A$24:$B$29,2,FALSE)</f>
        <v>20-29</v>
      </c>
      <c r="L1127" s="13" t="s">
        <v>711</v>
      </c>
      <c r="M1127" s="23" t="s">
        <v>439</v>
      </c>
      <c r="N1127" s="13" t="s">
        <v>221</v>
      </c>
      <c r="O1127" s="46">
        <v>2</v>
      </c>
      <c r="P1127" s="30" t="str">
        <f>VLOOKUP(O1127,[5]Key!$E$2:$F$9,2,FALSE)</f>
        <v>Work</v>
      </c>
      <c r="Q1127" s="13" t="s">
        <v>719</v>
      </c>
      <c r="R1127" s="23" t="s">
        <v>421</v>
      </c>
      <c r="S1127" s="13" t="s">
        <v>221</v>
      </c>
      <c r="T1127" s="23">
        <v>1</v>
      </c>
      <c r="U1127" s="30" t="str">
        <f>VLOOKUP(T1127,[5]Key!$E$2:$F$9,2,FALSE)</f>
        <v>Home</v>
      </c>
      <c r="V1127" s="30" t="str">
        <f t="shared" si="68"/>
        <v>Work-Home</v>
      </c>
      <c r="W1127" s="23">
        <v>10000</v>
      </c>
      <c r="X1127" s="50"/>
      <c r="Y1127" s="50" t="str">
        <f t="shared" si="69"/>
        <v>0-10</v>
      </c>
      <c r="Z1127" s="50">
        <v>1.5</v>
      </c>
      <c r="AA1127" s="50" t="str">
        <f t="shared" si="70"/>
        <v>1.0-2.0</v>
      </c>
      <c r="AB1127" s="23">
        <v>8</v>
      </c>
      <c r="AC1127" s="30" t="str">
        <f>VLOOKUP(AB1127,[5]Key!$C$20:$D$29,2,FALSE)</f>
        <v>Student</v>
      </c>
      <c r="AD1127" s="23">
        <v>1</v>
      </c>
      <c r="AE1127" s="30" t="str">
        <f>VLOOKUP(AD1127,[5]Key!$E$20:$F$24,2,FALSE)</f>
        <v>&lt;300,000</v>
      </c>
      <c r="AF1127" s="23">
        <v>3</v>
      </c>
      <c r="AG1127" s="50">
        <v>1</v>
      </c>
      <c r="AH1127" s="50">
        <v>2</v>
      </c>
      <c r="AI1127" s="50">
        <v>4</v>
      </c>
      <c r="AJ1127" s="50">
        <v>5</v>
      </c>
      <c r="AK1127" s="46" t="s">
        <v>94</v>
      </c>
      <c r="AL1127" s="36">
        <v>1000</v>
      </c>
      <c r="AM1127" t="str">
        <f t="shared" si="71"/>
        <v>1000-2000</v>
      </c>
    </row>
    <row r="1128" spans="1:39" x14ac:dyDescent="0.2">
      <c r="A1128" s="44">
        <v>43758</v>
      </c>
      <c r="B1128" s="48">
        <v>0.44027777777777777</v>
      </c>
      <c r="C1128" s="48"/>
      <c r="D1128" s="48" t="s">
        <v>150</v>
      </c>
      <c r="E1128" s="13">
        <v>2</v>
      </c>
      <c r="F1128" s="38" t="str">
        <f>VLOOKUP(E1128,[5]Key!$A$17:$B$21,2,FALSE)</f>
        <v>Road Vehicle</v>
      </c>
      <c r="G1128" s="49">
        <v>1</v>
      </c>
      <c r="H1128" s="39" t="str">
        <f>VLOOKUP(G1128,[5]Key!$A$2:$B$14,2,FALSE)</f>
        <v>Car</v>
      </c>
      <c r="I1128" s="13" t="s">
        <v>109</v>
      </c>
      <c r="J1128" s="13">
        <v>1</v>
      </c>
      <c r="K1128" s="40" t="str">
        <f>VLOOKUP(J1128,[5]Key!$A$24:$B$29,2,FALSE)</f>
        <v>20-29</v>
      </c>
      <c r="L1128" s="13" t="s">
        <v>441</v>
      </c>
      <c r="M1128" s="23" t="s">
        <v>441</v>
      </c>
      <c r="N1128" s="13" t="s">
        <v>221</v>
      </c>
      <c r="O1128" s="46">
        <v>4</v>
      </c>
      <c r="P1128" s="30" t="str">
        <f>VLOOKUP(O1128,[5]Key!$E$2:$F$9,2,FALSE)</f>
        <v>Commercial</v>
      </c>
      <c r="Q1128" s="13" t="s">
        <v>701</v>
      </c>
      <c r="R1128" s="23" t="s">
        <v>439</v>
      </c>
      <c r="S1128" s="13" t="s">
        <v>221</v>
      </c>
      <c r="T1128" s="23">
        <v>4</v>
      </c>
      <c r="U1128" s="30" t="str">
        <f>VLOOKUP(T1128,[5]Key!$E$2:$F$9,2,FALSE)</f>
        <v>Commercial</v>
      </c>
      <c r="V1128" s="30" t="str">
        <f t="shared" si="68"/>
        <v>Commercial-Commercial</v>
      </c>
      <c r="W1128" s="23">
        <v>5000</v>
      </c>
      <c r="X1128" s="50">
        <v>58</v>
      </c>
      <c r="Y1128" s="50" t="str">
        <f t="shared" si="69"/>
        <v>40-70</v>
      </c>
      <c r="Z1128" s="50">
        <v>0.8</v>
      </c>
      <c r="AA1128" s="50" t="str">
        <f t="shared" si="70"/>
        <v>0.5-1.0</v>
      </c>
      <c r="AB1128" s="23">
        <v>7</v>
      </c>
      <c r="AC1128" s="30" t="str">
        <f>VLOOKUP(AB1128,[5]Key!$C$20:$D$29,2,FALSE)</f>
        <v>Farmer</v>
      </c>
      <c r="AD1128" s="23">
        <v>2</v>
      </c>
      <c r="AE1128" s="30" t="str">
        <f>VLOOKUP(AD1128,[5]Key!$E$20:$F$24,2,FALSE)</f>
        <v>300,000-500,000</v>
      </c>
      <c r="AF1128" s="23">
        <v>1</v>
      </c>
      <c r="AG1128" s="50">
        <v>5</v>
      </c>
      <c r="AH1128" s="50">
        <v>4</v>
      </c>
      <c r="AI1128" s="50">
        <v>3</v>
      </c>
      <c r="AJ1128" s="50">
        <v>2</v>
      </c>
      <c r="AK1128" s="46" t="s">
        <v>94</v>
      </c>
      <c r="AL1128" s="36">
        <v>1000</v>
      </c>
      <c r="AM1128" t="str">
        <f t="shared" si="71"/>
        <v>1000-2000</v>
      </c>
    </row>
    <row r="1129" spans="1:39" x14ac:dyDescent="0.2">
      <c r="A1129" s="44">
        <v>43757</v>
      </c>
      <c r="B1129" s="48">
        <v>0.34930555555555554</v>
      </c>
      <c r="C1129" s="48"/>
      <c r="D1129" s="48" t="s">
        <v>150</v>
      </c>
      <c r="E1129" s="13">
        <v>2</v>
      </c>
      <c r="F1129" s="38" t="str">
        <f>VLOOKUP(E1129,[5]Key!$A$17:$B$21,2,FALSE)</f>
        <v>Road Vehicle</v>
      </c>
      <c r="G1129" s="49">
        <v>6</v>
      </c>
      <c r="H1129" s="39" t="str">
        <f>VLOOKUP(G1129,[5]Key!$A$2:$B$14,2,FALSE)</f>
        <v>Large Bus</v>
      </c>
      <c r="I1129" s="13" t="s">
        <v>156</v>
      </c>
      <c r="J1129" s="13">
        <v>1</v>
      </c>
      <c r="K1129" s="40" t="str">
        <f>VLOOKUP(J1129,[5]Key!$A$24:$B$29,2,FALSE)</f>
        <v>20-29</v>
      </c>
      <c r="L1129" s="13" t="s">
        <v>737</v>
      </c>
      <c r="M1129" s="23" t="s">
        <v>421</v>
      </c>
      <c r="N1129" s="13" t="s">
        <v>221</v>
      </c>
      <c r="O1129" s="46">
        <v>3</v>
      </c>
      <c r="P1129" s="30" t="str">
        <f>VLOOKUP(O1129,[5]Key!$E$2:$F$9,2,FALSE)</f>
        <v>Study</v>
      </c>
      <c r="Q1129" s="13" t="s">
        <v>738</v>
      </c>
      <c r="R1129" s="23" t="s">
        <v>738</v>
      </c>
      <c r="S1129" s="13" t="s">
        <v>221</v>
      </c>
      <c r="T1129" s="23">
        <v>1</v>
      </c>
      <c r="U1129" s="30" t="str">
        <f>VLOOKUP(T1129,[5]Key!$E$2:$F$9,2,FALSE)</f>
        <v>Home</v>
      </c>
      <c r="V1129" s="30" t="str">
        <f t="shared" si="68"/>
        <v>Study-Home</v>
      </c>
      <c r="W1129" s="23">
        <v>10000</v>
      </c>
      <c r="X1129" s="50">
        <v>55</v>
      </c>
      <c r="Y1129" s="50" t="str">
        <f t="shared" si="69"/>
        <v>40-70</v>
      </c>
      <c r="Z1129" s="50">
        <v>1.5</v>
      </c>
      <c r="AA1129" s="50" t="str">
        <f t="shared" si="70"/>
        <v>1.0-2.0</v>
      </c>
      <c r="AB1129" s="23">
        <v>8</v>
      </c>
      <c r="AC1129" s="30" t="str">
        <f>VLOOKUP(AB1129,[5]Key!$C$20:$D$29,2,FALSE)</f>
        <v>Student</v>
      </c>
      <c r="AD1129" s="23">
        <v>1</v>
      </c>
      <c r="AE1129" s="30" t="str">
        <f>VLOOKUP(AD1129,[5]Key!$E$20:$F$24,2,FALSE)</f>
        <v>&lt;300,000</v>
      </c>
      <c r="AF1129" s="23">
        <v>1</v>
      </c>
      <c r="AG1129" s="50">
        <v>4</v>
      </c>
      <c r="AH1129" s="50">
        <v>5</v>
      </c>
      <c r="AI1129" s="50">
        <v>2</v>
      </c>
      <c r="AJ1129" s="50">
        <v>3</v>
      </c>
      <c r="AK1129" s="46" t="s">
        <v>94</v>
      </c>
      <c r="AL1129" s="36">
        <v>1000</v>
      </c>
      <c r="AM1129" t="str">
        <f t="shared" si="71"/>
        <v>1000-2000</v>
      </c>
    </row>
    <row r="1130" spans="1:39" x14ac:dyDescent="0.2">
      <c r="A1130" s="44">
        <v>43757</v>
      </c>
      <c r="B1130" s="48">
        <v>0.4513888888888889</v>
      </c>
      <c r="C1130" s="48"/>
      <c r="D1130" s="48" t="s">
        <v>150</v>
      </c>
      <c r="E1130" s="13">
        <v>2</v>
      </c>
      <c r="F1130" s="38" t="str">
        <f>VLOOKUP(E1130,[5]Key!$A$17:$B$21,2,FALSE)</f>
        <v>Road Vehicle</v>
      </c>
      <c r="G1130" s="49">
        <v>6</v>
      </c>
      <c r="H1130" s="39" t="str">
        <f>VLOOKUP(G1130,[5]Key!$A$2:$B$14,2,FALSE)</f>
        <v>Large Bus</v>
      </c>
      <c r="I1130" s="13" t="s">
        <v>156</v>
      </c>
      <c r="J1130" s="13">
        <v>1</v>
      </c>
      <c r="K1130" s="40" t="str">
        <f>VLOOKUP(J1130,[5]Key!$A$24:$B$29,2,FALSE)</f>
        <v>20-29</v>
      </c>
      <c r="L1130" s="13" t="s">
        <v>439</v>
      </c>
      <c r="M1130" s="23" t="s">
        <v>439</v>
      </c>
      <c r="N1130" s="13" t="s">
        <v>221</v>
      </c>
      <c r="O1130" s="46">
        <v>4</v>
      </c>
      <c r="P1130" s="30" t="str">
        <f>VLOOKUP(O1130,[5]Key!$E$2:$F$9,2,FALSE)</f>
        <v>Commercial</v>
      </c>
      <c r="Q1130" s="13" t="s">
        <v>739</v>
      </c>
      <c r="R1130" s="23" t="s">
        <v>421</v>
      </c>
      <c r="S1130" s="13" t="s">
        <v>221</v>
      </c>
      <c r="T1130" s="23">
        <v>4</v>
      </c>
      <c r="U1130" s="30" t="str">
        <f>VLOOKUP(T1130,[5]Key!$E$2:$F$9,2,FALSE)</f>
        <v>Commercial</v>
      </c>
      <c r="V1130" s="30" t="str">
        <f t="shared" si="68"/>
        <v>Commercial-Commercial</v>
      </c>
      <c r="W1130" s="23">
        <v>7000</v>
      </c>
      <c r="X1130" s="50">
        <v>56</v>
      </c>
      <c r="Y1130" s="50" t="str">
        <f t="shared" si="69"/>
        <v>40-70</v>
      </c>
      <c r="Z1130" s="50">
        <v>2</v>
      </c>
      <c r="AA1130" s="50" t="str">
        <f t="shared" si="70"/>
        <v>2.0-3.5</v>
      </c>
      <c r="AB1130" s="23">
        <v>2</v>
      </c>
      <c r="AC1130" s="30" t="str">
        <f>VLOOKUP(AB1130,[5]Key!$C$20:$D$29,2,FALSE)</f>
        <v>Manual Labour</v>
      </c>
      <c r="AD1130" s="23">
        <v>1</v>
      </c>
      <c r="AE1130" s="30" t="str">
        <f>VLOOKUP(AD1130,[5]Key!$E$20:$F$24,2,FALSE)</f>
        <v>&lt;300,000</v>
      </c>
      <c r="AF1130" s="23">
        <v>5</v>
      </c>
      <c r="AG1130" s="50">
        <v>3</v>
      </c>
      <c r="AH1130" s="50">
        <v>4</v>
      </c>
      <c r="AI1130" s="50">
        <v>1</v>
      </c>
      <c r="AJ1130" s="50">
        <v>2</v>
      </c>
      <c r="AK1130" s="46" t="s">
        <v>700</v>
      </c>
      <c r="AL1130" s="36"/>
      <c r="AM1130" t="str">
        <f t="shared" si="71"/>
        <v>0-1000</v>
      </c>
    </row>
    <row r="1131" spans="1:39" x14ac:dyDescent="0.2">
      <c r="A1131" s="44">
        <v>43758</v>
      </c>
      <c r="B1131" s="48">
        <v>0.68194444444444446</v>
      </c>
      <c r="C1131" s="48"/>
      <c r="D1131" s="48" t="s">
        <v>150</v>
      </c>
      <c r="E1131" s="13">
        <v>2</v>
      </c>
      <c r="F1131" s="38" t="str">
        <f>VLOOKUP(E1131,[5]Key!$A$17:$B$21,2,FALSE)</f>
        <v>Road Vehicle</v>
      </c>
      <c r="G1131" s="49">
        <v>6</v>
      </c>
      <c r="H1131" s="39" t="str">
        <f>VLOOKUP(G1131,[5]Key!$A$2:$B$14,2,FALSE)</f>
        <v>Large Bus</v>
      </c>
      <c r="I1131" s="13" t="s">
        <v>156</v>
      </c>
      <c r="J1131" s="13">
        <v>1</v>
      </c>
      <c r="K1131" s="40" t="str">
        <f>VLOOKUP(J1131,[5]Key!$A$24:$B$29,2,FALSE)</f>
        <v>20-29</v>
      </c>
      <c r="L1131" s="13" t="s">
        <v>153</v>
      </c>
      <c r="M1131" s="23" t="s">
        <v>153</v>
      </c>
      <c r="N1131" s="13" t="s">
        <v>221</v>
      </c>
      <c r="O1131" s="46">
        <v>2</v>
      </c>
      <c r="P1131" s="30" t="str">
        <f>VLOOKUP(O1131,[5]Key!$E$2:$F$9,2,FALSE)</f>
        <v>Work</v>
      </c>
      <c r="Q1131" s="13" t="s">
        <v>446</v>
      </c>
      <c r="R1131" s="23" t="s">
        <v>439</v>
      </c>
      <c r="S1131" s="13" t="s">
        <v>221</v>
      </c>
      <c r="T1131" s="23">
        <v>4</v>
      </c>
      <c r="U1131" s="30" t="str">
        <f>VLOOKUP(T1131,[5]Key!$E$2:$F$9,2,FALSE)</f>
        <v>Commercial</v>
      </c>
      <c r="V1131" s="30" t="str">
        <f t="shared" si="68"/>
        <v>Work-Commercial</v>
      </c>
      <c r="W1131" s="23">
        <v>20000</v>
      </c>
      <c r="X1131" s="50">
        <v>300</v>
      </c>
      <c r="Y1131" s="50" t="str">
        <f t="shared" si="69"/>
        <v>Over 200</v>
      </c>
      <c r="Z1131" s="50">
        <v>4</v>
      </c>
      <c r="AA1131" s="50" t="str">
        <f t="shared" si="70"/>
        <v>Over 3.5</v>
      </c>
      <c r="AB1131" s="23">
        <v>6</v>
      </c>
      <c r="AC1131" s="30" t="str">
        <f>VLOOKUP(AB1131,[5]Key!$C$20:$D$29,2,FALSE)</f>
        <v>Businessman</v>
      </c>
      <c r="AD1131" s="23">
        <v>5</v>
      </c>
      <c r="AE1131" s="30" t="str">
        <f>VLOOKUP(AD1131,[5]Key!$E$20:$F$24,2,FALSE)</f>
        <v>&gt;1,000,000</v>
      </c>
      <c r="AF1131" s="23">
        <v>3</v>
      </c>
      <c r="AG1131" s="50">
        <v>1</v>
      </c>
      <c r="AH1131" s="50">
        <v>2</v>
      </c>
      <c r="AI1131" s="50">
        <v>4</v>
      </c>
      <c r="AJ1131" s="50">
        <v>5</v>
      </c>
      <c r="AK1131" s="46" t="s">
        <v>94</v>
      </c>
      <c r="AL1131" s="36">
        <v>2000</v>
      </c>
      <c r="AM1131" t="str">
        <f t="shared" si="71"/>
        <v>2000-3000</v>
      </c>
    </row>
    <row r="1132" spans="1:39" x14ac:dyDescent="0.2">
      <c r="A1132" s="44">
        <v>43758</v>
      </c>
      <c r="B1132" s="48">
        <v>0.31666666666666665</v>
      </c>
      <c r="C1132" s="48"/>
      <c r="D1132" s="48" t="s">
        <v>150</v>
      </c>
      <c r="E1132" s="13">
        <v>2</v>
      </c>
      <c r="F1132" s="38" t="str">
        <f>VLOOKUP(E1132,[5]Key!$A$17:$B$21,2,FALSE)</f>
        <v>Road Vehicle</v>
      </c>
      <c r="G1132" s="49">
        <v>6</v>
      </c>
      <c r="H1132" s="39" t="str">
        <f>VLOOKUP(G1132,[5]Key!$A$2:$B$14,2,FALSE)</f>
        <v>Large Bus</v>
      </c>
      <c r="I1132" s="13" t="s">
        <v>156</v>
      </c>
      <c r="J1132" s="13">
        <v>1</v>
      </c>
      <c r="K1132" s="40" t="str">
        <f>VLOOKUP(J1132,[5]Key!$A$24:$B$29,2,FALSE)</f>
        <v>20-29</v>
      </c>
      <c r="L1132" s="13" t="s">
        <v>740</v>
      </c>
      <c r="M1132" s="23" t="s">
        <v>452</v>
      </c>
      <c r="N1132" s="13" t="s">
        <v>221</v>
      </c>
      <c r="O1132" s="46">
        <v>1</v>
      </c>
      <c r="P1132" s="30" t="str">
        <f>VLOOKUP(O1132,[5]Key!$E$2:$F$9,2,FALSE)</f>
        <v>Home</v>
      </c>
      <c r="Q1132" s="13" t="s">
        <v>741</v>
      </c>
      <c r="R1132" s="23" t="s">
        <v>168</v>
      </c>
      <c r="S1132" s="13" t="s">
        <v>221</v>
      </c>
      <c r="T1132" s="23">
        <v>2</v>
      </c>
      <c r="U1132" s="30" t="str">
        <f>VLOOKUP(T1132,[5]Key!$E$2:$F$9,2,FALSE)</f>
        <v>Work</v>
      </c>
      <c r="V1132" s="30" t="str">
        <f t="shared" si="68"/>
        <v>Home-Work</v>
      </c>
      <c r="W1132" s="23">
        <v>28000</v>
      </c>
      <c r="X1132" s="50"/>
      <c r="Y1132" s="50" t="str">
        <f t="shared" si="69"/>
        <v>0-10</v>
      </c>
      <c r="Z1132" s="50">
        <v>9</v>
      </c>
      <c r="AA1132" s="50" t="str">
        <f t="shared" si="70"/>
        <v>Over 3.5</v>
      </c>
      <c r="AB1132" s="23">
        <v>2</v>
      </c>
      <c r="AC1132" s="30" t="str">
        <f>VLOOKUP(AB1132,[5]Key!$C$20:$D$29,2,FALSE)</f>
        <v>Manual Labour</v>
      </c>
      <c r="AD1132" s="23">
        <v>1</v>
      </c>
      <c r="AE1132" s="30" t="str">
        <f>VLOOKUP(AD1132,[5]Key!$E$20:$F$24,2,FALSE)</f>
        <v>&lt;300,000</v>
      </c>
      <c r="AF1132" s="23">
        <v>1</v>
      </c>
      <c r="AG1132" s="50">
        <v>2</v>
      </c>
      <c r="AH1132" s="50">
        <v>3</v>
      </c>
      <c r="AI1132" s="50">
        <v>4</v>
      </c>
      <c r="AJ1132" s="50">
        <v>5</v>
      </c>
      <c r="AK1132" s="46" t="s">
        <v>94</v>
      </c>
      <c r="AL1132" s="36"/>
      <c r="AM1132" t="str">
        <f t="shared" si="71"/>
        <v>0-1000</v>
      </c>
    </row>
    <row r="1133" spans="1:39" x14ac:dyDescent="0.2">
      <c r="A1133" s="44">
        <v>43758</v>
      </c>
      <c r="B1133" s="48">
        <v>0.47847222222222219</v>
      </c>
      <c r="C1133" s="48"/>
      <c r="D1133" s="48" t="s">
        <v>150</v>
      </c>
      <c r="E1133" s="13">
        <v>2</v>
      </c>
      <c r="F1133" s="38" t="str">
        <f>VLOOKUP(E1133,[5]Key!$A$17:$B$21,2,FALSE)</f>
        <v>Road Vehicle</v>
      </c>
      <c r="G1133" s="49">
        <v>6</v>
      </c>
      <c r="H1133" s="39" t="str">
        <f>VLOOKUP(G1133,[5]Key!$A$2:$B$14,2,FALSE)</f>
        <v>Large Bus</v>
      </c>
      <c r="I1133" s="13" t="s">
        <v>156</v>
      </c>
      <c r="J1133" s="13">
        <v>1</v>
      </c>
      <c r="K1133" s="40" t="str">
        <f>VLOOKUP(J1133,[5]Key!$A$24:$B$29,2,FALSE)</f>
        <v>20-29</v>
      </c>
      <c r="L1133" s="13" t="s">
        <v>699</v>
      </c>
      <c r="M1133" s="23" t="s">
        <v>439</v>
      </c>
      <c r="N1133" s="13" t="s">
        <v>221</v>
      </c>
      <c r="O1133" s="46">
        <v>1</v>
      </c>
      <c r="P1133" s="30" t="str">
        <f>VLOOKUP(O1133,[5]Key!$E$2:$F$9,2,FALSE)</f>
        <v>Home</v>
      </c>
      <c r="Q1133" s="13" t="s">
        <v>450</v>
      </c>
      <c r="R1133" s="23" t="s">
        <v>168</v>
      </c>
      <c r="S1133" s="13" t="s">
        <v>221</v>
      </c>
      <c r="T1133" s="23">
        <v>5</v>
      </c>
      <c r="U1133" s="30" t="str">
        <f>VLOOKUP(T1133,[5]Key!$E$2:$F$9,2,FALSE)</f>
        <v>Tourism</v>
      </c>
      <c r="V1133" s="30" t="str">
        <f t="shared" si="68"/>
        <v>Home-Tourism</v>
      </c>
      <c r="W1133" s="23">
        <v>20000</v>
      </c>
      <c r="X1133" s="50"/>
      <c r="Y1133" s="50" t="str">
        <f t="shared" si="69"/>
        <v>0-10</v>
      </c>
      <c r="Z1133" s="50">
        <v>5</v>
      </c>
      <c r="AA1133" s="50" t="str">
        <f t="shared" si="70"/>
        <v>Over 3.5</v>
      </c>
      <c r="AB1133" s="23">
        <v>4</v>
      </c>
      <c r="AC1133" s="30" t="str">
        <f>VLOOKUP(AB1133,[5]Key!$C$20:$D$29,2,FALSE)</f>
        <v>Office Worker</v>
      </c>
      <c r="AD1133" s="23">
        <v>3</v>
      </c>
      <c r="AE1133" s="30" t="str">
        <f>VLOOKUP(AD1133,[5]Key!$E$20:$F$24,2,FALSE)</f>
        <v>500,000-750,000</v>
      </c>
      <c r="AF1133" s="23">
        <v>4</v>
      </c>
      <c r="AG1133" s="50">
        <v>1</v>
      </c>
      <c r="AH1133" s="50">
        <v>2</v>
      </c>
      <c r="AI1133" s="50">
        <v>3</v>
      </c>
      <c r="AJ1133" s="50">
        <v>5</v>
      </c>
      <c r="AK1133" s="46" t="s">
        <v>94</v>
      </c>
      <c r="AL1133" s="36">
        <v>1000</v>
      </c>
      <c r="AM1133" t="str">
        <f t="shared" si="71"/>
        <v>1000-2000</v>
      </c>
    </row>
    <row r="1134" spans="1:39" x14ac:dyDescent="0.2">
      <c r="A1134" s="44">
        <v>43758</v>
      </c>
      <c r="B1134" s="48">
        <v>0.32291666666666669</v>
      </c>
      <c r="C1134" s="48"/>
      <c r="D1134" s="48"/>
      <c r="E1134" s="13">
        <v>2</v>
      </c>
      <c r="F1134" s="38" t="str">
        <f>VLOOKUP(E1134,[5]Key!$A$17:$B$21,2,FALSE)</f>
        <v>Road Vehicle</v>
      </c>
      <c r="G1134" s="49">
        <v>6</v>
      </c>
      <c r="H1134" s="39" t="str">
        <f>VLOOKUP(G1134,[5]Key!$A$2:$B$14,2,FALSE)</f>
        <v>Large Bus</v>
      </c>
      <c r="I1134" s="13" t="s">
        <v>156</v>
      </c>
      <c r="J1134" s="13">
        <v>1</v>
      </c>
      <c r="K1134" s="40" t="str">
        <f>VLOOKUP(J1134,[5]Key!$A$24:$B$29,2,FALSE)</f>
        <v>20-29</v>
      </c>
      <c r="L1134" s="13" t="s">
        <v>742</v>
      </c>
      <c r="M1134" s="23" t="s">
        <v>452</v>
      </c>
      <c r="N1134" s="13" t="s">
        <v>221</v>
      </c>
      <c r="O1134" s="46">
        <v>1</v>
      </c>
      <c r="P1134" s="30" t="str">
        <f>VLOOKUP(O1134,[5]Key!$E$2:$F$9,2,FALSE)</f>
        <v>Home</v>
      </c>
      <c r="Q1134" s="13" t="s">
        <v>743</v>
      </c>
      <c r="R1134" s="23" t="s">
        <v>439</v>
      </c>
      <c r="S1134" s="13" t="s">
        <v>221</v>
      </c>
      <c r="T1134" s="23">
        <v>3</v>
      </c>
      <c r="U1134" s="30" t="str">
        <f>VLOOKUP(T1134,[5]Key!$E$2:$F$9,2,FALSE)</f>
        <v>Study</v>
      </c>
      <c r="V1134" s="30" t="str">
        <f t="shared" si="68"/>
        <v>Home-Study</v>
      </c>
      <c r="W1134" s="23">
        <v>10000</v>
      </c>
      <c r="X1134" s="50"/>
      <c r="Y1134" s="50" t="str">
        <f t="shared" si="69"/>
        <v>0-10</v>
      </c>
      <c r="Z1134" s="50">
        <v>2</v>
      </c>
      <c r="AA1134" s="50" t="str">
        <f t="shared" si="70"/>
        <v>2.0-3.5</v>
      </c>
      <c r="AB1134" s="23">
        <v>8</v>
      </c>
      <c r="AC1134" s="30" t="str">
        <f>VLOOKUP(AB1134,[5]Key!$C$20:$D$29,2,FALSE)</f>
        <v>Student</v>
      </c>
      <c r="AD1134" s="23">
        <v>1</v>
      </c>
      <c r="AE1134" s="30" t="str">
        <f>VLOOKUP(AD1134,[5]Key!$E$20:$F$24,2,FALSE)</f>
        <v>&lt;300,000</v>
      </c>
      <c r="AF1134" s="23">
        <v>5</v>
      </c>
      <c r="AG1134" s="50">
        <v>2</v>
      </c>
      <c r="AH1134" s="50">
        <v>3</v>
      </c>
      <c r="AI1134" s="50">
        <v>1</v>
      </c>
      <c r="AJ1134" s="50">
        <v>4</v>
      </c>
      <c r="AK1134" s="46" t="s">
        <v>94</v>
      </c>
      <c r="AL1134" s="36">
        <v>2000</v>
      </c>
      <c r="AM1134" t="str">
        <f t="shared" si="71"/>
        <v>2000-3000</v>
      </c>
    </row>
    <row r="1135" spans="1:39" x14ac:dyDescent="0.2">
      <c r="A1135" s="44">
        <v>43758</v>
      </c>
      <c r="B1135" s="48">
        <v>0.46875</v>
      </c>
      <c r="C1135" s="48"/>
      <c r="D1135" s="48" t="s">
        <v>150</v>
      </c>
      <c r="E1135" s="13">
        <v>2</v>
      </c>
      <c r="F1135" s="38" t="str">
        <f>VLOOKUP(E1135,[5]Key!$A$17:$B$21,2,FALSE)</f>
        <v>Road Vehicle</v>
      </c>
      <c r="G1135" s="49">
        <v>6</v>
      </c>
      <c r="H1135" s="39" t="str">
        <f>VLOOKUP(G1135,[5]Key!$A$2:$B$14,2,FALSE)</f>
        <v>Large Bus</v>
      </c>
      <c r="I1135" s="13" t="s">
        <v>109</v>
      </c>
      <c r="J1135" s="13">
        <v>1</v>
      </c>
      <c r="K1135" s="40" t="str">
        <f>VLOOKUP(J1135,[5]Key!$A$24:$B$29,2,FALSE)</f>
        <v>20-29</v>
      </c>
      <c r="L1135" s="13" t="s">
        <v>446</v>
      </c>
      <c r="M1135" s="23" t="s">
        <v>439</v>
      </c>
      <c r="N1135" s="13" t="s">
        <v>221</v>
      </c>
      <c r="O1135" s="46">
        <v>1</v>
      </c>
      <c r="P1135" s="30" t="str">
        <f>VLOOKUP(O1135,[5]Key!$E$2:$F$9,2,FALSE)</f>
        <v>Home</v>
      </c>
      <c r="Q1135" s="13" t="s">
        <v>744</v>
      </c>
      <c r="R1135" s="23" t="s">
        <v>153</v>
      </c>
      <c r="S1135" s="13" t="s">
        <v>221</v>
      </c>
      <c r="T1135" s="23">
        <v>3</v>
      </c>
      <c r="U1135" s="30" t="str">
        <f>VLOOKUP(T1135,[5]Key!$E$2:$F$9,2,FALSE)</f>
        <v>Study</v>
      </c>
      <c r="V1135" s="30" t="str">
        <f t="shared" si="68"/>
        <v>Home-Study</v>
      </c>
      <c r="W1135" s="23">
        <v>20000</v>
      </c>
      <c r="X1135" s="50">
        <v>210</v>
      </c>
      <c r="Y1135" s="50" t="str">
        <f t="shared" si="69"/>
        <v>Over 200</v>
      </c>
      <c r="Z1135" s="50">
        <v>4</v>
      </c>
      <c r="AA1135" s="50" t="str">
        <f t="shared" si="70"/>
        <v>Over 3.5</v>
      </c>
      <c r="AB1135" s="23">
        <v>8</v>
      </c>
      <c r="AC1135" s="30" t="str">
        <f>VLOOKUP(AB1135,[5]Key!$C$20:$D$29,2,FALSE)</f>
        <v>Student</v>
      </c>
      <c r="AD1135" s="23">
        <v>1</v>
      </c>
      <c r="AE1135" s="30" t="str">
        <f>VLOOKUP(AD1135,[5]Key!$E$20:$F$24,2,FALSE)</f>
        <v>&lt;300,000</v>
      </c>
      <c r="AF1135" s="23">
        <v>5</v>
      </c>
      <c r="AG1135" s="50">
        <v>1</v>
      </c>
      <c r="AH1135" s="50">
        <v>4</v>
      </c>
      <c r="AI1135" s="50">
        <v>2</v>
      </c>
      <c r="AJ1135" s="50">
        <v>3</v>
      </c>
      <c r="AK1135" s="46" t="s">
        <v>94</v>
      </c>
      <c r="AL1135" s="36"/>
      <c r="AM1135" t="str">
        <f t="shared" si="71"/>
        <v>0-1000</v>
      </c>
    </row>
    <row r="1136" spans="1:39" x14ac:dyDescent="0.2">
      <c r="A1136" s="44">
        <v>43758</v>
      </c>
      <c r="B1136" s="48">
        <v>0.31875000000000003</v>
      </c>
      <c r="C1136" s="48"/>
      <c r="D1136" s="48" t="s">
        <v>150</v>
      </c>
      <c r="E1136" s="13">
        <v>2</v>
      </c>
      <c r="F1136" s="38" t="str">
        <f>VLOOKUP(E1136,[5]Key!$A$17:$B$21,2,FALSE)</f>
        <v>Road Vehicle</v>
      </c>
      <c r="G1136" s="49">
        <v>6</v>
      </c>
      <c r="H1136" s="39" t="str">
        <f>VLOOKUP(G1136,[5]Key!$A$2:$B$14,2,FALSE)</f>
        <v>Large Bus</v>
      </c>
      <c r="I1136" s="13" t="s">
        <v>109</v>
      </c>
      <c r="J1136" s="13">
        <v>1</v>
      </c>
      <c r="K1136" s="40" t="str">
        <f>VLOOKUP(J1136,[5]Key!$A$24:$B$29,2,FALSE)</f>
        <v>20-29</v>
      </c>
      <c r="L1136" s="13" t="s">
        <v>745</v>
      </c>
      <c r="M1136" s="23" t="s">
        <v>452</v>
      </c>
      <c r="N1136" s="13" t="s">
        <v>221</v>
      </c>
      <c r="O1136" s="46">
        <v>1</v>
      </c>
      <c r="P1136" s="30" t="str">
        <f>VLOOKUP(O1136,[5]Key!$E$2:$F$9,2,FALSE)</f>
        <v>Home</v>
      </c>
      <c r="Q1136" s="13" t="s">
        <v>153</v>
      </c>
      <c r="R1136" s="23" t="s">
        <v>153</v>
      </c>
      <c r="S1136" s="13" t="s">
        <v>221</v>
      </c>
      <c r="T1136" s="23">
        <v>2</v>
      </c>
      <c r="U1136" s="30" t="str">
        <f>VLOOKUP(T1136,[5]Key!$E$2:$F$9,2,FALSE)</f>
        <v>Work</v>
      </c>
      <c r="V1136" s="30" t="str">
        <f t="shared" si="68"/>
        <v>Home-Work</v>
      </c>
      <c r="W1136" s="23">
        <v>30000</v>
      </c>
      <c r="X1136" s="50">
        <v>10</v>
      </c>
      <c r="Y1136" s="50" t="str">
        <f t="shared" si="69"/>
        <v>10-20</v>
      </c>
      <c r="Z1136" s="50">
        <v>8</v>
      </c>
      <c r="AA1136" s="50" t="str">
        <f t="shared" si="70"/>
        <v>Over 3.5</v>
      </c>
      <c r="AB1136" s="23">
        <v>1</v>
      </c>
      <c r="AC1136" s="30" t="str">
        <f>VLOOKUP(AB1136,[5]Key!$C$20:$D$29,2,FALSE)</f>
        <v>Unemployed</v>
      </c>
      <c r="AD1136" s="23">
        <v>1</v>
      </c>
      <c r="AE1136" s="30" t="str">
        <f>VLOOKUP(AD1136,[5]Key!$E$20:$F$24,2,FALSE)</f>
        <v>&lt;300,000</v>
      </c>
      <c r="AF1136" s="23">
        <v>4</v>
      </c>
      <c r="AG1136" s="50">
        <v>5</v>
      </c>
      <c r="AH1136" s="50">
        <v>2</v>
      </c>
      <c r="AI1136" s="50">
        <v>1</v>
      </c>
      <c r="AJ1136" s="50">
        <v>3</v>
      </c>
      <c r="AK1136" s="46" t="s">
        <v>94</v>
      </c>
      <c r="AL1136" s="36">
        <v>100</v>
      </c>
      <c r="AM1136" t="str">
        <f t="shared" si="71"/>
        <v>0-1000</v>
      </c>
    </row>
    <row r="1137" spans="1:39" x14ac:dyDescent="0.2">
      <c r="A1137" s="44">
        <v>43758</v>
      </c>
      <c r="B1137" s="48">
        <v>0.36458333333333331</v>
      </c>
      <c r="C1137" s="48"/>
      <c r="D1137" s="48" t="s">
        <v>150</v>
      </c>
      <c r="E1137" s="13">
        <v>2</v>
      </c>
      <c r="F1137" s="38" t="str">
        <f>VLOOKUP(E1137,[5]Key!$A$17:$B$21,2,FALSE)</f>
        <v>Road Vehicle</v>
      </c>
      <c r="G1137" s="49">
        <v>6</v>
      </c>
      <c r="H1137" s="39" t="str">
        <f>VLOOKUP(G1137,[5]Key!$A$2:$B$14,2,FALSE)</f>
        <v>Large Bus</v>
      </c>
      <c r="I1137" s="13" t="s">
        <v>109</v>
      </c>
      <c r="J1137" s="13">
        <v>1</v>
      </c>
      <c r="K1137" s="40" t="str">
        <f>VLOOKUP(J1137,[5]Key!$A$24:$B$29,2,FALSE)</f>
        <v>20-29</v>
      </c>
      <c r="L1137" s="13" t="s">
        <v>746</v>
      </c>
      <c r="M1137" s="23" t="s">
        <v>439</v>
      </c>
      <c r="N1137" s="13" t="s">
        <v>221</v>
      </c>
      <c r="O1137" s="46">
        <v>1</v>
      </c>
      <c r="P1137" s="30" t="str">
        <f>VLOOKUP(O1137,[5]Key!$E$2:$F$9,2,FALSE)</f>
        <v>Home</v>
      </c>
      <c r="Q1137" s="13" t="s">
        <v>747</v>
      </c>
      <c r="R1137" s="23" t="s">
        <v>153</v>
      </c>
      <c r="S1137" s="13" t="s">
        <v>221</v>
      </c>
      <c r="T1137" s="23">
        <v>7</v>
      </c>
      <c r="U1137" s="30" t="str">
        <f>VLOOKUP(T1137,[5]Key!$E$2:$F$9,2,FALSE)</f>
        <v>Hospital</v>
      </c>
      <c r="V1137" s="30" t="str">
        <f t="shared" si="68"/>
        <v>Home-Hospital</v>
      </c>
      <c r="W1137" s="23">
        <v>35000</v>
      </c>
      <c r="X1137" s="50"/>
      <c r="Y1137" s="50" t="str">
        <f t="shared" si="69"/>
        <v>0-10</v>
      </c>
      <c r="Z1137" s="50">
        <v>8</v>
      </c>
      <c r="AA1137" s="50" t="str">
        <f t="shared" si="70"/>
        <v>Over 3.5</v>
      </c>
      <c r="AB1137" s="23">
        <v>7</v>
      </c>
      <c r="AC1137" s="30" t="str">
        <f>VLOOKUP(AB1137,[5]Key!$C$20:$D$29,2,FALSE)</f>
        <v>Farmer</v>
      </c>
      <c r="AD1137" s="23">
        <v>2</v>
      </c>
      <c r="AE1137" s="30" t="str">
        <f>VLOOKUP(AD1137,[5]Key!$E$20:$F$24,2,FALSE)</f>
        <v>300,000-500,000</v>
      </c>
      <c r="AF1137" s="23">
        <v>2</v>
      </c>
      <c r="AG1137" s="50">
        <v>4</v>
      </c>
      <c r="AH1137" s="50">
        <v>5</v>
      </c>
      <c r="AI1137" s="50">
        <v>1</v>
      </c>
      <c r="AJ1137" s="50">
        <v>3</v>
      </c>
      <c r="AK1137" s="46" t="s">
        <v>94</v>
      </c>
      <c r="AL1137" s="36">
        <v>500</v>
      </c>
      <c r="AM1137" t="str">
        <f t="shared" si="71"/>
        <v>0-1000</v>
      </c>
    </row>
    <row r="1138" spans="1:39" x14ac:dyDescent="0.2">
      <c r="A1138" s="44">
        <v>43758</v>
      </c>
      <c r="B1138" s="48">
        <v>0.4916666666666667</v>
      </c>
      <c r="C1138" s="48"/>
      <c r="D1138" s="48" t="s">
        <v>150</v>
      </c>
      <c r="E1138" s="13">
        <v>2</v>
      </c>
      <c r="F1138" s="38" t="str">
        <f>VLOOKUP(E1138,[5]Key!$A$17:$B$21,2,FALSE)</f>
        <v>Road Vehicle</v>
      </c>
      <c r="G1138" s="49">
        <v>6</v>
      </c>
      <c r="H1138" s="39" t="str">
        <f>VLOOKUP(G1138,[5]Key!$A$2:$B$14,2,FALSE)</f>
        <v>Large Bus</v>
      </c>
      <c r="I1138" s="13" t="s">
        <v>109</v>
      </c>
      <c r="J1138" s="13">
        <v>1</v>
      </c>
      <c r="K1138" s="40" t="str">
        <f>VLOOKUP(J1138,[5]Key!$A$24:$B$29,2,FALSE)</f>
        <v>20-29</v>
      </c>
      <c r="L1138" s="13" t="s">
        <v>742</v>
      </c>
      <c r="M1138" s="23" t="s">
        <v>452</v>
      </c>
      <c r="N1138" s="13" t="s">
        <v>221</v>
      </c>
      <c r="O1138" s="46">
        <v>1</v>
      </c>
      <c r="P1138" s="30" t="str">
        <f>VLOOKUP(O1138,[5]Key!$E$2:$F$9,2,FALSE)</f>
        <v>Home</v>
      </c>
      <c r="Q1138" s="13" t="s">
        <v>743</v>
      </c>
      <c r="R1138" s="23" t="s">
        <v>439</v>
      </c>
      <c r="S1138" s="13" t="s">
        <v>221</v>
      </c>
      <c r="T1138" s="23">
        <v>3</v>
      </c>
      <c r="U1138" s="30" t="str">
        <f>VLOOKUP(T1138,[5]Key!$E$2:$F$9,2,FALSE)</f>
        <v>Study</v>
      </c>
      <c r="V1138" s="30" t="str">
        <f t="shared" si="68"/>
        <v>Home-Study</v>
      </c>
      <c r="W1138" s="23">
        <v>10000</v>
      </c>
      <c r="X1138" s="50"/>
      <c r="Y1138" s="50" t="str">
        <f t="shared" si="69"/>
        <v>0-10</v>
      </c>
      <c r="Z1138" s="50">
        <v>3</v>
      </c>
      <c r="AA1138" s="50" t="str">
        <f t="shared" si="70"/>
        <v>2.0-3.5</v>
      </c>
      <c r="AB1138" s="23">
        <v>8</v>
      </c>
      <c r="AC1138" s="30" t="str">
        <f>VLOOKUP(AB1138,[5]Key!$C$20:$D$29,2,FALSE)</f>
        <v>Student</v>
      </c>
      <c r="AD1138" s="23">
        <v>1</v>
      </c>
      <c r="AE1138" s="30" t="str">
        <f>VLOOKUP(AD1138,[5]Key!$E$20:$F$24,2,FALSE)</f>
        <v>&lt;300,000</v>
      </c>
      <c r="AF1138" s="23">
        <v>2</v>
      </c>
      <c r="AG1138" s="50">
        <v>5</v>
      </c>
      <c r="AH1138" s="50">
        <v>1</v>
      </c>
      <c r="AI1138" s="50">
        <v>3</v>
      </c>
      <c r="AJ1138" s="50">
        <v>4</v>
      </c>
      <c r="AK1138" s="46" t="s">
        <v>94</v>
      </c>
      <c r="AL1138" s="36">
        <v>1000</v>
      </c>
      <c r="AM1138" t="str">
        <f t="shared" si="71"/>
        <v>1000-2000</v>
      </c>
    </row>
    <row r="1139" spans="1:39" x14ac:dyDescent="0.2">
      <c r="A1139" s="44">
        <v>43757</v>
      </c>
      <c r="B1139" s="48">
        <v>0.31388888888888888</v>
      </c>
      <c r="C1139" s="48"/>
      <c r="D1139" s="48" t="s">
        <v>150</v>
      </c>
      <c r="E1139" s="13">
        <v>2</v>
      </c>
      <c r="F1139" s="38" t="str">
        <f>VLOOKUP(E1139,[5]Key!$A$17:$B$21,2,FALSE)</f>
        <v>Road Vehicle</v>
      </c>
      <c r="G1139" s="49">
        <v>4</v>
      </c>
      <c r="H1139" s="39" t="str">
        <f>VLOOKUP(G1139,[5]Key!$A$2:$B$14,2,FALSE)</f>
        <v>Minibus</v>
      </c>
      <c r="I1139" s="13" t="s">
        <v>156</v>
      </c>
      <c r="J1139" s="13">
        <v>1</v>
      </c>
      <c r="K1139" s="40" t="str">
        <f>VLOOKUP(J1139,[5]Key!$A$24:$B$29,2,FALSE)</f>
        <v>20-29</v>
      </c>
      <c r="L1139" s="13" t="s">
        <v>446</v>
      </c>
      <c r="M1139" s="23" t="s">
        <v>439</v>
      </c>
      <c r="N1139" s="13" t="s">
        <v>221</v>
      </c>
      <c r="O1139" s="46">
        <v>1</v>
      </c>
      <c r="P1139" s="30" t="str">
        <f>VLOOKUP(O1139,[5]Key!$E$2:$F$9,2,FALSE)</f>
        <v>Home</v>
      </c>
      <c r="Q1139" s="13" t="s">
        <v>441</v>
      </c>
      <c r="R1139" s="23" t="s">
        <v>441</v>
      </c>
      <c r="S1139" s="13" t="s">
        <v>221</v>
      </c>
      <c r="T1139" s="23">
        <v>2</v>
      </c>
      <c r="U1139" s="30" t="str">
        <f>VLOOKUP(T1139,[5]Key!$E$2:$F$9,2,FALSE)</f>
        <v>Work</v>
      </c>
      <c r="V1139" s="30" t="str">
        <f t="shared" si="68"/>
        <v>Home-Work</v>
      </c>
      <c r="W1139" s="23">
        <v>3000</v>
      </c>
      <c r="X1139" s="50">
        <v>36</v>
      </c>
      <c r="Y1139" s="50" t="str">
        <f t="shared" si="69"/>
        <v>20-40</v>
      </c>
      <c r="Z1139" s="50">
        <v>0.5</v>
      </c>
      <c r="AA1139" s="50" t="str">
        <f t="shared" si="70"/>
        <v>0.5-1.0</v>
      </c>
      <c r="AB1139" s="23">
        <v>4</v>
      </c>
      <c r="AC1139" s="30" t="str">
        <f>VLOOKUP(AB1139,[5]Key!$C$20:$D$29,2,FALSE)</f>
        <v>Office Worker</v>
      </c>
      <c r="AD1139" s="23">
        <v>2</v>
      </c>
      <c r="AE1139" s="30" t="str">
        <f>VLOOKUP(AD1139,[5]Key!$E$20:$F$24,2,FALSE)</f>
        <v>300,000-500,000</v>
      </c>
      <c r="AF1139" s="23">
        <v>3</v>
      </c>
      <c r="AG1139" s="50">
        <v>1</v>
      </c>
      <c r="AH1139" s="50">
        <v>2</v>
      </c>
      <c r="AI1139" s="50">
        <v>5</v>
      </c>
      <c r="AJ1139" s="50">
        <v>4</v>
      </c>
      <c r="AK1139" s="46" t="s">
        <v>94</v>
      </c>
      <c r="AL1139" s="36">
        <v>2000</v>
      </c>
      <c r="AM1139" t="str">
        <f t="shared" si="71"/>
        <v>2000-3000</v>
      </c>
    </row>
    <row r="1140" spans="1:39" x14ac:dyDescent="0.2">
      <c r="A1140" s="44">
        <v>43757</v>
      </c>
      <c r="B1140" s="48">
        <v>0.46180555555555558</v>
      </c>
      <c r="C1140" s="48"/>
      <c r="D1140" s="48" t="s">
        <v>150</v>
      </c>
      <c r="E1140" s="13">
        <v>2</v>
      </c>
      <c r="F1140" s="38" t="str">
        <f>VLOOKUP(E1140,[5]Key!$A$17:$B$21,2,FALSE)</f>
        <v>Road Vehicle</v>
      </c>
      <c r="G1140" s="49">
        <v>4</v>
      </c>
      <c r="H1140" s="39" t="str">
        <f>VLOOKUP(G1140,[5]Key!$A$2:$B$14,2,FALSE)</f>
        <v>Minibus</v>
      </c>
      <c r="I1140" s="13" t="s">
        <v>156</v>
      </c>
      <c r="J1140" s="13">
        <v>1</v>
      </c>
      <c r="K1140" s="40" t="str">
        <f>VLOOKUP(J1140,[5]Key!$A$24:$B$29,2,FALSE)</f>
        <v>20-29</v>
      </c>
      <c r="L1140" s="13" t="s">
        <v>446</v>
      </c>
      <c r="M1140" s="23" t="s">
        <v>439</v>
      </c>
      <c r="N1140" s="13" t="s">
        <v>221</v>
      </c>
      <c r="O1140" s="46">
        <v>1</v>
      </c>
      <c r="P1140" s="30" t="str">
        <f>VLOOKUP(O1140,[5]Key!$E$2:$F$9,2,FALSE)</f>
        <v>Home</v>
      </c>
      <c r="Q1140" s="13" t="s">
        <v>705</v>
      </c>
      <c r="R1140" s="23" t="s">
        <v>439</v>
      </c>
      <c r="S1140" s="13" t="s">
        <v>221</v>
      </c>
      <c r="T1140" s="23">
        <v>3</v>
      </c>
      <c r="U1140" s="30" t="str">
        <f>VLOOKUP(T1140,[5]Key!$E$2:$F$9,2,FALSE)</f>
        <v>Study</v>
      </c>
      <c r="V1140" s="30" t="str">
        <f t="shared" si="68"/>
        <v>Home-Study</v>
      </c>
      <c r="W1140" s="23">
        <v>3000</v>
      </c>
      <c r="X1140" s="50">
        <v>36</v>
      </c>
      <c r="Y1140" s="50" t="str">
        <f t="shared" si="69"/>
        <v>20-40</v>
      </c>
      <c r="Z1140" s="50">
        <v>0.5</v>
      </c>
      <c r="AA1140" s="50" t="str">
        <f t="shared" si="70"/>
        <v>0.5-1.0</v>
      </c>
      <c r="AB1140" s="23">
        <v>8</v>
      </c>
      <c r="AC1140" s="30" t="str">
        <f>VLOOKUP(AB1140,[5]Key!$C$20:$D$29,2,FALSE)</f>
        <v>Student</v>
      </c>
      <c r="AD1140" s="23">
        <v>1</v>
      </c>
      <c r="AE1140" s="30" t="str">
        <f>VLOOKUP(AD1140,[5]Key!$E$20:$F$24,2,FALSE)</f>
        <v>&lt;300,000</v>
      </c>
      <c r="AF1140" s="23">
        <v>3</v>
      </c>
      <c r="AG1140" s="50">
        <v>1</v>
      </c>
      <c r="AH1140" s="50">
        <v>2</v>
      </c>
      <c r="AI1140" s="50">
        <v>4</v>
      </c>
      <c r="AJ1140" s="50">
        <v>5</v>
      </c>
      <c r="AK1140" s="46" t="s">
        <v>94</v>
      </c>
      <c r="AL1140" s="36">
        <v>2000</v>
      </c>
      <c r="AM1140" t="str">
        <f t="shared" si="71"/>
        <v>2000-3000</v>
      </c>
    </row>
    <row r="1141" spans="1:39" x14ac:dyDescent="0.2">
      <c r="A1141" s="44">
        <v>43758</v>
      </c>
      <c r="B1141" s="48">
        <v>0.38680555555555557</v>
      </c>
      <c r="C1141" s="48"/>
      <c r="D1141" s="48" t="s">
        <v>150</v>
      </c>
      <c r="E1141" s="13">
        <v>2</v>
      </c>
      <c r="F1141" s="38" t="str">
        <f>VLOOKUP(E1141,[5]Key!$A$17:$B$21,2,FALSE)</f>
        <v>Road Vehicle</v>
      </c>
      <c r="G1141" s="49">
        <v>4</v>
      </c>
      <c r="H1141" s="39" t="str">
        <f>VLOOKUP(G1141,[5]Key!$A$2:$B$14,2,FALSE)</f>
        <v>Minibus</v>
      </c>
      <c r="I1141" s="13" t="s">
        <v>156</v>
      </c>
      <c r="J1141" s="13">
        <v>1</v>
      </c>
      <c r="K1141" s="40" t="str">
        <f>VLOOKUP(J1141,[5]Key!$A$24:$B$29,2,FALSE)</f>
        <v>20-29</v>
      </c>
      <c r="L1141" s="13" t="s">
        <v>748</v>
      </c>
      <c r="M1141" s="23" t="s">
        <v>439</v>
      </c>
      <c r="N1141" s="13" t="s">
        <v>221</v>
      </c>
      <c r="O1141" s="46">
        <v>1</v>
      </c>
      <c r="P1141" s="30" t="str">
        <f>VLOOKUP(O1141,[5]Key!$E$2:$F$9,2,FALSE)</f>
        <v>Home</v>
      </c>
      <c r="Q1141" s="13" t="s">
        <v>446</v>
      </c>
      <c r="R1141" s="23" t="s">
        <v>439</v>
      </c>
      <c r="S1141" s="13" t="s">
        <v>221</v>
      </c>
      <c r="T1141" s="23">
        <v>6</v>
      </c>
      <c r="U1141" s="30" t="str">
        <f>VLOOKUP(T1141,[5]Key!$E$2:$F$9,2,FALSE)</f>
        <v>Leisure/Social</v>
      </c>
      <c r="V1141" s="30" t="str">
        <f t="shared" si="68"/>
        <v>Home-Leisure/Social</v>
      </c>
      <c r="W1141" s="23">
        <v>7000</v>
      </c>
      <c r="X1141" s="50"/>
      <c r="Y1141" s="50" t="str">
        <f t="shared" si="69"/>
        <v>0-10</v>
      </c>
      <c r="Z1141" s="50">
        <v>0.8</v>
      </c>
      <c r="AA1141" s="50" t="str">
        <f t="shared" si="70"/>
        <v>0.5-1.0</v>
      </c>
      <c r="AB1141" s="23">
        <v>1</v>
      </c>
      <c r="AC1141" s="30" t="str">
        <f>VLOOKUP(AB1141,[5]Key!$C$20:$D$29,2,FALSE)</f>
        <v>Unemployed</v>
      </c>
      <c r="AD1141" s="23">
        <v>1</v>
      </c>
      <c r="AE1141" s="30" t="str">
        <f>VLOOKUP(AD1141,[5]Key!$E$20:$F$24,2,FALSE)</f>
        <v>&lt;300,000</v>
      </c>
      <c r="AF1141" s="23">
        <v>1</v>
      </c>
      <c r="AG1141" s="50">
        <v>2</v>
      </c>
      <c r="AH1141" s="50">
        <v>5</v>
      </c>
      <c r="AI1141" s="50">
        <v>4</v>
      </c>
      <c r="AJ1141" s="50">
        <v>3</v>
      </c>
      <c r="AK1141" s="46" t="s">
        <v>94</v>
      </c>
      <c r="AL1141" s="36"/>
      <c r="AM1141" t="str">
        <f t="shared" si="71"/>
        <v>0-1000</v>
      </c>
    </row>
    <row r="1142" spans="1:39" x14ac:dyDescent="0.2">
      <c r="A1142" s="44">
        <v>43758</v>
      </c>
      <c r="B1142" s="48">
        <v>0.73125000000000007</v>
      </c>
      <c r="C1142" s="48"/>
      <c r="D1142" s="48" t="s">
        <v>150</v>
      </c>
      <c r="E1142" s="13">
        <v>2</v>
      </c>
      <c r="F1142" s="38" t="str">
        <f>VLOOKUP(E1142,[5]Key!$A$17:$B$21,2,FALSE)</f>
        <v>Road Vehicle</v>
      </c>
      <c r="G1142" s="49">
        <v>4</v>
      </c>
      <c r="H1142" s="39" t="str">
        <f>VLOOKUP(G1142,[5]Key!$A$2:$B$14,2,FALSE)</f>
        <v>Minibus</v>
      </c>
      <c r="I1142" s="13" t="s">
        <v>156</v>
      </c>
      <c r="J1142" s="13">
        <v>1</v>
      </c>
      <c r="K1142" s="40" t="str">
        <f>VLOOKUP(J1142,[5]Key!$A$24:$B$29,2,FALSE)</f>
        <v>20-29</v>
      </c>
      <c r="L1142" s="13" t="s">
        <v>699</v>
      </c>
      <c r="M1142" s="23" t="s">
        <v>439</v>
      </c>
      <c r="N1142" s="13" t="s">
        <v>221</v>
      </c>
      <c r="O1142" s="46">
        <v>1</v>
      </c>
      <c r="P1142" s="30" t="str">
        <f>VLOOKUP(O1142,[5]Key!$E$2:$F$9,2,FALSE)</f>
        <v>Home</v>
      </c>
      <c r="Q1142" s="13" t="s">
        <v>421</v>
      </c>
      <c r="R1142" s="23" t="s">
        <v>421</v>
      </c>
      <c r="S1142" s="13" t="s">
        <v>221</v>
      </c>
      <c r="T1142" s="23">
        <v>6</v>
      </c>
      <c r="U1142" s="30" t="str">
        <f>VLOOKUP(T1142,[5]Key!$E$2:$F$9,2,FALSE)</f>
        <v>Leisure/Social</v>
      </c>
      <c r="V1142" s="30" t="str">
        <f t="shared" si="68"/>
        <v>Home-Leisure/Social</v>
      </c>
      <c r="W1142" s="23">
        <v>12000</v>
      </c>
      <c r="X1142" s="50"/>
      <c r="Y1142" s="50" t="str">
        <f t="shared" si="69"/>
        <v>0-10</v>
      </c>
      <c r="Z1142" s="50">
        <v>2</v>
      </c>
      <c r="AA1142" s="50" t="str">
        <f t="shared" si="70"/>
        <v>2.0-3.5</v>
      </c>
      <c r="AB1142" s="23">
        <v>6</v>
      </c>
      <c r="AC1142" s="30" t="str">
        <f>VLOOKUP(AB1142,[5]Key!$C$20:$D$29,2,FALSE)</f>
        <v>Businessman</v>
      </c>
      <c r="AD1142" s="23">
        <v>1</v>
      </c>
      <c r="AE1142" s="30" t="str">
        <f>VLOOKUP(AD1142,[5]Key!$E$20:$F$24,2,FALSE)</f>
        <v>&lt;300,000</v>
      </c>
      <c r="AF1142" s="23">
        <v>3</v>
      </c>
      <c r="AG1142" s="50">
        <v>1</v>
      </c>
      <c r="AH1142" s="50">
        <v>2</v>
      </c>
      <c r="AI1142" s="50">
        <v>4</v>
      </c>
      <c r="AJ1142" s="50">
        <v>5</v>
      </c>
      <c r="AK1142" s="46" t="s">
        <v>94</v>
      </c>
      <c r="AL1142" s="36">
        <v>200</v>
      </c>
      <c r="AM1142" t="str">
        <f t="shared" si="71"/>
        <v>0-1000</v>
      </c>
    </row>
    <row r="1143" spans="1:39" x14ac:dyDescent="0.2">
      <c r="A1143" s="44">
        <v>43756</v>
      </c>
      <c r="B1143" s="48"/>
      <c r="C1143" s="48"/>
      <c r="D1143" s="48" t="s">
        <v>97</v>
      </c>
      <c r="E1143" s="13">
        <v>2</v>
      </c>
      <c r="F1143" s="38" t="str">
        <f>VLOOKUP(E1143,[5]Key!$A$17:$B$21,2,FALSE)</f>
        <v>Road Vehicle</v>
      </c>
      <c r="G1143" s="49">
        <v>4</v>
      </c>
      <c r="H1143" s="39" t="str">
        <f>VLOOKUP(G1143,[5]Key!$A$2:$B$14,2,FALSE)</f>
        <v>Minibus</v>
      </c>
      <c r="I1143" s="13" t="s">
        <v>109</v>
      </c>
      <c r="J1143" s="13">
        <v>1</v>
      </c>
      <c r="K1143" s="40" t="str">
        <f>VLOOKUP(J1143,[5]Key!$A$24:$B$29,2,FALSE)</f>
        <v>20-29</v>
      </c>
      <c r="L1143" s="55" t="s">
        <v>446</v>
      </c>
      <c r="M1143" s="23" t="s">
        <v>439</v>
      </c>
      <c r="N1143" s="13" t="s">
        <v>221</v>
      </c>
      <c r="O1143" s="46">
        <v>2</v>
      </c>
      <c r="P1143" s="30" t="str">
        <f>VLOOKUP(O1143,[5]Key!$E$2:$F$9,2,FALSE)</f>
        <v>Work</v>
      </c>
      <c r="Q1143" s="13" t="s">
        <v>732</v>
      </c>
      <c r="R1143" s="23" t="s">
        <v>749</v>
      </c>
      <c r="S1143" s="13" t="s">
        <v>221</v>
      </c>
      <c r="T1143" s="23">
        <v>2</v>
      </c>
      <c r="U1143" s="30" t="str">
        <f>VLOOKUP(T1143,[5]Key!$E$2:$F$9,2,FALSE)</f>
        <v>Work</v>
      </c>
      <c r="V1143" s="30" t="str">
        <f t="shared" si="68"/>
        <v>Work-Work</v>
      </c>
      <c r="W1143" s="41">
        <v>80000</v>
      </c>
      <c r="X1143" s="50">
        <v>130</v>
      </c>
      <c r="Y1143" s="50" t="str">
        <f t="shared" si="69"/>
        <v>100-200</v>
      </c>
      <c r="Z1143" s="50">
        <v>4</v>
      </c>
      <c r="AA1143" s="50" t="str">
        <f t="shared" si="70"/>
        <v>Over 3.5</v>
      </c>
      <c r="AB1143" s="23">
        <v>10</v>
      </c>
      <c r="AC1143" s="30" t="str">
        <f>VLOOKUP(AB1143,[5]Key!$C$20:$D$29,2,FALSE)</f>
        <v>Other</v>
      </c>
      <c r="AD1143" s="23">
        <v>1</v>
      </c>
      <c r="AE1143" s="30" t="str">
        <f>VLOOKUP(AD1143,[5]Key!$E$20:$F$24,2,FALSE)</f>
        <v>&lt;300,000</v>
      </c>
      <c r="AF1143" s="23">
        <v>2</v>
      </c>
      <c r="AG1143" s="50">
        <v>3</v>
      </c>
      <c r="AH1143" s="50">
        <v>4</v>
      </c>
      <c r="AI1143" s="50">
        <v>1</v>
      </c>
      <c r="AJ1143" s="50">
        <v>5</v>
      </c>
      <c r="AK1143" s="46" t="s">
        <v>94</v>
      </c>
      <c r="AL1143" s="36"/>
      <c r="AM1143" t="str">
        <f t="shared" si="71"/>
        <v>0-1000</v>
      </c>
    </row>
    <row r="1144" spans="1:39" x14ac:dyDescent="0.2">
      <c r="A1144" s="44">
        <v>43757</v>
      </c>
      <c r="B1144" s="48">
        <v>0.375</v>
      </c>
      <c r="C1144" s="48"/>
      <c r="D1144" s="48" t="s">
        <v>97</v>
      </c>
      <c r="E1144" s="13">
        <v>2</v>
      </c>
      <c r="F1144" s="38" t="str">
        <f>VLOOKUP(E1144,[5]Key!$A$17:$B$21,2,FALSE)</f>
        <v>Road Vehicle</v>
      </c>
      <c r="G1144" s="49">
        <v>4</v>
      </c>
      <c r="H1144" s="39" t="str">
        <f>VLOOKUP(G1144,[5]Key!$A$2:$B$14,2,FALSE)</f>
        <v>Minibus</v>
      </c>
      <c r="I1144" s="13" t="s">
        <v>109</v>
      </c>
      <c r="J1144" s="13">
        <v>1</v>
      </c>
      <c r="K1144" s="40" t="str">
        <f>VLOOKUP(J1144,[5]Key!$A$24:$B$29,2,FALSE)</f>
        <v>20-29</v>
      </c>
      <c r="L1144" s="13" t="s">
        <v>446</v>
      </c>
      <c r="M1144" s="23" t="s">
        <v>439</v>
      </c>
      <c r="N1144" s="13" t="s">
        <v>221</v>
      </c>
      <c r="O1144" s="46">
        <v>1</v>
      </c>
      <c r="P1144" s="30" t="str">
        <f>VLOOKUP(O1144,[5]Key!$E$2:$F$9,2,FALSE)</f>
        <v>Home</v>
      </c>
      <c r="Q1144" s="13" t="s">
        <v>421</v>
      </c>
      <c r="R1144" s="23" t="s">
        <v>421</v>
      </c>
      <c r="S1144" s="13" t="s">
        <v>221</v>
      </c>
      <c r="T1144" s="23"/>
      <c r="U1144" s="30" t="e">
        <f>VLOOKUP(T1144,[5]Key!$E$2:$F$9,2,FALSE)</f>
        <v>#N/A</v>
      </c>
      <c r="V1144" s="30" t="e">
        <f t="shared" si="68"/>
        <v>#N/A</v>
      </c>
      <c r="W1144" s="23">
        <v>50000</v>
      </c>
      <c r="X1144" s="50">
        <v>45</v>
      </c>
      <c r="Y1144" s="50" t="str">
        <f t="shared" si="69"/>
        <v>40-70</v>
      </c>
      <c r="Z1144" s="50">
        <v>0.5</v>
      </c>
      <c r="AA1144" s="50" t="str">
        <f t="shared" si="70"/>
        <v>0.5-1.0</v>
      </c>
      <c r="AB1144" s="23">
        <v>1</v>
      </c>
      <c r="AC1144" s="30" t="str">
        <f>VLOOKUP(AB1144,[5]Key!$C$20:$D$29,2,FALSE)</f>
        <v>Unemployed</v>
      </c>
      <c r="AD1144" s="23">
        <v>1</v>
      </c>
      <c r="AE1144" s="30" t="str">
        <f>VLOOKUP(AD1144,[5]Key!$E$20:$F$24,2,FALSE)</f>
        <v>&lt;300,000</v>
      </c>
      <c r="AF1144" s="23">
        <v>2</v>
      </c>
      <c r="AG1144" s="50">
        <v>1</v>
      </c>
      <c r="AH1144" s="50">
        <v>3</v>
      </c>
      <c r="AI1144" s="50">
        <v>5</v>
      </c>
      <c r="AJ1144" s="50">
        <v>4</v>
      </c>
      <c r="AK1144" s="46" t="s">
        <v>94</v>
      </c>
      <c r="AL1144" s="36">
        <v>1000</v>
      </c>
      <c r="AM1144" t="str">
        <f t="shared" si="71"/>
        <v>1000-2000</v>
      </c>
    </row>
    <row r="1145" spans="1:39" x14ac:dyDescent="0.2">
      <c r="A1145" s="44">
        <v>43758</v>
      </c>
      <c r="B1145" s="48">
        <v>0.34166666666666662</v>
      </c>
      <c r="C1145" s="48"/>
      <c r="D1145" s="48" t="s">
        <v>150</v>
      </c>
      <c r="E1145" s="13">
        <v>2</v>
      </c>
      <c r="F1145" s="38" t="str">
        <f>VLOOKUP(E1145,[5]Key!$A$17:$B$21,2,FALSE)</f>
        <v>Road Vehicle</v>
      </c>
      <c r="G1145" s="49">
        <v>4</v>
      </c>
      <c r="H1145" s="39" t="str">
        <f>VLOOKUP(G1145,[5]Key!$A$2:$B$14,2,FALSE)</f>
        <v>Minibus</v>
      </c>
      <c r="I1145" s="13" t="s">
        <v>109</v>
      </c>
      <c r="J1145" s="13">
        <v>1</v>
      </c>
      <c r="K1145" s="40" t="str">
        <f>VLOOKUP(J1145,[5]Key!$A$24:$B$29,2,FALSE)</f>
        <v>20-29</v>
      </c>
      <c r="L1145" s="13" t="s">
        <v>750</v>
      </c>
      <c r="M1145" s="23" t="s">
        <v>439</v>
      </c>
      <c r="N1145" s="13" t="s">
        <v>221</v>
      </c>
      <c r="O1145" s="46">
        <v>1</v>
      </c>
      <c r="P1145" s="30" t="str">
        <f>VLOOKUP(O1145,[5]Key!$E$2:$F$9,2,FALSE)</f>
        <v>Home</v>
      </c>
      <c r="Q1145" s="13" t="s">
        <v>751</v>
      </c>
      <c r="R1145" s="23" t="s">
        <v>421</v>
      </c>
      <c r="S1145" s="13" t="s">
        <v>221</v>
      </c>
      <c r="T1145" s="23">
        <v>6</v>
      </c>
      <c r="U1145" s="30" t="str">
        <f>VLOOKUP(T1145,[5]Key!$E$2:$F$9,2,FALSE)</f>
        <v>Leisure/Social</v>
      </c>
      <c r="V1145" s="30" t="str">
        <f t="shared" si="68"/>
        <v>Home-Leisure/Social</v>
      </c>
      <c r="W1145" s="23">
        <v>10000</v>
      </c>
      <c r="X1145" s="50"/>
      <c r="Y1145" s="50" t="str">
        <f t="shared" si="69"/>
        <v>0-10</v>
      </c>
      <c r="Z1145" s="50">
        <v>1.5</v>
      </c>
      <c r="AA1145" s="50" t="str">
        <f t="shared" si="70"/>
        <v>1.0-2.0</v>
      </c>
      <c r="AB1145" s="23">
        <v>6</v>
      </c>
      <c r="AC1145" s="30" t="str">
        <f>VLOOKUP(AB1145,[5]Key!$C$20:$D$29,2,FALSE)</f>
        <v>Businessman</v>
      </c>
      <c r="AD1145" s="23">
        <v>4</v>
      </c>
      <c r="AE1145" s="30" t="str">
        <f>VLOOKUP(AD1145,[5]Key!$E$20:$F$24,2,FALSE)</f>
        <v>750,000-1,000,000</v>
      </c>
      <c r="AF1145" s="23">
        <v>3</v>
      </c>
      <c r="AG1145" s="50">
        <v>2</v>
      </c>
      <c r="AH1145" s="50">
        <v>5</v>
      </c>
      <c r="AI1145" s="50">
        <v>4</v>
      </c>
      <c r="AJ1145" s="50">
        <v>1</v>
      </c>
      <c r="AK1145" s="46" t="s">
        <v>94</v>
      </c>
      <c r="AL1145" s="36">
        <v>2000</v>
      </c>
      <c r="AM1145" t="str">
        <f t="shared" si="71"/>
        <v>2000-3000</v>
      </c>
    </row>
    <row r="1146" spans="1:39" x14ac:dyDescent="0.2">
      <c r="A1146" s="44">
        <v>43758</v>
      </c>
      <c r="B1146" s="48">
        <v>0.44513888888888892</v>
      </c>
      <c r="C1146" s="48"/>
      <c r="D1146" s="48" t="s">
        <v>150</v>
      </c>
      <c r="E1146" s="13">
        <v>2</v>
      </c>
      <c r="F1146" s="38" t="str">
        <f>VLOOKUP(E1146,[5]Key!$A$17:$B$21,2,FALSE)</f>
        <v>Road Vehicle</v>
      </c>
      <c r="G1146" s="49">
        <v>4</v>
      </c>
      <c r="H1146" s="39" t="str">
        <f>VLOOKUP(G1146,[5]Key!$A$2:$B$14,2,FALSE)</f>
        <v>Minibus</v>
      </c>
      <c r="I1146" s="13" t="s">
        <v>109</v>
      </c>
      <c r="J1146" s="13">
        <v>1</v>
      </c>
      <c r="K1146" s="40" t="str">
        <f>VLOOKUP(J1146,[5]Key!$A$24:$B$29,2,FALSE)</f>
        <v>20-29</v>
      </c>
      <c r="L1146" s="13" t="s">
        <v>158</v>
      </c>
      <c r="M1146" s="23" t="s">
        <v>439</v>
      </c>
      <c r="N1146" s="13" t="s">
        <v>221</v>
      </c>
      <c r="O1146" s="46">
        <v>1</v>
      </c>
      <c r="P1146" s="30" t="str">
        <f>VLOOKUP(O1146,[5]Key!$E$2:$F$9,2,FALSE)</f>
        <v>Home</v>
      </c>
      <c r="Q1146" s="13" t="s">
        <v>752</v>
      </c>
      <c r="R1146" s="23" t="s">
        <v>749</v>
      </c>
      <c r="S1146" s="13" t="s">
        <v>221</v>
      </c>
      <c r="T1146" s="23">
        <v>6</v>
      </c>
      <c r="U1146" s="30" t="str">
        <f>VLOOKUP(T1146,[5]Key!$E$2:$F$9,2,FALSE)</f>
        <v>Leisure/Social</v>
      </c>
      <c r="V1146" s="30" t="str">
        <f t="shared" si="68"/>
        <v>Home-Leisure/Social</v>
      </c>
      <c r="W1146" s="23">
        <v>24000</v>
      </c>
      <c r="X1146" s="50"/>
      <c r="Y1146" s="50" t="str">
        <f t="shared" si="69"/>
        <v>0-10</v>
      </c>
      <c r="Z1146" s="50">
        <v>3</v>
      </c>
      <c r="AA1146" s="50" t="str">
        <f t="shared" si="70"/>
        <v>2.0-3.5</v>
      </c>
      <c r="AB1146" s="23">
        <v>5</v>
      </c>
      <c r="AC1146" s="30" t="str">
        <f>VLOOKUP(AB1146,[5]Key!$C$20:$D$29,2,FALSE)</f>
        <v>Professional</v>
      </c>
      <c r="AD1146" s="23">
        <v>2</v>
      </c>
      <c r="AE1146" s="30" t="str">
        <f>VLOOKUP(AD1146,[5]Key!$E$20:$F$24,2,FALSE)</f>
        <v>300,000-500,000</v>
      </c>
      <c r="AF1146" s="23">
        <v>4</v>
      </c>
      <c r="AG1146" s="50">
        <v>1</v>
      </c>
      <c r="AH1146" s="50">
        <v>2</v>
      </c>
      <c r="AI1146" s="50">
        <v>3</v>
      </c>
      <c r="AJ1146" s="50">
        <v>5</v>
      </c>
      <c r="AK1146" s="46" t="s">
        <v>94</v>
      </c>
      <c r="AL1146" s="36">
        <v>100</v>
      </c>
      <c r="AM1146" t="str">
        <f t="shared" si="71"/>
        <v>0-1000</v>
      </c>
    </row>
    <row r="1147" spans="1:39" x14ac:dyDescent="0.2">
      <c r="A1147" s="44">
        <v>43758</v>
      </c>
      <c r="B1147" s="48">
        <v>0.45902777777777781</v>
      </c>
      <c r="C1147" s="48"/>
      <c r="D1147" s="48" t="s">
        <v>150</v>
      </c>
      <c r="E1147" s="13">
        <v>2</v>
      </c>
      <c r="F1147" s="38" t="str">
        <f>VLOOKUP(E1147,[5]Key!$A$17:$B$21,2,FALSE)</f>
        <v>Road Vehicle</v>
      </c>
      <c r="G1147" s="49">
        <v>4</v>
      </c>
      <c r="H1147" s="39" t="str">
        <f>VLOOKUP(G1147,[5]Key!$A$2:$B$14,2,FALSE)</f>
        <v>Minibus</v>
      </c>
      <c r="I1147" s="13" t="s">
        <v>109</v>
      </c>
      <c r="J1147" s="13">
        <v>1</v>
      </c>
      <c r="K1147" s="40" t="str">
        <f>VLOOKUP(J1147,[5]Key!$A$24:$B$29,2,FALSE)</f>
        <v>20-29</v>
      </c>
      <c r="L1147" s="13" t="s">
        <v>446</v>
      </c>
      <c r="M1147" s="23" t="s">
        <v>439</v>
      </c>
      <c r="N1147" s="13" t="s">
        <v>221</v>
      </c>
      <c r="O1147" s="46">
        <v>6</v>
      </c>
      <c r="P1147" s="30" t="str">
        <f>VLOOKUP(O1147,[5]Key!$E$2:$F$9,2,FALSE)</f>
        <v>Leisure/Social</v>
      </c>
      <c r="Q1147" s="13" t="s">
        <v>753</v>
      </c>
      <c r="R1147" s="23" t="s">
        <v>754</v>
      </c>
      <c r="S1147" s="13" t="s">
        <v>221</v>
      </c>
      <c r="T1147" s="23">
        <v>1</v>
      </c>
      <c r="U1147" s="30" t="str">
        <f>VLOOKUP(T1147,[5]Key!$E$2:$F$9,2,FALSE)</f>
        <v>Home</v>
      </c>
      <c r="V1147" s="30" t="str">
        <f t="shared" si="68"/>
        <v>Leisure/Social-Home</v>
      </c>
      <c r="W1147" s="23">
        <v>16000</v>
      </c>
      <c r="X1147" s="50"/>
      <c r="Y1147" s="50" t="str">
        <f t="shared" si="69"/>
        <v>0-10</v>
      </c>
      <c r="Z1147" s="50">
        <v>1.5</v>
      </c>
      <c r="AA1147" s="50" t="str">
        <f t="shared" si="70"/>
        <v>1.0-2.0</v>
      </c>
      <c r="AB1147" s="23">
        <v>6</v>
      </c>
      <c r="AC1147" s="30" t="str">
        <f>VLOOKUP(AB1147,[5]Key!$C$20:$D$29,2,FALSE)</f>
        <v>Businessman</v>
      </c>
      <c r="AD1147" s="23">
        <v>5</v>
      </c>
      <c r="AE1147" s="30" t="str">
        <f>VLOOKUP(AD1147,[5]Key!$E$20:$F$24,2,FALSE)</f>
        <v>&gt;1,000,000</v>
      </c>
      <c r="AF1147" s="23">
        <v>3</v>
      </c>
      <c r="AG1147" s="50">
        <v>2</v>
      </c>
      <c r="AH1147" s="50">
        <v>4</v>
      </c>
      <c r="AI1147" s="50">
        <v>1</v>
      </c>
      <c r="AJ1147" s="50">
        <v>5</v>
      </c>
      <c r="AK1147" s="46" t="s">
        <v>94</v>
      </c>
      <c r="AL1147" s="36">
        <v>1500</v>
      </c>
      <c r="AM1147" t="str">
        <f t="shared" si="71"/>
        <v>1000-2000</v>
      </c>
    </row>
    <row r="1148" spans="1:39" x14ac:dyDescent="0.2">
      <c r="A1148" s="44">
        <v>43758</v>
      </c>
      <c r="B1148" s="48">
        <v>0.46875</v>
      </c>
      <c r="C1148" s="48"/>
      <c r="D1148" s="48" t="s">
        <v>150</v>
      </c>
      <c r="E1148" s="13">
        <v>2</v>
      </c>
      <c r="F1148" s="38" t="str">
        <f>VLOOKUP(E1148,[5]Key!$A$17:$B$21,2,FALSE)</f>
        <v>Road Vehicle</v>
      </c>
      <c r="G1148" s="49">
        <v>4</v>
      </c>
      <c r="H1148" s="39" t="str">
        <f>VLOOKUP(G1148,[5]Key!$A$2:$B$14,2,FALSE)</f>
        <v>Minibus</v>
      </c>
      <c r="I1148" s="13" t="s">
        <v>109</v>
      </c>
      <c r="J1148" s="13">
        <v>1</v>
      </c>
      <c r="K1148" s="40" t="str">
        <f>VLOOKUP(J1148,[5]Key!$A$24:$B$29,2,FALSE)</f>
        <v>20-29</v>
      </c>
      <c r="L1148" s="13" t="s">
        <v>698</v>
      </c>
      <c r="M1148" s="23" t="s">
        <v>463</v>
      </c>
      <c r="N1148" s="13" t="s">
        <v>221</v>
      </c>
      <c r="O1148" s="46">
        <v>3</v>
      </c>
      <c r="P1148" s="30" t="str">
        <f>VLOOKUP(O1148,[5]Key!$E$2:$F$9,2,FALSE)</f>
        <v>Study</v>
      </c>
      <c r="Q1148" s="13" t="s">
        <v>755</v>
      </c>
      <c r="R1148" s="23" t="s">
        <v>439</v>
      </c>
      <c r="S1148" s="13" t="s">
        <v>221</v>
      </c>
      <c r="T1148" s="23">
        <v>1</v>
      </c>
      <c r="U1148" s="30" t="str">
        <f>VLOOKUP(T1148,[5]Key!$E$2:$F$9,2,FALSE)</f>
        <v>Home</v>
      </c>
      <c r="V1148" s="30" t="str">
        <f t="shared" si="68"/>
        <v>Study-Home</v>
      </c>
      <c r="W1148" s="23">
        <v>6000</v>
      </c>
      <c r="X1148" s="50">
        <v>80</v>
      </c>
      <c r="Y1148" s="50" t="str">
        <f t="shared" si="69"/>
        <v>70-100</v>
      </c>
      <c r="Z1148" s="50">
        <v>1.5</v>
      </c>
      <c r="AA1148" s="50" t="str">
        <f t="shared" si="70"/>
        <v>1.0-2.0</v>
      </c>
      <c r="AB1148" s="23">
        <v>8</v>
      </c>
      <c r="AC1148" s="30" t="str">
        <f>VLOOKUP(AB1148,[5]Key!$C$20:$D$29,2,FALSE)</f>
        <v>Student</v>
      </c>
      <c r="AD1148" s="23">
        <v>1</v>
      </c>
      <c r="AE1148" s="30" t="str">
        <f>VLOOKUP(AD1148,[5]Key!$E$20:$F$24,2,FALSE)</f>
        <v>&lt;300,000</v>
      </c>
      <c r="AF1148" s="23">
        <v>3</v>
      </c>
      <c r="AG1148" s="50">
        <v>2</v>
      </c>
      <c r="AH1148" s="50">
        <v>4</v>
      </c>
      <c r="AI1148" s="50">
        <v>1</v>
      </c>
      <c r="AJ1148" s="50">
        <v>5</v>
      </c>
      <c r="AK1148" s="46" t="s">
        <v>94</v>
      </c>
      <c r="AL1148" s="36"/>
      <c r="AM1148" t="str">
        <f t="shared" si="71"/>
        <v>0-1000</v>
      </c>
    </row>
    <row r="1149" spans="1:39" x14ac:dyDescent="0.2">
      <c r="A1149" s="44">
        <v>43758</v>
      </c>
      <c r="B1149" s="48">
        <v>0.34722222222222227</v>
      </c>
      <c r="C1149" s="48"/>
      <c r="D1149" s="48" t="s">
        <v>150</v>
      </c>
      <c r="E1149" s="13">
        <v>2</v>
      </c>
      <c r="F1149" s="38" t="str">
        <f>VLOOKUP(E1149,[5]Key!$A$17:$B$21,2,FALSE)</f>
        <v>Road Vehicle</v>
      </c>
      <c r="G1149" s="49">
        <v>4</v>
      </c>
      <c r="H1149" s="39" t="str">
        <f>VLOOKUP(G1149,[5]Key!$A$2:$B$14,2,FALSE)</f>
        <v>Minibus</v>
      </c>
      <c r="I1149" s="13" t="s">
        <v>109</v>
      </c>
      <c r="J1149" s="13">
        <v>1</v>
      </c>
      <c r="K1149" s="40" t="str">
        <f>VLOOKUP(J1149,[5]Key!$A$24:$B$29,2,FALSE)</f>
        <v>20-29</v>
      </c>
      <c r="L1149" s="13" t="s">
        <v>452</v>
      </c>
      <c r="M1149" s="23" t="s">
        <v>452</v>
      </c>
      <c r="N1149" s="13" t="s">
        <v>221</v>
      </c>
      <c r="O1149" s="46">
        <v>1</v>
      </c>
      <c r="P1149" s="30" t="str">
        <f>VLOOKUP(O1149,[5]Key!$E$2:$F$9,2,FALSE)</f>
        <v>Home</v>
      </c>
      <c r="Q1149" s="13" t="s">
        <v>446</v>
      </c>
      <c r="R1149" s="23" t="s">
        <v>439</v>
      </c>
      <c r="S1149" s="13" t="s">
        <v>221</v>
      </c>
      <c r="T1149" s="23">
        <v>4</v>
      </c>
      <c r="U1149" s="30" t="str">
        <f>VLOOKUP(T1149,[5]Key!$E$2:$F$9,2,FALSE)</f>
        <v>Commercial</v>
      </c>
      <c r="V1149" s="30" t="str">
        <f t="shared" si="68"/>
        <v>Home-Commercial</v>
      </c>
      <c r="W1149" s="23">
        <v>10000</v>
      </c>
      <c r="X1149" s="50">
        <v>92</v>
      </c>
      <c r="Y1149" s="50" t="str">
        <f t="shared" si="69"/>
        <v>70-100</v>
      </c>
      <c r="Z1149" s="50">
        <v>1.5</v>
      </c>
      <c r="AA1149" s="50" t="str">
        <f t="shared" si="70"/>
        <v>1.0-2.0</v>
      </c>
      <c r="AB1149" s="23">
        <v>6</v>
      </c>
      <c r="AC1149" s="30" t="str">
        <f>VLOOKUP(AB1149,[5]Key!$C$20:$D$29,2,FALSE)</f>
        <v>Businessman</v>
      </c>
      <c r="AD1149" s="23">
        <v>3</v>
      </c>
      <c r="AE1149" s="30" t="str">
        <f>VLOOKUP(AD1149,[5]Key!$E$20:$F$24,2,FALSE)</f>
        <v>500,000-750,000</v>
      </c>
      <c r="AF1149" s="23">
        <v>3</v>
      </c>
      <c r="AG1149" s="50">
        <v>2</v>
      </c>
      <c r="AH1149" s="50">
        <v>1</v>
      </c>
      <c r="AI1149" s="50">
        <v>5</v>
      </c>
      <c r="AJ1149" s="50">
        <v>4</v>
      </c>
      <c r="AK1149" s="46" t="s">
        <v>94</v>
      </c>
      <c r="AL1149" s="36">
        <v>2000</v>
      </c>
      <c r="AM1149" t="str">
        <f t="shared" si="71"/>
        <v>2000-3000</v>
      </c>
    </row>
    <row r="1150" spans="1:39" x14ac:dyDescent="0.2">
      <c r="A1150" s="44">
        <v>43758</v>
      </c>
      <c r="B1150" s="48">
        <v>0.66319444444444442</v>
      </c>
      <c r="C1150" s="48"/>
      <c r="D1150" s="48" t="s">
        <v>150</v>
      </c>
      <c r="E1150" s="13">
        <v>2</v>
      </c>
      <c r="F1150" s="38" t="str">
        <f>VLOOKUP(E1150,[5]Key!$A$17:$B$21,2,FALSE)</f>
        <v>Road Vehicle</v>
      </c>
      <c r="G1150" s="49">
        <v>4</v>
      </c>
      <c r="H1150" s="39" t="str">
        <f>VLOOKUP(G1150,[5]Key!$A$2:$B$14,2,FALSE)</f>
        <v>Minibus</v>
      </c>
      <c r="I1150" s="13" t="s">
        <v>109</v>
      </c>
      <c r="J1150" s="13">
        <v>1</v>
      </c>
      <c r="K1150" s="40" t="str">
        <f>VLOOKUP(J1150,[5]Key!$A$24:$B$29,2,FALSE)</f>
        <v>20-29</v>
      </c>
      <c r="L1150" s="13" t="s">
        <v>711</v>
      </c>
      <c r="M1150" s="23" t="s">
        <v>439</v>
      </c>
      <c r="N1150" s="13" t="s">
        <v>221</v>
      </c>
      <c r="O1150" s="46">
        <v>1</v>
      </c>
      <c r="P1150" s="30" t="str">
        <f>VLOOKUP(O1150,[5]Key!$E$2:$F$9,2,FALSE)</f>
        <v>Home</v>
      </c>
      <c r="Q1150" s="13" t="s">
        <v>698</v>
      </c>
      <c r="R1150" s="23" t="s">
        <v>439</v>
      </c>
      <c r="S1150" s="13" t="s">
        <v>221</v>
      </c>
      <c r="T1150" s="23">
        <v>3</v>
      </c>
      <c r="U1150" s="30" t="str">
        <f>VLOOKUP(T1150,[5]Key!$E$2:$F$9,2,FALSE)</f>
        <v>Study</v>
      </c>
      <c r="V1150" s="30" t="str">
        <f t="shared" si="68"/>
        <v>Home-Study</v>
      </c>
      <c r="W1150" s="23">
        <v>1500</v>
      </c>
      <c r="X1150" s="50">
        <v>15</v>
      </c>
      <c r="Y1150" s="50" t="str">
        <f t="shared" si="69"/>
        <v>10-20</v>
      </c>
      <c r="Z1150" s="50">
        <v>0.2</v>
      </c>
      <c r="AA1150" s="50" t="str">
        <f t="shared" si="70"/>
        <v>0-0.5</v>
      </c>
      <c r="AB1150" s="23">
        <v>8</v>
      </c>
      <c r="AC1150" s="30" t="str">
        <f>VLOOKUP(AB1150,[5]Key!$C$20:$D$29,2,FALSE)</f>
        <v>Student</v>
      </c>
      <c r="AD1150" s="23">
        <v>1</v>
      </c>
      <c r="AE1150" s="30" t="str">
        <f>VLOOKUP(AD1150,[5]Key!$E$20:$F$24,2,FALSE)</f>
        <v>&lt;300,000</v>
      </c>
      <c r="AF1150" s="23">
        <v>2</v>
      </c>
      <c r="AG1150" s="50">
        <v>5</v>
      </c>
      <c r="AH1150" s="50">
        <v>4</v>
      </c>
      <c r="AI1150" s="50">
        <v>1</v>
      </c>
      <c r="AJ1150" s="50">
        <v>3</v>
      </c>
      <c r="AK1150" s="46" t="s">
        <v>94</v>
      </c>
      <c r="AL1150" s="36">
        <v>500</v>
      </c>
      <c r="AM1150" t="str">
        <f t="shared" si="71"/>
        <v>0-1000</v>
      </c>
    </row>
    <row r="1151" spans="1:39" x14ac:dyDescent="0.2">
      <c r="A1151" s="44">
        <v>43758</v>
      </c>
      <c r="B1151" s="48">
        <v>0.74861111111111101</v>
      </c>
      <c r="C1151" s="48"/>
      <c r="D1151" s="48" t="s">
        <v>150</v>
      </c>
      <c r="E1151" s="13">
        <v>2</v>
      </c>
      <c r="F1151" s="38" t="str">
        <f>VLOOKUP(E1151,[5]Key!$A$17:$B$21,2,FALSE)</f>
        <v>Road Vehicle</v>
      </c>
      <c r="G1151" s="49">
        <v>4</v>
      </c>
      <c r="H1151" s="39" t="str">
        <f>VLOOKUP(G1151,[5]Key!$A$2:$B$14,2,FALSE)</f>
        <v>Minibus</v>
      </c>
      <c r="I1151" s="13" t="s">
        <v>109</v>
      </c>
      <c r="J1151" s="13">
        <v>1</v>
      </c>
      <c r="K1151" s="40" t="str">
        <f>VLOOKUP(J1151,[5]Key!$A$24:$B$29,2,FALSE)</f>
        <v>20-29</v>
      </c>
      <c r="L1151" s="13" t="s">
        <v>698</v>
      </c>
      <c r="M1151" s="23" t="s">
        <v>439</v>
      </c>
      <c r="N1151" s="13" t="s">
        <v>221</v>
      </c>
      <c r="O1151" s="46">
        <v>3</v>
      </c>
      <c r="P1151" s="30" t="str">
        <f>VLOOKUP(O1151,[5]Key!$E$2:$F$9,2,FALSE)</f>
        <v>Study</v>
      </c>
      <c r="Q1151" s="13" t="s">
        <v>711</v>
      </c>
      <c r="R1151" s="23" t="s">
        <v>439</v>
      </c>
      <c r="S1151" s="13" t="s">
        <v>221</v>
      </c>
      <c r="T1151" s="23">
        <v>1</v>
      </c>
      <c r="U1151" s="30" t="str">
        <f>VLOOKUP(T1151,[5]Key!$E$2:$F$9,2,FALSE)</f>
        <v>Home</v>
      </c>
      <c r="V1151" s="30" t="str">
        <f t="shared" si="68"/>
        <v>Study-Home</v>
      </c>
      <c r="W1151" s="23">
        <v>2000</v>
      </c>
      <c r="X1151" s="50">
        <v>15</v>
      </c>
      <c r="Y1151" s="50" t="str">
        <f t="shared" si="69"/>
        <v>10-20</v>
      </c>
      <c r="Z1151" s="50">
        <v>0.2</v>
      </c>
      <c r="AA1151" s="50" t="str">
        <f t="shared" si="70"/>
        <v>0-0.5</v>
      </c>
      <c r="AB1151" s="23">
        <v>8</v>
      </c>
      <c r="AC1151" s="30" t="str">
        <f>VLOOKUP(AB1151,[5]Key!$C$20:$D$29,2,FALSE)</f>
        <v>Student</v>
      </c>
      <c r="AD1151" s="23">
        <v>1</v>
      </c>
      <c r="AE1151" s="30" t="str">
        <f>VLOOKUP(AD1151,[5]Key!$E$20:$F$24,2,FALSE)</f>
        <v>&lt;300,000</v>
      </c>
      <c r="AF1151" s="23">
        <v>1</v>
      </c>
      <c r="AG1151" s="50">
        <v>2</v>
      </c>
      <c r="AH1151" s="50">
        <v>3</v>
      </c>
      <c r="AI1151" s="50">
        <v>4</v>
      </c>
      <c r="AJ1151" s="50">
        <v>5</v>
      </c>
      <c r="AK1151" s="46" t="s">
        <v>94</v>
      </c>
      <c r="AL1151" s="36"/>
      <c r="AM1151" t="str">
        <f t="shared" si="71"/>
        <v>0-1000</v>
      </c>
    </row>
    <row r="1152" spans="1:39" x14ac:dyDescent="0.2">
      <c r="A1152" s="44">
        <v>43758</v>
      </c>
      <c r="B1152" s="48">
        <v>0.47916666666666669</v>
      </c>
      <c r="C1152" s="48"/>
      <c r="D1152" s="48" t="s">
        <v>150</v>
      </c>
      <c r="E1152" s="13">
        <v>2</v>
      </c>
      <c r="F1152" s="38" t="str">
        <f>VLOOKUP(E1152,[5]Key!$A$17:$B$21,2,FALSE)</f>
        <v>Road Vehicle</v>
      </c>
      <c r="G1152" s="49">
        <v>2</v>
      </c>
      <c r="H1152" s="39" t="str">
        <f>VLOOKUP(G1152,[5]Key!$A$2:$B$14,2,FALSE)</f>
        <v>Station Wagon</v>
      </c>
      <c r="I1152" s="13" t="s">
        <v>156</v>
      </c>
      <c r="J1152" s="13">
        <v>1</v>
      </c>
      <c r="K1152" s="40" t="str">
        <f>VLOOKUP(J1152,[5]Key!$A$24:$B$29,2,FALSE)</f>
        <v>20-29</v>
      </c>
      <c r="L1152" s="13" t="s">
        <v>446</v>
      </c>
      <c r="M1152" s="23" t="s">
        <v>439</v>
      </c>
      <c r="N1152" s="13" t="s">
        <v>221</v>
      </c>
      <c r="O1152" s="46">
        <v>4</v>
      </c>
      <c r="P1152" s="30" t="str">
        <f>VLOOKUP(O1152,[5]Key!$E$2:$F$9,2,FALSE)</f>
        <v>Commercial</v>
      </c>
      <c r="Q1152" s="13" t="s">
        <v>756</v>
      </c>
      <c r="R1152" s="23" t="s">
        <v>452</v>
      </c>
      <c r="S1152" s="13" t="s">
        <v>221</v>
      </c>
      <c r="T1152" s="23">
        <v>6</v>
      </c>
      <c r="U1152" s="30" t="str">
        <f>VLOOKUP(T1152,[5]Key!$E$2:$F$9,2,FALSE)</f>
        <v>Leisure/Social</v>
      </c>
      <c r="V1152" s="30" t="str">
        <f t="shared" si="68"/>
        <v>Commercial-Leisure/Social</v>
      </c>
      <c r="W1152" s="23">
        <v>4000</v>
      </c>
      <c r="X1152" s="50">
        <v>20</v>
      </c>
      <c r="Y1152" s="50" t="str">
        <f t="shared" si="69"/>
        <v>20-40</v>
      </c>
      <c r="Z1152" s="50">
        <v>0.5</v>
      </c>
      <c r="AA1152" s="50" t="str">
        <f t="shared" si="70"/>
        <v>0.5-1.0</v>
      </c>
      <c r="AB1152" s="23">
        <v>4</v>
      </c>
      <c r="AC1152" s="30" t="str">
        <f>VLOOKUP(AB1152,[5]Key!$C$20:$D$29,2,FALSE)</f>
        <v>Office Worker</v>
      </c>
      <c r="AD1152" s="23">
        <v>1</v>
      </c>
      <c r="AE1152" s="30" t="str">
        <f>VLOOKUP(AD1152,[5]Key!$E$20:$F$24,2,FALSE)</f>
        <v>&lt;300,000</v>
      </c>
      <c r="AF1152" s="23">
        <v>3</v>
      </c>
      <c r="AG1152" s="50">
        <v>1</v>
      </c>
      <c r="AH1152" s="50">
        <v>4</v>
      </c>
      <c r="AI1152" s="50">
        <v>2</v>
      </c>
      <c r="AJ1152" s="50">
        <v>5</v>
      </c>
      <c r="AK1152" s="46" t="s">
        <v>94</v>
      </c>
      <c r="AL1152" s="36">
        <v>1000</v>
      </c>
      <c r="AM1152" t="str">
        <f t="shared" si="71"/>
        <v>1000-2000</v>
      </c>
    </row>
    <row r="1153" spans="1:39" x14ac:dyDescent="0.2">
      <c r="A1153" s="44">
        <v>43757</v>
      </c>
      <c r="B1153" s="48">
        <v>0.3888888888888889</v>
      </c>
      <c r="C1153" s="48"/>
      <c r="D1153" s="48" t="s">
        <v>150</v>
      </c>
      <c r="E1153" s="13">
        <v>2</v>
      </c>
      <c r="F1153" s="38" t="str">
        <f>VLOOKUP(E1153,[5]Key!$A$17:$B$21,2,FALSE)</f>
        <v>Road Vehicle</v>
      </c>
      <c r="G1153" s="49">
        <v>2</v>
      </c>
      <c r="H1153" s="39" t="str">
        <f>VLOOKUP(G1153,[5]Key!$A$2:$B$14,2,FALSE)</f>
        <v>Station Wagon</v>
      </c>
      <c r="I1153" s="13" t="s">
        <v>109</v>
      </c>
      <c r="J1153" s="13">
        <v>1</v>
      </c>
      <c r="K1153" s="40" t="str">
        <f>VLOOKUP(J1153,[5]Key!$A$24:$B$29,2,FALSE)</f>
        <v>20-29</v>
      </c>
      <c r="L1153" s="13" t="s">
        <v>750</v>
      </c>
      <c r="M1153" s="23" t="s">
        <v>439</v>
      </c>
      <c r="N1153" s="13" t="s">
        <v>221</v>
      </c>
      <c r="O1153" s="46">
        <v>1</v>
      </c>
      <c r="P1153" s="30" t="str">
        <f>VLOOKUP(O1153,[5]Key!$E$2:$F$9,2,FALSE)</f>
        <v>Home</v>
      </c>
      <c r="Q1153" s="13" t="s">
        <v>757</v>
      </c>
      <c r="R1153" s="23" t="s">
        <v>758</v>
      </c>
      <c r="S1153" s="13" t="s">
        <v>221</v>
      </c>
      <c r="T1153" s="23">
        <v>8</v>
      </c>
      <c r="U1153" s="30" t="str">
        <f>VLOOKUP(T1153,[5]Key!$E$2:$F$9,2,FALSE)</f>
        <v>Others</v>
      </c>
      <c r="V1153" s="30" t="str">
        <f t="shared" si="68"/>
        <v>Home-Others</v>
      </c>
      <c r="W1153" s="23">
        <v>4000</v>
      </c>
      <c r="X1153" s="50">
        <v>120</v>
      </c>
      <c r="Y1153" s="50" t="str">
        <f t="shared" si="69"/>
        <v>100-200</v>
      </c>
      <c r="Z1153" s="50">
        <v>2</v>
      </c>
      <c r="AA1153" s="50" t="str">
        <f t="shared" si="70"/>
        <v>2.0-3.5</v>
      </c>
      <c r="AB1153" s="23">
        <v>2</v>
      </c>
      <c r="AC1153" s="30" t="str">
        <f>VLOOKUP(AB1153,[5]Key!$C$20:$D$29,2,FALSE)</f>
        <v>Manual Labour</v>
      </c>
      <c r="AD1153" s="23">
        <v>1</v>
      </c>
      <c r="AE1153" s="30" t="str">
        <f>VLOOKUP(AD1153,[5]Key!$E$20:$F$24,2,FALSE)</f>
        <v>&lt;300,000</v>
      </c>
      <c r="AF1153" s="23"/>
      <c r="AG1153" s="50"/>
      <c r="AH1153" s="50"/>
      <c r="AI1153" s="50"/>
      <c r="AJ1153" s="50"/>
      <c r="AK1153" s="46" t="s">
        <v>94</v>
      </c>
      <c r="AL1153" s="36"/>
      <c r="AM1153" t="str">
        <f t="shared" si="71"/>
        <v>0-1000</v>
      </c>
    </row>
    <row r="1154" spans="1:39" x14ac:dyDescent="0.2">
      <c r="A1154" s="44">
        <v>43757</v>
      </c>
      <c r="B1154" s="48">
        <v>0.48680555555555555</v>
      </c>
      <c r="C1154" s="48"/>
      <c r="D1154" s="48" t="s">
        <v>97</v>
      </c>
      <c r="E1154" s="13">
        <v>2</v>
      </c>
      <c r="F1154" s="38" t="str">
        <f>VLOOKUP(E1154,[5]Key!$A$17:$B$21,2,FALSE)</f>
        <v>Road Vehicle</v>
      </c>
      <c r="G1154" s="49">
        <v>2</v>
      </c>
      <c r="H1154" s="39" t="str">
        <f>VLOOKUP(G1154,[5]Key!$A$2:$B$14,2,FALSE)</f>
        <v>Station Wagon</v>
      </c>
      <c r="I1154" s="13" t="s">
        <v>109</v>
      </c>
      <c r="J1154" s="13">
        <v>1</v>
      </c>
      <c r="K1154" s="40" t="str">
        <f>VLOOKUP(J1154,[5]Key!$A$24:$B$29,2,FALSE)</f>
        <v>20-29</v>
      </c>
      <c r="L1154" s="13" t="s">
        <v>712</v>
      </c>
      <c r="M1154" s="23" t="s">
        <v>441</v>
      </c>
      <c r="N1154" s="13" t="s">
        <v>221</v>
      </c>
      <c r="O1154" s="46">
        <v>4</v>
      </c>
      <c r="P1154" s="30" t="str">
        <f>VLOOKUP(O1154,[5]Key!$E$2:$F$9,2,FALSE)</f>
        <v>Commercial</v>
      </c>
      <c r="Q1154" s="13" t="s">
        <v>463</v>
      </c>
      <c r="R1154" s="23" t="s">
        <v>463</v>
      </c>
      <c r="S1154" s="13" t="s">
        <v>221</v>
      </c>
      <c r="T1154" s="23">
        <v>4</v>
      </c>
      <c r="U1154" s="30" t="str">
        <f>VLOOKUP(T1154,[5]Key!$E$2:$F$9,2,FALSE)</f>
        <v>Commercial</v>
      </c>
      <c r="V1154" s="30" t="str">
        <f t="shared" ref="V1154:V1217" si="72">P1154&amp;"-"&amp;U1154</f>
        <v>Commercial-Commercial</v>
      </c>
      <c r="W1154" s="23">
        <v>8000</v>
      </c>
      <c r="X1154" s="50">
        <v>50</v>
      </c>
      <c r="Y1154" s="50" t="str">
        <f t="shared" si="69"/>
        <v>40-70</v>
      </c>
      <c r="Z1154" s="50">
        <v>0.7</v>
      </c>
      <c r="AA1154" s="50" t="str">
        <f t="shared" si="70"/>
        <v>0.5-1.0</v>
      </c>
      <c r="AB1154" s="23">
        <v>10</v>
      </c>
      <c r="AC1154" s="30" t="str">
        <f>VLOOKUP(AB1154,[5]Key!$C$20:$D$29,2,FALSE)</f>
        <v>Other</v>
      </c>
      <c r="AD1154" s="23">
        <v>1</v>
      </c>
      <c r="AE1154" s="30" t="str">
        <f>VLOOKUP(AD1154,[5]Key!$E$20:$F$24,2,FALSE)</f>
        <v>&lt;300,000</v>
      </c>
      <c r="AF1154" s="23"/>
      <c r="AG1154" s="50"/>
      <c r="AH1154" s="50"/>
      <c r="AI1154" s="50"/>
      <c r="AJ1154" s="50"/>
      <c r="AK1154" s="46" t="s">
        <v>94</v>
      </c>
      <c r="AL1154" s="36">
        <v>2000</v>
      </c>
      <c r="AM1154" t="str">
        <f t="shared" si="71"/>
        <v>2000-3000</v>
      </c>
    </row>
    <row r="1155" spans="1:39" x14ac:dyDescent="0.2">
      <c r="A1155" s="44">
        <v>43758</v>
      </c>
      <c r="B1155" s="48">
        <v>0.36458333333333331</v>
      </c>
      <c r="C1155" s="48"/>
      <c r="D1155" s="48" t="s">
        <v>150</v>
      </c>
      <c r="E1155" s="13">
        <v>2</v>
      </c>
      <c r="F1155" s="38" t="str">
        <f>VLOOKUP(E1155,[5]Key!$A$17:$B$21,2,FALSE)</f>
        <v>Road Vehicle</v>
      </c>
      <c r="G1155" s="49">
        <v>2</v>
      </c>
      <c r="H1155" s="39" t="str">
        <f>VLOOKUP(G1155,[5]Key!$A$2:$B$14,2,FALSE)</f>
        <v>Station Wagon</v>
      </c>
      <c r="I1155" s="13" t="s">
        <v>109</v>
      </c>
      <c r="J1155" s="13">
        <v>1</v>
      </c>
      <c r="K1155" s="40" t="str">
        <f>VLOOKUP(J1155,[5]Key!$A$24:$B$29,2,FALSE)</f>
        <v>20-29</v>
      </c>
      <c r="L1155" s="13" t="s">
        <v>446</v>
      </c>
      <c r="M1155" s="23" t="s">
        <v>439</v>
      </c>
      <c r="N1155" s="13" t="s">
        <v>221</v>
      </c>
      <c r="O1155" s="46">
        <v>1</v>
      </c>
      <c r="P1155" s="30" t="str">
        <f>VLOOKUP(O1155,[5]Key!$E$2:$F$9,2,FALSE)</f>
        <v>Home</v>
      </c>
      <c r="Q1155" s="13" t="s">
        <v>756</v>
      </c>
      <c r="R1155" s="23" t="s">
        <v>441</v>
      </c>
      <c r="S1155" s="13" t="s">
        <v>221</v>
      </c>
      <c r="T1155" s="23">
        <v>6</v>
      </c>
      <c r="U1155" s="30" t="str">
        <f>VLOOKUP(T1155,[5]Key!$E$2:$F$9,2,FALSE)</f>
        <v>Leisure/Social</v>
      </c>
      <c r="V1155" s="30" t="str">
        <f t="shared" si="72"/>
        <v>Home-Leisure/Social</v>
      </c>
      <c r="W1155" s="23">
        <v>5000</v>
      </c>
      <c r="X1155" s="50"/>
      <c r="Y1155" s="50" t="str">
        <f t="shared" ref="Y1155:Y1218" si="73">IF(X1155&lt;10,"0-10",IF(X1155&lt;20,"10-20",IF(X1155&lt;40,"20-40",IF(X1155&lt;70,"40-70",IF(X1155&lt;100,"70-100",IF(X1155&lt;200,"100-200","Over 200"))))))</f>
        <v>0-10</v>
      </c>
      <c r="Z1155" s="50">
        <v>0.7</v>
      </c>
      <c r="AA1155" s="50" t="str">
        <f t="shared" ref="AA1155:AA1218" si="74">IF(Z1155&lt;0.5,"0-0.5",IF(Z1155&lt;1,"0.5-1.0",IF(Z1155&lt;2,"1.0-2.0",IF(Z1155&lt;3.5,"2.0-3.5","Over 3.5"))))</f>
        <v>0.5-1.0</v>
      </c>
      <c r="AB1155" s="23">
        <v>4</v>
      </c>
      <c r="AC1155" s="30" t="str">
        <f>VLOOKUP(AB1155,[5]Key!$C$20:$D$29,2,FALSE)</f>
        <v>Office Worker</v>
      </c>
      <c r="AD1155" s="23">
        <v>2</v>
      </c>
      <c r="AE1155" s="30" t="str">
        <f>VLOOKUP(AD1155,[5]Key!$E$20:$F$24,2,FALSE)</f>
        <v>300,000-500,000</v>
      </c>
      <c r="AF1155" s="23">
        <v>1</v>
      </c>
      <c r="AG1155" s="50">
        <v>2</v>
      </c>
      <c r="AH1155" s="50">
        <v>5</v>
      </c>
      <c r="AI1155" s="50">
        <v>3</v>
      </c>
      <c r="AJ1155" s="50">
        <v>4</v>
      </c>
      <c r="AK1155" s="46" t="s">
        <v>94</v>
      </c>
      <c r="AL1155" s="36">
        <v>1000</v>
      </c>
      <c r="AM1155" t="str">
        <f t="shared" ref="AM1155:AM1218" si="75">IF(AL1155&lt;1000,"0-1000",IF(AL1155&lt;2000,"1000-2000",IF(AL1155&lt;3000,"2000-3000",IF(AL1155&lt;5000,"3000-5000",IF(AL1155&lt;10000,"5000-10000","Over 10000")))))</f>
        <v>1000-2000</v>
      </c>
    </row>
    <row r="1156" spans="1:39" x14ac:dyDescent="0.2">
      <c r="A1156" s="44">
        <v>43758</v>
      </c>
      <c r="B1156" s="48">
        <v>0.38680555555555557</v>
      </c>
      <c r="C1156" s="48"/>
      <c r="D1156" s="48" t="s">
        <v>150</v>
      </c>
      <c r="E1156" s="13">
        <v>2</v>
      </c>
      <c r="F1156" s="38" t="str">
        <f>VLOOKUP(E1156,[5]Key!$A$17:$B$21,2,FALSE)</f>
        <v>Road Vehicle</v>
      </c>
      <c r="G1156" s="49">
        <v>2</v>
      </c>
      <c r="H1156" s="39" t="str">
        <f>VLOOKUP(G1156,[5]Key!$A$2:$B$14,2,FALSE)</f>
        <v>Station Wagon</v>
      </c>
      <c r="I1156" s="13" t="s">
        <v>109</v>
      </c>
      <c r="J1156" s="13">
        <v>1</v>
      </c>
      <c r="K1156" s="40" t="str">
        <f>VLOOKUP(J1156,[5]Key!$A$24:$B$29,2,FALSE)</f>
        <v>20-29</v>
      </c>
      <c r="L1156" s="13" t="s">
        <v>742</v>
      </c>
      <c r="M1156" s="23" t="s">
        <v>452</v>
      </c>
      <c r="N1156" s="13" t="s">
        <v>221</v>
      </c>
      <c r="O1156" s="46">
        <v>1</v>
      </c>
      <c r="P1156" s="30" t="str">
        <f>VLOOKUP(O1156,[5]Key!$E$2:$F$9,2,FALSE)</f>
        <v>Home</v>
      </c>
      <c r="Q1156" s="13" t="s">
        <v>153</v>
      </c>
      <c r="R1156" s="23" t="s">
        <v>153</v>
      </c>
      <c r="S1156" s="13" t="s">
        <v>221</v>
      </c>
      <c r="T1156" s="23">
        <v>4</v>
      </c>
      <c r="U1156" s="30" t="str">
        <f>VLOOKUP(T1156,[5]Key!$E$2:$F$9,2,FALSE)</f>
        <v>Commercial</v>
      </c>
      <c r="V1156" s="30" t="str">
        <f t="shared" si="72"/>
        <v>Home-Commercial</v>
      </c>
      <c r="W1156" s="23">
        <v>30000</v>
      </c>
      <c r="X1156" s="50">
        <v>432</v>
      </c>
      <c r="Y1156" s="50" t="str">
        <f t="shared" si="73"/>
        <v>Over 200</v>
      </c>
      <c r="Z1156" s="50">
        <v>8</v>
      </c>
      <c r="AA1156" s="50" t="str">
        <f t="shared" si="74"/>
        <v>Over 3.5</v>
      </c>
      <c r="AB1156" s="23">
        <v>6</v>
      </c>
      <c r="AC1156" s="30" t="str">
        <f>VLOOKUP(AB1156,[5]Key!$C$20:$D$29,2,FALSE)</f>
        <v>Businessman</v>
      </c>
      <c r="AD1156" s="23">
        <v>3</v>
      </c>
      <c r="AE1156" s="30" t="str">
        <f>VLOOKUP(AD1156,[5]Key!$E$20:$F$24,2,FALSE)</f>
        <v>500,000-750,000</v>
      </c>
      <c r="AF1156" s="23">
        <v>3</v>
      </c>
      <c r="AG1156" s="50">
        <v>2</v>
      </c>
      <c r="AH1156" s="50">
        <v>4</v>
      </c>
      <c r="AI1156" s="50">
        <v>1</v>
      </c>
      <c r="AJ1156" s="50">
        <v>5</v>
      </c>
      <c r="AK1156" s="46" t="s">
        <v>94</v>
      </c>
      <c r="AL1156" s="36">
        <v>2000</v>
      </c>
      <c r="AM1156" t="str">
        <f t="shared" si="75"/>
        <v>2000-3000</v>
      </c>
    </row>
    <row r="1157" spans="1:39" x14ac:dyDescent="0.2">
      <c r="A1157" s="44">
        <v>43757</v>
      </c>
      <c r="B1157" s="48">
        <v>0.39444444444444443</v>
      </c>
      <c r="C1157" s="48"/>
      <c r="D1157" s="48"/>
      <c r="E1157" s="13">
        <v>1</v>
      </c>
      <c r="F1157" s="38" t="str">
        <f>VLOOKUP(E1157,[5]Key!$A$17:$B$21,2,FALSE)</f>
        <v>Walking/Cycling</v>
      </c>
      <c r="G1157" s="49">
        <v>13</v>
      </c>
      <c r="H1157" s="39" t="str">
        <f>VLOOKUP(G1157,[5]Key!$A$2:$B$14,2,FALSE)</f>
        <v>Bicycles</v>
      </c>
      <c r="I1157" s="13" t="s">
        <v>156</v>
      </c>
      <c r="J1157" s="13">
        <v>2</v>
      </c>
      <c r="K1157" s="40" t="str">
        <f>VLOOKUP(J1157,[5]Key!$A$24:$B$29,2,FALSE)</f>
        <v>30-39</v>
      </c>
      <c r="L1157" s="13" t="s">
        <v>759</v>
      </c>
      <c r="M1157" s="23" t="s">
        <v>439</v>
      </c>
      <c r="N1157" s="13" t="s">
        <v>221</v>
      </c>
      <c r="O1157" s="46">
        <v>6</v>
      </c>
      <c r="P1157" s="30" t="str">
        <f>VLOOKUP(O1157,[5]Key!$E$2:$F$9,2,FALSE)</f>
        <v>Leisure/Social</v>
      </c>
      <c r="Q1157" s="13" t="s">
        <v>446</v>
      </c>
      <c r="R1157" s="23" t="s">
        <v>439</v>
      </c>
      <c r="S1157" s="13" t="s">
        <v>221</v>
      </c>
      <c r="T1157" s="23">
        <v>6</v>
      </c>
      <c r="U1157" s="30" t="str">
        <f>VLOOKUP(T1157,[5]Key!$E$2:$F$9,2,FALSE)</f>
        <v>Leisure/Social</v>
      </c>
      <c r="V1157" s="30" t="str">
        <f t="shared" si="72"/>
        <v>Leisure/Social-Leisure/Social</v>
      </c>
      <c r="W1157" s="23">
        <v>2000</v>
      </c>
      <c r="X1157" s="50">
        <v>5</v>
      </c>
      <c r="Y1157" s="50" t="str">
        <f t="shared" si="73"/>
        <v>0-10</v>
      </c>
      <c r="Z1157" s="50">
        <v>0.3</v>
      </c>
      <c r="AA1157" s="50" t="str">
        <f t="shared" si="74"/>
        <v>0-0.5</v>
      </c>
      <c r="AB1157" s="23">
        <v>10</v>
      </c>
      <c r="AC1157" s="30" t="str">
        <f>VLOOKUP(AB1157,[5]Key!$C$20:$D$29,2,FALSE)</f>
        <v>Other</v>
      </c>
      <c r="AD1157" s="23">
        <v>3</v>
      </c>
      <c r="AE1157" s="30" t="str">
        <f>VLOOKUP(AD1157,[5]Key!$E$20:$F$24,2,FALSE)</f>
        <v>500,000-750,000</v>
      </c>
      <c r="AF1157" s="23">
        <v>4</v>
      </c>
      <c r="AG1157" s="50">
        <v>5</v>
      </c>
      <c r="AH1157" s="50">
        <v>3</v>
      </c>
      <c r="AI1157" s="50">
        <v>1</v>
      </c>
      <c r="AJ1157" s="50">
        <v>2</v>
      </c>
      <c r="AK1157" s="46" t="s">
        <v>94</v>
      </c>
      <c r="AL1157" s="36">
        <v>500</v>
      </c>
      <c r="AM1157" t="str">
        <f t="shared" si="75"/>
        <v>0-1000</v>
      </c>
    </row>
    <row r="1158" spans="1:39" x14ac:dyDescent="0.2">
      <c r="A1158" s="44">
        <v>43757</v>
      </c>
      <c r="B1158" s="48"/>
      <c r="C1158" s="48"/>
      <c r="D1158" s="48" t="s">
        <v>150</v>
      </c>
      <c r="E1158" s="13">
        <v>1</v>
      </c>
      <c r="F1158" s="38" t="str">
        <f>VLOOKUP(E1158,[5]Key!$A$17:$B$21,2,FALSE)</f>
        <v>Walking/Cycling</v>
      </c>
      <c r="G1158" s="49">
        <v>13</v>
      </c>
      <c r="H1158" s="39" t="str">
        <f>VLOOKUP(G1158,[5]Key!$A$2:$B$14,2,FALSE)</f>
        <v>Bicycles</v>
      </c>
      <c r="I1158" s="13" t="s">
        <v>156</v>
      </c>
      <c r="J1158" s="13">
        <v>2</v>
      </c>
      <c r="K1158" s="40" t="str">
        <f>VLOOKUP(J1158,[5]Key!$A$24:$B$29,2,FALSE)</f>
        <v>30-39</v>
      </c>
      <c r="L1158" s="13" t="s">
        <v>756</v>
      </c>
      <c r="M1158" s="23" t="s">
        <v>441</v>
      </c>
      <c r="N1158" s="13" t="s">
        <v>221</v>
      </c>
      <c r="O1158" s="46">
        <v>6</v>
      </c>
      <c r="P1158" s="30" t="str">
        <f>VLOOKUP(O1158,[5]Key!$E$2:$F$9,2,FALSE)</f>
        <v>Leisure/Social</v>
      </c>
      <c r="Q1158" s="13" t="s">
        <v>446</v>
      </c>
      <c r="R1158" s="23" t="s">
        <v>439</v>
      </c>
      <c r="S1158" s="13" t="s">
        <v>221</v>
      </c>
      <c r="T1158" s="23">
        <v>1</v>
      </c>
      <c r="U1158" s="30" t="str">
        <f>VLOOKUP(T1158,[5]Key!$E$2:$F$9,2,FALSE)</f>
        <v>Home</v>
      </c>
      <c r="V1158" s="30" t="str">
        <f t="shared" si="72"/>
        <v>Leisure/Social-Home</v>
      </c>
      <c r="W1158" s="23">
        <v>2000</v>
      </c>
      <c r="X1158" s="50"/>
      <c r="Y1158" s="50" t="str">
        <f t="shared" si="73"/>
        <v>0-10</v>
      </c>
      <c r="Z1158" s="50">
        <v>0.3</v>
      </c>
      <c r="AA1158" s="50" t="str">
        <f t="shared" si="74"/>
        <v>0-0.5</v>
      </c>
      <c r="AB1158" s="23">
        <v>10</v>
      </c>
      <c r="AC1158" s="30" t="str">
        <f>VLOOKUP(AB1158,[5]Key!$C$20:$D$29,2,FALSE)</f>
        <v>Other</v>
      </c>
      <c r="AD1158" s="23">
        <v>2</v>
      </c>
      <c r="AE1158" s="30" t="str">
        <f>VLOOKUP(AD1158,[5]Key!$E$20:$F$24,2,FALSE)</f>
        <v>300,000-500,000</v>
      </c>
      <c r="AF1158" s="23">
        <v>2</v>
      </c>
      <c r="AG1158" s="50">
        <v>3</v>
      </c>
      <c r="AH1158" s="50">
        <v>5</v>
      </c>
      <c r="AI1158" s="50">
        <v>4</v>
      </c>
      <c r="AJ1158" s="50">
        <v>1</v>
      </c>
      <c r="AK1158" s="46" t="s">
        <v>94</v>
      </c>
      <c r="AL1158" s="36"/>
      <c r="AM1158" t="str">
        <f t="shared" si="75"/>
        <v>0-1000</v>
      </c>
    </row>
    <row r="1159" spans="1:39" x14ac:dyDescent="0.2">
      <c r="A1159" s="44">
        <v>43758</v>
      </c>
      <c r="B1159" s="48">
        <v>0.72916666666666663</v>
      </c>
      <c r="C1159" s="48"/>
      <c r="D1159" s="48"/>
      <c r="E1159" s="13">
        <v>1</v>
      </c>
      <c r="F1159" s="38" t="str">
        <f>VLOOKUP(E1159,[5]Key!$A$17:$B$21,2,FALSE)</f>
        <v>Walking/Cycling</v>
      </c>
      <c r="G1159" s="49">
        <v>13</v>
      </c>
      <c r="H1159" s="39" t="str">
        <f>VLOOKUP(G1159,[5]Key!$A$2:$B$14,2,FALSE)</f>
        <v>Bicycles</v>
      </c>
      <c r="I1159" s="13" t="s">
        <v>156</v>
      </c>
      <c r="J1159" s="13">
        <v>2</v>
      </c>
      <c r="K1159" s="40" t="str">
        <f>VLOOKUP(J1159,[5]Key!$A$24:$B$29,2,FALSE)</f>
        <v>30-39</v>
      </c>
      <c r="L1159" s="13" t="s">
        <v>699</v>
      </c>
      <c r="M1159" s="23" t="s">
        <v>439</v>
      </c>
      <c r="N1159" s="13" t="s">
        <v>221</v>
      </c>
      <c r="O1159" s="46">
        <v>1</v>
      </c>
      <c r="P1159" s="30" t="str">
        <f>VLOOKUP(O1159,[5]Key!$E$2:$F$9,2,FALSE)</f>
        <v>Home</v>
      </c>
      <c r="Q1159" s="13" t="s">
        <v>446</v>
      </c>
      <c r="R1159" s="23" t="s">
        <v>439</v>
      </c>
      <c r="S1159" s="13" t="s">
        <v>221</v>
      </c>
      <c r="T1159" s="23">
        <v>2</v>
      </c>
      <c r="U1159" s="30" t="str">
        <f>VLOOKUP(T1159,[5]Key!$E$2:$F$9,2,FALSE)</f>
        <v>Work</v>
      </c>
      <c r="V1159" s="30" t="str">
        <f t="shared" si="72"/>
        <v>Home-Work</v>
      </c>
      <c r="W1159" s="23">
        <v>1000</v>
      </c>
      <c r="X1159" s="50">
        <v>0.5</v>
      </c>
      <c r="Y1159" s="50" t="str">
        <f t="shared" si="73"/>
        <v>0-10</v>
      </c>
      <c r="Z1159" s="50">
        <v>0.1</v>
      </c>
      <c r="AA1159" s="50" t="str">
        <f t="shared" si="74"/>
        <v>0-0.5</v>
      </c>
      <c r="AB1159" s="23">
        <v>10</v>
      </c>
      <c r="AC1159" s="30" t="str">
        <f>VLOOKUP(AB1159,[5]Key!$C$20:$D$29,2,FALSE)</f>
        <v>Other</v>
      </c>
      <c r="AD1159" s="23">
        <v>1</v>
      </c>
      <c r="AE1159" s="30" t="str">
        <f>VLOOKUP(AD1159,[5]Key!$E$20:$F$24,2,FALSE)</f>
        <v>&lt;300,000</v>
      </c>
      <c r="AF1159" s="23">
        <v>1</v>
      </c>
      <c r="AG1159" s="50">
        <v>4</v>
      </c>
      <c r="AH1159" s="50">
        <v>2</v>
      </c>
      <c r="AI1159" s="50">
        <v>3</v>
      </c>
      <c r="AJ1159" s="50">
        <v>5</v>
      </c>
      <c r="AK1159" s="46" t="s">
        <v>94</v>
      </c>
      <c r="AL1159" s="36"/>
      <c r="AM1159" t="str">
        <f t="shared" si="75"/>
        <v>0-1000</v>
      </c>
    </row>
    <row r="1160" spans="1:39" x14ac:dyDescent="0.2">
      <c r="A1160" s="44">
        <v>43758</v>
      </c>
      <c r="B1160" s="48">
        <v>0.73055555555555562</v>
      </c>
      <c r="C1160" s="48"/>
      <c r="D1160" s="48"/>
      <c r="E1160" s="13">
        <v>1</v>
      </c>
      <c r="F1160" s="38" t="str">
        <f>VLOOKUP(E1160,[5]Key!$A$17:$B$21,2,FALSE)</f>
        <v>Walking/Cycling</v>
      </c>
      <c r="G1160" s="49">
        <v>13</v>
      </c>
      <c r="H1160" s="39" t="str">
        <f>VLOOKUP(G1160,[5]Key!$A$2:$B$14,2,FALSE)</f>
        <v>Bicycles</v>
      </c>
      <c r="I1160" s="13" t="s">
        <v>156</v>
      </c>
      <c r="J1160" s="13">
        <v>2</v>
      </c>
      <c r="K1160" s="40" t="str">
        <f>VLOOKUP(J1160,[5]Key!$A$24:$B$29,2,FALSE)</f>
        <v>30-39</v>
      </c>
      <c r="L1160" s="13" t="s">
        <v>709</v>
      </c>
      <c r="M1160" s="23" t="s">
        <v>439</v>
      </c>
      <c r="N1160" s="13" t="s">
        <v>221</v>
      </c>
      <c r="O1160" s="46">
        <v>1</v>
      </c>
      <c r="P1160" s="30" t="str">
        <f>VLOOKUP(O1160,[5]Key!$E$2:$F$9,2,FALSE)</f>
        <v>Home</v>
      </c>
      <c r="Q1160" s="13" t="s">
        <v>446</v>
      </c>
      <c r="R1160" s="23" t="s">
        <v>439</v>
      </c>
      <c r="S1160" s="13" t="s">
        <v>221</v>
      </c>
      <c r="T1160" s="23">
        <v>2</v>
      </c>
      <c r="U1160" s="30" t="str">
        <f>VLOOKUP(T1160,[5]Key!$E$2:$F$9,2,FALSE)</f>
        <v>Work</v>
      </c>
      <c r="V1160" s="30" t="str">
        <f t="shared" si="72"/>
        <v>Home-Work</v>
      </c>
      <c r="W1160" s="23">
        <v>1000</v>
      </c>
      <c r="X1160" s="50">
        <v>4</v>
      </c>
      <c r="Y1160" s="50" t="str">
        <f t="shared" si="73"/>
        <v>0-10</v>
      </c>
      <c r="Z1160" s="50">
        <v>0.2</v>
      </c>
      <c r="AA1160" s="50" t="str">
        <f t="shared" si="74"/>
        <v>0-0.5</v>
      </c>
      <c r="AB1160" s="23">
        <v>10</v>
      </c>
      <c r="AC1160" s="30" t="str">
        <f>VLOOKUP(AB1160,[5]Key!$C$20:$D$29,2,FALSE)</f>
        <v>Other</v>
      </c>
      <c r="AD1160" s="23">
        <v>1</v>
      </c>
      <c r="AE1160" s="30" t="str">
        <f>VLOOKUP(AD1160,[5]Key!$E$20:$F$24,2,FALSE)</f>
        <v>&lt;300,000</v>
      </c>
      <c r="AF1160" s="23">
        <v>2</v>
      </c>
      <c r="AG1160" s="50">
        <v>3</v>
      </c>
      <c r="AH1160" s="50">
        <v>5</v>
      </c>
      <c r="AI1160" s="50">
        <v>1</v>
      </c>
      <c r="AJ1160" s="50">
        <v>4</v>
      </c>
      <c r="AK1160" s="46" t="s">
        <v>94</v>
      </c>
      <c r="AL1160" s="36">
        <v>500</v>
      </c>
      <c r="AM1160" t="str">
        <f t="shared" si="75"/>
        <v>0-1000</v>
      </c>
    </row>
    <row r="1161" spans="1:39" x14ac:dyDescent="0.2">
      <c r="A1161" s="44">
        <v>43758</v>
      </c>
      <c r="B1161" s="48">
        <v>0.72361111111111109</v>
      </c>
      <c r="C1161" s="48"/>
      <c r="D1161" s="48"/>
      <c r="E1161" s="13">
        <v>1</v>
      </c>
      <c r="F1161" s="38" t="str">
        <f>VLOOKUP(E1161,[5]Key!$A$17:$B$21,2,FALSE)</f>
        <v>Walking/Cycling</v>
      </c>
      <c r="G1161" s="49">
        <v>13</v>
      </c>
      <c r="H1161" s="39" t="str">
        <f>VLOOKUP(G1161,[5]Key!$A$2:$B$14,2,FALSE)</f>
        <v>Bicycles</v>
      </c>
      <c r="I1161" s="13" t="s">
        <v>109</v>
      </c>
      <c r="J1161" s="13">
        <v>2</v>
      </c>
      <c r="K1161" s="40" t="str">
        <f>VLOOKUP(J1161,[5]Key!$A$24:$B$29,2,FALSE)</f>
        <v>30-39</v>
      </c>
      <c r="L1161" s="13" t="s">
        <v>699</v>
      </c>
      <c r="M1161" s="23" t="s">
        <v>439</v>
      </c>
      <c r="N1161" s="13" t="s">
        <v>221</v>
      </c>
      <c r="O1161" s="46">
        <v>1</v>
      </c>
      <c r="P1161" s="30" t="str">
        <f>VLOOKUP(O1161,[5]Key!$E$2:$F$9,2,FALSE)</f>
        <v>Home</v>
      </c>
      <c r="Q1161" s="13" t="s">
        <v>446</v>
      </c>
      <c r="R1161" s="23" t="s">
        <v>439</v>
      </c>
      <c r="S1161" s="13" t="s">
        <v>221</v>
      </c>
      <c r="T1161" s="23">
        <v>2</v>
      </c>
      <c r="U1161" s="30" t="str">
        <f>VLOOKUP(T1161,[5]Key!$E$2:$F$9,2,FALSE)</f>
        <v>Work</v>
      </c>
      <c r="V1161" s="30" t="str">
        <f t="shared" si="72"/>
        <v>Home-Work</v>
      </c>
      <c r="W1161" s="23">
        <v>1000</v>
      </c>
      <c r="X1161" s="50"/>
      <c r="Y1161" s="50" t="str">
        <f t="shared" si="73"/>
        <v>0-10</v>
      </c>
      <c r="Z1161" s="50">
        <v>0.2</v>
      </c>
      <c r="AA1161" s="50" t="str">
        <f t="shared" si="74"/>
        <v>0-0.5</v>
      </c>
      <c r="AB1161" s="23">
        <v>10</v>
      </c>
      <c r="AC1161" s="30" t="str">
        <f>VLOOKUP(AB1161,[5]Key!$C$20:$D$29,2,FALSE)</f>
        <v>Other</v>
      </c>
      <c r="AD1161" s="23">
        <v>5</v>
      </c>
      <c r="AE1161" s="30" t="str">
        <f>VLOOKUP(AD1161,[5]Key!$E$20:$F$24,2,FALSE)</f>
        <v>&gt;1,000,000</v>
      </c>
      <c r="AF1161" s="23">
        <v>2</v>
      </c>
      <c r="AG1161" s="50">
        <v>3</v>
      </c>
      <c r="AH1161" s="50">
        <v>1</v>
      </c>
      <c r="AI1161" s="50">
        <v>4</v>
      </c>
      <c r="AJ1161" s="50">
        <v>5</v>
      </c>
      <c r="AK1161" s="46" t="s">
        <v>94</v>
      </c>
      <c r="AL1161" s="36"/>
      <c r="AM1161" t="str">
        <f t="shared" si="75"/>
        <v>0-1000</v>
      </c>
    </row>
    <row r="1162" spans="1:39" x14ac:dyDescent="0.2">
      <c r="A1162" s="44">
        <v>43756</v>
      </c>
      <c r="B1162" s="48"/>
      <c r="C1162" s="48"/>
      <c r="D1162" s="48" t="s">
        <v>150</v>
      </c>
      <c r="E1162" s="13">
        <v>2</v>
      </c>
      <c r="F1162" s="38" t="str">
        <f>VLOOKUP(E1162,[5]Key!$A$17:$B$21,2,FALSE)</f>
        <v>Road Vehicle</v>
      </c>
      <c r="G1162" s="49">
        <v>1</v>
      </c>
      <c r="H1162" s="39" t="str">
        <f>VLOOKUP(G1162,[5]Key!$A$2:$B$14,2,FALSE)</f>
        <v>Car</v>
      </c>
      <c r="I1162" s="13" t="s">
        <v>156</v>
      </c>
      <c r="J1162" s="13">
        <v>2</v>
      </c>
      <c r="K1162" s="40" t="str">
        <f>VLOOKUP(J1162,[5]Key!$A$24:$B$29,2,FALSE)</f>
        <v>30-39</v>
      </c>
      <c r="L1162" s="55" t="s">
        <v>446</v>
      </c>
      <c r="M1162" s="23" t="s">
        <v>439</v>
      </c>
      <c r="N1162" s="13" t="s">
        <v>221</v>
      </c>
      <c r="O1162" s="46">
        <v>6</v>
      </c>
      <c r="P1162" s="30" t="str">
        <f>VLOOKUP(O1162,[5]Key!$E$2:$F$9,2,FALSE)</f>
        <v>Leisure/Social</v>
      </c>
      <c r="Q1162" s="13" t="s">
        <v>734</v>
      </c>
      <c r="R1162" s="23" t="s">
        <v>439</v>
      </c>
      <c r="S1162" s="13" t="s">
        <v>221</v>
      </c>
      <c r="T1162" s="23">
        <v>6</v>
      </c>
      <c r="U1162" s="30" t="str">
        <f>VLOOKUP(T1162,[5]Key!$E$2:$F$9,2,FALSE)</f>
        <v>Leisure/Social</v>
      </c>
      <c r="V1162" s="30" t="str">
        <f t="shared" si="72"/>
        <v>Leisure/Social-Leisure/Social</v>
      </c>
      <c r="W1162" s="41">
        <v>3000</v>
      </c>
      <c r="X1162" s="50"/>
      <c r="Y1162" s="50" t="str">
        <f t="shared" si="73"/>
        <v>0-10</v>
      </c>
      <c r="Z1162" s="50">
        <v>0.5</v>
      </c>
      <c r="AA1162" s="50" t="str">
        <f t="shared" si="74"/>
        <v>0.5-1.0</v>
      </c>
      <c r="AB1162" s="23">
        <v>1</v>
      </c>
      <c r="AC1162" s="30" t="str">
        <f>VLOOKUP(AB1162,[5]Key!$C$20:$D$29,2,FALSE)</f>
        <v>Unemployed</v>
      </c>
      <c r="AD1162" s="23">
        <v>1</v>
      </c>
      <c r="AE1162" s="30" t="str">
        <f>VLOOKUP(AD1162,[5]Key!$E$20:$F$24,2,FALSE)</f>
        <v>&lt;300,000</v>
      </c>
      <c r="AF1162" s="23">
        <v>4</v>
      </c>
      <c r="AG1162" s="50">
        <v>2</v>
      </c>
      <c r="AH1162" s="50">
        <v>1</v>
      </c>
      <c r="AI1162" s="50">
        <v>5</v>
      </c>
      <c r="AJ1162" s="50">
        <v>3</v>
      </c>
      <c r="AK1162" s="46" t="s">
        <v>94</v>
      </c>
      <c r="AL1162" s="36"/>
      <c r="AM1162" t="str">
        <f t="shared" si="75"/>
        <v>0-1000</v>
      </c>
    </row>
    <row r="1163" spans="1:39" x14ac:dyDescent="0.2">
      <c r="A1163" s="44">
        <v>43756</v>
      </c>
      <c r="B1163" s="48"/>
      <c r="C1163" s="48"/>
      <c r="D1163" s="48" t="s">
        <v>150</v>
      </c>
      <c r="E1163" s="13">
        <v>2</v>
      </c>
      <c r="F1163" s="38" t="str">
        <f>VLOOKUP(E1163,[5]Key!$A$17:$B$21,2,FALSE)</f>
        <v>Road Vehicle</v>
      </c>
      <c r="G1163" s="49">
        <v>1</v>
      </c>
      <c r="H1163" s="39" t="str">
        <f>VLOOKUP(G1163,[5]Key!$A$2:$B$14,2,FALSE)</f>
        <v>Car</v>
      </c>
      <c r="I1163" s="13" t="s">
        <v>156</v>
      </c>
      <c r="J1163" s="13">
        <v>2</v>
      </c>
      <c r="K1163" s="40" t="str">
        <f>VLOOKUP(J1163,[5]Key!$A$24:$B$29,2,FALSE)</f>
        <v>30-39</v>
      </c>
      <c r="L1163" s="55" t="s">
        <v>724</v>
      </c>
      <c r="M1163" s="23" t="s">
        <v>421</v>
      </c>
      <c r="N1163" s="13" t="s">
        <v>221</v>
      </c>
      <c r="O1163" s="46">
        <v>1</v>
      </c>
      <c r="P1163" s="30" t="str">
        <f>VLOOKUP(O1163,[5]Key!$E$2:$F$9,2,FALSE)</f>
        <v>Home</v>
      </c>
      <c r="Q1163" s="13" t="s">
        <v>734</v>
      </c>
      <c r="R1163" s="23" t="s">
        <v>439</v>
      </c>
      <c r="S1163" s="13" t="s">
        <v>221</v>
      </c>
      <c r="T1163" s="23">
        <v>6</v>
      </c>
      <c r="U1163" s="30" t="str">
        <f>VLOOKUP(T1163,[5]Key!$E$2:$F$9,2,FALSE)</f>
        <v>Leisure/Social</v>
      </c>
      <c r="V1163" s="30" t="str">
        <f t="shared" si="72"/>
        <v>Home-Leisure/Social</v>
      </c>
      <c r="W1163" s="41">
        <v>10000</v>
      </c>
      <c r="X1163" s="50"/>
      <c r="Y1163" s="50" t="str">
        <f t="shared" si="73"/>
        <v>0-10</v>
      </c>
      <c r="Z1163" s="50">
        <v>1.5</v>
      </c>
      <c r="AA1163" s="50" t="str">
        <f t="shared" si="74"/>
        <v>1.0-2.0</v>
      </c>
      <c r="AB1163" s="23">
        <v>4</v>
      </c>
      <c r="AC1163" s="30" t="str">
        <f>VLOOKUP(AB1163,[5]Key!$C$20:$D$29,2,FALSE)</f>
        <v>Office Worker</v>
      </c>
      <c r="AD1163" s="23">
        <v>2</v>
      </c>
      <c r="AE1163" s="30" t="str">
        <f>VLOOKUP(AD1163,[5]Key!$E$20:$F$24,2,FALSE)</f>
        <v>300,000-500,000</v>
      </c>
      <c r="AF1163" s="23">
        <v>1</v>
      </c>
      <c r="AG1163" s="50">
        <v>1</v>
      </c>
      <c r="AH1163" s="50">
        <v>1</v>
      </c>
      <c r="AI1163" s="50">
        <v>1</v>
      </c>
      <c r="AJ1163" s="50">
        <v>1</v>
      </c>
      <c r="AK1163" s="46" t="s">
        <v>94</v>
      </c>
      <c r="AL1163" s="36"/>
      <c r="AM1163" t="str">
        <f t="shared" si="75"/>
        <v>0-1000</v>
      </c>
    </row>
    <row r="1164" spans="1:39" x14ac:dyDescent="0.2">
      <c r="A1164" s="44">
        <v>43757</v>
      </c>
      <c r="B1164" s="48">
        <v>0.34583333333333338</v>
      </c>
      <c r="C1164" s="48"/>
      <c r="D1164" s="48" t="s">
        <v>150</v>
      </c>
      <c r="E1164" s="13">
        <v>2</v>
      </c>
      <c r="F1164" s="38" t="str">
        <f>VLOOKUP(E1164,[5]Key!$A$17:$B$21,2,FALSE)</f>
        <v>Road Vehicle</v>
      </c>
      <c r="G1164" s="49">
        <v>1</v>
      </c>
      <c r="H1164" s="39" t="str">
        <f>VLOOKUP(G1164,[5]Key!$A$2:$B$14,2,FALSE)</f>
        <v>Car</v>
      </c>
      <c r="I1164" s="13" t="s">
        <v>156</v>
      </c>
      <c r="J1164" s="13">
        <v>2</v>
      </c>
      <c r="K1164" s="40" t="str">
        <f>VLOOKUP(J1164,[5]Key!$A$24:$B$29,2,FALSE)</f>
        <v>30-39</v>
      </c>
      <c r="L1164" s="13" t="s">
        <v>760</v>
      </c>
      <c r="M1164" s="23" t="s">
        <v>428</v>
      </c>
      <c r="N1164" s="13" t="s">
        <v>221</v>
      </c>
      <c r="O1164" s="46">
        <v>4</v>
      </c>
      <c r="P1164" s="30" t="str">
        <f>VLOOKUP(O1164,[5]Key!$E$2:$F$9,2,FALSE)</f>
        <v>Commercial</v>
      </c>
      <c r="Q1164" s="13" t="s">
        <v>441</v>
      </c>
      <c r="R1164" s="23" t="s">
        <v>441</v>
      </c>
      <c r="S1164" s="13" t="s">
        <v>221</v>
      </c>
      <c r="T1164" s="23">
        <v>4</v>
      </c>
      <c r="U1164" s="30" t="str">
        <f>VLOOKUP(T1164,[5]Key!$E$2:$F$9,2,FALSE)</f>
        <v>Commercial</v>
      </c>
      <c r="V1164" s="30" t="str">
        <f t="shared" si="72"/>
        <v>Commercial-Commercial</v>
      </c>
      <c r="W1164" s="23">
        <v>8000</v>
      </c>
      <c r="X1164" s="50">
        <v>50</v>
      </c>
      <c r="Y1164" s="50" t="str">
        <f t="shared" si="73"/>
        <v>40-70</v>
      </c>
      <c r="Z1164" s="50">
        <v>2</v>
      </c>
      <c r="AA1164" s="50" t="str">
        <f t="shared" si="74"/>
        <v>2.0-3.5</v>
      </c>
      <c r="AB1164" s="23">
        <v>6</v>
      </c>
      <c r="AC1164" s="30" t="str">
        <f>VLOOKUP(AB1164,[5]Key!$C$20:$D$29,2,FALSE)</f>
        <v>Businessman</v>
      </c>
      <c r="AD1164" s="23">
        <v>2</v>
      </c>
      <c r="AE1164" s="30" t="str">
        <f>VLOOKUP(AD1164,[5]Key!$E$20:$F$24,2,FALSE)</f>
        <v>300,000-500,000</v>
      </c>
      <c r="AF1164" s="23">
        <v>4</v>
      </c>
      <c r="AG1164" s="50">
        <v>1</v>
      </c>
      <c r="AH1164" s="50">
        <v>3</v>
      </c>
      <c r="AI1164" s="50">
        <v>2</v>
      </c>
      <c r="AJ1164" s="50">
        <v>5</v>
      </c>
      <c r="AK1164" s="46" t="s">
        <v>94</v>
      </c>
      <c r="AL1164" s="36">
        <v>1000</v>
      </c>
      <c r="AM1164" t="str">
        <f t="shared" si="75"/>
        <v>1000-2000</v>
      </c>
    </row>
    <row r="1165" spans="1:39" x14ac:dyDescent="0.2">
      <c r="A1165" s="44">
        <v>43757</v>
      </c>
      <c r="B1165" s="48">
        <v>0.34722222222222227</v>
      </c>
      <c r="C1165" s="48"/>
      <c r="D1165" s="48"/>
      <c r="E1165" s="13">
        <v>2</v>
      </c>
      <c r="F1165" s="38" t="str">
        <f>VLOOKUP(E1165,[5]Key!$A$17:$B$21,2,FALSE)</f>
        <v>Road Vehicle</v>
      </c>
      <c r="G1165" s="49">
        <v>1</v>
      </c>
      <c r="H1165" s="39" t="str">
        <f>VLOOKUP(G1165,[5]Key!$A$2:$B$14,2,FALSE)</f>
        <v>Car</v>
      </c>
      <c r="I1165" s="13" t="s">
        <v>156</v>
      </c>
      <c r="J1165" s="13">
        <v>2</v>
      </c>
      <c r="K1165" s="40" t="str">
        <f>VLOOKUP(J1165,[5]Key!$A$24:$B$29,2,FALSE)</f>
        <v>30-39</v>
      </c>
      <c r="L1165" s="13" t="s">
        <v>702</v>
      </c>
      <c r="M1165" s="23" t="s">
        <v>439</v>
      </c>
      <c r="N1165" s="13" t="s">
        <v>221</v>
      </c>
      <c r="O1165" s="46">
        <v>1</v>
      </c>
      <c r="P1165" s="30" t="str">
        <f>VLOOKUP(O1165,[5]Key!$E$2:$F$9,2,FALSE)</f>
        <v>Home</v>
      </c>
      <c r="Q1165" s="13" t="s">
        <v>175</v>
      </c>
      <c r="R1165" s="23" t="s">
        <v>175</v>
      </c>
      <c r="S1165" s="13" t="s">
        <v>221</v>
      </c>
      <c r="T1165" s="23">
        <v>6</v>
      </c>
      <c r="U1165" s="30" t="str">
        <f>VLOOKUP(T1165,[5]Key!$E$2:$F$9,2,FALSE)</f>
        <v>Leisure/Social</v>
      </c>
      <c r="V1165" s="30" t="str">
        <f t="shared" si="72"/>
        <v>Home-Leisure/Social</v>
      </c>
      <c r="W1165" s="23">
        <v>10000</v>
      </c>
      <c r="X1165" s="50">
        <v>105</v>
      </c>
      <c r="Y1165" s="50" t="str">
        <f t="shared" si="73"/>
        <v>100-200</v>
      </c>
      <c r="Z1165" s="50">
        <v>4</v>
      </c>
      <c r="AA1165" s="50" t="str">
        <f t="shared" si="74"/>
        <v>Over 3.5</v>
      </c>
      <c r="AB1165" s="23">
        <v>2</v>
      </c>
      <c r="AC1165" s="30" t="str">
        <f>VLOOKUP(AB1165,[5]Key!$C$20:$D$29,2,FALSE)</f>
        <v>Manual Labour</v>
      </c>
      <c r="AD1165" s="23">
        <v>1</v>
      </c>
      <c r="AE1165" s="30" t="str">
        <f>VLOOKUP(AD1165,[5]Key!$E$20:$F$24,2,FALSE)</f>
        <v>&lt;300,000</v>
      </c>
      <c r="AF1165" s="23">
        <v>2</v>
      </c>
      <c r="AG1165" s="50">
        <v>1</v>
      </c>
      <c r="AH1165" s="50">
        <v>3</v>
      </c>
      <c r="AI1165" s="50">
        <v>4</v>
      </c>
      <c r="AJ1165" s="50">
        <v>5</v>
      </c>
      <c r="AK1165" s="46" t="s">
        <v>94</v>
      </c>
      <c r="AL1165" s="36"/>
      <c r="AM1165" t="str">
        <f t="shared" si="75"/>
        <v>0-1000</v>
      </c>
    </row>
    <row r="1166" spans="1:39" x14ac:dyDescent="0.2">
      <c r="A1166" s="44">
        <v>43757</v>
      </c>
      <c r="B1166" s="48">
        <v>0.36944444444444446</v>
      </c>
      <c r="C1166" s="48"/>
      <c r="D1166" s="48" t="s">
        <v>150</v>
      </c>
      <c r="E1166" s="13">
        <v>2</v>
      </c>
      <c r="F1166" s="38" t="str">
        <f>VLOOKUP(E1166,[5]Key!$A$17:$B$21,2,FALSE)</f>
        <v>Road Vehicle</v>
      </c>
      <c r="G1166" s="49">
        <v>1</v>
      </c>
      <c r="H1166" s="39" t="str">
        <f>VLOOKUP(G1166,[5]Key!$A$2:$B$14,2,FALSE)</f>
        <v>Car</v>
      </c>
      <c r="I1166" s="13" t="s">
        <v>156</v>
      </c>
      <c r="J1166" s="13">
        <v>2</v>
      </c>
      <c r="K1166" s="40" t="str">
        <f>VLOOKUP(J1166,[5]Key!$A$24:$B$29,2,FALSE)</f>
        <v>30-39</v>
      </c>
      <c r="L1166" s="13" t="s">
        <v>761</v>
      </c>
      <c r="M1166" s="23" t="s">
        <v>439</v>
      </c>
      <c r="N1166" s="13" t="s">
        <v>221</v>
      </c>
      <c r="O1166" s="46">
        <v>1</v>
      </c>
      <c r="P1166" s="30" t="str">
        <f>VLOOKUP(O1166,[5]Key!$E$2:$F$9,2,FALSE)</f>
        <v>Home</v>
      </c>
      <c r="Q1166" s="13" t="s">
        <v>446</v>
      </c>
      <c r="R1166" s="23" t="s">
        <v>439</v>
      </c>
      <c r="S1166" s="13" t="s">
        <v>221</v>
      </c>
      <c r="T1166" s="23">
        <v>2</v>
      </c>
      <c r="U1166" s="30" t="str">
        <f>VLOOKUP(T1166,[5]Key!$E$2:$F$9,2,FALSE)</f>
        <v>Work</v>
      </c>
      <c r="V1166" s="30" t="str">
        <f t="shared" si="72"/>
        <v>Home-Work</v>
      </c>
      <c r="W1166" s="23">
        <v>4000</v>
      </c>
      <c r="X1166" s="50">
        <v>50</v>
      </c>
      <c r="Y1166" s="50" t="str">
        <f t="shared" si="73"/>
        <v>40-70</v>
      </c>
      <c r="Z1166" s="50">
        <v>1</v>
      </c>
      <c r="AA1166" s="50" t="str">
        <f t="shared" si="74"/>
        <v>1.0-2.0</v>
      </c>
      <c r="AB1166" s="23">
        <v>2</v>
      </c>
      <c r="AC1166" s="30" t="str">
        <f>VLOOKUP(AB1166,[5]Key!$C$20:$D$29,2,FALSE)</f>
        <v>Manual Labour</v>
      </c>
      <c r="AD1166" s="23">
        <v>1</v>
      </c>
      <c r="AE1166" s="30" t="str">
        <f>VLOOKUP(AD1166,[5]Key!$E$20:$F$24,2,FALSE)</f>
        <v>&lt;300,000</v>
      </c>
      <c r="AF1166" s="23">
        <v>4</v>
      </c>
      <c r="AG1166" s="50">
        <v>5</v>
      </c>
      <c r="AH1166" s="50">
        <v>3</v>
      </c>
      <c r="AI1166" s="50">
        <v>1</v>
      </c>
      <c r="AJ1166" s="50">
        <v>2</v>
      </c>
      <c r="AK1166" s="46" t="s">
        <v>94</v>
      </c>
      <c r="AL1166" s="36">
        <v>5000</v>
      </c>
      <c r="AM1166" t="str">
        <f t="shared" si="75"/>
        <v>5000-10000</v>
      </c>
    </row>
    <row r="1167" spans="1:39" x14ac:dyDescent="0.2">
      <c r="A1167" s="44">
        <v>43758</v>
      </c>
      <c r="B1167" s="48">
        <v>0.59027777777777779</v>
      </c>
      <c r="C1167" s="48"/>
      <c r="D1167" s="48" t="s">
        <v>150</v>
      </c>
      <c r="E1167" s="13">
        <v>2</v>
      </c>
      <c r="F1167" s="38" t="str">
        <f>VLOOKUP(E1167,[5]Key!$A$17:$B$21,2,FALSE)</f>
        <v>Road Vehicle</v>
      </c>
      <c r="G1167" s="49">
        <v>1</v>
      </c>
      <c r="H1167" s="39" t="str">
        <f>VLOOKUP(G1167,[5]Key!$A$2:$B$14,2,FALSE)</f>
        <v>Car</v>
      </c>
      <c r="I1167" s="13" t="s">
        <v>156</v>
      </c>
      <c r="J1167" s="13">
        <v>2</v>
      </c>
      <c r="K1167" s="40" t="str">
        <f>VLOOKUP(J1167,[5]Key!$A$24:$B$29,2,FALSE)</f>
        <v>30-39</v>
      </c>
      <c r="L1167" s="13" t="s">
        <v>750</v>
      </c>
      <c r="M1167" s="23" t="s">
        <v>439</v>
      </c>
      <c r="N1167" s="13" t="s">
        <v>221</v>
      </c>
      <c r="O1167" s="46">
        <v>6</v>
      </c>
      <c r="P1167" s="30" t="str">
        <f>VLOOKUP(O1167,[5]Key!$E$2:$F$9,2,FALSE)</f>
        <v>Leisure/Social</v>
      </c>
      <c r="Q1167" s="13" t="s">
        <v>721</v>
      </c>
      <c r="R1167" s="23" t="s">
        <v>452</v>
      </c>
      <c r="S1167" s="13" t="s">
        <v>221</v>
      </c>
      <c r="T1167" s="23">
        <v>1</v>
      </c>
      <c r="U1167" s="30" t="str">
        <f>VLOOKUP(T1167,[5]Key!$E$2:$F$9,2,FALSE)</f>
        <v>Home</v>
      </c>
      <c r="V1167" s="30" t="str">
        <f t="shared" si="72"/>
        <v>Leisure/Social-Home</v>
      </c>
      <c r="W1167" s="23">
        <v>10000</v>
      </c>
      <c r="X1167" s="50"/>
      <c r="Y1167" s="50" t="str">
        <f t="shared" si="73"/>
        <v>0-10</v>
      </c>
      <c r="Z1167" s="50"/>
      <c r="AA1167" s="50" t="str">
        <f t="shared" si="74"/>
        <v>0-0.5</v>
      </c>
      <c r="AB1167" s="23">
        <v>6</v>
      </c>
      <c r="AC1167" s="30" t="str">
        <f>VLOOKUP(AB1167,[5]Key!$C$20:$D$29,2,FALSE)</f>
        <v>Businessman</v>
      </c>
      <c r="AD1167" s="23">
        <v>3</v>
      </c>
      <c r="AE1167" s="30" t="str">
        <f>VLOOKUP(AD1167,[5]Key!$E$20:$F$24,2,FALSE)</f>
        <v>500,000-750,000</v>
      </c>
      <c r="AF1167" s="23">
        <v>4</v>
      </c>
      <c r="AG1167" s="50">
        <v>3</v>
      </c>
      <c r="AH1167" s="50">
        <v>1</v>
      </c>
      <c r="AI1167" s="50">
        <v>5</v>
      </c>
      <c r="AJ1167" s="50">
        <v>2</v>
      </c>
      <c r="AK1167" s="46" t="s">
        <v>94</v>
      </c>
      <c r="AL1167" s="36">
        <v>1000</v>
      </c>
      <c r="AM1167" t="str">
        <f t="shared" si="75"/>
        <v>1000-2000</v>
      </c>
    </row>
    <row r="1168" spans="1:39" x14ac:dyDescent="0.2">
      <c r="A1168" s="44">
        <v>43758</v>
      </c>
      <c r="B1168" s="48">
        <v>0.72569444444444453</v>
      </c>
      <c r="C1168" s="48"/>
      <c r="D1168" s="48" t="s">
        <v>150</v>
      </c>
      <c r="E1168" s="13">
        <v>2</v>
      </c>
      <c r="F1168" s="38" t="str">
        <f>VLOOKUP(E1168,[5]Key!$A$17:$B$21,2,FALSE)</f>
        <v>Road Vehicle</v>
      </c>
      <c r="G1168" s="49">
        <v>1</v>
      </c>
      <c r="H1168" s="39" t="str">
        <f>VLOOKUP(G1168,[5]Key!$A$2:$B$14,2,FALSE)</f>
        <v>Car</v>
      </c>
      <c r="I1168" s="13" t="s">
        <v>156</v>
      </c>
      <c r="J1168" s="13">
        <v>2</v>
      </c>
      <c r="K1168" s="40" t="str">
        <f>VLOOKUP(J1168,[5]Key!$A$24:$B$29,2,FALSE)</f>
        <v>30-39</v>
      </c>
      <c r="L1168" s="13" t="s">
        <v>446</v>
      </c>
      <c r="M1168" s="23" t="s">
        <v>439</v>
      </c>
      <c r="N1168" s="13" t="s">
        <v>221</v>
      </c>
      <c r="O1168" s="46">
        <v>6</v>
      </c>
      <c r="P1168" s="30" t="str">
        <f>VLOOKUP(O1168,[5]Key!$E$2:$F$9,2,FALSE)</f>
        <v>Leisure/Social</v>
      </c>
      <c r="Q1168" s="13" t="s">
        <v>724</v>
      </c>
      <c r="R1168" s="23" t="s">
        <v>421</v>
      </c>
      <c r="S1168" s="13" t="s">
        <v>221</v>
      </c>
      <c r="T1168" s="23">
        <v>1</v>
      </c>
      <c r="U1168" s="30" t="str">
        <f>VLOOKUP(T1168,[5]Key!$E$2:$F$9,2,FALSE)</f>
        <v>Home</v>
      </c>
      <c r="V1168" s="30" t="str">
        <f t="shared" si="72"/>
        <v>Leisure/Social-Home</v>
      </c>
      <c r="W1168" s="23">
        <v>9000</v>
      </c>
      <c r="X1168" s="50"/>
      <c r="Y1168" s="50" t="str">
        <f t="shared" si="73"/>
        <v>0-10</v>
      </c>
      <c r="Z1168" s="50">
        <v>1</v>
      </c>
      <c r="AA1168" s="50" t="str">
        <f t="shared" si="74"/>
        <v>1.0-2.0</v>
      </c>
      <c r="AB1168" s="23">
        <v>6</v>
      </c>
      <c r="AC1168" s="30" t="str">
        <f>VLOOKUP(AB1168,[5]Key!$C$20:$D$29,2,FALSE)</f>
        <v>Businessman</v>
      </c>
      <c r="AD1168" s="23">
        <v>1</v>
      </c>
      <c r="AE1168" s="30" t="str">
        <f>VLOOKUP(AD1168,[5]Key!$E$20:$F$24,2,FALSE)</f>
        <v>&lt;300,000</v>
      </c>
      <c r="AF1168" s="23">
        <v>5</v>
      </c>
      <c r="AG1168" s="50">
        <v>2</v>
      </c>
      <c r="AH1168" s="50">
        <v>1</v>
      </c>
      <c r="AI1168" s="50">
        <v>3</v>
      </c>
      <c r="AJ1168" s="50">
        <v>4</v>
      </c>
      <c r="AK1168" s="46" t="s">
        <v>94</v>
      </c>
      <c r="AL1168" s="36">
        <v>100</v>
      </c>
      <c r="AM1168" t="str">
        <f t="shared" si="75"/>
        <v>0-1000</v>
      </c>
    </row>
    <row r="1169" spans="1:39" x14ac:dyDescent="0.2">
      <c r="A1169" s="44">
        <v>43758</v>
      </c>
      <c r="B1169" s="48">
        <v>0.4291666666666667</v>
      </c>
      <c r="C1169" s="48"/>
      <c r="D1169" s="48" t="s">
        <v>150</v>
      </c>
      <c r="E1169" s="13">
        <v>2</v>
      </c>
      <c r="F1169" s="38" t="str">
        <f>VLOOKUP(E1169,[5]Key!$A$17:$B$21,2,FALSE)</f>
        <v>Road Vehicle</v>
      </c>
      <c r="G1169" s="49">
        <v>1</v>
      </c>
      <c r="H1169" s="39" t="str">
        <f>VLOOKUP(G1169,[5]Key!$A$2:$B$14,2,FALSE)</f>
        <v>Car</v>
      </c>
      <c r="I1169" s="13" t="s">
        <v>156</v>
      </c>
      <c r="J1169" s="13">
        <v>2</v>
      </c>
      <c r="K1169" s="40" t="str">
        <f>VLOOKUP(J1169,[5]Key!$A$24:$B$29,2,FALSE)</f>
        <v>30-39</v>
      </c>
      <c r="L1169" s="13" t="s">
        <v>699</v>
      </c>
      <c r="M1169" s="23" t="s">
        <v>439</v>
      </c>
      <c r="N1169" s="13" t="s">
        <v>221</v>
      </c>
      <c r="O1169" s="46">
        <v>1</v>
      </c>
      <c r="P1169" s="30" t="str">
        <f>VLOOKUP(O1169,[5]Key!$E$2:$F$9,2,FALSE)</f>
        <v>Home</v>
      </c>
      <c r="Q1169" s="13" t="s">
        <v>762</v>
      </c>
      <c r="R1169" s="23" t="s">
        <v>439</v>
      </c>
      <c r="S1169" s="13" t="s">
        <v>221</v>
      </c>
      <c r="T1169" s="23">
        <v>8</v>
      </c>
      <c r="U1169" s="30" t="str">
        <f>VLOOKUP(T1169,[5]Key!$E$2:$F$9,2,FALSE)</f>
        <v>Others</v>
      </c>
      <c r="V1169" s="30" t="str">
        <f t="shared" si="72"/>
        <v>Home-Others</v>
      </c>
      <c r="W1169" s="23">
        <v>2000</v>
      </c>
      <c r="X1169" s="50">
        <v>9</v>
      </c>
      <c r="Y1169" s="50" t="str">
        <f t="shared" si="73"/>
        <v>0-10</v>
      </c>
      <c r="Z1169" s="50">
        <v>0.8</v>
      </c>
      <c r="AA1169" s="50" t="str">
        <f t="shared" si="74"/>
        <v>0.5-1.0</v>
      </c>
      <c r="AB1169" s="23">
        <v>6</v>
      </c>
      <c r="AC1169" s="30" t="str">
        <f>VLOOKUP(AB1169,[5]Key!$C$20:$D$29,2,FALSE)</f>
        <v>Businessman</v>
      </c>
      <c r="AD1169" s="23">
        <v>2</v>
      </c>
      <c r="AE1169" s="30" t="str">
        <f>VLOOKUP(AD1169,[5]Key!$E$20:$F$24,2,FALSE)</f>
        <v>300,000-500,000</v>
      </c>
      <c r="AF1169" s="23">
        <v>3</v>
      </c>
      <c r="AG1169" s="50">
        <v>2</v>
      </c>
      <c r="AH1169" s="50">
        <v>4</v>
      </c>
      <c r="AI1169" s="50">
        <v>1</v>
      </c>
      <c r="AJ1169" s="50">
        <v>5</v>
      </c>
      <c r="AK1169" s="46" t="s">
        <v>94</v>
      </c>
      <c r="AL1169" s="36">
        <v>1000</v>
      </c>
      <c r="AM1169" t="str">
        <f t="shared" si="75"/>
        <v>1000-2000</v>
      </c>
    </row>
    <row r="1170" spans="1:39" x14ac:dyDescent="0.2">
      <c r="A1170" s="44">
        <v>43758</v>
      </c>
      <c r="B1170" s="48">
        <v>0.37847222222222227</v>
      </c>
      <c r="C1170" s="48"/>
      <c r="D1170" s="48" t="s">
        <v>150</v>
      </c>
      <c r="E1170" s="13">
        <v>2</v>
      </c>
      <c r="F1170" s="38" t="str">
        <f>VLOOKUP(E1170,[5]Key!$A$17:$B$21,2,FALSE)</f>
        <v>Road Vehicle</v>
      </c>
      <c r="G1170" s="49">
        <v>1</v>
      </c>
      <c r="H1170" s="39" t="str">
        <f>VLOOKUP(G1170,[5]Key!$A$2:$B$14,2,FALSE)</f>
        <v>Car</v>
      </c>
      <c r="I1170" s="13" t="s">
        <v>156</v>
      </c>
      <c r="J1170" s="13">
        <v>2</v>
      </c>
      <c r="K1170" s="40" t="str">
        <f>VLOOKUP(J1170,[5]Key!$A$24:$B$29,2,FALSE)</f>
        <v>30-39</v>
      </c>
      <c r="L1170" s="13" t="s">
        <v>709</v>
      </c>
      <c r="M1170" s="23" t="s">
        <v>439</v>
      </c>
      <c r="N1170" s="13" t="s">
        <v>221</v>
      </c>
      <c r="O1170" s="46">
        <v>1</v>
      </c>
      <c r="P1170" s="30" t="str">
        <f>VLOOKUP(O1170,[5]Key!$E$2:$F$9,2,FALSE)</f>
        <v>Home</v>
      </c>
      <c r="Q1170" s="13" t="s">
        <v>726</v>
      </c>
      <c r="R1170" s="23" t="s">
        <v>441</v>
      </c>
      <c r="S1170" s="13" t="s">
        <v>221</v>
      </c>
      <c r="T1170" s="23">
        <v>8</v>
      </c>
      <c r="U1170" s="30" t="str">
        <f>VLOOKUP(T1170,[5]Key!$E$2:$F$9,2,FALSE)</f>
        <v>Others</v>
      </c>
      <c r="V1170" s="30" t="str">
        <f t="shared" si="72"/>
        <v>Home-Others</v>
      </c>
      <c r="W1170" s="23">
        <v>4000</v>
      </c>
      <c r="X1170" s="50"/>
      <c r="Y1170" s="50" t="str">
        <f t="shared" si="73"/>
        <v>0-10</v>
      </c>
      <c r="Z1170" s="50">
        <v>1</v>
      </c>
      <c r="AA1170" s="50" t="str">
        <f t="shared" si="74"/>
        <v>1.0-2.0</v>
      </c>
      <c r="AB1170" s="23">
        <v>7</v>
      </c>
      <c r="AC1170" s="30" t="str">
        <f>VLOOKUP(AB1170,[5]Key!$C$20:$D$29,2,FALSE)</f>
        <v>Farmer</v>
      </c>
      <c r="AD1170" s="23">
        <v>2</v>
      </c>
      <c r="AE1170" s="30" t="str">
        <f>VLOOKUP(AD1170,[5]Key!$E$20:$F$24,2,FALSE)</f>
        <v>300,000-500,000</v>
      </c>
      <c r="AF1170" s="23">
        <v>1</v>
      </c>
      <c r="AG1170" s="50">
        <v>2</v>
      </c>
      <c r="AH1170" s="50">
        <v>4</v>
      </c>
      <c r="AI1170" s="50">
        <v>3</v>
      </c>
      <c r="AJ1170" s="50">
        <v>5</v>
      </c>
      <c r="AK1170" s="46" t="s">
        <v>94</v>
      </c>
      <c r="AL1170" s="36">
        <v>1000</v>
      </c>
      <c r="AM1170" t="str">
        <f t="shared" si="75"/>
        <v>1000-2000</v>
      </c>
    </row>
    <row r="1171" spans="1:39" x14ac:dyDescent="0.2">
      <c r="A1171" s="44">
        <v>43758</v>
      </c>
      <c r="B1171" s="48">
        <v>0.39444444444444443</v>
      </c>
      <c r="C1171" s="48"/>
      <c r="D1171" s="48" t="s">
        <v>150</v>
      </c>
      <c r="E1171" s="13">
        <v>2</v>
      </c>
      <c r="F1171" s="38" t="str">
        <f>VLOOKUP(E1171,[5]Key!$A$17:$B$21,2,FALSE)</f>
        <v>Road Vehicle</v>
      </c>
      <c r="G1171" s="49">
        <v>1</v>
      </c>
      <c r="H1171" s="39" t="str">
        <f>VLOOKUP(G1171,[5]Key!$A$2:$B$14,2,FALSE)</f>
        <v>Car</v>
      </c>
      <c r="I1171" s="13" t="s">
        <v>156</v>
      </c>
      <c r="J1171" s="13">
        <v>2</v>
      </c>
      <c r="K1171" s="40" t="str">
        <f>VLOOKUP(J1171,[5]Key!$A$24:$B$29,2,FALSE)</f>
        <v>30-39</v>
      </c>
      <c r="L1171" s="13" t="s">
        <v>699</v>
      </c>
      <c r="M1171" s="23" t="s">
        <v>439</v>
      </c>
      <c r="N1171" s="13" t="s">
        <v>221</v>
      </c>
      <c r="O1171" s="46">
        <v>8</v>
      </c>
      <c r="P1171" s="30" t="str">
        <f>VLOOKUP(O1171,[5]Key!$E$2:$F$9,2,FALSE)</f>
        <v>Others</v>
      </c>
      <c r="Q1171" s="13" t="s">
        <v>711</v>
      </c>
      <c r="R1171" s="23" t="s">
        <v>439</v>
      </c>
      <c r="S1171" s="13" t="s">
        <v>221</v>
      </c>
      <c r="T1171" s="23">
        <v>1</v>
      </c>
      <c r="U1171" s="30" t="str">
        <f>VLOOKUP(T1171,[5]Key!$E$2:$F$9,2,FALSE)</f>
        <v>Home</v>
      </c>
      <c r="V1171" s="30" t="str">
        <f t="shared" si="72"/>
        <v>Others-Home</v>
      </c>
      <c r="W1171" s="23">
        <v>1500</v>
      </c>
      <c r="X1171" s="50">
        <v>8</v>
      </c>
      <c r="Y1171" s="50" t="str">
        <f t="shared" si="73"/>
        <v>0-10</v>
      </c>
      <c r="Z1171" s="50">
        <v>0.2</v>
      </c>
      <c r="AA1171" s="50" t="str">
        <f t="shared" si="74"/>
        <v>0-0.5</v>
      </c>
      <c r="AB1171" s="23">
        <v>7</v>
      </c>
      <c r="AC1171" s="30" t="str">
        <f>VLOOKUP(AB1171,[5]Key!$C$20:$D$29,2,FALSE)</f>
        <v>Farmer</v>
      </c>
      <c r="AD1171" s="23">
        <v>1</v>
      </c>
      <c r="AE1171" s="30" t="str">
        <f>VLOOKUP(AD1171,[5]Key!$E$20:$F$24,2,FALSE)</f>
        <v>&lt;300,000</v>
      </c>
      <c r="AF1171" s="23">
        <v>3</v>
      </c>
      <c r="AG1171" s="50">
        <v>4</v>
      </c>
      <c r="AH1171" s="50">
        <v>2</v>
      </c>
      <c r="AI1171" s="50">
        <v>1</v>
      </c>
      <c r="AJ1171" s="50">
        <v>5</v>
      </c>
      <c r="AK1171" s="46" t="s">
        <v>94</v>
      </c>
      <c r="AL1171" s="36">
        <v>2000</v>
      </c>
      <c r="AM1171" t="str">
        <f t="shared" si="75"/>
        <v>2000-3000</v>
      </c>
    </row>
    <row r="1172" spans="1:39" x14ac:dyDescent="0.2">
      <c r="A1172" s="44">
        <v>43758</v>
      </c>
      <c r="B1172" s="48">
        <v>0.42222222222222222</v>
      </c>
      <c r="C1172" s="48"/>
      <c r="D1172" s="48" t="s">
        <v>150</v>
      </c>
      <c r="E1172" s="13">
        <v>2</v>
      </c>
      <c r="F1172" s="38" t="str">
        <f>VLOOKUP(E1172,[5]Key!$A$17:$B$21,2,FALSE)</f>
        <v>Road Vehicle</v>
      </c>
      <c r="G1172" s="49">
        <v>1</v>
      </c>
      <c r="H1172" s="39" t="str">
        <f>VLOOKUP(G1172,[5]Key!$A$2:$B$14,2,FALSE)</f>
        <v>Car</v>
      </c>
      <c r="I1172" s="13" t="s">
        <v>156</v>
      </c>
      <c r="J1172" s="13">
        <v>2</v>
      </c>
      <c r="K1172" s="40" t="str">
        <f>VLOOKUP(J1172,[5]Key!$A$24:$B$29,2,FALSE)</f>
        <v>30-39</v>
      </c>
      <c r="L1172" s="13" t="s">
        <v>748</v>
      </c>
      <c r="M1172" s="23" t="s">
        <v>708</v>
      </c>
      <c r="N1172" s="13" t="s">
        <v>221</v>
      </c>
      <c r="O1172" s="46">
        <v>4</v>
      </c>
      <c r="P1172" s="30" t="str">
        <f>VLOOKUP(O1172,[5]Key!$E$2:$F$9,2,FALSE)</f>
        <v>Commercial</v>
      </c>
      <c r="Q1172" s="13" t="s">
        <v>441</v>
      </c>
      <c r="R1172" s="23" t="s">
        <v>441</v>
      </c>
      <c r="S1172" s="13" t="s">
        <v>221</v>
      </c>
      <c r="T1172" s="23">
        <v>4</v>
      </c>
      <c r="U1172" s="30" t="str">
        <f>VLOOKUP(T1172,[5]Key!$E$2:$F$9,2,FALSE)</f>
        <v>Commercial</v>
      </c>
      <c r="V1172" s="30" t="str">
        <f t="shared" si="72"/>
        <v>Commercial-Commercial</v>
      </c>
      <c r="W1172" s="23">
        <v>8000</v>
      </c>
      <c r="X1172" s="50">
        <v>45</v>
      </c>
      <c r="Y1172" s="50" t="str">
        <f t="shared" si="73"/>
        <v>40-70</v>
      </c>
      <c r="Z1172" s="50">
        <v>1.5</v>
      </c>
      <c r="AA1172" s="50" t="str">
        <f t="shared" si="74"/>
        <v>1.0-2.0</v>
      </c>
      <c r="AB1172" s="23">
        <v>6</v>
      </c>
      <c r="AC1172" s="30" t="str">
        <f>VLOOKUP(AB1172,[5]Key!$C$20:$D$29,2,FALSE)</f>
        <v>Businessman</v>
      </c>
      <c r="AD1172" s="23">
        <v>1</v>
      </c>
      <c r="AE1172" s="30" t="str">
        <f>VLOOKUP(AD1172,[5]Key!$E$20:$F$24,2,FALSE)</f>
        <v>&lt;300,000</v>
      </c>
      <c r="AF1172" s="23">
        <v>1</v>
      </c>
      <c r="AG1172" s="50">
        <v>2</v>
      </c>
      <c r="AH1172" s="50">
        <v>5</v>
      </c>
      <c r="AI1172" s="50">
        <v>3</v>
      </c>
      <c r="AJ1172" s="50">
        <v>4</v>
      </c>
      <c r="AK1172" s="46" t="s">
        <v>94</v>
      </c>
      <c r="AL1172" s="36">
        <v>500</v>
      </c>
      <c r="AM1172" t="str">
        <f t="shared" si="75"/>
        <v>0-1000</v>
      </c>
    </row>
    <row r="1173" spans="1:39" x14ac:dyDescent="0.2">
      <c r="A1173" s="44">
        <v>43758</v>
      </c>
      <c r="B1173" s="48">
        <v>0.72083333333333333</v>
      </c>
      <c r="C1173" s="48"/>
      <c r="D1173" s="48" t="s">
        <v>150</v>
      </c>
      <c r="E1173" s="13">
        <v>2</v>
      </c>
      <c r="F1173" s="38" t="str">
        <f>VLOOKUP(E1173,[5]Key!$A$17:$B$21,2,FALSE)</f>
        <v>Road Vehicle</v>
      </c>
      <c r="G1173" s="49">
        <v>1</v>
      </c>
      <c r="H1173" s="39" t="str">
        <f>VLOOKUP(G1173,[5]Key!$A$2:$B$14,2,FALSE)</f>
        <v>Car</v>
      </c>
      <c r="I1173" s="13" t="s">
        <v>156</v>
      </c>
      <c r="J1173" s="13">
        <v>2</v>
      </c>
      <c r="K1173" s="40" t="str">
        <f>VLOOKUP(J1173,[5]Key!$A$24:$B$29,2,FALSE)</f>
        <v>30-39</v>
      </c>
      <c r="L1173" s="13" t="s">
        <v>729</v>
      </c>
      <c r="M1173" s="23" t="s">
        <v>708</v>
      </c>
      <c r="N1173" s="13" t="s">
        <v>221</v>
      </c>
      <c r="O1173" s="46">
        <v>4</v>
      </c>
      <c r="P1173" s="30" t="str">
        <f>VLOOKUP(O1173,[5]Key!$E$2:$F$9,2,FALSE)</f>
        <v>Commercial</v>
      </c>
      <c r="Q1173" s="13" t="s">
        <v>488</v>
      </c>
      <c r="R1173" s="23" t="s">
        <v>488</v>
      </c>
      <c r="S1173" s="13" t="s">
        <v>221</v>
      </c>
      <c r="T1173" s="23">
        <v>4</v>
      </c>
      <c r="U1173" s="30" t="str">
        <f>VLOOKUP(T1173,[5]Key!$E$2:$F$9,2,FALSE)</f>
        <v>Commercial</v>
      </c>
      <c r="V1173" s="30" t="str">
        <f t="shared" si="72"/>
        <v>Commercial-Commercial</v>
      </c>
      <c r="W1173" s="23">
        <v>10000</v>
      </c>
      <c r="X1173" s="50"/>
      <c r="Y1173" s="50" t="str">
        <f t="shared" si="73"/>
        <v>0-10</v>
      </c>
      <c r="Z1173" s="50">
        <v>2.5</v>
      </c>
      <c r="AA1173" s="50" t="str">
        <f t="shared" si="74"/>
        <v>2.0-3.5</v>
      </c>
      <c r="AB1173" s="23">
        <v>6</v>
      </c>
      <c r="AC1173" s="30" t="str">
        <f>VLOOKUP(AB1173,[5]Key!$C$20:$D$29,2,FALSE)</f>
        <v>Businessman</v>
      </c>
      <c r="AD1173" s="23">
        <v>1</v>
      </c>
      <c r="AE1173" s="30" t="str">
        <f>VLOOKUP(AD1173,[5]Key!$E$20:$F$24,2,FALSE)</f>
        <v>&lt;300,000</v>
      </c>
      <c r="AF1173" s="23">
        <v>3</v>
      </c>
      <c r="AG1173" s="50">
        <v>2</v>
      </c>
      <c r="AH1173" s="50">
        <v>4</v>
      </c>
      <c r="AI1173" s="50">
        <v>1</v>
      </c>
      <c r="AJ1173" s="50">
        <v>5</v>
      </c>
      <c r="AK1173" s="46" t="s">
        <v>94</v>
      </c>
      <c r="AL1173" s="36"/>
      <c r="AM1173" t="str">
        <f t="shared" si="75"/>
        <v>0-1000</v>
      </c>
    </row>
    <row r="1174" spans="1:39" x14ac:dyDescent="0.2">
      <c r="A1174" s="44">
        <v>43756</v>
      </c>
      <c r="B1174" s="48">
        <v>0.71527777777777779</v>
      </c>
      <c r="C1174" s="48"/>
      <c r="D1174" s="48" t="s">
        <v>150</v>
      </c>
      <c r="E1174" s="13">
        <v>2</v>
      </c>
      <c r="F1174" s="38" t="str">
        <f>VLOOKUP(E1174,[5]Key!$A$17:$B$21,2,FALSE)</f>
        <v>Road Vehicle</v>
      </c>
      <c r="G1174" s="49">
        <v>1</v>
      </c>
      <c r="H1174" s="39" t="str">
        <f>VLOOKUP(G1174,[5]Key!$A$2:$B$14,2,FALSE)</f>
        <v>Car</v>
      </c>
      <c r="I1174" s="13" t="s">
        <v>109</v>
      </c>
      <c r="J1174" s="13">
        <v>2</v>
      </c>
      <c r="K1174" s="40" t="str">
        <f>VLOOKUP(J1174,[5]Key!$A$24:$B$29,2,FALSE)</f>
        <v>30-39</v>
      </c>
      <c r="L1174" s="13" t="s">
        <v>761</v>
      </c>
      <c r="M1174" s="23" t="s">
        <v>439</v>
      </c>
      <c r="N1174" s="13" t="s">
        <v>221</v>
      </c>
      <c r="O1174" s="46">
        <v>6</v>
      </c>
      <c r="P1174" s="30" t="str">
        <f>VLOOKUP(O1174,[5]Key!$E$2:$F$9,2,FALSE)</f>
        <v>Leisure/Social</v>
      </c>
      <c r="Q1174" s="13" t="s">
        <v>763</v>
      </c>
      <c r="R1174" s="23" t="s">
        <v>452</v>
      </c>
      <c r="S1174" s="13" t="s">
        <v>221</v>
      </c>
      <c r="T1174" s="23">
        <v>1</v>
      </c>
      <c r="U1174" s="30" t="str">
        <f>VLOOKUP(T1174,[5]Key!$E$2:$F$9,2,FALSE)</f>
        <v>Home</v>
      </c>
      <c r="V1174" s="30" t="str">
        <f t="shared" si="72"/>
        <v>Leisure/Social-Home</v>
      </c>
      <c r="W1174" s="41">
        <v>1000</v>
      </c>
      <c r="X1174" s="50"/>
      <c r="Y1174" s="50" t="str">
        <f t="shared" si="73"/>
        <v>0-10</v>
      </c>
      <c r="Z1174" s="50">
        <v>2</v>
      </c>
      <c r="AA1174" s="50" t="str">
        <f t="shared" si="74"/>
        <v>2.0-3.5</v>
      </c>
      <c r="AB1174" s="23">
        <v>5</v>
      </c>
      <c r="AC1174" s="30" t="str">
        <f>VLOOKUP(AB1174,[5]Key!$C$20:$D$29,2,FALSE)</f>
        <v>Professional</v>
      </c>
      <c r="AD1174" s="23">
        <v>2</v>
      </c>
      <c r="AE1174" s="30" t="str">
        <f>VLOOKUP(AD1174,[5]Key!$E$20:$F$24,2,FALSE)</f>
        <v>300,000-500,000</v>
      </c>
      <c r="AF1174" s="23">
        <v>3</v>
      </c>
      <c r="AG1174" s="50">
        <v>4</v>
      </c>
      <c r="AH1174" s="50">
        <v>2</v>
      </c>
      <c r="AI1174" s="50">
        <v>1</v>
      </c>
      <c r="AJ1174" s="50">
        <v>5</v>
      </c>
      <c r="AK1174" s="46" t="s">
        <v>94</v>
      </c>
      <c r="AL1174" s="36">
        <v>1000</v>
      </c>
      <c r="AM1174" t="str">
        <f t="shared" si="75"/>
        <v>1000-2000</v>
      </c>
    </row>
    <row r="1175" spans="1:39" x14ac:dyDescent="0.2">
      <c r="A1175" s="44">
        <v>43756</v>
      </c>
      <c r="B1175" s="48">
        <v>0.68888888888888899</v>
      </c>
      <c r="C1175" s="48"/>
      <c r="D1175" s="48" t="s">
        <v>150</v>
      </c>
      <c r="E1175" s="13">
        <v>2</v>
      </c>
      <c r="F1175" s="38" t="str">
        <f>VLOOKUP(E1175,[5]Key!$A$17:$B$21,2,FALSE)</f>
        <v>Road Vehicle</v>
      </c>
      <c r="G1175" s="49">
        <v>1</v>
      </c>
      <c r="H1175" s="39" t="str">
        <f>VLOOKUP(G1175,[5]Key!$A$2:$B$14,2,FALSE)</f>
        <v>Car</v>
      </c>
      <c r="I1175" s="13" t="s">
        <v>109</v>
      </c>
      <c r="J1175" s="13">
        <v>2</v>
      </c>
      <c r="K1175" s="40" t="str">
        <f>VLOOKUP(J1175,[5]Key!$A$24:$B$29,2,FALSE)</f>
        <v>30-39</v>
      </c>
      <c r="L1175" s="13" t="s">
        <v>764</v>
      </c>
      <c r="M1175" s="23" t="s">
        <v>708</v>
      </c>
      <c r="N1175" s="13" t="s">
        <v>221</v>
      </c>
      <c r="O1175" s="46">
        <v>1</v>
      </c>
      <c r="P1175" s="30" t="str">
        <f>VLOOKUP(O1175,[5]Key!$E$2:$F$9,2,FALSE)</f>
        <v>Home</v>
      </c>
      <c r="Q1175" s="13" t="s">
        <v>518</v>
      </c>
      <c r="R1175" s="23" t="s">
        <v>421</v>
      </c>
      <c r="S1175" s="13" t="s">
        <v>221</v>
      </c>
      <c r="T1175" s="23">
        <v>2</v>
      </c>
      <c r="U1175" s="30" t="str">
        <f>VLOOKUP(T1175,[5]Key!$E$2:$F$9,2,FALSE)</f>
        <v>Work</v>
      </c>
      <c r="V1175" s="30" t="str">
        <f t="shared" si="72"/>
        <v>Home-Work</v>
      </c>
      <c r="W1175" s="41">
        <v>20000</v>
      </c>
      <c r="X1175" s="50"/>
      <c r="Y1175" s="50" t="str">
        <f t="shared" si="73"/>
        <v>0-10</v>
      </c>
      <c r="Z1175" s="50">
        <v>3</v>
      </c>
      <c r="AA1175" s="50" t="str">
        <f t="shared" si="74"/>
        <v>2.0-3.5</v>
      </c>
      <c r="AB1175" s="23">
        <v>6</v>
      </c>
      <c r="AC1175" s="30" t="str">
        <f>VLOOKUP(AB1175,[5]Key!$C$20:$D$29,2,FALSE)</f>
        <v>Businessman</v>
      </c>
      <c r="AD1175" s="23">
        <v>1</v>
      </c>
      <c r="AE1175" s="30" t="str">
        <f>VLOOKUP(AD1175,[5]Key!$E$20:$F$24,2,FALSE)</f>
        <v>&lt;300,000</v>
      </c>
      <c r="AF1175" s="23">
        <v>1</v>
      </c>
      <c r="AG1175" s="50">
        <v>4</v>
      </c>
      <c r="AH1175" s="50">
        <v>3</v>
      </c>
      <c r="AI1175" s="50">
        <v>2</v>
      </c>
      <c r="AJ1175" s="50">
        <v>5</v>
      </c>
      <c r="AK1175" s="46" t="s">
        <v>94</v>
      </c>
      <c r="AL1175" s="36">
        <v>100</v>
      </c>
      <c r="AM1175" t="str">
        <f t="shared" si="75"/>
        <v>0-1000</v>
      </c>
    </row>
    <row r="1176" spans="1:39" ht="12" customHeight="1" x14ac:dyDescent="0.2">
      <c r="A1176" s="44">
        <v>43756</v>
      </c>
      <c r="B1176" s="48">
        <v>0.67499999999999993</v>
      </c>
      <c r="C1176" s="48"/>
      <c r="D1176" s="48" t="s">
        <v>97</v>
      </c>
      <c r="E1176" s="13">
        <v>2</v>
      </c>
      <c r="F1176" s="38" t="str">
        <f>VLOOKUP(E1176,[5]Key!$A$17:$B$21,2,FALSE)</f>
        <v>Road Vehicle</v>
      </c>
      <c r="G1176" s="49">
        <v>1</v>
      </c>
      <c r="H1176" s="39" t="str">
        <f>VLOOKUP(G1176,[5]Key!$A$2:$B$14,2,FALSE)</f>
        <v>Car</v>
      </c>
      <c r="I1176" s="13" t="s">
        <v>109</v>
      </c>
      <c r="J1176" s="13">
        <v>2</v>
      </c>
      <c r="K1176" s="40" t="str">
        <f>VLOOKUP(J1176,[5]Key!$A$24:$B$29,2,FALSE)</f>
        <v>30-39</v>
      </c>
      <c r="L1176" s="13" t="s">
        <v>446</v>
      </c>
      <c r="M1176" s="23" t="s">
        <v>439</v>
      </c>
      <c r="N1176" s="13" t="s">
        <v>221</v>
      </c>
      <c r="O1176" s="46">
        <v>2</v>
      </c>
      <c r="P1176" s="30" t="str">
        <f>VLOOKUP(O1176,[5]Key!$E$2:$F$9,2,FALSE)</f>
        <v>Work</v>
      </c>
      <c r="Q1176" s="13" t="s">
        <v>765</v>
      </c>
      <c r="R1176" s="23" t="s">
        <v>421</v>
      </c>
      <c r="S1176" s="13" t="s">
        <v>221</v>
      </c>
      <c r="T1176" s="23">
        <v>2</v>
      </c>
      <c r="U1176" s="30" t="str">
        <f>VLOOKUP(T1176,[5]Key!$E$2:$F$9,2,FALSE)</f>
        <v>Work</v>
      </c>
      <c r="V1176" s="30" t="str">
        <f t="shared" si="72"/>
        <v>Work-Work</v>
      </c>
      <c r="W1176" s="41">
        <v>46000</v>
      </c>
      <c r="X1176" s="50">
        <v>62</v>
      </c>
      <c r="Y1176" s="50" t="str">
        <f t="shared" si="73"/>
        <v>40-70</v>
      </c>
      <c r="Z1176" s="50">
        <v>1</v>
      </c>
      <c r="AA1176" s="50" t="str">
        <f t="shared" si="74"/>
        <v>1.0-2.0</v>
      </c>
      <c r="AB1176" s="23">
        <v>10</v>
      </c>
      <c r="AC1176" s="30" t="str">
        <f>VLOOKUP(AB1176,[5]Key!$C$20:$D$29,2,FALSE)</f>
        <v>Other</v>
      </c>
      <c r="AD1176" s="23">
        <v>2</v>
      </c>
      <c r="AE1176" s="30" t="str">
        <f>VLOOKUP(AD1176,[5]Key!$E$20:$F$24,2,FALSE)</f>
        <v>300,000-500,000</v>
      </c>
      <c r="AF1176" s="23">
        <v>3</v>
      </c>
      <c r="AG1176" s="50">
        <v>1</v>
      </c>
      <c r="AH1176" s="50">
        <v>2</v>
      </c>
      <c r="AI1176" s="50">
        <v>4</v>
      </c>
      <c r="AJ1176" s="50">
        <v>5</v>
      </c>
      <c r="AK1176" s="46" t="s">
        <v>94</v>
      </c>
      <c r="AL1176" s="36">
        <v>1000</v>
      </c>
      <c r="AM1176" t="str">
        <f t="shared" si="75"/>
        <v>1000-2000</v>
      </c>
    </row>
    <row r="1177" spans="1:39" x14ac:dyDescent="0.2">
      <c r="A1177" s="44">
        <v>43757</v>
      </c>
      <c r="B1177" s="48">
        <v>0.30416666666666664</v>
      </c>
      <c r="C1177" s="48"/>
      <c r="D1177" s="48" t="s">
        <v>97</v>
      </c>
      <c r="E1177" s="13">
        <v>2</v>
      </c>
      <c r="F1177" s="38" t="str">
        <f>VLOOKUP(E1177,[5]Key!$A$17:$B$21,2,FALSE)</f>
        <v>Road Vehicle</v>
      </c>
      <c r="G1177" s="49">
        <v>1</v>
      </c>
      <c r="H1177" s="39" t="str">
        <f>VLOOKUP(G1177,[5]Key!$A$2:$B$14,2,FALSE)</f>
        <v>Car</v>
      </c>
      <c r="I1177" s="13" t="s">
        <v>109</v>
      </c>
      <c r="J1177" s="13">
        <v>2</v>
      </c>
      <c r="K1177" s="40" t="str">
        <f>VLOOKUP(J1177,[5]Key!$A$24:$B$29,2,FALSE)</f>
        <v>30-39</v>
      </c>
      <c r="L1177" s="13" t="s">
        <v>699</v>
      </c>
      <c r="M1177" s="23" t="s">
        <v>439</v>
      </c>
      <c r="N1177" s="13" t="s">
        <v>221</v>
      </c>
      <c r="O1177" s="46">
        <v>1</v>
      </c>
      <c r="P1177" s="30" t="str">
        <f>VLOOKUP(O1177,[5]Key!$E$2:$F$9,2,FALSE)</f>
        <v>Home</v>
      </c>
      <c r="Q1177" s="13" t="s">
        <v>488</v>
      </c>
      <c r="R1177" s="23" t="s">
        <v>488</v>
      </c>
      <c r="S1177" s="13" t="s">
        <v>221</v>
      </c>
      <c r="T1177" s="23">
        <v>2</v>
      </c>
      <c r="U1177" s="30" t="str">
        <f>VLOOKUP(T1177,[5]Key!$E$2:$F$9,2,FALSE)</f>
        <v>Work</v>
      </c>
      <c r="V1177" s="30" t="str">
        <f t="shared" si="72"/>
        <v>Home-Work</v>
      </c>
      <c r="W1177" s="23">
        <v>7000</v>
      </c>
      <c r="X1177" s="50">
        <v>50</v>
      </c>
      <c r="Y1177" s="50" t="str">
        <f t="shared" si="73"/>
        <v>40-70</v>
      </c>
      <c r="Z1177" s="50">
        <v>1</v>
      </c>
      <c r="AA1177" s="50" t="str">
        <f t="shared" si="74"/>
        <v>1.0-2.0</v>
      </c>
      <c r="AB1177" s="23">
        <v>10</v>
      </c>
      <c r="AC1177" s="30" t="str">
        <f>VLOOKUP(AB1177,[5]Key!$C$20:$D$29,2,FALSE)</f>
        <v>Other</v>
      </c>
      <c r="AD1177" s="23">
        <v>1</v>
      </c>
      <c r="AE1177" s="30" t="str">
        <f>VLOOKUP(AD1177,[5]Key!$E$20:$F$24,2,FALSE)</f>
        <v>&lt;300,000</v>
      </c>
      <c r="AF1177" s="23">
        <v>2</v>
      </c>
      <c r="AG1177" s="50">
        <v>3</v>
      </c>
      <c r="AH1177" s="50">
        <v>1</v>
      </c>
      <c r="AI1177" s="50">
        <v>5</v>
      </c>
      <c r="AJ1177" s="50">
        <v>4</v>
      </c>
      <c r="AK1177" s="46" t="s">
        <v>700</v>
      </c>
      <c r="AL1177" s="36"/>
      <c r="AM1177" t="str">
        <f t="shared" si="75"/>
        <v>0-1000</v>
      </c>
    </row>
    <row r="1178" spans="1:39" x14ac:dyDescent="0.2">
      <c r="A1178" s="44">
        <v>43757</v>
      </c>
      <c r="B1178" s="48">
        <v>0.32083333333333336</v>
      </c>
      <c r="C1178" s="48"/>
      <c r="D1178" s="48" t="s">
        <v>97</v>
      </c>
      <c r="E1178" s="13">
        <v>2</v>
      </c>
      <c r="F1178" s="38" t="str">
        <f>VLOOKUP(E1178,[5]Key!$A$17:$B$21,2,FALSE)</f>
        <v>Road Vehicle</v>
      </c>
      <c r="G1178" s="49">
        <v>1</v>
      </c>
      <c r="H1178" s="39" t="str">
        <f>VLOOKUP(G1178,[5]Key!$A$2:$B$14,2,FALSE)</f>
        <v>Car</v>
      </c>
      <c r="I1178" s="13" t="s">
        <v>109</v>
      </c>
      <c r="J1178" s="13">
        <v>2</v>
      </c>
      <c r="K1178" s="40" t="str">
        <f>VLOOKUP(J1178,[5]Key!$A$24:$B$29,2,FALSE)</f>
        <v>30-39</v>
      </c>
      <c r="L1178" s="13" t="s">
        <v>421</v>
      </c>
      <c r="M1178" s="23" t="s">
        <v>421</v>
      </c>
      <c r="N1178" s="13" t="s">
        <v>221</v>
      </c>
      <c r="O1178" s="46">
        <v>2</v>
      </c>
      <c r="P1178" s="30" t="str">
        <f>VLOOKUP(O1178,[5]Key!$E$2:$F$9,2,FALSE)</f>
        <v>Work</v>
      </c>
      <c r="Q1178" s="13" t="s">
        <v>446</v>
      </c>
      <c r="R1178" s="23" t="s">
        <v>439</v>
      </c>
      <c r="S1178" s="13" t="s">
        <v>221</v>
      </c>
      <c r="T1178" s="23">
        <v>2</v>
      </c>
      <c r="U1178" s="30" t="str">
        <f>VLOOKUP(T1178,[5]Key!$E$2:$F$9,2,FALSE)</f>
        <v>Work</v>
      </c>
      <c r="V1178" s="30" t="str">
        <f t="shared" si="72"/>
        <v>Work-Work</v>
      </c>
      <c r="W1178" s="23">
        <v>7000</v>
      </c>
      <c r="X1178" s="50">
        <v>54</v>
      </c>
      <c r="Y1178" s="50" t="str">
        <f t="shared" si="73"/>
        <v>40-70</v>
      </c>
      <c r="Z1178" s="50">
        <v>0.7</v>
      </c>
      <c r="AA1178" s="50" t="str">
        <f t="shared" si="74"/>
        <v>0.5-1.0</v>
      </c>
      <c r="AB1178" s="23">
        <v>1</v>
      </c>
      <c r="AC1178" s="30" t="str">
        <f>VLOOKUP(AB1178,[5]Key!$C$20:$D$29,2,FALSE)</f>
        <v>Unemployed</v>
      </c>
      <c r="AD1178" s="23">
        <v>2</v>
      </c>
      <c r="AE1178" s="30" t="str">
        <f>VLOOKUP(AD1178,[5]Key!$E$20:$F$24,2,FALSE)</f>
        <v>300,000-500,000</v>
      </c>
      <c r="AF1178" s="23">
        <v>5</v>
      </c>
      <c r="AG1178" s="50">
        <v>2</v>
      </c>
      <c r="AH1178" s="50">
        <v>3</v>
      </c>
      <c r="AI1178" s="50">
        <v>1</v>
      </c>
      <c r="AJ1178" s="50">
        <v>4</v>
      </c>
      <c r="AK1178" s="46" t="s">
        <v>94</v>
      </c>
      <c r="AL1178" s="36">
        <v>1000</v>
      </c>
      <c r="AM1178" t="str">
        <f t="shared" si="75"/>
        <v>1000-2000</v>
      </c>
    </row>
    <row r="1179" spans="1:39" x14ac:dyDescent="0.2">
      <c r="A1179" s="44">
        <v>43757</v>
      </c>
      <c r="B1179" s="48">
        <v>0.4381944444444445</v>
      </c>
      <c r="C1179" s="48"/>
      <c r="D1179" s="48" t="s">
        <v>97</v>
      </c>
      <c r="E1179" s="13">
        <v>2</v>
      </c>
      <c r="F1179" s="38" t="str">
        <f>VLOOKUP(E1179,[5]Key!$A$17:$B$21,2,FALSE)</f>
        <v>Road Vehicle</v>
      </c>
      <c r="G1179" s="49">
        <v>1</v>
      </c>
      <c r="H1179" s="39" t="str">
        <f>VLOOKUP(G1179,[5]Key!$A$2:$B$14,2,FALSE)</f>
        <v>Car</v>
      </c>
      <c r="I1179" s="13" t="s">
        <v>109</v>
      </c>
      <c r="J1179" s="13">
        <v>2</v>
      </c>
      <c r="K1179" s="40" t="str">
        <f>VLOOKUP(J1179,[5]Key!$A$24:$B$29,2,FALSE)</f>
        <v>30-39</v>
      </c>
      <c r="L1179" s="13" t="s">
        <v>439</v>
      </c>
      <c r="M1179" s="23" t="s">
        <v>439</v>
      </c>
      <c r="N1179" s="13" t="s">
        <v>221</v>
      </c>
      <c r="O1179" s="46">
        <v>4</v>
      </c>
      <c r="P1179" s="30" t="str">
        <f>VLOOKUP(O1179,[5]Key!$E$2:$F$9,2,FALSE)</f>
        <v>Commercial</v>
      </c>
      <c r="Q1179" s="13" t="s">
        <v>488</v>
      </c>
      <c r="R1179" s="23" t="s">
        <v>488</v>
      </c>
      <c r="S1179" s="13" t="s">
        <v>221</v>
      </c>
      <c r="T1179" s="23">
        <v>4</v>
      </c>
      <c r="U1179" s="30" t="str">
        <f>VLOOKUP(T1179,[5]Key!$E$2:$F$9,2,FALSE)</f>
        <v>Commercial</v>
      </c>
      <c r="V1179" s="30" t="str">
        <f t="shared" si="72"/>
        <v>Commercial-Commercial</v>
      </c>
      <c r="W1179" s="23">
        <v>30000</v>
      </c>
      <c r="X1179" s="50"/>
      <c r="Y1179" s="50" t="str">
        <f t="shared" si="73"/>
        <v>0-10</v>
      </c>
      <c r="Z1179" s="50">
        <v>2</v>
      </c>
      <c r="AA1179" s="50" t="str">
        <f t="shared" si="74"/>
        <v>2.0-3.5</v>
      </c>
      <c r="AB1179" s="23">
        <v>4</v>
      </c>
      <c r="AC1179" s="30" t="str">
        <f>VLOOKUP(AB1179,[5]Key!$C$20:$D$29,2,FALSE)</f>
        <v>Office Worker</v>
      </c>
      <c r="AD1179" s="23">
        <v>2</v>
      </c>
      <c r="AE1179" s="30" t="str">
        <f>VLOOKUP(AD1179,[5]Key!$E$20:$F$24,2,FALSE)</f>
        <v>300,000-500,000</v>
      </c>
      <c r="AF1179" s="23">
        <v>5</v>
      </c>
      <c r="AG1179" s="50">
        <v>2</v>
      </c>
      <c r="AH1179" s="50">
        <v>3</v>
      </c>
      <c r="AI1179" s="50">
        <v>1</v>
      </c>
      <c r="AJ1179" s="50">
        <v>4</v>
      </c>
      <c r="AK1179" s="46" t="s">
        <v>94</v>
      </c>
      <c r="AL1179" s="36">
        <v>5000</v>
      </c>
      <c r="AM1179" t="str">
        <f t="shared" si="75"/>
        <v>5000-10000</v>
      </c>
    </row>
    <row r="1180" spans="1:39" x14ac:dyDescent="0.2">
      <c r="A1180" s="44">
        <v>43757</v>
      </c>
      <c r="B1180" s="48">
        <v>0.63402777777777775</v>
      </c>
      <c r="C1180" s="48"/>
      <c r="D1180" s="48" t="s">
        <v>97</v>
      </c>
      <c r="E1180" s="13">
        <v>2</v>
      </c>
      <c r="F1180" s="38" t="str">
        <f>VLOOKUP(E1180,[5]Key!$A$17:$B$21,2,FALSE)</f>
        <v>Road Vehicle</v>
      </c>
      <c r="G1180" s="49">
        <v>1</v>
      </c>
      <c r="H1180" s="39" t="str">
        <f>VLOOKUP(G1180,[5]Key!$A$2:$B$14,2,FALSE)</f>
        <v>Car</v>
      </c>
      <c r="I1180" s="13" t="s">
        <v>109</v>
      </c>
      <c r="J1180" s="13">
        <v>2</v>
      </c>
      <c r="K1180" s="40" t="str">
        <f>VLOOKUP(J1180,[5]Key!$A$24:$B$29,2,FALSE)</f>
        <v>30-39</v>
      </c>
      <c r="L1180" s="13" t="s">
        <v>766</v>
      </c>
      <c r="M1180" s="23" t="s">
        <v>441</v>
      </c>
      <c r="N1180" s="13" t="s">
        <v>221</v>
      </c>
      <c r="O1180" s="46">
        <v>6</v>
      </c>
      <c r="P1180" s="30" t="str">
        <f>VLOOKUP(O1180,[5]Key!$E$2:$F$9,2,FALSE)</f>
        <v>Leisure/Social</v>
      </c>
      <c r="Q1180" s="13" t="s">
        <v>446</v>
      </c>
      <c r="R1180" s="23" t="s">
        <v>439</v>
      </c>
      <c r="S1180" s="13" t="s">
        <v>221</v>
      </c>
      <c r="T1180" s="23">
        <v>8</v>
      </c>
      <c r="U1180" s="30" t="str">
        <f>VLOOKUP(T1180,[5]Key!$E$2:$F$9,2,FALSE)</f>
        <v>Others</v>
      </c>
      <c r="V1180" s="30" t="str">
        <f t="shared" si="72"/>
        <v>Leisure/Social-Others</v>
      </c>
      <c r="W1180" s="23">
        <v>20000</v>
      </c>
      <c r="X1180" s="50">
        <v>15</v>
      </c>
      <c r="Y1180" s="50" t="str">
        <f t="shared" si="73"/>
        <v>10-20</v>
      </c>
      <c r="Z1180" s="50">
        <v>0.3</v>
      </c>
      <c r="AA1180" s="50" t="str">
        <f t="shared" si="74"/>
        <v>0-0.5</v>
      </c>
      <c r="AB1180" s="23">
        <v>6</v>
      </c>
      <c r="AC1180" s="30" t="str">
        <f>VLOOKUP(AB1180,[5]Key!$C$20:$D$29,2,FALSE)</f>
        <v>Businessman</v>
      </c>
      <c r="AD1180" s="23">
        <v>3</v>
      </c>
      <c r="AE1180" s="30" t="str">
        <f>VLOOKUP(AD1180,[5]Key!$E$20:$F$24,2,FALSE)</f>
        <v>500,000-750,000</v>
      </c>
      <c r="AF1180" s="23">
        <v>2</v>
      </c>
      <c r="AG1180" s="50">
        <v>1</v>
      </c>
      <c r="AH1180" s="50">
        <v>3</v>
      </c>
      <c r="AI1180" s="50">
        <v>4</v>
      </c>
      <c r="AJ1180" s="50">
        <v>5</v>
      </c>
      <c r="AK1180" s="46" t="s">
        <v>94</v>
      </c>
      <c r="AL1180" s="36">
        <v>1000</v>
      </c>
      <c r="AM1180" t="str">
        <f t="shared" si="75"/>
        <v>1000-2000</v>
      </c>
    </row>
    <row r="1181" spans="1:39" x14ac:dyDescent="0.2">
      <c r="A1181" s="44">
        <v>43758</v>
      </c>
      <c r="B1181" s="48">
        <v>0.42986111111111108</v>
      </c>
      <c r="C1181" s="48"/>
      <c r="D1181" s="48" t="s">
        <v>150</v>
      </c>
      <c r="E1181" s="13">
        <v>2</v>
      </c>
      <c r="F1181" s="38" t="str">
        <f>VLOOKUP(E1181,[5]Key!$A$17:$B$21,2,FALSE)</f>
        <v>Road Vehicle</v>
      </c>
      <c r="G1181" s="49">
        <v>1</v>
      </c>
      <c r="H1181" s="39" t="str">
        <f>VLOOKUP(G1181,[5]Key!$A$2:$B$14,2,FALSE)</f>
        <v>Car</v>
      </c>
      <c r="I1181" s="13" t="s">
        <v>109</v>
      </c>
      <c r="J1181" s="13">
        <v>2</v>
      </c>
      <c r="K1181" s="40" t="str">
        <f>VLOOKUP(J1181,[5]Key!$A$24:$B$29,2,FALSE)</f>
        <v>30-39</v>
      </c>
      <c r="L1181" s="13" t="s">
        <v>767</v>
      </c>
      <c r="M1181" s="23" t="s">
        <v>421</v>
      </c>
      <c r="N1181" s="13" t="s">
        <v>221</v>
      </c>
      <c r="O1181" s="46">
        <v>3</v>
      </c>
      <c r="P1181" s="30" t="str">
        <f>VLOOKUP(O1181,[5]Key!$E$2:$F$9,2,FALSE)</f>
        <v>Study</v>
      </c>
      <c r="Q1181" s="13" t="s">
        <v>446</v>
      </c>
      <c r="R1181" s="23" t="s">
        <v>439</v>
      </c>
      <c r="S1181" s="13" t="s">
        <v>221</v>
      </c>
      <c r="T1181" s="23">
        <v>1</v>
      </c>
      <c r="U1181" s="30" t="str">
        <f>VLOOKUP(T1181,[5]Key!$E$2:$F$9,2,FALSE)</f>
        <v>Home</v>
      </c>
      <c r="V1181" s="30" t="str">
        <f t="shared" si="72"/>
        <v>Study-Home</v>
      </c>
      <c r="W1181" s="23">
        <v>7000</v>
      </c>
      <c r="X1181" s="50"/>
      <c r="Y1181" s="50" t="str">
        <f t="shared" si="73"/>
        <v>0-10</v>
      </c>
      <c r="Z1181" s="50">
        <v>1.5</v>
      </c>
      <c r="AA1181" s="50" t="str">
        <f t="shared" si="74"/>
        <v>1.0-2.0</v>
      </c>
      <c r="AB1181" s="23">
        <v>8</v>
      </c>
      <c r="AC1181" s="30" t="str">
        <f>VLOOKUP(AB1181,[5]Key!$C$20:$D$29,2,FALSE)</f>
        <v>Student</v>
      </c>
      <c r="AD1181" s="23">
        <v>1</v>
      </c>
      <c r="AE1181" s="30" t="str">
        <f>VLOOKUP(AD1181,[5]Key!$E$20:$F$24,2,FALSE)</f>
        <v>&lt;300,000</v>
      </c>
      <c r="AF1181" s="23">
        <v>2</v>
      </c>
      <c r="AG1181" s="50">
        <v>3</v>
      </c>
      <c r="AH1181" s="50">
        <v>4</v>
      </c>
      <c r="AI1181" s="50">
        <v>1</v>
      </c>
      <c r="AJ1181" s="50">
        <v>5</v>
      </c>
      <c r="AK1181" s="46" t="s">
        <v>94</v>
      </c>
      <c r="AL1181" s="36"/>
      <c r="AM1181" t="str">
        <f t="shared" si="75"/>
        <v>0-1000</v>
      </c>
    </row>
    <row r="1182" spans="1:39" x14ac:dyDescent="0.2">
      <c r="A1182" s="44">
        <v>43758</v>
      </c>
      <c r="B1182" s="48">
        <v>0.31597222222222221</v>
      </c>
      <c r="C1182" s="48"/>
      <c r="D1182" s="48" t="s">
        <v>150</v>
      </c>
      <c r="E1182" s="13">
        <v>2</v>
      </c>
      <c r="F1182" s="38" t="str">
        <f>VLOOKUP(E1182,[5]Key!$A$17:$B$21,2,FALSE)</f>
        <v>Road Vehicle</v>
      </c>
      <c r="G1182" s="49">
        <v>1</v>
      </c>
      <c r="H1182" s="39" t="str">
        <f>VLOOKUP(G1182,[5]Key!$A$2:$B$14,2,FALSE)</f>
        <v>Car</v>
      </c>
      <c r="I1182" s="13" t="s">
        <v>109</v>
      </c>
      <c r="J1182" s="13">
        <v>2</v>
      </c>
      <c r="K1182" s="40" t="str">
        <f>VLOOKUP(J1182,[5]Key!$A$24:$B$29,2,FALSE)</f>
        <v>30-39</v>
      </c>
      <c r="L1182" s="13" t="s">
        <v>768</v>
      </c>
      <c r="M1182" s="23" t="s">
        <v>439</v>
      </c>
      <c r="N1182" s="13" t="s">
        <v>221</v>
      </c>
      <c r="O1182" s="46">
        <v>1</v>
      </c>
      <c r="P1182" s="30" t="str">
        <f>VLOOKUP(O1182,[5]Key!$E$2:$F$9,2,FALSE)</f>
        <v>Home</v>
      </c>
      <c r="Q1182" s="13" t="s">
        <v>719</v>
      </c>
      <c r="R1182" s="23" t="s">
        <v>421</v>
      </c>
      <c r="S1182" s="13" t="s">
        <v>221</v>
      </c>
      <c r="T1182" s="23">
        <v>8</v>
      </c>
      <c r="U1182" s="30" t="str">
        <f>VLOOKUP(T1182,[5]Key!$E$2:$F$9,2,FALSE)</f>
        <v>Others</v>
      </c>
      <c r="V1182" s="30" t="str">
        <f t="shared" si="72"/>
        <v>Home-Others</v>
      </c>
      <c r="W1182" s="23">
        <v>8000</v>
      </c>
      <c r="X1182" s="50"/>
      <c r="Y1182" s="50" t="str">
        <f t="shared" si="73"/>
        <v>0-10</v>
      </c>
      <c r="Z1182" s="50">
        <v>1</v>
      </c>
      <c r="AA1182" s="50" t="str">
        <f t="shared" si="74"/>
        <v>1.0-2.0</v>
      </c>
      <c r="AB1182" s="23">
        <v>6</v>
      </c>
      <c r="AC1182" s="30" t="str">
        <f>VLOOKUP(AB1182,[5]Key!$C$20:$D$29,2,FALSE)</f>
        <v>Businessman</v>
      </c>
      <c r="AD1182" s="23">
        <v>2</v>
      </c>
      <c r="AE1182" s="30" t="str">
        <f>VLOOKUP(AD1182,[5]Key!$E$20:$F$24,2,FALSE)</f>
        <v>300,000-500,000</v>
      </c>
      <c r="AF1182" s="23">
        <v>5</v>
      </c>
      <c r="AG1182" s="50">
        <v>2</v>
      </c>
      <c r="AH1182" s="50">
        <v>1</v>
      </c>
      <c r="AI1182" s="50">
        <v>3</v>
      </c>
      <c r="AJ1182" s="50">
        <v>4</v>
      </c>
      <c r="AK1182" s="46" t="s">
        <v>94</v>
      </c>
      <c r="AL1182" s="36">
        <v>100</v>
      </c>
      <c r="AM1182" t="str">
        <f t="shared" si="75"/>
        <v>0-1000</v>
      </c>
    </row>
    <row r="1183" spans="1:39" x14ac:dyDescent="0.2">
      <c r="A1183" s="44">
        <v>43758</v>
      </c>
      <c r="B1183" s="48">
        <v>0.40902777777777777</v>
      </c>
      <c r="C1183" s="48"/>
      <c r="D1183" s="48" t="s">
        <v>97</v>
      </c>
      <c r="E1183" s="13">
        <v>2</v>
      </c>
      <c r="F1183" s="38" t="str">
        <f>VLOOKUP(E1183,[5]Key!$A$17:$B$21,2,FALSE)</f>
        <v>Road Vehicle</v>
      </c>
      <c r="G1183" s="49">
        <v>1</v>
      </c>
      <c r="H1183" s="39" t="str">
        <f>VLOOKUP(G1183,[5]Key!$A$2:$B$14,2,FALSE)</f>
        <v>Car</v>
      </c>
      <c r="I1183" s="13" t="s">
        <v>109</v>
      </c>
      <c r="J1183" s="13">
        <v>2</v>
      </c>
      <c r="K1183" s="40" t="str">
        <f>VLOOKUP(J1183,[5]Key!$A$24:$B$29,2,FALSE)</f>
        <v>30-39</v>
      </c>
      <c r="L1183" s="13" t="s">
        <v>732</v>
      </c>
      <c r="M1183" s="23" t="s">
        <v>421</v>
      </c>
      <c r="N1183" s="13" t="s">
        <v>221</v>
      </c>
      <c r="O1183" s="46">
        <v>2</v>
      </c>
      <c r="P1183" s="30" t="str">
        <f>VLOOKUP(O1183,[5]Key!$E$2:$F$9,2,FALSE)</f>
        <v>Work</v>
      </c>
      <c r="Q1183" s="13" t="s">
        <v>446</v>
      </c>
      <c r="R1183" s="23" t="s">
        <v>439</v>
      </c>
      <c r="S1183" s="13" t="s">
        <v>221</v>
      </c>
      <c r="T1183" s="23">
        <v>8</v>
      </c>
      <c r="U1183" s="30" t="str">
        <f>VLOOKUP(T1183,[5]Key!$E$2:$F$9,2,FALSE)</f>
        <v>Others</v>
      </c>
      <c r="V1183" s="30" t="str">
        <f t="shared" si="72"/>
        <v>Work-Others</v>
      </c>
      <c r="W1183" s="23">
        <v>60000</v>
      </c>
      <c r="X1183" s="50">
        <v>85</v>
      </c>
      <c r="Y1183" s="50" t="str">
        <f t="shared" si="73"/>
        <v>70-100</v>
      </c>
      <c r="Z1183" s="50">
        <v>0.8</v>
      </c>
      <c r="AA1183" s="50" t="str">
        <f t="shared" si="74"/>
        <v>0.5-1.0</v>
      </c>
      <c r="AB1183" s="23">
        <v>10</v>
      </c>
      <c r="AC1183" s="30" t="str">
        <f>VLOOKUP(AB1183,[5]Key!$C$20:$D$29,2,FALSE)</f>
        <v>Other</v>
      </c>
      <c r="AD1183" s="23">
        <v>2</v>
      </c>
      <c r="AE1183" s="30" t="str">
        <f>VLOOKUP(AD1183,[5]Key!$E$20:$F$24,2,FALSE)</f>
        <v>300,000-500,000</v>
      </c>
      <c r="AF1183" s="23">
        <v>4</v>
      </c>
      <c r="AG1183" s="50">
        <v>2</v>
      </c>
      <c r="AH1183" s="50">
        <v>3</v>
      </c>
      <c r="AI1183" s="50">
        <v>1</v>
      </c>
      <c r="AJ1183" s="50">
        <v>5</v>
      </c>
      <c r="AK1183" s="46" t="s">
        <v>94</v>
      </c>
      <c r="AL1183" s="36">
        <v>100</v>
      </c>
      <c r="AM1183" t="str">
        <f t="shared" si="75"/>
        <v>0-1000</v>
      </c>
    </row>
    <row r="1184" spans="1:39" x14ac:dyDescent="0.2">
      <c r="A1184" s="44">
        <v>43758</v>
      </c>
      <c r="B1184" s="48">
        <v>0.6166666666666667</v>
      </c>
      <c r="C1184" s="48"/>
      <c r="D1184" s="48" t="s">
        <v>97</v>
      </c>
      <c r="E1184" s="13">
        <v>2</v>
      </c>
      <c r="F1184" s="38" t="str">
        <f>VLOOKUP(E1184,[5]Key!$A$17:$B$21,2,FALSE)</f>
        <v>Road Vehicle</v>
      </c>
      <c r="G1184" s="49">
        <v>1</v>
      </c>
      <c r="H1184" s="39" t="str">
        <f>VLOOKUP(G1184,[5]Key!$A$2:$B$14,2,FALSE)</f>
        <v>Car</v>
      </c>
      <c r="I1184" s="13" t="s">
        <v>109</v>
      </c>
      <c r="J1184" s="13">
        <v>2</v>
      </c>
      <c r="K1184" s="40" t="str">
        <f>VLOOKUP(J1184,[5]Key!$A$24:$B$29,2,FALSE)</f>
        <v>30-39</v>
      </c>
      <c r="L1184" s="13" t="s">
        <v>446</v>
      </c>
      <c r="M1184" s="23" t="s">
        <v>439</v>
      </c>
      <c r="N1184" s="13" t="s">
        <v>221</v>
      </c>
      <c r="O1184" s="46">
        <v>2</v>
      </c>
      <c r="P1184" s="30" t="str">
        <f>VLOOKUP(O1184,[5]Key!$E$2:$F$9,2,FALSE)</f>
        <v>Work</v>
      </c>
      <c r="Q1184" s="13" t="s">
        <v>769</v>
      </c>
      <c r="R1184" s="23" t="s">
        <v>769</v>
      </c>
      <c r="S1184" s="13" t="s">
        <v>221</v>
      </c>
      <c r="T1184" s="23">
        <v>2</v>
      </c>
      <c r="U1184" s="30" t="str">
        <f>VLOOKUP(T1184,[5]Key!$E$2:$F$9,2,FALSE)</f>
        <v>Work</v>
      </c>
      <c r="V1184" s="30" t="str">
        <f t="shared" si="72"/>
        <v>Work-Work</v>
      </c>
      <c r="W1184" s="23"/>
      <c r="X1184" s="50">
        <v>140</v>
      </c>
      <c r="Y1184" s="50" t="str">
        <f t="shared" si="73"/>
        <v>100-200</v>
      </c>
      <c r="Z1184" s="50">
        <v>2</v>
      </c>
      <c r="AA1184" s="50" t="str">
        <f t="shared" si="74"/>
        <v>2.0-3.5</v>
      </c>
      <c r="AB1184" s="23">
        <v>10</v>
      </c>
      <c r="AC1184" s="30" t="str">
        <f>VLOOKUP(AB1184,[5]Key!$C$20:$D$29,2,FALSE)</f>
        <v>Other</v>
      </c>
      <c r="AD1184" s="23">
        <v>1</v>
      </c>
      <c r="AE1184" s="30" t="str">
        <f>VLOOKUP(AD1184,[5]Key!$E$20:$F$24,2,FALSE)</f>
        <v>&lt;300,000</v>
      </c>
      <c r="AF1184" s="23">
        <v>2</v>
      </c>
      <c r="AG1184" s="50">
        <v>5</v>
      </c>
      <c r="AH1184" s="50">
        <v>4</v>
      </c>
      <c r="AI1184" s="50">
        <v>1</v>
      </c>
      <c r="AJ1184" s="50">
        <v>3</v>
      </c>
      <c r="AK1184" s="46" t="s">
        <v>94</v>
      </c>
      <c r="AL1184" s="36">
        <v>500</v>
      </c>
      <c r="AM1184" t="str">
        <f t="shared" si="75"/>
        <v>0-1000</v>
      </c>
    </row>
    <row r="1185" spans="1:39" x14ac:dyDescent="0.2">
      <c r="A1185" s="44">
        <v>43758</v>
      </c>
      <c r="B1185" s="48">
        <v>0.57638888888888895</v>
      </c>
      <c r="C1185" s="48"/>
      <c r="D1185" s="48" t="s">
        <v>150</v>
      </c>
      <c r="E1185" s="13">
        <v>2</v>
      </c>
      <c r="F1185" s="38" t="str">
        <f>VLOOKUP(E1185,[5]Key!$A$17:$B$21,2,FALSE)</f>
        <v>Road Vehicle</v>
      </c>
      <c r="G1185" s="49">
        <v>1</v>
      </c>
      <c r="H1185" s="39" t="str">
        <f>VLOOKUP(G1185,[5]Key!$A$2:$B$14,2,FALSE)</f>
        <v>Car</v>
      </c>
      <c r="I1185" s="13" t="s">
        <v>109</v>
      </c>
      <c r="J1185" s="13">
        <v>2</v>
      </c>
      <c r="K1185" s="40" t="str">
        <f>VLOOKUP(J1185,[5]Key!$A$24:$B$29,2,FALSE)</f>
        <v>30-39</v>
      </c>
      <c r="L1185" s="13" t="s">
        <v>770</v>
      </c>
      <c r="M1185" s="23" t="s">
        <v>452</v>
      </c>
      <c r="N1185" s="13" t="s">
        <v>221</v>
      </c>
      <c r="O1185" s="46">
        <v>8</v>
      </c>
      <c r="P1185" s="30" t="str">
        <f>VLOOKUP(O1185,[5]Key!$E$2:$F$9,2,FALSE)</f>
        <v>Others</v>
      </c>
      <c r="Q1185" s="13" t="s">
        <v>719</v>
      </c>
      <c r="R1185" s="23" t="s">
        <v>421</v>
      </c>
      <c r="S1185" s="13" t="s">
        <v>221</v>
      </c>
      <c r="T1185" s="23">
        <v>8</v>
      </c>
      <c r="U1185" s="30" t="str">
        <f>VLOOKUP(T1185,[5]Key!$E$2:$F$9,2,FALSE)</f>
        <v>Others</v>
      </c>
      <c r="V1185" s="30" t="str">
        <f t="shared" si="72"/>
        <v>Others-Others</v>
      </c>
      <c r="W1185" s="23">
        <v>20000</v>
      </c>
      <c r="X1185" s="50"/>
      <c r="Y1185" s="50" t="str">
        <f t="shared" si="73"/>
        <v>0-10</v>
      </c>
      <c r="Z1185" s="50">
        <v>3</v>
      </c>
      <c r="AA1185" s="50" t="str">
        <f t="shared" si="74"/>
        <v>2.0-3.5</v>
      </c>
      <c r="AB1185" s="23">
        <v>4</v>
      </c>
      <c r="AC1185" s="30" t="str">
        <f>VLOOKUP(AB1185,[5]Key!$C$20:$D$29,2,FALSE)</f>
        <v>Office Worker</v>
      </c>
      <c r="AD1185" s="23">
        <v>2</v>
      </c>
      <c r="AE1185" s="30" t="str">
        <f>VLOOKUP(AD1185,[5]Key!$E$20:$F$24,2,FALSE)</f>
        <v>300,000-500,000</v>
      </c>
      <c r="AF1185" s="23">
        <v>5</v>
      </c>
      <c r="AG1185" s="50">
        <v>1</v>
      </c>
      <c r="AH1185" s="50">
        <v>3</v>
      </c>
      <c r="AI1185" s="50">
        <v>4</v>
      </c>
      <c r="AJ1185" s="50">
        <v>2</v>
      </c>
      <c r="AK1185" s="46" t="s">
        <v>94</v>
      </c>
      <c r="AL1185" s="36">
        <v>100</v>
      </c>
      <c r="AM1185" t="str">
        <f t="shared" si="75"/>
        <v>0-1000</v>
      </c>
    </row>
    <row r="1186" spans="1:39" x14ac:dyDescent="0.2">
      <c r="A1186" s="44">
        <v>43758</v>
      </c>
      <c r="B1186" s="48">
        <v>0.69374999999999998</v>
      </c>
      <c r="C1186" s="48"/>
      <c r="D1186" s="48" t="s">
        <v>150</v>
      </c>
      <c r="E1186" s="13">
        <v>2</v>
      </c>
      <c r="F1186" s="38" t="str">
        <f>VLOOKUP(E1186,[5]Key!$A$17:$B$21,2,FALSE)</f>
        <v>Road Vehicle</v>
      </c>
      <c r="G1186" s="49">
        <v>1</v>
      </c>
      <c r="H1186" s="39" t="str">
        <f>VLOOKUP(G1186,[5]Key!$A$2:$B$14,2,FALSE)</f>
        <v>Car</v>
      </c>
      <c r="I1186" s="13" t="s">
        <v>109</v>
      </c>
      <c r="J1186" s="13">
        <v>2</v>
      </c>
      <c r="K1186" s="40" t="str">
        <f>VLOOKUP(J1186,[5]Key!$A$24:$B$29,2,FALSE)</f>
        <v>30-39</v>
      </c>
      <c r="L1186" s="13" t="s">
        <v>746</v>
      </c>
      <c r="M1186" s="23" t="s">
        <v>439</v>
      </c>
      <c r="N1186" s="13" t="s">
        <v>221</v>
      </c>
      <c r="O1186" s="46">
        <v>6</v>
      </c>
      <c r="P1186" s="30" t="str">
        <f>VLOOKUP(O1186,[5]Key!$E$2:$F$9,2,FALSE)</f>
        <v>Leisure/Social</v>
      </c>
      <c r="Q1186" s="13" t="s">
        <v>771</v>
      </c>
      <c r="R1186" s="23" t="s">
        <v>749</v>
      </c>
      <c r="S1186" s="13" t="s">
        <v>221</v>
      </c>
      <c r="T1186" s="23">
        <v>1</v>
      </c>
      <c r="U1186" s="30" t="str">
        <f>VLOOKUP(T1186,[5]Key!$E$2:$F$9,2,FALSE)</f>
        <v>Home</v>
      </c>
      <c r="V1186" s="30" t="str">
        <f t="shared" si="72"/>
        <v>Leisure/Social-Home</v>
      </c>
      <c r="W1186" s="23">
        <v>20000</v>
      </c>
      <c r="X1186" s="50">
        <v>110</v>
      </c>
      <c r="Y1186" s="50" t="str">
        <f t="shared" si="73"/>
        <v>100-200</v>
      </c>
      <c r="Z1186" s="50">
        <v>2</v>
      </c>
      <c r="AA1186" s="50" t="str">
        <f t="shared" si="74"/>
        <v>2.0-3.5</v>
      </c>
      <c r="AB1186" s="23">
        <v>6</v>
      </c>
      <c r="AC1186" s="30" t="str">
        <f>VLOOKUP(AB1186,[5]Key!$C$20:$D$29,2,FALSE)</f>
        <v>Businessman</v>
      </c>
      <c r="AD1186" s="23">
        <v>1</v>
      </c>
      <c r="AE1186" s="30" t="str">
        <f>VLOOKUP(AD1186,[5]Key!$E$20:$F$24,2,FALSE)</f>
        <v>&lt;300,000</v>
      </c>
      <c r="AF1186" s="23">
        <v>3</v>
      </c>
      <c r="AG1186" s="50">
        <v>1</v>
      </c>
      <c r="AH1186" s="50">
        <v>4</v>
      </c>
      <c r="AI1186" s="50">
        <v>2</v>
      </c>
      <c r="AJ1186" s="50">
        <v>5</v>
      </c>
      <c r="AK1186" s="46" t="s">
        <v>94</v>
      </c>
      <c r="AL1186" s="36">
        <v>500</v>
      </c>
      <c r="AM1186" t="str">
        <f t="shared" si="75"/>
        <v>0-1000</v>
      </c>
    </row>
    <row r="1187" spans="1:39" x14ac:dyDescent="0.2">
      <c r="A1187" s="44">
        <v>43758</v>
      </c>
      <c r="B1187" s="48">
        <v>0.77222222222222225</v>
      </c>
      <c r="C1187" s="48"/>
      <c r="D1187" s="48" t="s">
        <v>97</v>
      </c>
      <c r="E1187" s="13">
        <v>2</v>
      </c>
      <c r="F1187" s="38" t="str">
        <f>VLOOKUP(E1187,[5]Key!$A$17:$B$21,2,FALSE)</f>
        <v>Road Vehicle</v>
      </c>
      <c r="G1187" s="49">
        <v>1</v>
      </c>
      <c r="H1187" s="39" t="str">
        <f>VLOOKUP(G1187,[5]Key!$A$2:$B$14,2,FALSE)</f>
        <v>Car</v>
      </c>
      <c r="I1187" s="13" t="s">
        <v>109</v>
      </c>
      <c r="J1187" s="13">
        <v>2</v>
      </c>
      <c r="K1187" s="40" t="str">
        <f>VLOOKUP(J1187,[5]Key!$A$24:$B$29,2,FALSE)</f>
        <v>30-39</v>
      </c>
      <c r="L1187" s="13" t="s">
        <v>446</v>
      </c>
      <c r="M1187" s="23" t="s">
        <v>439</v>
      </c>
      <c r="N1187" s="13" t="s">
        <v>221</v>
      </c>
      <c r="O1187" s="46">
        <v>2</v>
      </c>
      <c r="P1187" s="30" t="str">
        <f>VLOOKUP(O1187,[5]Key!$E$2:$F$9,2,FALSE)</f>
        <v>Work</v>
      </c>
      <c r="Q1187" s="13" t="s">
        <v>719</v>
      </c>
      <c r="R1187" s="23" t="s">
        <v>452</v>
      </c>
      <c r="S1187" s="13" t="s">
        <v>221</v>
      </c>
      <c r="T1187" s="23">
        <v>2</v>
      </c>
      <c r="U1187" s="30" t="str">
        <f>VLOOKUP(T1187,[5]Key!$E$2:$F$9,2,FALSE)</f>
        <v>Work</v>
      </c>
      <c r="V1187" s="30" t="str">
        <f t="shared" si="72"/>
        <v>Work-Work</v>
      </c>
      <c r="W1187" s="23">
        <v>49400</v>
      </c>
      <c r="X1187" s="50">
        <v>90</v>
      </c>
      <c r="Y1187" s="50" t="str">
        <f t="shared" si="73"/>
        <v>70-100</v>
      </c>
      <c r="Z1187" s="50">
        <v>1</v>
      </c>
      <c r="AA1187" s="50" t="str">
        <f t="shared" si="74"/>
        <v>1.0-2.0</v>
      </c>
      <c r="AB1187" s="23">
        <v>10</v>
      </c>
      <c r="AC1187" s="30" t="str">
        <f>VLOOKUP(AB1187,[5]Key!$C$20:$D$29,2,FALSE)</f>
        <v>Other</v>
      </c>
      <c r="AD1187" s="23">
        <v>1</v>
      </c>
      <c r="AE1187" s="30" t="str">
        <f>VLOOKUP(AD1187,[5]Key!$E$20:$F$24,2,FALSE)</f>
        <v>&lt;300,000</v>
      </c>
      <c r="AF1187" s="23">
        <v>4</v>
      </c>
      <c r="AG1187" s="50">
        <v>2</v>
      </c>
      <c r="AH1187" s="50">
        <v>3</v>
      </c>
      <c r="AI1187" s="50">
        <v>1</v>
      </c>
      <c r="AJ1187" s="50">
        <v>5</v>
      </c>
      <c r="AK1187" s="46" t="s">
        <v>94</v>
      </c>
      <c r="AL1187" s="36">
        <v>3000</v>
      </c>
      <c r="AM1187" t="str">
        <f t="shared" si="75"/>
        <v>3000-5000</v>
      </c>
    </row>
    <row r="1188" spans="1:39" x14ac:dyDescent="0.2">
      <c r="A1188" s="44">
        <v>43758</v>
      </c>
      <c r="B1188" s="48">
        <v>0.37291666666666662</v>
      </c>
      <c r="C1188" s="48"/>
      <c r="D1188" s="48" t="s">
        <v>97</v>
      </c>
      <c r="E1188" s="13">
        <v>2</v>
      </c>
      <c r="F1188" s="38" t="str">
        <f>VLOOKUP(E1188,[5]Key!$A$17:$B$21,2,FALSE)</f>
        <v>Road Vehicle</v>
      </c>
      <c r="G1188" s="49">
        <v>1</v>
      </c>
      <c r="H1188" s="39" t="str">
        <f>VLOOKUP(G1188,[5]Key!$A$2:$B$14,2,FALSE)</f>
        <v>Car</v>
      </c>
      <c r="I1188" s="13" t="s">
        <v>109</v>
      </c>
      <c r="J1188" s="13">
        <v>2</v>
      </c>
      <c r="K1188" s="40" t="str">
        <f>VLOOKUP(J1188,[5]Key!$A$24:$B$29,2,FALSE)</f>
        <v>30-39</v>
      </c>
      <c r="L1188" s="13" t="s">
        <v>701</v>
      </c>
      <c r="M1188" s="23" t="s">
        <v>439</v>
      </c>
      <c r="N1188" s="13" t="s">
        <v>221</v>
      </c>
      <c r="O1188" s="46">
        <v>1</v>
      </c>
      <c r="P1188" s="30" t="str">
        <f>VLOOKUP(O1188,[5]Key!$E$2:$F$9,2,FALSE)</f>
        <v>Home</v>
      </c>
      <c r="Q1188" s="13" t="s">
        <v>421</v>
      </c>
      <c r="R1188" s="23" t="s">
        <v>421</v>
      </c>
      <c r="S1188" s="13" t="s">
        <v>221</v>
      </c>
      <c r="T1188" s="23">
        <v>4</v>
      </c>
      <c r="U1188" s="30" t="str">
        <f>VLOOKUP(T1188,[5]Key!$E$2:$F$9,2,FALSE)</f>
        <v>Commercial</v>
      </c>
      <c r="V1188" s="30" t="str">
        <f t="shared" si="72"/>
        <v>Home-Commercial</v>
      </c>
      <c r="W1188" s="23">
        <v>38000</v>
      </c>
      <c r="X1188" s="50">
        <v>115</v>
      </c>
      <c r="Y1188" s="50" t="str">
        <f t="shared" si="73"/>
        <v>100-200</v>
      </c>
      <c r="Z1188" s="50">
        <v>2.5</v>
      </c>
      <c r="AA1188" s="50" t="str">
        <f t="shared" si="74"/>
        <v>2.0-3.5</v>
      </c>
      <c r="AB1188" s="23">
        <v>6</v>
      </c>
      <c r="AC1188" s="30" t="str">
        <f>VLOOKUP(AB1188,[5]Key!$C$20:$D$29,2,FALSE)</f>
        <v>Businessman</v>
      </c>
      <c r="AD1188" s="23">
        <v>2</v>
      </c>
      <c r="AE1188" s="30" t="str">
        <f>VLOOKUP(AD1188,[5]Key!$E$20:$F$24,2,FALSE)</f>
        <v>300,000-500,000</v>
      </c>
      <c r="AF1188" s="23">
        <v>5</v>
      </c>
      <c r="AG1188" s="50">
        <v>1</v>
      </c>
      <c r="AH1188" s="50">
        <v>2</v>
      </c>
      <c r="AI1188" s="50">
        <v>4</v>
      </c>
      <c r="AJ1188" s="50">
        <v>3</v>
      </c>
      <c r="AK1188" s="46" t="s">
        <v>94</v>
      </c>
      <c r="AL1188" s="36">
        <v>2000</v>
      </c>
      <c r="AM1188" t="str">
        <f t="shared" si="75"/>
        <v>2000-3000</v>
      </c>
    </row>
    <row r="1189" spans="1:39" x14ac:dyDescent="0.2">
      <c r="A1189" s="44">
        <v>43757</v>
      </c>
      <c r="B1189" s="48">
        <v>0.3298611111111111</v>
      </c>
      <c r="C1189" s="48"/>
      <c r="D1189" s="48" t="s">
        <v>150</v>
      </c>
      <c r="E1189" s="13">
        <v>2</v>
      </c>
      <c r="F1189" s="38" t="str">
        <f>VLOOKUP(E1189,[5]Key!$A$17:$B$21,2,FALSE)</f>
        <v>Road Vehicle</v>
      </c>
      <c r="G1189" s="49">
        <v>6</v>
      </c>
      <c r="H1189" s="39" t="str">
        <f>VLOOKUP(G1189,[5]Key!$A$2:$B$14,2,FALSE)</f>
        <v>Large Bus</v>
      </c>
      <c r="I1189" s="13" t="s">
        <v>156</v>
      </c>
      <c r="J1189" s="13">
        <v>2</v>
      </c>
      <c r="K1189" s="40" t="str">
        <f>VLOOKUP(J1189,[5]Key!$A$24:$B$29,2,FALSE)</f>
        <v>30-39</v>
      </c>
      <c r="L1189" s="13" t="s">
        <v>446</v>
      </c>
      <c r="M1189" s="23" t="s">
        <v>439</v>
      </c>
      <c r="N1189" s="13" t="s">
        <v>221</v>
      </c>
      <c r="O1189" s="46">
        <v>1</v>
      </c>
      <c r="P1189" s="30" t="str">
        <f>VLOOKUP(O1189,[5]Key!$E$2:$F$9,2,FALSE)</f>
        <v>Home</v>
      </c>
      <c r="Q1189" s="13" t="s">
        <v>463</v>
      </c>
      <c r="R1189" s="23" t="s">
        <v>463</v>
      </c>
      <c r="S1189" s="13" t="s">
        <v>221</v>
      </c>
      <c r="T1189" s="23">
        <v>3</v>
      </c>
      <c r="U1189" s="30" t="str">
        <f>VLOOKUP(T1189,[5]Key!$E$2:$F$9,2,FALSE)</f>
        <v>Study</v>
      </c>
      <c r="V1189" s="30" t="str">
        <f t="shared" si="72"/>
        <v>Home-Study</v>
      </c>
      <c r="W1189" s="23">
        <v>3000</v>
      </c>
      <c r="X1189" s="50">
        <v>30</v>
      </c>
      <c r="Y1189" s="50" t="str">
        <f t="shared" si="73"/>
        <v>20-40</v>
      </c>
      <c r="Z1189" s="50">
        <v>1</v>
      </c>
      <c r="AA1189" s="50" t="str">
        <f t="shared" si="74"/>
        <v>1.0-2.0</v>
      </c>
      <c r="AB1189" s="23">
        <v>8</v>
      </c>
      <c r="AC1189" s="30" t="str">
        <f>VLOOKUP(AB1189,[5]Key!$C$20:$D$29,2,FALSE)</f>
        <v>Student</v>
      </c>
      <c r="AD1189" s="23">
        <v>1</v>
      </c>
      <c r="AE1189" s="30" t="str">
        <f>VLOOKUP(AD1189,[5]Key!$E$20:$F$24,2,FALSE)</f>
        <v>&lt;300,000</v>
      </c>
      <c r="AF1189" s="23">
        <v>4</v>
      </c>
      <c r="AG1189" s="50">
        <v>1</v>
      </c>
      <c r="AH1189" s="50">
        <v>2</v>
      </c>
      <c r="AI1189" s="50">
        <v>3</v>
      </c>
      <c r="AJ1189" s="50">
        <v>5</v>
      </c>
      <c r="AK1189" s="46" t="s">
        <v>94</v>
      </c>
      <c r="AL1189" s="36">
        <v>1000</v>
      </c>
      <c r="AM1189" t="str">
        <f t="shared" si="75"/>
        <v>1000-2000</v>
      </c>
    </row>
    <row r="1190" spans="1:39" x14ac:dyDescent="0.2">
      <c r="A1190" s="44">
        <v>43758</v>
      </c>
      <c r="B1190" s="48">
        <v>0.44027777777777777</v>
      </c>
      <c r="C1190" s="48"/>
      <c r="D1190" s="48" t="s">
        <v>150</v>
      </c>
      <c r="E1190" s="13">
        <v>2</v>
      </c>
      <c r="F1190" s="38" t="str">
        <f>VLOOKUP(E1190,[5]Key!$A$17:$B$21,2,FALSE)</f>
        <v>Road Vehicle</v>
      </c>
      <c r="G1190" s="49">
        <v>6</v>
      </c>
      <c r="H1190" s="39" t="str">
        <f>VLOOKUP(G1190,[5]Key!$A$2:$B$14,2,FALSE)</f>
        <v>Large Bus</v>
      </c>
      <c r="I1190" s="13" t="s">
        <v>156</v>
      </c>
      <c r="J1190" s="13">
        <v>2</v>
      </c>
      <c r="K1190" s="40" t="str">
        <f>VLOOKUP(J1190,[5]Key!$A$24:$B$29,2,FALSE)</f>
        <v>30-39</v>
      </c>
      <c r="L1190" s="13" t="s">
        <v>446</v>
      </c>
      <c r="M1190" s="23" t="s">
        <v>439</v>
      </c>
      <c r="N1190" s="13" t="s">
        <v>221</v>
      </c>
      <c r="O1190" s="46">
        <v>1</v>
      </c>
      <c r="P1190" s="30" t="str">
        <f>VLOOKUP(O1190,[5]Key!$E$2:$F$9,2,FALSE)</f>
        <v>Home</v>
      </c>
      <c r="Q1190" s="13" t="s">
        <v>153</v>
      </c>
      <c r="R1190" s="23" t="s">
        <v>153</v>
      </c>
      <c r="S1190" s="13" t="s">
        <v>221</v>
      </c>
      <c r="T1190" s="23">
        <v>2</v>
      </c>
      <c r="U1190" s="30" t="str">
        <f>VLOOKUP(T1190,[5]Key!$E$2:$F$9,2,FALSE)</f>
        <v>Work</v>
      </c>
      <c r="V1190" s="30" t="str">
        <f t="shared" si="72"/>
        <v>Home-Work</v>
      </c>
      <c r="W1190" s="23">
        <v>17000</v>
      </c>
      <c r="X1190" s="50"/>
      <c r="Y1190" s="50" t="str">
        <f t="shared" si="73"/>
        <v>0-10</v>
      </c>
      <c r="Z1190" s="50">
        <v>5</v>
      </c>
      <c r="AA1190" s="50" t="str">
        <f t="shared" si="74"/>
        <v>Over 3.5</v>
      </c>
      <c r="AB1190" s="23">
        <v>2</v>
      </c>
      <c r="AC1190" s="30" t="str">
        <f>VLOOKUP(AB1190,[5]Key!$C$20:$D$29,2,FALSE)</f>
        <v>Manual Labour</v>
      </c>
      <c r="AD1190" s="23">
        <v>1</v>
      </c>
      <c r="AE1190" s="30" t="str">
        <f>VLOOKUP(AD1190,[5]Key!$E$20:$F$24,2,FALSE)</f>
        <v>&lt;300,000</v>
      </c>
      <c r="AF1190" s="23">
        <v>1</v>
      </c>
      <c r="AG1190" s="50">
        <v>2</v>
      </c>
      <c r="AH1190" s="50">
        <v>5</v>
      </c>
      <c r="AI1190" s="50">
        <v>4</v>
      </c>
      <c r="AJ1190" s="50">
        <v>3</v>
      </c>
      <c r="AK1190" s="46" t="s">
        <v>700</v>
      </c>
      <c r="AL1190" s="36"/>
      <c r="AM1190" t="str">
        <f t="shared" si="75"/>
        <v>0-1000</v>
      </c>
    </row>
    <row r="1191" spans="1:39" x14ac:dyDescent="0.2">
      <c r="A1191" s="44">
        <v>43758</v>
      </c>
      <c r="B1191" s="48">
        <v>0.35486111111111113</v>
      </c>
      <c r="C1191" s="48"/>
      <c r="D1191" s="48" t="s">
        <v>150</v>
      </c>
      <c r="E1191" s="13">
        <v>2</v>
      </c>
      <c r="F1191" s="38" t="str">
        <f>VLOOKUP(E1191,[5]Key!$A$17:$B$21,2,FALSE)</f>
        <v>Road Vehicle</v>
      </c>
      <c r="G1191" s="49">
        <v>6</v>
      </c>
      <c r="H1191" s="39" t="str">
        <f>VLOOKUP(G1191,[5]Key!$A$2:$B$14,2,FALSE)</f>
        <v>Large Bus</v>
      </c>
      <c r="I1191" s="13" t="s">
        <v>156</v>
      </c>
      <c r="J1191" s="13">
        <v>2</v>
      </c>
      <c r="K1191" s="40" t="str">
        <f>VLOOKUP(J1191,[5]Key!$A$24:$B$29,2,FALSE)</f>
        <v>30-39</v>
      </c>
      <c r="L1191" s="13" t="s">
        <v>723</v>
      </c>
      <c r="M1191" s="23" t="s">
        <v>439</v>
      </c>
      <c r="N1191" s="13" t="s">
        <v>221</v>
      </c>
      <c r="O1191" s="46">
        <v>6</v>
      </c>
      <c r="P1191" s="30" t="str">
        <f>VLOOKUP(O1191,[5]Key!$E$2:$F$9,2,FALSE)</f>
        <v>Leisure/Social</v>
      </c>
      <c r="Q1191" s="13" t="s">
        <v>772</v>
      </c>
      <c r="R1191" s="23" t="s">
        <v>153</v>
      </c>
      <c r="S1191" s="13" t="s">
        <v>221</v>
      </c>
      <c r="T1191" s="23">
        <v>1</v>
      </c>
      <c r="U1191" s="30" t="str">
        <f>VLOOKUP(T1191,[5]Key!$E$2:$F$9,2,FALSE)</f>
        <v>Home</v>
      </c>
      <c r="V1191" s="30" t="str">
        <f t="shared" si="72"/>
        <v>Leisure/Social-Home</v>
      </c>
      <c r="W1191" s="23">
        <v>30000</v>
      </c>
      <c r="X1191" s="50"/>
      <c r="Y1191" s="50" t="str">
        <f t="shared" si="73"/>
        <v>0-10</v>
      </c>
      <c r="Z1191" s="50">
        <v>6</v>
      </c>
      <c r="AA1191" s="50" t="str">
        <f t="shared" si="74"/>
        <v>Over 3.5</v>
      </c>
      <c r="AB1191" s="23">
        <v>4</v>
      </c>
      <c r="AC1191" s="30" t="str">
        <f>VLOOKUP(AB1191,[5]Key!$C$20:$D$29,2,FALSE)</f>
        <v>Office Worker</v>
      </c>
      <c r="AD1191" s="23">
        <v>2</v>
      </c>
      <c r="AE1191" s="30" t="str">
        <f>VLOOKUP(AD1191,[5]Key!$E$20:$F$24,2,FALSE)</f>
        <v>300,000-500,000</v>
      </c>
      <c r="AF1191" s="23">
        <v>2</v>
      </c>
      <c r="AG1191" s="50">
        <v>4</v>
      </c>
      <c r="AH1191" s="50">
        <v>1</v>
      </c>
      <c r="AI1191" s="50">
        <v>5</v>
      </c>
      <c r="AJ1191" s="50">
        <v>3</v>
      </c>
      <c r="AK1191" s="46" t="s">
        <v>94</v>
      </c>
      <c r="AL1191" s="36">
        <v>2000</v>
      </c>
      <c r="AM1191" t="str">
        <f t="shared" si="75"/>
        <v>2000-3000</v>
      </c>
    </row>
    <row r="1192" spans="1:39" x14ac:dyDescent="0.2">
      <c r="A1192" s="44">
        <v>43758</v>
      </c>
      <c r="B1192" s="48">
        <v>0.39305555555555555</v>
      </c>
      <c r="C1192" s="48"/>
      <c r="D1192" s="48" t="s">
        <v>150</v>
      </c>
      <c r="E1192" s="13">
        <v>2</v>
      </c>
      <c r="F1192" s="38" t="str">
        <f>VLOOKUP(E1192,[5]Key!$A$17:$B$21,2,FALSE)</f>
        <v>Road Vehicle</v>
      </c>
      <c r="G1192" s="49">
        <v>6</v>
      </c>
      <c r="H1192" s="39" t="str">
        <f>VLOOKUP(G1192,[5]Key!$A$2:$B$14,2,FALSE)</f>
        <v>Large Bus</v>
      </c>
      <c r="I1192" s="13" t="s">
        <v>156</v>
      </c>
      <c r="J1192" s="13">
        <v>2</v>
      </c>
      <c r="K1192" s="40" t="str">
        <f>VLOOKUP(J1192,[5]Key!$A$24:$B$29,2,FALSE)</f>
        <v>30-39</v>
      </c>
      <c r="L1192" s="13" t="s">
        <v>773</v>
      </c>
      <c r="M1192" s="23" t="s">
        <v>439</v>
      </c>
      <c r="N1192" s="13" t="s">
        <v>221</v>
      </c>
      <c r="O1192" s="46">
        <v>6</v>
      </c>
      <c r="P1192" s="30" t="str">
        <f>VLOOKUP(O1192,[5]Key!$E$2:$F$9,2,FALSE)</f>
        <v>Leisure/Social</v>
      </c>
      <c r="Q1192" s="13" t="s">
        <v>774</v>
      </c>
      <c r="R1192" s="23" t="s">
        <v>153</v>
      </c>
      <c r="S1192" s="13" t="s">
        <v>221</v>
      </c>
      <c r="T1192" s="23">
        <v>1</v>
      </c>
      <c r="U1192" s="30" t="str">
        <f>VLOOKUP(T1192,[5]Key!$E$2:$F$9,2,FALSE)</f>
        <v>Home</v>
      </c>
      <c r="V1192" s="30" t="str">
        <f t="shared" si="72"/>
        <v>Leisure/Social-Home</v>
      </c>
      <c r="W1192" s="23">
        <v>19000</v>
      </c>
      <c r="X1192" s="50"/>
      <c r="Y1192" s="50" t="str">
        <f t="shared" si="73"/>
        <v>0-10</v>
      </c>
      <c r="Z1192" s="50">
        <v>5</v>
      </c>
      <c r="AA1192" s="50" t="str">
        <f t="shared" si="74"/>
        <v>Over 3.5</v>
      </c>
      <c r="AB1192" s="23">
        <v>4</v>
      </c>
      <c r="AC1192" s="30" t="str">
        <f>VLOOKUP(AB1192,[5]Key!$C$20:$D$29,2,FALSE)</f>
        <v>Office Worker</v>
      </c>
      <c r="AD1192" s="23">
        <v>3</v>
      </c>
      <c r="AE1192" s="30" t="str">
        <f>VLOOKUP(AD1192,[5]Key!$E$20:$F$24,2,FALSE)</f>
        <v>500,000-750,000</v>
      </c>
      <c r="AF1192" s="23">
        <v>3</v>
      </c>
      <c r="AG1192" s="50">
        <v>4</v>
      </c>
      <c r="AH1192" s="50">
        <v>2</v>
      </c>
      <c r="AI1192" s="50">
        <v>1</v>
      </c>
      <c r="AJ1192" s="50">
        <v>5</v>
      </c>
      <c r="AK1192" s="46" t="s">
        <v>94</v>
      </c>
      <c r="AL1192" s="36">
        <v>3000</v>
      </c>
      <c r="AM1192" t="str">
        <f t="shared" si="75"/>
        <v>3000-5000</v>
      </c>
    </row>
    <row r="1193" spans="1:39" x14ac:dyDescent="0.2">
      <c r="A1193" s="44">
        <v>43758</v>
      </c>
      <c r="B1193" s="48">
        <v>0.35972222222222222</v>
      </c>
      <c r="C1193" s="48"/>
      <c r="D1193" s="48" t="s">
        <v>150</v>
      </c>
      <c r="E1193" s="13">
        <v>2</v>
      </c>
      <c r="F1193" s="38" t="str">
        <f>VLOOKUP(E1193,[5]Key!$A$17:$B$21,2,FALSE)</f>
        <v>Road Vehicle</v>
      </c>
      <c r="G1193" s="49">
        <v>6</v>
      </c>
      <c r="H1193" s="39" t="str">
        <f>VLOOKUP(G1193,[5]Key!$A$2:$B$14,2,FALSE)</f>
        <v>Large Bus</v>
      </c>
      <c r="I1193" s="13" t="s">
        <v>156</v>
      </c>
      <c r="J1193" s="13">
        <v>2</v>
      </c>
      <c r="K1193" s="40" t="str">
        <f>VLOOKUP(J1193,[5]Key!$A$24:$B$29,2,FALSE)</f>
        <v>30-39</v>
      </c>
      <c r="L1193" s="13" t="s">
        <v>742</v>
      </c>
      <c r="M1193" s="23" t="s">
        <v>452</v>
      </c>
      <c r="N1193" s="13" t="s">
        <v>221</v>
      </c>
      <c r="O1193" s="46">
        <v>1</v>
      </c>
      <c r="P1193" s="30" t="str">
        <f>VLOOKUP(O1193,[5]Key!$E$2:$F$9,2,FALSE)</f>
        <v>Home</v>
      </c>
      <c r="Q1193" s="13"/>
      <c r="R1193" s="23"/>
      <c r="S1193" s="13" t="s">
        <v>221</v>
      </c>
      <c r="T1193" s="23">
        <v>6</v>
      </c>
      <c r="U1193" s="30" t="str">
        <f>VLOOKUP(T1193,[5]Key!$E$2:$F$9,2,FALSE)</f>
        <v>Leisure/Social</v>
      </c>
      <c r="V1193" s="30" t="str">
        <f t="shared" si="72"/>
        <v>Home-Leisure/Social</v>
      </c>
      <c r="W1193" s="23">
        <v>35000</v>
      </c>
      <c r="X1193" s="50">
        <v>460</v>
      </c>
      <c r="Y1193" s="50" t="str">
        <f t="shared" si="73"/>
        <v>Over 200</v>
      </c>
      <c r="Z1193" s="50">
        <v>9</v>
      </c>
      <c r="AA1193" s="50" t="str">
        <f t="shared" si="74"/>
        <v>Over 3.5</v>
      </c>
      <c r="AB1193" s="23">
        <v>7</v>
      </c>
      <c r="AC1193" s="30" t="str">
        <f>VLOOKUP(AB1193,[5]Key!$C$20:$D$29,2,FALSE)</f>
        <v>Farmer</v>
      </c>
      <c r="AD1193" s="23">
        <v>3</v>
      </c>
      <c r="AE1193" s="30" t="str">
        <f>VLOOKUP(AD1193,[5]Key!$E$20:$F$24,2,FALSE)</f>
        <v>500,000-750,000</v>
      </c>
      <c r="AF1193" s="23">
        <v>1</v>
      </c>
      <c r="AG1193" s="50">
        <v>2</v>
      </c>
      <c r="AH1193" s="50">
        <v>3</v>
      </c>
      <c r="AI1193" s="50">
        <v>4</v>
      </c>
      <c r="AJ1193" s="50">
        <v>5</v>
      </c>
      <c r="AK1193" s="46" t="s">
        <v>94</v>
      </c>
      <c r="AL1193" s="36">
        <v>2000</v>
      </c>
      <c r="AM1193" t="str">
        <f t="shared" si="75"/>
        <v>2000-3000</v>
      </c>
    </row>
    <row r="1194" spans="1:39" x14ac:dyDescent="0.2">
      <c r="A1194" s="44">
        <v>43758</v>
      </c>
      <c r="B1194" s="48">
        <v>0.42569444444444443</v>
      </c>
      <c r="C1194" s="48"/>
      <c r="D1194" s="48" t="s">
        <v>150</v>
      </c>
      <c r="E1194" s="13">
        <v>2</v>
      </c>
      <c r="F1194" s="38" t="str">
        <f>VLOOKUP(E1194,[5]Key!$A$17:$B$21,2,FALSE)</f>
        <v>Road Vehicle</v>
      </c>
      <c r="G1194" s="49">
        <v>6</v>
      </c>
      <c r="H1194" s="39" t="str">
        <f>VLOOKUP(G1194,[5]Key!$A$2:$B$14,2,FALSE)</f>
        <v>Large Bus</v>
      </c>
      <c r="I1194" s="13" t="s">
        <v>156</v>
      </c>
      <c r="J1194" s="13">
        <v>2</v>
      </c>
      <c r="K1194" s="40" t="str">
        <f>VLOOKUP(J1194,[5]Key!$A$24:$B$29,2,FALSE)</f>
        <v>30-39</v>
      </c>
      <c r="L1194" s="13" t="s">
        <v>708</v>
      </c>
      <c r="M1194" s="23" t="s">
        <v>708</v>
      </c>
      <c r="N1194" s="13" t="s">
        <v>221</v>
      </c>
      <c r="O1194" s="46">
        <v>4</v>
      </c>
      <c r="P1194" s="30" t="str">
        <f>VLOOKUP(O1194,[5]Key!$E$2:$F$9,2,FALSE)</f>
        <v>Commercial</v>
      </c>
      <c r="Q1194" s="13" t="s">
        <v>168</v>
      </c>
      <c r="R1194" s="23" t="s">
        <v>168</v>
      </c>
      <c r="S1194" s="13" t="s">
        <v>221</v>
      </c>
      <c r="T1194" s="23">
        <v>4</v>
      </c>
      <c r="U1194" s="30" t="str">
        <f>VLOOKUP(T1194,[5]Key!$E$2:$F$9,2,FALSE)</f>
        <v>Commercial</v>
      </c>
      <c r="V1194" s="30" t="str">
        <f t="shared" si="72"/>
        <v>Commercial-Commercial</v>
      </c>
      <c r="W1194" s="23">
        <v>33000</v>
      </c>
      <c r="X1194" s="50"/>
      <c r="Y1194" s="50" t="str">
        <f t="shared" si="73"/>
        <v>0-10</v>
      </c>
      <c r="Z1194" s="50">
        <v>24</v>
      </c>
      <c r="AA1194" s="50" t="str">
        <f t="shared" si="74"/>
        <v>Over 3.5</v>
      </c>
      <c r="AB1194" s="23">
        <v>6</v>
      </c>
      <c r="AC1194" s="30" t="str">
        <f>VLOOKUP(AB1194,[5]Key!$C$20:$D$29,2,FALSE)</f>
        <v>Businessman</v>
      </c>
      <c r="AD1194" s="23">
        <v>2</v>
      </c>
      <c r="AE1194" s="30" t="str">
        <f>VLOOKUP(AD1194,[5]Key!$E$20:$F$24,2,FALSE)</f>
        <v>300,000-500,000</v>
      </c>
      <c r="AF1194" s="23">
        <v>5</v>
      </c>
      <c r="AG1194" s="50">
        <v>1</v>
      </c>
      <c r="AH1194" s="50">
        <v>2</v>
      </c>
      <c r="AI1194" s="50">
        <v>3</v>
      </c>
      <c r="AJ1194" s="50">
        <v>4</v>
      </c>
      <c r="AK1194" s="46" t="s">
        <v>94</v>
      </c>
      <c r="AL1194" s="36">
        <v>2000</v>
      </c>
      <c r="AM1194" t="str">
        <f t="shared" si="75"/>
        <v>2000-3000</v>
      </c>
    </row>
    <row r="1195" spans="1:39" x14ac:dyDescent="0.2">
      <c r="A1195" s="44">
        <v>43758</v>
      </c>
      <c r="B1195" s="48">
        <v>0.75208333333333333</v>
      </c>
      <c r="C1195" s="48"/>
      <c r="D1195" s="48" t="s">
        <v>150</v>
      </c>
      <c r="E1195" s="13">
        <v>2</v>
      </c>
      <c r="F1195" s="38" t="str">
        <f>VLOOKUP(E1195,[5]Key!$A$17:$B$21,2,FALSE)</f>
        <v>Road Vehicle</v>
      </c>
      <c r="G1195" s="49">
        <v>6</v>
      </c>
      <c r="H1195" s="39" t="str">
        <f>VLOOKUP(G1195,[5]Key!$A$2:$B$14,2,FALSE)</f>
        <v>Large Bus</v>
      </c>
      <c r="I1195" s="13" t="s">
        <v>156</v>
      </c>
      <c r="J1195" s="13">
        <v>2</v>
      </c>
      <c r="K1195" s="40" t="str">
        <f>VLOOKUP(J1195,[5]Key!$A$24:$B$29,2,FALSE)</f>
        <v>30-39</v>
      </c>
      <c r="L1195" s="13" t="s">
        <v>742</v>
      </c>
      <c r="M1195" s="23" t="s">
        <v>452</v>
      </c>
      <c r="N1195" s="13" t="s">
        <v>221</v>
      </c>
      <c r="O1195" s="46">
        <v>4</v>
      </c>
      <c r="P1195" s="30" t="str">
        <f>VLOOKUP(O1195,[5]Key!$E$2:$F$9,2,FALSE)</f>
        <v>Commercial</v>
      </c>
      <c r="Q1195" s="13" t="s">
        <v>153</v>
      </c>
      <c r="R1195" s="23" t="s">
        <v>153</v>
      </c>
      <c r="S1195" s="13" t="s">
        <v>221</v>
      </c>
      <c r="T1195" s="23">
        <v>3</v>
      </c>
      <c r="U1195" s="30" t="str">
        <f>VLOOKUP(T1195,[5]Key!$E$2:$F$9,2,FALSE)</f>
        <v>Study</v>
      </c>
      <c r="V1195" s="30" t="str">
        <f t="shared" si="72"/>
        <v>Commercial-Study</v>
      </c>
      <c r="W1195" s="23">
        <v>30000</v>
      </c>
      <c r="X1195" s="50">
        <v>341</v>
      </c>
      <c r="Y1195" s="50" t="str">
        <f t="shared" si="73"/>
        <v>Over 200</v>
      </c>
      <c r="Z1195" s="50">
        <v>8</v>
      </c>
      <c r="AA1195" s="50" t="str">
        <f t="shared" si="74"/>
        <v>Over 3.5</v>
      </c>
      <c r="AB1195" s="23">
        <v>6</v>
      </c>
      <c r="AC1195" s="30" t="str">
        <f>VLOOKUP(AB1195,[5]Key!$C$20:$D$29,2,FALSE)</f>
        <v>Businessman</v>
      </c>
      <c r="AD1195" s="23">
        <v>2</v>
      </c>
      <c r="AE1195" s="30" t="str">
        <f>VLOOKUP(AD1195,[5]Key!$E$20:$F$24,2,FALSE)</f>
        <v>300,000-500,000</v>
      </c>
      <c r="AF1195" s="23">
        <v>2</v>
      </c>
      <c r="AG1195" s="50">
        <v>3</v>
      </c>
      <c r="AH1195" s="50">
        <v>5</v>
      </c>
      <c r="AI1195" s="50">
        <v>1</v>
      </c>
      <c r="AJ1195" s="50">
        <v>4</v>
      </c>
      <c r="AK1195" s="46" t="s">
        <v>94</v>
      </c>
      <c r="AL1195" s="36"/>
      <c r="AM1195" t="str">
        <f t="shared" si="75"/>
        <v>0-1000</v>
      </c>
    </row>
    <row r="1196" spans="1:39" x14ac:dyDescent="0.2">
      <c r="A1196" s="44">
        <v>43758</v>
      </c>
      <c r="B1196" s="48">
        <v>0.32013888888888892</v>
      </c>
      <c r="C1196" s="48"/>
      <c r="D1196" s="48" t="s">
        <v>150</v>
      </c>
      <c r="E1196" s="13">
        <v>2</v>
      </c>
      <c r="F1196" s="38" t="str">
        <f>VLOOKUP(E1196,[5]Key!$A$17:$B$21,2,FALSE)</f>
        <v>Road Vehicle</v>
      </c>
      <c r="G1196" s="49">
        <v>6</v>
      </c>
      <c r="H1196" s="39" t="str">
        <f>VLOOKUP(G1196,[5]Key!$A$2:$B$14,2,FALSE)</f>
        <v>Large Bus</v>
      </c>
      <c r="I1196" s="13" t="s">
        <v>109</v>
      </c>
      <c r="J1196" s="13">
        <v>2</v>
      </c>
      <c r="K1196" s="40" t="str">
        <f>VLOOKUP(J1196,[5]Key!$A$24:$B$29,2,FALSE)</f>
        <v>30-39</v>
      </c>
      <c r="L1196" s="13" t="s">
        <v>775</v>
      </c>
      <c r="M1196" s="23" t="s">
        <v>183</v>
      </c>
      <c r="N1196" s="13" t="s">
        <v>221</v>
      </c>
      <c r="O1196" s="46">
        <v>6</v>
      </c>
      <c r="P1196" s="30" t="str">
        <f>VLOOKUP(O1196,[5]Key!$E$2:$F$9,2,FALSE)</f>
        <v>Leisure/Social</v>
      </c>
      <c r="Q1196" s="13" t="s">
        <v>772</v>
      </c>
      <c r="R1196" s="23" t="s">
        <v>153</v>
      </c>
      <c r="S1196" s="13" t="s">
        <v>221</v>
      </c>
      <c r="T1196" s="23">
        <v>1</v>
      </c>
      <c r="U1196" s="30" t="str">
        <f>VLOOKUP(T1196,[5]Key!$E$2:$F$9,2,FALSE)</f>
        <v>Home</v>
      </c>
      <c r="V1196" s="30" t="str">
        <f t="shared" si="72"/>
        <v>Leisure/Social-Home</v>
      </c>
      <c r="W1196" s="23">
        <v>35000</v>
      </c>
      <c r="X1196" s="50"/>
      <c r="Y1196" s="50" t="str">
        <f t="shared" si="73"/>
        <v>0-10</v>
      </c>
      <c r="Z1196" s="50">
        <v>10</v>
      </c>
      <c r="AA1196" s="50" t="str">
        <f t="shared" si="74"/>
        <v>Over 3.5</v>
      </c>
      <c r="AB1196" s="23">
        <v>6</v>
      </c>
      <c r="AC1196" s="30" t="str">
        <f>VLOOKUP(AB1196,[5]Key!$C$20:$D$29,2,FALSE)</f>
        <v>Businessman</v>
      </c>
      <c r="AD1196" s="23">
        <v>4</v>
      </c>
      <c r="AE1196" s="30" t="str">
        <f>VLOOKUP(AD1196,[5]Key!$E$20:$F$24,2,FALSE)</f>
        <v>750,000-1,000,000</v>
      </c>
      <c r="AF1196" s="23">
        <v>3</v>
      </c>
      <c r="AG1196" s="50">
        <v>1</v>
      </c>
      <c r="AH1196" s="50">
        <v>2</v>
      </c>
      <c r="AI1196" s="50">
        <v>4</v>
      </c>
      <c r="AJ1196" s="50">
        <v>5</v>
      </c>
      <c r="AK1196" s="46" t="s">
        <v>94</v>
      </c>
      <c r="AL1196" s="36">
        <v>1000</v>
      </c>
      <c r="AM1196" t="str">
        <f t="shared" si="75"/>
        <v>1000-2000</v>
      </c>
    </row>
    <row r="1197" spans="1:39" x14ac:dyDescent="0.2">
      <c r="A1197" s="44">
        <v>43758</v>
      </c>
      <c r="B1197" s="48">
        <v>0.43194444444444446</v>
      </c>
      <c r="C1197" s="48"/>
      <c r="D1197" s="48" t="s">
        <v>150</v>
      </c>
      <c r="E1197" s="13">
        <v>2</v>
      </c>
      <c r="F1197" s="38" t="str">
        <f>VLOOKUP(E1197,[5]Key!$A$17:$B$21,2,FALSE)</f>
        <v>Road Vehicle</v>
      </c>
      <c r="G1197" s="49">
        <v>6</v>
      </c>
      <c r="H1197" s="39" t="str">
        <f>VLOOKUP(G1197,[5]Key!$A$2:$B$14,2,FALSE)</f>
        <v>Large Bus</v>
      </c>
      <c r="I1197" s="13" t="s">
        <v>109</v>
      </c>
      <c r="J1197" s="13">
        <v>2</v>
      </c>
      <c r="K1197" s="40" t="str">
        <f>VLOOKUP(J1197,[5]Key!$A$24:$B$29,2,FALSE)</f>
        <v>30-39</v>
      </c>
      <c r="L1197" s="13" t="s">
        <v>742</v>
      </c>
      <c r="M1197" s="23" t="s">
        <v>452</v>
      </c>
      <c r="N1197" s="13" t="s">
        <v>221</v>
      </c>
      <c r="O1197" s="46">
        <v>1</v>
      </c>
      <c r="P1197" s="30" t="str">
        <f>VLOOKUP(O1197,[5]Key!$E$2:$F$9,2,FALSE)</f>
        <v>Home</v>
      </c>
      <c r="Q1197" s="13" t="s">
        <v>776</v>
      </c>
      <c r="R1197" s="23" t="s">
        <v>168</v>
      </c>
      <c r="S1197" s="13" t="s">
        <v>221</v>
      </c>
      <c r="T1197" s="23">
        <v>4</v>
      </c>
      <c r="U1197" s="30" t="str">
        <f>VLOOKUP(T1197,[5]Key!$E$2:$F$9,2,FALSE)</f>
        <v>Commercial</v>
      </c>
      <c r="V1197" s="30" t="str">
        <f t="shared" si="72"/>
        <v>Home-Commercial</v>
      </c>
      <c r="W1197" s="23">
        <v>35000</v>
      </c>
      <c r="X1197" s="50"/>
      <c r="Y1197" s="50" t="str">
        <f t="shared" si="73"/>
        <v>0-10</v>
      </c>
      <c r="Z1197" s="50">
        <v>10</v>
      </c>
      <c r="AA1197" s="50" t="str">
        <f t="shared" si="74"/>
        <v>Over 3.5</v>
      </c>
      <c r="AB1197" s="23">
        <v>6</v>
      </c>
      <c r="AC1197" s="30" t="str">
        <f>VLOOKUP(AB1197,[5]Key!$C$20:$D$29,2,FALSE)</f>
        <v>Businessman</v>
      </c>
      <c r="AD1197" s="23">
        <v>2</v>
      </c>
      <c r="AE1197" s="30" t="str">
        <f>VLOOKUP(AD1197,[5]Key!$E$20:$F$24,2,FALSE)</f>
        <v>300,000-500,000</v>
      </c>
      <c r="AF1197" s="23">
        <v>2</v>
      </c>
      <c r="AG1197" s="50">
        <v>5</v>
      </c>
      <c r="AH1197" s="50">
        <v>3</v>
      </c>
      <c r="AI1197" s="50">
        <v>1</v>
      </c>
      <c r="AJ1197" s="50">
        <v>4</v>
      </c>
      <c r="AK1197" s="46" t="s">
        <v>94</v>
      </c>
      <c r="AL1197" s="36">
        <v>1000</v>
      </c>
      <c r="AM1197" t="str">
        <f t="shared" si="75"/>
        <v>1000-2000</v>
      </c>
    </row>
    <row r="1198" spans="1:39" x14ac:dyDescent="0.2">
      <c r="A1198" s="44">
        <v>43758</v>
      </c>
      <c r="B1198" s="48">
        <v>0.34375</v>
      </c>
      <c r="C1198" s="48"/>
      <c r="D1198" s="48" t="s">
        <v>150</v>
      </c>
      <c r="E1198" s="13">
        <v>2</v>
      </c>
      <c r="F1198" s="38" t="str">
        <f>VLOOKUP(E1198,[5]Key!$A$17:$B$21,2,FALSE)</f>
        <v>Road Vehicle</v>
      </c>
      <c r="G1198" s="49">
        <v>6</v>
      </c>
      <c r="H1198" s="39" t="str">
        <f>VLOOKUP(G1198,[5]Key!$A$2:$B$14,2,FALSE)</f>
        <v>Large Bus</v>
      </c>
      <c r="I1198" s="13" t="s">
        <v>109</v>
      </c>
      <c r="J1198" s="13">
        <v>2</v>
      </c>
      <c r="K1198" s="40" t="str">
        <f>VLOOKUP(J1198,[5]Key!$A$24:$B$29,2,FALSE)</f>
        <v>30-39</v>
      </c>
      <c r="L1198" s="13" t="s">
        <v>748</v>
      </c>
      <c r="M1198" s="23" t="s">
        <v>452</v>
      </c>
      <c r="N1198" s="13" t="s">
        <v>221</v>
      </c>
      <c r="O1198" s="46">
        <v>4</v>
      </c>
      <c r="P1198" s="30" t="str">
        <f>VLOOKUP(O1198,[5]Key!$E$2:$F$9,2,FALSE)</f>
        <v>Commercial</v>
      </c>
      <c r="Q1198" s="13" t="s">
        <v>421</v>
      </c>
      <c r="R1198" s="23" t="s">
        <v>421</v>
      </c>
      <c r="S1198" s="13" t="s">
        <v>221</v>
      </c>
      <c r="T1198" s="23">
        <v>4</v>
      </c>
      <c r="U1198" s="30" t="str">
        <f>VLOOKUP(T1198,[5]Key!$E$2:$F$9,2,FALSE)</f>
        <v>Commercial</v>
      </c>
      <c r="V1198" s="30" t="str">
        <f t="shared" si="72"/>
        <v>Commercial-Commercial</v>
      </c>
      <c r="W1198" s="23">
        <v>15000</v>
      </c>
      <c r="X1198" s="50">
        <v>255</v>
      </c>
      <c r="Y1198" s="50" t="str">
        <f t="shared" si="73"/>
        <v>Over 200</v>
      </c>
      <c r="Z1198" s="50">
        <v>2</v>
      </c>
      <c r="AA1198" s="50" t="str">
        <f t="shared" si="74"/>
        <v>2.0-3.5</v>
      </c>
      <c r="AB1198" s="23">
        <v>6</v>
      </c>
      <c r="AC1198" s="30" t="str">
        <f>VLOOKUP(AB1198,[5]Key!$C$20:$D$29,2,FALSE)</f>
        <v>Businessman</v>
      </c>
      <c r="AD1198" s="23">
        <v>2</v>
      </c>
      <c r="AE1198" s="30" t="str">
        <f>VLOOKUP(AD1198,[5]Key!$E$20:$F$24,2,FALSE)</f>
        <v>300,000-500,000</v>
      </c>
      <c r="AF1198" s="23">
        <v>2</v>
      </c>
      <c r="AG1198" s="50">
        <v>1</v>
      </c>
      <c r="AH1198" s="50">
        <v>4</v>
      </c>
      <c r="AI1198" s="50">
        <v>3</v>
      </c>
      <c r="AJ1198" s="50">
        <v>5</v>
      </c>
      <c r="AK1198" s="46" t="s">
        <v>94</v>
      </c>
      <c r="AL1198" s="36">
        <v>1000</v>
      </c>
      <c r="AM1198" t="str">
        <f t="shared" si="75"/>
        <v>1000-2000</v>
      </c>
    </row>
    <row r="1199" spans="1:39" x14ac:dyDescent="0.2">
      <c r="A1199" s="44">
        <v>43758</v>
      </c>
      <c r="B1199" s="48">
        <v>0.35625000000000001</v>
      </c>
      <c r="C1199" s="48"/>
      <c r="D1199" s="48" t="s">
        <v>150</v>
      </c>
      <c r="E1199" s="13">
        <v>2</v>
      </c>
      <c r="F1199" s="38" t="str">
        <f>VLOOKUP(E1199,[5]Key!$A$17:$B$21,2,FALSE)</f>
        <v>Road Vehicle</v>
      </c>
      <c r="G1199" s="49">
        <v>6</v>
      </c>
      <c r="H1199" s="39" t="str">
        <f>VLOOKUP(G1199,[5]Key!$A$2:$B$14,2,FALSE)</f>
        <v>Large Bus</v>
      </c>
      <c r="I1199" s="13" t="s">
        <v>109</v>
      </c>
      <c r="J1199" s="13">
        <v>2</v>
      </c>
      <c r="K1199" s="40" t="str">
        <f>VLOOKUP(J1199,[5]Key!$A$24:$B$29,2,FALSE)</f>
        <v>30-39</v>
      </c>
      <c r="L1199" s="13" t="s">
        <v>742</v>
      </c>
      <c r="M1199" s="23" t="s">
        <v>452</v>
      </c>
      <c r="N1199" s="13" t="s">
        <v>221</v>
      </c>
      <c r="O1199" s="46">
        <v>1</v>
      </c>
      <c r="P1199" s="30" t="str">
        <f>VLOOKUP(O1199,[5]Key!$E$2:$F$9,2,FALSE)</f>
        <v>Home</v>
      </c>
      <c r="Q1199" s="13" t="s">
        <v>744</v>
      </c>
      <c r="R1199" s="23" t="s">
        <v>153</v>
      </c>
      <c r="S1199" s="13" t="s">
        <v>221</v>
      </c>
      <c r="T1199" s="23">
        <v>4</v>
      </c>
      <c r="U1199" s="30" t="str">
        <f>VLOOKUP(T1199,[5]Key!$E$2:$F$9,2,FALSE)</f>
        <v>Commercial</v>
      </c>
      <c r="V1199" s="30" t="str">
        <f t="shared" si="72"/>
        <v>Home-Commercial</v>
      </c>
      <c r="W1199" s="23">
        <v>30000</v>
      </c>
      <c r="X1199" s="50">
        <v>432</v>
      </c>
      <c r="Y1199" s="50" t="str">
        <f t="shared" si="73"/>
        <v>Over 200</v>
      </c>
      <c r="Z1199" s="50">
        <v>8</v>
      </c>
      <c r="AA1199" s="50" t="str">
        <f t="shared" si="74"/>
        <v>Over 3.5</v>
      </c>
      <c r="AB1199" s="23">
        <v>6</v>
      </c>
      <c r="AC1199" s="30" t="str">
        <f>VLOOKUP(AB1199,[5]Key!$C$20:$D$29,2,FALSE)</f>
        <v>Businessman</v>
      </c>
      <c r="AD1199" s="23">
        <v>5</v>
      </c>
      <c r="AE1199" s="30" t="str">
        <f>VLOOKUP(AD1199,[5]Key!$E$20:$F$24,2,FALSE)</f>
        <v>&gt;1,000,000</v>
      </c>
      <c r="AF1199" s="23">
        <v>2</v>
      </c>
      <c r="AG1199" s="50">
        <v>1</v>
      </c>
      <c r="AH1199" s="50">
        <v>4</v>
      </c>
      <c r="AI1199" s="50">
        <v>3</v>
      </c>
      <c r="AJ1199" s="50">
        <v>5</v>
      </c>
      <c r="AK1199" s="46" t="s">
        <v>94</v>
      </c>
      <c r="AL1199" s="36"/>
      <c r="AM1199" t="str">
        <f t="shared" si="75"/>
        <v>0-1000</v>
      </c>
    </row>
    <row r="1200" spans="1:39" x14ac:dyDescent="0.2">
      <c r="A1200" s="44">
        <v>43758</v>
      </c>
      <c r="B1200" s="48">
        <v>0.48749999999999999</v>
      </c>
      <c r="C1200" s="48"/>
      <c r="D1200" s="48" t="s">
        <v>97</v>
      </c>
      <c r="E1200" s="13">
        <v>2</v>
      </c>
      <c r="F1200" s="38" t="str">
        <f>VLOOKUP(E1200,[5]Key!$A$17:$B$21,2,FALSE)</f>
        <v>Road Vehicle</v>
      </c>
      <c r="G1200" s="49">
        <v>8</v>
      </c>
      <c r="H1200" s="39" t="str">
        <f>VLOOKUP(G1200,[5]Key!$A$2:$B$14,2,FALSE)</f>
        <v xml:space="preserve">Medium Truck </v>
      </c>
      <c r="I1200" s="13" t="s">
        <v>109</v>
      </c>
      <c r="J1200" s="13">
        <v>2</v>
      </c>
      <c r="K1200" s="40" t="str">
        <f>VLOOKUP(J1200,[5]Key!$A$24:$B$29,2,FALSE)</f>
        <v>30-39</v>
      </c>
      <c r="L1200" s="13" t="s">
        <v>734</v>
      </c>
      <c r="M1200" s="23" t="s">
        <v>488</v>
      </c>
      <c r="N1200" s="13" t="s">
        <v>221</v>
      </c>
      <c r="O1200" s="46">
        <v>1</v>
      </c>
      <c r="P1200" s="30" t="str">
        <f>VLOOKUP(O1200,[5]Key!$E$2:$F$9,2,FALSE)</f>
        <v>Home</v>
      </c>
      <c r="Q1200" s="13" t="s">
        <v>153</v>
      </c>
      <c r="R1200" s="23" t="s">
        <v>153</v>
      </c>
      <c r="S1200" s="13" t="s">
        <v>221</v>
      </c>
      <c r="T1200" s="23">
        <v>4</v>
      </c>
      <c r="U1200" s="30" t="str">
        <f>VLOOKUP(T1200,[5]Key!$E$2:$F$9,2,FALSE)</f>
        <v>Commercial</v>
      </c>
      <c r="V1200" s="30" t="str">
        <f t="shared" si="72"/>
        <v>Home-Commercial</v>
      </c>
      <c r="W1200" s="23">
        <v>300000</v>
      </c>
      <c r="X1200" s="50">
        <v>368</v>
      </c>
      <c r="Y1200" s="50" t="str">
        <f t="shared" si="73"/>
        <v>Over 200</v>
      </c>
      <c r="Z1200" s="50">
        <v>8</v>
      </c>
      <c r="AA1200" s="50" t="str">
        <f t="shared" si="74"/>
        <v>Over 3.5</v>
      </c>
      <c r="AB1200" s="23">
        <v>6</v>
      </c>
      <c r="AC1200" s="30" t="str">
        <f>VLOOKUP(AB1200,[5]Key!$C$20:$D$29,2,FALSE)</f>
        <v>Businessman</v>
      </c>
      <c r="AD1200" s="23">
        <v>3</v>
      </c>
      <c r="AE1200" s="30" t="str">
        <f>VLOOKUP(AD1200,[5]Key!$E$20:$F$24,2,FALSE)</f>
        <v>500,000-750,000</v>
      </c>
      <c r="AF1200" s="23"/>
      <c r="AG1200" s="50"/>
      <c r="AH1200" s="50"/>
      <c r="AI1200" s="50"/>
      <c r="AJ1200" s="50"/>
      <c r="AK1200" s="46" t="s">
        <v>94</v>
      </c>
      <c r="AL1200" s="36">
        <v>5000</v>
      </c>
      <c r="AM1200" t="str">
        <f t="shared" si="75"/>
        <v>5000-10000</v>
      </c>
    </row>
    <row r="1201" spans="1:39" x14ac:dyDescent="0.2">
      <c r="A1201" s="44">
        <v>43756</v>
      </c>
      <c r="B1201" s="48">
        <v>0.63124999999999998</v>
      </c>
      <c r="C1201" s="48"/>
      <c r="D1201" s="48" t="s">
        <v>150</v>
      </c>
      <c r="E1201" s="13">
        <v>2</v>
      </c>
      <c r="F1201" s="38" t="str">
        <f>VLOOKUP(E1201,[5]Key!$A$17:$B$21,2,FALSE)</f>
        <v>Road Vehicle</v>
      </c>
      <c r="G1201" s="49">
        <v>4</v>
      </c>
      <c r="H1201" s="39" t="str">
        <f>VLOOKUP(G1201,[5]Key!$A$2:$B$14,2,FALSE)</f>
        <v>Minibus</v>
      </c>
      <c r="I1201" s="13" t="s">
        <v>156</v>
      </c>
      <c r="J1201" s="13">
        <v>2</v>
      </c>
      <c r="K1201" s="40" t="str">
        <f>VLOOKUP(J1201,[5]Key!$A$24:$B$29,2,FALSE)</f>
        <v>30-39</v>
      </c>
      <c r="L1201" s="13" t="s">
        <v>777</v>
      </c>
      <c r="M1201" s="23" t="s">
        <v>421</v>
      </c>
      <c r="N1201" s="13" t="s">
        <v>221</v>
      </c>
      <c r="O1201" s="46">
        <v>1</v>
      </c>
      <c r="P1201" s="30" t="str">
        <f>VLOOKUP(O1201,[5]Key!$E$2:$F$9,2,FALSE)</f>
        <v>Home</v>
      </c>
      <c r="Q1201" s="13" t="s">
        <v>719</v>
      </c>
      <c r="R1201" s="23" t="s">
        <v>421</v>
      </c>
      <c r="S1201" s="13" t="s">
        <v>221</v>
      </c>
      <c r="T1201" s="23">
        <v>6</v>
      </c>
      <c r="U1201" s="30" t="str">
        <f>VLOOKUP(T1201,[5]Key!$E$2:$F$9,2,FALSE)</f>
        <v>Leisure/Social</v>
      </c>
      <c r="V1201" s="30" t="str">
        <f t="shared" si="72"/>
        <v>Home-Leisure/Social</v>
      </c>
      <c r="W1201" s="41">
        <v>16000</v>
      </c>
      <c r="X1201" s="50"/>
      <c r="Y1201" s="50" t="str">
        <f t="shared" si="73"/>
        <v>0-10</v>
      </c>
      <c r="Z1201" s="50">
        <v>3</v>
      </c>
      <c r="AA1201" s="50" t="str">
        <f t="shared" si="74"/>
        <v>2.0-3.5</v>
      </c>
      <c r="AB1201" s="23">
        <v>4</v>
      </c>
      <c r="AC1201" s="30" t="str">
        <f>VLOOKUP(AB1201,[5]Key!$C$20:$D$29,2,FALSE)</f>
        <v>Office Worker</v>
      </c>
      <c r="AD1201" s="23">
        <v>2</v>
      </c>
      <c r="AE1201" s="30" t="str">
        <f>VLOOKUP(AD1201,[5]Key!$E$20:$F$24,2,FALSE)</f>
        <v>300,000-500,000</v>
      </c>
      <c r="AF1201" s="23">
        <v>3</v>
      </c>
      <c r="AG1201" s="50">
        <v>4</v>
      </c>
      <c r="AH1201" s="50">
        <v>2</v>
      </c>
      <c r="AI1201" s="50">
        <v>1</v>
      </c>
      <c r="AJ1201" s="50">
        <v>5</v>
      </c>
      <c r="AK1201" s="46" t="s">
        <v>94</v>
      </c>
      <c r="AL1201" s="36"/>
      <c r="AM1201" t="str">
        <f t="shared" si="75"/>
        <v>0-1000</v>
      </c>
    </row>
    <row r="1202" spans="1:39" x14ac:dyDescent="0.2">
      <c r="A1202" s="44">
        <v>43757</v>
      </c>
      <c r="B1202" s="48">
        <v>0.32291666666666669</v>
      </c>
      <c r="C1202" s="48"/>
      <c r="D1202" s="48" t="s">
        <v>150</v>
      </c>
      <c r="E1202" s="13">
        <v>2</v>
      </c>
      <c r="F1202" s="38" t="str">
        <f>VLOOKUP(E1202,[5]Key!$A$17:$B$21,2,FALSE)</f>
        <v>Road Vehicle</v>
      </c>
      <c r="G1202" s="49">
        <v>4</v>
      </c>
      <c r="H1202" s="39" t="str">
        <f>VLOOKUP(G1202,[5]Key!$A$2:$B$14,2,FALSE)</f>
        <v>Minibus</v>
      </c>
      <c r="I1202" s="13" t="s">
        <v>156</v>
      </c>
      <c r="J1202" s="13">
        <v>2</v>
      </c>
      <c r="K1202" s="40" t="str">
        <f>VLOOKUP(J1202,[5]Key!$A$24:$B$29,2,FALSE)</f>
        <v>30-39</v>
      </c>
      <c r="L1202" s="13" t="s">
        <v>778</v>
      </c>
      <c r="M1202" s="23" t="s">
        <v>439</v>
      </c>
      <c r="N1202" s="13" t="s">
        <v>221</v>
      </c>
      <c r="O1202" s="46">
        <v>1</v>
      </c>
      <c r="P1202" s="30" t="str">
        <f>VLOOKUP(O1202,[5]Key!$E$2:$F$9,2,FALSE)</f>
        <v>Home</v>
      </c>
      <c r="Q1202" s="13" t="s">
        <v>446</v>
      </c>
      <c r="R1202" s="23" t="s">
        <v>439</v>
      </c>
      <c r="S1202" s="13" t="s">
        <v>221</v>
      </c>
      <c r="T1202" s="23">
        <v>2</v>
      </c>
      <c r="U1202" s="30" t="str">
        <f>VLOOKUP(T1202,[5]Key!$E$2:$F$9,2,FALSE)</f>
        <v>Work</v>
      </c>
      <c r="V1202" s="30" t="str">
        <f t="shared" si="72"/>
        <v>Home-Work</v>
      </c>
      <c r="W1202" s="23">
        <v>2000</v>
      </c>
      <c r="X1202" s="50">
        <v>5</v>
      </c>
      <c r="Y1202" s="50" t="str">
        <f t="shared" si="73"/>
        <v>0-10</v>
      </c>
      <c r="Z1202" s="50">
        <v>0.2</v>
      </c>
      <c r="AA1202" s="50" t="str">
        <f t="shared" si="74"/>
        <v>0-0.5</v>
      </c>
      <c r="AB1202" s="23">
        <v>2</v>
      </c>
      <c r="AC1202" s="30" t="str">
        <f>VLOOKUP(AB1202,[5]Key!$C$20:$D$29,2,FALSE)</f>
        <v>Manual Labour</v>
      </c>
      <c r="AD1202" s="23">
        <v>1</v>
      </c>
      <c r="AE1202" s="30" t="str">
        <f>VLOOKUP(AD1202,[5]Key!$E$20:$F$24,2,FALSE)</f>
        <v>&lt;300,000</v>
      </c>
      <c r="AF1202" s="23">
        <v>5</v>
      </c>
      <c r="AG1202" s="50">
        <v>1</v>
      </c>
      <c r="AH1202" s="50">
        <v>2</v>
      </c>
      <c r="AI1202" s="50">
        <v>4</v>
      </c>
      <c r="AJ1202" s="50">
        <v>3</v>
      </c>
      <c r="AK1202" s="46" t="s">
        <v>94</v>
      </c>
      <c r="AL1202" s="36">
        <v>2000</v>
      </c>
      <c r="AM1202" t="str">
        <f t="shared" si="75"/>
        <v>2000-3000</v>
      </c>
    </row>
    <row r="1203" spans="1:39" x14ac:dyDescent="0.2">
      <c r="A1203" s="44">
        <v>43757</v>
      </c>
      <c r="B1203" s="48">
        <v>0.32777777777777778</v>
      </c>
      <c r="C1203" s="48"/>
      <c r="D1203" s="48" t="s">
        <v>150</v>
      </c>
      <c r="E1203" s="13">
        <v>2</v>
      </c>
      <c r="F1203" s="38" t="str">
        <f>VLOOKUP(E1203,[5]Key!$A$17:$B$21,2,FALSE)</f>
        <v>Road Vehicle</v>
      </c>
      <c r="G1203" s="49">
        <v>4</v>
      </c>
      <c r="H1203" s="39" t="str">
        <f>VLOOKUP(G1203,[5]Key!$A$2:$B$14,2,FALSE)</f>
        <v>Minibus</v>
      </c>
      <c r="I1203" s="13" t="s">
        <v>156</v>
      </c>
      <c r="J1203" s="13">
        <v>2</v>
      </c>
      <c r="K1203" s="40" t="str">
        <f>VLOOKUP(J1203,[5]Key!$A$24:$B$29,2,FALSE)</f>
        <v>30-39</v>
      </c>
      <c r="L1203" s="13" t="s">
        <v>779</v>
      </c>
      <c r="M1203" s="23" t="s">
        <v>439</v>
      </c>
      <c r="N1203" s="13" t="s">
        <v>221</v>
      </c>
      <c r="O1203" s="46">
        <v>1</v>
      </c>
      <c r="P1203" s="30" t="str">
        <f>VLOOKUP(O1203,[5]Key!$E$2:$F$9,2,FALSE)</f>
        <v>Home</v>
      </c>
      <c r="Q1203" s="13" t="s">
        <v>463</v>
      </c>
      <c r="R1203" s="23" t="s">
        <v>463</v>
      </c>
      <c r="S1203" s="13" t="s">
        <v>221</v>
      </c>
      <c r="T1203" s="23">
        <v>8</v>
      </c>
      <c r="U1203" s="30" t="str">
        <f>VLOOKUP(T1203,[5]Key!$E$2:$F$9,2,FALSE)</f>
        <v>Others</v>
      </c>
      <c r="V1203" s="30" t="str">
        <f t="shared" si="72"/>
        <v>Home-Others</v>
      </c>
      <c r="W1203" s="23">
        <v>6000</v>
      </c>
      <c r="X1203" s="50">
        <v>50</v>
      </c>
      <c r="Y1203" s="50" t="str">
        <f t="shared" si="73"/>
        <v>40-70</v>
      </c>
      <c r="Z1203" s="50">
        <v>1</v>
      </c>
      <c r="AA1203" s="50" t="str">
        <f t="shared" si="74"/>
        <v>1.0-2.0</v>
      </c>
      <c r="AB1203" s="23">
        <v>7</v>
      </c>
      <c r="AC1203" s="30" t="str">
        <f>VLOOKUP(AB1203,[5]Key!$C$20:$D$29,2,FALSE)</f>
        <v>Farmer</v>
      </c>
      <c r="AD1203" s="23">
        <v>1</v>
      </c>
      <c r="AE1203" s="30" t="str">
        <f>VLOOKUP(AD1203,[5]Key!$E$20:$F$24,2,FALSE)</f>
        <v>&lt;300,000</v>
      </c>
      <c r="AF1203" s="23">
        <v>1</v>
      </c>
      <c r="AG1203" s="50">
        <v>2</v>
      </c>
      <c r="AH1203" s="50">
        <v>5</v>
      </c>
      <c r="AI1203" s="50">
        <v>4</v>
      </c>
      <c r="AJ1203" s="50">
        <v>3</v>
      </c>
      <c r="AK1203" s="46" t="s">
        <v>94</v>
      </c>
      <c r="AL1203" s="36"/>
      <c r="AM1203" t="str">
        <f t="shared" si="75"/>
        <v>0-1000</v>
      </c>
    </row>
    <row r="1204" spans="1:39" x14ac:dyDescent="0.2">
      <c r="A1204" s="44">
        <v>43757</v>
      </c>
      <c r="B1204" s="48">
        <v>0.34027777777777773</v>
      </c>
      <c r="C1204" s="48"/>
      <c r="D1204" s="48" t="s">
        <v>150</v>
      </c>
      <c r="E1204" s="13">
        <v>2</v>
      </c>
      <c r="F1204" s="38" t="str">
        <f>VLOOKUP(E1204,[5]Key!$A$17:$B$21,2,FALSE)</f>
        <v>Road Vehicle</v>
      </c>
      <c r="G1204" s="49">
        <v>4</v>
      </c>
      <c r="H1204" s="39" t="str">
        <f>VLOOKUP(G1204,[5]Key!$A$2:$B$14,2,FALSE)</f>
        <v>Minibus</v>
      </c>
      <c r="I1204" s="13" t="s">
        <v>156</v>
      </c>
      <c r="J1204" s="13">
        <v>2</v>
      </c>
      <c r="K1204" s="40" t="str">
        <f>VLOOKUP(J1204,[5]Key!$A$24:$B$29,2,FALSE)</f>
        <v>30-39</v>
      </c>
      <c r="L1204" s="13" t="s">
        <v>421</v>
      </c>
      <c r="M1204" s="23" t="s">
        <v>421</v>
      </c>
      <c r="N1204" s="13" t="s">
        <v>221</v>
      </c>
      <c r="O1204" s="46">
        <v>1</v>
      </c>
      <c r="P1204" s="30" t="str">
        <f>VLOOKUP(O1204,[5]Key!$E$2:$F$9,2,FALSE)</f>
        <v>Home</v>
      </c>
      <c r="Q1204" s="13" t="s">
        <v>446</v>
      </c>
      <c r="R1204" s="23" t="s">
        <v>439</v>
      </c>
      <c r="S1204" s="13" t="s">
        <v>221</v>
      </c>
      <c r="T1204" s="23">
        <v>2</v>
      </c>
      <c r="U1204" s="30" t="str">
        <f>VLOOKUP(T1204,[5]Key!$E$2:$F$9,2,FALSE)</f>
        <v>Work</v>
      </c>
      <c r="V1204" s="30" t="str">
        <f t="shared" si="72"/>
        <v>Home-Work</v>
      </c>
      <c r="W1204" s="23">
        <v>7000</v>
      </c>
      <c r="X1204" s="50">
        <v>56</v>
      </c>
      <c r="Y1204" s="50" t="str">
        <f t="shared" si="73"/>
        <v>40-70</v>
      </c>
      <c r="Z1204" s="50">
        <v>1</v>
      </c>
      <c r="AA1204" s="50" t="str">
        <f t="shared" si="74"/>
        <v>1.0-2.0</v>
      </c>
      <c r="AB1204" s="23">
        <v>1</v>
      </c>
      <c r="AC1204" s="30" t="str">
        <f>VLOOKUP(AB1204,[5]Key!$C$20:$D$29,2,FALSE)</f>
        <v>Unemployed</v>
      </c>
      <c r="AD1204" s="23">
        <v>2</v>
      </c>
      <c r="AE1204" s="30" t="str">
        <f>VLOOKUP(AD1204,[5]Key!$E$20:$F$24,2,FALSE)</f>
        <v>300,000-500,000</v>
      </c>
      <c r="AF1204" s="23">
        <v>2</v>
      </c>
      <c r="AG1204" s="50">
        <v>1</v>
      </c>
      <c r="AH1204" s="50">
        <v>3</v>
      </c>
      <c r="AI1204" s="50">
        <v>5</v>
      </c>
      <c r="AJ1204" s="50">
        <v>4</v>
      </c>
      <c r="AK1204" s="46" t="s">
        <v>94</v>
      </c>
      <c r="AL1204" s="36">
        <v>5000</v>
      </c>
      <c r="AM1204" t="str">
        <f t="shared" si="75"/>
        <v>5000-10000</v>
      </c>
    </row>
    <row r="1205" spans="1:39" x14ac:dyDescent="0.2">
      <c r="A1205" s="44">
        <v>43757</v>
      </c>
      <c r="B1205" s="48">
        <v>0.35069444444444442</v>
      </c>
      <c r="C1205" s="48"/>
      <c r="D1205" s="48" t="s">
        <v>150</v>
      </c>
      <c r="E1205" s="13">
        <v>2</v>
      </c>
      <c r="F1205" s="38" t="str">
        <f>VLOOKUP(E1205,[5]Key!$A$17:$B$21,2,FALSE)</f>
        <v>Road Vehicle</v>
      </c>
      <c r="G1205" s="49">
        <v>4</v>
      </c>
      <c r="H1205" s="39" t="str">
        <f>VLOOKUP(G1205,[5]Key!$A$2:$B$14,2,FALSE)</f>
        <v>Minibus</v>
      </c>
      <c r="I1205" s="13" t="s">
        <v>156</v>
      </c>
      <c r="J1205" s="13">
        <v>2</v>
      </c>
      <c r="K1205" s="40" t="str">
        <f>VLOOKUP(J1205,[5]Key!$A$24:$B$29,2,FALSE)</f>
        <v>30-39</v>
      </c>
      <c r="L1205" s="13" t="s">
        <v>780</v>
      </c>
      <c r="M1205" s="23" t="s">
        <v>439</v>
      </c>
      <c r="N1205" s="13" t="s">
        <v>221</v>
      </c>
      <c r="O1205" s="46">
        <v>1</v>
      </c>
      <c r="P1205" s="30" t="str">
        <f>VLOOKUP(O1205,[5]Key!$E$2:$F$9,2,FALSE)</f>
        <v>Home</v>
      </c>
      <c r="Q1205" s="13" t="s">
        <v>439</v>
      </c>
      <c r="R1205" s="23" t="s">
        <v>439</v>
      </c>
      <c r="S1205" s="13" t="s">
        <v>221</v>
      </c>
      <c r="T1205" s="23">
        <v>2</v>
      </c>
      <c r="U1205" s="30" t="str">
        <f>VLOOKUP(T1205,[5]Key!$E$2:$F$9,2,FALSE)</f>
        <v>Work</v>
      </c>
      <c r="V1205" s="30" t="str">
        <f t="shared" si="72"/>
        <v>Home-Work</v>
      </c>
      <c r="W1205" s="23">
        <v>1000</v>
      </c>
      <c r="X1205" s="50">
        <v>10</v>
      </c>
      <c r="Y1205" s="50" t="str">
        <f t="shared" si="73"/>
        <v>10-20</v>
      </c>
      <c r="Z1205" s="50">
        <v>0.3</v>
      </c>
      <c r="AA1205" s="50" t="str">
        <f t="shared" si="74"/>
        <v>0-0.5</v>
      </c>
      <c r="AB1205" s="23">
        <v>2</v>
      </c>
      <c r="AC1205" s="30" t="str">
        <f>VLOOKUP(AB1205,[5]Key!$C$20:$D$29,2,FALSE)</f>
        <v>Manual Labour</v>
      </c>
      <c r="AD1205" s="23">
        <v>1</v>
      </c>
      <c r="AE1205" s="30" t="str">
        <f>VLOOKUP(AD1205,[5]Key!$E$20:$F$24,2,FALSE)</f>
        <v>&lt;300,000</v>
      </c>
      <c r="AF1205" s="23">
        <v>2</v>
      </c>
      <c r="AG1205" s="50">
        <v>1</v>
      </c>
      <c r="AH1205" s="50">
        <v>4</v>
      </c>
      <c r="AI1205" s="50">
        <v>5</v>
      </c>
      <c r="AJ1205" s="50">
        <v>3</v>
      </c>
      <c r="AK1205" s="46" t="s">
        <v>94</v>
      </c>
      <c r="AL1205" s="36">
        <v>1000</v>
      </c>
      <c r="AM1205" t="str">
        <f t="shared" si="75"/>
        <v>1000-2000</v>
      </c>
    </row>
    <row r="1206" spans="1:39" x14ac:dyDescent="0.2">
      <c r="A1206" s="44">
        <v>43757</v>
      </c>
      <c r="B1206" s="48"/>
      <c r="C1206" s="48"/>
      <c r="D1206" s="48" t="s">
        <v>150</v>
      </c>
      <c r="E1206" s="13">
        <v>2</v>
      </c>
      <c r="F1206" s="38" t="str">
        <f>VLOOKUP(E1206,[5]Key!$A$17:$B$21,2,FALSE)</f>
        <v>Road Vehicle</v>
      </c>
      <c r="G1206" s="49">
        <v>4</v>
      </c>
      <c r="H1206" s="39" t="str">
        <f>VLOOKUP(G1206,[5]Key!$A$2:$B$14,2,FALSE)</f>
        <v>Minibus</v>
      </c>
      <c r="I1206" s="13" t="s">
        <v>156</v>
      </c>
      <c r="J1206" s="13">
        <v>2</v>
      </c>
      <c r="K1206" s="40" t="str">
        <f>VLOOKUP(J1206,[5]Key!$A$24:$B$29,2,FALSE)</f>
        <v>30-39</v>
      </c>
      <c r="L1206" s="13" t="s">
        <v>781</v>
      </c>
      <c r="M1206" s="23" t="s">
        <v>463</v>
      </c>
      <c r="N1206" s="13" t="s">
        <v>221</v>
      </c>
      <c r="O1206" s="46">
        <v>1</v>
      </c>
      <c r="P1206" s="30" t="str">
        <f>VLOOKUP(O1206,[5]Key!$E$2:$F$9,2,FALSE)</f>
        <v>Home</v>
      </c>
      <c r="Q1206" s="13" t="s">
        <v>712</v>
      </c>
      <c r="R1206" s="23" t="s">
        <v>441</v>
      </c>
      <c r="S1206" s="13" t="s">
        <v>221</v>
      </c>
      <c r="T1206" s="23">
        <v>3</v>
      </c>
      <c r="U1206" s="30" t="str">
        <f>VLOOKUP(T1206,[5]Key!$E$2:$F$9,2,FALSE)</f>
        <v>Study</v>
      </c>
      <c r="V1206" s="30" t="str">
        <f t="shared" si="72"/>
        <v>Home-Study</v>
      </c>
      <c r="W1206" s="23">
        <v>2000</v>
      </c>
      <c r="X1206" s="50">
        <v>6.4370000000000003</v>
      </c>
      <c r="Y1206" s="50" t="str">
        <f t="shared" si="73"/>
        <v>0-10</v>
      </c>
      <c r="Z1206" s="50">
        <v>0.3</v>
      </c>
      <c r="AA1206" s="50" t="str">
        <f t="shared" si="74"/>
        <v>0-0.5</v>
      </c>
      <c r="AB1206" s="23">
        <v>7</v>
      </c>
      <c r="AC1206" s="30" t="str">
        <f>VLOOKUP(AB1206,[5]Key!$C$20:$D$29,2,FALSE)</f>
        <v>Farmer</v>
      </c>
      <c r="AD1206" s="23">
        <v>1</v>
      </c>
      <c r="AE1206" s="30" t="str">
        <f>VLOOKUP(AD1206,[5]Key!$E$20:$F$24,2,FALSE)</f>
        <v>&lt;300,000</v>
      </c>
      <c r="AF1206" s="23">
        <v>2</v>
      </c>
      <c r="AG1206" s="50">
        <v>1</v>
      </c>
      <c r="AH1206" s="50">
        <v>3</v>
      </c>
      <c r="AI1206" s="50">
        <v>4</v>
      </c>
      <c r="AJ1206" s="50">
        <v>5</v>
      </c>
      <c r="AK1206" s="46" t="s">
        <v>94</v>
      </c>
      <c r="AL1206" s="36">
        <v>100</v>
      </c>
      <c r="AM1206" t="str">
        <f t="shared" si="75"/>
        <v>0-1000</v>
      </c>
    </row>
    <row r="1207" spans="1:39" x14ac:dyDescent="0.2">
      <c r="A1207" s="44">
        <v>43757</v>
      </c>
      <c r="B1207" s="48">
        <v>0.63194444444444442</v>
      </c>
      <c r="C1207" s="48"/>
      <c r="D1207" s="48" t="s">
        <v>150</v>
      </c>
      <c r="E1207" s="13">
        <v>2</v>
      </c>
      <c r="F1207" s="38" t="str">
        <f>VLOOKUP(E1207,[5]Key!$A$17:$B$21,2,FALSE)</f>
        <v>Road Vehicle</v>
      </c>
      <c r="G1207" s="49">
        <v>4</v>
      </c>
      <c r="H1207" s="39" t="str">
        <f>VLOOKUP(G1207,[5]Key!$A$2:$B$14,2,FALSE)</f>
        <v>Minibus</v>
      </c>
      <c r="I1207" s="13" t="s">
        <v>156</v>
      </c>
      <c r="J1207" s="13">
        <v>2</v>
      </c>
      <c r="K1207" s="40" t="str">
        <f>VLOOKUP(J1207,[5]Key!$A$24:$B$29,2,FALSE)</f>
        <v>30-39</v>
      </c>
      <c r="L1207" s="13" t="s">
        <v>511</v>
      </c>
      <c r="M1207" s="23" t="s">
        <v>782</v>
      </c>
      <c r="N1207" s="13" t="s">
        <v>221</v>
      </c>
      <c r="O1207" s="46">
        <v>1</v>
      </c>
      <c r="P1207" s="30" t="str">
        <f>VLOOKUP(O1207,[5]Key!$E$2:$F$9,2,FALSE)</f>
        <v>Home</v>
      </c>
      <c r="Q1207" s="13" t="s">
        <v>439</v>
      </c>
      <c r="R1207" s="23" t="s">
        <v>439</v>
      </c>
      <c r="S1207" s="13" t="s">
        <v>221</v>
      </c>
      <c r="T1207" s="23">
        <v>2</v>
      </c>
      <c r="U1207" s="30" t="str">
        <f>VLOOKUP(T1207,[5]Key!$E$2:$F$9,2,FALSE)</f>
        <v>Work</v>
      </c>
      <c r="V1207" s="30" t="str">
        <f t="shared" si="72"/>
        <v>Home-Work</v>
      </c>
      <c r="W1207" s="23">
        <v>20000</v>
      </c>
      <c r="X1207" s="50">
        <v>79</v>
      </c>
      <c r="Y1207" s="50" t="str">
        <f t="shared" si="73"/>
        <v>70-100</v>
      </c>
      <c r="Z1207" s="50">
        <v>3</v>
      </c>
      <c r="AA1207" s="50" t="str">
        <f t="shared" si="74"/>
        <v>2.0-3.5</v>
      </c>
      <c r="AB1207" s="23">
        <v>10</v>
      </c>
      <c r="AC1207" s="30" t="str">
        <f>VLOOKUP(AB1207,[5]Key!$C$20:$D$29,2,FALSE)</f>
        <v>Other</v>
      </c>
      <c r="AD1207" s="23">
        <v>1</v>
      </c>
      <c r="AE1207" s="30" t="str">
        <f>VLOOKUP(AD1207,[5]Key!$E$20:$F$24,2,FALSE)</f>
        <v>&lt;300,000</v>
      </c>
      <c r="AF1207" s="23">
        <v>1</v>
      </c>
      <c r="AG1207" s="50">
        <v>2</v>
      </c>
      <c r="AH1207" s="50">
        <v>3</v>
      </c>
      <c r="AI1207" s="50">
        <v>4</v>
      </c>
      <c r="AJ1207" s="50">
        <v>5</v>
      </c>
      <c r="AK1207" s="46" t="s">
        <v>700</v>
      </c>
      <c r="AL1207" s="36"/>
      <c r="AM1207" t="str">
        <f t="shared" si="75"/>
        <v>0-1000</v>
      </c>
    </row>
    <row r="1208" spans="1:39" x14ac:dyDescent="0.2">
      <c r="A1208" s="44">
        <v>43757</v>
      </c>
      <c r="B1208" s="48">
        <v>0.51041666666666663</v>
      </c>
      <c r="C1208" s="48"/>
      <c r="D1208" s="48" t="s">
        <v>97</v>
      </c>
      <c r="E1208" s="13">
        <v>2</v>
      </c>
      <c r="F1208" s="38" t="str">
        <f>VLOOKUP(E1208,[5]Key!$A$17:$B$21,2,FALSE)</f>
        <v>Road Vehicle</v>
      </c>
      <c r="G1208" s="49">
        <v>4</v>
      </c>
      <c r="H1208" s="39" t="str">
        <f>VLOOKUP(G1208,[5]Key!$A$2:$B$14,2,FALSE)</f>
        <v>Minibus</v>
      </c>
      <c r="I1208" s="13" t="s">
        <v>156</v>
      </c>
      <c r="J1208" s="13">
        <v>2</v>
      </c>
      <c r="K1208" s="40" t="str">
        <f>VLOOKUP(J1208,[5]Key!$A$24:$B$29,2,FALSE)</f>
        <v>30-39</v>
      </c>
      <c r="L1208" s="13" t="s">
        <v>701</v>
      </c>
      <c r="M1208" s="23" t="s">
        <v>439</v>
      </c>
      <c r="N1208" s="13" t="s">
        <v>221</v>
      </c>
      <c r="O1208" s="46">
        <v>2</v>
      </c>
      <c r="P1208" s="30" t="str">
        <f>VLOOKUP(O1208,[5]Key!$E$2:$F$9,2,FALSE)</f>
        <v>Work</v>
      </c>
      <c r="Q1208" s="13" t="s">
        <v>463</v>
      </c>
      <c r="R1208" s="23" t="s">
        <v>463</v>
      </c>
      <c r="S1208" s="13" t="s">
        <v>221</v>
      </c>
      <c r="T1208" s="23">
        <v>4</v>
      </c>
      <c r="U1208" s="30" t="str">
        <f>VLOOKUP(T1208,[5]Key!$E$2:$F$9,2,FALSE)</f>
        <v>Commercial</v>
      </c>
      <c r="V1208" s="30" t="str">
        <f t="shared" si="72"/>
        <v>Work-Commercial</v>
      </c>
      <c r="W1208" s="23">
        <v>5000</v>
      </c>
      <c r="X1208" s="50">
        <v>46</v>
      </c>
      <c r="Y1208" s="50" t="str">
        <f t="shared" si="73"/>
        <v>40-70</v>
      </c>
      <c r="Z1208" s="50">
        <v>0.6</v>
      </c>
      <c r="AA1208" s="50" t="str">
        <f t="shared" si="74"/>
        <v>0.5-1.0</v>
      </c>
      <c r="AB1208" s="23">
        <v>10</v>
      </c>
      <c r="AC1208" s="30" t="str">
        <f>VLOOKUP(AB1208,[5]Key!$C$20:$D$29,2,FALSE)</f>
        <v>Other</v>
      </c>
      <c r="AD1208" s="23">
        <v>3</v>
      </c>
      <c r="AE1208" s="30" t="str">
        <f>VLOOKUP(AD1208,[5]Key!$E$20:$F$24,2,FALSE)</f>
        <v>500,000-750,000</v>
      </c>
      <c r="AF1208" s="23"/>
      <c r="AG1208" s="50"/>
      <c r="AH1208" s="50"/>
      <c r="AI1208" s="50"/>
      <c r="AJ1208" s="50"/>
      <c r="AK1208" s="46" t="s">
        <v>94</v>
      </c>
      <c r="AL1208" s="36">
        <v>500</v>
      </c>
      <c r="AM1208" t="str">
        <f t="shared" si="75"/>
        <v>0-1000</v>
      </c>
    </row>
    <row r="1209" spans="1:39" x14ac:dyDescent="0.2">
      <c r="A1209" s="44">
        <v>43757</v>
      </c>
      <c r="B1209" s="48">
        <v>0.3430555555555555</v>
      </c>
      <c r="C1209" s="48"/>
      <c r="D1209" s="48" t="s">
        <v>150</v>
      </c>
      <c r="E1209" s="13">
        <v>2</v>
      </c>
      <c r="F1209" s="38" t="str">
        <f>VLOOKUP(E1209,[5]Key!$A$17:$B$21,2,FALSE)</f>
        <v>Road Vehicle</v>
      </c>
      <c r="G1209" s="49">
        <v>4</v>
      </c>
      <c r="H1209" s="39" t="str">
        <f>VLOOKUP(G1209,[5]Key!$A$2:$B$14,2,FALSE)</f>
        <v>Minibus</v>
      </c>
      <c r="I1209" s="13" t="s">
        <v>156</v>
      </c>
      <c r="J1209" s="13">
        <v>2</v>
      </c>
      <c r="K1209" s="40" t="str">
        <f>VLOOKUP(J1209,[5]Key!$A$24:$B$29,2,FALSE)</f>
        <v>30-39</v>
      </c>
      <c r="L1209" s="13" t="s">
        <v>421</v>
      </c>
      <c r="M1209" s="23" t="s">
        <v>421</v>
      </c>
      <c r="N1209" s="13" t="s">
        <v>221</v>
      </c>
      <c r="O1209" s="46">
        <v>1</v>
      </c>
      <c r="P1209" s="30" t="str">
        <f>VLOOKUP(O1209,[5]Key!$E$2:$F$9,2,FALSE)</f>
        <v>Home</v>
      </c>
      <c r="Q1209" s="13" t="s">
        <v>446</v>
      </c>
      <c r="R1209" s="23" t="s">
        <v>421</v>
      </c>
      <c r="S1209" s="13" t="s">
        <v>221</v>
      </c>
      <c r="T1209" s="23">
        <v>6</v>
      </c>
      <c r="U1209" s="30" t="str">
        <f>VLOOKUP(T1209,[5]Key!$E$2:$F$9,2,FALSE)</f>
        <v>Leisure/Social</v>
      </c>
      <c r="V1209" s="30" t="str">
        <f t="shared" si="72"/>
        <v>Home-Leisure/Social</v>
      </c>
      <c r="W1209" s="23">
        <v>7000</v>
      </c>
      <c r="X1209" s="50"/>
      <c r="Y1209" s="50" t="str">
        <f t="shared" si="73"/>
        <v>0-10</v>
      </c>
      <c r="Z1209" s="50">
        <v>2</v>
      </c>
      <c r="AA1209" s="50" t="str">
        <f t="shared" si="74"/>
        <v>2.0-3.5</v>
      </c>
      <c r="AB1209" s="23">
        <v>6</v>
      </c>
      <c r="AC1209" s="30" t="str">
        <f>VLOOKUP(AB1209,[5]Key!$C$20:$D$29,2,FALSE)</f>
        <v>Businessman</v>
      </c>
      <c r="AD1209" s="23">
        <v>2</v>
      </c>
      <c r="AE1209" s="30" t="str">
        <f>VLOOKUP(AD1209,[5]Key!$E$20:$F$24,2,FALSE)</f>
        <v>300,000-500,000</v>
      </c>
      <c r="AF1209" s="23">
        <v>4</v>
      </c>
      <c r="AG1209" s="50">
        <v>3</v>
      </c>
      <c r="AH1209" s="50">
        <v>1</v>
      </c>
      <c r="AI1209" s="50">
        <v>2</v>
      </c>
      <c r="AJ1209" s="50">
        <v>5</v>
      </c>
      <c r="AK1209" s="46" t="s">
        <v>94</v>
      </c>
      <c r="AL1209" s="36">
        <v>1000</v>
      </c>
      <c r="AM1209" t="str">
        <f t="shared" si="75"/>
        <v>1000-2000</v>
      </c>
    </row>
    <row r="1210" spans="1:39" x14ac:dyDescent="0.2">
      <c r="A1210" s="44">
        <v>43757</v>
      </c>
      <c r="B1210" s="48">
        <v>0.4770833333333333</v>
      </c>
      <c r="C1210" s="48"/>
      <c r="D1210" s="48" t="s">
        <v>97</v>
      </c>
      <c r="E1210" s="13">
        <v>2</v>
      </c>
      <c r="F1210" s="38" t="str">
        <f>VLOOKUP(E1210,[5]Key!$A$17:$B$21,2,FALSE)</f>
        <v>Road Vehicle</v>
      </c>
      <c r="G1210" s="49">
        <v>4</v>
      </c>
      <c r="H1210" s="39" t="str">
        <f>VLOOKUP(G1210,[5]Key!$A$2:$B$14,2,FALSE)</f>
        <v>Minibus</v>
      </c>
      <c r="I1210" s="13" t="s">
        <v>156</v>
      </c>
      <c r="J1210" s="13">
        <v>2</v>
      </c>
      <c r="K1210" s="40" t="str">
        <f>VLOOKUP(J1210,[5]Key!$A$24:$B$29,2,FALSE)</f>
        <v>30-39</v>
      </c>
      <c r="L1210" s="13" t="s">
        <v>446</v>
      </c>
      <c r="M1210" s="23" t="s">
        <v>439</v>
      </c>
      <c r="N1210" s="13" t="s">
        <v>221</v>
      </c>
      <c r="O1210" s="46">
        <v>2</v>
      </c>
      <c r="P1210" s="30" t="str">
        <f>VLOOKUP(O1210,[5]Key!$E$2:$F$9,2,FALSE)</f>
        <v>Work</v>
      </c>
      <c r="Q1210" s="13" t="s">
        <v>158</v>
      </c>
      <c r="R1210" s="23" t="s">
        <v>158</v>
      </c>
      <c r="S1210" s="13" t="s">
        <v>221</v>
      </c>
      <c r="T1210" s="23">
        <v>1</v>
      </c>
      <c r="U1210" s="30" t="str">
        <f>VLOOKUP(T1210,[5]Key!$E$2:$F$9,2,FALSE)</f>
        <v>Home</v>
      </c>
      <c r="V1210" s="30" t="str">
        <f t="shared" si="72"/>
        <v>Work-Home</v>
      </c>
      <c r="W1210" s="23">
        <v>18000</v>
      </c>
      <c r="X1210" s="50">
        <v>10</v>
      </c>
      <c r="Y1210" s="50" t="str">
        <f t="shared" si="73"/>
        <v>10-20</v>
      </c>
      <c r="Z1210" s="50">
        <v>6</v>
      </c>
      <c r="AA1210" s="50" t="str">
        <f t="shared" si="74"/>
        <v>Over 3.5</v>
      </c>
      <c r="AB1210" s="23">
        <v>7</v>
      </c>
      <c r="AC1210" s="30" t="str">
        <f>VLOOKUP(AB1210,[5]Key!$C$20:$D$29,2,FALSE)</f>
        <v>Farmer</v>
      </c>
      <c r="AD1210" s="23">
        <v>2</v>
      </c>
      <c r="AE1210" s="30" t="str">
        <f>VLOOKUP(AD1210,[5]Key!$E$20:$F$24,2,FALSE)</f>
        <v>300,000-500,000</v>
      </c>
      <c r="AF1210" s="23">
        <v>3</v>
      </c>
      <c r="AG1210" s="50">
        <v>1</v>
      </c>
      <c r="AH1210" s="50">
        <v>2</v>
      </c>
      <c r="AI1210" s="50">
        <v>4</v>
      </c>
      <c r="AJ1210" s="50">
        <v>5</v>
      </c>
      <c r="AK1210" s="46" t="s">
        <v>94</v>
      </c>
      <c r="AL1210" s="36">
        <v>500</v>
      </c>
      <c r="AM1210" t="str">
        <f t="shared" si="75"/>
        <v>0-1000</v>
      </c>
    </row>
    <row r="1211" spans="1:39" x14ac:dyDescent="0.2">
      <c r="A1211" s="44">
        <v>43758</v>
      </c>
      <c r="B1211" s="48">
        <v>0.61041666666666672</v>
      </c>
      <c r="C1211" s="48"/>
      <c r="D1211" s="48" t="s">
        <v>150</v>
      </c>
      <c r="E1211" s="13">
        <v>2</v>
      </c>
      <c r="F1211" s="38" t="str">
        <f>VLOOKUP(E1211,[5]Key!$A$17:$B$21,2,FALSE)</f>
        <v>Road Vehicle</v>
      </c>
      <c r="G1211" s="49">
        <v>4</v>
      </c>
      <c r="H1211" s="39" t="str">
        <f>VLOOKUP(G1211,[5]Key!$A$2:$B$14,2,FALSE)</f>
        <v>Minibus</v>
      </c>
      <c r="I1211" s="13" t="s">
        <v>156</v>
      </c>
      <c r="J1211" s="13">
        <v>2</v>
      </c>
      <c r="K1211" s="40" t="str">
        <f>VLOOKUP(J1211,[5]Key!$A$24:$B$29,2,FALSE)</f>
        <v>30-39</v>
      </c>
      <c r="L1211" s="13" t="s">
        <v>446</v>
      </c>
      <c r="M1211" s="23" t="s">
        <v>439</v>
      </c>
      <c r="N1211" s="13" t="s">
        <v>221</v>
      </c>
      <c r="O1211" s="46">
        <v>1</v>
      </c>
      <c r="P1211" s="30" t="str">
        <f>VLOOKUP(O1211,[5]Key!$E$2:$F$9,2,FALSE)</f>
        <v>Home</v>
      </c>
      <c r="Q1211" s="13" t="s">
        <v>452</v>
      </c>
      <c r="R1211" s="23" t="s">
        <v>452</v>
      </c>
      <c r="S1211" s="13" t="s">
        <v>221</v>
      </c>
      <c r="T1211" s="23">
        <v>4</v>
      </c>
      <c r="U1211" s="30" t="str">
        <f>VLOOKUP(T1211,[5]Key!$E$2:$F$9,2,FALSE)</f>
        <v>Commercial</v>
      </c>
      <c r="V1211" s="30" t="str">
        <f t="shared" si="72"/>
        <v>Home-Commercial</v>
      </c>
      <c r="W1211" s="23">
        <v>8000</v>
      </c>
      <c r="X1211" s="50"/>
      <c r="Y1211" s="50" t="str">
        <f t="shared" si="73"/>
        <v>0-10</v>
      </c>
      <c r="Z1211" s="50">
        <v>2</v>
      </c>
      <c r="AA1211" s="50" t="str">
        <f t="shared" si="74"/>
        <v>2.0-3.5</v>
      </c>
      <c r="AB1211" s="23">
        <v>6</v>
      </c>
      <c r="AC1211" s="30" t="str">
        <f>VLOOKUP(AB1211,[5]Key!$C$20:$D$29,2,FALSE)</f>
        <v>Businessman</v>
      </c>
      <c r="AD1211" s="23">
        <v>2</v>
      </c>
      <c r="AE1211" s="30" t="str">
        <f>VLOOKUP(AD1211,[5]Key!$E$20:$F$24,2,FALSE)</f>
        <v>300,000-500,000</v>
      </c>
      <c r="AF1211" s="23">
        <v>1</v>
      </c>
      <c r="AG1211" s="50">
        <v>2</v>
      </c>
      <c r="AH1211" s="50">
        <v>3</v>
      </c>
      <c r="AI1211" s="50">
        <v>5</v>
      </c>
      <c r="AJ1211" s="50">
        <v>4</v>
      </c>
      <c r="AK1211" s="46" t="s">
        <v>94</v>
      </c>
      <c r="AL1211" s="36">
        <v>500</v>
      </c>
      <c r="AM1211" t="str">
        <f t="shared" si="75"/>
        <v>0-1000</v>
      </c>
    </row>
    <row r="1212" spans="1:39" x14ac:dyDescent="0.2">
      <c r="A1212" s="44">
        <v>43758</v>
      </c>
      <c r="B1212" s="48">
        <v>0.33680555555555558</v>
      </c>
      <c r="C1212" s="48"/>
      <c r="D1212" s="48" t="s">
        <v>150</v>
      </c>
      <c r="E1212" s="13">
        <v>2</v>
      </c>
      <c r="F1212" s="38" t="str">
        <f>VLOOKUP(E1212,[5]Key!$A$17:$B$21,2,FALSE)</f>
        <v>Road Vehicle</v>
      </c>
      <c r="G1212" s="49">
        <v>4</v>
      </c>
      <c r="H1212" s="39" t="str">
        <f>VLOOKUP(G1212,[5]Key!$A$2:$B$14,2,FALSE)</f>
        <v>Minibus</v>
      </c>
      <c r="I1212" s="13" t="s">
        <v>156</v>
      </c>
      <c r="J1212" s="13">
        <v>2</v>
      </c>
      <c r="K1212" s="40" t="str">
        <f>VLOOKUP(J1212,[5]Key!$A$24:$B$29,2,FALSE)</f>
        <v>30-39</v>
      </c>
      <c r="L1212" s="13" t="s">
        <v>699</v>
      </c>
      <c r="M1212" s="23" t="s">
        <v>439</v>
      </c>
      <c r="N1212" s="13" t="s">
        <v>221</v>
      </c>
      <c r="O1212" s="46">
        <v>1</v>
      </c>
      <c r="P1212" s="30" t="str">
        <f>VLOOKUP(O1212,[5]Key!$E$2:$F$9,2,FALSE)</f>
        <v>Home</v>
      </c>
      <c r="Q1212" s="13" t="s">
        <v>726</v>
      </c>
      <c r="R1212" s="23" t="s">
        <v>441</v>
      </c>
      <c r="S1212" s="13" t="s">
        <v>221</v>
      </c>
      <c r="T1212" s="23">
        <v>8</v>
      </c>
      <c r="U1212" s="30" t="str">
        <f>VLOOKUP(T1212,[5]Key!$E$2:$F$9,2,FALSE)</f>
        <v>Others</v>
      </c>
      <c r="V1212" s="30" t="str">
        <f t="shared" si="72"/>
        <v>Home-Others</v>
      </c>
      <c r="W1212" s="23">
        <v>3000</v>
      </c>
      <c r="X1212" s="50"/>
      <c r="Y1212" s="50" t="str">
        <f t="shared" si="73"/>
        <v>0-10</v>
      </c>
      <c r="Z1212" s="50">
        <v>1</v>
      </c>
      <c r="AA1212" s="50" t="str">
        <f t="shared" si="74"/>
        <v>1.0-2.0</v>
      </c>
      <c r="AB1212" s="23">
        <v>10</v>
      </c>
      <c r="AC1212" s="30" t="str">
        <f>VLOOKUP(AB1212,[5]Key!$C$20:$D$29,2,FALSE)</f>
        <v>Other</v>
      </c>
      <c r="AD1212" s="23">
        <v>2</v>
      </c>
      <c r="AE1212" s="30" t="str">
        <f>VLOOKUP(AD1212,[5]Key!$E$20:$F$24,2,FALSE)</f>
        <v>300,000-500,000</v>
      </c>
      <c r="AF1212" s="23">
        <v>3</v>
      </c>
      <c r="AG1212" s="50">
        <v>1</v>
      </c>
      <c r="AH1212" s="50">
        <v>2</v>
      </c>
      <c r="AI1212" s="50">
        <v>4</v>
      </c>
      <c r="AJ1212" s="50">
        <v>5</v>
      </c>
      <c r="AK1212" s="46" t="s">
        <v>94</v>
      </c>
      <c r="AL1212" s="36">
        <v>1000</v>
      </c>
      <c r="AM1212" t="str">
        <f t="shared" si="75"/>
        <v>1000-2000</v>
      </c>
    </row>
    <row r="1213" spans="1:39" x14ac:dyDescent="0.2">
      <c r="A1213" s="44">
        <v>43758</v>
      </c>
      <c r="B1213" s="48">
        <v>0.35347222222222219</v>
      </c>
      <c r="C1213" s="48"/>
      <c r="D1213" s="48" t="s">
        <v>150</v>
      </c>
      <c r="E1213" s="13">
        <v>2</v>
      </c>
      <c r="F1213" s="38" t="str">
        <f>VLOOKUP(E1213,[5]Key!$A$17:$B$21,2,FALSE)</f>
        <v>Road Vehicle</v>
      </c>
      <c r="G1213" s="49">
        <v>4</v>
      </c>
      <c r="H1213" s="39" t="str">
        <f>VLOOKUP(G1213,[5]Key!$A$2:$B$14,2,FALSE)</f>
        <v>Minibus</v>
      </c>
      <c r="I1213" s="13" t="s">
        <v>156</v>
      </c>
      <c r="J1213" s="13">
        <v>2</v>
      </c>
      <c r="K1213" s="40" t="str">
        <f>VLOOKUP(J1213,[5]Key!$A$24:$B$29,2,FALSE)</f>
        <v>30-39</v>
      </c>
      <c r="L1213" s="13" t="s">
        <v>452</v>
      </c>
      <c r="M1213" s="23" t="s">
        <v>452</v>
      </c>
      <c r="N1213" s="13" t="s">
        <v>221</v>
      </c>
      <c r="O1213" s="46">
        <v>1</v>
      </c>
      <c r="P1213" s="30" t="str">
        <f>VLOOKUP(O1213,[5]Key!$E$2:$F$9,2,FALSE)</f>
        <v>Home</v>
      </c>
      <c r="Q1213" s="13" t="s">
        <v>726</v>
      </c>
      <c r="R1213" s="23" t="s">
        <v>441</v>
      </c>
      <c r="S1213" s="13" t="s">
        <v>221</v>
      </c>
      <c r="T1213" s="23">
        <v>8</v>
      </c>
      <c r="U1213" s="30" t="str">
        <f>VLOOKUP(T1213,[5]Key!$E$2:$F$9,2,FALSE)</f>
        <v>Others</v>
      </c>
      <c r="V1213" s="30" t="str">
        <f t="shared" si="72"/>
        <v>Home-Others</v>
      </c>
      <c r="W1213" s="23">
        <v>12000</v>
      </c>
      <c r="X1213" s="50">
        <v>98</v>
      </c>
      <c r="Y1213" s="50" t="str">
        <f t="shared" si="73"/>
        <v>70-100</v>
      </c>
      <c r="Z1213" s="50">
        <v>1.5</v>
      </c>
      <c r="AA1213" s="50" t="str">
        <f t="shared" si="74"/>
        <v>1.0-2.0</v>
      </c>
      <c r="AB1213" s="23">
        <v>7</v>
      </c>
      <c r="AC1213" s="30" t="str">
        <f>VLOOKUP(AB1213,[5]Key!$C$20:$D$29,2,FALSE)</f>
        <v>Farmer</v>
      </c>
      <c r="AD1213" s="23">
        <v>1</v>
      </c>
      <c r="AE1213" s="30" t="str">
        <f>VLOOKUP(AD1213,[5]Key!$E$20:$F$24,2,FALSE)</f>
        <v>&lt;300,000</v>
      </c>
      <c r="AF1213" s="23">
        <v>3</v>
      </c>
      <c r="AG1213" s="50">
        <v>1</v>
      </c>
      <c r="AH1213" s="50">
        <v>2</v>
      </c>
      <c r="AI1213" s="50">
        <v>4</v>
      </c>
      <c r="AJ1213" s="50">
        <v>5</v>
      </c>
      <c r="AK1213" s="46" t="s">
        <v>94</v>
      </c>
      <c r="AL1213" s="36">
        <v>1000</v>
      </c>
      <c r="AM1213" t="str">
        <f t="shared" si="75"/>
        <v>1000-2000</v>
      </c>
    </row>
    <row r="1214" spans="1:39" x14ac:dyDescent="0.2">
      <c r="A1214" s="44">
        <v>43758</v>
      </c>
      <c r="B1214" s="48">
        <v>0.3888888888888889</v>
      </c>
      <c r="C1214" s="48"/>
      <c r="D1214" s="48" t="s">
        <v>150</v>
      </c>
      <c r="E1214" s="13">
        <v>2</v>
      </c>
      <c r="F1214" s="38" t="str">
        <f>VLOOKUP(E1214,[5]Key!$A$17:$B$21,2,FALSE)</f>
        <v>Road Vehicle</v>
      </c>
      <c r="G1214" s="49">
        <v>4</v>
      </c>
      <c r="H1214" s="39" t="str">
        <f>VLOOKUP(G1214,[5]Key!$A$2:$B$14,2,FALSE)</f>
        <v>Minibus</v>
      </c>
      <c r="I1214" s="13" t="s">
        <v>156</v>
      </c>
      <c r="J1214" s="13">
        <v>2</v>
      </c>
      <c r="K1214" s="40" t="str">
        <f>VLOOKUP(J1214,[5]Key!$A$24:$B$29,2,FALSE)</f>
        <v>30-39</v>
      </c>
      <c r="L1214" s="13" t="s">
        <v>705</v>
      </c>
      <c r="M1214" s="23" t="s">
        <v>439</v>
      </c>
      <c r="N1214" s="13" t="s">
        <v>221</v>
      </c>
      <c r="O1214" s="46">
        <v>8</v>
      </c>
      <c r="P1214" s="30" t="str">
        <f>VLOOKUP(O1214,[5]Key!$E$2:$F$9,2,FALSE)</f>
        <v>Others</v>
      </c>
      <c r="Q1214" s="13" t="s">
        <v>446</v>
      </c>
      <c r="R1214" s="23" t="s">
        <v>439</v>
      </c>
      <c r="S1214" s="13" t="s">
        <v>221</v>
      </c>
      <c r="T1214" s="23">
        <v>1</v>
      </c>
      <c r="U1214" s="30" t="str">
        <f>VLOOKUP(T1214,[5]Key!$E$2:$F$9,2,FALSE)</f>
        <v>Home</v>
      </c>
      <c r="V1214" s="30" t="str">
        <f t="shared" si="72"/>
        <v>Others-Home</v>
      </c>
      <c r="W1214" s="23">
        <v>2000</v>
      </c>
      <c r="X1214" s="50">
        <v>15</v>
      </c>
      <c r="Y1214" s="50" t="str">
        <f t="shared" si="73"/>
        <v>10-20</v>
      </c>
      <c r="Z1214" s="50">
        <v>0.3</v>
      </c>
      <c r="AA1214" s="50" t="str">
        <f t="shared" si="74"/>
        <v>0-0.5</v>
      </c>
      <c r="AB1214" s="23">
        <v>7</v>
      </c>
      <c r="AC1214" s="30" t="str">
        <f>VLOOKUP(AB1214,[5]Key!$C$20:$D$29,2,FALSE)</f>
        <v>Farmer</v>
      </c>
      <c r="AD1214" s="23">
        <v>1</v>
      </c>
      <c r="AE1214" s="30" t="str">
        <f>VLOOKUP(AD1214,[5]Key!$E$20:$F$24,2,FALSE)</f>
        <v>&lt;300,000</v>
      </c>
      <c r="AF1214" s="23">
        <v>3</v>
      </c>
      <c r="AG1214" s="50">
        <v>2</v>
      </c>
      <c r="AH1214" s="50">
        <v>1</v>
      </c>
      <c r="AI1214" s="50">
        <v>4</v>
      </c>
      <c r="AJ1214" s="50">
        <v>5</v>
      </c>
      <c r="AK1214" s="46" t="s">
        <v>94</v>
      </c>
      <c r="AL1214" s="36">
        <v>2000</v>
      </c>
      <c r="AM1214" t="str">
        <f t="shared" si="75"/>
        <v>2000-3000</v>
      </c>
    </row>
    <row r="1215" spans="1:39" x14ac:dyDescent="0.2">
      <c r="A1215" s="44">
        <v>43756</v>
      </c>
      <c r="B1215" s="48"/>
      <c r="C1215" s="48"/>
      <c r="D1215" s="48" t="s">
        <v>97</v>
      </c>
      <c r="E1215" s="13">
        <v>2</v>
      </c>
      <c r="F1215" s="38" t="str">
        <f>VLOOKUP(E1215,[5]Key!$A$17:$B$21,2,FALSE)</f>
        <v>Road Vehicle</v>
      </c>
      <c r="G1215" s="49">
        <v>4</v>
      </c>
      <c r="H1215" s="39" t="str">
        <f>VLOOKUP(G1215,[5]Key!$A$2:$B$14,2,FALSE)</f>
        <v>Minibus</v>
      </c>
      <c r="I1215" s="13" t="s">
        <v>109</v>
      </c>
      <c r="J1215" s="13">
        <v>2</v>
      </c>
      <c r="K1215" s="40" t="str">
        <f>VLOOKUP(J1215,[5]Key!$A$24:$B$29,2,FALSE)</f>
        <v>30-39</v>
      </c>
      <c r="L1215" s="55" t="s">
        <v>783</v>
      </c>
      <c r="M1215" s="23" t="s">
        <v>439</v>
      </c>
      <c r="N1215" s="13" t="s">
        <v>221</v>
      </c>
      <c r="O1215" s="46">
        <v>2</v>
      </c>
      <c r="P1215" s="30" t="str">
        <f>VLOOKUP(O1215,[5]Key!$E$2:$F$9,2,FALSE)</f>
        <v>Work</v>
      </c>
      <c r="Q1215" s="13" t="s">
        <v>774</v>
      </c>
      <c r="R1215" s="23" t="s">
        <v>452</v>
      </c>
      <c r="S1215" s="13" t="s">
        <v>221</v>
      </c>
      <c r="T1215" s="23">
        <v>2</v>
      </c>
      <c r="U1215" s="30" t="str">
        <f>VLOOKUP(T1215,[5]Key!$E$2:$F$9,2,FALSE)</f>
        <v>Work</v>
      </c>
      <c r="V1215" s="30" t="str">
        <f t="shared" si="72"/>
        <v>Work-Work</v>
      </c>
      <c r="W1215" s="41">
        <v>40000</v>
      </c>
      <c r="X1215" s="50">
        <v>90</v>
      </c>
      <c r="Y1215" s="50" t="str">
        <f t="shared" si="73"/>
        <v>70-100</v>
      </c>
      <c r="Z1215" s="50">
        <v>2.5</v>
      </c>
      <c r="AA1215" s="50" t="str">
        <f t="shared" si="74"/>
        <v>2.0-3.5</v>
      </c>
      <c r="AB1215" s="23">
        <v>10</v>
      </c>
      <c r="AC1215" s="30" t="str">
        <f>VLOOKUP(AB1215,[5]Key!$C$20:$D$29,2,FALSE)</f>
        <v>Other</v>
      </c>
      <c r="AD1215" s="23">
        <v>1</v>
      </c>
      <c r="AE1215" s="30" t="str">
        <f>VLOOKUP(AD1215,[5]Key!$E$20:$F$24,2,FALSE)</f>
        <v>&lt;300,000</v>
      </c>
      <c r="AF1215" s="23">
        <v>2</v>
      </c>
      <c r="AG1215" s="50">
        <v>1</v>
      </c>
      <c r="AH1215" s="50">
        <v>4</v>
      </c>
      <c r="AI1215" s="50">
        <v>3</v>
      </c>
      <c r="AJ1215" s="50">
        <v>5</v>
      </c>
      <c r="AK1215" s="46" t="s">
        <v>94</v>
      </c>
      <c r="AL1215" s="36">
        <v>1000</v>
      </c>
      <c r="AM1215" t="str">
        <f t="shared" si="75"/>
        <v>1000-2000</v>
      </c>
    </row>
    <row r="1216" spans="1:39" x14ac:dyDescent="0.2">
      <c r="A1216" s="44">
        <v>43756</v>
      </c>
      <c r="B1216" s="48"/>
      <c r="C1216" s="48"/>
      <c r="D1216" s="48" t="s">
        <v>150</v>
      </c>
      <c r="E1216" s="13">
        <v>2</v>
      </c>
      <c r="F1216" s="38" t="str">
        <f>VLOOKUP(E1216,[5]Key!$A$17:$B$21,2,FALSE)</f>
        <v>Road Vehicle</v>
      </c>
      <c r="G1216" s="49">
        <v>4</v>
      </c>
      <c r="H1216" s="39" t="str">
        <f>VLOOKUP(G1216,[5]Key!$A$2:$B$14,2,FALSE)</f>
        <v>Minibus</v>
      </c>
      <c r="I1216" s="13" t="s">
        <v>109</v>
      </c>
      <c r="J1216" s="13">
        <v>2</v>
      </c>
      <c r="K1216" s="40" t="str">
        <f>VLOOKUP(J1216,[5]Key!$A$24:$B$29,2,FALSE)</f>
        <v>30-39</v>
      </c>
      <c r="L1216" s="55" t="s">
        <v>743</v>
      </c>
      <c r="M1216" s="23" t="s">
        <v>439</v>
      </c>
      <c r="N1216" s="13" t="s">
        <v>221</v>
      </c>
      <c r="O1216" s="46">
        <v>8</v>
      </c>
      <c r="P1216" s="30" t="str">
        <f>VLOOKUP(O1216,[5]Key!$E$2:$F$9,2,FALSE)</f>
        <v>Others</v>
      </c>
      <c r="Q1216" s="13" t="s">
        <v>756</v>
      </c>
      <c r="R1216" s="23" t="s">
        <v>441</v>
      </c>
      <c r="S1216" s="13" t="s">
        <v>221</v>
      </c>
      <c r="T1216" s="23">
        <v>1</v>
      </c>
      <c r="U1216" s="30" t="str">
        <f>VLOOKUP(T1216,[5]Key!$E$2:$F$9,2,FALSE)</f>
        <v>Home</v>
      </c>
      <c r="V1216" s="30" t="str">
        <f t="shared" si="72"/>
        <v>Others-Home</v>
      </c>
      <c r="W1216" s="41">
        <v>4000</v>
      </c>
      <c r="X1216" s="50">
        <v>25</v>
      </c>
      <c r="Y1216" s="50" t="str">
        <f t="shared" si="73"/>
        <v>20-40</v>
      </c>
      <c r="Z1216" s="50">
        <v>0.7</v>
      </c>
      <c r="AA1216" s="50" t="str">
        <f t="shared" si="74"/>
        <v>0.5-1.0</v>
      </c>
      <c r="AB1216" s="23">
        <v>6</v>
      </c>
      <c r="AC1216" s="30" t="str">
        <f>VLOOKUP(AB1216,[5]Key!$C$20:$D$29,2,FALSE)</f>
        <v>Businessman</v>
      </c>
      <c r="AD1216" s="23">
        <v>1</v>
      </c>
      <c r="AE1216" s="30" t="str">
        <f>VLOOKUP(AD1216,[5]Key!$E$20:$F$24,2,FALSE)</f>
        <v>&lt;300,000</v>
      </c>
      <c r="AF1216" s="23">
        <v>2</v>
      </c>
      <c r="AG1216" s="50">
        <v>1</v>
      </c>
      <c r="AH1216" s="50">
        <v>4</v>
      </c>
      <c r="AI1216" s="50">
        <v>3</v>
      </c>
      <c r="AJ1216" s="50">
        <v>5</v>
      </c>
      <c r="AK1216" s="46" t="s">
        <v>94</v>
      </c>
      <c r="AL1216" s="36">
        <v>1500</v>
      </c>
      <c r="AM1216" t="str">
        <f t="shared" si="75"/>
        <v>1000-2000</v>
      </c>
    </row>
    <row r="1217" spans="1:39" x14ac:dyDescent="0.2">
      <c r="A1217" s="44">
        <v>43756</v>
      </c>
      <c r="B1217" s="48"/>
      <c r="C1217" s="48"/>
      <c r="D1217" s="48" t="s">
        <v>97</v>
      </c>
      <c r="E1217" s="13">
        <v>2</v>
      </c>
      <c r="F1217" s="38" t="str">
        <f>VLOOKUP(E1217,[5]Key!$A$17:$B$21,2,FALSE)</f>
        <v>Road Vehicle</v>
      </c>
      <c r="G1217" s="49">
        <v>4</v>
      </c>
      <c r="H1217" s="39" t="str">
        <f>VLOOKUP(G1217,[5]Key!$A$2:$B$14,2,FALSE)</f>
        <v>Minibus</v>
      </c>
      <c r="I1217" s="13" t="s">
        <v>109</v>
      </c>
      <c r="J1217" s="13">
        <v>2</v>
      </c>
      <c r="K1217" s="40" t="str">
        <f>VLOOKUP(J1217,[5]Key!$A$24:$B$29,2,FALSE)</f>
        <v>30-39</v>
      </c>
      <c r="L1217" s="55" t="s">
        <v>446</v>
      </c>
      <c r="M1217" s="23" t="s">
        <v>439</v>
      </c>
      <c r="N1217" s="13" t="s">
        <v>221</v>
      </c>
      <c r="O1217" s="46">
        <v>2</v>
      </c>
      <c r="P1217" s="30" t="str">
        <f>VLOOKUP(O1217,[5]Key!$E$2:$F$9,2,FALSE)</f>
        <v>Work</v>
      </c>
      <c r="Q1217" s="13" t="s">
        <v>732</v>
      </c>
      <c r="R1217" s="23" t="s">
        <v>421</v>
      </c>
      <c r="S1217" s="13" t="s">
        <v>221</v>
      </c>
      <c r="T1217" s="23">
        <v>2</v>
      </c>
      <c r="U1217" s="30" t="str">
        <f>VLOOKUP(T1217,[5]Key!$E$2:$F$9,2,FALSE)</f>
        <v>Work</v>
      </c>
      <c r="V1217" s="30" t="str">
        <f t="shared" si="72"/>
        <v>Work-Work</v>
      </c>
      <c r="W1217" s="41">
        <v>60000</v>
      </c>
      <c r="X1217" s="50">
        <v>45</v>
      </c>
      <c r="Y1217" s="50" t="str">
        <f t="shared" si="73"/>
        <v>40-70</v>
      </c>
      <c r="Z1217" s="50">
        <v>1</v>
      </c>
      <c r="AA1217" s="50" t="str">
        <f t="shared" si="74"/>
        <v>1.0-2.0</v>
      </c>
      <c r="AB1217" s="23">
        <v>10</v>
      </c>
      <c r="AC1217" s="30" t="str">
        <f>VLOOKUP(AB1217,[5]Key!$C$20:$D$29,2,FALSE)</f>
        <v>Other</v>
      </c>
      <c r="AD1217" s="23">
        <v>1</v>
      </c>
      <c r="AE1217" s="30" t="str">
        <f>VLOOKUP(AD1217,[5]Key!$E$20:$F$24,2,FALSE)</f>
        <v>&lt;300,000</v>
      </c>
      <c r="AF1217" s="23">
        <v>3</v>
      </c>
      <c r="AG1217" s="50">
        <v>2</v>
      </c>
      <c r="AH1217" s="50">
        <v>1</v>
      </c>
      <c r="AI1217" s="50">
        <v>5</v>
      </c>
      <c r="AJ1217" s="50">
        <v>4</v>
      </c>
      <c r="AK1217" s="46" t="s">
        <v>94</v>
      </c>
      <c r="AL1217" s="36">
        <v>500</v>
      </c>
      <c r="AM1217" t="str">
        <f t="shared" si="75"/>
        <v>0-1000</v>
      </c>
    </row>
    <row r="1218" spans="1:39" x14ac:dyDescent="0.2">
      <c r="A1218" s="44">
        <v>43757</v>
      </c>
      <c r="B1218" s="48">
        <v>0.34375</v>
      </c>
      <c r="C1218" s="48"/>
      <c r="D1218" s="48" t="s">
        <v>97</v>
      </c>
      <c r="E1218" s="13">
        <v>2</v>
      </c>
      <c r="F1218" s="38" t="str">
        <f>VLOOKUP(E1218,[5]Key!$A$17:$B$21,2,FALSE)</f>
        <v>Road Vehicle</v>
      </c>
      <c r="G1218" s="49">
        <v>4</v>
      </c>
      <c r="H1218" s="39" t="str">
        <f>VLOOKUP(G1218,[5]Key!$A$2:$B$14,2,FALSE)</f>
        <v>Minibus</v>
      </c>
      <c r="I1218" s="13" t="s">
        <v>109</v>
      </c>
      <c r="J1218" s="13">
        <v>2</v>
      </c>
      <c r="K1218" s="40" t="str">
        <f>VLOOKUP(J1218,[5]Key!$A$24:$B$29,2,FALSE)</f>
        <v>30-39</v>
      </c>
      <c r="L1218" s="13" t="s">
        <v>452</v>
      </c>
      <c r="M1218" s="23" t="s">
        <v>452</v>
      </c>
      <c r="N1218" s="13" t="s">
        <v>221</v>
      </c>
      <c r="O1218" s="46">
        <v>2</v>
      </c>
      <c r="P1218" s="30" t="str">
        <f>VLOOKUP(O1218,[5]Key!$E$2:$F$9,2,FALSE)</f>
        <v>Work</v>
      </c>
      <c r="Q1218" s="13" t="s">
        <v>756</v>
      </c>
      <c r="R1218" s="23" t="s">
        <v>441</v>
      </c>
      <c r="S1218" s="13" t="s">
        <v>221</v>
      </c>
      <c r="T1218" s="23">
        <v>2</v>
      </c>
      <c r="U1218" s="30" t="str">
        <f>VLOOKUP(T1218,[5]Key!$E$2:$F$9,2,FALSE)</f>
        <v>Work</v>
      </c>
      <c r="V1218" s="30" t="str">
        <f t="shared" ref="V1218:V1281" si="76">P1218&amp;"-"&amp;U1218</f>
        <v>Work-Work</v>
      </c>
      <c r="W1218" s="41">
        <v>10000</v>
      </c>
      <c r="X1218" s="50">
        <v>98</v>
      </c>
      <c r="Y1218" s="50" t="str">
        <f t="shared" si="73"/>
        <v>70-100</v>
      </c>
      <c r="Z1218" s="50">
        <v>1.5</v>
      </c>
      <c r="AA1218" s="50" t="str">
        <f t="shared" si="74"/>
        <v>1.0-2.0</v>
      </c>
      <c r="AB1218" s="23">
        <v>2</v>
      </c>
      <c r="AC1218" s="30" t="str">
        <f>VLOOKUP(AB1218,[5]Key!$C$20:$D$29,2,FALSE)</f>
        <v>Manual Labour</v>
      </c>
      <c r="AD1218" s="23">
        <v>1</v>
      </c>
      <c r="AE1218" s="30" t="str">
        <f>VLOOKUP(AD1218,[5]Key!$E$20:$F$24,2,FALSE)</f>
        <v>&lt;300,000</v>
      </c>
      <c r="AF1218" s="23">
        <v>3</v>
      </c>
      <c r="AG1218" s="50">
        <v>1</v>
      </c>
      <c r="AH1218" s="50">
        <v>4</v>
      </c>
      <c r="AI1218" s="50">
        <v>2</v>
      </c>
      <c r="AJ1218" s="50">
        <v>5</v>
      </c>
      <c r="AK1218" s="46" t="s">
        <v>94</v>
      </c>
      <c r="AL1218" s="36"/>
      <c r="AM1218" t="str">
        <f t="shared" si="75"/>
        <v>0-1000</v>
      </c>
    </row>
    <row r="1219" spans="1:39" x14ac:dyDescent="0.2">
      <c r="A1219" s="44">
        <v>43757</v>
      </c>
      <c r="B1219" s="48">
        <v>0.3527777777777778</v>
      </c>
      <c r="C1219" s="48"/>
      <c r="D1219" s="48" t="s">
        <v>150</v>
      </c>
      <c r="E1219" s="13">
        <v>2</v>
      </c>
      <c r="F1219" s="38" t="str">
        <f>VLOOKUP(E1219,[5]Key!$A$17:$B$21,2,FALSE)</f>
        <v>Road Vehicle</v>
      </c>
      <c r="G1219" s="49">
        <v>4</v>
      </c>
      <c r="H1219" s="39" t="str">
        <f>VLOOKUP(G1219,[5]Key!$A$2:$B$14,2,FALSE)</f>
        <v>Minibus</v>
      </c>
      <c r="I1219" s="13" t="s">
        <v>109</v>
      </c>
      <c r="J1219" s="13">
        <v>2</v>
      </c>
      <c r="K1219" s="40" t="str">
        <f>VLOOKUP(J1219,[5]Key!$A$24:$B$29,2,FALSE)</f>
        <v>30-39</v>
      </c>
      <c r="L1219" s="13" t="s">
        <v>784</v>
      </c>
      <c r="M1219" s="23" t="s">
        <v>439</v>
      </c>
      <c r="N1219" s="13" t="s">
        <v>221</v>
      </c>
      <c r="O1219" s="46">
        <v>1</v>
      </c>
      <c r="P1219" s="30" t="str">
        <f>VLOOKUP(O1219,[5]Key!$E$2:$F$9,2,FALSE)</f>
        <v>Home</v>
      </c>
      <c r="Q1219" s="13" t="s">
        <v>441</v>
      </c>
      <c r="R1219" s="23" t="s">
        <v>441</v>
      </c>
      <c r="S1219" s="13" t="s">
        <v>221</v>
      </c>
      <c r="T1219" s="23">
        <v>2</v>
      </c>
      <c r="U1219" s="30" t="str">
        <f>VLOOKUP(T1219,[5]Key!$E$2:$F$9,2,FALSE)</f>
        <v>Work</v>
      </c>
      <c r="V1219" s="30" t="str">
        <f t="shared" si="76"/>
        <v>Home-Work</v>
      </c>
      <c r="W1219" s="23">
        <v>2000</v>
      </c>
      <c r="X1219" s="50">
        <v>12</v>
      </c>
      <c r="Y1219" s="50" t="str">
        <f t="shared" ref="Y1219:Y1282" si="77">IF(X1219&lt;10,"0-10",IF(X1219&lt;20,"10-20",IF(X1219&lt;40,"20-40",IF(X1219&lt;70,"40-70",IF(X1219&lt;100,"70-100",IF(X1219&lt;200,"100-200","Over 200"))))))</f>
        <v>10-20</v>
      </c>
      <c r="Z1219" s="50">
        <v>0.4</v>
      </c>
      <c r="AA1219" s="50" t="str">
        <f t="shared" ref="AA1219:AA1282" si="78">IF(Z1219&lt;0.5,"0-0.5",IF(Z1219&lt;1,"0.5-1.0",IF(Z1219&lt;2,"1.0-2.0",IF(Z1219&lt;3.5,"2.0-3.5","Over 3.5"))))</f>
        <v>0-0.5</v>
      </c>
      <c r="AB1219" s="23">
        <v>4</v>
      </c>
      <c r="AC1219" s="30" t="str">
        <f>VLOOKUP(AB1219,[5]Key!$C$20:$D$29,2,FALSE)</f>
        <v>Office Worker</v>
      </c>
      <c r="AD1219" s="23">
        <v>4</v>
      </c>
      <c r="AE1219" s="30" t="str">
        <f>VLOOKUP(AD1219,[5]Key!$E$20:$F$24,2,FALSE)</f>
        <v>750,000-1,000,000</v>
      </c>
      <c r="AF1219" s="23">
        <v>2</v>
      </c>
      <c r="AG1219" s="50">
        <v>3</v>
      </c>
      <c r="AH1219" s="50">
        <v>4</v>
      </c>
      <c r="AI1219" s="50">
        <v>1</v>
      </c>
      <c r="AJ1219" s="50">
        <v>5</v>
      </c>
      <c r="AK1219" s="46" t="s">
        <v>700</v>
      </c>
      <c r="AL1219" s="36"/>
      <c r="AM1219" t="str">
        <f t="shared" ref="AM1219:AM1282" si="79">IF(AL1219&lt;1000,"0-1000",IF(AL1219&lt;2000,"1000-2000",IF(AL1219&lt;3000,"2000-3000",IF(AL1219&lt;5000,"3000-5000",IF(AL1219&lt;10000,"5000-10000","Over 10000")))))</f>
        <v>0-1000</v>
      </c>
    </row>
    <row r="1220" spans="1:39" x14ac:dyDescent="0.2">
      <c r="A1220" s="44">
        <v>43757</v>
      </c>
      <c r="B1220" s="48">
        <v>0.50347222222222221</v>
      </c>
      <c r="C1220" s="48"/>
      <c r="D1220" s="48" t="s">
        <v>150</v>
      </c>
      <c r="E1220" s="13">
        <v>2</v>
      </c>
      <c r="F1220" s="38" t="str">
        <f>VLOOKUP(E1220,[5]Key!$A$17:$B$21,2,FALSE)</f>
        <v>Road Vehicle</v>
      </c>
      <c r="G1220" s="49">
        <v>4</v>
      </c>
      <c r="H1220" s="39" t="str">
        <f>VLOOKUP(G1220,[5]Key!$A$2:$B$14,2,FALSE)</f>
        <v>Minibus</v>
      </c>
      <c r="I1220" s="13" t="s">
        <v>109</v>
      </c>
      <c r="J1220" s="13">
        <v>2</v>
      </c>
      <c r="K1220" s="40" t="str">
        <f>VLOOKUP(J1220,[5]Key!$A$24:$B$29,2,FALSE)</f>
        <v>30-39</v>
      </c>
      <c r="L1220" s="13" t="s">
        <v>785</v>
      </c>
      <c r="M1220" s="23" t="s">
        <v>439</v>
      </c>
      <c r="N1220" s="13" t="s">
        <v>221</v>
      </c>
      <c r="O1220" s="46">
        <v>4</v>
      </c>
      <c r="P1220" s="30" t="str">
        <f>VLOOKUP(O1220,[5]Key!$E$2:$F$9,2,FALSE)</f>
        <v>Commercial</v>
      </c>
      <c r="Q1220" s="13" t="s">
        <v>463</v>
      </c>
      <c r="R1220" s="23" t="s">
        <v>463</v>
      </c>
      <c r="S1220" s="13" t="s">
        <v>221</v>
      </c>
      <c r="T1220" s="23">
        <v>4</v>
      </c>
      <c r="U1220" s="30" t="str">
        <f>VLOOKUP(T1220,[5]Key!$E$2:$F$9,2,FALSE)</f>
        <v>Commercial</v>
      </c>
      <c r="V1220" s="30" t="str">
        <f t="shared" si="76"/>
        <v>Commercial-Commercial</v>
      </c>
      <c r="W1220" s="23">
        <v>5000</v>
      </c>
      <c r="X1220" s="50">
        <v>46</v>
      </c>
      <c r="Y1220" s="50" t="str">
        <f t="shared" si="77"/>
        <v>40-70</v>
      </c>
      <c r="Z1220" s="50">
        <v>0.5</v>
      </c>
      <c r="AA1220" s="50" t="str">
        <f t="shared" si="78"/>
        <v>0.5-1.0</v>
      </c>
      <c r="AB1220" s="23">
        <v>6</v>
      </c>
      <c r="AC1220" s="30" t="str">
        <f>VLOOKUP(AB1220,[5]Key!$C$20:$D$29,2,FALSE)</f>
        <v>Businessman</v>
      </c>
      <c r="AD1220" s="23">
        <v>1</v>
      </c>
      <c r="AE1220" s="30" t="str">
        <f>VLOOKUP(AD1220,[5]Key!$E$20:$F$24,2,FALSE)</f>
        <v>&lt;300,000</v>
      </c>
      <c r="AF1220" s="23">
        <v>5</v>
      </c>
      <c r="AG1220" s="50">
        <v>4</v>
      </c>
      <c r="AH1220" s="50">
        <v>1</v>
      </c>
      <c r="AI1220" s="50">
        <v>3</v>
      </c>
      <c r="AJ1220" s="50">
        <v>2</v>
      </c>
      <c r="AK1220" s="46" t="s">
        <v>94</v>
      </c>
      <c r="AL1220" s="36">
        <v>2000</v>
      </c>
      <c r="AM1220" t="str">
        <f t="shared" si="79"/>
        <v>2000-3000</v>
      </c>
    </row>
    <row r="1221" spans="1:39" x14ac:dyDescent="0.2">
      <c r="A1221" s="44">
        <v>43757</v>
      </c>
      <c r="B1221" s="48">
        <v>0.51250000000000007</v>
      </c>
      <c r="C1221" s="48"/>
      <c r="D1221" s="48" t="s">
        <v>97</v>
      </c>
      <c r="E1221" s="13">
        <v>2</v>
      </c>
      <c r="F1221" s="38" t="str">
        <f>VLOOKUP(E1221,[5]Key!$A$17:$B$21,2,FALSE)</f>
        <v>Road Vehicle</v>
      </c>
      <c r="G1221" s="49">
        <v>4</v>
      </c>
      <c r="H1221" s="39" t="str">
        <f>VLOOKUP(G1221,[5]Key!$A$2:$B$14,2,FALSE)</f>
        <v>Minibus</v>
      </c>
      <c r="I1221" s="13" t="s">
        <v>109</v>
      </c>
      <c r="J1221" s="13">
        <v>2</v>
      </c>
      <c r="K1221" s="40" t="str">
        <f>VLOOKUP(J1221,[5]Key!$A$24:$B$29,2,FALSE)</f>
        <v>30-39</v>
      </c>
      <c r="L1221" s="13" t="s">
        <v>446</v>
      </c>
      <c r="M1221" s="23" t="s">
        <v>439</v>
      </c>
      <c r="N1221" s="13" t="s">
        <v>221</v>
      </c>
      <c r="O1221" s="46">
        <v>2</v>
      </c>
      <c r="P1221" s="30" t="str">
        <f>VLOOKUP(O1221,[5]Key!$E$2:$F$9,2,FALSE)</f>
        <v>Work</v>
      </c>
      <c r="Q1221" s="13" t="s">
        <v>786</v>
      </c>
      <c r="R1221" s="23" t="s">
        <v>463</v>
      </c>
      <c r="S1221" s="13" t="s">
        <v>221</v>
      </c>
      <c r="T1221" s="23">
        <v>2</v>
      </c>
      <c r="U1221" s="30" t="str">
        <f>VLOOKUP(T1221,[5]Key!$E$2:$F$9,2,FALSE)</f>
        <v>Work</v>
      </c>
      <c r="V1221" s="30" t="str">
        <f t="shared" si="76"/>
        <v>Work-Work</v>
      </c>
      <c r="W1221" s="23">
        <v>30000</v>
      </c>
      <c r="X1221" s="50">
        <v>28</v>
      </c>
      <c r="Y1221" s="50" t="str">
        <f t="shared" si="77"/>
        <v>20-40</v>
      </c>
      <c r="Z1221" s="50">
        <v>1</v>
      </c>
      <c r="AA1221" s="50" t="str">
        <f t="shared" si="78"/>
        <v>1.0-2.0</v>
      </c>
      <c r="AB1221" s="23">
        <v>6</v>
      </c>
      <c r="AC1221" s="30" t="str">
        <f>VLOOKUP(AB1221,[5]Key!$C$20:$D$29,2,FALSE)</f>
        <v>Businessman</v>
      </c>
      <c r="AD1221" s="23">
        <v>4</v>
      </c>
      <c r="AE1221" s="30" t="str">
        <f>VLOOKUP(AD1221,[5]Key!$E$20:$F$24,2,FALSE)</f>
        <v>750,000-1,000,000</v>
      </c>
      <c r="AF1221" s="23">
        <v>5</v>
      </c>
      <c r="AG1221" s="50">
        <v>2</v>
      </c>
      <c r="AH1221" s="50">
        <v>1</v>
      </c>
      <c r="AI1221" s="50">
        <v>3</v>
      </c>
      <c r="AJ1221" s="50">
        <v>4</v>
      </c>
      <c r="AK1221" s="46" t="s">
        <v>94</v>
      </c>
      <c r="AL1221" s="36">
        <v>2000</v>
      </c>
      <c r="AM1221" t="str">
        <f t="shared" si="79"/>
        <v>2000-3000</v>
      </c>
    </row>
    <row r="1222" spans="1:39" x14ac:dyDescent="0.2">
      <c r="A1222" s="44">
        <v>43757</v>
      </c>
      <c r="B1222" s="48">
        <v>0.63611111111111118</v>
      </c>
      <c r="C1222" s="48"/>
      <c r="D1222" s="48" t="s">
        <v>97</v>
      </c>
      <c r="E1222" s="13">
        <v>2</v>
      </c>
      <c r="F1222" s="38" t="str">
        <f>VLOOKUP(E1222,[5]Key!$A$17:$B$21,2,FALSE)</f>
        <v>Road Vehicle</v>
      </c>
      <c r="G1222" s="49">
        <v>4</v>
      </c>
      <c r="H1222" s="39" t="str">
        <f>VLOOKUP(G1222,[5]Key!$A$2:$B$14,2,FALSE)</f>
        <v>Minibus</v>
      </c>
      <c r="I1222" s="13" t="s">
        <v>109</v>
      </c>
      <c r="J1222" s="13">
        <v>2</v>
      </c>
      <c r="K1222" s="40" t="str">
        <f>VLOOKUP(J1222,[5]Key!$A$24:$B$29,2,FALSE)</f>
        <v>30-39</v>
      </c>
      <c r="L1222" s="13" t="s">
        <v>452</v>
      </c>
      <c r="M1222" s="23" t="s">
        <v>452</v>
      </c>
      <c r="N1222" s="13" t="s">
        <v>221</v>
      </c>
      <c r="O1222" s="46">
        <v>2</v>
      </c>
      <c r="P1222" s="30" t="str">
        <f>VLOOKUP(O1222,[5]Key!$E$2:$F$9,2,FALSE)</f>
        <v>Work</v>
      </c>
      <c r="Q1222" s="13" t="s">
        <v>446</v>
      </c>
      <c r="R1222" s="23" t="s">
        <v>439</v>
      </c>
      <c r="S1222" s="13" t="s">
        <v>221</v>
      </c>
      <c r="T1222" s="23">
        <v>4</v>
      </c>
      <c r="U1222" s="30" t="str">
        <f>VLOOKUP(T1222,[5]Key!$E$2:$F$9,2,FALSE)</f>
        <v>Commercial</v>
      </c>
      <c r="V1222" s="30" t="str">
        <f t="shared" si="76"/>
        <v>Work-Commercial</v>
      </c>
      <c r="W1222" s="23">
        <v>500000</v>
      </c>
      <c r="X1222" s="50">
        <v>96</v>
      </c>
      <c r="Y1222" s="50" t="str">
        <f t="shared" si="77"/>
        <v>70-100</v>
      </c>
      <c r="Z1222" s="50">
        <v>2.5</v>
      </c>
      <c r="AA1222" s="50" t="str">
        <f t="shared" si="78"/>
        <v>2.0-3.5</v>
      </c>
      <c r="AB1222" s="23">
        <v>10</v>
      </c>
      <c r="AC1222" s="30" t="str">
        <f>VLOOKUP(AB1222,[5]Key!$C$20:$D$29,2,FALSE)</f>
        <v>Other</v>
      </c>
      <c r="AD1222" s="23">
        <v>1</v>
      </c>
      <c r="AE1222" s="30" t="str">
        <f>VLOOKUP(AD1222,[5]Key!$E$20:$F$24,2,FALSE)</f>
        <v>&lt;300,000</v>
      </c>
      <c r="AF1222" s="23">
        <v>4</v>
      </c>
      <c r="AG1222" s="50">
        <v>5</v>
      </c>
      <c r="AH1222" s="50">
        <v>1</v>
      </c>
      <c r="AI1222" s="50">
        <v>3</v>
      </c>
      <c r="AJ1222" s="50">
        <v>2</v>
      </c>
      <c r="AK1222" s="46" t="s">
        <v>94</v>
      </c>
      <c r="AL1222" s="36"/>
      <c r="AM1222" t="str">
        <f t="shared" si="79"/>
        <v>0-1000</v>
      </c>
    </row>
    <row r="1223" spans="1:39" x14ac:dyDescent="0.2">
      <c r="A1223" s="44">
        <v>43758</v>
      </c>
      <c r="B1223" s="48">
        <v>0.63472222222222219</v>
      </c>
      <c r="C1223" s="48"/>
      <c r="D1223" s="48" t="s">
        <v>97</v>
      </c>
      <c r="E1223" s="13">
        <v>2</v>
      </c>
      <c r="F1223" s="38" t="str">
        <f>VLOOKUP(E1223,[5]Key!$A$17:$B$21,2,FALSE)</f>
        <v>Road Vehicle</v>
      </c>
      <c r="G1223" s="49">
        <v>4</v>
      </c>
      <c r="H1223" s="39" t="str">
        <f>VLOOKUP(G1223,[5]Key!$A$2:$B$14,2,FALSE)</f>
        <v>Minibus</v>
      </c>
      <c r="I1223" s="13" t="s">
        <v>109</v>
      </c>
      <c r="J1223" s="13">
        <v>2</v>
      </c>
      <c r="K1223" s="40" t="str">
        <f>VLOOKUP(J1223,[5]Key!$A$24:$B$29,2,FALSE)</f>
        <v>30-39</v>
      </c>
      <c r="L1223" s="13" t="s">
        <v>421</v>
      </c>
      <c r="M1223" s="23" t="s">
        <v>421</v>
      </c>
      <c r="N1223" s="13" t="s">
        <v>221</v>
      </c>
      <c r="O1223" s="46">
        <v>2</v>
      </c>
      <c r="P1223" s="30" t="str">
        <f>VLOOKUP(O1223,[5]Key!$E$2:$F$9,2,FALSE)</f>
        <v>Work</v>
      </c>
      <c r="Q1223" s="13" t="s">
        <v>452</v>
      </c>
      <c r="R1223" s="23" t="s">
        <v>452</v>
      </c>
      <c r="S1223" s="13" t="s">
        <v>221</v>
      </c>
      <c r="T1223" s="23">
        <v>4</v>
      </c>
      <c r="U1223" s="30" t="str">
        <f>VLOOKUP(T1223,[5]Key!$E$2:$F$9,2,FALSE)</f>
        <v>Commercial</v>
      </c>
      <c r="V1223" s="30" t="str">
        <f t="shared" si="76"/>
        <v>Work-Commercial</v>
      </c>
      <c r="W1223" s="23">
        <v>150000</v>
      </c>
      <c r="X1223" s="50">
        <v>140</v>
      </c>
      <c r="Y1223" s="50" t="str">
        <f t="shared" si="77"/>
        <v>100-200</v>
      </c>
      <c r="Z1223" s="50">
        <v>4</v>
      </c>
      <c r="AA1223" s="50" t="str">
        <f t="shared" si="78"/>
        <v>Over 3.5</v>
      </c>
      <c r="AB1223" s="23">
        <v>10</v>
      </c>
      <c r="AC1223" s="30" t="str">
        <f>VLOOKUP(AB1223,[5]Key!$C$20:$D$29,2,FALSE)</f>
        <v>Other</v>
      </c>
      <c r="AD1223" s="23">
        <v>2</v>
      </c>
      <c r="AE1223" s="30" t="str">
        <f>VLOOKUP(AD1223,[5]Key!$E$20:$F$24,2,FALSE)</f>
        <v>300,000-500,000</v>
      </c>
      <c r="AF1223" s="23">
        <v>2</v>
      </c>
      <c r="AG1223" s="50">
        <v>1</v>
      </c>
      <c r="AH1223" s="50">
        <v>3</v>
      </c>
      <c r="AI1223" s="50">
        <v>3</v>
      </c>
      <c r="AJ1223" s="50">
        <v>4</v>
      </c>
      <c r="AK1223" s="46" t="s">
        <v>94</v>
      </c>
      <c r="AL1223" s="36">
        <v>1000</v>
      </c>
      <c r="AM1223" t="str">
        <f t="shared" si="79"/>
        <v>1000-2000</v>
      </c>
    </row>
    <row r="1224" spans="1:39" x14ac:dyDescent="0.2">
      <c r="A1224" s="44">
        <v>43758</v>
      </c>
      <c r="B1224" s="48">
        <v>0.3888888888888889</v>
      </c>
      <c r="C1224" s="48"/>
      <c r="D1224" s="48" t="s">
        <v>150</v>
      </c>
      <c r="E1224" s="13">
        <v>2</v>
      </c>
      <c r="F1224" s="38" t="str">
        <f>VLOOKUP(E1224,[5]Key!$A$17:$B$21,2,FALSE)</f>
        <v>Road Vehicle</v>
      </c>
      <c r="G1224" s="49">
        <v>4</v>
      </c>
      <c r="H1224" s="39" t="str">
        <f>VLOOKUP(G1224,[5]Key!$A$2:$B$14,2,FALSE)</f>
        <v>Minibus</v>
      </c>
      <c r="I1224" s="13" t="s">
        <v>109</v>
      </c>
      <c r="J1224" s="13">
        <v>2</v>
      </c>
      <c r="K1224" s="40" t="str">
        <f>VLOOKUP(J1224,[5]Key!$A$24:$B$29,2,FALSE)</f>
        <v>30-39</v>
      </c>
      <c r="L1224" s="13" t="s">
        <v>452</v>
      </c>
      <c r="M1224" s="23" t="s">
        <v>452</v>
      </c>
      <c r="N1224" s="13" t="s">
        <v>221</v>
      </c>
      <c r="O1224" s="46">
        <v>2</v>
      </c>
      <c r="P1224" s="30" t="str">
        <f>VLOOKUP(O1224,[5]Key!$E$2:$F$9,2,FALSE)</f>
        <v>Work</v>
      </c>
      <c r="Q1224" s="13" t="s">
        <v>446</v>
      </c>
      <c r="R1224" s="23" t="s">
        <v>446</v>
      </c>
      <c r="S1224" s="13" t="s">
        <v>221</v>
      </c>
      <c r="T1224" s="23">
        <v>1</v>
      </c>
      <c r="U1224" s="30" t="str">
        <f>VLOOKUP(T1224,[5]Key!$E$2:$F$9,2,FALSE)</f>
        <v>Home</v>
      </c>
      <c r="V1224" s="30" t="str">
        <f t="shared" si="76"/>
        <v>Work-Home</v>
      </c>
      <c r="W1224" s="23">
        <v>10000</v>
      </c>
      <c r="X1224" s="50">
        <v>81</v>
      </c>
      <c r="Y1224" s="50" t="str">
        <f t="shared" si="77"/>
        <v>70-100</v>
      </c>
      <c r="Z1224" s="50">
        <v>1</v>
      </c>
      <c r="AA1224" s="50" t="str">
        <f t="shared" si="78"/>
        <v>1.0-2.0</v>
      </c>
      <c r="AB1224" s="23">
        <v>6</v>
      </c>
      <c r="AC1224" s="30" t="str">
        <f>VLOOKUP(AB1224,[5]Key!$C$20:$D$29,2,FALSE)</f>
        <v>Businessman</v>
      </c>
      <c r="AD1224" s="23">
        <v>5</v>
      </c>
      <c r="AE1224" s="30" t="str">
        <f>VLOOKUP(AD1224,[5]Key!$E$20:$F$24,2,FALSE)</f>
        <v>&gt;1,000,000</v>
      </c>
      <c r="AF1224" s="23"/>
      <c r="AG1224" s="50"/>
      <c r="AH1224" s="50"/>
      <c r="AI1224" s="50"/>
      <c r="AJ1224" s="50"/>
      <c r="AK1224" s="46" t="s">
        <v>94</v>
      </c>
      <c r="AL1224" s="36">
        <v>1000</v>
      </c>
      <c r="AM1224" t="str">
        <f t="shared" si="79"/>
        <v>1000-2000</v>
      </c>
    </row>
    <row r="1225" spans="1:39" x14ac:dyDescent="0.2">
      <c r="A1225" s="44">
        <v>43758</v>
      </c>
      <c r="B1225" s="48">
        <v>0.37708333333333338</v>
      </c>
      <c r="C1225" s="48"/>
      <c r="D1225" s="48" t="s">
        <v>97</v>
      </c>
      <c r="E1225" s="13">
        <v>2</v>
      </c>
      <c r="F1225" s="38" t="str">
        <f>VLOOKUP(E1225,[5]Key!$A$17:$B$21,2,FALSE)</f>
        <v>Road Vehicle</v>
      </c>
      <c r="G1225" s="49">
        <v>4</v>
      </c>
      <c r="H1225" s="39" t="str">
        <f>VLOOKUP(G1225,[5]Key!$A$2:$B$14,2,FALSE)</f>
        <v>Minibus</v>
      </c>
      <c r="I1225" s="13" t="s">
        <v>109</v>
      </c>
      <c r="J1225" s="13">
        <v>2</v>
      </c>
      <c r="K1225" s="40" t="str">
        <f>VLOOKUP(J1225,[5]Key!$A$24:$B$29,2,FALSE)</f>
        <v>30-39</v>
      </c>
      <c r="L1225" s="13" t="s">
        <v>446</v>
      </c>
      <c r="M1225" s="23" t="s">
        <v>439</v>
      </c>
      <c r="N1225" s="13" t="s">
        <v>221</v>
      </c>
      <c r="O1225" s="46">
        <v>2</v>
      </c>
      <c r="P1225" s="30" t="str">
        <f>VLOOKUP(O1225,[5]Key!$E$2:$F$9,2,FALSE)</f>
        <v>Work</v>
      </c>
      <c r="Q1225" s="13" t="s">
        <v>421</v>
      </c>
      <c r="R1225" s="23" t="s">
        <v>421</v>
      </c>
      <c r="S1225" s="13" t="s">
        <v>221</v>
      </c>
      <c r="T1225" s="23">
        <v>4</v>
      </c>
      <c r="U1225" s="30" t="str">
        <f>VLOOKUP(T1225,[5]Key!$E$2:$F$9,2,FALSE)</f>
        <v>Commercial</v>
      </c>
      <c r="V1225" s="30" t="str">
        <f t="shared" si="76"/>
        <v>Work-Commercial</v>
      </c>
      <c r="W1225" s="23">
        <v>90000</v>
      </c>
      <c r="X1225" s="50">
        <v>54</v>
      </c>
      <c r="Y1225" s="50" t="str">
        <f t="shared" si="77"/>
        <v>40-70</v>
      </c>
      <c r="Z1225" s="50">
        <v>2</v>
      </c>
      <c r="AA1225" s="50" t="str">
        <f t="shared" si="78"/>
        <v>2.0-3.5</v>
      </c>
      <c r="AB1225" s="23">
        <v>10</v>
      </c>
      <c r="AC1225" s="30" t="str">
        <f>VLOOKUP(AB1225,[5]Key!$C$20:$D$29,2,FALSE)</f>
        <v>Other</v>
      </c>
      <c r="AD1225" s="23">
        <v>2</v>
      </c>
      <c r="AE1225" s="30" t="str">
        <f>VLOOKUP(AD1225,[5]Key!$E$20:$F$24,2,FALSE)</f>
        <v>300,000-500,000</v>
      </c>
      <c r="AF1225" s="23">
        <v>3</v>
      </c>
      <c r="AG1225" s="50">
        <v>1</v>
      </c>
      <c r="AH1225" s="50">
        <v>2</v>
      </c>
      <c r="AI1225" s="50">
        <v>5</v>
      </c>
      <c r="AJ1225" s="50">
        <v>4</v>
      </c>
      <c r="AK1225" s="46" t="s">
        <v>94</v>
      </c>
      <c r="AL1225" s="36">
        <v>1000</v>
      </c>
      <c r="AM1225" t="str">
        <f t="shared" si="79"/>
        <v>1000-2000</v>
      </c>
    </row>
    <row r="1226" spans="1:39" x14ac:dyDescent="0.2">
      <c r="A1226" s="44">
        <v>43758</v>
      </c>
      <c r="B1226" s="48">
        <v>0.64166666666666672</v>
      </c>
      <c r="C1226" s="48"/>
      <c r="D1226" s="48" t="s">
        <v>97</v>
      </c>
      <c r="E1226" s="13">
        <v>2</v>
      </c>
      <c r="F1226" s="38" t="str">
        <f>VLOOKUP(E1226,[5]Key!$A$17:$B$21,2,FALSE)</f>
        <v>Road Vehicle</v>
      </c>
      <c r="G1226" s="49">
        <v>4</v>
      </c>
      <c r="H1226" s="39" t="str">
        <f>VLOOKUP(G1226,[5]Key!$A$2:$B$14,2,FALSE)</f>
        <v>Minibus</v>
      </c>
      <c r="I1226" s="13" t="s">
        <v>109</v>
      </c>
      <c r="J1226" s="13">
        <v>2</v>
      </c>
      <c r="K1226" s="40" t="str">
        <f>VLOOKUP(J1226,[5]Key!$A$24:$B$29,2,FALSE)</f>
        <v>30-39</v>
      </c>
      <c r="L1226" s="13" t="s">
        <v>787</v>
      </c>
      <c r="M1226" s="23" t="s">
        <v>708</v>
      </c>
      <c r="N1226" s="13" t="s">
        <v>221</v>
      </c>
      <c r="O1226" s="46">
        <v>1</v>
      </c>
      <c r="P1226" s="30" t="str">
        <f>VLOOKUP(O1226,[5]Key!$E$2:$F$9,2,FALSE)</f>
        <v>Home</v>
      </c>
      <c r="Q1226" s="13" t="s">
        <v>488</v>
      </c>
      <c r="R1226" s="23" t="s">
        <v>488</v>
      </c>
      <c r="S1226" s="13" t="s">
        <v>221</v>
      </c>
      <c r="T1226" s="23">
        <v>6</v>
      </c>
      <c r="U1226" s="30" t="str">
        <f>VLOOKUP(T1226,[5]Key!$E$2:$F$9,2,FALSE)</f>
        <v>Leisure/Social</v>
      </c>
      <c r="V1226" s="30" t="str">
        <f t="shared" si="76"/>
        <v>Home-Leisure/Social</v>
      </c>
      <c r="W1226" s="23">
        <v>20000</v>
      </c>
      <c r="X1226" s="50"/>
      <c r="Y1226" s="50" t="str">
        <f t="shared" si="77"/>
        <v>0-10</v>
      </c>
      <c r="Z1226" s="50">
        <v>1</v>
      </c>
      <c r="AA1226" s="50" t="str">
        <f t="shared" si="78"/>
        <v>1.0-2.0</v>
      </c>
      <c r="AB1226" s="23">
        <v>4</v>
      </c>
      <c r="AC1226" s="30" t="str">
        <f>VLOOKUP(AB1226,[5]Key!$C$20:$D$29,2,FALSE)</f>
        <v>Office Worker</v>
      </c>
      <c r="AD1226" s="23">
        <v>2</v>
      </c>
      <c r="AE1226" s="30" t="str">
        <f>VLOOKUP(AD1226,[5]Key!$E$20:$F$24,2,FALSE)</f>
        <v>300,000-500,000</v>
      </c>
      <c r="AF1226" s="23">
        <v>3</v>
      </c>
      <c r="AG1226" s="50">
        <v>1</v>
      </c>
      <c r="AH1226" s="50">
        <v>2</v>
      </c>
      <c r="AI1226" s="50">
        <v>4</v>
      </c>
      <c r="AJ1226" s="50">
        <v>5</v>
      </c>
      <c r="AK1226" s="46" t="s">
        <v>94</v>
      </c>
      <c r="AL1226" s="36">
        <v>500</v>
      </c>
      <c r="AM1226" t="str">
        <f t="shared" si="79"/>
        <v>0-1000</v>
      </c>
    </row>
    <row r="1227" spans="1:39" x14ac:dyDescent="0.2">
      <c r="A1227" s="44">
        <v>43758</v>
      </c>
      <c r="B1227" s="48">
        <v>0.60555555555555551</v>
      </c>
      <c r="C1227" s="48"/>
      <c r="D1227" s="48" t="s">
        <v>150</v>
      </c>
      <c r="E1227" s="13">
        <v>2</v>
      </c>
      <c r="F1227" s="38" t="str">
        <f>VLOOKUP(E1227,[5]Key!$A$17:$B$21,2,FALSE)</f>
        <v>Road Vehicle</v>
      </c>
      <c r="G1227" s="49">
        <v>4</v>
      </c>
      <c r="H1227" s="39" t="str">
        <f>VLOOKUP(G1227,[5]Key!$A$2:$B$14,2,FALSE)</f>
        <v>Minibus</v>
      </c>
      <c r="I1227" s="13" t="s">
        <v>109</v>
      </c>
      <c r="J1227" s="13">
        <v>2</v>
      </c>
      <c r="K1227" s="40" t="str">
        <f>VLOOKUP(J1227,[5]Key!$A$24:$B$29,2,FALSE)</f>
        <v>30-39</v>
      </c>
      <c r="L1227" s="13" t="s">
        <v>446</v>
      </c>
      <c r="M1227" s="23" t="s">
        <v>439</v>
      </c>
      <c r="N1227" s="13" t="s">
        <v>221</v>
      </c>
      <c r="O1227" s="46">
        <v>2</v>
      </c>
      <c r="P1227" s="30" t="str">
        <f>VLOOKUP(O1227,[5]Key!$E$2:$F$9,2,FALSE)</f>
        <v>Work</v>
      </c>
      <c r="Q1227" s="13" t="s">
        <v>441</v>
      </c>
      <c r="R1227" s="23" t="s">
        <v>441</v>
      </c>
      <c r="S1227" s="13" t="s">
        <v>221</v>
      </c>
      <c r="T1227" s="23">
        <v>4</v>
      </c>
      <c r="U1227" s="30" t="str">
        <f>VLOOKUP(T1227,[5]Key!$E$2:$F$9,2,FALSE)</f>
        <v>Commercial</v>
      </c>
      <c r="V1227" s="30" t="str">
        <f t="shared" si="76"/>
        <v>Work-Commercial</v>
      </c>
      <c r="W1227" s="23">
        <v>20000</v>
      </c>
      <c r="X1227" s="50">
        <v>22.53</v>
      </c>
      <c r="Y1227" s="50" t="str">
        <f t="shared" si="77"/>
        <v>20-40</v>
      </c>
      <c r="Z1227" s="50">
        <v>0.3</v>
      </c>
      <c r="AA1227" s="50" t="str">
        <f t="shared" si="78"/>
        <v>0-0.5</v>
      </c>
      <c r="AB1227" s="23">
        <v>10</v>
      </c>
      <c r="AC1227" s="30" t="str">
        <f>VLOOKUP(AB1227,[5]Key!$C$20:$D$29,2,FALSE)</f>
        <v>Other</v>
      </c>
      <c r="AD1227" s="23">
        <v>2</v>
      </c>
      <c r="AE1227" s="30" t="str">
        <f>VLOOKUP(AD1227,[5]Key!$E$20:$F$24,2,FALSE)</f>
        <v>300,000-500,000</v>
      </c>
      <c r="AF1227" s="23">
        <v>2</v>
      </c>
      <c r="AG1227" s="50">
        <v>1</v>
      </c>
      <c r="AH1227" s="50">
        <v>4</v>
      </c>
      <c r="AI1227" s="50">
        <v>3</v>
      </c>
      <c r="AJ1227" s="50">
        <v>5</v>
      </c>
      <c r="AK1227" s="46" t="s">
        <v>94</v>
      </c>
      <c r="AL1227" s="36">
        <v>500</v>
      </c>
      <c r="AM1227" t="str">
        <f t="shared" si="79"/>
        <v>0-1000</v>
      </c>
    </row>
    <row r="1228" spans="1:39" x14ac:dyDescent="0.2">
      <c r="A1228" s="44">
        <v>43758</v>
      </c>
      <c r="B1228" s="48">
        <v>0.30277777777777776</v>
      </c>
      <c r="C1228" s="48"/>
      <c r="D1228" s="48" t="s">
        <v>150</v>
      </c>
      <c r="E1228" s="13">
        <v>2</v>
      </c>
      <c r="F1228" s="38" t="str">
        <f>VLOOKUP(E1228,[5]Key!$A$17:$B$21,2,FALSE)</f>
        <v>Road Vehicle</v>
      </c>
      <c r="G1228" s="49">
        <v>4</v>
      </c>
      <c r="H1228" s="39" t="str">
        <f>VLOOKUP(G1228,[5]Key!$A$2:$B$14,2,FALSE)</f>
        <v>Minibus</v>
      </c>
      <c r="I1228" s="13" t="s">
        <v>109</v>
      </c>
      <c r="J1228" s="13">
        <v>2</v>
      </c>
      <c r="K1228" s="40" t="str">
        <f>VLOOKUP(J1228,[5]Key!$A$24:$B$29,2,FALSE)</f>
        <v>30-39</v>
      </c>
      <c r="L1228" s="13" t="s">
        <v>764</v>
      </c>
      <c r="M1228" s="23" t="s">
        <v>708</v>
      </c>
      <c r="N1228" s="13" t="s">
        <v>221</v>
      </c>
      <c r="O1228" s="46">
        <v>6</v>
      </c>
      <c r="P1228" s="30" t="str">
        <f>VLOOKUP(O1228,[5]Key!$E$2:$F$9,2,FALSE)</f>
        <v>Leisure/Social</v>
      </c>
      <c r="Q1228" s="13" t="s">
        <v>788</v>
      </c>
      <c r="R1228" s="23" t="s">
        <v>153</v>
      </c>
      <c r="S1228" s="13" t="s">
        <v>221</v>
      </c>
      <c r="T1228" s="23">
        <v>1</v>
      </c>
      <c r="U1228" s="30" t="str">
        <f>VLOOKUP(T1228,[5]Key!$E$2:$F$9,2,FALSE)</f>
        <v>Home</v>
      </c>
      <c r="V1228" s="30" t="str">
        <f t="shared" si="76"/>
        <v>Leisure/Social-Home</v>
      </c>
      <c r="W1228" s="23">
        <v>30000</v>
      </c>
      <c r="X1228" s="50"/>
      <c r="Y1228" s="50" t="str">
        <f t="shared" si="77"/>
        <v>0-10</v>
      </c>
      <c r="Z1228" s="50">
        <v>8</v>
      </c>
      <c r="AA1228" s="50" t="str">
        <f t="shared" si="78"/>
        <v>Over 3.5</v>
      </c>
      <c r="AB1228" s="23">
        <v>4</v>
      </c>
      <c r="AC1228" s="30" t="str">
        <f>VLOOKUP(AB1228,[5]Key!$C$20:$D$29,2,FALSE)</f>
        <v>Office Worker</v>
      </c>
      <c r="AD1228" s="23">
        <v>3</v>
      </c>
      <c r="AE1228" s="30" t="str">
        <f>VLOOKUP(AD1228,[5]Key!$E$20:$F$24,2,FALSE)</f>
        <v>500,000-750,000</v>
      </c>
      <c r="AF1228" s="23">
        <v>2</v>
      </c>
      <c r="AG1228" s="50">
        <v>5</v>
      </c>
      <c r="AH1228" s="50">
        <v>4</v>
      </c>
      <c r="AI1228" s="50">
        <v>1</v>
      </c>
      <c r="AJ1228" s="50">
        <v>3</v>
      </c>
      <c r="AK1228" s="46" t="s">
        <v>94</v>
      </c>
      <c r="AL1228" s="36">
        <v>1000</v>
      </c>
      <c r="AM1228" t="str">
        <f t="shared" si="79"/>
        <v>1000-2000</v>
      </c>
    </row>
    <row r="1229" spans="1:39" x14ac:dyDescent="0.2">
      <c r="A1229" s="44">
        <v>43758</v>
      </c>
      <c r="B1229" s="48">
        <v>0.42986111111111108</v>
      </c>
      <c r="C1229" s="48"/>
      <c r="D1229" s="48" t="s">
        <v>97</v>
      </c>
      <c r="E1229" s="13">
        <v>2</v>
      </c>
      <c r="F1229" s="38" t="str">
        <f>VLOOKUP(E1229,[5]Key!$A$17:$B$21,2,FALSE)</f>
        <v>Road Vehicle</v>
      </c>
      <c r="G1229" s="49">
        <v>4</v>
      </c>
      <c r="H1229" s="39" t="str">
        <f>VLOOKUP(G1229,[5]Key!$A$2:$B$14,2,FALSE)</f>
        <v>Minibus</v>
      </c>
      <c r="I1229" s="13" t="s">
        <v>109</v>
      </c>
      <c r="J1229" s="13">
        <v>2</v>
      </c>
      <c r="K1229" s="40" t="str">
        <f>VLOOKUP(J1229,[5]Key!$A$24:$B$29,2,FALSE)</f>
        <v>30-39</v>
      </c>
      <c r="L1229" s="13" t="s">
        <v>446</v>
      </c>
      <c r="M1229" s="23" t="s">
        <v>439</v>
      </c>
      <c r="N1229" s="13" t="s">
        <v>221</v>
      </c>
      <c r="O1229" s="46">
        <v>2</v>
      </c>
      <c r="P1229" s="30" t="str">
        <f>VLOOKUP(O1229,[5]Key!$E$2:$F$9,2,FALSE)</f>
        <v>Work</v>
      </c>
      <c r="Q1229" s="13" t="s">
        <v>719</v>
      </c>
      <c r="R1229" s="23" t="s">
        <v>749</v>
      </c>
      <c r="S1229" s="13" t="s">
        <v>221</v>
      </c>
      <c r="T1229" s="23">
        <v>2</v>
      </c>
      <c r="U1229" s="30" t="str">
        <f>VLOOKUP(T1229,[5]Key!$E$2:$F$9,2,FALSE)</f>
        <v>Work</v>
      </c>
      <c r="V1229" s="30" t="str">
        <f t="shared" si="76"/>
        <v>Work-Work</v>
      </c>
      <c r="W1229" s="23">
        <v>83600</v>
      </c>
      <c r="X1229" s="50">
        <v>167</v>
      </c>
      <c r="Y1229" s="50" t="str">
        <f t="shared" si="77"/>
        <v>100-200</v>
      </c>
      <c r="Z1229" s="50">
        <v>4</v>
      </c>
      <c r="AA1229" s="50" t="str">
        <f t="shared" si="78"/>
        <v>Over 3.5</v>
      </c>
      <c r="AB1229" s="23">
        <v>10</v>
      </c>
      <c r="AC1229" s="30" t="str">
        <f>VLOOKUP(AB1229,[5]Key!$C$20:$D$29,2,FALSE)</f>
        <v>Other</v>
      </c>
      <c r="AD1229" s="23">
        <v>2</v>
      </c>
      <c r="AE1229" s="30" t="str">
        <f>VLOOKUP(AD1229,[5]Key!$E$20:$F$24,2,FALSE)</f>
        <v>300,000-500,000</v>
      </c>
      <c r="AF1229" s="23">
        <v>3</v>
      </c>
      <c r="AG1229" s="50">
        <v>1</v>
      </c>
      <c r="AH1229" s="50">
        <v>4</v>
      </c>
      <c r="AI1229" s="50">
        <v>2</v>
      </c>
      <c r="AJ1229" s="50">
        <v>5</v>
      </c>
      <c r="AK1229" s="46" t="s">
        <v>94</v>
      </c>
      <c r="AL1229" s="36">
        <v>1000</v>
      </c>
      <c r="AM1229" t="str">
        <f t="shared" si="79"/>
        <v>1000-2000</v>
      </c>
    </row>
    <row r="1230" spans="1:39" x14ac:dyDescent="0.2">
      <c r="A1230" s="44">
        <v>43758</v>
      </c>
      <c r="B1230" s="48">
        <v>0.45277777777777778</v>
      </c>
      <c r="C1230" s="48"/>
      <c r="D1230" s="48" t="s">
        <v>150</v>
      </c>
      <c r="E1230" s="13">
        <v>2</v>
      </c>
      <c r="F1230" s="38" t="str">
        <f>VLOOKUP(E1230,[5]Key!$A$17:$B$21,2,FALSE)</f>
        <v>Road Vehicle</v>
      </c>
      <c r="G1230" s="49">
        <v>4</v>
      </c>
      <c r="H1230" s="39" t="str">
        <f>VLOOKUP(G1230,[5]Key!$A$2:$B$14,2,FALSE)</f>
        <v>Minibus</v>
      </c>
      <c r="I1230" s="13" t="s">
        <v>109</v>
      </c>
      <c r="J1230" s="13">
        <v>2</v>
      </c>
      <c r="K1230" s="40" t="str">
        <f>VLOOKUP(J1230,[5]Key!$A$24:$B$29,2,FALSE)</f>
        <v>30-39</v>
      </c>
      <c r="L1230" s="13" t="s">
        <v>789</v>
      </c>
      <c r="M1230" s="23" t="s">
        <v>439</v>
      </c>
      <c r="N1230" s="13" t="s">
        <v>221</v>
      </c>
      <c r="O1230" s="46">
        <v>6</v>
      </c>
      <c r="P1230" s="30" t="str">
        <f>VLOOKUP(O1230,[5]Key!$E$2:$F$9,2,FALSE)</f>
        <v>Leisure/Social</v>
      </c>
      <c r="Q1230" s="13" t="s">
        <v>790</v>
      </c>
      <c r="R1230" s="23" t="s">
        <v>749</v>
      </c>
      <c r="S1230" s="13" t="s">
        <v>221</v>
      </c>
      <c r="T1230" s="23">
        <v>1</v>
      </c>
      <c r="U1230" s="30" t="str">
        <f>VLOOKUP(T1230,[5]Key!$E$2:$F$9,2,FALSE)</f>
        <v>Home</v>
      </c>
      <c r="V1230" s="30" t="str">
        <f t="shared" si="76"/>
        <v>Leisure/Social-Home</v>
      </c>
      <c r="W1230" s="23">
        <v>20000</v>
      </c>
      <c r="X1230" s="50">
        <v>160</v>
      </c>
      <c r="Y1230" s="50" t="str">
        <f t="shared" si="77"/>
        <v>100-200</v>
      </c>
      <c r="Z1230" s="50">
        <v>2.5</v>
      </c>
      <c r="AA1230" s="50" t="str">
        <f t="shared" si="78"/>
        <v>2.0-3.5</v>
      </c>
      <c r="AB1230" s="23">
        <v>6</v>
      </c>
      <c r="AC1230" s="30" t="str">
        <f>VLOOKUP(AB1230,[5]Key!$C$20:$D$29,2,FALSE)</f>
        <v>Businessman</v>
      </c>
      <c r="AD1230" s="23">
        <v>3</v>
      </c>
      <c r="AE1230" s="30" t="str">
        <f>VLOOKUP(AD1230,[5]Key!$E$20:$F$24,2,FALSE)</f>
        <v>500,000-750,000</v>
      </c>
      <c r="AF1230" s="23">
        <v>2</v>
      </c>
      <c r="AG1230" s="50">
        <v>4</v>
      </c>
      <c r="AH1230" s="50">
        <v>3</v>
      </c>
      <c r="AI1230" s="50">
        <v>1</v>
      </c>
      <c r="AJ1230" s="50">
        <v>5</v>
      </c>
      <c r="AK1230" s="46" t="s">
        <v>94</v>
      </c>
      <c r="AL1230" s="36">
        <v>2000</v>
      </c>
      <c r="AM1230" t="str">
        <f t="shared" si="79"/>
        <v>2000-3000</v>
      </c>
    </row>
    <row r="1231" spans="1:39" x14ac:dyDescent="0.2">
      <c r="A1231" s="44">
        <v>43758</v>
      </c>
      <c r="B1231" s="48">
        <v>0.62013888888888891</v>
      </c>
      <c r="C1231" s="48"/>
      <c r="D1231" s="48" t="s">
        <v>97</v>
      </c>
      <c r="E1231" s="13">
        <v>2</v>
      </c>
      <c r="F1231" s="38" t="str">
        <f>VLOOKUP(E1231,[5]Key!$A$17:$B$21,2,FALSE)</f>
        <v>Road Vehicle</v>
      </c>
      <c r="G1231" s="49">
        <v>4</v>
      </c>
      <c r="H1231" s="39" t="str">
        <f>VLOOKUP(G1231,[5]Key!$A$2:$B$14,2,FALSE)</f>
        <v>Minibus</v>
      </c>
      <c r="I1231" s="13" t="s">
        <v>109</v>
      </c>
      <c r="J1231" s="13">
        <v>2</v>
      </c>
      <c r="K1231" s="40" t="str">
        <f>VLOOKUP(J1231,[5]Key!$A$24:$B$29,2,FALSE)</f>
        <v>30-39</v>
      </c>
      <c r="L1231" s="13" t="s">
        <v>756</v>
      </c>
      <c r="M1231" s="23" t="s">
        <v>452</v>
      </c>
      <c r="N1231" s="13" t="s">
        <v>221</v>
      </c>
      <c r="O1231" s="46">
        <v>2</v>
      </c>
      <c r="P1231" s="30" t="str">
        <f>VLOOKUP(O1231,[5]Key!$E$2:$F$9,2,FALSE)</f>
        <v>Work</v>
      </c>
      <c r="Q1231" s="13" t="s">
        <v>463</v>
      </c>
      <c r="R1231" s="23" t="s">
        <v>463</v>
      </c>
      <c r="S1231" s="13" t="s">
        <v>221</v>
      </c>
      <c r="T1231" s="23">
        <v>2</v>
      </c>
      <c r="U1231" s="30" t="str">
        <f>VLOOKUP(T1231,[5]Key!$E$2:$F$9,2,FALSE)</f>
        <v>Work</v>
      </c>
      <c r="V1231" s="30" t="str">
        <f t="shared" si="76"/>
        <v>Work-Work</v>
      </c>
      <c r="W1231" s="23">
        <v>40000</v>
      </c>
      <c r="X1231" s="50">
        <v>30</v>
      </c>
      <c r="Y1231" s="50" t="str">
        <f t="shared" si="77"/>
        <v>20-40</v>
      </c>
      <c r="Z1231" s="50">
        <v>0.6</v>
      </c>
      <c r="AA1231" s="50" t="str">
        <f t="shared" si="78"/>
        <v>0.5-1.0</v>
      </c>
      <c r="AB1231" s="23">
        <v>10</v>
      </c>
      <c r="AC1231" s="30" t="str">
        <f>VLOOKUP(AB1231,[5]Key!$C$20:$D$29,2,FALSE)</f>
        <v>Other</v>
      </c>
      <c r="AD1231" s="23">
        <v>2</v>
      </c>
      <c r="AE1231" s="30" t="str">
        <f>VLOOKUP(AD1231,[5]Key!$E$20:$F$24,2,FALSE)</f>
        <v>300,000-500,000</v>
      </c>
      <c r="AF1231" s="23">
        <v>5</v>
      </c>
      <c r="AG1231" s="50">
        <v>2</v>
      </c>
      <c r="AH1231" s="50">
        <v>1</v>
      </c>
      <c r="AI1231" s="50">
        <v>3</v>
      </c>
      <c r="AJ1231" s="50">
        <v>4</v>
      </c>
      <c r="AK1231" s="46" t="s">
        <v>94</v>
      </c>
      <c r="AL1231" s="36">
        <v>1000</v>
      </c>
      <c r="AM1231" t="str">
        <f t="shared" si="79"/>
        <v>1000-2000</v>
      </c>
    </row>
    <row r="1232" spans="1:39" x14ac:dyDescent="0.2">
      <c r="A1232" s="44">
        <v>43758</v>
      </c>
      <c r="B1232" s="48">
        <v>0.48749999999999999</v>
      </c>
      <c r="C1232" s="48"/>
      <c r="D1232" s="48" t="s">
        <v>97</v>
      </c>
      <c r="E1232" s="13">
        <v>2</v>
      </c>
      <c r="F1232" s="38" t="str">
        <f>VLOOKUP(E1232,[5]Key!$A$17:$B$21,2,FALSE)</f>
        <v>Road Vehicle</v>
      </c>
      <c r="G1232" s="49">
        <v>4</v>
      </c>
      <c r="H1232" s="39" t="str">
        <f>VLOOKUP(G1232,[5]Key!$A$2:$B$14,2,FALSE)</f>
        <v>Minibus</v>
      </c>
      <c r="I1232" s="13" t="s">
        <v>109</v>
      </c>
      <c r="J1232" s="13">
        <v>2</v>
      </c>
      <c r="K1232" s="40" t="str">
        <f>VLOOKUP(J1232,[5]Key!$A$24:$B$29,2,FALSE)</f>
        <v>30-39</v>
      </c>
      <c r="L1232" s="13" t="s">
        <v>446</v>
      </c>
      <c r="M1232" s="23" t="s">
        <v>439</v>
      </c>
      <c r="N1232" s="13" t="s">
        <v>221</v>
      </c>
      <c r="O1232" s="46">
        <v>2</v>
      </c>
      <c r="P1232" s="30" t="str">
        <f>VLOOKUP(O1232,[5]Key!$E$2:$F$9,2,FALSE)</f>
        <v>Work</v>
      </c>
      <c r="Q1232" s="13" t="s">
        <v>729</v>
      </c>
      <c r="R1232" s="23" t="s">
        <v>708</v>
      </c>
      <c r="S1232" s="13" t="s">
        <v>221</v>
      </c>
      <c r="T1232" s="23">
        <v>2</v>
      </c>
      <c r="U1232" s="30" t="str">
        <f>VLOOKUP(T1232,[5]Key!$E$2:$F$9,2,FALSE)</f>
        <v>Work</v>
      </c>
      <c r="V1232" s="30" t="str">
        <f t="shared" si="76"/>
        <v>Work-Work</v>
      </c>
      <c r="W1232" s="23">
        <v>40000</v>
      </c>
      <c r="X1232" s="50"/>
      <c r="Y1232" s="50" t="str">
        <f t="shared" si="77"/>
        <v>0-10</v>
      </c>
      <c r="Z1232" s="50">
        <v>1</v>
      </c>
      <c r="AA1232" s="50" t="str">
        <f t="shared" si="78"/>
        <v>1.0-2.0</v>
      </c>
      <c r="AB1232" s="23">
        <v>10</v>
      </c>
      <c r="AC1232" s="30" t="str">
        <f>VLOOKUP(AB1232,[5]Key!$C$20:$D$29,2,FALSE)</f>
        <v>Other</v>
      </c>
      <c r="AD1232" s="23">
        <v>2</v>
      </c>
      <c r="AE1232" s="30" t="str">
        <f>VLOOKUP(AD1232,[5]Key!$E$20:$F$24,2,FALSE)</f>
        <v>300,000-500,000</v>
      </c>
      <c r="AF1232" s="23">
        <v>4</v>
      </c>
      <c r="AG1232" s="50">
        <v>1</v>
      </c>
      <c r="AH1232" s="50">
        <v>3</v>
      </c>
      <c r="AI1232" s="50">
        <v>2</v>
      </c>
      <c r="AJ1232" s="50">
        <v>5</v>
      </c>
      <c r="AK1232" s="46" t="s">
        <v>94</v>
      </c>
      <c r="AL1232" s="36">
        <v>500</v>
      </c>
      <c r="AM1232" t="str">
        <f t="shared" si="79"/>
        <v>0-1000</v>
      </c>
    </row>
    <row r="1233" spans="1:39" x14ac:dyDescent="0.2">
      <c r="A1233" s="44">
        <v>43758</v>
      </c>
      <c r="B1233" s="48">
        <v>0.66041666666666665</v>
      </c>
      <c r="C1233" s="48"/>
      <c r="D1233" s="48" t="s">
        <v>150</v>
      </c>
      <c r="E1233" s="13">
        <v>2</v>
      </c>
      <c r="F1233" s="38" t="str">
        <f>VLOOKUP(E1233,[5]Key!$A$17:$B$21,2,FALSE)</f>
        <v>Road Vehicle</v>
      </c>
      <c r="G1233" s="49">
        <v>4</v>
      </c>
      <c r="H1233" s="39" t="str">
        <f>VLOOKUP(G1233,[5]Key!$A$2:$B$14,2,FALSE)</f>
        <v>Minibus</v>
      </c>
      <c r="I1233" s="13" t="s">
        <v>109</v>
      </c>
      <c r="J1233" s="13">
        <v>2</v>
      </c>
      <c r="K1233" s="40" t="str">
        <f>VLOOKUP(J1233,[5]Key!$A$24:$B$29,2,FALSE)</f>
        <v>30-39</v>
      </c>
      <c r="L1233" s="13" t="s">
        <v>768</v>
      </c>
      <c r="M1233" s="23" t="s">
        <v>439</v>
      </c>
      <c r="N1233" s="13" t="s">
        <v>221</v>
      </c>
      <c r="O1233" s="46">
        <v>1</v>
      </c>
      <c r="P1233" s="30" t="str">
        <f>VLOOKUP(O1233,[5]Key!$E$2:$F$9,2,FALSE)</f>
        <v>Home</v>
      </c>
      <c r="Q1233" s="13" t="s">
        <v>756</v>
      </c>
      <c r="R1233" s="23" t="s">
        <v>452</v>
      </c>
      <c r="S1233" s="13" t="s">
        <v>221</v>
      </c>
      <c r="T1233" s="23">
        <v>6</v>
      </c>
      <c r="U1233" s="30" t="str">
        <f>VLOOKUP(T1233,[5]Key!$E$2:$F$9,2,FALSE)</f>
        <v>Leisure/Social</v>
      </c>
      <c r="V1233" s="30" t="str">
        <f t="shared" si="76"/>
        <v>Home-Leisure/Social</v>
      </c>
      <c r="W1233" s="23">
        <v>4000</v>
      </c>
      <c r="X1233" s="50"/>
      <c r="Y1233" s="50" t="str">
        <f t="shared" si="77"/>
        <v>0-10</v>
      </c>
      <c r="Z1233" s="50">
        <v>0.7</v>
      </c>
      <c r="AA1233" s="50" t="str">
        <f t="shared" si="78"/>
        <v>0.5-1.0</v>
      </c>
      <c r="AB1233" s="23">
        <v>4</v>
      </c>
      <c r="AC1233" s="30" t="str">
        <f>VLOOKUP(AB1233,[5]Key!$C$20:$D$29,2,FALSE)</f>
        <v>Office Worker</v>
      </c>
      <c r="AD1233" s="23">
        <v>2</v>
      </c>
      <c r="AE1233" s="30" t="str">
        <f>VLOOKUP(AD1233,[5]Key!$E$20:$F$24,2,FALSE)</f>
        <v>300,000-500,000</v>
      </c>
      <c r="AF1233" s="23">
        <v>5</v>
      </c>
      <c r="AG1233" s="50">
        <v>2</v>
      </c>
      <c r="AH1233" s="50">
        <v>1</v>
      </c>
      <c r="AI1233" s="50">
        <v>3</v>
      </c>
      <c r="AJ1233" s="50">
        <v>4</v>
      </c>
      <c r="AK1233" s="46" t="s">
        <v>94</v>
      </c>
      <c r="AL1233" s="36">
        <v>1000</v>
      </c>
      <c r="AM1233" t="str">
        <f t="shared" si="79"/>
        <v>1000-2000</v>
      </c>
    </row>
    <row r="1234" spans="1:39" x14ac:dyDescent="0.2">
      <c r="A1234" s="44">
        <v>43758</v>
      </c>
      <c r="B1234" s="48">
        <v>0.60069444444444442</v>
      </c>
      <c r="C1234" s="48"/>
      <c r="D1234" s="48" t="s">
        <v>97</v>
      </c>
      <c r="E1234" s="13">
        <v>2</v>
      </c>
      <c r="F1234" s="38" t="str">
        <f>VLOOKUP(E1234,[5]Key!$A$17:$B$21,2,FALSE)</f>
        <v>Road Vehicle</v>
      </c>
      <c r="G1234" s="49">
        <v>4</v>
      </c>
      <c r="H1234" s="39" t="str">
        <f>VLOOKUP(G1234,[5]Key!$A$2:$B$14,2,FALSE)</f>
        <v>Minibus</v>
      </c>
      <c r="I1234" s="13" t="s">
        <v>109</v>
      </c>
      <c r="J1234" s="13">
        <v>2</v>
      </c>
      <c r="K1234" s="40" t="str">
        <f>VLOOKUP(J1234,[5]Key!$A$24:$B$29,2,FALSE)</f>
        <v>30-39</v>
      </c>
      <c r="L1234" s="13" t="s">
        <v>719</v>
      </c>
      <c r="M1234" s="23" t="s">
        <v>734</v>
      </c>
      <c r="N1234" s="13" t="s">
        <v>221</v>
      </c>
      <c r="O1234" s="46">
        <v>2</v>
      </c>
      <c r="P1234" s="30" t="str">
        <f>VLOOKUP(O1234,[5]Key!$E$2:$F$9,2,FALSE)</f>
        <v>Work</v>
      </c>
      <c r="Q1234" s="13" t="s">
        <v>719</v>
      </c>
      <c r="R1234" s="23" t="s">
        <v>734</v>
      </c>
      <c r="S1234" s="13" t="s">
        <v>221</v>
      </c>
      <c r="T1234" s="23">
        <v>2</v>
      </c>
      <c r="U1234" s="30" t="str">
        <f>VLOOKUP(T1234,[5]Key!$E$2:$F$9,2,FALSE)</f>
        <v>Work</v>
      </c>
      <c r="V1234" s="30" t="str">
        <f t="shared" si="76"/>
        <v>Work-Work</v>
      </c>
      <c r="W1234" s="23">
        <v>45000</v>
      </c>
      <c r="X1234" s="50">
        <v>50</v>
      </c>
      <c r="Y1234" s="50" t="str">
        <f t="shared" si="77"/>
        <v>40-70</v>
      </c>
      <c r="Z1234" s="50">
        <v>0.7</v>
      </c>
      <c r="AA1234" s="50" t="str">
        <f t="shared" si="78"/>
        <v>0.5-1.0</v>
      </c>
      <c r="AB1234" s="23">
        <v>10</v>
      </c>
      <c r="AC1234" s="30" t="str">
        <f>VLOOKUP(AB1234,[5]Key!$C$20:$D$29,2,FALSE)</f>
        <v>Other</v>
      </c>
      <c r="AD1234" s="23">
        <v>2</v>
      </c>
      <c r="AE1234" s="30" t="str">
        <f>VLOOKUP(AD1234,[5]Key!$E$20:$F$24,2,FALSE)</f>
        <v>300,000-500,000</v>
      </c>
      <c r="AF1234" s="23">
        <v>5</v>
      </c>
      <c r="AG1234" s="50">
        <v>1</v>
      </c>
      <c r="AH1234" s="50">
        <v>3</v>
      </c>
      <c r="AI1234" s="50">
        <v>2</v>
      </c>
      <c r="AJ1234" s="50">
        <v>4</v>
      </c>
      <c r="AK1234" s="46" t="s">
        <v>94</v>
      </c>
      <c r="AL1234" s="36">
        <v>200</v>
      </c>
      <c r="AM1234" t="str">
        <f t="shared" si="79"/>
        <v>0-1000</v>
      </c>
    </row>
    <row r="1235" spans="1:39" x14ac:dyDescent="0.2">
      <c r="A1235" s="44">
        <v>43758</v>
      </c>
      <c r="B1235" s="48">
        <v>0.68194444444444446</v>
      </c>
      <c r="C1235" s="48"/>
      <c r="D1235" s="48" t="s">
        <v>97</v>
      </c>
      <c r="E1235" s="13">
        <v>2</v>
      </c>
      <c r="F1235" s="38" t="str">
        <f>VLOOKUP(E1235,[5]Key!$A$17:$B$21,2,FALSE)</f>
        <v>Road Vehicle</v>
      </c>
      <c r="G1235" s="49">
        <v>4</v>
      </c>
      <c r="H1235" s="39" t="str">
        <f>VLOOKUP(G1235,[5]Key!$A$2:$B$14,2,FALSE)</f>
        <v>Minibus</v>
      </c>
      <c r="I1235" s="13" t="s">
        <v>109</v>
      </c>
      <c r="J1235" s="13">
        <v>2</v>
      </c>
      <c r="K1235" s="40" t="str">
        <f>VLOOKUP(J1235,[5]Key!$A$24:$B$29,2,FALSE)</f>
        <v>30-39</v>
      </c>
      <c r="L1235" s="13" t="s">
        <v>446</v>
      </c>
      <c r="M1235" s="23" t="s">
        <v>439</v>
      </c>
      <c r="N1235" s="13" t="s">
        <v>221</v>
      </c>
      <c r="O1235" s="46">
        <v>2</v>
      </c>
      <c r="P1235" s="30" t="str">
        <f>VLOOKUP(O1235,[5]Key!$E$2:$F$9,2,FALSE)</f>
        <v>Work</v>
      </c>
      <c r="Q1235" s="13" t="s">
        <v>719</v>
      </c>
      <c r="R1235" s="23" t="s">
        <v>749</v>
      </c>
      <c r="S1235" s="13" t="s">
        <v>221</v>
      </c>
      <c r="T1235" s="23">
        <v>2</v>
      </c>
      <c r="U1235" s="30" t="str">
        <f>VLOOKUP(T1235,[5]Key!$E$2:$F$9,2,FALSE)</f>
        <v>Work</v>
      </c>
      <c r="V1235" s="30" t="str">
        <f t="shared" si="76"/>
        <v>Work-Work</v>
      </c>
      <c r="W1235" s="23">
        <v>95000</v>
      </c>
      <c r="X1235" s="50">
        <v>130</v>
      </c>
      <c r="Y1235" s="50" t="str">
        <f t="shared" si="77"/>
        <v>100-200</v>
      </c>
      <c r="Z1235" s="50">
        <v>2</v>
      </c>
      <c r="AA1235" s="50" t="str">
        <f t="shared" si="78"/>
        <v>2.0-3.5</v>
      </c>
      <c r="AB1235" s="23">
        <v>10</v>
      </c>
      <c r="AC1235" s="30" t="str">
        <f>VLOOKUP(AB1235,[5]Key!$C$20:$D$29,2,FALSE)</f>
        <v>Other</v>
      </c>
      <c r="AD1235" s="23">
        <v>2</v>
      </c>
      <c r="AE1235" s="30" t="str">
        <f>VLOOKUP(AD1235,[5]Key!$E$20:$F$24,2,FALSE)</f>
        <v>300,000-500,000</v>
      </c>
      <c r="AF1235" s="23">
        <v>5</v>
      </c>
      <c r="AG1235" s="50">
        <v>1</v>
      </c>
      <c r="AH1235" s="50">
        <v>3</v>
      </c>
      <c r="AI1235" s="50">
        <v>4</v>
      </c>
      <c r="AJ1235" s="50">
        <v>2</v>
      </c>
      <c r="AK1235" s="46" t="s">
        <v>94</v>
      </c>
      <c r="AL1235" s="36">
        <v>500</v>
      </c>
      <c r="AM1235" t="str">
        <f t="shared" si="79"/>
        <v>0-1000</v>
      </c>
    </row>
    <row r="1236" spans="1:39" x14ac:dyDescent="0.2">
      <c r="A1236" s="44">
        <v>43758</v>
      </c>
      <c r="B1236" s="48">
        <v>0.78402777777777777</v>
      </c>
      <c r="C1236" s="48"/>
      <c r="D1236" s="48" t="s">
        <v>97</v>
      </c>
      <c r="E1236" s="13">
        <v>2</v>
      </c>
      <c r="F1236" s="38" t="str">
        <f>VLOOKUP(E1236,[5]Key!$A$17:$B$21,2,FALSE)</f>
        <v>Road Vehicle</v>
      </c>
      <c r="G1236" s="49">
        <v>4</v>
      </c>
      <c r="H1236" s="39" t="str">
        <f>VLOOKUP(G1236,[5]Key!$A$2:$B$14,2,FALSE)</f>
        <v>Minibus</v>
      </c>
      <c r="I1236" s="13" t="s">
        <v>109</v>
      </c>
      <c r="J1236" s="13">
        <v>2</v>
      </c>
      <c r="K1236" s="40" t="str">
        <f>VLOOKUP(J1236,[5]Key!$A$24:$B$29,2,FALSE)</f>
        <v>30-39</v>
      </c>
      <c r="L1236" s="13" t="s">
        <v>446</v>
      </c>
      <c r="M1236" s="23" t="s">
        <v>439</v>
      </c>
      <c r="N1236" s="13" t="s">
        <v>221</v>
      </c>
      <c r="O1236" s="46">
        <v>2</v>
      </c>
      <c r="P1236" s="30" t="str">
        <f>VLOOKUP(O1236,[5]Key!$E$2:$F$9,2,FALSE)</f>
        <v>Work</v>
      </c>
      <c r="Q1236" s="13" t="s">
        <v>719</v>
      </c>
      <c r="R1236" s="23" t="s">
        <v>421</v>
      </c>
      <c r="S1236" s="13" t="s">
        <v>221</v>
      </c>
      <c r="T1236" s="23">
        <v>2</v>
      </c>
      <c r="U1236" s="30" t="str">
        <f>VLOOKUP(T1236,[5]Key!$E$2:$F$9,2,FALSE)</f>
        <v>Work</v>
      </c>
      <c r="V1236" s="30" t="str">
        <f t="shared" si="76"/>
        <v>Work-Work</v>
      </c>
      <c r="W1236" s="23">
        <v>70000</v>
      </c>
      <c r="X1236" s="50"/>
      <c r="Y1236" s="50" t="str">
        <f t="shared" si="77"/>
        <v>0-10</v>
      </c>
      <c r="Z1236" s="50">
        <v>0.8</v>
      </c>
      <c r="AA1236" s="50" t="str">
        <f t="shared" si="78"/>
        <v>0.5-1.0</v>
      </c>
      <c r="AB1236" s="23">
        <v>10</v>
      </c>
      <c r="AC1236" s="30" t="str">
        <f>VLOOKUP(AB1236,[5]Key!$C$20:$D$29,2,FALSE)</f>
        <v>Other</v>
      </c>
      <c r="AD1236" s="23">
        <v>1</v>
      </c>
      <c r="AE1236" s="30" t="str">
        <f>VLOOKUP(AD1236,[5]Key!$E$20:$F$24,2,FALSE)</f>
        <v>&lt;300,000</v>
      </c>
      <c r="AF1236" s="23">
        <v>5</v>
      </c>
      <c r="AG1236" s="50">
        <v>2</v>
      </c>
      <c r="AH1236" s="50">
        <v>1</v>
      </c>
      <c r="AI1236" s="50">
        <v>3</v>
      </c>
      <c r="AJ1236" s="50">
        <v>4</v>
      </c>
      <c r="AK1236" s="46" t="s">
        <v>94</v>
      </c>
      <c r="AL1236" s="36">
        <v>1000</v>
      </c>
      <c r="AM1236" t="str">
        <f t="shared" si="79"/>
        <v>1000-2000</v>
      </c>
    </row>
    <row r="1237" spans="1:39" x14ac:dyDescent="0.2">
      <c r="A1237" s="44">
        <v>43758</v>
      </c>
      <c r="B1237" s="48">
        <v>0.45833333333333331</v>
      </c>
      <c r="C1237" s="48"/>
      <c r="D1237" s="48" t="s">
        <v>150</v>
      </c>
      <c r="E1237" s="13">
        <v>2</v>
      </c>
      <c r="F1237" s="38" t="str">
        <f>VLOOKUP(E1237,[5]Key!$A$17:$B$21,2,FALSE)</f>
        <v>Road Vehicle</v>
      </c>
      <c r="G1237" s="49">
        <v>4</v>
      </c>
      <c r="H1237" s="39" t="str">
        <f>VLOOKUP(G1237,[5]Key!$A$2:$B$14,2,FALSE)</f>
        <v>Minibus</v>
      </c>
      <c r="I1237" s="13" t="s">
        <v>109</v>
      </c>
      <c r="J1237" s="13">
        <v>2</v>
      </c>
      <c r="K1237" s="40" t="str">
        <f>VLOOKUP(J1237,[5]Key!$A$24:$B$29,2,FALSE)</f>
        <v>30-39</v>
      </c>
      <c r="L1237" s="13" t="s">
        <v>446</v>
      </c>
      <c r="M1237" s="23" t="s">
        <v>439</v>
      </c>
      <c r="N1237" s="13" t="s">
        <v>221</v>
      </c>
      <c r="O1237" s="46">
        <v>4</v>
      </c>
      <c r="P1237" s="30" t="str">
        <f>VLOOKUP(O1237,[5]Key!$E$2:$F$9,2,FALSE)</f>
        <v>Commercial</v>
      </c>
      <c r="Q1237" s="13" t="s">
        <v>791</v>
      </c>
      <c r="R1237" s="23" t="s">
        <v>463</v>
      </c>
      <c r="S1237" s="13" t="s">
        <v>221</v>
      </c>
      <c r="T1237" s="23">
        <v>4</v>
      </c>
      <c r="U1237" s="30" t="str">
        <f>VLOOKUP(T1237,[5]Key!$E$2:$F$9,2,FALSE)</f>
        <v>Commercial</v>
      </c>
      <c r="V1237" s="30" t="str">
        <f t="shared" si="76"/>
        <v>Commercial-Commercial</v>
      </c>
      <c r="W1237" s="23">
        <v>4000</v>
      </c>
      <c r="X1237" s="50">
        <v>25</v>
      </c>
      <c r="Y1237" s="50" t="str">
        <f t="shared" si="77"/>
        <v>20-40</v>
      </c>
      <c r="Z1237" s="50">
        <v>0.5</v>
      </c>
      <c r="AA1237" s="50" t="str">
        <f t="shared" si="78"/>
        <v>0.5-1.0</v>
      </c>
      <c r="AB1237" s="23">
        <v>6</v>
      </c>
      <c r="AC1237" s="30" t="str">
        <f>VLOOKUP(AB1237,[5]Key!$C$20:$D$29,2,FALSE)</f>
        <v>Businessman</v>
      </c>
      <c r="AD1237" s="23">
        <v>2</v>
      </c>
      <c r="AE1237" s="30" t="str">
        <f>VLOOKUP(AD1237,[5]Key!$E$20:$F$24,2,FALSE)</f>
        <v>300,000-500,000</v>
      </c>
      <c r="AF1237" s="23">
        <v>2</v>
      </c>
      <c r="AG1237" s="50">
        <v>1</v>
      </c>
      <c r="AH1237" s="50">
        <v>4</v>
      </c>
      <c r="AI1237" s="50">
        <v>3</v>
      </c>
      <c r="AJ1237" s="50">
        <v>5</v>
      </c>
      <c r="AK1237" s="46" t="s">
        <v>94</v>
      </c>
      <c r="AL1237" s="36"/>
      <c r="AM1237" t="str">
        <f t="shared" si="79"/>
        <v>0-1000</v>
      </c>
    </row>
    <row r="1238" spans="1:39" x14ac:dyDescent="0.2">
      <c r="A1238" s="44">
        <v>43758</v>
      </c>
      <c r="B1238" s="48">
        <v>0.40972222222222227</v>
      </c>
      <c r="C1238" s="48"/>
      <c r="D1238" s="48" t="s">
        <v>97</v>
      </c>
      <c r="E1238" s="13">
        <v>2</v>
      </c>
      <c r="F1238" s="38" t="str">
        <f>VLOOKUP(E1238,[5]Key!$A$17:$B$21,2,FALSE)</f>
        <v>Road Vehicle</v>
      </c>
      <c r="G1238" s="49">
        <v>4</v>
      </c>
      <c r="H1238" s="39" t="str">
        <f>VLOOKUP(G1238,[5]Key!$A$2:$B$14,2,FALSE)</f>
        <v>Minibus</v>
      </c>
      <c r="I1238" s="13" t="s">
        <v>109</v>
      </c>
      <c r="J1238" s="13">
        <v>2</v>
      </c>
      <c r="K1238" s="40" t="str">
        <f>VLOOKUP(J1238,[5]Key!$A$24:$B$29,2,FALSE)</f>
        <v>30-39</v>
      </c>
      <c r="L1238" s="13" t="s">
        <v>452</v>
      </c>
      <c r="M1238" s="23" t="s">
        <v>452</v>
      </c>
      <c r="N1238" s="13" t="s">
        <v>221</v>
      </c>
      <c r="O1238" s="46">
        <v>2</v>
      </c>
      <c r="P1238" s="30" t="str">
        <f>VLOOKUP(O1238,[5]Key!$E$2:$F$9,2,FALSE)</f>
        <v>Work</v>
      </c>
      <c r="Q1238" s="13" t="s">
        <v>421</v>
      </c>
      <c r="R1238" s="23" t="s">
        <v>421</v>
      </c>
      <c r="S1238" s="13" t="s">
        <v>221</v>
      </c>
      <c r="T1238" s="23">
        <v>2</v>
      </c>
      <c r="U1238" s="30" t="str">
        <f>VLOOKUP(T1238,[5]Key!$E$2:$F$9,2,FALSE)</f>
        <v>Work</v>
      </c>
      <c r="V1238" s="30" t="str">
        <f t="shared" si="76"/>
        <v>Work-Work</v>
      </c>
      <c r="W1238" s="23">
        <v>45600</v>
      </c>
      <c r="X1238" s="50">
        <v>445</v>
      </c>
      <c r="Y1238" s="50" t="str">
        <f t="shared" si="77"/>
        <v>Over 200</v>
      </c>
      <c r="Z1238" s="50">
        <v>4</v>
      </c>
      <c r="AA1238" s="50" t="str">
        <f t="shared" si="78"/>
        <v>Over 3.5</v>
      </c>
      <c r="AB1238" s="23">
        <v>10</v>
      </c>
      <c r="AC1238" s="30" t="str">
        <f>VLOOKUP(AB1238,[5]Key!$C$20:$D$29,2,FALSE)</f>
        <v>Other</v>
      </c>
      <c r="AD1238" s="23">
        <v>1</v>
      </c>
      <c r="AE1238" s="30" t="str">
        <f>VLOOKUP(AD1238,[5]Key!$E$20:$F$24,2,FALSE)</f>
        <v>&lt;300,000</v>
      </c>
      <c r="AF1238" s="23">
        <v>2</v>
      </c>
      <c r="AG1238" s="50">
        <v>1</v>
      </c>
      <c r="AH1238" s="50">
        <v>3</v>
      </c>
      <c r="AI1238" s="50">
        <v>4</v>
      </c>
      <c r="AJ1238" s="50">
        <v>5</v>
      </c>
      <c r="AK1238" s="46" t="s">
        <v>94</v>
      </c>
      <c r="AL1238" s="36"/>
      <c r="AM1238" t="str">
        <f t="shared" si="79"/>
        <v>0-1000</v>
      </c>
    </row>
    <row r="1239" spans="1:39" x14ac:dyDescent="0.2">
      <c r="A1239" s="44">
        <v>43758</v>
      </c>
      <c r="B1239" s="48">
        <v>0.41666666666666669</v>
      </c>
      <c r="C1239" s="48"/>
      <c r="D1239" s="48" t="s">
        <v>150</v>
      </c>
      <c r="E1239" s="13">
        <v>2</v>
      </c>
      <c r="F1239" s="38" t="str">
        <f>VLOOKUP(E1239,[5]Key!$A$17:$B$21,2,FALSE)</f>
        <v>Road Vehicle</v>
      </c>
      <c r="G1239" s="49">
        <v>4</v>
      </c>
      <c r="H1239" s="39" t="str">
        <f>VLOOKUP(G1239,[5]Key!$A$2:$B$14,2,FALSE)</f>
        <v>Minibus</v>
      </c>
      <c r="I1239" s="13" t="s">
        <v>109</v>
      </c>
      <c r="J1239" s="13">
        <v>2</v>
      </c>
      <c r="K1239" s="40" t="str">
        <f>VLOOKUP(J1239,[5]Key!$A$24:$B$29,2,FALSE)</f>
        <v>30-39</v>
      </c>
      <c r="L1239" s="13" t="s">
        <v>709</v>
      </c>
      <c r="M1239" s="23" t="s">
        <v>439</v>
      </c>
      <c r="N1239" s="13" t="s">
        <v>221</v>
      </c>
      <c r="O1239" s="46">
        <v>1</v>
      </c>
      <c r="P1239" s="30" t="str">
        <f>VLOOKUP(O1239,[5]Key!$E$2:$F$9,2,FALSE)</f>
        <v>Home</v>
      </c>
      <c r="Q1239" s="13" t="s">
        <v>726</v>
      </c>
      <c r="R1239" s="23" t="s">
        <v>441</v>
      </c>
      <c r="S1239" s="13" t="s">
        <v>221</v>
      </c>
      <c r="T1239" s="23">
        <v>8</v>
      </c>
      <c r="U1239" s="30" t="str">
        <f>VLOOKUP(T1239,[5]Key!$E$2:$F$9,2,FALSE)</f>
        <v>Others</v>
      </c>
      <c r="V1239" s="30" t="str">
        <f t="shared" si="76"/>
        <v>Home-Others</v>
      </c>
      <c r="W1239" s="23">
        <v>4000</v>
      </c>
      <c r="X1239" s="50"/>
      <c r="Y1239" s="50" t="str">
        <f t="shared" si="77"/>
        <v>0-10</v>
      </c>
      <c r="Z1239" s="50">
        <v>0.7</v>
      </c>
      <c r="AA1239" s="50" t="str">
        <f t="shared" si="78"/>
        <v>0.5-1.0</v>
      </c>
      <c r="AB1239" s="23">
        <v>7</v>
      </c>
      <c r="AC1239" s="30" t="str">
        <f>VLOOKUP(AB1239,[5]Key!$C$20:$D$29,2,FALSE)</f>
        <v>Farmer</v>
      </c>
      <c r="AD1239" s="23">
        <v>1</v>
      </c>
      <c r="AE1239" s="30" t="str">
        <f>VLOOKUP(AD1239,[5]Key!$E$20:$F$24,2,FALSE)</f>
        <v>&lt;300,000</v>
      </c>
      <c r="AF1239" s="23"/>
      <c r="AG1239" s="50"/>
      <c r="AH1239" s="50"/>
      <c r="AI1239" s="50"/>
      <c r="AJ1239" s="50"/>
      <c r="AK1239" s="46" t="s">
        <v>94</v>
      </c>
      <c r="AL1239" s="36"/>
      <c r="AM1239" t="str">
        <f t="shared" si="79"/>
        <v>0-1000</v>
      </c>
    </row>
    <row r="1240" spans="1:39" x14ac:dyDescent="0.2">
      <c r="A1240" s="44">
        <v>43758</v>
      </c>
      <c r="B1240" s="48">
        <v>0.58333333333333337</v>
      </c>
      <c r="C1240" s="48"/>
      <c r="D1240" s="48" t="s">
        <v>150</v>
      </c>
      <c r="E1240" s="13">
        <v>2</v>
      </c>
      <c r="F1240" s="38" t="str">
        <f>VLOOKUP(E1240,[5]Key!$A$17:$B$21,2,FALSE)</f>
        <v>Road Vehicle</v>
      </c>
      <c r="G1240" s="49">
        <v>4</v>
      </c>
      <c r="H1240" s="39" t="str">
        <f>VLOOKUP(G1240,[5]Key!$A$2:$B$14,2,FALSE)</f>
        <v>Minibus</v>
      </c>
      <c r="I1240" s="13" t="s">
        <v>109</v>
      </c>
      <c r="J1240" s="13">
        <v>2</v>
      </c>
      <c r="K1240" s="40" t="str">
        <f>VLOOKUP(J1240,[5]Key!$A$24:$B$29,2,FALSE)</f>
        <v>30-39</v>
      </c>
      <c r="L1240" s="13" t="s">
        <v>446</v>
      </c>
      <c r="M1240" s="23" t="s">
        <v>439</v>
      </c>
      <c r="N1240" s="13" t="s">
        <v>221</v>
      </c>
      <c r="O1240" s="46">
        <v>4</v>
      </c>
      <c r="P1240" s="30" t="str">
        <f>VLOOKUP(O1240,[5]Key!$E$2:$F$9,2,FALSE)</f>
        <v>Commercial</v>
      </c>
      <c r="Q1240" s="13" t="s">
        <v>792</v>
      </c>
      <c r="R1240" s="23" t="s">
        <v>463</v>
      </c>
      <c r="S1240" s="13" t="s">
        <v>221</v>
      </c>
      <c r="T1240" s="23">
        <v>4</v>
      </c>
      <c r="U1240" s="30" t="str">
        <f>VLOOKUP(T1240,[5]Key!$E$2:$F$9,2,FALSE)</f>
        <v>Commercial</v>
      </c>
      <c r="V1240" s="30" t="str">
        <f t="shared" si="76"/>
        <v>Commercial-Commercial</v>
      </c>
      <c r="W1240" s="23">
        <v>8000</v>
      </c>
      <c r="X1240" s="50">
        <v>45</v>
      </c>
      <c r="Y1240" s="50" t="str">
        <f t="shared" si="77"/>
        <v>40-70</v>
      </c>
      <c r="Z1240" s="50">
        <v>0.8</v>
      </c>
      <c r="AA1240" s="50" t="str">
        <f t="shared" si="78"/>
        <v>0.5-1.0</v>
      </c>
      <c r="AB1240" s="23">
        <v>7</v>
      </c>
      <c r="AC1240" s="30" t="str">
        <f>VLOOKUP(AB1240,[5]Key!$C$20:$D$29,2,FALSE)</f>
        <v>Farmer</v>
      </c>
      <c r="AD1240" s="23">
        <v>1</v>
      </c>
      <c r="AE1240" s="30" t="str">
        <f>VLOOKUP(AD1240,[5]Key!$E$20:$F$24,2,FALSE)</f>
        <v>&lt;300,000</v>
      </c>
      <c r="AF1240" s="23">
        <v>5</v>
      </c>
      <c r="AG1240" s="50">
        <v>2</v>
      </c>
      <c r="AH1240" s="50">
        <v>1</v>
      </c>
      <c r="AI1240" s="50">
        <v>3</v>
      </c>
      <c r="AJ1240" s="50">
        <v>4</v>
      </c>
      <c r="AK1240" s="46" t="s">
        <v>94</v>
      </c>
      <c r="AL1240" s="36"/>
      <c r="AM1240" t="str">
        <f t="shared" si="79"/>
        <v>0-1000</v>
      </c>
    </row>
    <row r="1241" spans="1:39" x14ac:dyDescent="0.2">
      <c r="A1241" s="44">
        <v>43758</v>
      </c>
      <c r="B1241" s="48">
        <v>0.60416666666666663</v>
      </c>
      <c r="C1241" s="48"/>
      <c r="D1241" s="48" t="s">
        <v>150</v>
      </c>
      <c r="E1241" s="13">
        <v>2</v>
      </c>
      <c r="F1241" s="38" t="str">
        <f>VLOOKUP(E1241,[5]Key!$A$17:$B$21,2,FALSE)</f>
        <v>Road Vehicle</v>
      </c>
      <c r="G1241" s="49">
        <v>4</v>
      </c>
      <c r="H1241" s="39" t="str">
        <f>VLOOKUP(G1241,[5]Key!$A$2:$B$14,2,FALSE)</f>
        <v>Minibus</v>
      </c>
      <c r="I1241" s="13" t="s">
        <v>109</v>
      </c>
      <c r="J1241" s="13">
        <v>2</v>
      </c>
      <c r="K1241" s="40" t="str">
        <f>VLOOKUP(J1241,[5]Key!$A$24:$B$29,2,FALSE)</f>
        <v>30-39</v>
      </c>
      <c r="L1241" s="13" t="s">
        <v>726</v>
      </c>
      <c r="M1241" s="23" t="s">
        <v>441</v>
      </c>
      <c r="N1241" s="13" t="s">
        <v>221</v>
      </c>
      <c r="O1241" s="46">
        <v>8</v>
      </c>
      <c r="P1241" s="30" t="str">
        <f>VLOOKUP(O1241,[5]Key!$E$2:$F$9,2,FALSE)</f>
        <v>Others</v>
      </c>
      <c r="Q1241" s="13" t="s">
        <v>754</v>
      </c>
      <c r="R1241" s="23" t="s">
        <v>769</v>
      </c>
      <c r="S1241" s="13" t="s">
        <v>221</v>
      </c>
      <c r="T1241" s="23">
        <v>1</v>
      </c>
      <c r="U1241" s="30" t="str">
        <f>VLOOKUP(T1241,[5]Key!$E$2:$F$9,2,FALSE)</f>
        <v>Home</v>
      </c>
      <c r="V1241" s="30" t="str">
        <f t="shared" si="76"/>
        <v>Others-Home</v>
      </c>
      <c r="W1241" s="23">
        <v>20000</v>
      </c>
      <c r="X1241" s="50">
        <v>98</v>
      </c>
      <c r="Y1241" s="50" t="str">
        <f t="shared" si="77"/>
        <v>70-100</v>
      </c>
      <c r="Z1241" s="50">
        <v>2.5</v>
      </c>
      <c r="AA1241" s="50" t="str">
        <f t="shared" si="78"/>
        <v>2.0-3.5</v>
      </c>
      <c r="AB1241" s="23">
        <v>7</v>
      </c>
      <c r="AC1241" s="30" t="str">
        <f>VLOOKUP(AB1241,[5]Key!$C$20:$D$29,2,FALSE)</f>
        <v>Farmer</v>
      </c>
      <c r="AD1241" s="23">
        <v>1</v>
      </c>
      <c r="AE1241" s="30" t="str">
        <f>VLOOKUP(AD1241,[5]Key!$E$20:$F$24,2,FALSE)</f>
        <v>&lt;300,000</v>
      </c>
      <c r="AF1241" s="23">
        <v>4</v>
      </c>
      <c r="AG1241" s="50">
        <v>1</v>
      </c>
      <c r="AH1241" s="50">
        <v>3</v>
      </c>
      <c r="AI1241" s="50">
        <v>2</v>
      </c>
      <c r="AJ1241" s="50">
        <v>5</v>
      </c>
      <c r="AK1241" s="46" t="s">
        <v>94</v>
      </c>
      <c r="AL1241" s="36"/>
      <c r="AM1241" t="str">
        <f t="shared" si="79"/>
        <v>0-1000</v>
      </c>
    </row>
    <row r="1242" spans="1:39" x14ac:dyDescent="0.2">
      <c r="A1242" s="44">
        <v>43758</v>
      </c>
      <c r="B1242" s="48">
        <v>0.46666666666666662</v>
      </c>
      <c r="C1242" s="48"/>
      <c r="D1242" s="48" t="s">
        <v>150</v>
      </c>
      <c r="E1242" s="13">
        <v>2</v>
      </c>
      <c r="F1242" s="38" t="str">
        <f>VLOOKUP(E1242,[5]Key!$A$17:$B$21,2,FALSE)</f>
        <v>Road Vehicle</v>
      </c>
      <c r="G1242" s="49">
        <v>3</v>
      </c>
      <c r="H1242" s="39" t="str">
        <f>VLOOKUP(G1242,[5]Key!$A$2:$B$14,2,FALSE)</f>
        <v>Pickups</v>
      </c>
      <c r="I1242" s="13" t="s">
        <v>156</v>
      </c>
      <c r="J1242" s="13">
        <v>2</v>
      </c>
      <c r="K1242" s="40" t="str">
        <f>VLOOKUP(J1242,[5]Key!$A$24:$B$29,2,FALSE)</f>
        <v>30-39</v>
      </c>
      <c r="L1242" s="13" t="s">
        <v>446</v>
      </c>
      <c r="M1242" s="23" t="s">
        <v>439</v>
      </c>
      <c r="N1242" s="13" t="s">
        <v>221</v>
      </c>
      <c r="O1242" s="46">
        <v>1</v>
      </c>
      <c r="P1242" s="30" t="str">
        <f>VLOOKUP(O1242,[5]Key!$E$2:$F$9,2,FALSE)</f>
        <v>Home</v>
      </c>
      <c r="Q1242" s="13" t="s">
        <v>421</v>
      </c>
      <c r="R1242" s="23" t="s">
        <v>421</v>
      </c>
      <c r="S1242" s="13" t="s">
        <v>221</v>
      </c>
      <c r="T1242" s="23">
        <v>6</v>
      </c>
      <c r="U1242" s="30" t="str">
        <f>VLOOKUP(T1242,[5]Key!$E$2:$F$9,2,FALSE)</f>
        <v>Leisure/Social</v>
      </c>
      <c r="V1242" s="30" t="str">
        <f t="shared" si="76"/>
        <v>Home-Leisure/Social</v>
      </c>
      <c r="W1242" s="23">
        <v>10000</v>
      </c>
      <c r="X1242" s="50"/>
      <c r="Y1242" s="50" t="str">
        <f t="shared" si="77"/>
        <v>0-10</v>
      </c>
      <c r="Z1242" s="50">
        <v>0.8</v>
      </c>
      <c r="AA1242" s="50" t="str">
        <f t="shared" si="78"/>
        <v>0.5-1.0</v>
      </c>
      <c r="AB1242" s="23">
        <v>7</v>
      </c>
      <c r="AC1242" s="30" t="str">
        <f>VLOOKUP(AB1242,[5]Key!$C$20:$D$29,2,FALSE)</f>
        <v>Farmer</v>
      </c>
      <c r="AD1242" s="23">
        <v>1</v>
      </c>
      <c r="AE1242" s="30" t="str">
        <f>VLOOKUP(AD1242,[5]Key!$E$20:$F$24,2,FALSE)</f>
        <v>&lt;300,000</v>
      </c>
      <c r="AF1242" s="23">
        <v>1</v>
      </c>
      <c r="AG1242" s="50">
        <v>3</v>
      </c>
      <c r="AH1242" s="50">
        <v>4</v>
      </c>
      <c r="AI1242" s="50">
        <v>5</v>
      </c>
      <c r="AJ1242" s="50">
        <v>2</v>
      </c>
      <c r="AK1242" s="46" t="s">
        <v>94</v>
      </c>
      <c r="AL1242" s="36">
        <v>500</v>
      </c>
      <c r="AM1242" t="str">
        <f t="shared" si="79"/>
        <v>0-1000</v>
      </c>
    </row>
    <row r="1243" spans="1:39" x14ac:dyDescent="0.2">
      <c r="A1243" s="44">
        <v>43758</v>
      </c>
      <c r="B1243" s="48">
        <v>0.44166666666666665</v>
      </c>
      <c r="C1243" s="48"/>
      <c r="D1243" s="48" t="s">
        <v>150</v>
      </c>
      <c r="E1243" s="13">
        <v>2</v>
      </c>
      <c r="F1243" s="38" t="str">
        <f>VLOOKUP(E1243,[5]Key!$A$17:$B$21,2,FALSE)</f>
        <v>Road Vehicle</v>
      </c>
      <c r="G1243" s="49">
        <v>3</v>
      </c>
      <c r="H1243" s="39" t="str">
        <f>VLOOKUP(G1243,[5]Key!$A$2:$B$14,2,FALSE)</f>
        <v>Pickups</v>
      </c>
      <c r="I1243" s="13" t="s">
        <v>156</v>
      </c>
      <c r="J1243" s="13">
        <v>2</v>
      </c>
      <c r="K1243" s="40" t="str">
        <f>VLOOKUP(J1243,[5]Key!$A$24:$B$29,2,FALSE)</f>
        <v>30-39</v>
      </c>
      <c r="L1243" s="13" t="s">
        <v>711</v>
      </c>
      <c r="M1243" s="23" t="s">
        <v>439</v>
      </c>
      <c r="N1243" s="13" t="s">
        <v>221</v>
      </c>
      <c r="O1243" s="46">
        <v>1</v>
      </c>
      <c r="P1243" s="30" t="str">
        <f>VLOOKUP(O1243,[5]Key!$E$2:$F$9,2,FALSE)</f>
        <v>Home</v>
      </c>
      <c r="Q1243" s="13" t="s">
        <v>793</v>
      </c>
      <c r="R1243" s="23" t="s">
        <v>439</v>
      </c>
      <c r="S1243" s="13" t="s">
        <v>221</v>
      </c>
      <c r="T1243" s="23">
        <v>8</v>
      </c>
      <c r="U1243" s="30" t="str">
        <f>VLOOKUP(T1243,[5]Key!$E$2:$F$9,2,FALSE)</f>
        <v>Others</v>
      </c>
      <c r="V1243" s="30" t="str">
        <f t="shared" si="76"/>
        <v>Home-Others</v>
      </c>
      <c r="W1243" s="23">
        <v>1000</v>
      </c>
      <c r="X1243" s="50"/>
      <c r="Y1243" s="50" t="str">
        <f t="shared" si="77"/>
        <v>0-10</v>
      </c>
      <c r="Z1243" s="50">
        <v>0.3</v>
      </c>
      <c r="AA1243" s="50" t="str">
        <f t="shared" si="78"/>
        <v>0-0.5</v>
      </c>
      <c r="AB1243" s="23">
        <v>1</v>
      </c>
      <c r="AC1243" s="30" t="str">
        <f>VLOOKUP(AB1243,[5]Key!$C$20:$D$29,2,FALSE)</f>
        <v>Unemployed</v>
      </c>
      <c r="AD1243" s="23">
        <v>1</v>
      </c>
      <c r="AE1243" s="30" t="str">
        <f>VLOOKUP(AD1243,[5]Key!$E$20:$F$24,2,FALSE)</f>
        <v>&lt;300,000</v>
      </c>
      <c r="AF1243" s="23">
        <v>2</v>
      </c>
      <c r="AG1243" s="50">
        <v>5</v>
      </c>
      <c r="AH1243" s="50">
        <v>4</v>
      </c>
      <c r="AI1243" s="50">
        <v>1</v>
      </c>
      <c r="AJ1243" s="50">
        <v>3</v>
      </c>
      <c r="AK1243" s="46" t="s">
        <v>94</v>
      </c>
      <c r="AL1243" s="36">
        <v>1000</v>
      </c>
      <c r="AM1243" t="str">
        <f t="shared" si="79"/>
        <v>1000-2000</v>
      </c>
    </row>
    <row r="1244" spans="1:39" x14ac:dyDescent="0.2">
      <c r="A1244" s="44">
        <v>43758</v>
      </c>
      <c r="B1244" s="48">
        <v>0.36249999999999999</v>
      </c>
      <c r="C1244" s="48"/>
      <c r="D1244" s="48" t="s">
        <v>150</v>
      </c>
      <c r="E1244" s="13">
        <v>2</v>
      </c>
      <c r="F1244" s="38" t="str">
        <f>VLOOKUP(E1244,[5]Key!$A$17:$B$21,2,FALSE)</f>
        <v>Road Vehicle</v>
      </c>
      <c r="G1244" s="49">
        <v>3</v>
      </c>
      <c r="H1244" s="39" t="str">
        <f>VLOOKUP(G1244,[5]Key!$A$2:$B$14,2,FALSE)</f>
        <v>Pickups</v>
      </c>
      <c r="I1244" s="13" t="s">
        <v>156</v>
      </c>
      <c r="J1244" s="13">
        <v>2</v>
      </c>
      <c r="K1244" s="40" t="str">
        <f>VLOOKUP(J1244,[5]Key!$A$24:$B$29,2,FALSE)</f>
        <v>30-39</v>
      </c>
      <c r="L1244" s="13" t="s">
        <v>439</v>
      </c>
      <c r="M1244" s="23" t="s">
        <v>439</v>
      </c>
      <c r="N1244" s="13" t="s">
        <v>221</v>
      </c>
      <c r="O1244" s="46">
        <v>6</v>
      </c>
      <c r="P1244" s="30" t="str">
        <f>VLOOKUP(O1244,[5]Key!$E$2:$F$9,2,FALSE)</f>
        <v>Leisure/Social</v>
      </c>
      <c r="Q1244" s="13" t="s">
        <v>488</v>
      </c>
      <c r="R1244" s="23" t="s">
        <v>488</v>
      </c>
      <c r="S1244" s="13" t="s">
        <v>221</v>
      </c>
      <c r="T1244" s="23">
        <v>1</v>
      </c>
      <c r="U1244" s="30" t="str">
        <f>VLOOKUP(T1244,[5]Key!$E$2:$F$9,2,FALSE)</f>
        <v>Home</v>
      </c>
      <c r="V1244" s="30" t="str">
        <f t="shared" si="76"/>
        <v>Leisure/Social-Home</v>
      </c>
      <c r="W1244" s="23">
        <v>5000</v>
      </c>
      <c r="X1244" s="50"/>
      <c r="Y1244" s="50" t="str">
        <f t="shared" si="77"/>
        <v>0-10</v>
      </c>
      <c r="Z1244" s="50">
        <v>0.5</v>
      </c>
      <c r="AA1244" s="50" t="str">
        <f t="shared" si="78"/>
        <v>0.5-1.0</v>
      </c>
      <c r="AB1244" s="23">
        <v>10</v>
      </c>
      <c r="AC1244" s="30" t="str">
        <f>VLOOKUP(AB1244,[5]Key!$C$20:$D$29,2,FALSE)</f>
        <v>Other</v>
      </c>
      <c r="AD1244" s="23">
        <v>1</v>
      </c>
      <c r="AE1244" s="30" t="str">
        <f>VLOOKUP(AD1244,[5]Key!$E$20:$F$24,2,FALSE)</f>
        <v>&lt;300,000</v>
      </c>
      <c r="AF1244" s="23">
        <v>2</v>
      </c>
      <c r="AG1244" s="50">
        <v>1</v>
      </c>
      <c r="AH1244" s="50">
        <v>3</v>
      </c>
      <c r="AI1244" s="50">
        <v>4</v>
      </c>
      <c r="AJ1244" s="50">
        <v>5</v>
      </c>
      <c r="AK1244" s="46" t="s">
        <v>94</v>
      </c>
      <c r="AL1244" s="36"/>
      <c r="AM1244" t="str">
        <f t="shared" si="79"/>
        <v>0-1000</v>
      </c>
    </row>
    <row r="1245" spans="1:39" x14ac:dyDescent="0.2">
      <c r="A1245" s="44">
        <v>43758</v>
      </c>
      <c r="B1245" s="48">
        <v>0.38472222222222219</v>
      </c>
      <c r="C1245" s="48"/>
      <c r="D1245" s="48" t="s">
        <v>150</v>
      </c>
      <c r="E1245" s="13">
        <v>2</v>
      </c>
      <c r="F1245" s="38" t="str">
        <f>VLOOKUP(E1245,[5]Key!$A$17:$B$21,2,FALSE)</f>
        <v>Road Vehicle</v>
      </c>
      <c r="G1245" s="49">
        <v>3</v>
      </c>
      <c r="H1245" s="39" t="str">
        <f>VLOOKUP(G1245,[5]Key!$A$2:$B$14,2,FALSE)</f>
        <v>Pickups</v>
      </c>
      <c r="I1245" s="13" t="s">
        <v>109</v>
      </c>
      <c r="J1245" s="13">
        <v>2</v>
      </c>
      <c r="K1245" s="40" t="str">
        <f>VLOOKUP(J1245,[5]Key!$A$24:$B$29,2,FALSE)</f>
        <v>30-39</v>
      </c>
      <c r="L1245" s="13" t="s">
        <v>699</v>
      </c>
      <c r="M1245" s="23" t="s">
        <v>439</v>
      </c>
      <c r="N1245" s="13" t="s">
        <v>221</v>
      </c>
      <c r="O1245" s="46">
        <v>1</v>
      </c>
      <c r="P1245" s="30" t="str">
        <f>VLOOKUP(O1245,[5]Key!$E$2:$F$9,2,FALSE)</f>
        <v>Home</v>
      </c>
      <c r="Q1245" s="13" t="s">
        <v>421</v>
      </c>
      <c r="R1245" s="23" t="s">
        <v>421</v>
      </c>
      <c r="S1245" s="13" t="s">
        <v>221</v>
      </c>
      <c r="T1245" s="23">
        <v>2</v>
      </c>
      <c r="U1245" s="30" t="str">
        <f>VLOOKUP(T1245,[5]Key!$E$2:$F$9,2,FALSE)</f>
        <v>Work</v>
      </c>
      <c r="V1245" s="30" t="str">
        <f t="shared" si="76"/>
        <v>Home-Work</v>
      </c>
      <c r="W1245" s="23">
        <v>5000</v>
      </c>
      <c r="X1245" s="50"/>
      <c r="Y1245" s="50" t="str">
        <f t="shared" si="77"/>
        <v>0-10</v>
      </c>
      <c r="Z1245" s="50">
        <v>1</v>
      </c>
      <c r="AA1245" s="50" t="str">
        <f t="shared" si="78"/>
        <v>1.0-2.0</v>
      </c>
      <c r="AB1245" s="23">
        <v>6</v>
      </c>
      <c r="AC1245" s="30" t="str">
        <f>VLOOKUP(AB1245,[5]Key!$C$20:$D$29,2,FALSE)</f>
        <v>Businessman</v>
      </c>
      <c r="AD1245" s="23">
        <v>1</v>
      </c>
      <c r="AE1245" s="30" t="str">
        <f>VLOOKUP(AD1245,[5]Key!$E$20:$F$24,2,FALSE)</f>
        <v>&lt;300,000</v>
      </c>
      <c r="AF1245" s="23">
        <v>2</v>
      </c>
      <c r="AG1245" s="50">
        <v>1</v>
      </c>
      <c r="AH1245" s="50">
        <v>3</v>
      </c>
      <c r="AI1245" s="50">
        <v>4</v>
      </c>
      <c r="AJ1245" s="50">
        <v>5</v>
      </c>
      <c r="AK1245" s="46" t="s">
        <v>94</v>
      </c>
      <c r="AL1245" s="36">
        <v>500</v>
      </c>
      <c r="AM1245" t="str">
        <f t="shared" si="79"/>
        <v>0-1000</v>
      </c>
    </row>
    <row r="1246" spans="1:39" x14ac:dyDescent="0.2">
      <c r="A1246" s="44">
        <v>43758</v>
      </c>
      <c r="B1246" s="48">
        <v>0.36805555555555558</v>
      </c>
      <c r="C1246" s="48"/>
      <c r="D1246" s="48" t="s">
        <v>97</v>
      </c>
      <c r="E1246" s="13">
        <v>2</v>
      </c>
      <c r="F1246" s="38" t="str">
        <f>VLOOKUP(E1246,[5]Key!$A$17:$B$21,2,FALSE)</f>
        <v>Road Vehicle</v>
      </c>
      <c r="G1246" s="49">
        <v>2</v>
      </c>
      <c r="H1246" s="39" t="str">
        <f>VLOOKUP(G1246,[5]Key!$A$2:$B$14,2,FALSE)</f>
        <v>Station Wagon</v>
      </c>
      <c r="I1246" s="13" t="s">
        <v>156</v>
      </c>
      <c r="J1246" s="13">
        <v>2</v>
      </c>
      <c r="K1246" s="40" t="str">
        <f>VLOOKUP(J1246,[5]Key!$A$24:$B$29,2,FALSE)</f>
        <v>30-39</v>
      </c>
      <c r="L1246" s="13" t="s">
        <v>727</v>
      </c>
      <c r="M1246" s="23" t="s">
        <v>439</v>
      </c>
      <c r="N1246" s="13" t="s">
        <v>221</v>
      </c>
      <c r="O1246" s="46">
        <v>1</v>
      </c>
      <c r="P1246" s="30" t="str">
        <f>VLOOKUP(O1246,[5]Key!$E$2:$F$9,2,FALSE)</f>
        <v>Home</v>
      </c>
      <c r="Q1246" s="13" t="s">
        <v>756</v>
      </c>
      <c r="R1246" s="23" t="s">
        <v>441</v>
      </c>
      <c r="S1246" s="13" t="s">
        <v>221</v>
      </c>
      <c r="T1246" s="23">
        <v>6</v>
      </c>
      <c r="U1246" s="30" t="str">
        <f>VLOOKUP(T1246,[5]Key!$E$2:$F$9,2,FALSE)</f>
        <v>Leisure/Social</v>
      </c>
      <c r="V1246" s="30" t="str">
        <f t="shared" si="76"/>
        <v>Home-Leisure/Social</v>
      </c>
      <c r="W1246" s="23">
        <v>913800</v>
      </c>
      <c r="X1246" s="50">
        <v>28</v>
      </c>
      <c r="Y1246" s="50" t="str">
        <f t="shared" si="77"/>
        <v>20-40</v>
      </c>
      <c r="Z1246" s="50">
        <v>0.7</v>
      </c>
      <c r="AA1246" s="50" t="str">
        <f t="shared" si="78"/>
        <v>0.5-1.0</v>
      </c>
      <c r="AB1246" s="23">
        <v>4</v>
      </c>
      <c r="AC1246" s="30" t="str">
        <f>VLOOKUP(AB1246,[5]Key!$C$20:$D$29,2,FALSE)</f>
        <v>Office Worker</v>
      </c>
      <c r="AD1246" s="23">
        <v>2</v>
      </c>
      <c r="AE1246" s="30" t="str">
        <f>VLOOKUP(AD1246,[5]Key!$E$20:$F$24,2,FALSE)</f>
        <v>300,000-500,000</v>
      </c>
      <c r="AF1246" s="23">
        <v>5</v>
      </c>
      <c r="AG1246" s="50">
        <v>1</v>
      </c>
      <c r="AH1246" s="50">
        <v>2</v>
      </c>
      <c r="AI1246" s="50">
        <v>3</v>
      </c>
      <c r="AJ1246" s="50">
        <v>4</v>
      </c>
      <c r="AK1246" s="46" t="s">
        <v>94</v>
      </c>
      <c r="AL1246" s="36">
        <v>1000</v>
      </c>
      <c r="AM1246" t="str">
        <f t="shared" si="79"/>
        <v>1000-2000</v>
      </c>
    </row>
    <row r="1247" spans="1:39" x14ac:dyDescent="0.2">
      <c r="A1247" s="44">
        <v>43758</v>
      </c>
      <c r="B1247" s="48">
        <v>0.65972222222222221</v>
      </c>
      <c r="C1247" s="48"/>
      <c r="D1247" s="48" t="s">
        <v>97</v>
      </c>
      <c r="E1247" s="13">
        <v>2</v>
      </c>
      <c r="F1247" s="38" t="str">
        <f>VLOOKUP(E1247,[5]Key!$A$17:$B$21,2,FALSE)</f>
        <v>Road Vehicle</v>
      </c>
      <c r="G1247" s="49">
        <v>2</v>
      </c>
      <c r="H1247" s="39" t="str">
        <f>VLOOKUP(G1247,[5]Key!$A$2:$B$14,2,FALSE)</f>
        <v>Station Wagon</v>
      </c>
      <c r="I1247" s="13" t="s">
        <v>156</v>
      </c>
      <c r="J1247" s="13">
        <v>2</v>
      </c>
      <c r="K1247" s="40" t="str">
        <f>VLOOKUP(J1247,[5]Key!$A$24:$B$29,2,FALSE)</f>
        <v>30-39</v>
      </c>
      <c r="L1247" s="13" t="s">
        <v>756</v>
      </c>
      <c r="M1247" s="23" t="s">
        <v>452</v>
      </c>
      <c r="N1247" s="13" t="s">
        <v>221</v>
      </c>
      <c r="O1247" s="46">
        <v>1</v>
      </c>
      <c r="P1247" s="30" t="str">
        <f>VLOOKUP(O1247,[5]Key!$E$2:$F$9,2,FALSE)</f>
        <v>Home</v>
      </c>
      <c r="Q1247" s="13" t="s">
        <v>794</v>
      </c>
      <c r="R1247" s="23" t="s">
        <v>463</v>
      </c>
      <c r="S1247" s="13" t="s">
        <v>221</v>
      </c>
      <c r="T1247" s="23">
        <v>6</v>
      </c>
      <c r="U1247" s="30" t="str">
        <f>VLOOKUP(T1247,[5]Key!$E$2:$F$9,2,FALSE)</f>
        <v>Leisure/Social</v>
      </c>
      <c r="V1247" s="30" t="str">
        <f t="shared" si="76"/>
        <v>Home-Leisure/Social</v>
      </c>
      <c r="W1247" s="23">
        <v>19000</v>
      </c>
      <c r="X1247" s="50">
        <v>35</v>
      </c>
      <c r="Y1247" s="50" t="str">
        <f t="shared" si="77"/>
        <v>20-40</v>
      </c>
      <c r="Z1247" s="50">
        <v>0.8</v>
      </c>
      <c r="AA1247" s="50" t="str">
        <f t="shared" si="78"/>
        <v>0.5-1.0</v>
      </c>
      <c r="AB1247" s="23">
        <v>4</v>
      </c>
      <c r="AC1247" s="30" t="str">
        <f>VLOOKUP(AB1247,[5]Key!$C$20:$D$29,2,FALSE)</f>
        <v>Office Worker</v>
      </c>
      <c r="AD1247" s="23">
        <v>1</v>
      </c>
      <c r="AE1247" s="30" t="str">
        <f>VLOOKUP(AD1247,[5]Key!$E$20:$F$24,2,FALSE)</f>
        <v>&lt;300,000</v>
      </c>
      <c r="AF1247" s="23">
        <v>2</v>
      </c>
      <c r="AG1247" s="50">
        <v>4</v>
      </c>
      <c r="AH1247" s="50">
        <v>3</v>
      </c>
      <c r="AI1247" s="50">
        <v>1</v>
      </c>
      <c r="AJ1247" s="50">
        <v>5</v>
      </c>
      <c r="AK1247" s="46" t="s">
        <v>94</v>
      </c>
      <c r="AL1247" s="36">
        <v>1000</v>
      </c>
      <c r="AM1247" t="str">
        <f t="shared" si="79"/>
        <v>1000-2000</v>
      </c>
    </row>
    <row r="1248" spans="1:39" x14ac:dyDescent="0.2">
      <c r="A1248" s="44">
        <v>43756</v>
      </c>
      <c r="B1248" s="48"/>
      <c r="C1248" s="48"/>
      <c r="D1248" s="48" t="s">
        <v>150</v>
      </c>
      <c r="E1248" s="13">
        <v>2</v>
      </c>
      <c r="F1248" s="38" t="str">
        <f>VLOOKUP(E1248,[5]Key!$A$17:$B$21,2,FALSE)</f>
        <v>Road Vehicle</v>
      </c>
      <c r="G1248" s="49">
        <v>2</v>
      </c>
      <c r="H1248" s="39" t="str">
        <f>VLOOKUP(G1248,[5]Key!$A$2:$B$14,2,FALSE)</f>
        <v>Station Wagon</v>
      </c>
      <c r="I1248" s="13" t="s">
        <v>109</v>
      </c>
      <c r="J1248" s="13">
        <v>2</v>
      </c>
      <c r="K1248" s="40" t="str">
        <f>VLOOKUP(J1248,[5]Key!$A$24:$B$29,2,FALSE)</f>
        <v>30-39</v>
      </c>
      <c r="L1248" s="55" t="s">
        <v>446</v>
      </c>
      <c r="M1248" s="23" t="s">
        <v>439</v>
      </c>
      <c r="N1248" s="13" t="s">
        <v>221</v>
      </c>
      <c r="O1248" s="46">
        <v>1</v>
      </c>
      <c r="P1248" s="30" t="str">
        <f>VLOOKUP(O1248,[5]Key!$E$2:$F$9,2,FALSE)</f>
        <v>Home</v>
      </c>
      <c r="Q1248" s="13" t="s">
        <v>736</v>
      </c>
      <c r="R1248" s="23" t="s">
        <v>736</v>
      </c>
      <c r="S1248" s="13" t="s">
        <v>221</v>
      </c>
      <c r="T1248" s="23">
        <v>6</v>
      </c>
      <c r="U1248" s="30" t="str">
        <f>VLOOKUP(T1248,[5]Key!$E$2:$F$9,2,FALSE)</f>
        <v>Leisure/Social</v>
      </c>
      <c r="V1248" s="30" t="str">
        <f t="shared" si="76"/>
        <v>Home-Leisure/Social</v>
      </c>
      <c r="W1248" s="41">
        <v>7000</v>
      </c>
      <c r="X1248" s="50">
        <v>60</v>
      </c>
      <c r="Y1248" s="50" t="str">
        <f t="shared" si="77"/>
        <v>40-70</v>
      </c>
      <c r="Z1248" s="50">
        <v>0.8</v>
      </c>
      <c r="AA1248" s="50" t="str">
        <f t="shared" si="78"/>
        <v>0.5-1.0</v>
      </c>
      <c r="AB1248" s="23">
        <v>6</v>
      </c>
      <c r="AC1248" s="30" t="str">
        <f>VLOOKUP(AB1248,[5]Key!$C$20:$D$29,2,FALSE)</f>
        <v>Businessman</v>
      </c>
      <c r="AD1248" s="23">
        <v>1</v>
      </c>
      <c r="AE1248" s="30" t="str">
        <f>VLOOKUP(AD1248,[5]Key!$E$20:$F$24,2,FALSE)</f>
        <v>&lt;300,000</v>
      </c>
      <c r="AF1248" s="23">
        <v>2</v>
      </c>
      <c r="AG1248" s="50">
        <v>5</v>
      </c>
      <c r="AH1248" s="50">
        <v>1</v>
      </c>
      <c r="AI1248" s="50">
        <v>3</v>
      </c>
      <c r="AJ1248" s="50">
        <v>4</v>
      </c>
      <c r="AK1248" s="46" t="s">
        <v>94</v>
      </c>
      <c r="AL1248" s="36">
        <v>500</v>
      </c>
      <c r="AM1248" t="str">
        <f t="shared" si="79"/>
        <v>0-1000</v>
      </c>
    </row>
    <row r="1249" spans="1:39" x14ac:dyDescent="0.2">
      <c r="A1249" s="44">
        <v>43756</v>
      </c>
      <c r="B1249" s="48">
        <v>0.58333333333333337</v>
      </c>
      <c r="C1249" s="48"/>
      <c r="D1249" s="48" t="s">
        <v>150</v>
      </c>
      <c r="E1249" s="13">
        <v>2</v>
      </c>
      <c r="F1249" s="38" t="str">
        <f>VLOOKUP(E1249,[5]Key!$A$17:$B$21,2,FALSE)</f>
        <v>Road Vehicle</v>
      </c>
      <c r="G1249" s="49">
        <v>2</v>
      </c>
      <c r="H1249" s="39" t="str">
        <f>VLOOKUP(G1249,[5]Key!$A$2:$B$14,2,FALSE)</f>
        <v>Station Wagon</v>
      </c>
      <c r="I1249" s="13" t="s">
        <v>109</v>
      </c>
      <c r="J1249" s="13">
        <v>2</v>
      </c>
      <c r="K1249" s="40" t="str">
        <f>VLOOKUP(J1249,[5]Key!$A$24:$B$29,2,FALSE)</f>
        <v>30-39</v>
      </c>
      <c r="L1249" s="55" t="s">
        <v>786</v>
      </c>
      <c r="M1249" s="23" t="s">
        <v>463</v>
      </c>
      <c r="N1249" s="13" t="s">
        <v>221</v>
      </c>
      <c r="O1249" s="46">
        <v>4</v>
      </c>
      <c r="P1249" s="30" t="str">
        <f>VLOOKUP(O1249,[5]Key!$E$2:$F$9,2,FALSE)</f>
        <v>Commercial</v>
      </c>
      <c r="Q1249" s="13" t="s">
        <v>795</v>
      </c>
      <c r="R1249" s="23" t="s">
        <v>421</v>
      </c>
      <c r="S1249" s="13" t="s">
        <v>221</v>
      </c>
      <c r="T1249" s="23">
        <v>4</v>
      </c>
      <c r="U1249" s="30" t="str">
        <f>VLOOKUP(T1249,[5]Key!$E$2:$F$9,2,FALSE)</f>
        <v>Commercial</v>
      </c>
      <c r="V1249" s="30" t="str">
        <f t="shared" si="76"/>
        <v>Commercial-Commercial</v>
      </c>
      <c r="W1249" s="41">
        <v>15000</v>
      </c>
      <c r="X1249" s="50">
        <v>196</v>
      </c>
      <c r="Y1249" s="50" t="str">
        <f t="shared" si="77"/>
        <v>100-200</v>
      </c>
      <c r="Z1249" s="50">
        <v>4</v>
      </c>
      <c r="AA1249" s="50" t="str">
        <f t="shared" si="78"/>
        <v>Over 3.5</v>
      </c>
      <c r="AB1249" s="23">
        <v>6</v>
      </c>
      <c r="AC1249" s="30" t="str">
        <f>VLOOKUP(AB1249,[5]Key!$C$20:$D$29,2,FALSE)</f>
        <v>Businessman</v>
      </c>
      <c r="AD1249" s="23">
        <v>3</v>
      </c>
      <c r="AE1249" s="30" t="str">
        <f>VLOOKUP(AD1249,[5]Key!$E$20:$F$24,2,FALSE)</f>
        <v>500,000-750,000</v>
      </c>
      <c r="AF1249" s="23">
        <v>4</v>
      </c>
      <c r="AG1249" s="50">
        <v>1</v>
      </c>
      <c r="AH1249" s="50">
        <v>3</v>
      </c>
      <c r="AI1249" s="50">
        <v>2</v>
      </c>
      <c r="AJ1249" s="50">
        <v>5</v>
      </c>
      <c r="AK1249" s="46" t="s">
        <v>94</v>
      </c>
      <c r="AL1249" s="36">
        <v>1000</v>
      </c>
      <c r="AM1249" t="str">
        <f t="shared" si="79"/>
        <v>1000-2000</v>
      </c>
    </row>
    <row r="1250" spans="1:39" x14ac:dyDescent="0.2">
      <c r="A1250" s="44">
        <v>43757</v>
      </c>
      <c r="B1250" s="48">
        <v>0.30416666666666664</v>
      </c>
      <c r="C1250" s="48"/>
      <c r="D1250" s="48" t="s">
        <v>97</v>
      </c>
      <c r="E1250" s="13">
        <v>2</v>
      </c>
      <c r="F1250" s="38" t="str">
        <f>VLOOKUP(E1250,[5]Key!$A$17:$B$21,2,FALSE)</f>
        <v>Road Vehicle</v>
      </c>
      <c r="G1250" s="49">
        <v>2</v>
      </c>
      <c r="H1250" s="39" t="str">
        <f>VLOOKUP(G1250,[5]Key!$A$2:$B$14,2,FALSE)</f>
        <v>Station Wagon</v>
      </c>
      <c r="I1250" s="13" t="s">
        <v>109</v>
      </c>
      <c r="J1250" s="13">
        <v>2</v>
      </c>
      <c r="K1250" s="40" t="str">
        <f>VLOOKUP(J1250,[5]Key!$A$24:$B$29,2,FALSE)</f>
        <v>30-39</v>
      </c>
      <c r="L1250" s="13" t="s">
        <v>756</v>
      </c>
      <c r="M1250" s="23" t="s">
        <v>441</v>
      </c>
      <c r="N1250" s="13" t="s">
        <v>221</v>
      </c>
      <c r="O1250" s="46">
        <v>4</v>
      </c>
      <c r="P1250" s="30" t="str">
        <f>VLOOKUP(O1250,[5]Key!$E$2:$F$9,2,FALSE)</f>
        <v>Commercial</v>
      </c>
      <c r="Q1250" s="13" t="s">
        <v>446</v>
      </c>
      <c r="R1250" s="23" t="s">
        <v>439</v>
      </c>
      <c r="S1250" s="13" t="s">
        <v>221</v>
      </c>
      <c r="T1250" s="23">
        <v>4</v>
      </c>
      <c r="U1250" s="30" t="str">
        <f>VLOOKUP(T1250,[5]Key!$E$2:$F$9,2,FALSE)</f>
        <v>Commercial</v>
      </c>
      <c r="V1250" s="30" t="str">
        <f t="shared" si="76"/>
        <v>Commercial-Commercial</v>
      </c>
      <c r="W1250" s="23">
        <v>3000</v>
      </c>
      <c r="X1250" s="50">
        <v>20</v>
      </c>
      <c r="Y1250" s="50" t="str">
        <f t="shared" si="77"/>
        <v>20-40</v>
      </c>
      <c r="Z1250" s="50">
        <v>0.3</v>
      </c>
      <c r="AA1250" s="50" t="str">
        <f t="shared" si="78"/>
        <v>0-0.5</v>
      </c>
      <c r="AB1250" s="23">
        <v>5</v>
      </c>
      <c r="AC1250" s="30" t="str">
        <f>VLOOKUP(AB1250,[5]Key!$C$20:$D$29,2,FALSE)</f>
        <v>Professional</v>
      </c>
      <c r="AD1250" s="23">
        <v>3</v>
      </c>
      <c r="AE1250" s="30" t="str">
        <f>VLOOKUP(AD1250,[5]Key!$E$20:$F$24,2,FALSE)</f>
        <v>500,000-750,000</v>
      </c>
      <c r="AF1250" s="23">
        <v>3</v>
      </c>
      <c r="AG1250" s="50">
        <v>4</v>
      </c>
      <c r="AH1250" s="50">
        <v>1</v>
      </c>
      <c r="AI1250" s="50">
        <v>2</v>
      </c>
      <c r="AJ1250" s="50">
        <v>5</v>
      </c>
      <c r="AK1250" s="46" t="s">
        <v>94</v>
      </c>
      <c r="AL1250" s="36">
        <v>5000</v>
      </c>
      <c r="AM1250" t="str">
        <f t="shared" si="79"/>
        <v>5000-10000</v>
      </c>
    </row>
    <row r="1251" spans="1:39" x14ac:dyDescent="0.2">
      <c r="A1251" s="44">
        <v>43757</v>
      </c>
      <c r="B1251" s="48">
        <v>0.43541666666666662</v>
      </c>
      <c r="C1251" s="48"/>
      <c r="D1251" s="48" t="s">
        <v>97</v>
      </c>
      <c r="E1251" s="13">
        <v>2</v>
      </c>
      <c r="F1251" s="38" t="str">
        <f>VLOOKUP(E1251,[5]Key!$A$17:$B$21,2,FALSE)</f>
        <v>Road Vehicle</v>
      </c>
      <c r="G1251" s="49">
        <v>2</v>
      </c>
      <c r="H1251" s="39" t="str">
        <f>VLOOKUP(G1251,[5]Key!$A$2:$B$14,2,FALSE)</f>
        <v>Station Wagon</v>
      </c>
      <c r="I1251" s="13" t="s">
        <v>109</v>
      </c>
      <c r="J1251" s="13">
        <v>2</v>
      </c>
      <c r="K1251" s="40" t="str">
        <f>VLOOKUP(J1251,[5]Key!$A$24:$B$29,2,FALSE)</f>
        <v>30-39</v>
      </c>
      <c r="L1251" s="13" t="s">
        <v>734</v>
      </c>
      <c r="M1251" s="23" t="s">
        <v>488</v>
      </c>
      <c r="N1251" s="13" t="s">
        <v>221</v>
      </c>
      <c r="O1251" s="46">
        <v>4</v>
      </c>
      <c r="P1251" s="30" t="str">
        <f>VLOOKUP(O1251,[5]Key!$E$2:$F$9,2,FALSE)</f>
        <v>Commercial</v>
      </c>
      <c r="Q1251" s="13" t="s">
        <v>446</v>
      </c>
      <c r="R1251" s="23" t="s">
        <v>439</v>
      </c>
      <c r="S1251" s="13" t="s">
        <v>221</v>
      </c>
      <c r="T1251" s="23">
        <v>4</v>
      </c>
      <c r="U1251" s="30" t="str">
        <f>VLOOKUP(T1251,[5]Key!$E$2:$F$9,2,FALSE)</f>
        <v>Commercial</v>
      </c>
      <c r="V1251" s="30" t="str">
        <f t="shared" si="76"/>
        <v>Commercial-Commercial</v>
      </c>
      <c r="W1251" s="23">
        <v>8000</v>
      </c>
      <c r="X1251" s="50">
        <v>106</v>
      </c>
      <c r="Y1251" s="50" t="str">
        <f t="shared" si="77"/>
        <v>100-200</v>
      </c>
      <c r="Z1251" s="50">
        <v>1.5</v>
      </c>
      <c r="AA1251" s="50" t="str">
        <f t="shared" si="78"/>
        <v>1.0-2.0</v>
      </c>
      <c r="AB1251" s="23">
        <v>6</v>
      </c>
      <c r="AC1251" s="30" t="str">
        <f>VLOOKUP(AB1251,[5]Key!$C$20:$D$29,2,FALSE)</f>
        <v>Businessman</v>
      </c>
      <c r="AD1251" s="23">
        <v>2</v>
      </c>
      <c r="AE1251" s="30" t="str">
        <f>VLOOKUP(AD1251,[5]Key!$E$20:$F$24,2,FALSE)</f>
        <v>300,000-500,000</v>
      </c>
      <c r="AF1251" s="23">
        <v>5</v>
      </c>
      <c r="AG1251" s="50">
        <v>2</v>
      </c>
      <c r="AH1251" s="50">
        <v>3</v>
      </c>
      <c r="AI1251" s="50">
        <v>1</v>
      </c>
      <c r="AJ1251" s="50">
        <v>4</v>
      </c>
      <c r="AK1251" s="46" t="s">
        <v>94</v>
      </c>
      <c r="AL1251" s="36">
        <v>5000</v>
      </c>
      <c r="AM1251" t="str">
        <f t="shared" si="79"/>
        <v>5000-10000</v>
      </c>
    </row>
    <row r="1252" spans="1:39" x14ac:dyDescent="0.2">
      <c r="A1252" s="44">
        <v>43757</v>
      </c>
      <c r="B1252" s="48">
        <v>0.47847222222222219</v>
      </c>
      <c r="C1252" s="48"/>
      <c r="D1252" s="48" t="s">
        <v>150</v>
      </c>
      <c r="E1252" s="13">
        <v>2</v>
      </c>
      <c r="F1252" s="38" t="str">
        <f>VLOOKUP(E1252,[5]Key!$A$17:$B$21,2,FALSE)</f>
        <v>Road Vehicle</v>
      </c>
      <c r="G1252" s="49">
        <v>2</v>
      </c>
      <c r="H1252" s="39" t="str">
        <f>VLOOKUP(G1252,[5]Key!$A$2:$B$14,2,FALSE)</f>
        <v>Station Wagon</v>
      </c>
      <c r="I1252" s="13" t="s">
        <v>109</v>
      </c>
      <c r="J1252" s="13">
        <v>2</v>
      </c>
      <c r="K1252" s="40" t="str">
        <f>VLOOKUP(J1252,[5]Key!$A$24:$B$29,2,FALSE)</f>
        <v>30-39</v>
      </c>
      <c r="L1252" s="13" t="s">
        <v>712</v>
      </c>
      <c r="M1252" s="23" t="s">
        <v>441</v>
      </c>
      <c r="N1252" s="13" t="s">
        <v>221</v>
      </c>
      <c r="O1252" s="46">
        <v>4</v>
      </c>
      <c r="P1252" s="30" t="str">
        <f>VLOOKUP(O1252,[5]Key!$E$2:$F$9,2,FALSE)</f>
        <v>Commercial</v>
      </c>
      <c r="Q1252" s="13" t="s">
        <v>463</v>
      </c>
      <c r="R1252" s="23" t="s">
        <v>463</v>
      </c>
      <c r="S1252" s="13" t="s">
        <v>221</v>
      </c>
      <c r="T1252" s="23">
        <v>4</v>
      </c>
      <c r="U1252" s="30" t="str">
        <f>VLOOKUP(T1252,[5]Key!$E$2:$F$9,2,FALSE)</f>
        <v>Commercial</v>
      </c>
      <c r="V1252" s="30" t="str">
        <f t="shared" si="76"/>
        <v>Commercial-Commercial</v>
      </c>
      <c r="W1252" s="23">
        <v>8000</v>
      </c>
      <c r="X1252" s="50">
        <v>50</v>
      </c>
      <c r="Y1252" s="50" t="str">
        <f t="shared" si="77"/>
        <v>40-70</v>
      </c>
      <c r="Z1252" s="50">
        <v>0.8</v>
      </c>
      <c r="AA1252" s="50" t="str">
        <f t="shared" si="78"/>
        <v>0.5-1.0</v>
      </c>
      <c r="AB1252" s="23">
        <v>6</v>
      </c>
      <c r="AC1252" s="30" t="str">
        <f>VLOOKUP(AB1252,[5]Key!$C$20:$D$29,2,FALSE)</f>
        <v>Businessman</v>
      </c>
      <c r="AD1252" s="23">
        <v>2</v>
      </c>
      <c r="AE1252" s="30" t="str">
        <f>VLOOKUP(AD1252,[5]Key!$E$20:$F$24,2,FALSE)</f>
        <v>300,000-500,000</v>
      </c>
      <c r="AF1252" s="23">
        <v>1</v>
      </c>
      <c r="AG1252" s="50">
        <v>2</v>
      </c>
      <c r="AH1252" s="50">
        <v>5</v>
      </c>
      <c r="AI1252" s="50">
        <v>3</v>
      </c>
      <c r="AJ1252" s="50">
        <v>4</v>
      </c>
      <c r="AK1252" s="46" t="s">
        <v>94</v>
      </c>
      <c r="AL1252" s="36">
        <v>1000</v>
      </c>
      <c r="AM1252" t="str">
        <f t="shared" si="79"/>
        <v>1000-2000</v>
      </c>
    </row>
    <row r="1253" spans="1:39" x14ac:dyDescent="0.2">
      <c r="A1253" s="44">
        <v>43757</v>
      </c>
      <c r="B1253" s="48">
        <v>0.3888888888888889</v>
      </c>
      <c r="C1253" s="48"/>
      <c r="D1253" s="48" t="s">
        <v>97</v>
      </c>
      <c r="E1253" s="13">
        <v>2</v>
      </c>
      <c r="F1253" s="38" t="str">
        <f>VLOOKUP(E1253,[5]Key!$A$17:$B$21,2,FALSE)</f>
        <v>Road Vehicle</v>
      </c>
      <c r="G1253" s="49">
        <v>2</v>
      </c>
      <c r="H1253" s="39" t="str">
        <f>VLOOKUP(G1253,[5]Key!$A$2:$B$14,2,FALSE)</f>
        <v>Station Wagon</v>
      </c>
      <c r="I1253" s="13" t="s">
        <v>109</v>
      </c>
      <c r="J1253" s="13">
        <v>2</v>
      </c>
      <c r="K1253" s="40" t="str">
        <f>VLOOKUP(J1253,[5]Key!$A$24:$B$29,2,FALSE)</f>
        <v>30-39</v>
      </c>
      <c r="L1253" s="13"/>
      <c r="M1253" s="23"/>
      <c r="N1253" s="13" t="s">
        <v>221</v>
      </c>
      <c r="O1253" s="46">
        <v>2</v>
      </c>
      <c r="P1253" s="30" t="str">
        <f>VLOOKUP(O1253,[5]Key!$E$2:$F$9,2,FALSE)</f>
        <v>Work</v>
      </c>
      <c r="Q1253" s="13" t="s">
        <v>734</v>
      </c>
      <c r="R1253" s="23" t="s">
        <v>488</v>
      </c>
      <c r="S1253" s="13" t="s">
        <v>221</v>
      </c>
      <c r="T1253" s="23">
        <v>4</v>
      </c>
      <c r="U1253" s="30" t="str">
        <f>VLOOKUP(T1253,[5]Key!$E$2:$F$9,2,FALSE)</f>
        <v>Commercial</v>
      </c>
      <c r="V1253" s="30" t="str">
        <f t="shared" si="76"/>
        <v>Work-Commercial</v>
      </c>
      <c r="W1253" s="23">
        <v>20000</v>
      </c>
      <c r="X1253" s="50"/>
      <c r="Y1253" s="50" t="str">
        <f t="shared" si="77"/>
        <v>0-10</v>
      </c>
      <c r="Z1253" s="50">
        <v>1</v>
      </c>
      <c r="AA1253" s="50" t="str">
        <f t="shared" si="78"/>
        <v>1.0-2.0</v>
      </c>
      <c r="AB1253" s="23">
        <v>10</v>
      </c>
      <c r="AC1253" s="30" t="str">
        <f>VLOOKUP(AB1253,[5]Key!$C$20:$D$29,2,FALSE)</f>
        <v>Other</v>
      </c>
      <c r="AD1253" s="23">
        <v>1</v>
      </c>
      <c r="AE1253" s="30" t="str">
        <f>VLOOKUP(AD1253,[5]Key!$E$20:$F$24,2,FALSE)</f>
        <v>&lt;300,000</v>
      </c>
      <c r="AF1253" s="23">
        <v>3</v>
      </c>
      <c r="AG1253" s="50">
        <v>1</v>
      </c>
      <c r="AH1253" s="50">
        <v>2</v>
      </c>
      <c r="AI1253" s="50">
        <v>5</v>
      </c>
      <c r="AJ1253" s="50">
        <v>4</v>
      </c>
      <c r="AK1253" s="46" t="s">
        <v>94</v>
      </c>
      <c r="AL1253" s="36">
        <v>1000</v>
      </c>
      <c r="AM1253" t="str">
        <f t="shared" si="79"/>
        <v>1000-2000</v>
      </c>
    </row>
    <row r="1254" spans="1:39" x14ac:dyDescent="0.2">
      <c r="A1254" s="44">
        <v>43757</v>
      </c>
      <c r="B1254" s="48">
        <v>0.33611111111111108</v>
      </c>
      <c r="C1254" s="48"/>
      <c r="D1254" s="48" t="s">
        <v>97</v>
      </c>
      <c r="E1254" s="13">
        <v>2</v>
      </c>
      <c r="F1254" s="38" t="str">
        <f>VLOOKUP(E1254,[5]Key!$A$17:$B$21,2,FALSE)</f>
        <v>Road Vehicle</v>
      </c>
      <c r="G1254" s="49">
        <v>2</v>
      </c>
      <c r="H1254" s="39" t="str">
        <f>VLOOKUP(G1254,[5]Key!$A$2:$B$14,2,FALSE)</f>
        <v>Station Wagon</v>
      </c>
      <c r="I1254" s="13" t="s">
        <v>109</v>
      </c>
      <c r="J1254" s="13">
        <v>2</v>
      </c>
      <c r="K1254" s="40" t="str">
        <f>VLOOKUP(J1254,[5]Key!$A$24:$B$29,2,FALSE)</f>
        <v>30-39</v>
      </c>
      <c r="L1254" s="13" t="s">
        <v>446</v>
      </c>
      <c r="M1254" s="23" t="s">
        <v>439</v>
      </c>
      <c r="N1254" s="13" t="s">
        <v>221</v>
      </c>
      <c r="O1254" s="46">
        <v>1</v>
      </c>
      <c r="P1254" s="30" t="str">
        <f>VLOOKUP(O1254,[5]Key!$E$2:$F$9,2,FALSE)</f>
        <v>Home</v>
      </c>
      <c r="Q1254" s="13" t="s">
        <v>421</v>
      </c>
      <c r="R1254" s="23" t="s">
        <v>421</v>
      </c>
      <c r="S1254" s="13" t="s">
        <v>221</v>
      </c>
      <c r="T1254" s="23">
        <v>2</v>
      </c>
      <c r="U1254" s="30" t="str">
        <f>VLOOKUP(T1254,[5]Key!$E$2:$F$9,2,FALSE)</f>
        <v>Work</v>
      </c>
      <c r="V1254" s="30" t="str">
        <f t="shared" si="76"/>
        <v>Home-Work</v>
      </c>
      <c r="W1254" s="23">
        <v>50000</v>
      </c>
      <c r="X1254" s="50"/>
      <c r="Y1254" s="50" t="str">
        <f t="shared" si="77"/>
        <v>0-10</v>
      </c>
      <c r="Z1254" s="50">
        <v>2</v>
      </c>
      <c r="AA1254" s="50" t="str">
        <f t="shared" si="78"/>
        <v>2.0-3.5</v>
      </c>
      <c r="AB1254" s="23">
        <v>10</v>
      </c>
      <c r="AC1254" s="30" t="str">
        <f>VLOOKUP(AB1254,[5]Key!$C$20:$D$29,2,FALSE)</f>
        <v>Other</v>
      </c>
      <c r="AD1254" s="23">
        <v>2</v>
      </c>
      <c r="AE1254" s="30" t="str">
        <f>VLOOKUP(AD1254,[5]Key!$E$20:$F$24,2,FALSE)</f>
        <v>300,000-500,000</v>
      </c>
      <c r="AF1254" s="23">
        <v>4</v>
      </c>
      <c r="AG1254" s="50">
        <v>2</v>
      </c>
      <c r="AH1254" s="50">
        <v>1</v>
      </c>
      <c r="AI1254" s="50">
        <v>5</v>
      </c>
      <c r="AJ1254" s="50">
        <v>3</v>
      </c>
      <c r="AK1254" s="46" t="s">
        <v>94</v>
      </c>
      <c r="AL1254" s="36">
        <v>1000</v>
      </c>
      <c r="AM1254" t="str">
        <f t="shared" si="79"/>
        <v>1000-2000</v>
      </c>
    </row>
    <row r="1255" spans="1:39" x14ac:dyDescent="0.2">
      <c r="A1255" s="44">
        <v>43758</v>
      </c>
      <c r="B1255" s="48">
        <v>0.63263888888888886</v>
      </c>
      <c r="C1255" s="48"/>
      <c r="D1255" s="48" t="s">
        <v>97</v>
      </c>
      <c r="E1255" s="13">
        <v>2</v>
      </c>
      <c r="F1255" s="38" t="str">
        <f>VLOOKUP(E1255,[5]Key!$A$17:$B$21,2,FALSE)</f>
        <v>Road Vehicle</v>
      </c>
      <c r="G1255" s="49">
        <v>2</v>
      </c>
      <c r="H1255" s="39" t="str">
        <f>VLOOKUP(G1255,[5]Key!$A$2:$B$14,2,FALSE)</f>
        <v>Station Wagon</v>
      </c>
      <c r="I1255" s="13" t="s">
        <v>109</v>
      </c>
      <c r="J1255" s="13">
        <v>2</v>
      </c>
      <c r="K1255" s="40" t="str">
        <f>VLOOKUP(J1255,[5]Key!$A$24:$B$29,2,FALSE)</f>
        <v>30-39</v>
      </c>
      <c r="L1255" s="13" t="s">
        <v>537</v>
      </c>
      <c r="M1255" s="23" t="s">
        <v>168</v>
      </c>
      <c r="N1255" s="13" t="s">
        <v>221</v>
      </c>
      <c r="O1255" s="46">
        <v>1</v>
      </c>
      <c r="P1255" s="30" t="str">
        <f>VLOOKUP(O1255,[5]Key!$E$2:$F$9,2,FALSE)</f>
        <v>Home</v>
      </c>
      <c r="Q1255" s="13" t="s">
        <v>721</v>
      </c>
      <c r="R1255" s="23" t="s">
        <v>452</v>
      </c>
      <c r="S1255" s="13" t="s">
        <v>221</v>
      </c>
      <c r="T1255" s="23">
        <v>6</v>
      </c>
      <c r="U1255" s="30" t="str">
        <f>VLOOKUP(T1255,[5]Key!$E$2:$F$9,2,FALSE)</f>
        <v>Leisure/Social</v>
      </c>
      <c r="V1255" s="30" t="str">
        <f t="shared" si="76"/>
        <v>Home-Leisure/Social</v>
      </c>
      <c r="W1255" s="23">
        <v>400000</v>
      </c>
      <c r="X1255" s="50"/>
      <c r="Y1255" s="50" t="str">
        <f t="shared" si="77"/>
        <v>0-10</v>
      </c>
      <c r="Z1255" s="50">
        <v>8</v>
      </c>
      <c r="AA1255" s="50" t="str">
        <f t="shared" si="78"/>
        <v>Over 3.5</v>
      </c>
      <c r="AB1255" s="23">
        <v>4</v>
      </c>
      <c r="AC1255" s="30" t="str">
        <f>VLOOKUP(AB1255,[5]Key!$C$20:$D$29,2,FALSE)</f>
        <v>Office Worker</v>
      </c>
      <c r="AD1255" s="23">
        <v>2</v>
      </c>
      <c r="AE1255" s="30" t="str">
        <f>VLOOKUP(AD1255,[5]Key!$E$20:$F$24,2,FALSE)</f>
        <v>300,000-500,000</v>
      </c>
      <c r="AF1255" s="23">
        <v>3</v>
      </c>
      <c r="AG1255" s="50">
        <v>5</v>
      </c>
      <c r="AH1255" s="50">
        <v>4</v>
      </c>
      <c r="AI1255" s="50">
        <v>1</v>
      </c>
      <c r="AJ1255" s="50">
        <v>2</v>
      </c>
      <c r="AK1255" s="46" t="s">
        <v>94</v>
      </c>
      <c r="AL1255" s="36">
        <v>3000</v>
      </c>
      <c r="AM1255" t="str">
        <f t="shared" si="79"/>
        <v>3000-5000</v>
      </c>
    </row>
    <row r="1256" spans="1:39" x14ac:dyDescent="0.2">
      <c r="A1256" s="44">
        <v>43758</v>
      </c>
      <c r="B1256" s="48">
        <v>0.69444444444444453</v>
      </c>
      <c r="C1256" s="48"/>
      <c r="D1256" s="48" t="s">
        <v>97</v>
      </c>
      <c r="E1256" s="13">
        <v>2</v>
      </c>
      <c r="F1256" s="38" t="str">
        <f>VLOOKUP(E1256,[5]Key!$A$17:$B$21,2,FALSE)</f>
        <v>Road Vehicle</v>
      </c>
      <c r="G1256" s="49">
        <v>2</v>
      </c>
      <c r="H1256" s="39" t="str">
        <f>VLOOKUP(G1256,[5]Key!$A$2:$B$14,2,FALSE)</f>
        <v>Station Wagon</v>
      </c>
      <c r="I1256" s="13" t="s">
        <v>109</v>
      </c>
      <c r="J1256" s="13">
        <v>2</v>
      </c>
      <c r="K1256" s="40" t="str">
        <f>VLOOKUP(J1256,[5]Key!$A$24:$B$29,2,FALSE)</f>
        <v>30-39</v>
      </c>
      <c r="L1256" s="13" t="s">
        <v>708</v>
      </c>
      <c r="M1256" s="23" t="s">
        <v>708</v>
      </c>
      <c r="N1256" s="13" t="s">
        <v>221</v>
      </c>
      <c r="O1256" s="46">
        <v>4</v>
      </c>
      <c r="P1256" s="30" t="str">
        <f>VLOOKUP(O1256,[5]Key!$E$2:$F$9,2,FALSE)</f>
        <v>Commercial</v>
      </c>
      <c r="Q1256" s="13" t="s">
        <v>480</v>
      </c>
      <c r="R1256" s="23" t="s">
        <v>153</v>
      </c>
      <c r="S1256" s="13" t="s">
        <v>221</v>
      </c>
      <c r="T1256" s="23">
        <v>4</v>
      </c>
      <c r="U1256" s="30" t="str">
        <f>VLOOKUP(T1256,[5]Key!$E$2:$F$9,2,FALSE)</f>
        <v>Commercial</v>
      </c>
      <c r="V1256" s="30" t="str">
        <f t="shared" si="76"/>
        <v>Commercial-Commercial</v>
      </c>
      <c r="W1256" s="23">
        <v>200000</v>
      </c>
      <c r="X1256" s="50">
        <v>339</v>
      </c>
      <c r="Y1256" s="50" t="str">
        <f t="shared" si="77"/>
        <v>Over 200</v>
      </c>
      <c r="Z1256" s="50">
        <v>9</v>
      </c>
      <c r="AA1256" s="50" t="str">
        <f t="shared" si="78"/>
        <v>Over 3.5</v>
      </c>
      <c r="AB1256" s="23">
        <v>4</v>
      </c>
      <c r="AC1256" s="30" t="str">
        <f>VLOOKUP(AB1256,[5]Key!$C$20:$D$29,2,FALSE)</f>
        <v>Office Worker</v>
      </c>
      <c r="AD1256" s="23">
        <v>2</v>
      </c>
      <c r="AE1256" s="30" t="str">
        <f>VLOOKUP(AD1256,[5]Key!$E$20:$F$24,2,FALSE)</f>
        <v>300,000-500,000</v>
      </c>
      <c r="AF1256" s="23"/>
      <c r="AG1256" s="50"/>
      <c r="AH1256" s="50"/>
      <c r="AI1256" s="50"/>
      <c r="AJ1256" s="50"/>
      <c r="AK1256" s="46" t="s">
        <v>94</v>
      </c>
      <c r="AL1256" s="36">
        <v>2000</v>
      </c>
      <c r="AM1256" t="str">
        <f t="shared" si="79"/>
        <v>2000-3000</v>
      </c>
    </row>
    <row r="1257" spans="1:39" x14ac:dyDescent="0.2">
      <c r="A1257" s="44">
        <v>43758</v>
      </c>
      <c r="B1257" s="48">
        <v>0.70486111111111116</v>
      </c>
      <c r="C1257" s="48"/>
      <c r="D1257" s="48" t="s">
        <v>97</v>
      </c>
      <c r="E1257" s="13">
        <v>2</v>
      </c>
      <c r="F1257" s="38" t="str">
        <f>VLOOKUP(E1257,[5]Key!$A$17:$B$21,2,FALSE)</f>
        <v>Road Vehicle</v>
      </c>
      <c r="G1257" s="49">
        <v>2</v>
      </c>
      <c r="H1257" s="39" t="str">
        <f>VLOOKUP(G1257,[5]Key!$A$2:$B$14,2,FALSE)</f>
        <v>Station Wagon</v>
      </c>
      <c r="I1257" s="13" t="s">
        <v>109</v>
      </c>
      <c r="J1257" s="13">
        <v>2</v>
      </c>
      <c r="K1257" s="40" t="str">
        <f>VLOOKUP(J1257,[5]Key!$A$24:$B$29,2,FALSE)</f>
        <v>30-39</v>
      </c>
      <c r="L1257" s="13" t="s">
        <v>796</v>
      </c>
      <c r="M1257" s="23" t="s">
        <v>708</v>
      </c>
      <c r="N1257" s="13" t="s">
        <v>221</v>
      </c>
      <c r="O1257" s="46">
        <v>4</v>
      </c>
      <c r="P1257" s="30" t="str">
        <f>VLOOKUP(O1257,[5]Key!$E$2:$F$9,2,FALSE)</f>
        <v>Commercial</v>
      </c>
      <c r="Q1257" s="13" t="s">
        <v>797</v>
      </c>
      <c r="R1257" s="23" t="s">
        <v>797</v>
      </c>
      <c r="S1257" s="13" t="s">
        <v>221</v>
      </c>
      <c r="T1257" s="23">
        <v>4</v>
      </c>
      <c r="U1257" s="30" t="str">
        <f>VLOOKUP(T1257,[5]Key!$E$2:$F$9,2,FALSE)</f>
        <v>Commercial</v>
      </c>
      <c r="V1257" s="30" t="str">
        <f t="shared" si="76"/>
        <v>Commercial-Commercial</v>
      </c>
      <c r="W1257" s="23">
        <v>57000</v>
      </c>
      <c r="X1257" s="50"/>
      <c r="Y1257" s="50" t="str">
        <f t="shared" si="77"/>
        <v>0-10</v>
      </c>
      <c r="Z1257" s="50">
        <v>0.2</v>
      </c>
      <c r="AA1257" s="50" t="str">
        <f t="shared" si="78"/>
        <v>0-0.5</v>
      </c>
      <c r="AB1257" s="23">
        <v>6</v>
      </c>
      <c r="AC1257" s="30" t="str">
        <f>VLOOKUP(AB1257,[5]Key!$C$20:$D$29,2,FALSE)</f>
        <v>Businessman</v>
      </c>
      <c r="AD1257" s="23">
        <v>3</v>
      </c>
      <c r="AE1257" s="30" t="str">
        <f>VLOOKUP(AD1257,[5]Key!$E$20:$F$24,2,FALSE)</f>
        <v>500,000-750,000</v>
      </c>
      <c r="AF1257" s="23">
        <v>5</v>
      </c>
      <c r="AG1257" s="50">
        <v>1</v>
      </c>
      <c r="AH1257" s="50">
        <v>3</v>
      </c>
      <c r="AI1257" s="50">
        <v>2</v>
      </c>
      <c r="AJ1257" s="50">
        <v>4</v>
      </c>
      <c r="AK1257" s="46" t="s">
        <v>94</v>
      </c>
      <c r="AL1257" s="36"/>
      <c r="AM1257" t="str">
        <f t="shared" si="79"/>
        <v>0-1000</v>
      </c>
    </row>
    <row r="1258" spans="1:39" x14ac:dyDescent="0.2">
      <c r="A1258" s="44">
        <v>43757</v>
      </c>
      <c r="B1258" s="48">
        <v>0.30555555555555552</v>
      </c>
      <c r="C1258" s="48"/>
      <c r="D1258" s="48"/>
      <c r="E1258" s="13">
        <v>1</v>
      </c>
      <c r="F1258" s="38" t="str">
        <f>VLOOKUP(E1258,[5]Key!$A$17:$B$21,2,FALSE)</f>
        <v>Walking/Cycling</v>
      </c>
      <c r="G1258" s="49">
        <v>13</v>
      </c>
      <c r="H1258" s="39" t="str">
        <f>VLOOKUP(G1258,[5]Key!$A$2:$B$14,2,FALSE)</f>
        <v>Bicycles</v>
      </c>
      <c r="I1258" s="13" t="s">
        <v>109</v>
      </c>
      <c r="J1258" s="13">
        <v>3</v>
      </c>
      <c r="K1258" s="40" t="str">
        <f>VLOOKUP(J1258,[5]Key!$A$24:$B$29,2,FALSE)</f>
        <v>40-49</v>
      </c>
      <c r="L1258" s="13" t="s">
        <v>785</v>
      </c>
      <c r="M1258" s="23" t="s">
        <v>439</v>
      </c>
      <c r="N1258" s="13" t="s">
        <v>221</v>
      </c>
      <c r="O1258" s="46">
        <v>1</v>
      </c>
      <c r="P1258" s="30" t="str">
        <f>VLOOKUP(O1258,[5]Key!$E$2:$F$9,2,FALSE)</f>
        <v>Home</v>
      </c>
      <c r="Q1258" s="13" t="s">
        <v>446</v>
      </c>
      <c r="R1258" s="23" t="s">
        <v>439</v>
      </c>
      <c r="S1258" s="13" t="s">
        <v>221</v>
      </c>
      <c r="T1258" s="23">
        <v>2</v>
      </c>
      <c r="U1258" s="30" t="str">
        <f>VLOOKUP(T1258,[5]Key!$E$2:$F$9,2,FALSE)</f>
        <v>Work</v>
      </c>
      <c r="V1258" s="30" t="str">
        <f t="shared" si="76"/>
        <v>Home-Work</v>
      </c>
      <c r="W1258" s="23">
        <v>3000</v>
      </c>
      <c r="X1258" s="50">
        <v>2.5</v>
      </c>
      <c r="Y1258" s="50" t="str">
        <f t="shared" si="77"/>
        <v>0-10</v>
      </c>
      <c r="Z1258" s="50">
        <v>0.3</v>
      </c>
      <c r="AA1258" s="50" t="str">
        <f t="shared" si="78"/>
        <v>0-0.5</v>
      </c>
      <c r="AB1258" s="23">
        <v>2</v>
      </c>
      <c r="AC1258" s="30" t="str">
        <f>VLOOKUP(AB1258,[5]Key!$C$20:$D$29,2,FALSE)</f>
        <v>Manual Labour</v>
      </c>
      <c r="AD1258" s="23">
        <v>1</v>
      </c>
      <c r="AE1258" s="30" t="str">
        <f>VLOOKUP(AD1258,[5]Key!$E$20:$F$24,2,FALSE)</f>
        <v>&lt;300,000</v>
      </c>
      <c r="AF1258" s="23">
        <v>2</v>
      </c>
      <c r="AG1258" s="50">
        <v>1</v>
      </c>
      <c r="AH1258" s="50">
        <v>4</v>
      </c>
      <c r="AI1258" s="50">
        <v>3</v>
      </c>
      <c r="AJ1258" s="50">
        <v>5</v>
      </c>
      <c r="AK1258" s="46" t="s">
        <v>94</v>
      </c>
      <c r="AL1258" s="36">
        <v>2000</v>
      </c>
      <c r="AM1258" t="str">
        <f t="shared" si="79"/>
        <v>2000-3000</v>
      </c>
    </row>
    <row r="1259" spans="1:39" x14ac:dyDescent="0.2">
      <c r="A1259" s="44">
        <v>43757</v>
      </c>
      <c r="B1259" s="48">
        <v>0.47222222222222227</v>
      </c>
      <c r="C1259" s="48"/>
      <c r="D1259" s="48" t="s">
        <v>97</v>
      </c>
      <c r="E1259" s="13">
        <v>2</v>
      </c>
      <c r="F1259" s="38" t="str">
        <f>VLOOKUP(E1259,[5]Key!$A$17:$B$21,2,FALSE)</f>
        <v>Road Vehicle</v>
      </c>
      <c r="G1259" s="49">
        <v>1</v>
      </c>
      <c r="H1259" s="39" t="str">
        <f>VLOOKUP(G1259,[5]Key!$A$2:$B$14,2,FALSE)</f>
        <v>Car</v>
      </c>
      <c r="I1259" s="13" t="s">
        <v>156</v>
      </c>
      <c r="J1259" s="13">
        <v>3</v>
      </c>
      <c r="K1259" s="40" t="str">
        <f>VLOOKUP(J1259,[5]Key!$A$24:$B$29,2,FALSE)</f>
        <v>40-49</v>
      </c>
      <c r="L1259" s="13" t="s">
        <v>446</v>
      </c>
      <c r="M1259" s="23" t="s">
        <v>439</v>
      </c>
      <c r="N1259" s="13" t="s">
        <v>221</v>
      </c>
      <c r="O1259" s="46">
        <v>2</v>
      </c>
      <c r="P1259" s="30" t="str">
        <f>VLOOKUP(O1259,[5]Key!$E$2:$F$9,2,FALSE)</f>
        <v>Work</v>
      </c>
      <c r="Q1259" s="13" t="s">
        <v>798</v>
      </c>
      <c r="R1259" s="23" t="s">
        <v>463</v>
      </c>
      <c r="S1259" s="13" t="s">
        <v>221</v>
      </c>
      <c r="T1259" s="23">
        <v>6</v>
      </c>
      <c r="U1259" s="30" t="str">
        <f>VLOOKUP(T1259,[5]Key!$E$2:$F$9,2,FALSE)</f>
        <v>Leisure/Social</v>
      </c>
      <c r="V1259" s="30" t="str">
        <f t="shared" si="76"/>
        <v>Work-Leisure/Social</v>
      </c>
      <c r="W1259" s="23">
        <v>20000</v>
      </c>
      <c r="X1259" s="50">
        <v>25</v>
      </c>
      <c r="Y1259" s="50" t="str">
        <f t="shared" si="77"/>
        <v>20-40</v>
      </c>
      <c r="Z1259" s="50">
        <v>1.5</v>
      </c>
      <c r="AA1259" s="50" t="str">
        <f t="shared" si="78"/>
        <v>1.0-2.0</v>
      </c>
      <c r="AB1259" s="23">
        <v>6</v>
      </c>
      <c r="AC1259" s="30" t="str">
        <f>VLOOKUP(AB1259,[5]Key!$C$20:$D$29,2,FALSE)</f>
        <v>Businessman</v>
      </c>
      <c r="AD1259" s="23">
        <v>3</v>
      </c>
      <c r="AE1259" s="30" t="str">
        <f>VLOOKUP(AD1259,[5]Key!$E$20:$F$24,2,FALSE)</f>
        <v>500,000-750,000</v>
      </c>
      <c r="AF1259" s="23">
        <v>2</v>
      </c>
      <c r="AG1259" s="50">
        <v>3</v>
      </c>
      <c r="AH1259" s="50">
        <v>1</v>
      </c>
      <c r="AI1259" s="50">
        <v>5</v>
      </c>
      <c r="AJ1259" s="50">
        <v>4</v>
      </c>
      <c r="AK1259" s="46" t="s">
        <v>94</v>
      </c>
      <c r="AL1259" s="36">
        <v>2000</v>
      </c>
      <c r="AM1259" t="str">
        <f t="shared" si="79"/>
        <v>2000-3000</v>
      </c>
    </row>
    <row r="1260" spans="1:39" x14ac:dyDescent="0.2">
      <c r="A1260" s="44">
        <v>43757</v>
      </c>
      <c r="B1260" s="48">
        <v>0.36458333333333331</v>
      </c>
      <c r="C1260" s="48"/>
      <c r="D1260" s="48" t="s">
        <v>150</v>
      </c>
      <c r="E1260" s="13">
        <v>2</v>
      </c>
      <c r="F1260" s="38" t="str">
        <f>VLOOKUP(E1260,[5]Key!$A$17:$B$21,2,FALSE)</f>
        <v>Road Vehicle</v>
      </c>
      <c r="G1260" s="49">
        <v>1</v>
      </c>
      <c r="H1260" s="39" t="str">
        <f>VLOOKUP(G1260,[5]Key!$A$2:$B$14,2,FALSE)</f>
        <v>Car</v>
      </c>
      <c r="I1260" s="13" t="s">
        <v>156</v>
      </c>
      <c r="J1260" s="13">
        <v>3</v>
      </c>
      <c r="K1260" s="40" t="str">
        <f>VLOOKUP(J1260,[5]Key!$A$24:$B$29,2,FALSE)</f>
        <v>40-49</v>
      </c>
      <c r="L1260" s="13" t="s">
        <v>799</v>
      </c>
      <c r="M1260" s="23" t="s">
        <v>439</v>
      </c>
      <c r="N1260" s="13" t="s">
        <v>221</v>
      </c>
      <c r="O1260" s="46">
        <v>1</v>
      </c>
      <c r="P1260" s="30" t="str">
        <f>VLOOKUP(O1260,[5]Key!$E$2:$F$9,2,FALSE)</f>
        <v>Home</v>
      </c>
      <c r="Q1260" s="13" t="s">
        <v>446</v>
      </c>
      <c r="R1260" s="23" t="s">
        <v>439</v>
      </c>
      <c r="S1260" s="13" t="s">
        <v>221</v>
      </c>
      <c r="T1260" s="23">
        <v>2</v>
      </c>
      <c r="U1260" s="30" t="str">
        <f>VLOOKUP(T1260,[5]Key!$E$2:$F$9,2,FALSE)</f>
        <v>Work</v>
      </c>
      <c r="V1260" s="30" t="str">
        <f t="shared" si="76"/>
        <v>Home-Work</v>
      </c>
      <c r="W1260" s="23">
        <v>5000</v>
      </c>
      <c r="X1260" s="50">
        <v>8</v>
      </c>
      <c r="Y1260" s="50" t="str">
        <f t="shared" si="77"/>
        <v>0-10</v>
      </c>
      <c r="Z1260" s="50">
        <v>0.3</v>
      </c>
      <c r="AA1260" s="50" t="str">
        <f t="shared" si="78"/>
        <v>0-0.5</v>
      </c>
      <c r="AB1260" s="23">
        <v>2</v>
      </c>
      <c r="AC1260" s="30" t="str">
        <f>VLOOKUP(AB1260,[5]Key!$C$20:$D$29,2,FALSE)</f>
        <v>Manual Labour</v>
      </c>
      <c r="AD1260" s="23">
        <v>1</v>
      </c>
      <c r="AE1260" s="30" t="str">
        <f>VLOOKUP(AD1260,[5]Key!$E$20:$F$24,2,FALSE)</f>
        <v>&lt;300,000</v>
      </c>
      <c r="AF1260" s="23">
        <v>2</v>
      </c>
      <c r="AG1260" s="50">
        <v>1</v>
      </c>
      <c r="AH1260" s="50">
        <v>5</v>
      </c>
      <c r="AI1260" s="50">
        <v>3</v>
      </c>
      <c r="AJ1260" s="50">
        <v>4</v>
      </c>
      <c r="AK1260" s="46" t="s">
        <v>94</v>
      </c>
      <c r="AL1260" s="36">
        <v>2000</v>
      </c>
      <c r="AM1260" t="str">
        <f t="shared" si="79"/>
        <v>2000-3000</v>
      </c>
    </row>
    <row r="1261" spans="1:39" x14ac:dyDescent="0.2">
      <c r="A1261" s="44">
        <v>43758</v>
      </c>
      <c r="B1261" s="48">
        <v>0.31180555555555556</v>
      </c>
      <c r="C1261" s="48"/>
      <c r="D1261" s="48" t="s">
        <v>150</v>
      </c>
      <c r="E1261" s="13">
        <v>2</v>
      </c>
      <c r="F1261" s="38" t="str">
        <f>VLOOKUP(E1261,[5]Key!$A$17:$B$21,2,FALSE)</f>
        <v>Road Vehicle</v>
      </c>
      <c r="G1261" s="49">
        <v>1</v>
      </c>
      <c r="H1261" s="39" t="str">
        <f>VLOOKUP(G1261,[5]Key!$A$2:$B$14,2,FALSE)</f>
        <v>Car</v>
      </c>
      <c r="I1261" s="13" t="s">
        <v>156</v>
      </c>
      <c r="J1261" s="13">
        <v>3</v>
      </c>
      <c r="K1261" s="40" t="str">
        <f>VLOOKUP(J1261,[5]Key!$A$24:$B$29,2,FALSE)</f>
        <v>40-49</v>
      </c>
      <c r="L1261" s="13" t="s">
        <v>800</v>
      </c>
      <c r="M1261" s="23" t="s">
        <v>428</v>
      </c>
      <c r="N1261" s="13" t="s">
        <v>221</v>
      </c>
      <c r="O1261" s="46">
        <v>1</v>
      </c>
      <c r="P1261" s="30" t="str">
        <f>VLOOKUP(O1261,[5]Key!$E$2:$F$9,2,FALSE)</f>
        <v>Home</v>
      </c>
      <c r="Q1261" s="13" t="s">
        <v>743</v>
      </c>
      <c r="R1261" s="23" t="s">
        <v>439</v>
      </c>
      <c r="S1261" s="13" t="s">
        <v>221</v>
      </c>
      <c r="T1261" s="23">
        <v>8</v>
      </c>
      <c r="U1261" s="30" t="str">
        <f>VLOOKUP(T1261,[5]Key!$E$2:$F$9,2,FALSE)</f>
        <v>Others</v>
      </c>
      <c r="V1261" s="30" t="str">
        <f t="shared" si="76"/>
        <v>Home-Others</v>
      </c>
      <c r="W1261" s="23">
        <v>12000</v>
      </c>
      <c r="X1261" s="50"/>
      <c r="Y1261" s="50" t="str">
        <f t="shared" si="77"/>
        <v>0-10</v>
      </c>
      <c r="Z1261" s="50">
        <v>2</v>
      </c>
      <c r="AA1261" s="50" t="str">
        <f t="shared" si="78"/>
        <v>2.0-3.5</v>
      </c>
      <c r="AB1261" s="23">
        <v>1</v>
      </c>
      <c r="AC1261" s="30" t="str">
        <f>VLOOKUP(AB1261,[5]Key!$C$20:$D$29,2,FALSE)</f>
        <v>Unemployed</v>
      </c>
      <c r="AD1261" s="23">
        <v>1</v>
      </c>
      <c r="AE1261" s="30" t="str">
        <f>VLOOKUP(AD1261,[5]Key!$E$20:$F$24,2,FALSE)</f>
        <v>&lt;300,000</v>
      </c>
      <c r="AF1261" s="23">
        <v>2</v>
      </c>
      <c r="AG1261" s="50">
        <v>5</v>
      </c>
      <c r="AH1261" s="50">
        <v>3</v>
      </c>
      <c r="AI1261" s="50">
        <v>1</v>
      </c>
      <c r="AJ1261" s="50">
        <v>4</v>
      </c>
      <c r="AK1261" s="46" t="s">
        <v>94</v>
      </c>
      <c r="AL1261" s="36"/>
      <c r="AM1261" t="str">
        <f t="shared" si="79"/>
        <v>0-1000</v>
      </c>
    </row>
    <row r="1262" spans="1:39" x14ac:dyDescent="0.2">
      <c r="A1262" s="44">
        <v>43758</v>
      </c>
      <c r="B1262" s="48">
        <v>0.41388888888888892</v>
      </c>
      <c r="C1262" s="48"/>
      <c r="D1262" s="48" t="s">
        <v>150</v>
      </c>
      <c r="E1262" s="13">
        <v>2</v>
      </c>
      <c r="F1262" s="38" t="str">
        <f>VLOOKUP(E1262,[5]Key!$A$17:$B$21,2,FALSE)</f>
        <v>Road Vehicle</v>
      </c>
      <c r="G1262" s="49">
        <v>1</v>
      </c>
      <c r="H1262" s="39" t="str">
        <f>VLOOKUP(G1262,[5]Key!$A$2:$B$14,2,FALSE)</f>
        <v>Car</v>
      </c>
      <c r="I1262" s="13" t="s">
        <v>156</v>
      </c>
      <c r="J1262" s="13">
        <v>3</v>
      </c>
      <c r="K1262" s="40" t="str">
        <f>VLOOKUP(J1262,[5]Key!$A$24:$B$29,2,FALSE)</f>
        <v>40-49</v>
      </c>
      <c r="L1262" s="13" t="s">
        <v>721</v>
      </c>
      <c r="M1262" s="23" t="s">
        <v>452</v>
      </c>
      <c r="N1262" s="13" t="s">
        <v>221</v>
      </c>
      <c r="O1262" s="46">
        <v>1</v>
      </c>
      <c r="P1262" s="30" t="str">
        <f>VLOOKUP(O1262,[5]Key!$E$2:$F$9,2,FALSE)</f>
        <v>Home</v>
      </c>
      <c r="Q1262" s="13" t="s">
        <v>720</v>
      </c>
      <c r="R1262" s="23" t="s">
        <v>421</v>
      </c>
      <c r="S1262" s="13" t="s">
        <v>221</v>
      </c>
      <c r="T1262" s="23">
        <v>6</v>
      </c>
      <c r="U1262" s="30" t="str">
        <f>VLOOKUP(T1262,[5]Key!$E$2:$F$9,2,FALSE)</f>
        <v>Leisure/Social</v>
      </c>
      <c r="V1262" s="30" t="str">
        <f t="shared" si="76"/>
        <v>Home-Leisure/Social</v>
      </c>
      <c r="W1262" s="23">
        <v>20000</v>
      </c>
      <c r="X1262" s="50"/>
      <c r="Y1262" s="50" t="str">
        <f t="shared" si="77"/>
        <v>0-10</v>
      </c>
      <c r="Z1262" s="50">
        <v>3</v>
      </c>
      <c r="AA1262" s="50" t="str">
        <f t="shared" si="78"/>
        <v>2.0-3.5</v>
      </c>
      <c r="AB1262" s="23">
        <v>6</v>
      </c>
      <c r="AC1262" s="30" t="str">
        <f>VLOOKUP(AB1262,[5]Key!$C$20:$D$29,2,FALSE)</f>
        <v>Businessman</v>
      </c>
      <c r="AD1262" s="23">
        <v>2</v>
      </c>
      <c r="AE1262" s="30" t="str">
        <f>VLOOKUP(AD1262,[5]Key!$E$20:$F$24,2,FALSE)</f>
        <v>300,000-500,000</v>
      </c>
      <c r="AF1262" s="23">
        <v>2</v>
      </c>
      <c r="AG1262" s="50">
        <v>5</v>
      </c>
      <c r="AH1262" s="50">
        <v>4</v>
      </c>
      <c r="AI1262" s="50">
        <v>1</v>
      </c>
      <c r="AJ1262" s="50">
        <v>3</v>
      </c>
      <c r="AK1262" s="46" t="s">
        <v>94</v>
      </c>
      <c r="AL1262" s="36"/>
      <c r="AM1262" t="str">
        <f t="shared" si="79"/>
        <v>0-1000</v>
      </c>
    </row>
    <row r="1263" spans="1:39" x14ac:dyDescent="0.2">
      <c r="A1263" s="44">
        <v>43758</v>
      </c>
      <c r="B1263" s="48">
        <v>0.67499999999999993</v>
      </c>
      <c r="C1263" s="48"/>
      <c r="D1263" s="48" t="s">
        <v>150</v>
      </c>
      <c r="E1263" s="13">
        <v>2</v>
      </c>
      <c r="F1263" s="38" t="str">
        <f>VLOOKUP(E1263,[5]Key!$A$17:$B$21,2,FALSE)</f>
        <v>Road Vehicle</v>
      </c>
      <c r="G1263" s="49">
        <v>1</v>
      </c>
      <c r="H1263" s="39" t="str">
        <f>VLOOKUP(G1263,[5]Key!$A$2:$B$14,2,FALSE)</f>
        <v>Car</v>
      </c>
      <c r="I1263" s="13" t="s">
        <v>156</v>
      </c>
      <c r="J1263" s="13">
        <v>3</v>
      </c>
      <c r="K1263" s="40" t="str">
        <f>VLOOKUP(J1263,[5]Key!$A$24:$B$29,2,FALSE)</f>
        <v>40-49</v>
      </c>
      <c r="L1263" s="13" t="s">
        <v>731</v>
      </c>
      <c r="M1263" s="23" t="s">
        <v>421</v>
      </c>
      <c r="N1263" s="13" t="s">
        <v>221</v>
      </c>
      <c r="O1263" s="46">
        <v>6</v>
      </c>
      <c r="P1263" s="30" t="str">
        <f>VLOOKUP(O1263,[5]Key!$E$2:$F$9,2,FALSE)</f>
        <v>Leisure/Social</v>
      </c>
      <c r="Q1263" s="13" t="s">
        <v>719</v>
      </c>
      <c r="R1263" s="23" t="s">
        <v>452</v>
      </c>
      <c r="S1263" s="13" t="s">
        <v>221</v>
      </c>
      <c r="T1263" s="23">
        <v>1</v>
      </c>
      <c r="U1263" s="30" t="str">
        <f>VLOOKUP(T1263,[5]Key!$E$2:$F$9,2,FALSE)</f>
        <v>Home</v>
      </c>
      <c r="V1263" s="30" t="str">
        <f t="shared" si="76"/>
        <v>Leisure/Social-Home</v>
      </c>
      <c r="W1263" s="23">
        <v>12000</v>
      </c>
      <c r="X1263" s="50"/>
      <c r="Y1263" s="50" t="str">
        <f t="shared" si="77"/>
        <v>0-10</v>
      </c>
      <c r="Z1263" s="50">
        <v>3</v>
      </c>
      <c r="AA1263" s="50" t="str">
        <f t="shared" si="78"/>
        <v>2.0-3.5</v>
      </c>
      <c r="AB1263" s="23">
        <v>6</v>
      </c>
      <c r="AC1263" s="30" t="str">
        <f>VLOOKUP(AB1263,[5]Key!$C$20:$D$29,2,FALSE)</f>
        <v>Businessman</v>
      </c>
      <c r="AD1263" s="23">
        <v>1</v>
      </c>
      <c r="AE1263" s="30" t="str">
        <f>VLOOKUP(AD1263,[5]Key!$E$20:$F$24,2,FALSE)</f>
        <v>&lt;300,000</v>
      </c>
      <c r="AF1263" s="23">
        <v>4</v>
      </c>
      <c r="AG1263" s="50">
        <v>3</v>
      </c>
      <c r="AH1263" s="50">
        <v>1</v>
      </c>
      <c r="AI1263" s="50">
        <v>2</v>
      </c>
      <c r="AJ1263" s="50">
        <v>5</v>
      </c>
      <c r="AK1263" s="46" t="s">
        <v>94</v>
      </c>
      <c r="AL1263" s="36">
        <v>1000</v>
      </c>
      <c r="AM1263" t="str">
        <f t="shared" si="79"/>
        <v>1000-2000</v>
      </c>
    </row>
    <row r="1264" spans="1:39" x14ac:dyDescent="0.2">
      <c r="A1264" s="44">
        <v>43756</v>
      </c>
      <c r="B1264" s="48"/>
      <c r="C1264" s="48"/>
      <c r="D1264" s="48" t="s">
        <v>97</v>
      </c>
      <c r="E1264" s="13">
        <v>2</v>
      </c>
      <c r="F1264" s="38" t="str">
        <f>VLOOKUP(E1264,[5]Key!$A$17:$B$21,2,FALSE)</f>
        <v>Road Vehicle</v>
      </c>
      <c r="G1264" s="49">
        <v>1</v>
      </c>
      <c r="H1264" s="39" t="str">
        <f>VLOOKUP(G1264,[5]Key!$A$2:$B$14,2,FALSE)</f>
        <v>Car</v>
      </c>
      <c r="I1264" s="13" t="s">
        <v>109</v>
      </c>
      <c r="J1264" s="13">
        <v>3</v>
      </c>
      <c r="K1264" s="40" t="str">
        <f>VLOOKUP(J1264,[5]Key!$A$24:$B$29,2,FALSE)</f>
        <v>40-49</v>
      </c>
      <c r="L1264" s="55" t="s">
        <v>446</v>
      </c>
      <c r="M1264" s="23" t="s">
        <v>439</v>
      </c>
      <c r="N1264" s="13" t="s">
        <v>221</v>
      </c>
      <c r="O1264" s="46">
        <v>2</v>
      </c>
      <c r="P1264" s="30" t="str">
        <f>VLOOKUP(O1264,[5]Key!$E$2:$F$9,2,FALSE)</f>
        <v>Work</v>
      </c>
      <c r="Q1264" s="13" t="s">
        <v>734</v>
      </c>
      <c r="R1264" s="23" t="s">
        <v>439</v>
      </c>
      <c r="S1264" s="13" t="s">
        <v>221</v>
      </c>
      <c r="T1264" s="23">
        <v>6</v>
      </c>
      <c r="U1264" s="30" t="str">
        <f>VLOOKUP(T1264,[5]Key!$E$2:$F$9,2,FALSE)</f>
        <v>Leisure/Social</v>
      </c>
      <c r="V1264" s="30" t="str">
        <f t="shared" si="76"/>
        <v>Work-Leisure/Social</v>
      </c>
      <c r="W1264" s="41">
        <v>30000</v>
      </c>
      <c r="X1264" s="50">
        <v>35</v>
      </c>
      <c r="Y1264" s="50" t="str">
        <f t="shared" si="77"/>
        <v>20-40</v>
      </c>
      <c r="Z1264" s="50">
        <v>0.4</v>
      </c>
      <c r="AA1264" s="50" t="str">
        <f t="shared" si="78"/>
        <v>0-0.5</v>
      </c>
      <c r="AB1264" s="23">
        <v>2</v>
      </c>
      <c r="AC1264" s="30" t="str">
        <f>VLOOKUP(AB1264,[5]Key!$C$20:$D$29,2,FALSE)</f>
        <v>Manual Labour</v>
      </c>
      <c r="AD1264" s="23">
        <v>2</v>
      </c>
      <c r="AE1264" s="30" t="str">
        <f>VLOOKUP(AD1264,[5]Key!$E$20:$F$24,2,FALSE)</f>
        <v>300,000-500,000</v>
      </c>
      <c r="AF1264" s="23">
        <v>2</v>
      </c>
      <c r="AG1264" s="50">
        <v>5</v>
      </c>
      <c r="AH1264" s="50">
        <v>4</v>
      </c>
      <c r="AI1264" s="50">
        <v>1</v>
      </c>
      <c r="AJ1264" s="50">
        <v>5</v>
      </c>
      <c r="AK1264" s="46" t="s">
        <v>94</v>
      </c>
      <c r="AL1264" s="36">
        <v>200</v>
      </c>
      <c r="AM1264" t="str">
        <f t="shared" si="79"/>
        <v>0-1000</v>
      </c>
    </row>
    <row r="1265" spans="1:39" x14ac:dyDescent="0.2">
      <c r="A1265" s="44">
        <v>43756</v>
      </c>
      <c r="B1265" s="48"/>
      <c r="C1265" s="48"/>
      <c r="D1265" s="48" t="s">
        <v>150</v>
      </c>
      <c r="E1265" s="13">
        <v>2</v>
      </c>
      <c r="F1265" s="38" t="str">
        <f>VLOOKUP(E1265,[5]Key!$A$17:$B$21,2,FALSE)</f>
        <v>Road Vehicle</v>
      </c>
      <c r="G1265" s="49">
        <v>1</v>
      </c>
      <c r="H1265" s="39" t="str">
        <f>VLOOKUP(G1265,[5]Key!$A$2:$B$14,2,FALSE)</f>
        <v>Car</v>
      </c>
      <c r="I1265" s="13" t="s">
        <v>109</v>
      </c>
      <c r="J1265" s="13">
        <v>3</v>
      </c>
      <c r="K1265" s="40" t="str">
        <f>VLOOKUP(J1265,[5]Key!$A$24:$B$29,2,FALSE)</f>
        <v>40-49</v>
      </c>
      <c r="L1265" s="55" t="s">
        <v>746</v>
      </c>
      <c r="M1265" s="23" t="s">
        <v>439</v>
      </c>
      <c r="N1265" s="13" t="s">
        <v>221</v>
      </c>
      <c r="O1265" s="46">
        <v>1</v>
      </c>
      <c r="P1265" s="30" t="str">
        <f>VLOOKUP(O1265,[5]Key!$E$2:$F$9,2,FALSE)</f>
        <v>Home</v>
      </c>
      <c r="Q1265" s="13" t="s">
        <v>801</v>
      </c>
      <c r="R1265" s="23" t="s">
        <v>421</v>
      </c>
      <c r="S1265" s="13" t="s">
        <v>221</v>
      </c>
      <c r="T1265" s="23">
        <v>4</v>
      </c>
      <c r="U1265" s="30" t="str">
        <f>VLOOKUP(T1265,[5]Key!$E$2:$F$9,2,FALSE)</f>
        <v>Commercial</v>
      </c>
      <c r="V1265" s="30" t="str">
        <f t="shared" si="76"/>
        <v>Home-Commercial</v>
      </c>
      <c r="W1265" s="41">
        <v>9000</v>
      </c>
      <c r="X1265" s="50">
        <v>100</v>
      </c>
      <c r="Y1265" s="50" t="str">
        <f t="shared" si="77"/>
        <v>100-200</v>
      </c>
      <c r="Z1265" s="50">
        <v>1</v>
      </c>
      <c r="AA1265" s="50" t="str">
        <f t="shared" si="78"/>
        <v>1.0-2.0</v>
      </c>
      <c r="AB1265" s="23">
        <v>5</v>
      </c>
      <c r="AC1265" s="30" t="str">
        <f>VLOOKUP(AB1265,[5]Key!$C$20:$D$29,2,FALSE)</f>
        <v>Professional</v>
      </c>
      <c r="AD1265" s="23">
        <v>4</v>
      </c>
      <c r="AE1265" s="30" t="str">
        <f>VLOOKUP(AD1265,[5]Key!$E$20:$F$24,2,FALSE)</f>
        <v>750,000-1,000,000</v>
      </c>
      <c r="AF1265" s="23">
        <v>2</v>
      </c>
      <c r="AG1265" s="50">
        <v>4</v>
      </c>
      <c r="AH1265" s="50">
        <v>3</v>
      </c>
      <c r="AI1265" s="50">
        <v>1</v>
      </c>
      <c r="AJ1265" s="50">
        <v>5</v>
      </c>
      <c r="AK1265" s="46" t="s">
        <v>94</v>
      </c>
      <c r="AL1265" s="36">
        <v>500</v>
      </c>
      <c r="AM1265" t="str">
        <f t="shared" si="79"/>
        <v>0-1000</v>
      </c>
    </row>
    <row r="1266" spans="1:39" x14ac:dyDescent="0.2">
      <c r="A1266" s="44">
        <v>43756</v>
      </c>
      <c r="B1266" s="48"/>
      <c r="C1266" s="48"/>
      <c r="D1266" s="48" t="s">
        <v>97</v>
      </c>
      <c r="E1266" s="13">
        <v>2</v>
      </c>
      <c r="F1266" s="38" t="str">
        <f>VLOOKUP(E1266,[5]Key!$A$17:$B$21,2,FALSE)</f>
        <v>Road Vehicle</v>
      </c>
      <c r="G1266" s="49">
        <v>1</v>
      </c>
      <c r="H1266" s="39" t="str">
        <f>VLOOKUP(G1266,[5]Key!$A$2:$B$14,2,FALSE)</f>
        <v>Car</v>
      </c>
      <c r="I1266" s="13" t="s">
        <v>109</v>
      </c>
      <c r="J1266" s="13">
        <v>3</v>
      </c>
      <c r="K1266" s="40" t="str">
        <f>VLOOKUP(J1266,[5]Key!$A$24:$B$29,2,FALSE)</f>
        <v>40-49</v>
      </c>
      <c r="L1266" s="55" t="s">
        <v>446</v>
      </c>
      <c r="M1266" s="23" t="s">
        <v>439</v>
      </c>
      <c r="N1266" s="13" t="s">
        <v>221</v>
      </c>
      <c r="O1266" s="46">
        <v>2</v>
      </c>
      <c r="P1266" s="30" t="str">
        <f>VLOOKUP(O1266,[5]Key!$E$2:$F$9,2,FALSE)</f>
        <v>Work</v>
      </c>
      <c r="Q1266" s="13" t="s">
        <v>732</v>
      </c>
      <c r="R1266" s="23" t="s">
        <v>421</v>
      </c>
      <c r="S1266" s="13" t="s">
        <v>221</v>
      </c>
      <c r="T1266" s="23">
        <v>2</v>
      </c>
      <c r="U1266" s="30" t="str">
        <f>VLOOKUP(T1266,[5]Key!$E$2:$F$9,2,FALSE)</f>
        <v>Work</v>
      </c>
      <c r="V1266" s="30" t="str">
        <f t="shared" si="76"/>
        <v>Work-Work</v>
      </c>
      <c r="W1266" s="41">
        <v>100000</v>
      </c>
      <c r="X1266" s="50"/>
      <c r="Y1266" s="50" t="str">
        <f t="shared" si="77"/>
        <v>0-10</v>
      </c>
      <c r="Z1266" s="50">
        <v>1</v>
      </c>
      <c r="AA1266" s="50" t="str">
        <f t="shared" si="78"/>
        <v>1.0-2.0</v>
      </c>
      <c r="AB1266" s="23">
        <v>10</v>
      </c>
      <c r="AC1266" s="30" t="str">
        <f>VLOOKUP(AB1266,[5]Key!$C$20:$D$29,2,FALSE)</f>
        <v>Other</v>
      </c>
      <c r="AD1266" s="23">
        <v>1</v>
      </c>
      <c r="AE1266" s="30" t="str">
        <f>VLOOKUP(AD1266,[5]Key!$E$20:$F$24,2,FALSE)</f>
        <v>&lt;300,000</v>
      </c>
      <c r="AF1266" s="23">
        <v>2</v>
      </c>
      <c r="AG1266" s="50">
        <v>1</v>
      </c>
      <c r="AH1266" s="50">
        <v>5</v>
      </c>
      <c r="AI1266" s="50">
        <v>4</v>
      </c>
      <c r="AJ1266" s="50">
        <v>3</v>
      </c>
      <c r="AK1266" s="46" t="s">
        <v>94</v>
      </c>
      <c r="AL1266" s="36">
        <v>1000</v>
      </c>
      <c r="AM1266" t="str">
        <f t="shared" si="79"/>
        <v>1000-2000</v>
      </c>
    </row>
    <row r="1267" spans="1:39" x14ac:dyDescent="0.2">
      <c r="A1267" s="44">
        <v>43757</v>
      </c>
      <c r="B1267" s="48">
        <v>0.36736111111111108</v>
      </c>
      <c r="C1267" s="48"/>
      <c r="D1267" s="48" t="s">
        <v>97</v>
      </c>
      <c r="E1267" s="13">
        <v>2</v>
      </c>
      <c r="F1267" s="38" t="str">
        <f>VLOOKUP(E1267,[5]Key!$A$17:$B$21,2,FALSE)</f>
        <v>Road Vehicle</v>
      </c>
      <c r="G1267" s="49">
        <v>1</v>
      </c>
      <c r="H1267" s="39" t="str">
        <f>VLOOKUP(G1267,[5]Key!$A$2:$B$14,2,FALSE)</f>
        <v>Car</v>
      </c>
      <c r="I1267" s="13" t="s">
        <v>109</v>
      </c>
      <c r="J1267" s="13">
        <v>3</v>
      </c>
      <c r="K1267" s="40" t="str">
        <f>VLOOKUP(J1267,[5]Key!$A$24:$B$29,2,FALSE)</f>
        <v>40-49</v>
      </c>
      <c r="L1267" s="13" t="s">
        <v>446</v>
      </c>
      <c r="M1267" s="23" t="s">
        <v>439</v>
      </c>
      <c r="N1267" s="13" t="s">
        <v>221</v>
      </c>
      <c r="O1267" s="46">
        <v>4</v>
      </c>
      <c r="P1267" s="30" t="str">
        <f>VLOOKUP(O1267,[5]Key!$E$2:$F$9,2,FALSE)</f>
        <v>Commercial</v>
      </c>
      <c r="Q1267" s="13" t="s">
        <v>421</v>
      </c>
      <c r="R1267" s="23" t="s">
        <v>421</v>
      </c>
      <c r="S1267" s="13" t="s">
        <v>221</v>
      </c>
      <c r="T1267" s="23">
        <v>4</v>
      </c>
      <c r="U1267" s="30" t="str">
        <f>VLOOKUP(T1267,[5]Key!$E$2:$F$9,2,FALSE)</f>
        <v>Commercial</v>
      </c>
      <c r="V1267" s="30" t="str">
        <f t="shared" si="76"/>
        <v>Commercial-Commercial</v>
      </c>
      <c r="W1267" s="23">
        <v>45000</v>
      </c>
      <c r="X1267" s="50">
        <v>58</v>
      </c>
      <c r="Y1267" s="50" t="str">
        <f t="shared" si="77"/>
        <v>40-70</v>
      </c>
      <c r="Z1267" s="50">
        <v>0.8</v>
      </c>
      <c r="AA1267" s="50" t="str">
        <f t="shared" si="78"/>
        <v>0.5-1.0</v>
      </c>
      <c r="AB1267" s="23">
        <v>2</v>
      </c>
      <c r="AC1267" s="30" t="str">
        <f>VLOOKUP(AB1267,[5]Key!$C$20:$D$29,2,FALSE)</f>
        <v>Manual Labour</v>
      </c>
      <c r="AD1267" s="23">
        <v>1</v>
      </c>
      <c r="AE1267" s="30" t="str">
        <f>VLOOKUP(AD1267,[5]Key!$E$20:$F$24,2,FALSE)</f>
        <v>&lt;300,000</v>
      </c>
      <c r="AF1267" s="23">
        <v>1</v>
      </c>
      <c r="AG1267" s="50">
        <v>3</v>
      </c>
      <c r="AH1267" s="50">
        <v>4</v>
      </c>
      <c r="AI1267" s="50">
        <v>2</v>
      </c>
      <c r="AJ1267" s="50">
        <v>5</v>
      </c>
      <c r="AK1267" s="46" t="s">
        <v>94</v>
      </c>
      <c r="AL1267" s="36">
        <v>2000</v>
      </c>
      <c r="AM1267" t="str">
        <f t="shared" si="79"/>
        <v>2000-3000</v>
      </c>
    </row>
    <row r="1268" spans="1:39" x14ac:dyDescent="0.2">
      <c r="A1268" s="44">
        <v>43757</v>
      </c>
      <c r="B1268" s="48"/>
      <c r="C1268" s="48"/>
      <c r="D1268" s="48" t="s">
        <v>97</v>
      </c>
      <c r="E1268" s="13">
        <v>2</v>
      </c>
      <c r="F1268" s="38" t="str">
        <f>VLOOKUP(E1268,[5]Key!$A$17:$B$21,2,FALSE)</f>
        <v>Road Vehicle</v>
      </c>
      <c r="G1268" s="49">
        <v>1</v>
      </c>
      <c r="H1268" s="39" t="str">
        <f>VLOOKUP(G1268,[5]Key!$A$2:$B$14,2,FALSE)</f>
        <v>Car</v>
      </c>
      <c r="I1268" s="13" t="s">
        <v>109</v>
      </c>
      <c r="J1268" s="13">
        <v>3</v>
      </c>
      <c r="K1268" s="40" t="str">
        <f>VLOOKUP(J1268,[5]Key!$A$24:$B$29,2,FALSE)</f>
        <v>40-49</v>
      </c>
      <c r="L1268" s="13" t="s">
        <v>446</v>
      </c>
      <c r="M1268" s="23" t="s">
        <v>439</v>
      </c>
      <c r="N1268" s="13" t="s">
        <v>221</v>
      </c>
      <c r="O1268" s="46">
        <v>2</v>
      </c>
      <c r="P1268" s="30" t="str">
        <f>VLOOKUP(O1268,[5]Key!$E$2:$F$9,2,FALSE)</f>
        <v>Work</v>
      </c>
      <c r="Q1268" s="13" t="s">
        <v>421</v>
      </c>
      <c r="R1268" s="23" t="s">
        <v>421</v>
      </c>
      <c r="S1268" s="13" t="s">
        <v>221</v>
      </c>
      <c r="T1268" s="23">
        <v>6</v>
      </c>
      <c r="U1268" s="30" t="str">
        <f>VLOOKUP(T1268,[5]Key!$E$2:$F$9,2,FALSE)</f>
        <v>Leisure/Social</v>
      </c>
      <c r="V1268" s="30" t="str">
        <f t="shared" si="76"/>
        <v>Work-Leisure/Social</v>
      </c>
      <c r="W1268" s="23">
        <v>50000</v>
      </c>
      <c r="X1268" s="50">
        <v>40</v>
      </c>
      <c r="Y1268" s="50" t="str">
        <f t="shared" si="77"/>
        <v>40-70</v>
      </c>
      <c r="Z1268" s="50">
        <v>1.5</v>
      </c>
      <c r="AA1268" s="50" t="str">
        <f t="shared" si="78"/>
        <v>1.0-2.0</v>
      </c>
      <c r="AB1268" s="23">
        <v>3</v>
      </c>
      <c r="AC1268" s="30" t="str">
        <f>VLOOKUP(AB1268,[5]Key!$C$20:$D$29,2,FALSE)</f>
        <v>Artisan/Domestic</v>
      </c>
      <c r="AD1268" s="23">
        <v>1</v>
      </c>
      <c r="AE1268" s="30" t="str">
        <f>VLOOKUP(AD1268,[5]Key!$E$20:$F$24,2,FALSE)</f>
        <v>&lt;300,000</v>
      </c>
      <c r="AF1268" s="23">
        <v>3</v>
      </c>
      <c r="AG1268" s="50">
        <v>1</v>
      </c>
      <c r="AH1268" s="50">
        <v>2</v>
      </c>
      <c r="AI1268" s="50">
        <v>4</v>
      </c>
      <c r="AJ1268" s="50">
        <v>5</v>
      </c>
      <c r="AK1268" s="46" t="s">
        <v>94</v>
      </c>
      <c r="AL1268" s="36">
        <v>1000</v>
      </c>
      <c r="AM1268" t="str">
        <f t="shared" si="79"/>
        <v>1000-2000</v>
      </c>
    </row>
    <row r="1269" spans="1:39" x14ac:dyDescent="0.2">
      <c r="A1269" s="44">
        <v>43757</v>
      </c>
      <c r="B1269" s="48">
        <v>0.47916666666666669</v>
      </c>
      <c r="C1269" s="48"/>
      <c r="D1269" s="48" t="s">
        <v>150</v>
      </c>
      <c r="E1269" s="13">
        <v>2</v>
      </c>
      <c r="F1269" s="38" t="str">
        <f>VLOOKUP(E1269,[5]Key!$A$17:$B$21,2,FALSE)</f>
        <v>Road Vehicle</v>
      </c>
      <c r="G1269" s="49">
        <v>1</v>
      </c>
      <c r="H1269" s="39" t="str">
        <f>VLOOKUP(G1269,[5]Key!$A$2:$B$14,2,FALSE)</f>
        <v>Car</v>
      </c>
      <c r="I1269" s="13" t="s">
        <v>109</v>
      </c>
      <c r="J1269" s="13">
        <v>3</v>
      </c>
      <c r="K1269" s="40" t="str">
        <f>VLOOKUP(J1269,[5]Key!$A$24:$B$29,2,FALSE)</f>
        <v>40-49</v>
      </c>
      <c r="L1269" s="13" t="s">
        <v>802</v>
      </c>
      <c r="M1269" s="23" t="s">
        <v>488</v>
      </c>
      <c r="N1269" s="13" t="s">
        <v>221</v>
      </c>
      <c r="O1269" s="46">
        <v>1</v>
      </c>
      <c r="P1269" s="30" t="str">
        <f>VLOOKUP(O1269,[5]Key!$E$2:$F$9,2,FALSE)</f>
        <v>Home</v>
      </c>
      <c r="Q1269" s="13" t="s">
        <v>421</v>
      </c>
      <c r="R1269" s="23" t="s">
        <v>421</v>
      </c>
      <c r="S1269" s="13" t="s">
        <v>221</v>
      </c>
      <c r="T1269" s="23">
        <v>2</v>
      </c>
      <c r="U1269" s="30" t="str">
        <f>VLOOKUP(T1269,[5]Key!$E$2:$F$9,2,FALSE)</f>
        <v>Work</v>
      </c>
      <c r="V1269" s="30" t="str">
        <f t="shared" si="76"/>
        <v>Home-Work</v>
      </c>
      <c r="W1269" s="23">
        <v>9000</v>
      </c>
      <c r="X1269" s="50"/>
      <c r="Y1269" s="50" t="str">
        <f t="shared" si="77"/>
        <v>0-10</v>
      </c>
      <c r="Z1269" s="50">
        <v>1.5</v>
      </c>
      <c r="AA1269" s="50" t="str">
        <f t="shared" si="78"/>
        <v>1.0-2.0</v>
      </c>
      <c r="AB1269" s="23">
        <v>7</v>
      </c>
      <c r="AC1269" s="30" t="str">
        <f>VLOOKUP(AB1269,[5]Key!$C$20:$D$29,2,FALSE)</f>
        <v>Farmer</v>
      </c>
      <c r="AD1269" s="23">
        <v>4</v>
      </c>
      <c r="AE1269" s="30" t="str">
        <f>VLOOKUP(AD1269,[5]Key!$E$20:$F$24,2,FALSE)</f>
        <v>750,000-1,000,000</v>
      </c>
      <c r="AF1269" s="23">
        <v>5</v>
      </c>
      <c r="AG1269" s="50">
        <v>4</v>
      </c>
      <c r="AH1269" s="50">
        <v>2</v>
      </c>
      <c r="AI1269" s="50">
        <v>1</v>
      </c>
      <c r="AJ1269" s="50">
        <v>3</v>
      </c>
      <c r="AK1269" s="46" t="s">
        <v>94</v>
      </c>
      <c r="AL1269" s="36"/>
      <c r="AM1269" t="str">
        <f t="shared" si="79"/>
        <v>0-1000</v>
      </c>
    </row>
    <row r="1270" spans="1:39" x14ac:dyDescent="0.2">
      <c r="A1270" s="44">
        <v>43758</v>
      </c>
      <c r="B1270" s="48">
        <v>0.44861111111111113</v>
      </c>
      <c r="C1270" s="48"/>
      <c r="D1270" s="48" t="s">
        <v>97</v>
      </c>
      <c r="E1270" s="13">
        <v>2</v>
      </c>
      <c r="F1270" s="38" t="str">
        <f>VLOOKUP(E1270,[5]Key!$A$17:$B$21,2,FALSE)</f>
        <v>Road Vehicle</v>
      </c>
      <c r="G1270" s="49">
        <v>1</v>
      </c>
      <c r="H1270" s="39" t="str">
        <f>VLOOKUP(G1270,[5]Key!$A$2:$B$14,2,FALSE)</f>
        <v>Car</v>
      </c>
      <c r="I1270" s="13" t="s">
        <v>109</v>
      </c>
      <c r="J1270" s="13">
        <v>3</v>
      </c>
      <c r="K1270" s="40" t="str">
        <f>VLOOKUP(J1270,[5]Key!$A$24:$B$29,2,FALSE)</f>
        <v>40-49</v>
      </c>
      <c r="L1270" s="13" t="s">
        <v>709</v>
      </c>
      <c r="M1270" s="23" t="s">
        <v>439</v>
      </c>
      <c r="N1270" s="13" t="s">
        <v>221</v>
      </c>
      <c r="O1270" s="46">
        <v>1</v>
      </c>
      <c r="P1270" s="30" t="str">
        <f>VLOOKUP(O1270,[5]Key!$E$2:$F$9,2,FALSE)</f>
        <v>Home</v>
      </c>
      <c r="Q1270" s="13" t="s">
        <v>446</v>
      </c>
      <c r="R1270" s="23" t="s">
        <v>439</v>
      </c>
      <c r="S1270" s="13" t="s">
        <v>221</v>
      </c>
      <c r="T1270" s="23">
        <v>2</v>
      </c>
      <c r="U1270" s="30" t="str">
        <f>VLOOKUP(T1270,[5]Key!$E$2:$F$9,2,FALSE)</f>
        <v>Work</v>
      </c>
      <c r="V1270" s="30" t="str">
        <f t="shared" si="76"/>
        <v>Home-Work</v>
      </c>
      <c r="W1270" s="23">
        <v>20000</v>
      </c>
      <c r="X1270" s="50"/>
      <c r="Y1270" s="50" t="str">
        <f t="shared" si="77"/>
        <v>0-10</v>
      </c>
      <c r="Z1270" s="50">
        <v>0.5</v>
      </c>
      <c r="AA1270" s="50" t="str">
        <f t="shared" si="78"/>
        <v>0.5-1.0</v>
      </c>
      <c r="AB1270" s="23">
        <v>6</v>
      </c>
      <c r="AC1270" s="30" t="str">
        <f>VLOOKUP(AB1270,[5]Key!$C$20:$D$29,2,FALSE)</f>
        <v>Businessman</v>
      </c>
      <c r="AD1270" s="23">
        <v>1</v>
      </c>
      <c r="AE1270" s="30" t="str">
        <f>VLOOKUP(AD1270,[5]Key!$E$20:$F$24,2,FALSE)</f>
        <v>&lt;300,000</v>
      </c>
      <c r="AF1270" s="23">
        <v>1</v>
      </c>
      <c r="AG1270" s="50">
        <v>2</v>
      </c>
      <c r="AH1270" s="50">
        <v>5</v>
      </c>
      <c r="AI1270" s="50">
        <v>4</v>
      </c>
      <c r="AJ1270" s="50">
        <v>3</v>
      </c>
      <c r="AK1270" s="46" t="s">
        <v>94</v>
      </c>
      <c r="AL1270" s="36">
        <v>500</v>
      </c>
      <c r="AM1270" t="str">
        <f t="shared" si="79"/>
        <v>0-1000</v>
      </c>
    </row>
    <row r="1271" spans="1:39" x14ac:dyDescent="0.2">
      <c r="A1271" s="44">
        <v>43758</v>
      </c>
      <c r="B1271" s="48">
        <v>0.74236111111111114</v>
      </c>
      <c r="C1271" s="48"/>
      <c r="D1271" s="48" t="s">
        <v>150</v>
      </c>
      <c r="E1271" s="13">
        <v>2</v>
      </c>
      <c r="F1271" s="38" t="str">
        <f>VLOOKUP(E1271,[5]Key!$A$17:$B$21,2,FALSE)</f>
        <v>Road Vehicle</v>
      </c>
      <c r="G1271" s="49">
        <v>1</v>
      </c>
      <c r="H1271" s="39" t="str">
        <f>VLOOKUP(G1271,[5]Key!$A$2:$B$14,2,FALSE)</f>
        <v>Car</v>
      </c>
      <c r="I1271" s="13" t="s">
        <v>109</v>
      </c>
      <c r="J1271" s="13">
        <v>3</v>
      </c>
      <c r="K1271" s="40" t="str">
        <f>VLOOKUP(J1271,[5]Key!$A$24:$B$29,2,FALSE)</f>
        <v>40-49</v>
      </c>
      <c r="L1271" s="13" t="s">
        <v>439</v>
      </c>
      <c r="M1271" s="23" t="s">
        <v>439</v>
      </c>
      <c r="N1271" s="13" t="s">
        <v>221</v>
      </c>
      <c r="O1271" s="46">
        <v>2</v>
      </c>
      <c r="P1271" s="30" t="str">
        <f>VLOOKUP(O1271,[5]Key!$E$2:$F$9,2,FALSE)</f>
        <v>Work</v>
      </c>
      <c r="Q1271" s="13" t="s">
        <v>488</v>
      </c>
      <c r="R1271" s="23" t="s">
        <v>488</v>
      </c>
      <c r="S1271" s="13" t="s">
        <v>221</v>
      </c>
      <c r="T1271" s="23">
        <v>1</v>
      </c>
      <c r="U1271" s="30" t="str">
        <f>VLOOKUP(T1271,[5]Key!$E$2:$F$9,2,FALSE)</f>
        <v>Home</v>
      </c>
      <c r="V1271" s="30" t="str">
        <f t="shared" si="76"/>
        <v>Work-Home</v>
      </c>
      <c r="W1271" s="23">
        <v>5000</v>
      </c>
      <c r="X1271" s="50"/>
      <c r="Y1271" s="50" t="str">
        <f t="shared" si="77"/>
        <v>0-10</v>
      </c>
      <c r="Z1271" s="50">
        <v>0.5</v>
      </c>
      <c r="AA1271" s="50" t="str">
        <f t="shared" si="78"/>
        <v>0.5-1.0</v>
      </c>
      <c r="AB1271" s="23">
        <v>4</v>
      </c>
      <c r="AC1271" s="30" t="str">
        <f>VLOOKUP(AB1271,[5]Key!$C$20:$D$29,2,FALSE)</f>
        <v>Office Worker</v>
      </c>
      <c r="AD1271" s="23">
        <v>3</v>
      </c>
      <c r="AE1271" s="30" t="str">
        <f>VLOOKUP(AD1271,[5]Key!$E$20:$F$24,2,FALSE)</f>
        <v>500,000-750,000</v>
      </c>
      <c r="AF1271" s="23">
        <v>3</v>
      </c>
      <c r="AG1271" s="50">
        <v>1</v>
      </c>
      <c r="AH1271" s="50">
        <v>2</v>
      </c>
      <c r="AI1271" s="50">
        <v>5</v>
      </c>
      <c r="AJ1271" s="50">
        <v>4</v>
      </c>
      <c r="AK1271" s="46" t="s">
        <v>94</v>
      </c>
      <c r="AL1271" s="36">
        <v>200</v>
      </c>
      <c r="AM1271" t="str">
        <f t="shared" si="79"/>
        <v>0-1000</v>
      </c>
    </row>
    <row r="1272" spans="1:39" x14ac:dyDescent="0.2">
      <c r="A1272" s="44">
        <v>43758</v>
      </c>
      <c r="B1272" s="48">
        <v>0.59791666666666665</v>
      </c>
      <c r="C1272" s="48"/>
      <c r="D1272" s="48" t="s">
        <v>97</v>
      </c>
      <c r="E1272" s="13">
        <v>2</v>
      </c>
      <c r="F1272" s="38" t="str">
        <f>VLOOKUP(E1272,[5]Key!$A$17:$B$21,2,FALSE)</f>
        <v>Road Vehicle</v>
      </c>
      <c r="G1272" s="49">
        <v>1</v>
      </c>
      <c r="H1272" s="39" t="str">
        <f>VLOOKUP(G1272,[5]Key!$A$2:$B$14,2,FALSE)</f>
        <v>Car</v>
      </c>
      <c r="I1272" s="13" t="s">
        <v>109</v>
      </c>
      <c r="J1272" s="13">
        <v>3</v>
      </c>
      <c r="K1272" s="40" t="str">
        <f>VLOOKUP(J1272,[5]Key!$A$24:$B$29,2,FALSE)</f>
        <v>40-49</v>
      </c>
      <c r="L1272" s="13" t="s">
        <v>699</v>
      </c>
      <c r="M1272" s="23" t="s">
        <v>439</v>
      </c>
      <c r="N1272" s="13" t="s">
        <v>221</v>
      </c>
      <c r="O1272" s="46">
        <v>2</v>
      </c>
      <c r="P1272" s="30" t="str">
        <f>VLOOKUP(O1272,[5]Key!$E$2:$F$9,2,FALSE)</f>
        <v>Work</v>
      </c>
      <c r="Q1272" s="13" t="s">
        <v>488</v>
      </c>
      <c r="R1272" s="23" t="s">
        <v>488</v>
      </c>
      <c r="S1272" s="13" t="s">
        <v>221</v>
      </c>
      <c r="T1272" s="23">
        <v>1</v>
      </c>
      <c r="U1272" s="30" t="str">
        <f>VLOOKUP(T1272,[5]Key!$E$2:$F$9,2,FALSE)</f>
        <v>Home</v>
      </c>
      <c r="V1272" s="30" t="str">
        <f t="shared" si="76"/>
        <v>Work-Home</v>
      </c>
      <c r="W1272" s="23">
        <v>20000</v>
      </c>
      <c r="X1272" s="50">
        <v>24</v>
      </c>
      <c r="Y1272" s="50" t="str">
        <f t="shared" si="77"/>
        <v>20-40</v>
      </c>
      <c r="Z1272" s="50">
        <v>1.5</v>
      </c>
      <c r="AA1272" s="50" t="str">
        <f t="shared" si="78"/>
        <v>1.0-2.0</v>
      </c>
      <c r="AB1272" s="23">
        <v>4</v>
      </c>
      <c r="AC1272" s="30" t="str">
        <f>VLOOKUP(AB1272,[5]Key!$C$20:$D$29,2,FALSE)</f>
        <v>Office Worker</v>
      </c>
      <c r="AD1272" s="23">
        <v>5</v>
      </c>
      <c r="AE1272" s="30" t="str">
        <f>VLOOKUP(AD1272,[5]Key!$E$20:$F$24,2,FALSE)</f>
        <v>&gt;1,000,000</v>
      </c>
      <c r="AF1272" s="23">
        <v>2</v>
      </c>
      <c r="AG1272" s="50">
        <v>3</v>
      </c>
      <c r="AH1272" s="50">
        <v>1</v>
      </c>
      <c r="AI1272" s="50">
        <v>5</v>
      </c>
      <c r="AJ1272" s="50">
        <v>4</v>
      </c>
      <c r="AK1272" s="46" t="s">
        <v>94</v>
      </c>
      <c r="AL1272" s="36" t="s">
        <v>803</v>
      </c>
      <c r="AM1272" t="str">
        <f t="shared" si="79"/>
        <v>Over 10000</v>
      </c>
    </row>
    <row r="1273" spans="1:39" x14ac:dyDescent="0.2">
      <c r="A1273" s="44">
        <v>43758</v>
      </c>
      <c r="B1273" s="48">
        <v>0.40277777777777773</v>
      </c>
      <c r="C1273" s="48"/>
      <c r="D1273" s="48" t="s">
        <v>150</v>
      </c>
      <c r="E1273" s="13">
        <v>2</v>
      </c>
      <c r="F1273" s="38" t="str">
        <f>VLOOKUP(E1273,[5]Key!$A$17:$B$21,2,FALSE)</f>
        <v>Road Vehicle</v>
      </c>
      <c r="G1273" s="49">
        <v>1</v>
      </c>
      <c r="H1273" s="39" t="str">
        <f>VLOOKUP(G1273,[5]Key!$A$2:$B$14,2,FALSE)</f>
        <v>Car</v>
      </c>
      <c r="I1273" s="13" t="s">
        <v>109</v>
      </c>
      <c r="J1273" s="13">
        <v>3</v>
      </c>
      <c r="K1273" s="40" t="str">
        <f>VLOOKUP(J1273,[5]Key!$A$24:$B$29,2,FALSE)</f>
        <v>40-49</v>
      </c>
      <c r="L1273" s="13" t="s">
        <v>446</v>
      </c>
      <c r="M1273" s="23" t="s">
        <v>439</v>
      </c>
      <c r="N1273" s="13" t="s">
        <v>221</v>
      </c>
      <c r="O1273" s="46">
        <v>1</v>
      </c>
      <c r="P1273" s="30" t="str">
        <f>VLOOKUP(O1273,[5]Key!$E$2:$F$9,2,FALSE)</f>
        <v>Home</v>
      </c>
      <c r="Q1273" s="13" t="s">
        <v>708</v>
      </c>
      <c r="R1273" s="23" t="s">
        <v>421</v>
      </c>
      <c r="S1273" s="13" t="s">
        <v>221</v>
      </c>
      <c r="T1273" s="23">
        <v>2</v>
      </c>
      <c r="U1273" s="30" t="str">
        <f>VLOOKUP(T1273,[5]Key!$E$2:$F$9,2,FALSE)</f>
        <v>Work</v>
      </c>
      <c r="V1273" s="30" t="str">
        <f t="shared" si="76"/>
        <v>Home-Work</v>
      </c>
      <c r="W1273" s="23">
        <v>7000</v>
      </c>
      <c r="X1273" s="50">
        <v>80</v>
      </c>
      <c r="Y1273" s="50" t="str">
        <f t="shared" si="77"/>
        <v>70-100</v>
      </c>
      <c r="Z1273" s="50">
        <v>1.3</v>
      </c>
      <c r="AA1273" s="50" t="str">
        <f t="shared" si="78"/>
        <v>1.0-2.0</v>
      </c>
      <c r="AB1273" s="23">
        <v>5</v>
      </c>
      <c r="AC1273" s="30" t="str">
        <f>VLOOKUP(AB1273,[5]Key!$C$20:$D$29,2,FALSE)</f>
        <v>Professional</v>
      </c>
      <c r="AD1273" s="23">
        <v>2</v>
      </c>
      <c r="AE1273" s="30" t="str">
        <f>VLOOKUP(AD1273,[5]Key!$E$20:$F$24,2,FALSE)</f>
        <v>300,000-500,000</v>
      </c>
      <c r="AF1273" s="23">
        <v>5</v>
      </c>
      <c r="AG1273" s="50">
        <v>2</v>
      </c>
      <c r="AH1273" s="50">
        <v>4</v>
      </c>
      <c r="AI1273" s="50">
        <v>1</v>
      </c>
      <c r="AJ1273" s="50">
        <v>3</v>
      </c>
      <c r="AK1273" s="46" t="s">
        <v>94</v>
      </c>
      <c r="AL1273" s="36"/>
      <c r="AM1273" t="str">
        <f t="shared" si="79"/>
        <v>0-1000</v>
      </c>
    </row>
    <row r="1274" spans="1:39" x14ac:dyDescent="0.2">
      <c r="A1274" s="44">
        <v>43758</v>
      </c>
      <c r="B1274" s="48">
        <v>0.64722222222222225</v>
      </c>
      <c r="C1274" s="48"/>
      <c r="D1274" s="48" t="s">
        <v>150</v>
      </c>
      <c r="E1274" s="13">
        <v>2</v>
      </c>
      <c r="F1274" s="38" t="str">
        <f>VLOOKUP(E1274,[5]Key!$A$17:$B$21,2,FALSE)</f>
        <v>Road Vehicle</v>
      </c>
      <c r="G1274" s="49">
        <v>1</v>
      </c>
      <c r="H1274" s="39" t="str">
        <f>VLOOKUP(G1274,[5]Key!$A$2:$B$14,2,FALSE)</f>
        <v>Car</v>
      </c>
      <c r="I1274" s="13" t="s">
        <v>109</v>
      </c>
      <c r="J1274" s="13">
        <v>3</v>
      </c>
      <c r="K1274" s="40" t="str">
        <f>VLOOKUP(J1274,[5]Key!$A$24:$B$29,2,FALSE)</f>
        <v>40-49</v>
      </c>
      <c r="L1274" s="13" t="s">
        <v>446</v>
      </c>
      <c r="M1274" s="23" t="s">
        <v>439</v>
      </c>
      <c r="N1274" s="13" t="s">
        <v>221</v>
      </c>
      <c r="O1274" s="46">
        <v>1</v>
      </c>
      <c r="P1274" s="30" t="str">
        <f>VLOOKUP(O1274,[5]Key!$E$2:$F$9,2,FALSE)</f>
        <v>Home</v>
      </c>
      <c r="Q1274" s="13" t="s">
        <v>719</v>
      </c>
      <c r="R1274" s="23" t="s">
        <v>452</v>
      </c>
      <c r="S1274" s="13" t="s">
        <v>221</v>
      </c>
      <c r="T1274" s="23">
        <v>8</v>
      </c>
      <c r="U1274" s="30" t="str">
        <f>VLOOKUP(T1274,[5]Key!$E$2:$F$9,2,FALSE)</f>
        <v>Others</v>
      </c>
      <c r="V1274" s="30" t="str">
        <f t="shared" si="76"/>
        <v>Home-Others</v>
      </c>
      <c r="W1274" s="23">
        <v>900</v>
      </c>
      <c r="X1274" s="50"/>
      <c r="Y1274" s="50" t="str">
        <f t="shared" si="77"/>
        <v>0-10</v>
      </c>
      <c r="Z1274" s="50">
        <v>2</v>
      </c>
      <c r="AA1274" s="50" t="str">
        <f t="shared" si="78"/>
        <v>2.0-3.5</v>
      </c>
      <c r="AB1274" s="23">
        <v>6</v>
      </c>
      <c r="AC1274" s="30" t="str">
        <f>VLOOKUP(AB1274,[5]Key!$C$20:$D$29,2,FALSE)</f>
        <v>Businessman</v>
      </c>
      <c r="AD1274" s="23">
        <v>3</v>
      </c>
      <c r="AE1274" s="30" t="str">
        <f>VLOOKUP(AD1274,[5]Key!$E$20:$F$24,2,FALSE)</f>
        <v>500,000-750,000</v>
      </c>
      <c r="AF1274" s="23">
        <v>5</v>
      </c>
      <c r="AG1274" s="50">
        <v>4</v>
      </c>
      <c r="AH1274" s="50">
        <v>2</v>
      </c>
      <c r="AI1274" s="50">
        <v>1</v>
      </c>
      <c r="AJ1274" s="50">
        <v>3</v>
      </c>
      <c r="AK1274" s="46" t="s">
        <v>94</v>
      </c>
      <c r="AL1274" s="36">
        <v>2000</v>
      </c>
      <c r="AM1274" t="str">
        <f t="shared" si="79"/>
        <v>2000-3000</v>
      </c>
    </row>
    <row r="1275" spans="1:39" x14ac:dyDescent="0.2">
      <c r="A1275" s="44">
        <v>43758</v>
      </c>
      <c r="B1275" s="48">
        <v>0.59444444444444444</v>
      </c>
      <c r="C1275" s="48"/>
      <c r="D1275" s="48" t="s">
        <v>97</v>
      </c>
      <c r="E1275" s="13">
        <v>2</v>
      </c>
      <c r="F1275" s="38" t="str">
        <f>VLOOKUP(E1275,[5]Key!$A$17:$B$21,2,FALSE)</f>
        <v>Road Vehicle</v>
      </c>
      <c r="G1275" s="49">
        <v>1</v>
      </c>
      <c r="H1275" s="39" t="str">
        <f>VLOOKUP(G1275,[5]Key!$A$2:$B$14,2,FALSE)</f>
        <v>Car</v>
      </c>
      <c r="I1275" s="13" t="s">
        <v>109</v>
      </c>
      <c r="J1275" s="13">
        <v>3</v>
      </c>
      <c r="K1275" s="40" t="str">
        <f>VLOOKUP(J1275,[5]Key!$A$24:$B$29,2,FALSE)</f>
        <v>40-49</v>
      </c>
      <c r="L1275" s="13" t="s">
        <v>446</v>
      </c>
      <c r="M1275" s="23" t="s">
        <v>439</v>
      </c>
      <c r="N1275" s="13" t="s">
        <v>221</v>
      </c>
      <c r="O1275" s="46">
        <v>2</v>
      </c>
      <c r="P1275" s="30" t="str">
        <f>VLOOKUP(O1275,[5]Key!$E$2:$F$9,2,FALSE)</f>
        <v>Work</v>
      </c>
      <c r="Q1275" s="13" t="s">
        <v>719</v>
      </c>
      <c r="R1275" s="23" t="s">
        <v>452</v>
      </c>
      <c r="S1275" s="13" t="s">
        <v>221</v>
      </c>
      <c r="T1275" s="23">
        <v>2</v>
      </c>
      <c r="U1275" s="30" t="str">
        <f>VLOOKUP(T1275,[5]Key!$E$2:$F$9,2,FALSE)</f>
        <v>Work</v>
      </c>
      <c r="V1275" s="30" t="str">
        <f t="shared" si="76"/>
        <v>Work-Work</v>
      </c>
      <c r="W1275" s="23">
        <v>50000</v>
      </c>
      <c r="X1275" s="50">
        <v>90</v>
      </c>
      <c r="Y1275" s="50" t="str">
        <f t="shared" si="77"/>
        <v>70-100</v>
      </c>
      <c r="Z1275" s="50">
        <v>2</v>
      </c>
      <c r="AA1275" s="50" t="str">
        <f t="shared" si="78"/>
        <v>2.0-3.5</v>
      </c>
      <c r="AB1275" s="23">
        <v>10</v>
      </c>
      <c r="AC1275" s="30" t="str">
        <f>VLOOKUP(AB1275,[5]Key!$C$20:$D$29,2,FALSE)</f>
        <v>Other</v>
      </c>
      <c r="AD1275" s="23">
        <v>2</v>
      </c>
      <c r="AE1275" s="30" t="str">
        <f>VLOOKUP(AD1275,[5]Key!$E$20:$F$24,2,FALSE)</f>
        <v>300,000-500,000</v>
      </c>
      <c r="AF1275" s="23">
        <v>5</v>
      </c>
      <c r="AG1275" s="50">
        <v>1</v>
      </c>
      <c r="AH1275" s="50">
        <v>3</v>
      </c>
      <c r="AI1275" s="50">
        <v>2</v>
      </c>
      <c r="AJ1275" s="50">
        <v>4</v>
      </c>
      <c r="AK1275" s="46" t="s">
        <v>94</v>
      </c>
      <c r="AL1275" s="36">
        <v>500</v>
      </c>
      <c r="AM1275" t="str">
        <f t="shared" si="79"/>
        <v>0-1000</v>
      </c>
    </row>
    <row r="1276" spans="1:39" x14ac:dyDescent="0.2">
      <c r="A1276" s="44">
        <v>43758</v>
      </c>
      <c r="B1276" s="48">
        <v>0.47152777777777777</v>
      </c>
      <c r="C1276" s="48"/>
      <c r="D1276" s="48" t="s">
        <v>97</v>
      </c>
      <c r="E1276" s="13">
        <v>2</v>
      </c>
      <c r="F1276" s="38" t="str">
        <f>VLOOKUP(E1276,[5]Key!$A$17:$B$21,2,FALSE)</f>
        <v>Road Vehicle</v>
      </c>
      <c r="G1276" s="49">
        <v>1</v>
      </c>
      <c r="H1276" s="39" t="str">
        <f>VLOOKUP(G1276,[5]Key!$A$2:$B$14,2,FALSE)</f>
        <v>Car</v>
      </c>
      <c r="I1276" s="13" t="s">
        <v>109</v>
      </c>
      <c r="J1276" s="13">
        <v>3</v>
      </c>
      <c r="K1276" s="40" t="str">
        <f>VLOOKUP(J1276,[5]Key!$A$24:$B$29,2,FALSE)</f>
        <v>40-49</v>
      </c>
      <c r="L1276" s="13" t="s">
        <v>446</v>
      </c>
      <c r="M1276" s="23" t="s">
        <v>439</v>
      </c>
      <c r="N1276" s="13" t="s">
        <v>221</v>
      </c>
      <c r="O1276" s="46">
        <v>2</v>
      </c>
      <c r="P1276" s="30" t="str">
        <f>VLOOKUP(O1276,[5]Key!$E$2:$F$9,2,FALSE)</f>
        <v>Work</v>
      </c>
      <c r="Q1276" s="13" t="s">
        <v>719</v>
      </c>
      <c r="R1276" s="23" t="s">
        <v>754</v>
      </c>
      <c r="S1276" s="13" t="s">
        <v>221</v>
      </c>
      <c r="T1276" s="23">
        <v>2</v>
      </c>
      <c r="U1276" s="30" t="str">
        <f>VLOOKUP(T1276,[5]Key!$E$2:$F$9,2,FALSE)</f>
        <v>Work</v>
      </c>
      <c r="V1276" s="30" t="str">
        <f t="shared" si="76"/>
        <v>Work-Work</v>
      </c>
      <c r="W1276" s="23">
        <v>64600</v>
      </c>
      <c r="X1276" s="50">
        <v>127</v>
      </c>
      <c r="Y1276" s="50" t="str">
        <f t="shared" si="77"/>
        <v>100-200</v>
      </c>
      <c r="Z1276" s="50">
        <v>1.5</v>
      </c>
      <c r="AA1276" s="50" t="str">
        <f t="shared" si="78"/>
        <v>1.0-2.0</v>
      </c>
      <c r="AB1276" s="23">
        <v>10</v>
      </c>
      <c r="AC1276" s="30" t="str">
        <f>VLOOKUP(AB1276,[5]Key!$C$20:$D$29,2,FALSE)</f>
        <v>Other</v>
      </c>
      <c r="AD1276" s="23">
        <v>2</v>
      </c>
      <c r="AE1276" s="30" t="str">
        <f>VLOOKUP(AD1276,[5]Key!$E$20:$F$24,2,FALSE)</f>
        <v>300,000-500,000</v>
      </c>
      <c r="AF1276" s="23">
        <v>4</v>
      </c>
      <c r="AG1276" s="50">
        <v>2</v>
      </c>
      <c r="AH1276" s="50">
        <v>1</v>
      </c>
      <c r="AI1276" s="50">
        <v>3</v>
      </c>
      <c r="AJ1276" s="50">
        <v>5</v>
      </c>
      <c r="AK1276" s="46" t="s">
        <v>94</v>
      </c>
      <c r="AL1276" s="36">
        <v>1000</v>
      </c>
      <c r="AM1276" t="str">
        <f t="shared" si="79"/>
        <v>1000-2000</v>
      </c>
    </row>
    <row r="1277" spans="1:39" x14ac:dyDescent="0.2">
      <c r="A1277" s="44">
        <v>43757</v>
      </c>
      <c r="B1277" s="48">
        <v>0.35416666666666669</v>
      </c>
      <c r="C1277" s="48"/>
      <c r="D1277" s="48" t="s">
        <v>97</v>
      </c>
      <c r="E1277" s="13">
        <v>2</v>
      </c>
      <c r="F1277" s="38" t="str">
        <f>VLOOKUP(E1277,[5]Key!$A$17:$B$21,2,FALSE)</f>
        <v>Road Vehicle</v>
      </c>
      <c r="G1277" s="49">
        <v>9</v>
      </c>
      <c r="H1277" s="39" t="str">
        <f>VLOOKUP(G1277,[5]Key!$A$2:$B$14,2,FALSE)</f>
        <v xml:space="preserve">Heavy truck </v>
      </c>
      <c r="I1277" s="13" t="s">
        <v>109</v>
      </c>
      <c r="J1277" s="13">
        <v>3</v>
      </c>
      <c r="K1277" s="40" t="str">
        <f>VLOOKUP(J1277,[5]Key!$A$24:$B$29,2,FALSE)</f>
        <v>40-49</v>
      </c>
      <c r="L1277" s="13" t="s">
        <v>153</v>
      </c>
      <c r="M1277" s="23" t="s">
        <v>153</v>
      </c>
      <c r="N1277" s="13" t="s">
        <v>221</v>
      </c>
      <c r="O1277" s="46">
        <v>4</v>
      </c>
      <c r="P1277" s="30" t="str">
        <f>VLOOKUP(O1277,[5]Key!$E$2:$F$9,2,FALSE)</f>
        <v>Commercial</v>
      </c>
      <c r="Q1277" s="13" t="s">
        <v>446</v>
      </c>
      <c r="R1277" s="23" t="s">
        <v>439</v>
      </c>
      <c r="S1277" s="13" t="s">
        <v>221</v>
      </c>
      <c r="T1277" s="23">
        <v>4</v>
      </c>
      <c r="U1277" s="30" t="str">
        <f>VLOOKUP(T1277,[5]Key!$E$2:$F$9,2,FALSE)</f>
        <v>Commercial</v>
      </c>
      <c r="V1277" s="30" t="str">
        <f t="shared" si="76"/>
        <v>Commercial-Commercial</v>
      </c>
      <c r="W1277" s="23">
        <v>20000</v>
      </c>
      <c r="X1277" s="50">
        <v>336</v>
      </c>
      <c r="Y1277" s="50" t="str">
        <f t="shared" si="77"/>
        <v>Over 200</v>
      </c>
      <c r="Z1277" s="50">
        <v>5</v>
      </c>
      <c r="AA1277" s="50" t="str">
        <f t="shared" si="78"/>
        <v>Over 3.5</v>
      </c>
      <c r="AB1277" s="23">
        <v>1</v>
      </c>
      <c r="AC1277" s="30" t="str">
        <f>VLOOKUP(AB1277,[5]Key!$C$20:$D$29,2,FALSE)</f>
        <v>Unemployed</v>
      </c>
      <c r="AD1277" s="23">
        <v>2</v>
      </c>
      <c r="AE1277" s="30" t="str">
        <f>VLOOKUP(AD1277,[5]Key!$E$20:$F$24,2,FALSE)</f>
        <v>300,000-500,000</v>
      </c>
      <c r="AF1277" s="23">
        <v>1</v>
      </c>
      <c r="AG1277" s="50">
        <v>3</v>
      </c>
      <c r="AH1277" s="50">
        <v>5</v>
      </c>
      <c r="AI1277" s="50">
        <v>4</v>
      </c>
      <c r="AJ1277" s="50">
        <v>2</v>
      </c>
      <c r="AK1277" s="46" t="s">
        <v>94</v>
      </c>
      <c r="AL1277" s="36"/>
      <c r="AM1277" t="str">
        <f t="shared" si="79"/>
        <v>0-1000</v>
      </c>
    </row>
    <row r="1278" spans="1:39" x14ac:dyDescent="0.2">
      <c r="A1278" s="44">
        <v>43757</v>
      </c>
      <c r="B1278" s="48">
        <v>0.41041666666666665</v>
      </c>
      <c r="C1278" s="48"/>
      <c r="D1278" s="48" t="s">
        <v>97</v>
      </c>
      <c r="E1278" s="13">
        <v>2</v>
      </c>
      <c r="F1278" s="38" t="str">
        <f>VLOOKUP(E1278,[5]Key!$A$17:$B$21,2,FALSE)</f>
        <v>Road Vehicle</v>
      </c>
      <c r="G1278" s="49">
        <v>9</v>
      </c>
      <c r="H1278" s="39" t="str">
        <f>VLOOKUP(G1278,[5]Key!$A$2:$B$14,2,FALSE)</f>
        <v xml:space="preserve">Heavy truck </v>
      </c>
      <c r="I1278" s="13" t="s">
        <v>109</v>
      </c>
      <c r="J1278" s="13">
        <v>3</v>
      </c>
      <c r="K1278" s="40" t="str">
        <f>VLOOKUP(J1278,[5]Key!$A$24:$B$29,2,FALSE)</f>
        <v>40-49</v>
      </c>
      <c r="L1278" s="13" t="s">
        <v>153</v>
      </c>
      <c r="M1278" s="23" t="s">
        <v>153</v>
      </c>
      <c r="N1278" s="13" t="s">
        <v>221</v>
      </c>
      <c r="O1278" s="46">
        <v>4</v>
      </c>
      <c r="P1278" s="30" t="str">
        <f>VLOOKUP(O1278,[5]Key!$E$2:$F$9,2,FALSE)</f>
        <v>Commercial</v>
      </c>
      <c r="Q1278" s="13" t="s">
        <v>488</v>
      </c>
      <c r="R1278" s="23" t="s">
        <v>488</v>
      </c>
      <c r="S1278" s="13" t="s">
        <v>221</v>
      </c>
      <c r="T1278" s="23">
        <v>4</v>
      </c>
      <c r="U1278" s="30" t="str">
        <f>VLOOKUP(T1278,[5]Key!$E$2:$F$9,2,FALSE)</f>
        <v>Commercial</v>
      </c>
      <c r="V1278" s="30" t="str">
        <f t="shared" si="76"/>
        <v>Commercial-Commercial</v>
      </c>
      <c r="W1278" s="23">
        <v>500000</v>
      </c>
      <c r="X1278" s="50">
        <v>436</v>
      </c>
      <c r="Y1278" s="50" t="str">
        <f t="shared" si="77"/>
        <v>Over 200</v>
      </c>
      <c r="Z1278" s="50">
        <v>12</v>
      </c>
      <c r="AA1278" s="50" t="str">
        <f t="shared" si="78"/>
        <v>Over 3.5</v>
      </c>
      <c r="AB1278" s="23">
        <v>1</v>
      </c>
      <c r="AC1278" s="30" t="str">
        <f>VLOOKUP(AB1278,[5]Key!$C$20:$D$29,2,FALSE)</f>
        <v>Unemployed</v>
      </c>
      <c r="AD1278" s="23">
        <v>2</v>
      </c>
      <c r="AE1278" s="30" t="str">
        <f>VLOOKUP(AD1278,[5]Key!$E$20:$F$24,2,FALSE)</f>
        <v>300,000-500,000</v>
      </c>
      <c r="AF1278" s="23">
        <v>3</v>
      </c>
      <c r="AG1278" s="50">
        <v>2</v>
      </c>
      <c r="AH1278" s="50">
        <v>4</v>
      </c>
      <c r="AI1278" s="50">
        <v>1</v>
      </c>
      <c r="AJ1278" s="50">
        <v>5</v>
      </c>
      <c r="AK1278" s="46" t="s">
        <v>94</v>
      </c>
      <c r="AL1278" s="36">
        <v>5000</v>
      </c>
      <c r="AM1278" t="str">
        <f t="shared" si="79"/>
        <v>5000-10000</v>
      </c>
    </row>
    <row r="1279" spans="1:39" x14ac:dyDescent="0.2">
      <c r="A1279" s="44">
        <v>43757</v>
      </c>
      <c r="B1279" s="48">
        <v>0.43055555555555558</v>
      </c>
      <c r="C1279" s="48"/>
      <c r="D1279" s="48" t="s">
        <v>97</v>
      </c>
      <c r="E1279" s="13">
        <v>2</v>
      </c>
      <c r="F1279" s="38" t="str">
        <f>VLOOKUP(E1279,[5]Key!$A$17:$B$21,2,FALSE)</f>
        <v>Road Vehicle</v>
      </c>
      <c r="G1279" s="49">
        <v>9</v>
      </c>
      <c r="H1279" s="39" t="str">
        <f>VLOOKUP(G1279,[5]Key!$A$2:$B$14,2,FALSE)</f>
        <v xml:space="preserve">Heavy truck </v>
      </c>
      <c r="I1279" s="13" t="s">
        <v>109</v>
      </c>
      <c r="J1279" s="13">
        <v>3</v>
      </c>
      <c r="K1279" s="40" t="str">
        <f>VLOOKUP(J1279,[5]Key!$A$24:$B$29,2,FALSE)</f>
        <v>40-49</v>
      </c>
      <c r="L1279" s="13" t="s">
        <v>175</v>
      </c>
      <c r="M1279" s="23" t="s">
        <v>175</v>
      </c>
      <c r="N1279" s="13" t="s">
        <v>221</v>
      </c>
      <c r="O1279" s="46">
        <v>1</v>
      </c>
      <c r="P1279" s="30" t="str">
        <f>VLOOKUP(O1279,[5]Key!$E$2:$F$9,2,FALSE)</f>
        <v>Home</v>
      </c>
      <c r="Q1279" s="13" t="s">
        <v>446</v>
      </c>
      <c r="R1279" s="23" t="s">
        <v>439</v>
      </c>
      <c r="S1279" s="13" t="s">
        <v>221</v>
      </c>
      <c r="T1279" s="23">
        <v>7</v>
      </c>
      <c r="U1279" s="30" t="str">
        <f>VLOOKUP(T1279,[5]Key!$E$2:$F$9,2,FALSE)</f>
        <v>Hospital</v>
      </c>
      <c r="V1279" s="30" t="str">
        <f t="shared" si="76"/>
        <v>Home-Hospital</v>
      </c>
      <c r="W1279" s="23">
        <v>75000</v>
      </c>
      <c r="X1279" s="50">
        <v>160</v>
      </c>
      <c r="Y1279" s="50" t="str">
        <f t="shared" si="77"/>
        <v>100-200</v>
      </c>
      <c r="Z1279" s="50">
        <v>2.5</v>
      </c>
      <c r="AA1279" s="50" t="str">
        <f t="shared" si="78"/>
        <v>2.0-3.5</v>
      </c>
      <c r="AB1279" s="23">
        <v>2</v>
      </c>
      <c r="AC1279" s="30" t="str">
        <f>VLOOKUP(AB1279,[5]Key!$C$20:$D$29,2,FALSE)</f>
        <v>Manual Labour</v>
      </c>
      <c r="AD1279" s="23">
        <v>1</v>
      </c>
      <c r="AE1279" s="30" t="str">
        <f>VLOOKUP(AD1279,[5]Key!$E$20:$F$24,2,FALSE)</f>
        <v>&lt;300,000</v>
      </c>
      <c r="AF1279" s="23">
        <v>4</v>
      </c>
      <c r="AG1279" s="50">
        <v>2</v>
      </c>
      <c r="AH1279" s="50">
        <v>3</v>
      </c>
      <c r="AI1279" s="50">
        <v>1</v>
      </c>
      <c r="AJ1279" s="50">
        <v>5</v>
      </c>
      <c r="AK1279" s="46" t="s">
        <v>94</v>
      </c>
      <c r="AL1279" s="36">
        <v>2000</v>
      </c>
      <c r="AM1279" t="str">
        <f t="shared" si="79"/>
        <v>2000-3000</v>
      </c>
    </row>
    <row r="1280" spans="1:39" x14ac:dyDescent="0.2">
      <c r="A1280" s="44">
        <v>43757</v>
      </c>
      <c r="B1280" s="48"/>
      <c r="C1280" s="48"/>
      <c r="D1280" s="48" t="s">
        <v>150</v>
      </c>
      <c r="E1280" s="13">
        <v>2</v>
      </c>
      <c r="F1280" s="38" t="str">
        <f>VLOOKUP(E1280,[5]Key!$A$17:$B$21,2,FALSE)</f>
        <v>Road Vehicle</v>
      </c>
      <c r="G1280" s="49">
        <v>6</v>
      </c>
      <c r="H1280" s="39" t="str">
        <f>VLOOKUP(G1280,[5]Key!$A$2:$B$14,2,FALSE)</f>
        <v>Large Bus</v>
      </c>
      <c r="I1280" s="13" t="s">
        <v>156</v>
      </c>
      <c r="J1280" s="13">
        <v>3</v>
      </c>
      <c r="K1280" s="40" t="str">
        <f>VLOOKUP(J1280,[5]Key!$A$24:$B$29,2,FALSE)</f>
        <v>40-49</v>
      </c>
      <c r="L1280" s="13" t="s">
        <v>709</v>
      </c>
      <c r="M1280" s="23" t="s">
        <v>439</v>
      </c>
      <c r="N1280" s="13" t="s">
        <v>221</v>
      </c>
      <c r="O1280" s="46">
        <v>2</v>
      </c>
      <c r="P1280" s="30" t="str">
        <f>VLOOKUP(O1280,[5]Key!$E$2:$F$9,2,FALSE)</f>
        <v>Work</v>
      </c>
      <c r="Q1280" s="13" t="s">
        <v>168</v>
      </c>
      <c r="R1280" s="23" t="s">
        <v>168</v>
      </c>
      <c r="S1280" s="13" t="s">
        <v>221</v>
      </c>
      <c r="T1280" s="23">
        <v>7</v>
      </c>
      <c r="U1280" s="30" t="str">
        <f>VLOOKUP(T1280,[5]Key!$E$2:$F$9,2,FALSE)</f>
        <v>Hospital</v>
      </c>
      <c r="V1280" s="30" t="str">
        <f t="shared" si="76"/>
        <v>Work-Hospital</v>
      </c>
      <c r="W1280" s="23">
        <v>17000</v>
      </c>
      <c r="X1280" s="50"/>
      <c r="Y1280" s="50" t="str">
        <f t="shared" si="77"/>
        <v>0-10</v>
      </c>
      <c r="Z1280" s="50">
        <v>6</v>
      </c>
      <c r="AA1280" s="50" t="str">
        <f t="shared" si="78"/>
        <v>Over 3.5</v>
      </c>
      <c r="AB1280" s="23">
        <v>4</v>
      </c>
      <c r="AC1280" s="30" t="str">
        <f>VLOOKUP(AB1280,[5]Key!$C$20:$D$29,2,FALSE)</f>
        <v>Office Worker</v>
      </c>
      <c r="AD1280" s="23">
        <v>3</v>
      </c>
      <c r="AE1280" s="30" t="str">
        <f>VLOOKUP(AD1280,[5]Key!$E$20:$F$24,2,FALSE)</f>
        <v>500,000-750,000</v>
      </c>
      <c r="AF1280" s="23">
        <v>1</v>
      </c>
      <c r="AG1280" s="50">
        <v>2</v>
      </c>
      <c r="AH1280" s="50">
        <v>4</v>
      </c>
      <c r="AI1280" s="50">
        <v>3</v>
      </c>
      <c r="AJ1280" s="50">
        <v>5</v>
      </c>
      <c r="AK1280" s="46" t="s">
        <v>94</v>
      </c>
      <c r="AL1280" s="36">
        <v>1000</v>
      </c>
      <c r="AM1280" t="str">
        <f t="shared" si="79"/>
        <v>1000-2000</v>
      </c>
    </row>
    <row r="1281" spans="1:39" x14ac:dyDescent="0.2">
      <c r="A1281" s="44">
        <v>43758</v>
      </c>
      <c r="B1281" s="48">
        <v>0.30694444444444441</v>
      </c>
      <c r="C1281" s="48"/>
      <c r="D1281" s="48" t="s">
        <v>150</v>
      </c>
      <c r="E1281" s="13">
        <v>2</v>
      </c>
      <c r="F1281" s="38" t="str">
        <f>VLOOKUP(E1281,[5]Key!$A$17:$B$21,2,FALSE)</f>
        <v>Road Vehicle</v>
      </c>
      <c r="G1281" s="49">
        <v>6</v>
      </c>
      <c r="H1281" s="39" t="str">
        <f>VLOOKUP(G1281,[5]Key!$A$2:$B$14,2,FALSE)</f>
        <v>Large Bus</v>
      </c>
      <c r="I1281" s="13" t="s">
        <v>156</v>
      </c>
      <c r="J1281" s="13">
        <v>3</v>
      </c>
      <c r="K1281" s="40" t="str">
        <f>VLOOKUP(J1281,[5]Key!$A$24:$B$29,2,FALSE)</f>
        <v>40-49</v>
      </c>
      <c r="L1281" s="13" t="s">
        <v>740</v>
      </c>
      <c r="M1281" s="23" t="s">
        <v>452</v>
      </c>
      <c r="N1281" s="13" t="s">
        <v>221</v>
      </c>
      <c r="O1281" s="46">
        <v>1</v>
      </c>
      <c r="P1281" s="30" t="str">
        <f>VLOOKUP(O1281,[5]Key!$E$2:$F$9,2,FALSE)</f>
        <v>Home</v>
      </c>
      <c r="Q1281" s="13" t="s">
        <v>153</v>
      </c>
      <c r="R1281" s="23" t="s">
        <v>153</v>
      </c>
      <c r="S1281" s="13" t="s">
        <v>221</v>
      </c>
      <c r="T1281" s="23">
        <v>2</v>
      </c>
      <c r="U1281" s="30" t="str">
        <f>VLOOKUP(T1281,[5]Key!$E$2:$F$9,2,FALSE)</f>
        <v>Work</v>
      </c>
      <c r="V1281" s="30" t="str">
        <f t="shared" si="76"/>
        <v>Home-Work</v>
      </c>
      <c r="W1281" s="23">
        <v>30000</v>
      </c>
      <c r="X1281" s="50">
        <v>432</v>
      </c>
      <c r="Y1281" s="50" t="str">
        <f t="shared" si="77"/>
        <v>Over 200</v>
      </c>
      <c r="Z1281" s="50">
        <v>7</v>
      </c>
      <c r="AA1281" s="50" t="str">
        <f t="shared" si="78"/>
        <v>Over 3.5</v>
      </c>
      <c r="AB1281" s="23">
        <v>6</v>
      </c>
      <c r="AC1281" s="30" t="str">
        <f>VLOOKUP(AB1281,[5]Key!$C$20:$D$29,2,FALSE)</f>
        <v>Businessman</v>
      </c>
      <c r="AD1281" s="23">
        <v>1</v>
      </c>
      <c r="AE1281" s="30" t="str">
        <f>VLOOKUP(AD1281,[5]Key!$E$20:$F$24,2,FALSE)</f>
        <v>&lt;300,000</v>
      </c>
      <c r="AF1281" s="23">
        <v>3</v>
      </c>
      <c r="AG1281" s="50">
        <v>1</v>
      </c>
      <c r="AH1281" s="50">
        <v>2</v>
      </c>
      <c r="AI1281" s="50">
        <v>4</v>
      </c>
      <c r="AJ1281" s="50">
        <v>5</v>
      </c>
      <c r="AK1281" s="46" t="s">
        <v>94</v>
      </c>
      <c r="AL1281" s="36"/>
      <c r="AM1281" t="str">
        <f t="shared" si="79"/>
        <v>0-1000</v>
      </c>
    </row>
    <row r="1282" spans="1:39" x14ac:dyDescent="0.2">
      <c r="A1282" s="44">
        <v>43758</v>
      </c>
      <c r="B1282" s="48">
        <v>0.34236111111111112</v>
      </c>
      <c r="C1282" s="48"/>
      <c r="D1282" s="48" t="s">
        <v>150</v>
      </c>
      <c r="E1282" s="13">
        <v>3</v>
      </c>
      <c r="F1282" s="38" t="str">
        <f>VLOOKUP(E1282,[5]Key!$A$17:$B$21,2,FALSE)</f>
        <v>Rail</v>
      </c>
      <c r="G1282" s="49">
        <v>6</v>
      </c>
      <c r="H1282" s="39" t="str">
        <f>VLOOKUP(G1282,[5]Key!$A$2:$B$14,2,FALSE)</f>
        <v>Large Bus</v>
      </c>
      <c r="I1282" s="13" t="s">
        <v>156</v>
      </c>
      <c r="J1282" s="13">
        <v>3</v>
      </c>
      <c r="K1282" s="40" t="str">
        <f>VLOOKUP(J1282,[5]Key!$A$24:$B$29,2,FALSE)</f>
        <v>40-49</v>
      </c>
      <c r="L1282" s="13" t="s">
        <v>804</v>
      </c>
      <c r="M1282" s="23" t="s">
        <v>488</v>
      </c>
      <c r="N1282" s="13" t="s">
        <v>221</v>
      </c>
      <c r="O1282" s="46">
        <v>2</v>
      </c>
      <c r="P1282" s="30" t="str">
        <f>VLOOKUP(O1282,[5]Key!$E$2:$F$9,2,FALSE)</f>
        <v>Work</v>
      </c>
      <c r="Q1282" s="13" t="s">
        <v>153</v>
      </c>
      <c r="R1282" s="23" t="s">
        <v>153</v>
      </c>
      <c r="S1282" s="13" t="s">
        <v>221</v>
      </c>
      <c r="T1282" s="23">
        <v>6</v>
      </c>
      <c r="U1282" s="30" t="str">
        <f>VLOOKUP(T1282,[5]Key!$E$2:$F$9,2,FALSE)</f>
        <v>Leisure/Social</v>
      </c>
      <c r="V1282" s="30" t="str">
        <f t="shared" ref="V1282:V1345" si="80">P1282&amp;"-"&amp;U1282</f>
        <v>Work-Leisure/Social</v>
      </c>
      <c r="W1282" s="23">
        <v>23000</v>
      </c>
      <c r="X1282" s="50"/>
      <c r="Y1282" s="50" t="str">
        <f t="shared" si="77"/>
        <v>0-10</v>
      </c>
      <c r="Z1282" s="50">
        <v>6</v>
      </c>
      <c r="AA1282" s="50" t="str">
        <f t="shared" si="78"/>
        <v>Over 3.5</v>
      </c>
      <c r="AB1282" s="23">
        <v>10</v>
      </c>
      <c r="AC1282" s="30" t="str">
        <f>VLOOKUP(AB1282,[5]Key!$C$20:$D$29,2,FALSE)</f>
        <v>Other</v>
      </c>
      <c r="AD1282" s="23">
        <v>2</v>
      </c>
      <c r="AE1282" s="30" t="str">
        <f>VLOOKUP(AD1282,[5]Key!$E$20:$F$24,2,FALSE)</f>
        <v>300,000-500,000</v>
      </c>
      <c r="AF1282" s="23">
        <v>5</v>
      </c>
      <c r="AG1282" s="50">
        <v>1</v>
      </c>
      <c r="AH1282" s="50">
        <v>4</v>
      </c>
      <c r="AI1282" s="50">
        <v>3</v>
      </c>
      <c r="AJ1282" s="50">
        <v>2</v>
      </c>
      <c r="AK1282" s="46" t="s">
        <v>700</v>
      </c>
      <c r="AL1282" s="36"/>
      <c r="AM1282" t="str">
        <f t="shared" si="79"/>
        <v>0-1000</v>
      </c>
    </row>
    <row r="1283" spans="1:39" x14ac:dyDescent="0.2">
      <c r="A1283" s="44">
        <v>43758</v>
      </c>
      <c r="B1283" s="48">
        <v>0.3298611111111111</v>
      </c>
      <c r="C1283" s="48"/>
      <c r="D1283" s="48" t="s">
        <v>150</v>
      </c>
      <c r="E1283" s="13">
        <v>2</v>
      </c>
      <c r="F1283" s="38" t="str">
        <f>VLOOKUP(E1283,[5]Key!$A$17:$B$21,2,FALSE)</f>
        <v>Road Vehicle</v>
      </c>
      <c r="G1283" s="49">
        <v>6</v>
      </c>
      <c r="H1283" s="39" t="str">
        <f>VLOOKUP(G1283,[5]Key!$A$2:$B$14,2,FALSE)</f>
        <v>Large Bus</v>
      </c>
      <c r="I1283" s="13" t="s">
        <v>156</v>
      </c>
      <c r="J1283" s="13">
        <v>3</v>
      </c>
      <c r="K1283" s="40" t="str">
        <f>VLOOKUP(J1283,[5]Key!$A$24:$B$29,2,FALSE)</f>
        <v>40-49</v>
      </c>
      <c r="L1283" s="13" t="s">
        <v>742</v>
      </c>
      <c r="M1283" s="23" t="s">
        <v>452</v>
      </c>
      <c r="N1283" s="13" t="s">
        <v>221</v>
      </c>
      <c r="O1283" s="46">
        <v>1</v>
      </c>
      <c r="P1283" s="30" t="str">
        <f>VLOOKUP(O1283,[5]Key!$E$2:$F$9,2,FALSE)</f>
        <v>Home</v>
      </c>
      <c r="Q1283" s="13" t="s">
        <v>726</v>
      </c>
      <c r="R1283" s="23" t="s">
        <v>441</v>
      </c>
      <c r="S1283" s="13" t="s">
        <v>221</v>
      </c>
      <c r="T1283" s="23">
        <v>8</v>
      </c>
      <c r="U1283" s="30" t="str">
        <f>VLOOKUP(T1283,[5]Key!$E$2:$F$9,2,FALSE)</f>
        <v>Others</v>
      </c>
      <c r="V1283" s="30" t="str">
        <f t="shared" si="80"/>
        <v>Home-Others</v>
      </c>
      <c r="W1283" s="23">
        <v>15000</v>
      </c>
      <c r="X1283" s="50"/>
      <c r="Y1283" s="50" t="str">
        <f t="shared" ref="Y1283:Y1346" si="81">IF(X1283&lt;10,"0-10",IF(X1283&lt;20,"10-20",IF(X1283&lt;40,"20-40",IF(X1283&lt;70,"40-70",IF(X1283&lt;100,"70-100",IF(X1283&lt;200,"100-200","Over 200"))))))</f>
        <v>0-10</v>
      </c>
      <c r="Z1283" s="50">
        <v>2</v>
      </c>
      <c r="AA1283" s="50" t="str">
        <f t="shared" ref="AA1283:AA1346" si="82">IF(Z1283&lt;0.5,"0-0.5",IF(Z1283&lt;1,"0.5-1.0",IF(Z1283&lt;2,"1.0-2.0",IF(Z1283&lt;3.5,"2.0-3.5","Over 3.5"))))</f>
        <v>2.0-3.5</v>
      </c>
      <c r="AB1283" s="23">
        <v>7</v>
      </c>
      <c r="AC1283" s="30" t="str">
        <f>VLOOKUP(AB1283,[5]Key!$C$20:$D$29,2,FALSE)</f>
        <v>Farmer</v>
      </c>
      <c r="AD1283" s="23">
        <v>1</v>
      </c>
      <c r="AE1283" s="30" t="str">
        <f>VLOOKUP(AD1283,[5]Key!$E$20:$F$24,2,FALSE)</f>
        <v>&lt;300,000</v>
      </c>
      <c r="AF1283" s="23">
        <v>5</v>
      </c>
      <c r="AG1283" s="50">
        <v>3</v>
      </c>
      <c r="AH1283" s="50">
        <v>4</v>
      </c>
      <c r="AI1283" s="50">
        <v>1</v>
      </c>
      <c r="AJ1283" s="50">
        <v>2</v>
      </c>
      <c r="AK1283" s="46" t="s">
        <v>94</v>
      </c>
      <c r="AL1283" s="36"/>
      <c r="AM1283" t="str">
        <f t="shared" ref="AM1283:AM1346" si="83">IF(AL1283&lt;1000,"0-1000",IF(AL1283&lt;2000,"1000-2000",IF(AL1283&lt;3000,"2000-3000",IF(AL1283&lt;5000,"3000-5000",IF(AL1283&lt;10000,"5000-10000","Over 10000")))))</f>
        <v>0-1000</v>
      </c>
    </row>
    <row r="1284" spans="1:39" x14ac:dyDescent="0.2">
      <c r="A1284" s="44">
        <v>43758</v>
      </c>
      <c r="B1284" s="48">
        <v>0.2986111111111111</v>
      </c>
      <c r="C1284" s="48"/>
      <c r="D1284" s="48" t="s">
        <v>150</v>
      </c>
      <c r="E1284" s="13">
        <v>2</v>
      </c>
      <c r="F1284" s="38" t="str">
        <f>VLOOKUP(E1284,[5]Key!$A$17:$B$21,2,FALSE)</f>
        <v>Road Vehicle</v>
      </c>
      <c r="G1284" s="49">
        <v>6</v>
      </c>
      <c r="H1284" s="39" t="str">
        <f>VLOOKUP(G1284,[5]Key!$A$2:$B$14,2,FALSE)</f>
        <v>Large Bus</v>
      </c>
      <c r="I1284" s="13" t="s">
        <v>156</v>
      </c>
      <c r="J1284" s="13">
        <v>3</v>
      </c>
      <c r="K1284" s="40" t="str">
        <f>VLOOKUP(J1284,[5]Key!$A$24:$B$29,2,FALSE)</f>
        <v>40-49</v>
      </c>
      <c r="L1284" s="13" t="s">
        <v>742</v>
      </c>
      <c r="M1284" s="23" t="s">
        <v>452</v>
      </c>
      <c r="N1284" s="13" t="s">
        <v>221</v>
      </c>
      <c r="O1284" s="46">
        <v>1</v>
      </c>
      <c r="P1284" s="30" t="str">
        <f>VLOOKUP(O1284,[5]Key!$E$2:$F$9,2,FALSE)</f>
        <v>Home</v>
      </c>
      <c r="Q1284" s="13" t="s">
        <v>153</v>
      </c>
      <c r="R1284" s="23" t="s">
        <v>153</v>
      </c>
      <c r="S1284" s="13" t="s">
        <v>221</v>
      </c>
      <c r="T1284" s="23">
        <v>4</v>
      </c>
      <c r="U1284" s="30" t="str">
        <f>VLOOKUP(T1284,[5]Key!$E$2:$F$9,2,FALSE)</f>
        <v>Commercial</v>
      </c>
      <c r="V1284" s="30" t="str">
        <f t="shared" si="80"/>
        <v>Home-Commercial</v>
      </c>
      <c r="W1284" s="23">
        <v>30000</v>
      </c>
      <c r="X1284" s="50">
        <v>434</v>
      </c>
      <c r="Y1284" s="50" t="str">
        <f t="shared" si="81"/>
        <v>Over 200</v>
      </c>
      <c r="Z1284" s="50">
        <v>8</v>
      </c>
      <c r="AA1284" s="50" t="str">
        <f t="shared" si="82"/>
        <v>Over 3.5</v>
      </c>
      <c r="AB1284" s="23">
        <v>7</v>
      </c>
      <c r="AC1284" s="30" t="str">
        <f>VLOOKUP(AB1284,[5]Key!$C$20:$D$29,2,FALSE)</f>
        <v>Farmer</v>
      </c>
      <c r="AD1284" s="23">
        <v>1</v>
      </c>
      <c r="AE1284" s="30" t="str">
        <f>VLOOKUP(AD1284,[5]Key!$E$20:$F$24,2,FALSE)</f>
        <v>&lt;300,000</v>
      </c>
      <c r="AF1284" s="23">
        <v>3</v>
      </c>
      <c r="AG1284" s="50">
        <v>2</v>
      </c>
      <c r="AH1284" s="50">
        <v>4</v>
      </c>
      <c r="AI1284" s="50">
        <v>1</v>
      </c>
      <c r="AJ1284" s="50">
        <v>5</v>
      </c>
      <c r="AK1284" s="46" t="s">
        <v>94</v>
      </c>
      <c r="AL1284" s="36">
        <v>5000</v>
      </c>
      <c r="AM1284" t="str">
        <f t="shared" si="83"/>
        <v>5000-10000</v>
      </c>
    </row>
    <row r="1285" spans="1:39" x14ac:dyDescent="0.2">
      <c r="A1285" s="44">
        <v>43758</v>
      </c>
      <c r="B1285" s="48">
        <v>0.30208333333333331</v>
      </c>
      <c r="C1285" s="48"/>
      <c r="D1285" s="48" t="s">
        <v>150</v>
      </c>
      <c r="E1285" s="13">
        <v>2</v>
      </c>
      <c r="F1285" s="38" t="str">
        <f>VLOOKUP(E1285,[5]Key!$A$17:$B$21,2,FALSE)</f>
        <v>Road Vehicle</v>
      </c>
      <c r="G1285" s="49">
        <v>6</v>
      </c>
      <c r="H1285" s="39" t="str">
        <f>VLOOKUP(G1285,[5]Key!$A$2:$B$14,2,FALSE)</f>
        <v>Large Bus</v>
      </c>
      <c r="I1285" s="13" t="s">
        <v>156</v>
      </c>
      <c r="J1285" s="13">
        <v>3</v>
      </c>
      <c r="K1285" s="40" t="str">
        <f>VLOOKUP(J1285,[5]Key!$A$24:$B$29,2,FALSE)</f>
        <v>40-49</v>
      </c>
      <c r="L1285" s="13" t="s">
        <v>742</v>
      </c>
      <c r="M1285" s="23" t="s">
        <v>452</v>
      </c>
      <c r="N1285" s="13" t="s">
        <v>221</v>
      </c>
      <c r="O1285" s="46">
        <v>1</v>
      </c>
      <c r="P1285" s="30" t="str">
        <f>VLOOKUP(O1285,[5]Key!$E$2:$F$9,2,FALSE)</f>
        <v>Home</v>
      </c>
      <c r="Q1285" s="13" t="s">
        <v>726</v>
      </c>
      <c r="R1285" s="23" t="s">
        <v>441</v>
      </c>
      <c r="S1285" s="13" t="s">
        <v>221</v>
      </c>
      <c r="T1285" s="23">
        <v>8</v>
      </c>
      <c r="U1285" s="30" t="str">
        <f>VLOOKUP(T1285,[5]Key!$E$2:$F$9,2,FALSE)</f>
        <v>Others</v>
      </c>
      <c r="V1285" s="30" t="str">
        <f t="shared" si="80"/>
        <v>Home-Others</v>
      </c>
      <c r="W1285" s="23">
        <v>15000</v>
      </c>
      <c r="X1285" s="50">
        <v>108</v>
      </c>
      <c r="Y1285" s="50" t="str">
        <f t="shared" si="81"/>
        <v>100-200</v>
      </c>
      <c r="Z1285" s="50">
        <v>2</v>
      </c>
      <c r="AA1285" s="50" t="str">
        <f t="shared" si="82"/>
        <v>2.0-3.5</v>
      </c>
      <c r="AB1285" s="23">
        <v>10</v>
      </c>
      <c r="AC1285" s="30" t="str">
        <f>VLOOKUP(AB1285,[5]Key!$C$20:$D$29,2,FALSE)</f>
        <v>Other</v>
      </c>
      <c r="AD1285" s="23">
        <v>1</v>
      </c>
      <c r="AE1285" s="30" t="str">
        <f>VLOOKUP(AD1285,[5]Key!$E$20:$F$24,2,FALSE)</f>
        <v>&lt;300,000</v>
      </c>
      <c r="AF1285" s="23">
        <v>5</v>
      </c>
      <c r="AG1285" s="50">
        <v>4</v>
      </c>
      <c r="AH1285" s="50">
        <v>3</v>
      </c>
      <c r="AI1285" s="50">
        <v>1</v>
      </c>
      <c r="AJ1285" s="50">
        <v>2</v>
      </c>
      <c r="AK1285" s="46" t="s">
        <v>94</v>
      </c>
      <c r="AL1285" s="36">
        <v>2000</v>
      </c>
      <c r="AM1285" t="str">
        <f t="shared" si="83"/>
        <v>2000-3000</v>
      </c>
    </row>
    <row r="1286" spans="1:39" x14ac:dyDescent="0.2">
      <c r="A1286" s="44">
        <v>43757</v>
      </c>
      <c r="B1286" s="48">
        <v>0.32500000000000001</v>
      </c>
      <c r="C1286" s="48"/>
      <c r="D1286" s="48" t="s">
        <v>150</v>
      </c>
      <c r="E1286" s="13">
        <v>2</v>
      </c>
      <c r="F1286" s="38" t="str">
        <f>VLOOKUP(E1286,[5]Key!$A$17:$B$21,2,FALSE)</f>
        <v>Road Vehicle</v>
      </c>
      <c r="G1286" s="49">
        <v>6</v>
      </c>
      <c r="H1286" s="39" t="str">
        <f>VLOOKUP(G1286,[5]Key!$A$2:$B$14,2,FALSE)</f>
        <v>Large Bus</v>
      </c>
      <c r="I1286" s="13" t="s">
        <v>109</v>
      </c>
      <c r="J1286" s="13">
        <v>3</v>
      </c>
      <c r="K1286" s="40" t="str">
        <f>VLOOKUP(J1286,[5]Key!$A$24:$B$29,2,FALSE)</f>
        <v>40-49</v>
      </c>
      <c r="L1286" s="13" t="s">
        <v>428</v>
      </c>
      <c r="M1286" s="23" t="s">
        <v>428</v>
      </c>
      <c r="N1286" s="13" t="s">
        <v>221</v>
      </c>
      <c r="O1286" s="46">
        <v>1</v>
      </c>
      <c r="P1286" s="30" t="str">
        <f>VLOOKUP(O1286,[5]Key!$E$2:$F$9,2,FALSE)</f>
        <v>Home</v>
      </c>
      <c r="Q1286" s="13" t="s">
        <v>446</v>
      </c>
      <c r="R1286" s="23" t="s">
        <v>439</v>
      </c>
      <c r="S1286" s="13" t="s">
        <v>221</v>
      </c>
      <c r="T1286" s="23">
        <v>4</v>
      </c>
      <c r="U1286" s="30" t="str">
        <f>VLOOKUP(T1286,[5]Key!$E$2:$F$9,2,FALSE)</f>
        <v>Commercial</v>
      </c>
      <c r="V1286" s="30" t="str">
        <f t="shared" si="80"/>
        <v>Home-Commercial</v>
      </c>
      <c r="W1286" s="23">
        <v>10000</v>
      </c>
      <c r="X1286" s="50">
        <v>36</v>
      </c>
      <c r="Y1286" s="50" t="str">
        <f t="shared" si="81"/>
        <v>20-40</v>
      </c>
      <c r="Z1286" s="50">
        <v>2</v>
      </c>
      <c r="AA1286" s="50" t="str">
        <f t="shared" si="82"/>
        <v>2.0-3.5</v>
      </c>
      <c r="AB1286" s="23">
        <v>3</v>
      </c>
      <c r="AC1286" s="30" t="str">
        <f>VLOOKUP(AB1286,[5]Key!$C$20:$D$29,2,FALSE)</f>
        <v>Artisan/Domestic</v>
      </c>
      <c r="AD1286" s="23">
        <v>3</v>
      </c>
      <c r="AE1286" s="30" t="str">
        <f>VLOOKUP(AD1286,[5]Key!$E$20:$F$24,2,FALSE)</f>
        <v>500,000-750,000</v>
      </c>
      <c r="AF1286" s="23">
        <v>2</v>
      </c>
      <c r="AG1286" s="50">
        <v>3</v>
      </c>
      <c r="AH1286" s="50">
        <v>1</v>
      </c>
      <c r="AI1286" s="50">
        <v>4</v>
      </c>
      <c r="AJ1286" s="50">
        <v>5</v>
      </c>
      <c r="AK1286" s="46" t="s">
        <v>94</v>
      </c>
      <c r="AL1286" s="36">
        <v>5000</v>
      </c>
      <c r="AM1286" t="str">
        <f t="shared" si="83"/>
        <v>5000-10000</v>
      </c>
    </row>
    <row r="1287" spans="1:39" x14ac:dyDescent="0.2">
      <c r="A1287" s="44">
        <v>43757</v>
      </c>
      <c r="B1287" s="48">
        <v>0.52986111111111112</v>
      </c>
      <c r="C1287" s="48"/>
      <c r="D1287" s="48" t="s">
        <v>97</v>
      </c>
      <c r="E1287" s="13">
        <v>2</v>
      </c>
      <c r="F1287" s="38" t="str">
        <f>VLOOKUP(E1287,[5]Key!$A$17:$B$21,2,FALSE)</f>
        <v>Road Vehicle</v>
      </c>
      <c r="G1287" s="49">
        <v>6</v>
      </c>
      <c r="H1287" s="39" t="str">
        <f>VLOOKUP(G1287,[5]Key!$A$2:$B$14,2,FALSE)</f>
        <v>Large Bus</v>
      </c>
      <c r="I1287" s="13" t="s">
        <v>109</v>
      </c>
      <c r="J1287" s="13">
        <v>3</v>
      </c>
      <c r="K1287" s="40" t="str">
        <f>VLOOKUP(J1287,[5]Key!$A$24:$B$29,2,FALSE)</f>
        <v>40-49</v>
      </c>
      <c r="L1287" s="13" t="s">
        <v>446</v>
      </c>
      <c r="M1287" s="23" t="s">
        <v>439</v>
      </c>
      <c r="N1287" s="13" t="s">
        <v>221</v>
      </c>
      <c r="O1287" s="46">
        <v>4</v>
      </c>
      <c r="P1287" s="30" t="str">
        <f>VLOOKUP(O1287,[5]Key!$E$2:$F$9,2,FALSE)</f>
        <v>Commercial</v>
      </c>
      <c r="Q1287" s="13" t="s">
        <v>153</v>
      </c>
      <c r="R1287" s="23" t="s">
        <v>153</v>
      </c>
      <c r="S1287" s="13" t="s">
        <v>221</v>
      </c>
      <c r="T1287" s="23">
        <v>2</v>
      </c>
      <c r="U1287" s="30" t="str">
        <f>VLOOKUP(T1287,[5]Key!$E$2:$F$9,2,FALSE)</f>
        <v>Work</v>
      </c>
      <c r="V1287" s="30" t="str">
        <f t="shared" si="80"/>
        <v>Commercial-Work</v>
      </c>
      <c r="W1287" s="23">
        <v>940000</v>
      </c>
      <c r="X1287" s="50">
        <v>336</v>
      </c>
      <c r="Y1287" s="50" t="str">
        <f t="shared" si="81"/>
        <v>Over 200</v>
      </c>
      <c r="Z1287" s="50">
        <v>5</v>
      </c>
      <c r="AA1287" s="50" t="str">
        <f t="shared" si="82"/>
        <v>Over 3.5</v>
      </c>
      <c r="AB1287" s="23">
        <v>10</v>
      </c>
      <c r="AC1287" s="30" t="str">
        <f>VLOOKUP(AB1287,[5]Key!$C$20:$D$29,2,FALSE)</f>
        <v>Other</v>
      </c>
      <c r="AD1287" s="23">
        <v>2</v>
      </c>
      <c r="AE1287" s="30" t="str">
        <f>VLOOKUP(AD1287,[5]Key!$E$20:$F$24,2,FALSE)</f>
        <v>300,000-500,000</v>
      </c>
      <c r="AF1287" s="23">
        <v>4</v>
      </c>
      <c r="AG1287" s="50">
        <v>1</v>
      </c>
      <c r="AH1287" s="50">
        <v>2</v>
      </c>
      <c r="AI1287" s="50">
        <v>3</v>
      </c>
      <c r="AJ1287" s="50">
        <v>5</v>
      </c>
      <c r="AK1287" s="46" t="s">
        <v>94</v>
      </c>
      <c r="AL1287" s="36">
        <v>2000</v>
      </c>
      <c r="AM1287" t="str">
        <f t="shared" si="83"/>
        <v>2000-3000</v>
      </c>
    </row>
    <row r="1288" spans="1:39" x14ac:dyDescent="0.2">
      <c r="A1288" s="44">
        <v>43757</v>
      </c>
      <c r="B1288" s="48"/>
      <c r="C1288" s="48"/>
      <c r="D1288" s="48" t="s">
        <v>97</v>
      </c>
      <c r="E1288" s="13">
        <v>2</v>
      </c>
      <c r="F1288" s="38" t="str">
        <f>VLOOKUP(E1288,[5]Key!$A$17:$B$21,2,FALSE)</f>
        <v>Road Vehicle</v>
      </c>
      <c r="G1288" s="49">
        <v>6</v>
      </c>
      <c r="H1288" s="39" t="str">
        <f>VLOOKUP(G1288,[5]Key!$A$2:$B$14,2,FALSE)</f>
        <v>Large Bus</v>
      </c>
      <c r="I1288" s="13" t="s">
        <v>109</v>
      </c>
      <c r="J1288" s="13">
        <v>3</v>
      </c>
      <c r="K1288" s="40" t="str">
        <f>VLOOKUP(J1288,[5]Key!$A$24:$B$29,2,FALSE)</f>
        <v>40-49</v>
      </c>
      <c r="L1288" s="13" t="s">
        <v>421</v>
      </c>
      <c r="M1288" s="23" t="s">
        <v>421</v>
      </c>
      <c r="N1288" s="13" t="s">
        <v>221</v>
      </c>
      <c r="O1288" s="46">
        <v>4</v>
      </c>
      <c r="P1288" s="30" t="str">
        <f>VLOOKUP(O1288,[5]Key!$E$2:$F$9,2,FALSE)</f>
        <v>Commercial</v>
      </c>
      <c r="Q1288" s="13" t="s">
        <v>153</v>
      </c>
      <c r="R1288" s="23" t="s">
        <v>153</v>
      </c>
      <c r="S1288" s="13" t="s">
        <v>221</v>
      </c>
      <c r="T1288" s="23">
        <v>2</v>
      </c>
      <c r="U1288" s="30" t="str">
        <f>VLOOKUP(T1288,[5]Key!$E$2:$F$9,2,FALSE)</f>
        <v>Work</v>
      </c>
      <c r="V1288" s="30" t="str">
        <f t="shared" si="80"/>
        <v>Commercial-Work</v>
      </c>
      <c r="W1288" s="23">
        <v>700000</v>
      </c>
      <c r="X1288" s="50">
        <v>250</v>
      </c>
      <c r="Y1288" s="50" t="str">
        <f t="shared" si="81"/>
        <v>Over 200</v>
      </c>
      <c r="Z1288" s="50">
        <v>4</v>
      </c>
      <c r="AA1288" s="50" t="str">
        <f t="shared" si="82"/>
        <v>Over 3.5</v>
      </c>
      <c r="AB1288" s="23">
        <v>10</v>
      </c>
      <c r="AC1288" s="30" t="str">
        <f>VLOOKUP(AB1288,[5]Key!$C$20:$D$29,2,FALSE)</f>
        <v>Other</v>
      </c>
      <c r="AD1288" s="23">
        <v>2</v>
      </c>
      <c r="AE1288" s="30" t="str">
        <f>VLOOKUP(AD1288,[5]Key!$E$20:$F$24,2,FALSE)</f>
        <v>300,000-500,000</v>
      </c>
      <c r="AF1288" s="23">
        <v>5</v>
      </c>
      <c r="AG1288" s="50">
        <v>1</v>
      </c>
      <c r="AH1288" s="50">
        <v>2</v>
      </c>
      <c r="AI1288" s="50">
        <v>3</v>
      </c>
      <c r="AJ1288" s="50">
        <v>4</v>
      </c>
      <c r="AK1288" s="46" t="s">
        <v>94</v>
      </c>
      <c r="AL1288" s="36">
        <v>200</v>
      </c>
      <c r="AM1288" t="str">
        <f t="shared" si="83"/>
        <v>0-1000</v>
      </c>
    </row>
    <row r="1289" spans="1:39" x14ac:dyDescent="0.2">
      <c r="A1289" s="44">
        <v>43758</v>
      </c>
      <c r="B1289" s="48">
        <v>0.70763888888888893</v>
      </c>
      <c r="C1289" s="48"/>
      <c r="D1289" s="48" t="s">
        <v>97</v>
      </c>
      <c r="E1289" s="13">
        <v>2</v>
      </c>
      <c r="F1289" s="38" t="str">
        <f>VLOOKUP(E1289,[5]Key!$A$17:$B$21,2,FALSE)</f>
        <v>Road Vehicle</v>
      </c>
      <c r="G1289" s="49">
        <v>6</v>
      </c>
      <c r="H1289" s="39" t="str">
        <f>VLOOKUP(G1289,[5]Key!$A$2:$B$14,2,FALSE)</f>
        <v>Large Bus</v>
      </c>
      <c r="I1289" s="13" t="s">
        <v>109</v>
      </c>
      <c r="J1289" s="13">
        <v>3</v>
      </c>
      <c r="K1289" s="40" t="str">
        <f>VLOOKUP(J1289,[5]Key!$A$24:$B$29,2,FALSE)</f>
        <v>40-49</v>
      </c>
      <c r="L1289" s="13" t="s">
        <v>153</v>
      </c>
      <c r="M1289" s="23" t="s">
        <v>153</v>
      </c>
      <c r="N1289" s="13" t="s">
        <v>221</v>
      </c>
      <c r="O1289" s="46">
        <v>2</v>
      </c>
      <c r="P1289" s="30" t="str">
        <f>VLOOKUP(O1289,[5]Key!$E$2:$F$9,2,FALSE)</f>
        <v>Work</v>
      </c>
      <c r="Q1289" s="13" t="s">
        <v>446</v>
      </c>
      <c r="R1289" s="23" t="s">
        <v>439</v>
      </c>
      <c r="S1289" s="13" t="s">
        <v>221</v>
      </c>
      <c r="T1289" s="23">
        <v>4</v>
      </c>
      <c r="U1289" s="30" t="str">
        <f>VLOOKUP(T1289,[5]Key!$E$2:$F$9,2,FALSE)</f>
        <v>Commercial</v>
      </c>
      <c r="V1289" s="30" t="str">
        <f t="shared" si="80"/>
        <v>Work-Commercial</v>
      </c>
      <c r="W1289" s="23">
        <v>500000</v>
      </c>
      <c r="X1289" s="50">
        <v>340</v>
      </c>
      <c r="Y1289" s="50" t="str">
        <f t="shared" si="81"/>
        <v>Over 200</v>
      </c>
      <c r="Z1289" s="50">
        <v>6</v>
      </c>
      <c r="AA1289" s="50" t="str">
        <f t="shared" si="82"/>
        <v>Over 3.5</v>
      </c>
      <c r="AB1289" s="23">
        <v>10</v>
      </c>
      <c r="AC1289" s="30" t="str">
        <f>VLOOKUP(AB1289,[5]Key!$C$20:$D$29,2,FALSE)</f>
        <v>Other</v>
      </c>
      <c r="AD1289" s="23">
        <v>2</v>
      </c>
      <c r="AE1289" s="30" t="str">
        <f>VLOOKUP(AD1289,[5]Key!$E$20:$F$24,2,FALSE)</f>
        <v>300,000-500,000</v>
      </c>
      <c r="AF1289" s="23">
        <v>2</v>
      </c>
      <c r="AG1289" s="50">
        <v>1</v>
      </c>
      <c r="AH1289" s="50">
        <v>3</v>
      </c>
      <c r="AI1289" s="50">
        <v>5</v>
      </c>
      <c r="AJ1289" s="50">
        <v>4</v>
      </c>
      <c r="AK1289" s="46" t="s">
        <v>94</v>
      </c>
      <c r="AL1289" s="36">
        <v>1000</v>
      </c>
      <c r="AM1289" t="str">
        <f t="shared" si="83"/>
        <v>1000-2000</v>
      </c>
    </row>
    <row r="1290" spans="1:39" x14ac:dyDescent="0.2">
      <c r="A1290" s="44">
        <v>43758</v>
      </c>
      <c r="B1290" s="48">
        <v>0.47152777777777777</v>
      </c>
      <c r="C1290" s="48"/>
      <c r="D1290" s="48" t="s">
        <v>150</v>
      </c>
      <c r="E1290" s="13">
        <v>2</v>
      </c>
      <c r="F1290" s="38" t="str">
        <f>VLOOKUP(E1290,[5]Key!$A$17:$B$21,2,FALSE)</f>
        <v>Road Vehicle</v>
      </c>
      <c r="G1290" s="49">
        <v>6</v>
      </c>
      <c r="H1290" s="39" t="str">
        <f>VLOOKUP(G1290,[5]Key!$A$2:$B$14,2,FALSE)</f>
        <v>Large Bus</v>
      </c>
      <c r="I1290" s="13" t="s">
        <v>109</v>
      </c>
      <c r="J1290" s="13">
        <v>3</v>
      </c>
      <c r="K1290" s="40" t="str">
        <f>VLOOKUP(J1290,[5]Key!$A$24:$B$29,2,FALSE)</f>
        <v>40-49</v>
      </c>
      <c r="L1290" s="13" t="s">
        <v>488</v>
      </c>
      <c r="M1290" s="23" t="s">
        <v>488</v>
      </c>
      <c r="N1290" s="13" t="s">
        <v>221</v>
      </c>
      <c r="O1290" s="46">
        <v>1</v>
      </c>
      <c r="P1290" s="30" t="str">
        <f>VLOOKUP(O1290,[5]Key!$E$2:$F$9,2,FALSE)</f>
        <v>Home</v>
      </c>
      <c r="Q1290" s="13" t="s">
        <v>153</v>
      </c>
      <c r="R1290" s="23" t="s">
        <v>153</v>
      </c>
      <c r="S1290" s="13" t="s">
        <v>221</v>
      </c>
      <c r="T1290" s="23">
        <v>2</v>
      </c>
      <c r="U1290" s="30" t="str">
        <f>VLOOKUP(T1290,[5]Key!$E$2:$F$9,2,FALSE)</f>
        <v>Work</v>
      </c>
      <c r="V1290" s="30" t="str">
        <f t="shared" si="80"/>
        <v>Home-Work</v>
      </c>
      <c r="W1290" s="23">
        <v>20000</v>
      </c>
      <c r="X1290" s="50"/>
      <c r="Y1290" s="50" t="str">
        <f t="shared" si="81"/>
        <v>0-10</v>
      </c>
      <c r="Z1290" s="50">
        <v>6</v>
      </c>
      <c r="AA1290" s="50" t="str">
        <f t="shared" si="82"/>
        <v>Over 3.5</v>
      </c>
      <c r="AB1290" s="23">
        <v>6</v>
      </c>
      <c r="AC1290" s="30" t="str">
        <f>VLOOKUP(AB1290,[5]Key!$C$20:$D$29,2,FALSE)</f>
        <v>Businessman</v>
      </c>
      <c r="AD1290" s="23">
        <v>5</v>
      </c>
      <c r="AE1290" s="30" t="str">
        <f>VLOOKUP(AD1290,[5]Key!$E$20:$F$24,2,FALSE)</f>
        <v>&gt;1,000,000</v>
      </c>
      <c r="AF1290" s="23">
        <v>2</v>
      </c>
      <c r="AG1290" s="50">
        <v>1</v>
      </c>
      <c r="AH1290" s="50">
        <v>4</v>
      </c>
      <c r="AI1290" s="50">
        <v>3</v>
      </c>
      <c r="AJ1290" s="50">
        <v>5</v>
      </c>
      <c r="AK1290" s="46" t="s">
        <v>94</v>
      </c>
      <c r="AL1290" s="36">
        <v>2000</v>
      </c>
      <c r="AM1290" t="str">
        <f t="shared" si="83"/>
        <v>2000-3000</v>
      </c>
    </row>
    <row r="1291" spans="1:39" x14ac:dyDescent="0.2">
      <c r="A1291" s="44">
        <v>43758</v>
      </c>
      <c r="B1291" s="48">
        <v>0.31180555555555556</v>
      </c>
      <c r="C1291" s="48"/>
      <c r="D1291" s="48" t="s">
        <v>97</v>
      </c>
      <c r="E1291" s="13">
        <v>2</v>
      </c>
      <c r="F1291" s="38" t="str">
        <f>VLOOKUP(E1291,[5]Key!$A$17:$B$21,2,FALSE)</f>
        <v>Road Vehicle</v>
      </c>
      <c r="G1291" s="49">
        <v>6</v>
      </c>
      <c r="H1291" s="39" t="str">
        <f>VLOOKUP(G1291,[5]Key!$A$2:$B$14,2,FALSE)</f>
        <v>Large Bus</v>
      </c>
      <c r="I1291" s="13" t="s">
        <v>109</v>
      </c>
      <c r="J1291" s="13">
        <v>3</v>
      </c>
      <c r="K1291" s="40" t="str">
        <f>VLOOKUP(J1291,[5]Key!$A$24:$B$29,2,FALSE)</f>
        <v>40-49</v>
      </c>
      <c r="L1291" s="13" t="s">
        <v>740</v>
      </c>
      <c r="M1291" s="23" t="s">
        <v>452</v>
      </c>
      <c r="N1291" s="13" t="s">
        <v>221</v>
      </c>
      <c r="O1291" s="46">
        <v>2</v>
      </c>
      <c r="P1291" s="30" t="str">
        <f>VLOOKUP(O1291,[5]Key!$E$2:$F$9,2,FALSE)</f>
        <v>Work</v>
      </c>
      <c r="Q1291" s="13" t="s">
        <v>153</v>
      </c>
      <c r="R1291" s="23" t="s">
        <v>153</v>
      </c>
      <c r="S1291" s="13" t="s">
        <v>221</v>
      </c>
      <c r="T1291" s="23">
        <v>4</v>
      </c>
      <c r="U1291" s="30" t="str">
        <f>VLOOKUP(T1291,[5]Key!$E$2:$F$9,2,FALSE)</f>
        <v>Commercial</v>
      </c>
      <c r="V1291" s="30" t="str">
        <f t="shared" si="80"/>
        <v>Work-Commercial</v>
      </c>
      <c r="W1291" s="23">
        <v>700000</v>
      </c>
      <c r="X1291" s="50">
        <v>450</v>
      </c>
      <c r="Y1291" s="50" t="str">
        <f t="shared" si="81"/>
        <v>Over 200</v>
      </c>
      <c r="Z1291" s="50">
        <v>6</v>
      </c>
      <c r="AA1291" s="50" t="str">
        <f t="shared" si="82"/>
        <v>Over 3.5</v>
      </c>
      <c r="AB1291" s="23">
        <v>10</v>
      </c>
      <c r="AC1291" s="30" t="str">
        <f>VLOOKUP(AB1291,[5]Key!$C$20:$D$29,2,FALSE)</f>
        <v>Other</v>
      </c>
      <c r="AD1291" s="23">
        <v>2</v>
      </c>
      <c r="AE1291" s="30" t="str">
        <f>VLOOKUP(AD1291,[5]Key!$E$20:$F$24,2,FALSE)</f>
        <v>300,000-500,000</v>
      </c>
      <c r="AF1291" s="23">
        <v>3</v>
      </c>
      <c r="AG1291" s="50">
        <v>1</v>
      </c>
      <c r="AH1291" s="50">
        <v>2</v>
      </c>
      <c r="AI1291" s="50">
        <v>5</v>
      </c>
      <c r="AJ1291" s="50">
        <v>4</v>
      </c>
      <c r="AK1291" s="46" t="s">
        <v>94</v>
      </c>
      <c r="AL1291" s="36"/>
      <c r="AM1291" t="str">
        <f t="shared" si="83"/>
        <v>0-1000</v>
      </c>
    </row>
    <row r="1292" spans="1:39" x14ac:dyDescent="0.2">
      <c r="A1292" s="44">
        <v>43758</v>
      </c>
      <c r="B1292" s="48">
        <v>0.75694444444444453</v>
      </c>
      <c r="C1292" s="48"/>
      <c r="D1292" s="48" t="s">
        <v>150</v>
      </c>
      <c r="E1292" s="13">
        <v>2</v>
      </c>
      <c r="F1292" s="38" t="str">
        <f>VLOOKUP(E1292,[5]Key!$A$17:$B$21,2,FALSE)</f>
        <v>Road Vehicle</v>
      </c>
      <c r="G1292" s="49">
        <v>6</v>
      </c>
      <c r="H1292" s="39" t="str">
        <f>VLOOKUP(G1292,[5]Key!$A$2:$B$14,2,FALSE)</f>
        <v>Large Bus</v>
      </c>
      <c r="I1292" s="13" t="s">
        <v>109</v>
      </c>
      <c r="J1292" s="13">
        <v>3</v>
      </c>
      <c r="K1292" s="40" t="str">
        <f>VLOOKUP(J1292,[5]Key!$A$24:$B$29,2,FALSE)</f>
        <v>40-49</v>
      </c>
      <c r="L1292" s="13" t="s">
        <v>742</v>
      </c>
      <c r="M1292" s="23" t="s">
        <v>452</v>
      </c>
      <c r="N1292" s="13" t="s">
        <v>221</v>
      </c>
      <c r="O1292" s="46">
        <v>4</v>
      </c>
      <c r="P1292" s="30" t="str">
        <f>VLOOKUP(O1292,[5]Key!$E$2:$F$9,2,FALSE)</f>
        <v>Commercial</v>
      </c>
      <c r="Q1292" s="13" t="s">
        <v>175</v>
      </c>
      <c r="R1292" s="23" t="s">
        <v>175</v>
      </c>
      <c r="S1292" s="13" t="s">
        <v>221</v>
      </c>
      <c r="T1292" s="23">
        <v>4</v>
      </c>
      <c r="U1292" s="30" t="str">
        <f>VLOOKUP(T1292,[5]Key!$E$2:$F$9,2,FALSE)</f>
        <v>Commercial</v>
      </c>
      <c r="V1292" s="30" t="str">
        <f t="shared" si="80"/>
        <v>Commercial-Commercial</v>
      </c>
      <c r="W1292" s="23">
        <v>25000</v>
      </c>
      <c r="X1292" s="50">
        <v>332</v>
      </c>
      <c r="Y1292" s="50" t="str">
        <f t="shared" si="81"/>
        <v>Over 200</v>
      </c>
      <c r="Z1292" s="50"/>
      <c r="AA1292" s="50" t="str">
        <f t="shared" si="82"/>
        <v>0-0.5</v>
      </c>
      <c r="AB1292" s="23">
        <v>6</v>
      </c>
      <c r="AC1292" s="30" t="str">
        <f>VLOOKUP(AB1292,[5]Key!$C$20:$D$29,2,FALSE)</f>
        <v>Businessman</v>
      </c>
      <c r="AD1292" s="23">
        <v>2</v>
      </c>
      <c r="AE1292" s="30" t="str">
        <f>VLOOKUP(AD1292,[5]Key!$E$20:$F$24,2,FALSE)</f>
        <v>300,000-500,000</v>
      </c>
      <c r="AF1292" s="23">
        <v>1</v>
      </c>
      <c r="AG1292" s="50">
        <v>3</v>
      </c>
      <c r="AH1292" s="50">
        <v>4</v>
      </c>
      <c r="AI1292" s="50">
        <v>2</v>
      </c>
      <c r="AJ1292" s="50">
        <v>5</v>
      </c>
      <c r="AK1292" s="46" t="s">
        <v>94</v>
      </c>
      <c r="AL1292" s="36">
        <v>2000</v>
      </c>
      <c r="AM1292" t="str">
        <f t="shared" si="83"/>
        <v>2000-3000</v>
      </c>
    </row>
    <row r="1293" spans="1:39" x14ac:dyDescent="0.2">
      <c r="A1293" s="44">
        <v>43757</v>
      </c>
      <c r="B1293" s="48"/>
      <c r="C1293" s="48"/>
      <c r="D1293" s="48" t="s">
        <v>97</v>
      </c>
      <c r="E1293" s="13">
        <v>2</v>
      </c>
      <c r="F1293" s="38" t="str">
        <f>VLOOKUP(E1293,[5]Key!$A$17:$B$21,2,FALSE)</f>
        <v>Road Vehicle</v>
      </c>
      <c r="G1293" s="49">
        <v>7</v>
      </c>
      <c r="H1293" s="39" t="str">
        <f>VLOOKUP(G1293,[5]Key!$A$2:$B$14,2,FALSE)</f>
        <v xml:space="preserve">Light Truck </v>
      </c>
      <c r="I1293" s="13" t="s">
        <v>109</v>
      </c>
      <c r="J1293" s="13">
        <v>3</v>
      </c>
      <c r="K1293" s="40" t="str">
        <f>VLOOKUP(J1293,[5]Key!$A$24:$B$29,2,FALSE)</f>
        <v>40-49</v>
      </c>
      <c r="L1293" s="13" t="s">
        <v>446</v>
      </c>
      <c r="M1293" s="23" t="s">
        <v>439</v>
      </c>
      <c r="N1293" s="13" t="s">
        <v>221</v>
      </c>
      <c r="O1293" s="46">
        <v>2</v>
      </c>
      <c r="P1293" s="30" t="str">
        <f>VLOOKUP(O1293,[5]Key!$E$2:$F$9,2,FALSE)</f>
        <v>Work</v>
      </c>
      <c r="Q1293" s="13" t="s">
        <v>734</v>
      </c>
      <c r="R1293" s="23" t="s">
        <v>488</v>
      </c>
      <c r="S1293" s="13" t="s">
        <v>221</v>
      </c>
      <c r="T1293" s="23">
        <v>4</v>
      </c>
      <c r="U1293" s="30" t="str">
        <f>VLOOKUP(T1293,[5]Key!$E$2:$F$9,2,FALSE)</f>
        <v>Commercial</v>
      </c>
      <c r="V1293" s="30" t="str">
        <f t="shared" si="80"/>
        <v>Work-Commercial</v>
      </c>
      <c r="W1293" s="23">
        <v>20000</v>
      </c>
      <c r="X1293" s="50"/>
      <c r="Y1293" s="50" t="str">
        <f t="shared" si="81"/>
        <v>0-10</v>
      </c>
      <c r="Z1293" s="50">
        <v>0.3</v>
      </c>
      <c r="AA1293" s="50" t="str">
        <f t="shared" si="82"/>
        <v>0-0.5</v>
      </c>
      <c r="AB1293" s="23">
        <v>10</v>
      </c>
      <c r="AC1293" s="30" t="str">
        <f>VLOOKUP(AB1293,[5]Key!$C$20:$D$29,2,FALSE)</f>
        <v>Other</v>
      </c>
      <c r="AD1293" s="23">
        <v>1</v>
      </c>
      <c r="AE1293" s="30" t="str">
        <f>VLOOKUP(AD1293,[5]Key!$E$20:$F$24,2,FALSE)</f>
        <v>&lt;300,000</v>
      </c>
      <c r="AF1293" s="23">
        <v>1</v>
      </c>
      <c r="AG1293" s="50">
        <v>4</v>
      </c>
      <c r="AH1293" s="50">
        <v>3</v>
      </c>
      <c r="AI1293" s="50">
        <v>2</v>
      </c>
      <c r="AJ1293" s="50">
        <v>5</v>
      </c>
      <c r="AK1293" s="46" t="s">
        <v>94</v>
      </c>
      <c r="AL1293" s="36">
        <v>1000</v>
      </c>
      <c r="AM1293" t="str">
        <f t="shared" si="83"/>
        <v>1000-2000</v>
      </c>
    </row>
    <row r="1294" spans="1:39" x14ac:dyDescent="0.2">
      <c r="A1294" s="44">
        <v>43757</v>
      </c>
      <c r="B1294" s="48">
        <v>0.50277777777777777</v>
      </c>
      <c r="C1294" s="48"/>
      <c r="D1294" s="48" t="s">
        <v>97</v>
      </c>
      <c r="E1294" s="13">
        <v>2</v>
      </c>
      <c r="F1294" s="38" t="str">
        <f>VLOOKUP(E1294,[5]Key!$A$17:$B$21,2,FALSE)</f>
        <v>Road Vehicle</v>
      </c>
      <c r="G1294" s="49">
        <v>7</v>
      </c>
      <c r="H1294" s="39" t="str">
        <f>VLOOKUP(G1294,[5]Key!$A$2:$B$14,2,FALSE)</f>
        <v xml:space="preserve">Light Truck </v>
      </c>
      <c r="I1294" s="13" t="s">
        <v>109</v>
      </c>
      <c r="J1294" s="13">
        <v>3</v>
      </c>
      <c r="K1294" s="40" t="str">
        <f>VLOOKUP(J1294,[5]Key!$A$24:$B$29,2,FALSE)</f>
        <v>40-49</v>
      </c>
      <c r="L1294" s="13" t="s">
        <v>446</v>
      </c>
      <c r="M1294" s="23" t="s">
        <v>439</v>
      </c>
      <c r="N1294" s="13" t="s">
        <v>221</v>
      </c>
      <c r="O1294" s="46">
        <v>2</v>
      </c>
      <c r="P1294" s="30" t="str">
        <f>VLOOKUP(O1294,[5]Key!$E$2:$F$9,2,FALSE)</f>
        <v>Work</v>
      </c>
      <c r="Q1294" s="13" t="s">
        <v>158</v>
      </c>
      <c r="R1294" s="23" t="s">
        <v>158</v>
      </c>
      <c r="S1294" s="13" t="s">
        <v>221</v>
      </c>
      <c r="T1294" s="23">
        <v>4</v>
      </c>
      <c r="U1294" s="30" t="str">
        <f>VLOOKUP(T1294,[5]Key!$E$2:$F$9,2,FALSE)</f>
        <v>Commercial</v>
      </c>
      <c r="V1294" s="30" t="str">
        <f t="shared" si="80"/>
        <v>Work-Commercial</v>
      </c>
      <c r="W1294" s="23">
        <v>150000</v>
      </c>
      <c r="X1294" s="50"/>
      <c r="Y1294" s="50" t="str">
        <f t="shared" si="81"/>
        <v>0-10</v>
      </c>
      <c r="Z1294" s="50">
        <v>3</v>
      </c>
      <c r="AA1294" s="50" t="str">
        <f t="shared" si="82"/>
        <v>2.0-3.5</v>
      </c>
      <c r="AB1294" s="23">
        <v>10</v>
      </c>
      <c r="AC1294" s="30" t="str">
        <f>VLOOKUP(AB1294,[5]Key!$C$20:$D$29,2,FALSE)</f>
        <v>Other</v>
      </c>
      <c r="AD1294" s="23">
        <v>3</v>
      </c>
      <c r="AE1294" s="30" t="str">
        <f>VLOOKUP(AD1294,[5]Key!$E$20:$F$24,2,FALSE)</f>
        <v>500,000-750,000</v>
      </c>
      <c r="AF1294" s="23">
        <v>3</v>
      </c>
      <c r="AG1294" s="50">
        <v>2</v>
      </c>
      <c r="AH1294" s="50">
        <v>1</v>
      </c>
      <c r="AI1294" s="50">
        <v>5</v>
      </c>
      <c r="AJ1294" s="50">
        <v>4</v>
      </c>
      <c r="AK1294" s="46" t="s">
        <v>94</v>
      </c>
      <c r="AL1294" s="36">
        <v>5000</v>
      </c>
      <c r="AM1294" t="str">
        <f t="shared" si="83"/>
        <v>5000-10000</v>
      </c>
    </row>
    <row r="1295" spans="1:39" x14ac:dyDescent="0.2">
      <c r="A1295" s="44">
        <v>43758</v>
      </c>
      <c r="B1295" s="48">
        <v>0.46458333333333335</v>
      </c>
      <c r="C1295" s="48"/>
      <c r="D1295" s="48" t="s">
        <v>150</v>
      </c>
      <c r="E1295" s="13">
        <v>2</v>
      </c>
      <c r="F1295" s="38" t="str">
        <f>VLOOKUP(E1295,[5]Key!$A$17:$B$21,2,FALSE)</f>
        <v>Road Vehicle</v>
      </c>
      <c r="G1295" s="49">
        <v>4</v>
      </c>
      <c r="H1295" s="39" t="str">
        <f>VLOOKUP(G1295,[5]Key!$A$2:$B$14,2,FALSE)</f>
        <v>Minibus</v>
      </c>
      <c r="I1295" s="13" t="s">
        <v>156</v>
      </c>
      <c r="J1295" s="13">
        <v>3</v>
      </c>
      <c r="K1295" s="40" t="str">
        <f>VLOOKUP(J1295,[5]Key!$A$24:$B$29,2,FALSE)</f>
        <v>40-49</v>
      </c>
      <c r="L1295" s="13" t="s">
        <v>724</v>
      </c>
      <c r="M1295" s="23" t="s">
        <v>421</v>
      </c>
      <c r="N1295" s="13" t="s">
        <v>221</v>
      </c>
      <c r="O1295" s="46">
        <v>1</v>
      </c>
      <c r="P1295" s="30" t="str">
        <f>VLOOKUP(O1295,[5]Key!$E$2:$F$9,2,FALSE)</f>
        <v>Home</v>
      </c>
      <c r="Q1295" s="13" t="s">
        <v>805</v>
      </c>
      <c r="R1295" s="23" t="s">
        <v>428</v>
      </c>
      <c r="S1295" s="13" t="s">
        <v>221</v>
      </c>
      <c r="T1295" s="23">
        <v>6</v>
      </c>
      <c r="U1295" s="30" t="str">
        <f>VLOOKUP(T1295,[5]Key!$E$2:$F$9,2,FALSE)</f>
        <v>Leisure/Social</v>
      </c>
      <c r="V1295" s="30" t="str">
        <f t="shared" si="80"/>
        <v>Home-Leisure/Social</v>
      </c>
      <c r="W1295" s="23">
        <v>17000</v>
      </c>
      <c r="X1295" s="50"/>
      <c r="Y1295" s="50" t="str">
        <f t="shared" si="81"/>
        <v>0-10</v>
      </c>
      <c r="Z1295" s="50">
        <v>3</v>
      </c>
      <c r="AA1295" s="50" t="str">
        <f t="shared" si="82"/>
        <v>2.0-3.5</v>
      </c>
      <c r="AB1295" s="23">
        <v>6</v>
      </c>
      <c r="AC1295" s="30" t="str">
        <f>VLOOKUP(AB1295,[5]Key!$C$20:$D$29,2,FALSE)</f>
        <v>Businessman</v>
      </c>
      <c r="AD1295" s="23">
        <v>2</v>
      </c>
      <c r="AE1295" s="30" t="str">
        <f>VLOOKUP(AD1295,[5]Key!$E$20:$F$24,2,FALSE)</f>
        <v>300,000-500,000</v>
      </c>
      <c r="AF1295" s="23">
        <v>2</v>
      </c>
      <c r="AG1295" s="50">
        <v>3</v>
      </c>
      <c r="AH1295" s="50">
        <v>4</v>
      </c>
      <c r="AI1295" s="50">
        <v>1</v>
      </c>
      <c r="AJ1295" s="50">
        <v>5</v>
      </c>
      <c r="AK1295" s="46" t="s">
        <v>94</v>
      </c>
      <c r="AL1295" s="36">
        <v>1000</v>
      </c>
      <c r="AM1295" t="str">
        <f t="shared" si="83"/>
        <v>1000-2000</v>
      </c>
    </row>
    <row r="1296" spans="1:39" x14ac:dyDescent="0.2">
      <c r="A1296" s="44">
        <v>43758</v>
      </c>
      <c r="B1296" s="48">
        <v>0.68402777777777779</v>
      </c>
      <c r="C1296" s="48"/>
      <c r="D1296" s="48" t="s">
        <v>150</v>
      </c>
      <c r="E1296" s="13">
        <v>2</v>
      </c>
      <c r="F1296" s="38" t="str">
        <f>VLOOKUP(E1296,[5]Key!$A$17:$B$21,2,FALSE)</f>
        <v>Road Vehicle</v>
      </c>
      <c r="G1296" s="49">
        <v>4</v>
      </c>
      <c r="H1296" s="39" t="str">
        <f>VLOOKUP(G1296,[5]Key!$A$2:$B$14,2,FALSE)</f>
        <v>Minibus</v>
      </c>
      <c r="I1296" s="13" t="s">
        <v>156</v>
      </c>
      <c r="J1296" s="13">
        <v>3</v>
      </c>
      <c r="K1296" s="40" t="str">
        <f>VLOOKUP(J1296,[5]Key!$A$24:$B$29,2,FALSE)</f>
        <v>40-49</v>
      </c>
      <c r="L1296" s="13" t="s">
        <v>701</v>
      </c>
      <c r="M1296" s="23" t="s">
        <v>463</v>
      </c>
      <c r="N1296" s="13" t="s">
        <v>221</v>
      </c>
      <c r="O1296" s="46">
        <v>4</v>
      </c>
      <c r="P1296" s="30" t="str">
        <f>VLOOKUP(O1296,[5]Key!$E$2:$F$9,2,FALSE)</f>
        <v>Commercial</v>
      </c>
      <c r="Q1296" s="13" t="s">
        <v>446</v>
      </c>
      <c r="R1296" s="23" t="s">
        <v>439</v>
      </c>
      <c r="S1296" s="13" t="s">
        <v>221</v>
      </c>
      <c r="T1296" s="23">
        <v>4</v>
      </c>
      <c r="U1296" s="30" t="str">
        <f>VLOOKUP(T1296,[5]Key!$E$2:$F$9,2,FALSE)</f>
        <v>Commercial</v>
      </c>
      <c r="V1296" s="30" t="str">
        <f t="shared" si="80"/>
        <v>Commercial-Commercial</v>
      </c>
      <c r="W1296" s="23">
        <v>1000</v>
      </c>
      <c r="X1296" s="50">
        <v>10</v>
      </c>
      <c r="Y1296" s="50" t="str">
        <f t="shared" si="81"/>
        <v>10-20</v>
      </c>
      <c r="Z1296" s="50">
        <v>0.3</v>
      </c>
      <c r="AA1296" s="50" t="str">
        <f t="shared" si="82"/>
        <v>0-0.5</v>
      </c>
      <c r="AB1296" s="23">
        <v>6</v>
      </c>
      <c r="AC1296" s="30" t="str">
        <f>VLOOKUP(AB1296,[5]Key!$C$20:$D$29,2,FALSE)</f>
        <v>Businessman</v>
      </c>
      <c r="AD1296" s="23">
        <v>1</v>
      </c>
      <c r="AE1296" s="30" t="str">
        <f>VLOOKUP(AD1296,[5]Key!$E$20:$F$24,2,FALSE)</f>
        <v>&lt;300,000</v>
      </c>
      <c r="AF1296" s="23">
        <v>2</v>
      </c>
      <c r="AG1296" s="50">
        <v>3</v>
      </c>
      <c r="AH1296" s="50">
        <v>1</v>
      </c>
      <c r="AI1296" s="50">
        <v>4</v>
      </c>
      <c r="AJ1296" s="50">
        <v>5</v>
      </c>
      <c r="AK1296" s="46" t="s">
        <v>94</v>
      </c>
      <c r="AL1296" s="36">
        <v>1000</v>
      </c>
      <c r="AM1296" t="str">
        <f t="shared" si="83"/>
        <v>1000-2000</v>
      </c>
    </row>
    <row r="1297" spans="1:39" x14ac:dyDescent="0.2">
      <c r="A1297" s="44">
        <v>43756</v>
      </c>
      <c r="B1297" s="48">
        <v>0.70833333333333337</v>
      </c>
      <c r="C1297" s="48"/>
      <c r="D1297" s="48" t="s">
        <v>97</v>
      </c>
      <c r="E1297" s="13">
        <v>2</v>
      </c>
      <c r="F1297" s="38" t="str">
        <f>VLOOKUP(E1297,[5]Key!$A$17:$B$21,2,FALSE)</f>
        <v>Road Vehicle</v>
      </c>
      <c r="G1297" s="49">
        <v>4</v>
      </c>
      <c r="H1297" s="39" t="str">
        <f>VLOOKUP(G1297,[5]Key!$A$2:$B$14,2,FALSE)</f>
        <v>Minibus</v>
      </c>
      <c r="I1297" s="13" t="s">
        <v>109</v>
      </c>
      <c r="J1297" s="13">
        <v>3</v>
      </c>
      <c r="K1297" s="40" t="str">
        <f>VLOOKUP(J1297,[5]Key!$A$24:$B$29,2,FALSE)</f>
        <v>40-49</v>
      </c>
      <c r="L1297" s="13" t="s">
        <v>446</v>
      </c>
      <c r="M1297" s="23" t="s">
        <v>439</v>
      </c>
      <c r="N1297" s="13" t="s">
        <v>221</v>
      </c>
      <c r="O1297" s="46">
        <v>8</v>
      </c>
      <c r="P1297" s="30" t="str">
        <f>VLOOKUP(O1297,[5]Key!$E$2:$F$9,2,FALSE)</f>
        <v>Others</v>
      </c>
      <c r="Q1297" s="13" t="s">
        <v>732</v>
      </c>
      <c r="R1297" s="23" t="s">
        <v>421</v>
      </c>
      <c r="S1297" s="13" t="s">
        <v>221</v>
      </c>
      <c r="T1297" s="23">
        <v>2</v>
      </c>
      <c r="U1297" s="30" t="str">
        <f>VLOOKUP(T1297,[5]Key!$E$2:$F$9,2,FALSE)</f>
        <v>Work</v>
      </c>
      <c r="V1297" s="30" t="str">
        <f t="shared" si="80"/>
        <v>Others-Work</v>
      </c>
      <c r="W1297" s="41">
        <v>5000</v>
      </c>
      <c r="X1297" s="50">
        <v>48</v>
      </c>
      <c r="Y1297" s="50" t="str">
        <f t="shared" si="81"/>
        <v>40-70</v>
      </c>
      <c r="Z1297" s="50">
        <v>0.8</v>
      </c>
      <c r="AA1297" s="50" t="str">
        <f t="shared" si="82"/>
        <v>0.5-1.0</v>
      </c>
      <c r="AB1297" s="23">
        <v>10</v>
      </c>
      <c r="AC1297" s="30" t="str">
        <f>VLOOKUP(AB1297,[5]Key!$C$20:$D$29,2,FALSE)</f>
        <v>Other</v>
      </c>
      <c r="AD1297" s="23">
        <v>2</v>
      </c>
      <c r="AE1297" s="30" t="str">
        <f>VLOOKUP(AD1297,[5]Key!$E$20:$F$24,2,FALSE)</f>
        <v>300,000-500,000</v>
      </c>
      <c r="AF1297" s="23">
        <v>4</v>
      </c>
      <c r="AG1297" s="50">
        <v>2</v>
      </c>
      <c r="AH1297" s="50">
        <v>3</v>
      </c>
      <c r="AI1297" s="50">
        <v>1</v>
      </c>
      <c r="AJ1297" s="50">
        <v>5</v>
      </c>
      <c r="AK1297" s="46" t="s">
        <v>94</v>
      </c>
      <c r="AL1297" s="36">
        <v>2000</v>
      </c>
      <c r="AM1297" t="str">
        <f t="shared" si="83"/>
        <v>2000-3000</v>
      </c>
    </row>
    <row r="1298" spans="1:39" x14ac:dyDescent="0.2">
      <c r="A1298" s="44">
        <v>43757</v>
      </c>
      <c r="B1298" s="48">
        <v>0.31597222222222221</v>
      </c>
      <c r="C1298" s="48"/>
      <c r="D1298" s="48" t="s">
        <v>97</v>
      </c>
      <c r="E1298" s="13">
        <v>2</v>
      </c>
      <c r="F1298" s="38" t="str">
        <f>VLOOKUP(E1298,[5]Key!$A$17:$B$21,2,FALSE)</f>
        <v>Road Vehicle</v>
      </c>
      <c r="G1298" s="49">
        <v>4</v>
      </c>
      <c r="H1298" s="39" t="str">
        <f>VLOOKUP(G1298,[5]Key!$A$2:$B$14,2,FALSE)</f>
        <v>Minibus</v>
      </c>
      <c r="I1298" s="13" t="s">
        <v>109</v>
      </c>
      <c r="J1298" s="13">
        <v>3</v>
      </c>
      <c r="K1298" s="40" t="str">
        <f>VLOOKUP(J1298,[5]Key!$A$24:$B$29,2,FALSE)</f>
        <v>40-49</v>
      </c>
      <c r="L1298" s="13" t="s">
        <v>446</v>
      </c>
      <c r="M1298" s="23" t="s">
        <v>439</v>
      </c>
      <c r="N1298" s="13" t="s">
        <v>221</v>
      </c>
      <c r="O1298" s="46">
        <v>4</v>
      </c>
      <c r="P1298" s="30" t="str">
        <f>VLOOKUP(O1298,[5]Key!$E$2:$F$9,2,FALSE)</f>
        <v>Commercial</v>
      </c>
      <c r="Q1298" s="13" t="s">
        <v>153</v>
      </c>
      <c r="R1298" s="23" t="s">
        <v>153</v>
      </c>
      <c r="S1298" s="13" t="s">
        <v>221</v>
      </c>
      <c r="T1298" s="23">
        <v>4</v>
      </c>
      <c r="U1298" s="30" t="str">
        <f>VLOOKUP(T1298,[5]Key!$E$2:$F$9,2,FALSE)</f>
        <v>Commercial</v>
      </c>
      <c r="V1298" s="30" t="str">
        <f t="shared" si="80"/>
        <v>Commercial-Commercial</v>
      </c>
      <c r="W1298" s="23">
        <v>250000</v>
      </c>
      <c r="X1298" s="50">
        <v>156</v>
      </c>
      <c r="Y1298" s="50" t="str">
        <f t="shared" si="81"/>
        <v>100-200</v>
      </c>
      <c r="Z1298" s="50">
        <v>4.5</v>
      </c>
      <c r="AA1298" s="50" t="str">
        <f t="shared" si="82"/>
        <v>Over 3.5</v>
      </c>
      <c r="AB1298" s="23">
        <v>10</v>
      </c>
      <c r="AC1298" s="30" t="str">
        <f>VLOOKUP(AB1298,[5]Key!$C$20:$D$29,2,FALSE)</f>
        <v>Other</v>
      </c>
      <c r="AD1298" s="23">
        <v>2</v>
      </c>
      <c r="AE1298" s="30" t="str">
        <f>VLOOKUP(AD1298,[5]Key!$E$20:$F$24,2,FALSE)</f>
        <v>300,000-500,000</v>
      </c>
      <c r="AF1298" s="23">
        <v>1</v>
      </c>
      <c r="AG1298" s="50">
        <v>2</v>
      </c>
      <c r="AH1298" s="50">
        <v>3</v>
      </c>
      <c r="AI1298" s="50">
        <v>4</v>
      </c>
      <c r="AJ1298" s="50">
        <v>5</v>
      </c>
      <c r="AK1298" s="46" t="s">
        <v>94</v>
      </c>
      <c r="AL1298" s="36"/>
      <c r="AM1298" t="str">
        <f t="shared" si="83"/>
        <v>0-1000</v>
      </c>
    </row>
    <row r="1299" spans="1:39" x14ac:dyDescent="0.2">
      <c r="A1299" s="44">
        <v>43758</v>
      </c>
      <c r="B1299" s="48">
        <v>0.43333333333333335</v>
      </c>
      <c r="C1299" s="48"/>
      <c r="D1299" s="48" t="s">
        <v>150</v>
      </c>
      <c r="E1299" s="13">
        <v>2</v>
      </c>
      <c r="F1299" s="38" t="str">
        <f>VLOOKUP(E1299,[5]Key!$A$17:$B$21,2,FALSE)</f>
        <v>Road Vehicle</v>
      </c>
      <c r="G1299" s="49">
        <v>4</v>
      </c>
      <c r="H1299" s="39" t="str">
        <f>VLOOKUP(G1299,[5]Key!$A$2:$B$14,2,FALSE)</f>
        <v>Minibus</v>
      </c>
      <c r="I1299" s="13" t="s">
        <v>109</v>
      </c>
      <c r="J1299" s="13">
        <v>3</v>
      </c>
      <c r="K1299" s="40" t="str">
        <f>VLOOKUP(J1299,[5]Key!$A$24:$B$29,2,FALSE)</f>
        <v>40-49</v>
      </c>
      <c r="L1299" s="13" t="s">
        <v>712</v>
      </c>
      <c r="M1299" s="23" t="s">
        <v>441</v>
      </c>
      <c r="N1299" s="13" t="s">
        <v>221</v>
      </c>
      <c r="O1299" s="46">
        <v>1</v>
      </c>
      <c r="P1299" s="30" t="str">
        <f>VLOOKUP(O1299,[5]Key!$E$2:$F$9,2,FALSE)</f>
        <v>Home</v>
      </c>
      <c r="Q1299" s="13" t="s">
        <v>463</v>
      </c>
      <c r="R1299" s="23" t="s">
        <v>463</v>
      </c>
      <c r="S1299" s="13" t="s">
        <v>221</v>
      </c>
      <c r="T1299" s="23">
        <v>2</v>
      </c>
      <c r="U1299" s="30" t="str">
        <f>VLOOKUP(T1299,[5]Key!$E$2:$F$9,2,FALSE)</f>
        <v>Work</v>
      </c>
      <c r="V1299" s="30" t="str">
        <f t="shared" si="80"/>
        <v>Home-Work</v>
      </c>
      <c r="W1299" s="23">
        <v>5000</v>
      </c>
      <c r="X1299" s="50"/>
      <c r="Y1299" s="50" t="str">
        <f t="shared" si="81"/>
        <v>0-10</v>
      </c>
      <c r="Z1299" s="50">
        <v>1</v>
      </c>
      <c r="AA1299" s="50" t="str">
        <f t="shared" si="82"/>
        <v>1.0-2.0</v>
      </c>
      <c r="AB1299" s="23">
        <v>10</v>
      </c>
      <c r="AC1299" s="30" t="str">
        <f>VLOOKUP(AB1299,[5]Key!$C$20:$D$29,2,FALSE)</f>
        <v>Other</v>
      </c>
      <c r="AD1299" s="23">
        <v>2</v>
      </c>
      <c r="AE1299" s="30" t="str">
        <f>VLOOKUP(AD1299,[5]Key!$E$20:$F$24,2,FALSE)</f>
        <v>300,000-500,000</v>
      </c>
      <c r="AF1299" s="23">
        <v>5</v>
      </c>
      <c r="AG1299" s="50">
        <v>3</v>
      </c>
      <c r="AH1299" s="50">
        <v>4</v>
      </c>
      <c r="AI1299" s="50">
        <v>2</v>
      </c>
      <c r="AJ1299" s="50">
        <v>1</v>
      </c>
      <c r="AK1299" s="46" t="s">
        <v>700</v>
      </c>
      <c r="AL1299" s="36"/>
      <c r="AM1299" t="str">
        <f t="shared" si="83"/>
        <v>0-1000</v>
      </c>
    </row>
    <row r="1300" spans="1:39" x14ac:dyDescent="0.2">
      <c r="A1300" s="44">
        <v>43758</v>
      </c>
      <c r="B1300" s="48">
        <v>0.45416666666666666</v>
      </c>
      <c r="C1300" s="48"/>
      <c r="D1300" s="48" t="s">
        <v>97</v>
      </c>
      <c r="E1300" s="13">
        <v>2</v>
      </c>
      <c r="F1300" s="38" t="str">
        <f>VLOOKUP(E1300,[5]Key!$A$17:$B$21,2,FALSE)</f>
        <v>Road Vehicle</v>
      </c>
      <c r="G1300" s="49">
        <v>4</v>
      </c>
      <c r="H1300" s="39" t="str">
        <f>VLOOKUP(G1300,[5]Key!$A$2:$B$14,2,FALSE)</f>
        <v>Minibus</v>
      </c>
      <c r="I1300" s="13" t="s">
        <v>109</v>
      </c>
      <c r="J1300" s="13">
        <v>3</v>
      </c>
      <c r="K1300" s="40" t="str">
        <f>VLOOKUP(J1300,[5]Key!$A$24:$B$29,2,FALSE)</f>
        <v>40-49</v>
      </c>
      <c r="L1300" s="13" t="s">
        <v>754</v>
      </c>
      <c r="M1300" s="23" t="s">
        <v>708</v>
      </c>
      <c r="N1300" s="13" t="s">
        <v>221</v>
      </c>
      <c r="O1300" s="46">
        <v>2</v>
      </c>
      <c r="P1300" s="30" t="str">
        <f>VLOOKUP(O1300,[5]Key!$E$2:$F$9,2,FALSE)</f>
        <v>Work</v>
      </c>
      <c r="Q1300" s="13" t="s">
        <v>421</v>
      </c>
      <c r="R1300" s="23" t="s">
        <v>421</v>
      </c>
      <c r="S1300" s="13" t="s">
        <v>221</v>
      </c>
      <c r="T1300" s="23">
        <v>4</v>
      </c>
      <c r="U1300" s="30" t="str">
        <f>VLOOKUP(T1300,[5]Key!$E$2:$F$9,2,FALSE)</f>
        <v>Commercial</v>
      </c>
      <c r="V1300" s="30" t="str">
        <f t="shared" si="80"/>
        <v>Work-Commercial</v>
      </c>
      <c r="W1300" s="23">
        <v>200000</v>
      </c>
      <c r="X1300" s="50">
        <v>116</v>
      </c>
      <c r="Y1300" s="50" t="str">
        <f t="shared" si="81"/>
        <v>100-200</v>
      </c>
      <c r="Z1300" s="50">
        <v>3</v>
      </c>
      <c r="AA1300" s="50" t="str">
        <f t="shared" si="82"/>
        <v>2.0-3.5</v>
      </c>
      <c r="AB1300" s="23">
        <v>10</v>
      </c>
      <c r="AC1300" s="30" t="str">
        <f>VLOOKUP(AB1300,[5]Key!$C$20:$D$29,2,FALSE)</f>
        <v>Other</v>
      </c>
      <c r="AD1300" s="23">
        <v>1</v>
      </c>
      <c r="AE1300" s="30" t="str">
        <f>VLOOKUP(AD1300,[5]Key!$E$20:$F$24,2,FALSE)</f>
        <v>&lt;300,000</v>
      </c>
      <c r="AF1300" s="23">
        <v>4</v>
      </c>
      <c r="AG1300" s="50">
        <v>1</v>
      </c>
      <c r="AH1300" s="50">
        <v>3</v>
      </c>
      <c r="AI1300" s="50">
        <v>2</v>
      </c>
      <c r="AJ1300" s="50">
        <v>5</v>
      </c>
      <c r="AK1300" s="46" t="s">
        <v>94</v>
      </c>
      <c r="AL1300" s="36">
        <v>1000</v>
      </c>
      <c r="AM1300" t="str">
        <f t="shared" si="83"/>
        <v>1000-2000</v>
      </c>
    </row>
    <row r="1301" spans="1:39" x14ac:dyDescent="0.2">
      <c r="A1301" s="44">
        <v>43758</v>
      </c>
      <c r="B1301" s="48">
        <v>0.41041666666666665</v>
      </c>
      <c r="C1301" s="48"/>
      <c r="D1301" s="48" t="s">
        <v>97</v>
      </c>
      <c r="E1301" s="13">
        <v>2</v>
      </c>
      <c r="F1301" s="38" t="str">
        <f>VLOOKUP(E1301,[5]Key!$A$17:$B$21,2,FALSE)</f>
        <v>Road Vehicle</v>
      </c>
      <c r="G1301" s="49">
        <v>4</v>
      </c>
      <c r="H1301" s="39" t="str">
        <f>VLOOKUP(G1301,[5]Key!$A$2:$B$14,2,FALSE)</f>
        <v>Minibus</v>
      </c>
      <c r="I1301" s="13" t="s">
        <v>109</v>
      </c>
      <c r="J1301" s="13">
        <v>3</v>
      </c>
      <c r="K1301" s="40" t="str">
        <f>VLOOKUP(J1301,[5]Key!$A$24:$B$29,2,FALSE)</f>
        <v>40-49</v>
      </c>
      <c r="L1301" s="13" t="s">
        <v>446</v>
      </c>
      <c r="M1301" s="23" t="s">
        <v>439</v>
      </c>
      <c r="N1301" s="13" t="s">
        <v>221</v>
      </c>
      <c r="O1301" s="46">
        <v>2</v>
      </c>
      <c r="P1301" s="30" t="str">
        <f>VLOOKUP(O1301,[5]Key!$E$2:$F$9,2,FALSE)</f>
        <v>Work</v>
      </c>
      <c r="Q1301" s="13" t="s">
        <v>708</v>
      </c>
      <c r="R1301" s="23" t="s">
        <v>708</v>
      </c>
      <c r="S1301" s="13" t="s">
        <v>221</v>
      </c>
      <c r="T1301" s="23">
        <v>2</v>
      </c>
      <c r="U1301" s="30" t="str">
        <f>VLOOKUP(T1301,[5]Key!$E$2:$F$9,2,FALSE)</f>
        <v>Work</v>
      </c>
      <c r="V1301" s="30" t="str">
        <f t="shared" si="80"/>
        <v>Work-Work</v>
      </c>
      <c r="W1301" s="23">
        <v>50000</v>
      </c>
      <c r="X1301" s="50">
        <v>35</v>
      </c>
      <c r="Y1301" s="50" t="str">
        <f t="shared" si="81"/>
        <v>20-40</v>
      </c>
      <c r="Z1301" s="50">
        <v>1</v>
      </c>
      <c r="AA1301" s="50" t="str">
        <f t="shared" si="82"/>
        <v>1.0-2.0</v>
      </c>
      <c r="AB1301" s="23">
        <v>10</v>
      </c>
      <c r="AC1301" s="30" t="str">
        <f>VLOOKUP(AB1301,[5]Key!$C$20:$D$29,2,FALSE)</f>
        <v>Other</v>
      </c>
      <c r="AD1301" s="23">
        <v>1</v>
      </c>
      <c r="AE1301" s="30" t="str">
        <f>VLOOKUP(AD1301,[5]Key!$E$20:$F$24,2,FALSE)</f>
        <v>&lt;300,000</v>
      </c>
      <c r="AF1301" s="23">
        <v>2</v>
      </c>
      <c r="AG1301" s="50">
        <v>1</v>
      </c>
      <c r="AH1301" s="50">
        <v>3</v>
      </c>
      <c r="AI1301" s="50">
        <v>4</v>
      </c>
      <c r="AJ1301" s="50">
        <v>5</v>
      </c>
      <c r="AK1301" s="46" t="s">
        <v>94</v>
      </c>
      <c r="AL1301" s="36">
        <v>100</v>
      </c>
      <c r="AM1301" t="str">
        <f t="shared" si="83"/>
        <v>0-1000</v>
      </c>
    </row>
    <row r="1302" spans="1:39" x14ac:dyDescent="0.2">
      <c r="A1302" s="44">
        <v>43758</v>
      </c>
      <c r="B1302" s="48">
        <v>0.32708333333333334</v>
      </c>
      <c r="C1302" s="48"/>
      <c r="D1302" s="48" t="s">
        <v>97</v>
      </c>
      <c r="E1302" s="13">
        <v>2</v>
      </c>
      <c r="F1302" s="38" t="str">
        <f>VLOOKUP(E1302,[5]Key!$A$17:$B$21,2,FALSE)</f>
        <v>Road Vehicle</v>
      </c>
      <c r="G1302" s="49">
        <v>4</v>
      </c>
      <c r="H1302" s="39" t="str">
        <f>VLOOKUP(G1302,[5]Key!$A$2:$B$14,2,FALSE)</f>
        <v>Minibus</v>
      </c>
      <c r="I1302" s="13" t="s">
        <v>109</v>
      </c>
      <c r="J1302" s="13">
        <v>3</v>
      </c>
      <c r="K1302" s="40" t="str">
        <f>VLOOKUP(J1302,[5]Key!$A$24:$B$29,2,FALSE)</f>
        <v>40-49</v>
      </c>
      <c r="L1302" s="13" t="s">
        <v>446</v>
      </c>
      <c r="M1302" s="23" t="s">
        <v>439</v>
      </c>
      <c r="N1302" s="13" t="s">
        <v>221</v>
      </c>
      <c r="O1302" s="46">
        <v>2</v>
      </c>
      <c r="P1302" s="30" t="str">
        <f>VLOOKUP(O1302,[5]Key!$E$2:$F$9,2,FALSE)</f>
        <v>Work</v>
      </c>
      <c r="Q1302" s="13" t="s">
        <v>719</v>
      </c>
      <c r="R1302" s="23" t="s">
        <v>421</v>
      </c>
      <c r="S1302" s="13" t="s">
        <v>221</v>
      </c>
      <c r="T1302" s="23">
        <v>2</v>
      </c>
      <c r="U1302" s="30" t="str">
        <f>VLOOKUP(T1302,[5]Key!$E$2:$F$9,2,FALSE)</f>
        <v>Work</v>
      </c>
      <c r="V1302" s="30" t="str">
        <f t="shared" si="80"/>
        <v>Work-Work</v>
      </c>
      <c r="W1302" s="23">
        <v>60000</v>
      </c>
      <c r="X1302" s="50">
        <v>90</v>
      </c>
      <c r="Y1302" s="50" t="str">
        <f t="shared" si="81"/>
        <v>70-100</v>
      </c>
      <c r="Z1302" s="50">
        <v>1</v>
      </c>
      <c r="AA1302" s="50" t="str">
        <f t="shared" si="82"/>
        <v>1.0-2.0</v>
      </c>
      <c r="AB1302" s="23">
        <v>10</v>
      </c>
      <c r="AC1302" s="30" t="str">
        <f>VLOOKUP(AB1302,[5]Key!$C$20:$D$29,2,FALSE)</f>
        <v>Other</v>
      </c>
      <c r="AD1302" s="23">
        <v>1</v>
      </c>
      <c r="AE1302" s="30" t="str">
        <f>VLOOKUP(AD1302,[5]Key!$E$20:$F$24,2,FALSE)</f>
        <v>&lt;300,000</v>
      </c>
      <c r="AF1302" s="23">
        <v>4</v>
      </c>
      <c r="AG1302" s="50">
        <v>1</v>
      </c>
      <c r="AH1302" s="50">
        <v>3</v>
      </c>
      <c r="AI1302" s="50">
        <v>5</v>
      </c>
      <c r="AJ1302" s="50">
        <v>2</v>
      </c>
      <c r="AK1302" s="46" t="s">
        <v>94</v>
      </c>
      <c r="AL1302" s="36">
        <v>200</v>
      </c>
      <c r="AM1302" t="str">
        <f t="shared" si="83"/>
        <v>0-1000</v>
      </c>
    </row>
    <row r="1303" spans="1:39" x14ac:dyDescent="0.2">
      <c r="A1303" s="44">
        <v>43757</v>
      </c>
      <c r="B1303" s="48">
        <v>0.5854166666666667</v>
      </c>
      <c r="C1303" s="48"/>
      <c r="D1303" s="48" t="s">
        <v>150</v>
      </c>
      <c r="E1303" s="13">
        <v>2</v>
      </c>
      <c r="F1303" s="38" t="str">
        <f>VLOOKUP(E1303,[5]Key!$A$17:$B$21,2,FALSE)</f>
        <v>Road Vehicle</v>
      </c>
      <c r="G1303" s="49">
        <v>3</v>
      </c>
      <c r="H1303" s="39" t="str">
        <f>VLOOKUP(G1303,[5]Key!$A$2:$B$14,2,FALSE)</f>
        <v>Pickups</v>
      </c>
      <c r="I1303" s="13" t="s">
        <v>156</v>
      </c>
      <c r="J1303" s="13">
        <v>3</v>
      </c>
      <c r="K1303" s="40" t="str">
        <f>VLOOKUP(J1303,[5]Key!$A$24:$B$29,2,FALSE)</f>
        <v>40-49</v>
      </c>
      <c r="L1303" s="13" t="s">
        <v>717</v>
      </c>
      <c r="M1303" s="23" t="s">
        <v>421</v>
      </c>
      <c r="N1303" s="13" t="s">
        <v>221</v>
      </c>
      <c r="O1303" s="46">
        <v>2</v>
      </c>
      <c r="P1303" s="30" t="str">
        <f>VLOOKUP(O1303,[5]Key!$E$2:$F$9,2,FALSE)</f>
        <v>Work</v>
      </c>
      <c r="Q1303" s="13" t="s">
        <v>446</v>
      </c>
      <c r="R1303" s="23" t="s">
        <v>439</v>
      </c>
      <c r="S1303" s="13" t="s">
        <v>221</v>
      </c>
      <c r="T1303" s="23">
        <v>6</v>
      </c>
      <c r="U1303" s="30" t="str">
        <f>VLOOKUP(T1303,[5]Key!$E$2:$F$9,2,FALSE)</f>
        <v>Leisure/Social</v>
      </c>
      <c r="V1303" s="30" t="str">
        <f t="shared" si="80"/>
        <v>Work-Leisure/Social</v>
      </c>
      <c r="W1303" s="23">
        <v>7000</v>
      </c>
      <c r="X1303" s="50"/>
      <c r="Y1303" s="50" t="str">
        <f t="shared" si="81"/>
        <v>0-10</v>
      </c>
      <c r="Z1303" s="50">
        <v>2</v>
      </c>
      <c r="AA1303" s="50" t="str">
        <f t="shared" si="82"/>
        <v>2.0-3.5</v>
      </c>
      <c r="AB1303" s="23">
        <v>6</v>
      </c>
      <c r="AC1303" s="30" t="str">
        <f>VLOOKUP(AB1303,[5]Key!$C$20:$D$29,2,FALSE)</f>
        <v>Businessman</v>
      </c>
      <c r="AD1303" s="23">
        <v>2</v>
      </c>
      <c r="AE1303" s="30" t="str">
        <f>VLOOKUP(AD1303,[5]Key!$E$20:$F$24,2,FALSE)</f>
        <v>300,000-500,000</v>
      </c>
      <c r="AF1303" s="23">
        <v>1</v>
      </c>
      <c r="AG1303" s="50">
        <v>2</v>
      </c>
      <c r="AH1303" s="50">
        <v>4</v>
      </c>
      <c r="AI1303" s="50">
        <v>3</v>
      </c>
      <c r="AJ1303" s="50">
        <v>5</v>
      </c>
      <c r="AK1303" s="46" t="s">
        <v>700</v>
      </c>
      <c r="AL1303" s="36"/>
      <c r="AM1303" t="str">
        <f t="shared" si="83"/>
        <v>0-1000</v>
      </c>
    </row>
    <row r="1304" spans="1:39" x14ac:dyDescent="0.2">
      <c r="A1304" s="44">
        <v>43757</v>
      </c>
      <c r="B1304" s="48">
        <v>0.41666666666666669</v>
      </c>
      <c r="C1304" s="48"/>
      <c r="D1304" s="48" t="s">
        <v>97</v>
      </c>
      <c r="E1304" s="13">
        <v>2</v>
      </c>
      <c r="F1304" s="38" t="str">
        <f>VLOOKUP(E1304,[5]Key!$A$17:$B$21,2,FALSE)</f>
        <v>Road Vehicle</v>
      </c>
      <c r="G1304" s="49">
        <v>2</v>
      </c>
      <c r="H1304" s="39" t="str">
        <f>VLOOKUP(G1304,[5]Key!$A$2:$B$14,2,FALSE)</f>
        <v>Station Wagon</v>
      </c>
      <c r="I1304" s="13" t="s">
        <v>156</v>
      </c>
      <c r="J1304" s="13">
        <v>3</v>
      </c>
      <c r="K1304" s="40" t="str">
        <f>VLOOKUP(J1304,[5]Key!$A$24:$B$29,2,FALSE)</f>
        <v>40-49</v>
      </c>
      <c r="L1304" s="13" t="s">
        <v>806</v>
      </c>
      <c r="M1304" s="23" t="s">
        <v>439</v>
      </c>
      <c r="N1304" s="13" t="s">
        <v>221</v>
      </c>
      <c r="O1304" s="46">
        <v>4</v>
      </c>
      <c r="P1304" s="30" t="str">
        <f>VLOOKUP(O1304,[5]Key!$E$2:$F$9,2,FALSE)</f>
        <v>Commercial</v>
      </c>
      <c r="Q1304" s="13" t="s">
        <v>452</v>
      </c>
      <c r="R1304" s="23" t="s">
        <v>452</v>
      </c>
      <c r="S1304" s="13" t="s">
        <v>221</v>
      </c>
      <c r="T1304" s="23">
        <v>4</v>
      </c>
      <c r="U1304" s="30" t="str">
        <f>VLOOKUP(T1304,[5]Key!$E$2:$F$9,2,FALSE)</f>
        <v>Commercial</v>
      </c>
      <c r="V1304" s="30" t="str">
        <f t="shared" si="80"/>
        <v>Commercial-Commercial</v>
      </c>
      <c r="W1304" s="23">
        <v>60000</v>
      </c>
      <c r="X1304" s="50">
        <v>95</v>
      </c>
      <c r="Y1304" s="50" t="str">
        <f t="shared" si="81"/>
        <v>70-100</v>
      </c>
      <c r="Z1304" s="50">
        <v>1.5</v>
      </c>
      <c r="AA1304" s="50" t="str">
        <f t="shared" si="82"/>
        <v>1.0-2.0</v>
      </c>
      <c r="AB1304" s="23">
        <v>4</v>
      </c>
      <c r="AC1304" s="30" t="str">
        <f>VLOOKUP(AB1304,[5]Key!$C$20:$D$29,2,FALSE)</f>
        <v>Office Worker</v>
      </c>
      <c r="AD1304" s="23">
        <v>2</v>
      </c>
      <c r="AE1304" s="30" t="str">
        <f>VLOOKUP(AD1304,[5]Key!$E$20:$F$24,2,FALSE)</f>
        <v>300,000-500,000</v>
      </c>
      <c r="AF1304" s="23"/>
      <c r="AG1304" s="50"/>
      <c r="AH1304" s="50"/>
      <c r="AI1304" s="50"/>
      <c r="AJ1304" s="50"/>
      <c r="AK1304" s="46" t="s">
        <v>94</v>
      </c>
      <c r="AL1304" s="36"/>
      <c r="AM1304" t="str">
        <f t="shared" si="83"/>
        <v>0-1000</v>
      </c>
    </row>
    <row r="1305" spans="1:39" x14ac:dyDescent="0.2">
      <c r="A1305" s="44">
        <v>43758</v>
      </c>
      <c r="B1305" s="48">
        <v>0.63194444444444442</v>
      </c>
      <c r="C1305" s="48"/>
      <c r="D1305" s="48" t="s">
        <v>150</v>
      </c>
      <c r="E1305" s="13">
        <v>2</v>
      </c>
      <c r="F1305" s="38" t="str">
        <f>VLOOKUP(E1305,[5]Key!$A$17:$B$21,2,FALSE)</f>
        <v>Road Vehicle</v>
      </c>
      <c r="G1305" s="49">
        <v>2</v>
      </c>
      <c r="H1305" s="39" t="str">
        <f>VLOOKUP(G1305,[5]Key!$A$2:$B$14,2,FALSE)</f>
        <v>Station Wagon</v>
      </c>
      <c r="I1305" s="13" t="s">
        <v>156</v>
      </c>
      <c r="J1305" s="13">
        <v>3</v>
      </c>
      <c r="K1305" s="40" t="str">
        <f>VLOOKUP(J1305,[5]Key!$A$24:$B$29,2,FALSE)</f>
        <v>40-49</v>
      </c>
      <c r="L1305" s="13" t="s">
        <v>452</v>
      </c>
      <c r="M1305" s="23" t="s">
        <v>452</v>
      </c>
      <c r="N1305" s="13" t="s">
        <v>221</v>
      </c>
      <c r="O1305" s="46">
        <v>1</v>
      </c>
      <c r="P1305" s="30" t="str">
        <f>VLOOKUP(O1305,[5]Key!$E$2:$F$9,2,FALSE)</f>
        <v>Home</v>
      </c>
      <c r="Q1305" s="13" t="s">
        <v>441</v>
      </c>
      <c r="R1305" s="23" t="s">
        <v>441</v>
      </c>
      <c r="S1305" s="13" t="s">
        <v>221</v>
      </c>
      <c r="T1305" s="23">
        <v>6</v>
      </c>
      <c r="U1305" s="30" t="str">
        <f>VLOOKUP(T1305,[5]Key!$E$2:$F$9,2,FALSE)</f>
        <v>Leisure/Social</v>
      </c>
      <c r="V1305" s="30" t="str">
        <f t="shared" si="80"/>
        <v>Home-Leisure/Social</v>
      </c>
      <c r="W1305" s="23">
        <v>10000</v>
      </c>
      <c r="X1305" s="50"/>
      <c r="Y1305" s="50" t="str">
        <f t="shared" si="81"/>
        <v>0-10</v>
      </c>
      <c r="Z1305" s="50">
        <v>1.5</v>
      </c>
      <c r="AA1305" s="50" t="str">
        <f t="shared" si="82"/>
        <v>1.0-2.0</v>
      </c>
      <c r="AB1305" s="23">
        <v>6</v>
      </c>
      <c r="AC1305" s="30" t="str">
        <f>VLOOKUP(AB1305,[5]Key!$C$20:$D$29,2,FALSE)</f>
        <v>Businessman</v>
      </c>
      <c r="AD1305" s="23">
        <v>1</v>
      </c>
      <c r="AE1305" s="30" t="str">
        <f>VLOOKUP(AD1305,[5]Key!$E$20:$F$24,2,FALSE)</f>
        <v>&lt;300,000</v>
      </c>
      <c r="AF1305" s="23">
        <v>2</v>
      </c>
      <c r="AG1305" s="50">
        <v>1</v>
      </c>
      <c r="AH1305" s="50">
        <v>3</v>
      </c>
      <c r="AI1305" s="50">
        <v>4</v>
      </c>
      <c r="AJ1305" s="50">
        <v>5</v>
      </c>
      <c r="AK1305" s="46" t="s">
        <v>94</v>
      </c>
      <c r="AL1305" s="36"/>
      <c r="AM1305" t="str">
        <f t="shared" si="83"/>
        <v>0-1000</v>
      </c>
    </row>
    <row r="1306" spans="1:39" x14ac:dyDescent="0.2">
      <c r="A1306" s="44">
        <v>43758</v>
      </c>
      <c r="B1306" s="48">
        <v>0.40416666666666662</v>
      </c>
      <c r="C1306" s="48"/>
      <c r="D1306" s="48" t="s">
        <v>97</v>
      </c>
      <c r="E1306" s="13">
        <v>2</v>
      </c>
      <c r="F1306" s="38" t="str">
        <f>VLOOKUP(E1306,[5]Key!$A$17:$B$21,2,FALSE)</f>
        <v>Road Vehicle</v>
      </c>
      <c r="G1306" s="49">
        <v>2</v>
      </c>
      <c r="H1306" s="39" t="str">
        <f>VLOOKUP(G1306,[5]Key!$A$2:$B$14,2,FALSE)</f>
        <v>Station Wagon</v>
      </c>
      <c r="I1306" s="13" t="s">
        <v>156</v>
      </c>
      <c r="J1306" s="13">
        <v>3</v>
      </c>
      <c r="K1306" s="40" t="str">
        <f>VLOOKUP(J1306,[5]Key!$A$24:$B$29,2,FALSE)</f>
        <v>40-49</v>
      </c>
      <c r="L1306" s="13" t="s">
        <v>699</v>
      </c>
      <c r="M1306" s="23" t="s">
        <v>439</v>
      </c>
      <c r="N1306" s="13" t="s">
        <v>221</v>
      </c>
      <c r="O1306" s="46">
        <v>1</v>
      </c>
      <c r="P1306" s="30" t="str">
        <f>VLOOKUP(O1306,[5]Key!$E$2:$F$9,2,FALSE)</f>
        <v>Home</v>
      </c>
      <c r="Q1306" s="13" t="s">
        <v>726</v>
      </c>
      <c r="R1306" s="23" t="s">
        <v>441</v>
      </c>
      <c r="S1306" s="13" t="s">
        <v>221</v>
      </c>
      <c r="T1306" s="23">
        <v>8</v>
      </c>
      <c r="U1306" s="30" t="str">
        <f>VLOOKUP(T1306,[5]Key!$E$2:$F$9,2,FALSE)</f>
        <v>Others</v>
      </c>
      <c r="V1306" s="30" t="str">
        <f t="shared" si="80"/>
        <v>Home-Others</v>
      </c>
      <c r="W1306" s="23">
        <v>30000</v>
      </c>
      <c r="X1306" s="50">
        <v>10</v>
      </c>
      <c r="Y1306" s="50" t="str">
        <f t="shared" si="81"/>
        <v>10-20</v>
      </c>
      <c r="Z1306" s="50">
        <v>0.7</v>
      </c>
      <c r="AA1306" s="50" t="str">
        <f t="shared" si="82"/>
        <v>0.5-1.0</v>
      </c>
      <c r="AB1306" s="23">
        <v>6</v>
      </c>
      <c r="AC1306" s="30" t="str">
        <f>VLOOKUP(AB1306,[5]Key!$C$20:$D$29,2,FALSE)</f>
        <v>Businessman</v>
      </c>
      <c r="AD1306" s="23">
        <v>2</v>
      </c>
      <c r="AE1306" s="30" t="str">
        <f>VLOOKUP(AD1306,[5]Key!$E$20:$F$24,2,FALSE)</f>
        <v>300,000-500,000</v>
      </c>
      <c r="AF1306" s="23">
        <v>2</v>
      </c>
      <c r="AG1306" s="50">
        <v>4</v>
      </c>
      <c r="AH1306" s="50">
        <v>5</v>
      </c>
      <c r="AI1306" s="50">
        <v>3</v>
      </c>
      <c r="AJ1306" s="50">
        <v>1</v>
      </c>
      <c r="AK1306" s="46" t="s">
        <v>94</v>
      </c>
      <c r="AL1306" s="36"/>
      <c r="AM1306" t="str">
        <f t="shared" si="83"/>
        <v>0-1000</v>
      </c>
    </row>
    <row r="1307" spans="1:39" x14ac:dyDescent="0.2">
      <c r="A1307" s="44">
        <v>43758</v>
      </c>
      <c r="B1307" s="48">
        <v>0.40833333333333338</v>
      </c>
      <c r="C1307" s="48"/>
      <c r="D1307" s="48" t="s">
        <v>97</v>
      </c>
      <c r="E1307" s="13">
        <v>2</v>
      </c>
      <c r="F1307" s="38" t="str">
        <f>VLOOKUP(E1307,[5]Key!$A$17:$B$21,2,FALSE)</f>
        <v>Road Vehicle</v>
      </c>
      <c r="G1307" s="49">
        <v>2</v>
      </c>
      <c r="H1307" s="39" t="str">
        <f>VLOOKUP(G1307,[5]Key!$A$2:$B$14,2,FALSE)</f>
        <v>Station Wagon</v>
      </c>
      <c r="I1307" s="13" t="s">
        <v>156</v>
      </c>
      <c r="J1307" s="13">
        <v>3</v>
      </c>
      <c r="K1307" s="40" t="str">
        <f>VLOOKUP(J1307,[5]Key!$A$24:$B$29,2,FALSE)</f>
        <v>40-49</v>
      </c>
      <c r="L1307" s="13" t="s">
        <v>727</v>
      </c>
      <c r="M1307" s="23" t="s">
        <v>439</v>
      </c>
      <c r="N1307" s="13" t="s">
        <v>221</v>
      </c>
      <c r="O1307" s="46">
        <v>1</v>
      </c>
      <c r="P1307" s="30" t="str">
        <f>VLOOKUP(O1307,[5]Key!$E$2:$F$9,2,FALSE)</f>
        <v>Home</v>
      </c>
      <c r="Q1307" s="13" t="s">
        <v>726</v>
      </c>
      <c r="R1307" s="23" t="s">
        <v>441</v>
      </c>
      <c r="S1307" s="13" t="s">
        <v>221</v>
      </c>
      <c r="T1307" s="23">
        <v>8</v>
      </c>
      <c r="U1307" s="30" t="str">
        <f>VLOOKUP(T1307,[5]Key!$E$2:$F$9,2,FALSE)</f>
        <v>Others</v>
      </c>
      <c r="V1307" s="30" t="str">
        <f t="shared" si="80"/>
        <v>Home-Others</v>
      </c>
      <c r="W1307" s="23">
        <v>19000</v>
      </c>
      <c r="X1307" s="50">
        <v>10</v>
      </c>
      <c r="Y1307" s="50" t="str">
        <f t="shared" si="81"/>
        <v>10-20</v>
      </c>
      <c r="Z1307" s="50">
        <v>0.8</v>
      </c>
      <c r="AA1307" s="50" t="str">
        <f t="shared" si="82"/>
        <v>0.5-1.0</v>
      </c>
      <c r="AB1307" s="23">
        <v>6</v>
      </c>
      <c r="AC1307" s="30" t="str">
        <f>VLOOKUP(AB1307,[5]Key!$C$20:$D$29,2,FALSE)</f>
        <v>Businessman</v>
      </c>
      <c r="AD1307" s="23">
        <v>4</v>
      </c>
      <c r="AE1307" s="30" t="str">
        <f>VLOOKUP(AD1307,[5]Key!$E$20:$F$24,2,FALSE)</f>
        <v>750,000-1,000,000</v>
      </c>
      <c r="AF1307" s="23">
        <v>2</v>
      </c>
      <c r="AG1307" s="50">
        <v>1</v>
      </c>
      <c r="AH1307" s="50">
        <v>5</v>
      </c>
      <c r="AI1307" s="50">
        <v>3</v>
      </c>
      <c r="AJ1307" s="50">
        <v>4</v>
      </c>
      <c r="AK1307" s="46" t="s">
        <v>94</v>
      </c>
      <c r="AL1307" s="36"/>
      <c r="AM1307" t="str">
        <f t="shared" si="83"/>
        <v>0-1000</v>
      </c>
    </row>
    <row r="1308" spans="1:39" x14ac:dyDescent="0.2">
      <c r="A1308" s="44">
        <v>43757</v>
      </c>
      <c r="B1308" s="48">
        <v>0.3</v>
      </c>
      <c r="C1308" s="48"/>
      <c r="D1308" s="48" t="s">
        <v>150</v>
      </c>
      <c r="E1308" s="13">
        <v>2</v>
      </c>
      <c r="F1308" s="38" t="str">
        <f>VLOOKUP(E1308,[5]Key!$A$17:$B$21,2,FALSE)</f>
        <v>Road Vehicle</v>
      </c>
      <c r="G1308" s="49">
        <v>2</v>
      </c>
      <c r="H1308" s="39" t="str">
        <f>VLOOKUP(G1308,[5]Key!$A$2:$B$14,2,FALSE)</f>
        <v>Station Wagon</v>
      </c>
      <c r="I1308" s="13" t="s">
        <v>109</v>
      </c>
      <c r="J1308" s="13">
        <v>3</v>
      </c>
      <c r="K1308" s="40" t="str">
        <f>VLOOKUP(J1308,[5]Key!$A$24:$B$29,2,FALSE)</f>
        <v>40-49</v>
      </c>
      <c r="L1308" s="13" t="s">
        <v>452</v>
      </c>
      <c r="M1308" s="23" t="s">
        <v>452</v>
      </c>
      <c r="N1308" s="13" t="s">
        <v>221</v>
      </c>
      <c r="O1308" s="46">
        <v>4</v>
      </c>
      <c r="P1308" s="30" t="str">
        <f>VLOOKUP(O1308,[5]Key!$E$2:$F$9,2,FALSE)</f>
        <v>Commercial</v>
      </c>
      <c r="Q1308" s="13" t="s">
        <v>446</v>
      </c>
      <c r="R1308" s="23" t="s">
        <v>439</v>
      </c>
      <c r="S1308" s="13" t="s">
        <v>221</v>
      </c>
      <c r="T1308" s="23">
        <v>4</v>
      </c>
      <c r="U1308" s="30" t="str">
        <f>VLOOKUP(T1308,[5]Key!$E$2:$F$9,2,FALSE)</f>
        <v>Commercial</v>
      </c>
      <c r="V1308" s="30" t="str">
        <f t="shared" si="80"/>
        <v>Commercial-Commercial</v>
      </c>
      <c r="W1308" s="23">
        <v>8000</v>
      </c>
      <c r="X1308" s="50">
        <v>60</v>
      </c>
      <c r="Y1308" s="50" t="str">
        <f t="shared" si="81"/>
        <v>40-70</v>
      </c>
      <c r="Z1308" s="50">
        <v>1</v>
      </c>
      <c r="AA1308" s="50" t="str">
        <f t="shared" si="82"/>
        <v>1.0-2.0</v>
      </c>
      <c r="AB1308" s="23">
        <v>2</v>
      </c>
      <c r="AC1308" s="30" t="str">
        <f>VLOOKUP(AB1308,[5]Key!$C$20:$D$29,2,FALSE)</f>
        <v>Manual Labour</v>
      </c>
      <c r="AD1308" s="23">
        <v>1</v>
      </c>
      <c r="AE1308" s="30" t="str">
        <f>VLOOKUP(AD1308,[5]Key!$E$20:$F$24,2,FALSE)</f>
        <v>&lt;300,000</v>
      </c>
      <c r="AF1308" s="23">
        <v>4</v>
      </c>
      <c r="AG1308" s="50">
        <v>1</v>
      </c>
      <c r="AH1308" s="50">
        <v>3</v>
      </c>
      <c r="AI1308" s="50">
        <v>2</v>
      </c>
      <c r="AJ1308" s="50">
        <v>5</v>
      </c>
      <c r="AK1308" s="46" t="s">
        <v>94</v>
      </c>
      <c r="AL1308" s="36">
        <v>5000</v>
      </c>
      <c r="AM1308" t="str">
        <f t="shared" si="83"/>
        <v>5000-10000</v>
      </c>
    </row>
    <row r="1309" spans="1:39" x14ac:dyDescent="0.2">
      <c r="A1309" s="44">
        <v>43757</v>
      </c>
      <c r="B1309" s="48">
        <v>0.50694444444444442</v>
      </c>
      <c r="C1309" s="48"/>
      <c r="D1309" s="48" t="s">
        <v>97</v>
      </c>
      <c r="E1309" s="13">
        <v>2</v>
      </c>
      <c r="F1309" s="38" t="str">
        <f>VLOOKUP(E1309,[5]Key!$A$17:$B$21,2,FALSE)</f>
        <v>Road Vehicle</v>
      </c>
      <c r="G1309" s="49">
        <v>2</v>
      </c>
      <c r="H1309" s="39" t="str">
        <f>VLOOKUP(G1309,[5]Key!$A$2:$B$14,2,FALSE)</f>
        <v>Station Wagon</v>
      </c>
      <c r="I1309" s="13" t="s">
        <v>109</v>
      </c>
      <c r="J1309" s="13">
        <v>3</v>
      </c>
      <c r="K1309" s="40" t="str">
        <f>VLOOKUP(J1309,[5]Key!$A$24:$B$29,2,FALSE)</f>
        <v>40-49</v>
      </c>
      <c r="L1309" s="13" t="s">
        <v>446</v>
      </c>
      <c r="M1309" s="23" t="s">
        <v>439</v>
      </c>
      <c r="N1309" s="13" t="s">
        <v>221</v>
      </c>
      <c r="O1309" s="46">
        <v>4</v>
      </c>
      <c r="P1309" s="30" t="str">
        <f>VLOOKUP(O1309,[5]Key!$E$2:$F$9,2,FALSE)</f>
        <v>Commercial</v>
      </c>
      <c r="Q1309" s="13" t="s">
        <v>455</v>
      </c>
      <c r="R1309" s="23" t="s">
        <v>455</v>
      </c>
      <c r="S1309" s="13" t="s">
        <v>221</v>
      </c>
      <c r="T1309" s="23">
        <v>4</v>
      </c>
      <c r="U1309" s="30" t="str">
        <f>VLOOKUP(T1309,[5]Key!$E$2:$F$9,2,FALSE)</f>
        <v>Commercial</v>
      </c>
      <c r="V1309" s="30" t="str">
        <f t="shared" si="80"/>
        <v>Commercial-Commercial</v>
      </c>
      <c r="W1309" s="23">
        <v>1200000</v>
      </c>
      <c r="X1309" s="50">
        <v>170</v>
      </c>
      <c r="Y1309" s="50" t="str">
        <f t="shared" si="81"/>
        <v>100-200</v>
      </c>
      <c r="Z1309" s="50">
        <v>3</v>
      </c>
      <c r="AA1309" s="50" t="str">
        <f t="shared" si="82"/>
        <v>2.0-3.5</v>
      </c>
      <c r="AB1309" s="23">
        <v>6</v>
      </c>
      <c r="AC1309" s="30" t="str">
        <f>VLOOKUP(AB1309,[5]Key!$C$20:$D$29,2,FALSE)</f>
        <v>Businessman</v>
      </c>
      <c r="AD1309" s="23">
        <v>4</v>
      </c>
      <c r="AE1309" s="30" t="str">
        <f>VLOOKUP(AD1309,[5]Key!$E$20:$F$24,2,FALSE)</f>
        <v>750,000-1,000,000</v>
      </c>
      <c r="AF1309" s="23">
        <v>5</v>
      </c>
      <c r="AG1309" s="50">
        <v>2</v>
      </c>
      <c r="AH1309" s="50">
        <v>3</v>
      </c>
      <c r="AI1309" s="50">
        <v>1</v>
      </c>
      <c r="AJ1309" s="50">
        <v>4</v>
      </c>
      <c r="AK1309" s="46" t="s">
        <v>94</v>
      </c>
      <c r="AL1309" s="36">
        <v>1000</v>
      </c>
      <c r="AM1309" t="str">
        <f t="shared" si="83"/>
        <v>1000-2000</v>
      </c>
    </row>
    <row r="1310" spans="1:39" x14ac:dyDescent="0.2">
      <c r="A1310" s="44">
        <v>43757</v>
      </c>
      <c r="B1310" s="48"/>
      <c r="C1310" s="48"/>
      <c r="D1310" s="48" t="s">
        <v>97</v>
      </c>
      <c r="E1310" s="13">
        <v>2</v>
      </c>
      <c r="F1310" s="38" t="str">
        <f>VLOOKUP(E1310,[5]Key!$A$17:$B$21,2,FALSE)</f>
        <v>Road Vehicle</v>
      </c>
      <c r="G1310" s="49">
        <v>2</v>
      </c>
      <c r="H1310" s="39" t="str">
        <f>VLOOKUP(G1310,[5]Key!$A$2:$B$14,2,FALSE)</f>
        <v>Station Wagon</v>
      </c>
      <c r="I1310" s="13" t="s">
        <v>109</v>
      </c>
      <c r="J1310" s="13">
        <v>3</v>
      </c>
      <c r="K1310" s="40" t="str">
        <f>VLOOKUP(J1310,[5]Key!$A$24:$B$29,2,FALSE)</f>
        <v>40-49</v>
      </c>
      <c r="L1310" s="13" t="s">
        <v>699</v>
      </c>
      <c r="M1310" s="23" t="s">
        <v>439</v>
      </c>
      <c r="N1310" s="13" t="s">
        <v>221</v>
      </c>
      <c r="O1310" s="46">
        <v>2</v>
      </c>
      <c r="P1310" s="30" t="str">
        <f>VLOOKUP(O1310,[5]Key!$E$2:$F$9,2,FALSE)</f>
        <v>Work</v>
      </c>
      <c r="Q1310" s="13" t="s">
        <v>734</v>
      </c>
      <c r="R1310" s="23" t="s">
        <v>488</v>
      </c>
      <c r="S1310" s="13" t="s">
        <v>221</v>
      </c>
      <c r="T1310" s="23">
        <v>1</v>
      </c>
      <c r="U1310" s="30" t="str">
        <f>VLOOKUP(T1310,[5]Key!$E$2:$F$9,2,FALSE)</f>
        <v>Home</v>
      </c>
      <c r="V1310" s="30" t="str">
        <f t="shared" si="80"/>
        <v>Work-Home</v>
      </c>
      <c r="W1310" s="23">
        <v>10000</v>
      </c>
      <c r="X1310" s="50">
        <v>15</v>
      </c>
      <c r="Y1310" s="50" t="str">
        <f t="shared" si="81"/>
        <v>10-20</v>
      </c>
      <c r="Z1310" s="50">
        <v>1.5</v>
      </c>
      <c r="AA1310" s="50" t="str">
        <f t="shared" si="82"/>
        <v>1.0-2.0</v>
      </c>
      <c r="AB1310" s="23">
        <v>10</v>
      </c>
      <c r="AC1310" s="30" t="str">
        <f>VLOOKUP(AB1310,[5]Key!$C$20:$D$29,2,FALSE)</f>
        <v>Other</v>
      </c>
      <c r="AD1310" s="23">
        <v>2</v>
      </c>
      <c r="AE1310" s="30" t="str">
        <f>VLOOKUP(AD1310,[5]Key!$E$20:$F$24,2,FALSE)</f>
        <v>300,000-500,000</v>
      </c>
      <c r="AF1310" s="23">
        <v>5</v>
      </c>
      <c r="AG1310" s="50">
        <v>1</v>
      </c>
      <c r="AH1310" s="50">
        <v>3</v>
      </c>
      <c r="AI1310" s="50">
        <v>5</v>
      </c>
      <c r="AJ1310" s="50">
        <v>4</v>
      </c>
      <c r="AK1310" s="46" t="s">
        <v>94</v>
      </c>
      <c r="AL1310" s="36">
        <v>500</v>
      </c>
      <c r="AM1310" t="str">
        <f t="shared" si="83"/>
        <v>0-1000</v>
      </c>
    </row>
    <row r="1311" spans="1:39" x14ac:dyDescent="0.2">
      <c r="A1311" s="44">
        <v>43757</v>
      </c>
      <c r="B1311" s="48"/>
      <c r="C1311" s="48"/>
      <c r="D1311" s="48" t="s">
        <v>97</v>
      </c>
      <c r="E1311" s="13">
        <v>2</v>
      </c>
      <c r="F1311" s="38" t="str">
        <f>VLOOKUP(E1311,[5]Key!$A$17:$B$21,2,FALSE)</f>
        <v>Road Vehicle</v>
      </c>
      <c r="G1311" s="49">
        <v>2</v>
      </c>
      <c r="H1311" s="39" t="str">
        <f>VLOOKUP(G1311,[5]Key!$A$2:$B$14,2,FALSE)</f>
        <v>Station Wagon</v>
      </c>
      <c r="I1311" s="13" t="s">
        <v>109</v>
      </c>
      <c r="J1311" s="13">
        <v>3</v>
      </c>
      <c r="K1311" s="40" t="str">
        <f>VLOOKUP(J1311,[5]Key!$A$24:$B$29,2,FALSE)</f>
        <v>40-49</v>
      </c>
      <c r="L1311" s="13" t="s">
        <v>446</v>
      </c>
      <c r="M1311" s="23" t="s">
        <v>439</v>
      </c>
      <c r="N1311" s="13" t="s">
        <v>221</v>
      </c>
      <c r="O1311" s="46">
        <v>4</v>
      </c>
      <c r="P1311" s="30" t="str">
        <f>VLOOKUP(O1311,[5]Key!$E$2:$F$9,2,FALSE)</f>
        <v>Commercial</v>
      </c>
      <c r="Q1311" s="13" t="s">
        <v>736</v>
      </c>
      <c r="R1311" s="23" t="s">
        <v>452</v>
      </c>
      <c r="S1311" s="13" t="s">
        <v>221</v>
      </c>
      <c r="T1311" s="23">
        <v>2</v>
      </c>
      <c r="U1311" s="30" t="str">
        <f>VLOOKUP(T1311,[5]Key!$E$2:$F$9,2,FALSE)</f>
        <v>Work</v>
      </c>
      <c r="V1311" s="30" t="str">
        <f t="shared" si="80"/>
        <v>Commercial-Work</v>
      </c>
      <c r="W1311" s="23">
        <v>60000</v>
      </c>
      <c r="X1311" s="50"/>
      <c r="Y1311" s="50" t="str">
        <f t="shared" si="81"/>
        <v>0-10</v>
      </c>
      <c r="Z1311" s="50">
        <v>1.5</v>
      </c>
      <c r="AA1311" s="50" t="str">
        <f t="shared" si="82"/>
        <v>1.0-2.0</v>
      </c>
      <c r="AB1311" s="23">
        <v>10</v>
      </c>
      <c r="AC1311" s="30" t="str">
        <f>VLOOKUP(AB1311,[5]Key!$C$20:$D$29,2,FALSE)</f>
        <v>Other</v>
      </c>
      <c r="AD1311" s="23">
        <v>3</v>
      </c>
      <c r="AE1311" s="30" t="str">
        <f>VLOOKUP(AD1311,[5]Key!$E$20:$F$24,2,FALSE)</f>
        <v>500,000-750,000</v>
      </c>
      <c r="AF1311" s="23">
        <v>2</v>
      </c>
      <c r="AG1311" s="50">
        <v>1</v>
      </c>
      <c r="AH1311" s="50">
        <v>3</v>
      </c>
      <c r="AI1311" s="50">
        <v>4</v>
      </c>
      <c r="AJ1311" s="50">
        <v>5</v>
      </c>
      <c r="AK1311" s="46" t="s">
        <v>94</v>
      </c>
      <c r="AL1311" s="36">
        <v>500</v>
      </c>
      <c r="AM1311" t="str">
        <f t="shared" si="83"/>
        <v>0-1000</v>
      </c>
    </row>
    <row r="1312" spans="1:39" x14ac:dyDescent="0.2">
      <c r="A1312" s="44">
        <v>43757</v>
      </c>
      <c r="B1312" s="48">
        <v>0.44027777777777777</v>
      </c>
      <c r="C1312" s="48"/>
      <c r="D1312" s="48" t="s">
        <v>97</v>
      </c>
      <c r="E1312" s="13">
        <v>2</v>
      </c>
      <c r="F1312" s="38" t="str">
        <f>VLOOKUP(E1312,[5]Key!$A$17:$B$21,2,FALSE)</f>
        <v>Road Vehicle</v>
      </c>
      <c r="G1312" s="49">
        <v>2</v>
      </c>
      <c r="H1312" s="39" t="str">
        <f>VLOOKUP(G1312,[5]Key!$A$2:$B$14,2,FALSE)</f>
        <v>Station Wagon</v>
      </c>
      <c r="I1312" s="13" t="s">
        <v>109</v>
      </c>
      <c r="J1312" s="13">
        <v>3</v>
      </c>
      <c r="K1312" s="40" t="str">
        <f>VLOOKUP(J1312,[5]Key!$A$24:$B$29,2,FALSE)</f>
        <v>40-49</v>
      </c>
      <c r="L1312" s="13" t="s">
        <v>488</v>
      </c>
      <c r="M1312" s="23" t="s">
        <v>488</v>
      </c>
      <c r="N1312" s="13" t="s">
        <v>221</v>
      </c>
      <c r="O1312" s="46">
        <v>2</v>
      </c>
      <c r="P1312" s="30" t="str">
        <f>VLOOKUP(O1312,[5]Key!$E$2:$F$9,2,FALSE)</f>
        <v>Work</v>
      </c>
      <c r="Q1312" s="13" t="s">
        <v>446</v>
      </c>
      <c r="R1312" s="23" t="s">
        <v>439</v>
      </c>
      <c r="S1312" s="13" t="s">
        <v>221</v>
      </c>
      <c r="T1312" s="23">
        <v>4</v>
      </c>
      <c r="U1312" s="30" t="str">
        <f>VLOOKUP(T1312,[5]Key!$E$2:$F$9,2,FALSE)</f>
        <v>Commercial</v>
      </c>
      <c r="V1312" s="30" t="str">
        <f t="shared" si="80"/>
        <v>Work-Commercial</v>
      </c>
      <c r="W1312" s="23">
        <v>5000</v>
      </c>
      <c r="X1312" s="50">
        <v>60</v>
      </c>
      <c r="Y1312" s="50" t="str">
        <f t="shared" si="81"/>
        <v>40-70</v>
      </c>
      <c r="Z1312" s="50">
        <v>1</v>
      </c>
      <c r="AA1312" s="50" t="str">
        <f t="shared" si="82"/>
        <v>1.0-2.0</v>
      </c>
      <c r="AB1312" s="23">
        <v>4</v>
      </c>
      <c r="AC1312" s="30" t="str">
        <f>VLOOKUP(AB1312,[5]Key!$C$20:$D$29,2,FALSE)</f>
        <v>Office Worker</v>
      </c>
      <c r="AD1312" s="23">
        <v>4</v>
      </c>
      <c r="AE1312" s="30" t="str">
        <f>VLOOKUP(AD1312,[5]Key!$E$20:$F$24,2,FALSE)</f>
        <v>750,000-1,000,000</v>
      </c>
      <c r="AF1312" s="23">
        <v>5</v>
      </c>
      <c r="AG1312" s="50">
        <v>1</v>
      </c>
      <c r="AH1312" s="50">
        <v>2</v>
      </c>
      <c r="AI1312" s="50">
        <v>3</v>
      </c>
      <c r="AJ1312" s="50">
        <v>4</v>
      </c>
      <c r="AK1312" s="46" t="s">
        <v>94</v>
      </c>
      <c r="AL1312" s="36">
        <v>1000</v>
      </c>
      <c r="AM1312" t="str">
        <f t="shared" si="83"/>
        <v>1000-2000</v>
      </c>
    </row>
    <row r="1313" spans="1:39" x14ac:dyDescent="0.2">
      <c r="A1313" s="44">
        <v>43758</v>
      </c>
      <c r="B1313" s="48">
        <v>0.40416666666666662</v>
      </c>
      <c r="C1313" s="48"/>
      <c r="D1313" s="48" t="s">
        <v>150</v>
      </c>
      <c r="E1313" s="13">
        <v>2</v>
      </c>
      <c r="F1313" s="38" t="str">
        <f>VLOOKUP(E1313,[5]Key!$A$17:$B$21,2,FALSE)</f>
        <v>Road Vehicle</v>
      </c>
      <c r="G1313" s="49">
        <v>2</v>
      </c>
      <c r="H1313" s="39" t="str">
        <f>VLOOKUP(G1313,[5]Key!$A$2:$B$14,2,FALSE)</f>
        <v>Station Wagon</v>
      </c>
      <c r="I1313" s="13" t="s">
        <v>109</v>
      </c>
      <c r="J1313" s="13">
        <v>3</v>
      </c>
      <c r="K1313" s="40" t="str">
        <f>VLOOKUP(J1313,[5]Key!$A$24:$B$29,2,FALSE)</f>
        <v>40-49</v>
      </c>
      <c r="L1313" s="13"/>
      <c r="M1313" s="23"/>
      <c r="N1313" s="13" t="s">
        <v>221</v>
      </c>
      <c r="O1313" s="46">
        <v>1</v>
      </c>
      <c r="P1313" s="30" t="str">
        <f>VLOOKUP(O1313,[5]Key!$E$2:$F$9,2,FALSE)</f>
        <v>Home</v>
      </c>
      <c r="Q1313" s="13" t="s">
        <v>708</v>
      </c>
      <c r="R1313" s="23" t="s">
        <v>708</v>
      </c>
      <c r="S1313" s="13" t="s">
        <v>221</v>
      </c>
      <c r="T1313" s="23">
        <v>2</v>
      </c>
      <c r="U1313" s="30" t="str">
        <f>VLOOKUP(T1313,[5]Key!$E$2:$F$9,2,FALSE)</f>
        <v>Work</v>
      </c>
      <c r="V1313" s="30" t="str">
        <f t="shared" si="80"/>
        <v>Home-Work</v>
      </c>
      <c r="W1313" s="23">
        <v>50000</v>
      </c>
      <c r="X1313" s="50">
        <v>35</v>
      </c>
      <c r="Y1313" s="50" t="str">
        <f t="shared" si="81"/>
        <v>20-40</v>
      </c>
      <c r="Z1313" s="50">
        <v>0.8</v>
      </c>
      <c r="AA1313" s="50" t="str">
        <f t="shared" si="82"/>
        <v>0.5-1.0</v>
      </c>
      <c r="AB1313" s="23">
        <v>6</v>
      </c>
      <c r="AC1313" s="30" t="str">
        <f>VLOOKUP(AB1313,[5]Key!$C$20:$D$29,2,FALSE)</f>
        <v>Businessman</v>
      </c>
      <c r="AD1313" s="23">
        <v>1</v>
      </c>
      <c r="AE1313" s="30" t="str">
        <f>VLOOKUP(AD1313,[5]Key!$E$20:$F$24,2,FALSE)</f>
        <v>&lt;300,000</v>
      </c>
      <c r="AF1313" s="23">
        <v>5</v>
      </c>
      <c r="AG1313" s="50">
        <v>1</v>
      </c>
      <c r="AH1313" s="50">
        <v>2</v>
      </c>
      <c r="AI1313" s="50">
        <v>3</v>
      </c>
      <c r="AJ1313" s="50">
        <v>4</v>
      </c>
      <c r="AK1313" s="46" t="s">
        <v>94</v>
      </c>
      <c r="AL1313" s="36">
        <v>500</v>
      </c>
      <c r="AM1313" t="str">
        <f t="shared" si="83"/>
        <v>0-1000</v>
      </c>
    </row>
    <row r="1314" spans="1:39" x14ac:dyDescent="0.2">
      <c r="A1314" s="44">
        <v>43758</v>
      </c>
      <c r="B1314" s="48">
        <v>0.4375</v>
      </c>
      <c r="C1314" s="48"/>
      <c r="D1314" s="48" t="s">
        <v>150</v>
      </c>
      <c r="E1314" s="13">
        <v>2</v>
      </c>
      <c r="F1314" s="38" t="str">
        <f>VLOOKUP(E1314,[5]Key!$A$17:$B$21,2,FALSE)</f>
        <v>Road Vehicle</v>
      </c>
      <c r="G1314" s="49">
        <v>1</v>
      </c>
      <c r="H1314" s="39" t="str">
        <f>VLOOKUP(G1314,[5]Key!$A$2:$B$14,2,FALSE)</f>
        <v>Car</v>
      </c>
      <c r="I1314" s="13" t="s">
        <v>156</v>
      </c>
      <c r="J1314" s="13">
        <v>4</v>
      </c>
      <c r="K1314" s="40" t="str">
        <f>VLOOKUP(J1314,[5]Key!$A$24:$B$29,2,FALSE)</f>
        <v>50-59</v>
      </c>
      <c r="L1314" s="13" t="s">
        <v>709</v>
      </c>
      <c r="M1314" s="23" t="s">
        <v>439</v>
      </c>
      <c r="N1314" s="13" t="s">
        <v>221</v>
      </c>
      <c r="O1314" s="46">
        <v>1</v>
      </c>
      <c r="P1314" s="30" t="str">
        <f>VLOOKUP(O1314,[5]Key!$E$2:$F$9,2,FALSE)</f>
        <v>Home</v>
      </c>
      <c r="Q1314" s="13" t="s">
        <v>711</v>
      </c>
      <c r="R1314" s="23" t="s">
        <v>439</v>
      </c>
      <c r="S1314" s="13" t="s">
        <v>221</v>
      </c>
      <c r="T1314" s="23">
        <v>4</v>
      </c>
      <c r="U1314" s="30" t="str">
        <f>VLOOKUP(T1314,[5]Key!$E$2:$F$9,2,FALSE)</f>
        <v>Commercial</v>
      </c>
      <c r="V1314" s="30" t="str">
        <f t="shared" si="80"/>
        <v>Home-Commercial</v>
      </c>
      <c r="W1314" s="23">
        <v>3000</v>
      </c>
      <c r="X1314" s="50"/>
      <c r="Y1314" s="50" t="str">
        <f t="shared" si="81"/>
        <v>0-10</v>
      </c>
      <c r="Z1314" s="50">
        <v>0.7</v>
      </c>
      <c r="AA1314" s="50" t="str">
        <f t="shared" si="82"/>
        <v>0.5-1.0</v>
      </c>
      <c r="AB1314" s="23">
        <v>7</v>
      </c>
      <c r="AC1314" s="30" t="str">
        <f>VLOOKUP(AB1314,[5]Key!$C$20:$D$29,2,FALSE)</f>
        <v>Farmer</v>
      </c>
      <c r="AD1314" s="23">
        <v>1</v>
      </c>
      <c r="AE1314" s="30" t="str">
        <f>VLOOKUP(AD1314,[5]Key!$E$20:$F$24,2,FALSE)</f>
        <v>&lt;300,000</v>
      </c>
      <c r="AF1314" s="23">
        <v>1</v>
      </c>
      <c r="AG1314" s="50">
        <v>2</v>
      </c>
      <c r="AH1314" s="50">
        <v>5</v>
      </c>
      <c r="AI1314" s="50">
        <v>3</v>
      </c>
      <c r="AJ1314" s="50">
        <v>4</v>
      </c>
      <c r="AK1314" s="46" t="s">
        <v>94</v>
      </c>
      <c r="AL1314" s="36"/>
      <c r="AM1314" t="str">
        <f t="shared" si="83"/>
        <v>0-1000</v>
      </c>
    </row>
    <row r="1315" spans="1:39" x14ac:dyDescent="0.2">
      <c r="A1315" s="44">
        <v>43758</v>
      </c>
      <c r="B1315" s="48"/>
      <c r="C1315" s="48"/>
      <c r="D1315" s="48" t="s">
        <v>150</v>
      </c>
      <c r="E1315" s="13">
        <v>2</v>
      </c>
      <c r="F1315" s="38" t="str">
        <f>VLOOKUP(E1315,[5]Key!$A$17:$B$21,2,FALSE)</f>
        <v>Road Vehicle</v>
      </c>
      <c r="G1315" s="49">
        <v>1</v>
      </c>
      <c r="H1315" s="39" t="str">
        <f>VLOOKUP(G1315,[5]Key!$A$2:$B$14,2,FALSE)</f>
        <v>Car</v>
      </c>
      <c r="I1315" s="13" t="s">
        <v>109</v>
      </c>
      <c r="J1315" s="13">
        <v>4</v>
      </c>
      <c r="K1315" s="40" t="str">
        <f>VLOOKUP(J1315,[5]Key!$A$24:$B$29,2,FALSE)</f>
        <v>50-59</v>
      </c>
      <c r="L1315" s="13" t="s">
        <v>807</v>
      </c>
      <c r="M1315" s="23" t="s">
        <v>452</v>
      </c>
      <c r="N1315" s="13" t="s">
        <v>221</v>
      </c>
      <c r="O1315" s="46">
        <v>1</v>
      </c>
      <c r="P1315" s="30" t="str">
        <f>VLOOKUP(O1315,[5]Key!$E$2:$F$9,2,FALSE)</f>
        <v>Home</v>
      </c>
      <c r="Q1315" s="13" t="s">
        <v>446</v>
      </c>
      <c r="R1315" s="23" t="s">
        <v>439</v>
      </c>
      <c r="S1315" s="13" t="s">
        <v>221</v>
      </c>
      <c r="T1315" s="23">
        <v>2</v>
      </c>
      <c r="U1315" s="30" t="str">
        <f>VLOOKUP(T1315,[5]Key!$E$2:$F$9,2,FALSE)</f>
        <v>Work</v>
      </c>
      <c r="V1315" s="30" t="str">
        <f t="shared" si="80"/>
        <v>Home-Work</v>
      </c>
      <c r="W1315" s="23">
        <v>13000</v>
      </c>
      <c r="X1315" s="50"/>
      <c r="Y1315" s="50" t="str">
        <f t="shared" si="81"/>
        <v>0-10</v>
      </c>
      <c r="Z1315" s="50">
        <v>1.5</v>
      </c>
      <c r="AA1315" s="50" t="str">
        <f t="shared" si="82"/>
        <v>1.0-2.0</v>
      </c>
      <c r="AB1315" s="23">
        <v>6</v>
      </c>
      <c r="AC1315" s="30" t="str">
        <f>VLOOKUP(AB1315,[5]Key!$C$20:$D$29,2,FALSE)</f>
        <v>Businessman</v>
      </c>
      <c r="AD1315" s="23">
        <v>2</v>
      </c>
      <c r="AE1315" s="30" t="str">
        <f>VLOOKUP(AD1315,[5]Key!$E$20:$F$24,2,FALSE)</f>
        <v>300,000-500,000</v>
      </c>
      <c r="AF1315" s="23"/>
      <c r="AG1315" s="50"/>
      <c r="AH1315" s="50"/>
      <c r="AI1315" s="50"/>
      <c r="AJ1315" s="50"/>
      <c r="AK1315" s="46" t="s">
        <v>94</v>
      </c>
      <c r="AL1315" s="36">
        <v>500</v>
      </c>
      <c r="AM1315" t="str">
        <f t="shared" si="83"/>
        <v>0-1000</v>
      </c>
    </row>
    <row r="1316" spans="1:39" x14ac:dyDescent="0.2">
      <c r="A1316" s="44">
        <v>43758</v>
      </c>
      <c r="B1316" s="48">
        <v>0.66736111111111107</v>
      </c>
      <c r="C1316" s="48"/>
      <c r="D1316" s="48" t="s">
        <v>97</v>
      </c>
      <c r="E1316" s="13">
        <v>2</v>
      </c>
      <c r="F1316" s="38" t="str">
        <f>VLOOKUP(E1316,[5]Key!$A$17:$B$21,2,FALSE)</f>
        <v>Road Vehicle</v>
      </c>
      <c r="G1316" s="49">
        <v>1</v>
      </c>
      <c r="H1316" s="39" t="str">
        <f>VLOOKUP(G1316,[5]Key!$A$2:$B$14,2,FALSE)</f>
        <v>Car</v>
      </c>
      <c r="I1316" s="13" t="s">
        <v>109</v>
      </c>
      <c r="J1316" s="13">
        <v>4</v>
      </c>
      <c r="K1316" s="40" t="str">
        <f>VLOOKUP(J1316,[5]Key!$A$24:$B$29,2,FALSE)</f>
        <v>50-59</v>
      </c>
      <c r="L1316" s="13" t="s">
        <v>446</v>
      </c>
      <c r="M1316" s="23" t="s">
        <v>439</v>
      </c>
      <c r="N1316" s="13" t="s">
        <v>221</v>
      </c>
      <c r="O1316" s="46">
        <v>2</v>
      </c>
      <c r="P1316" s="30" t="str">
        <f>VLOOKUP(O1316,[5]Key!$E$2:$F$9,2,FALSE)</f>
        <v>Work</v>
      </c>
      <c r="Q1316" s="13" t="s">
        <v>732</v>
      </c>
      <c r="R1316" s="23" t="s">
        <v>421</v>
      </c>
      <c r="S1316" s="13" t="s">
        <v>221</v>
      </c>
      <c r="T1316" s="23">
        <v>2</v>
      </c>
      <c r="U1316" s="30" t="str">
        <f>VLOOKUP(T1316,[5]Key!$E$2:$F$9,2,FALSE)</f>
        <v>Work</v>
      </c>
      <c r="V1316" s="30" t="str">
        <f t="shared" si="80"/>
        <v>Work-Work</v>
      </c>
      <c r="W1316" s="23">
        <v>50000</v>
      </c>
      <c r="X1316" s="50"/>
      <c r="Y1316" s="50" t="str">
        <f t="shared" si="81"/>
        <v>0-10</v>
      </c>
      <c r="Z1316" s="50">
        <v>1.5</v>
      </c>
      <c r="AA1316" s="50" t="str">
        <f t="shared" si="82"/>
        <v>1.0-2.0</v>
      </c>
      <c r="AB1316" s="23">
        <v>10</v>
      </c>
      <c r="AC1316" s="30" t="str">
        <f>VLOOKUP(AB1316,[5]Key!$C$20:$D$29,2,FALSE)</f>
        <v>Other</v>
      </c>
      <c r="AD1316" s="23">
        <v>2</v>
      </c>
      <c r="AE1316" s="30" t="str">
        <f>VLOOKUP(AD1316,[5]Key!$E$20:$F$24,2,FALSE)</f>
        <v>300,000-500,000</v>
      </c>
      <c r="AF1316" s="23">
        <v>5</v>
      </c>
      <c r="AG1316" s="50">
        <v>3</v>
      </c>
      <c r="AH1316" s="50">
        <v>4</v>
      </c>
      <c r="AI1316" s="50">
        <v>1</v>
      </c>
      <c r="AJ1316" s="50">
        <v>2</v>
      </c>
      <c r="AK1316" s="46" t="s">
        <v>94</v>
      </c>
      <c r="AL1316" s="36">
        <v>1000</v>
      </c>
      <c r="AM1316" t="str">
        <f t="shared" si="83"/>
        <v>1000-2000</v>
      </c>
    </row>
    <row r="1317" spans="1:39" x14ac:dyDescent="0.2">
      <c r="A1317" s="44">
        <v>43757</v>
      </c>
      <c r="B1317" s="48"/>
      <c r="C1317" s="48"/>
      <c r="D1317" s="48" t="s">
        <v>150</v>
      </c>
      <c r="E1317" s="13">
        <v>2</v>
      </c>
      <c r="F1317" s="38" t="str">
        <f>VLOOKUP(E1317,[5]Key!$A$17:$B$21,2,FALSE)</f>
        <v>Road Vehicle</v>
      </c>
      <c r="G1317" s="49">
        <v>6</v>
      </c>
      <c r="H1317" s="39" t="str">
        <f>VLOOKUP(G1317,[5]Key!$A$2:$B$14,2,FALSE)</f>
        <v>Large Bus</v>
      </c>
      <c r="I1317" s="13" t="s">
        <v>109</v>
      </c>
      <c r="J1317" s="13">
        <v>4</v>
      </c>
      <c r="K1317" s="40" t="str">
        <f>VLOOKUP(J1317,[5]Key!$A$24:$B$29,2,FALSE)</f>
        <v>50-59</v>
      </c>
      <c r="L1317" s="13" t="s">
        <v>446</v>
      </c>
      <c r="M1317" s="23" t="s">
        <v>439</v>
      </c>
      <c r="N1317" s="13" t="s">
        <v>221</v>
      </c>
      <c r="O1317" s="46">
        <v>6</v>
      </c>
      <c r="P1317" s="30" t="str">
        <f>VLOOKUP(O1317,[5]Key!$E$2:$F$9,2,FALSE)</f>
        <v>Leisure/Social</v>
      </c>
      <c r="Q1317" s="13" t="s">
        <v>808</v>
      </c>
      <c r="R1317" s="23" t="s">
        <v>153</v>
      </c>
      <c r="S1317" s="13" t="s">
        <v>221</v>
      </c>
      <c r="T1317" s="23">
        <v>1</v>
      </c>
      <c r="U1317" s="30" t="str">
        <f>VLOOKUP(T1317,[5]Key!$E$2:$F$9,2,FALSE)</f>
        <v>Home</v>
      </c>
      <c r="V1317" s="30" t="str">
        <f t="shared" si="80"/>
        <v>Leisure/Social-Home</v>
      </c>
      <c r="W1317" s="23">
        <v>20000</v>
      </c>
      <c r="X1317" s="50"/>
      <c r="Y1317" s="50" t="str">
        <f t="shared" si="81"/>
        <v>0-10</v>
      </c>
      <c r="Z1317" s="50">
        <v>5</v>
      </c>
      <c r="AA1317" s="50" t="str">
        <f t="shared" si="82"/>
        <v>Over 3.5</v>
      </c>
      <c r="AB1317" s="23">
        <v>6</v>
      </c>
      <c r="AC1317" s="30" t="str">
        <f>VLOOKUP(AB1317,[5]Key!$C$20:$D$29,2,FALSE)</f>
        <v>Businessman</v>
      </c>
      <c r="AD1317" s="23">
        <v>5</v>
      </c>
      <c r="AE1317" s="30" t="str">
        <f>VLOOKUP(AD1317,[5]Key!$E$20:$F$24,2,FALSE)</f>
        <v>&gt;1,000,000</v>
      </c>
      <c r="AF1317" s="23">
        <v>4</v>
      </c>
      <c r="AG1317" s="50">
        <v>1</v>
      </c>
      <c r="AH1317" s="50">
        <v>2</v>
      </c>
      <c r="AI1317" s="50">
        <v>3</v>
      </c>
      <c r="AJ1317" s="50">
        <v>5</v>
      </c>
      <c r="AK1317" s="46" t="s">
        <v>94</v>
      </c>
      <c r="AL1317" s="36"/>
      <c r="AM1317" t="str">
        <f t="shared" si="83"/>
        <v>0-1000</v>
      </c>
    </row>
    <row r="1318" spans="1:39" x14ac:dyDescent="0.2">
      <c r="A1318" s="44">
        <v>43758</v>
      </c>
      <c r="B1318" s="48">
        <v>0.375</v>
      </c>
      <c r="C1318" s="48"/>
      <c r="D1318" s="48" t="s">
        <v>97</v>
      </c>
      <c r="E1318" s="13">
        <v>2</v>
      </c>
      <c r="F1318" s="38" t="str">
        <f>VLOOKUP(E1318,[5]Key!$A$17:$B$21,2,FALSE)</f>
        <v>Road Vehicle</v>
      </c>
      <c r="G1318" s="49">
        <v>6</v>
      </c>
      <c r="H1318" s="39" t="str">
        <f>VLOOKUP(G1318,[5]Key!$A$2:$B$14,2,FALSE)</f>
        <v>Large Bus</v>
      </c>
      <c r="I1318" s="13" t="s">
        <v>109</v>
      </c>
      <c r="J1318" s="13">
        <v>4</v>
      </c>
      <c r="K1318" s="40" t="str">
        <f>VLOOKUP(J1318,[5]Key!$A$24:$B$29,2,FALSE)</f>
        <v>50-59</v>
      </c>
      <c r="L1318" s="13" t="s">
        <v>446</v>
      </c>
      <c r="M1318" s="23" t="s">
        <v>439</v>
      </c>
      <c r="N1318" s="13" t="s">
        <v>221</v>
      </c>
      <c r="O1318" s="46">
        <v>2</v>
      </c>
      <c r="P1318" s="30" t="str">
        <f>VLOOKUP(O1318,[5]Key!$E$2:$F$9,2,FALSE)</f>
        <v>Work</v>
      </c>
      <c r="Q1318" s="13" t="s">
        <v>719</v>
      </c>
      <c r="R1318" s="23" t="s">
        <v>153</v>
      </c>
      <c r="S1318" s="13" t="s">
        <v>221</v>
      </c>
      <c r="T1318" s="23">
        <v>2</v>
      </c>
      <c r="U1318" s="30" t="str">
        <f>VLOOKUP(T1318,[5]Key!$E$2:$F$9,2,FALSE)</f>
        <v>Work</v>
      </c>
      <c r="V1318" s="30" t="str">
        <f t="shared" si="80"/>
        <v>Work-Work</v>
      </c>
      <c r="W1318" s="23">
        <v>250000</v>
      </c>
      <c r="X1318" s="50">
        <v>300</v>
      </c>
      <c r="Y1318" s="50" t="str">
        <f t="shared" si="81"/>
        <v>Over 200</v>
      </c>
      <c r="Z1318" s="50">
        <v>5</v>
      </c>
      <c r="AA1318" s="50" t="str">
        <f t="shared" si="82"/>
        <v>Over 3.5</v>
      </c>
      <c r="AB1318" s="23">
        <v>10</v>
      </c>
      <c r="AC1318" s="30" t="str">
        <f>VLOOKUP(AB1318,[5]Key!$C$20:$D$29,2,FALSE)</f>
        <v>Other</v>
      </c>
      <c r="AD1318" s="23">
        <v>2</v>
      </c>
      <c r="AE1318" s="30" t="str">
        <f>VLOOKUP(AD1318,[5]Key!$E$20:$F$24,2,FALSE)</f>
        <v>300,000-500,000</v>
      </c>
      <c r="AF1318" s="23">
        <v>2</v>
      </c>
      <c r="AG1318" s="50">
        <v>1</v>
      </c>
      <c r="AH1318" s="50">
        <v>4</v>
      </c>
      <c r="AI1318" s="50">
        <v>3</v>
      </c>
      <c r="AJ1318" s="50">
        <v>5</v>
      </c>
      <c r="AK1318" s="46" t="s">
        <v>94</v>
      </c>
      <c r="AL1318" s="36">
        <v>1000</v>
      </c>
      <c r="AM1318" t="str">
        <f t="shared" si="83"/>
        <v>1000-2000</v>
      </c>
    </row>
    <row r="1319" spans="1:39" x14ac:dyDescent="0.2">
      <c r="A1319" s="44">
        <v>43758</v>
      </c>
      <c r="B1319" s="48">
        <v>0.66875000000000007</v>
      </c>
      <c r="C1319" s="48"/>
      <c r="D1319" s="48" t="s">
        <v>150</v>
      </c>
      <c r="E1319" s="13">
        <v>2</v>
      </c>
      <c r="F1319" s="38" t="str">
        <f>VLOOKUP(E1319,[5]Key!$A$17:$B$21,2,FALSE)</f>
        <v>Road Vehicle</v>
      </c>
      <c r="G1319" s="49">
        <v>4</v>
      </c>
      <c r="H1319" s="39" t="str">
        <f>VLOOKUP(G1319,[5]Key!$A$2:$B$14,2,FALSE)</f>
        <v>Minibus</v>
      </c>
      <c r="I1319" s="13" t="s">
        <v>156</v>
      </c>
      <c r="J1319" s="13">
        <v>4</v>
      </c>
      <c r="K1319" s="40" t="str">
        <f>VLOOKUP(J1319,[5]Key!$A$24:$B$29,2,FALSE)</f>
        <v>50-59</v>
      </c>
      <c r="L1319" s="13" t="s">
        <v>421</v>
      </c>
      <c r="M1319" s="23" t="s">
        <v>421</v>
      </c>
      <c r="N1319" s="13" t="s">
        <v>221</v>
      </c>
      <c r="O1319" s="46">
        <v>2</v>
      </c>
      <c r="P1319" s="30" t="str">
        <f>VLOOKUP(O1319,[5]Key!$E$2:$F$9,2,FALSE)</f>
        <v>Work</v>
      </c>
      <c r="Q1319" s="13" t="s">
        <v>446</v>
      </c>
      <c r="R1319" s="23" t="s">
        <v>439</v>
      </c>
      <c r="S1319" s="13" t="s">
        <v>221</v>
      </c>
      <c r="T1319" s="23">
        <v>1</v>
      </c>
      <c r="U1319" s="30" t="str">
        <f>VLOOKUP(T1319,[5]Key!$E$2:$F$9,2,FALSE)</f>
        <v>Home</v>
      </c>
      <c r="V1319" s="30" t="str">
        <f t="shared" si="80"/>
        <v>Work-Home</v>
      </c>
      <c r="W1319" s="23">
        <v>9000</v>
      </c>
      <c r="X1319" s="50"/>
      <c r="Y1319" s="50" t="str">
        <f t="shared" si="81"/>
        <v>0-10</v>
      </c>
      <c r="Z1319" s="50">
        <v>1.5</v>
      </c>
      <c r="AA1319" s="50" t="str">
        <f t="shared" si="82"/>
        <v>1.0-2.0</v>
      </c>
      <c r="AB1319" s="23">
        <v>9</v>
      </c>
      <c r="AC1319" s="30" t="str">
        <f>VLOOKUP(AB1319,[5]Key!$C$20:$D$29,2,FALSE)</f>
        <v>Retired</v>
      </c>
      <c r="AD1319" s="23">
        <v>3</v>
      </c>
      <c r="AE1319" s="30" t="str">
        <f>VLOOKUP(AD1319,[5]Key!$E$20:$F$24,2,FALSE)</f>
        <v>500,000-750,000</v>
      </c>
      <c r="AF1319" s="23">
        <v>3</v>
      </c>
      <c r="AG1319" s="50">
        <v>1</v>
      </c>
      <c r="AH1319" s="50">
        <v>2</v>
      </c>
      <c r="AI1319" s="50">
        <v>4</v>
      </c>
      <c r="AJ1319" s="50">
        <v>5</v>
      </c>
      <c r="AK1319" s="46" t="s">
        <v>94</v>
      </c>
      <c r="AL1319" s="36">
        <v>5000</v>
      </c>
      <c r="AM1319" t="str">
        <f t="shared" si="83"/>
        <v>5000-10000</v>
      </c>
    </row>
    <row r="1320" spans="1:39" x14ac:dyDescent="0.2">
      <c r="A1320" s="44">
        <v>43758</v>
      </c>
      <c r="B1320" s="48">
        <v>0.67708333333333337</v>
      </c>
      <c r="C1320" s="48"/>
      <c r="D1320" s="48" t="s">
        <v>150</v>
      </c>
      <c r="E1320" s="13">
        <v>2</v>
      </c>
      <c r="F1320" s="38" t="str">
        <f>VLOOKUP(E1320,[5]Key!$A$17:$B$21,2,FALSE)</f>
        <v>Road Vehicle</v>
      </c>
      <c r="G1320" s="49">
        <v>4</v>
      </c>
      <c r="H1320" s="39" t="str">
        <f>VLOOKUP(G1320,[5]Key!$A$2:$B$14,2,FALSE)</f>
        <v>Minibus</v>
      </c>
      <c r="I1320" s="13" t="s">
        <v>156</v>
      </c>
      <c r="J1320" s="13">
        <v>4</v>
      </c>
      <c r="K1320" s="40" t="str">
        <f>VLOOKUP(J1320,[5]Key!$A$24:$B$29,2,FALSE)</f>
        <v>50-59</v>
      </c>
      <c r="L1320" s="13" t="s">
        <v>809</v>
      </c>
      <c r="M1320" s="23" t="s">
        <v>439</v>
      </c>
      <c r="N1320" s="13" t="s">
        <v>221</v>
      </c>
      <c r="O1320" s="46">
        <v>4</v>
      </c>
      <c r="P1320" s="30" t="str">
        <f>VLOOKUP(O1320,[5]Key!$E$2:$F$9,2,FALSE)</f>
        <v>Commercial</v>
      </c>
      <c r="Q1320" s="13" t="s">
        <v>769</v>
      </c>
      <c r="R1320" s="23" t="s">
        <v>769</v>
      </c>
      <c r="S1320" s="13" t="s">
        <v>221</v>
      </c>
      <c r="T1320" s="23">
        <v>4</v>
      </c>
      <c r="U1320" s="30" t="str">
        <f>VLOOKUP(T1320,[5]Key!$E$2:$F$9,2,FALSE)</f>
        <v>Commercial</v>
      </c>
      <c r="V1320" s="30" t="str">
        <f t="shared" si="80"/>
        <v>Commercial-Commercial</v>
      </c>
      <c r="W1320" s="23">
        <v>25000</v>
      </c>
      <c r="X1320" s="50">
        <v>136</v>
      </c>
      <c r="Y1320" s="50" t="str">
        <f t="shared" si="81"/>
        <v>100-200</v>
      </c>
      <c r="Z1320" s="50">
        <v>1.5</v>
      </c>
      <c r="AA1320" s="50" t="str">
        <f t="shared" si="82"/>
        <v>1.0-2.0</v>
      </c>
      <c r="AB1320" s="23">
        <v>7</v>
      </c>
      <c r="AC1320" s="30" t="str">
        <f>VLOOKUP(AB1320,[5]Key!$C$20:$D$29,2,FALSE)</f>
        <v>Farmer</v>
      </c>
      <c r="AD1320" s="23">
        <v>1</v>
      </c>
      <c r="AE1320" s="30" t="str">
        <f>VLOOKUP(AD1320,[5]Key!$E$20:$F$24,2,FALSE)</f>
        <v>&lt;300,000</v>
      </c>
      <c r="AF1320" s="23">
        <v>1</v>
      </c>
      <c r="AG1320" s="50">
        <v>5</v>
      </c>
      <c r="AH1320" s="50">
        <v>3</v>
      </c>
      <c r="AI1320" s="50">
        <v>2</v>
      </c>
      <c r="AJ1320" s="50">
        <v>4</v>
      </c>
      <c r="AK1320" s="46" t="s">
        <v>94</v>
      </c>
      <c r="AL1320" s="36">
        <v>1000</v>
      </c>
      <c r="AM1320" t="str">
        <f t="shared" si="83"/>
        <v>1000-2000</v>
      </c>
    </row>
    <row r="1321" spans="1:39" x14ac:dyDescent="0.2">
      <c r="A1321" s="44">
        <v>43756</v>
      </c>
      <c r="B1321" s="48"/>
      <c r="C1321" s="48"/>
      <c r="D1321" s="48" t="s">
        <v>97</v>
      </c>
      <c r="E1321" s="13">
        <v>2</v>
      </c>
      <c r="F1321" s="38" t="str">
        <f>VLOOKUP(E1321,[5]Key!$A$17:$B$21,2,FALSE)</f>
        <v>Road Vehicle</v>
      </c>
      <c r="G1321" s="49">
        <v>4</v>
      </c>
      <c r="H1321" s="39" t="str">
        <f>VLOOKUP(G1321,[5]Key!$A$2:$B$14,2,FALSE)</f>
        <v>Minibus</v>
      </c>
      <c r="I1321" s="13" t="s">
        <v>109</v>
      </c>
      <c r="J1321" s="13">
        <v>4</v>
      </c>
      <c r="K1321" s="40" t="str">
        <f>VLOOKUP(J1321,[5]Key!$A$24:$B$29,2,FALSE)</f>
        <v>50-59</v>
      </c>
      <c r="L1321" s="55" t="s">
        <v>446</v>
      </c>
      <c r="M1321" s="23" t="s">
        <v>439</v>
      </c>
      <c r="N1321" s="13" t="s">
        <v>221</v>
      </c>
      <c r="O1321" s="46">
        <v>2</v>
      </c>
      <c r="P1321" s="30" t="str">
        <f>VLOOKUP(O1321,[5]Key!$E$2:$F$9,2,FALSE)</f>
        <v>Work</v>
      </c>
      <c r="Q1321" s="13" t="s">
        <v>732</v>
      </c>
      <c r="R1321" s="23" t="s">
        <v>749</v>
      </c>
      <c r="S1321" s="13" t="s">
        <v>221</v>
      </c>
      <c r="T1321" s="23">
        <v>2</v>
      </c>
      <c r="U1321" s="30" t="str">
        <f>VLOOKUP(T1321,[5]Key!$E$2:$F$9,2,FALSE)</f>
        <v>Work</v>
      </c>
      <c r="V1321" s="30" t="str">
        <f t="shared" si="80"/>
        <v>Work-Work</v>
      </c>
      <c r="W1321" s="41">
        <v>400000</v>
      </c>
      <c r="X1321" s="50"/>
      <c r="Y1321" s="50" t="str">
        <f t="shared" si="81"/>
        <v>0-10</v>
      </c>
      <c r="Z1321" s="50"/>
      <c r="AA1321" s="50" t="str">
        <f t="shared" si="82"/>
        <v>0-0.5</v>
      </c>
      <c r="AB1321" s="23">
        <v>10</v>
      </c>
      <c r="AC1321" s="30" t="str">
        <f>VLOOKUP(AB1321,[5]Key!$C$20:$D$29,2,FALSE)</f>
        <v>Other</v>
      </c>
      <c r="AD1321" s="23">
        <v>1</v>
      </c>
      <c r="AE1321" s="30" t="str">
        <f>VLOOKUP(AD1321,[5]Key!$E$20:$F$24,2,FALSE)</f>
        <v>&lt;300,000</v>
      </c>
      <c r="AF1321" s="23">
        <v>4</v>
      </c>
      <c r="AG1321" s="50">
        <v>2</v>
      </c>
      <c r="AH1321" s="50">
        <v>1</v>
      </c>
      <c r="AI1321" s="50">
        <v>3</v>
      </c>
      <c r="AJ1321" s="50">
        <v>5</v>
      </c>
      <c r="AK1321" s="46" t="s">
        <v>94</v>
      </c>
      <c r="AL1321" s="36">
        <v>1000</v>
      </c>
      <c r="AM1321" t="str">
        <f t="shared" si="83"/>
        <v>1000-2000</v>
      </c>
    </row>
    <row r="1322" spans="1:39" x14ac:dyDescent="0.2">
      <c r="A1322" s="44">
        <v>43756</v>
      </c>
      <c r="B1322" s="48"/>
      <c r="C1322" s="48"/>
      <c r="D1322" s="48" t="s">
        <v>150</v>
      </c>
      <c r="E1322" s="13">
        <v>2</v>
      </c>
      <c r="F1322" s="38" t="str">
        <f>VLOOKUP(E1322,[5]Key!$A$17:$B$21,2,FALSE)</f>
        <v>Road Vehicle</v>
      </c>
      <c r="G1322" s="49">
        <v>4</v>
      </c>
      <c r="H1322" s="39" t="str">
        <f>VLOOKUP(G1322,[5]Key!$A$2:$B$14,2,FALSE)</f>
        <v>Minibus</v>
      </c>
      <c r="I1322" s="13" t="s">
        <v>109</v>
      </c>
      <c r="J1322" s="13">
        <v>4</v>
      </c>
      <c r="K1322" s="40" t="str">
        <f>VLOOKUP(J1322,[5]Key!$A$24:$B$29,2,FALSE)</f>
        <v>50-59</v>
      </c>
      <c r="L1322" s="55" t="s">
        <v>734</v>
      </c>
      <c r="M1322" s="23" t="s">
        <v>439</v>
      </c>
      <c r="N1322" s="13" t="s">
        <v>221</v>
      </c>
      <c r="O1322" s="46">
        <v>2</v>
      </c>
      <c r="P1322" s="30" t="str">
        <f>VLOOKUP(O1322,[5]Key!$E$2:$F$9,2,FALSE)</f>
        <v>Work</v>
      </c>
      <c r="Q1322" s="13" t="s">
        <v>743</v>
      </c>
      <c r="R1322" s="23" t="s">
        <v>439</v>
      </c>
      <c r="S1322" s="13" t="s">
        <v>221</v>
      </c>
      <c r="T1322" s="23">
        <v>1</v>
      </c>
      <c r="U1322" s="30" t="str">
        <f>VLOOKUP(T1322,[5]Key!$E$2:$F$9,2,FALSE)</f>
        <v>Home</v>
      </c>
      <c r="V1322" s="30" t="str">
        <f t="shared" si="80"/>
        <v>Work-Home</v>
      </c>
      <c r="W1322" s="41">
        <v>5000</v>
      </c>
      <c r="X1322" s="50"/>
      <c r="Y1322" s="50" t="str">
        <f t="shared" si="81"/>
        <v>0-10</v>
      </c>
      <c r="Z1322" s="50">
        <v>0.7</v>
      </c>
      <c r="AA1322" s="50" t="str">
        <f t="shared" si="82"/>
        <v>0.5-1.0</v>
      </c>
      <c r="AB1322" s="23">
        <v>4</v>
      </c>
      <c r="AC1322" s="30" t="str">
        <f>VLOOKUP(AB1322,[5]Key!$C$20:$D$29,2,FALSE)</f>
        <v>Office Worker</v>
      </c>
      <c r="AD1322" s="23">
        <v>2</v>
      </c>
      <c r="AE1322" s="30" t="str">
        <f>VLOOKUP(AD1322,[5]Key!$E$20:$F$24,2,FALSE)</f>
        <v>300,000-500,000</v>
      </c>
      <c r="AF1322" s="23">
        <v>2</v>
      </c>
      <c r="AG1322" s="50">
        <v>4</v>
      </c>
      <c r="AH1322" s="50">
        <v>1</v>
      </c>
      <c r="AI1322" s="50">
        <v>3</v>
      </c>
      <c r="AJ1322" s="50">
        <v>5</v>
      </c>
      <c r="AK1322" s="46" t="s">
        <v>94</v>
      </c>
      <c r="AL1322" s="36">
        <v>200</v>
      </c>
      <c r="AM1322" t="str">
        <f t="shared" si="83"/>
        <v>0-1000</v>
      </c>
    </row>
    <row r="1323" spans="1:39" x14ac:dyDescent="0.2">
      <c r="A1323" s="44">
        <v>43756</v>
      </c>
      <c r="B1323" s="48"/>
      <c r="C1323" s="48"/>
      <c r="D1323" s="48" t="s">
        <v>150</v>
      </c>
      <c r="E1323" s="13">
        <v>2</v>
      </c>
      <c r="F1323" s="38" t="str">
        <f>VLOOKUP(E1323,[5]Key!$A$17:$B$21,2,FALSE)</f>
        <v>Road Vehicle</v>
      </c>
      <c r="G1323" s="49">
        <v>4</v>
      </c>
      <c r="H1323" s="39" t="str">
        <f>VLOOKUP(G1323,[5]Key!$A$2:$B$14,2,FALSE)</f>
        <v>Minibus</v>
      </c>
      <c r="I1323" s="13" t="s">
        <v>109</v>
      </c>
      <c r="J1323" s="13">
        <v>4</v>
      </c>
      <c r="K1323" s="40" t="str">
        <f>VLOOKUP(J1323,[5]Key!$A$24:$B$29,2,FALSE)</f>
        <v>50-59</v>
      </c>
      <c r="L1323" s="55" t="s">
        <v>746</v>
      </c>
      <c r="M1323" s="23" t="s">
        <v>439</v>
      </c>
      <c r="N1323" s="13" t="s">
        <v>221</v>
      </c>
      <c r="O1323" s="46">
        <v>6</v>
      </c>
      <c r="P1323" s="30" t="str">
        <f>VLOOKUP(O1323,[5]Key!$E$2:$F$9,2,FALSE)</f>
        <v>Leisure/Social</v>
      </c>
      <c r="Q1323" s="13" t="s">
        <v>810</v>
      </c>
      <c r="R1323" s="23" t="s">
        <v>452</v>
      </c>
      <c r="S1323" s="13" t="s">
        <v>221</v>
      </c>
      <c r="T1323" s="23">
        <v>1</v>
      </c>
      <c r="U1323" s="30" t="str">
        <f>VLOOKUP(T1323,[5]Key!$E$2:$F$9,2,FALSE)</f>
        <v>Home</v>
      </c>
      <c r="V1323" s="30" t="str">
        <f t="shared" si="80"/>
        <v>Leisure/Social-Home</v>
      </c>
      <c r="W1323" s="41">
        <v>10000</v>
      </c>
      <c r="X1323" s="50"/>
      <c r="Y1323" s="50" t="str">
        <f t="shared" si="81"/>
        <v>0-10</v>
      </c>
      <c r="Z1323" s="50">
        <v>2</v>
      </c>
      <c r="AA1323" s="50" t="str">
        <f t="shared" si="82"/>
        <v>2.0-3.5</v>
      </c>
      <c r="AB1323" s="23">
        <v>6</v>
      </c>
      <c r="AC1323" s="30" t="str">
        <f>VLOOKUP(AB1323,[5]Key!$C$20:$D$29,2,FALSE)</f>
        <v>Businessman</v>
      </c>
      <c r="AD1323" s="23">
        <v>2</v>
      </c>
      <c r="AE1323" s="30" t="str">
        <f>VLOOKUP(AD1323,[5]Key!$E$20:$F$24,2,FALSE)</f>
        <v>300,000-500,000</v>
      </c>
      <c r="AF1323" s="23">
        <v>2</v>
      </c>
      <c r="AG1323" s="50">
        <v>3</v>
      </c>
      <c r="AH1323" s="50">
        <v>1</v>
      </c>
      <c r="AI1323" s="50">
        <v>4</v>
      </c>
      <c r="AJ1323" s="50">
        <v>5</v>
      </c>
      <c r="AK1323" s="46" t="s">
        <v>94</v>
      </c>
      <c r="AL1323" s="36">
        <v>1000</v>
      </c>
      <c r="AM1323" t="str">
        <f t="shared" si="83"/>
        <v>1000-2000</v>
      </c>
    </row>
    <row r="1324" spans="1:39" x14ac:dyDescent="0.2">
      <c r="A1324" s="44">
        <v>43757</v>
      </c>
      <c r="B1324" s="48"/>
      <c r="C1324" s="48"/>
      <c r="D1324" s="48" t="s">
        <v>97</v>
      </c>
      <c r="E1324" s="13">
        <v>2</v>
      </c>
      <c r="F1324" s="38" t="str">
        <f>VLOOKUP(E1324,[5]Key!$A$17:$B$21,2,FALSE)</f>
        <v>Road Vehicle</v>
      </c>
      <c r="G1324" s="49">
        <v>4</v>
      </c>
      <c r="H1324" s="39" t="str">
        <f>VLOOKUP(G1324,[5]Key!$A$2:$B$14,2,FALSE)</f>
        <v>Minibus</v>
      </c>
      <c r="I1324" s="13" t="s">
        <v>109</v>
      </c>
      <c r="J1324" s="13">
        <v>4</v>
      </c>
      <c r="K1324" s="40" t="str">
        <f>VLOOKUP(J1324,[5]Key!$A$24:$B$29,2,FALSE)</f>
        <v>50-59</v>
      </c>
      <c r="L1324" s="13" t="s">
        <v>446</v>
      </c>
      <c r="M1324" s="23" t="s">
        <v>439</v>
      </c>
      <c r="N1324" s="13" t="s">
        <v>221</v>
      </c>
      <c r="O1324" s="46">
        <v>2</v>
      </c>
      <c r="P1324" s="30" t="str">
        <f>VLOOKUP(O1324,[5]Key!$E$2:$F$9,2,FALSE)</f>
        <v>Work</v>
      </c>
      <c r="Q1324" s="13" t="s">
        <v>446</v>
      </c>
      <c r="R1324" s="23" t="s">
        <v>439</v>
      </c>
      <c r="S1324" s="13" t="s">
        <v>221</v>
      </c>
      <c r="T1324" s="23">
        <v>4</v>
      </c>
      <c r="U1324" s="30" t="str">
        <f>VLOOKUP(T1324,[5]Key!$E$2:$F$9,2,FALSE)</f>
        <v>Commercial</v>
      </c>
      <c r="V1324" s="30" t="str">
        <f t="shared" si="80"/>
        <v>Work-Commercial</v>
      </c>
      <c r="W1324" s="23">
        <v>100000</v>
      </c>
      <c r="X1324" s="50">
        <v>85</v>
      </c>
      <c r="Y1324" s="50" t="str">
        <f t="shared" si="81"/>
        <v>70-100</v>
      </c>
      <c r="Z1324" s="50">
        <v>4</v>
      </c>
      <c r="AA1324" s="50" t="str">
        <f t="shared" si="82"/>
        <v>Over 3.5</v>
      </c>
      <c r="AB1324" s="23">
        <v>10</v>
      </c>
      <c r="AC1324" s="30" t="str">
        <f>VLOOKUP(AB1324,[5]Key!$C$20:$D$29,2,FALSE)</f>
        <v>Other</v>
      </c>
      <c r="AD1324" s="23">
        <v>3</v>
      </c>
      <c r="AE1324" s="30" t="str">
        <f>VLOOKUP(AD1324,[5]Key!$E$20:$F$24,2,FALSE)</f>
        <v>500,000-750,000</v>
      </c>
      <c r="AF1324" s="23">
        <v>1</v>
      </c>
      <c r="AG1324" s="50">
        <v>2</v>
      </c>
      <c r="AH1324" s="50">
        <v>5</v>
      </c>
      <c r="AI1324" s="50">
        <v>3</v>
      </c>
      <c r="AJ1324" s="50">
        <v>4</v>
      </c>
      <c r="AK1324" s="46" t="s">
        <v>94</v>
      </c>
      <c r="AL1324" s="36">
        <v>1000</v>
      </c>
      <c r="AM1324" t="str">
        <f t="shared" si="83"/>
        <v>1000-2000</v>
      </c>
    </row>
    <row r="1325" spans="1:39" x14ac:dyDescent="0.2">
      <c r="A1325" s="44">
        <v>43757</v>
      </c>
      <c r="B1325" s="48">
        <v>0.53680555555555554</v>
      </c>
      <c r="C1325" s="48"/>
      <c r="D1325" s="48" t="s">
        <v>97</v>
      </c>
      <c r="E1325" s="13">
        <v>2</v>
      </c>
      <c r="F1325" s="38" t="str">
        <f>VLOOKUP(E1325,[5]Key!$A$17:$B$21,2,FALSE)</f>
        <v>Road Vehicle</v>
      </c>
      <c r="G1325" s="49">
        <v>4</v>
      </c>
      <c r="H1325" s="39" t="str">
        <f>VLOOKUP(G1325,[5]Key!$A$2:$B$14,2,FALSE)</f>
        <v>Minibus</v>
      </c>
      <c r="I1325" s="13" t="s">
        <v>109</v>
      </c>
      <c r="J1325" s="13">
        <v>4</v>
      </c>
      <c r="K1325" s="40" t="str">
        <f>VLOOKUP(J1325,[5]Key!$A$24:$B$29,2,FALSE)</f>
        <v>50-59</v>
      </c>
      <c r="L1325" s="13" t="s">
        <v>446</v>
      </c>
      <c r="M1325" s="23" t="s">
        <v>439</v>
      </c>
      <c r="N1325" s="13" t="s">
        <v>221</v>
      </c>
      <c r="O1325" s="46">
        <v>2</v>
      </c>
      <c r="P1325" s="30" t="str">
        <f>VLOOKUP(O1325,[5]Key!$E$2:$F$9,2,FALSE)</f>
        <v>Work</v>
      </c>
      <c r="Q1325" s="13" t="s">
        <v>511</v>
      </c>
      <c r="R1325" s="23" t="s">
        <v>749</v>
      </c>
      <c r="S1325" s="13" t="s">
        <v>221</v>
      </c>
      <c r="T1325" s="23">
        <v>4</v>
      </c>
      <c r="U1325" s="30" t="str">
        <f>VLOOKUP(T1325,[5]Key!$E$2:$F$9,2,FALSE)</f>
        <v>Commercial</v>
      </c>
      <c r="V1325" s="30" t="str">
        <f t="shared" si="80"/>
        <v>Work-Commercial</v>
      </c>
      <c r="W1325" s="23">
        <v>150000</v>
      </c>
      <c r="X1325" s="50">
        <v>116</v>
      </c>
      <c r="Y1325" s="50" t="str">
        <f t="shared" si="81"/>
        <v>100-200</v>
      </c>
      <c r="Z1325" s="50">
        <v>6</v>
      </c>
      <c r="AA1325" s="50" t="str">
        <f t="shared" si="82"/>
        <v>Over 3.5</v>
      </c>
      <c r="AB1325" s="23">
        <v>10</v>
      </c>
      <c r="AC1325" s="30" t="str">
        <f>VLOOKUP(AB1325,[5]Key!$C$20:$D$29,2,FALSE)</f>
        <v>Other</v>
      </c>
      <c r="AD1325" s="23">
        <v>3</v>
      </c>
      <c r="AE1325" s="30" t="str">
        <f>VLOOKUP(AD1325,[5]Key!$E$20:$F$24,2,FALSE)</f>
        <v>500,000-750,000</v>
      </c>
      <c r="AF1325" s="23">
        <v>3</v>
      </c>
      <c r="AG1325" s="50">
        <v>1</v>
      </c>
      <c r="AH1325" s="50">
        <v>2</v>
      </c>
      <c r="AI1325" s="50">
        <v>4</v>
      </c>
      <c r="AJ1325" s="50">
        <v>5</v>
      </c>
      <c r="AK1325" s="46" t="s">
        <v>94</v>
      </c>
      <c r="AL1325" s="36">
        <v>1000</v>
      </c>
      <c r="AM1325" t="str">
        <f t="shared" si="83"/>
        <v>1000-2000</v>
      </c>
    </row>
    <row r="1326" spans="1:39" x14ac:dyDescent="0.2">
      <c r="A1326" s="44">
        <v>43757</v>
      </c>
      <c r="B1326" s="48">
        <v>0.4236111111111111</v>
      </c>
      <c r="C1326" s="48"/>
      <c r="D1326" s="48" t="s">
        <v>97</v>
      </c>
      <c r="E1326" s="13">
        <v>2</v>
      </c>
      <c r="F1326" s="38" t="str">
        <f>VLOOKUP(E1326,[5]Key!$A$17:$B$21,2,FALSE)</f>
        <v>Road Vehicle</v>
      </c>
      <c r="G1326" s="49">
        <v>4</v>
      </c>
      <c r="H1326" s="39" t="str">
        <f>VLOOKUP(G1326,[5]Key!$A$2:$B$14,2,FALSE)</f>
        <v>Minibus</v>
      </c>
      <c r="I1326" s="13" t="s">
        <v>109</v>
      </c>
      <c r="J1326" s="13">
        <v>4</v>
      </c>
      <c r="K1326" s="40" t="str">
        <f>VLOOKUP(J1326,[5]Key!$A$24:$B$29,2,FALSE)</f>
        <v>50-59</v>
      </c>
      <c r="L1326" s="13" t="s">
        <v>439</v>
      </c>
      <c r="M1326" s="23" t="s">
        <v>439</v>
      </c>
      <c r="N1326" s="13" t="s">
        <v>221</v>
      </c>
      <c r="O1326" s="46">
        <v>2</v>
      </c>
      <c r="P1326" s="30" t="str">
        <f>VLOOKUP(O1326,[5]Key!$E$2:$F$9,2,FALSE)</f>
        <v>Work</v>
      </c>
      <c r="Q1326" s="13" t="s">
        <v>811</v>
      </c>
      <c r="R1326" s="23" t="s">
        <v>439</v>
      </c>
      <c r="S1326" s="13" t="s">
        <v>221</v>
      </c>
      <c r="T1326" s="23">
        <v>4</v>
      </c>
      <c r="U1326" s="30" t="str">
        <f>VLOOKUP(T1326,[5]Key!$E$2:$F$9,2,FALSE)</f>
        <v>Commercial</v>
      </c>
      <c r="V1326" s="30" t="str">
        <f t="shared" si="80"/>
        <v>Work-Commercial</v>
      </c>
      <c r="W1326" s="23">
        <v>70000</v>
      </c>
      <c r="X1326" s="50">
        <v>85</v>
      </c>
      <c r="Y1326" s="50" t="str">
        <f t="shared" si="81"/>
        <v>70-100</v>
      </c>
      <c r="Z1326" s="50">
        <v>2</v>
      </c>
      <c r="AA1326" s="50" t="str">
        <f t="shared" si="82"/>
        <v>2.0-3.5</v>
      </c>
      <c r="AB1326" s="23">
        <v>10</v>
      </c>
      <c r="AC1326" s="30" t="str">
        <f>VLOOKUP(AB1326,[5]Key!$C$20:$D$29,2,FALSE)</f>
        <v>Other</v>
      </c>
      <c r="AD1326" s="23">
        <v>2</v>
      </c>
      <c r="AE1326" s="30" t="str">
        <f>VLOOKUP(AD1326,[5]Key!$E$20:$F$24,2,FALSE)</f>
        <v>300,000-500,000</v>
      </c>
      <c r="AF1326" s="23">
        <v>2</v>
      </c>
      <c r="AG1326" s="50">
        <v>1</v>
      </c>
      <c r="AH1326" s="50">
        <v>3</v>
      </c>
      <c r="AI1326" s="50">
        <v>4</v>
      </c>
      <c r="AJ1326" s="50">
        <v>5</v>
      </c>
      <c r="AK1326" s="46" t="s">
        <v>94</v>
      </c>
      <c r="AL1326" s="36">
        <v>200</v>
      </c>
      <c r="AM1326" t="str">
        <f t="shared" si="83"/>
        <v>0-1000</v>
      </c>
    </row>
    <row r="1327" spans="1:39" x14ac:dyDescent="0.2">
      <c r="A1327" s="44">
        <v>43757</v>
      </c>
      <c r="B1327" s="48">
        <v>0.50624999999999998</v>
      </c>
      <c r="C1327" s="48"/>
      <c r="D1327" s="48" t="s">
        <v>97</v>
      </c>
      <c r="E1327" s="13">
        <v>2</v>
      </c>
      <c r="F1327" s="38" t="str">
        <f>VLOOKUP(E1327,[5]Key!$A$17:$B$21,2,FALSE)</f>
        <v>Road Vehicle</v>
      </c>
      <c r="G1327" s="49">
        <v>4</v>
      </c>
      <c r="H1327" s="39" t="str">
        <f>VLOOKUP(G1327,[5]Key!$A$2:$B$14,2,FALSE)</f>
        <v>Minibus</v>
      </c>
      <c r="I1327" s="13" t="s">
        <v>109</v>
      </c>
      <c r="J1327" s="13">
        <v>4</v>
      </c>
      <c r="K1327" s="40" t="str">
        <f>VLOOKUP(J1327,[5]Key!$A$24:$B$29,2,FALSE)</f>
        <v>50-59</v>
      </c>
      <c r="L1327" s="13" t="s">
        <v>446</v>
      </c>
      <c r="M1327" s="23" t="s">
        <v>439</v>
      </c>
      <c r="N1327" s="13" t="s">
        <v>221</v>
      </c>
      <c r="O1327" s="46">
        <v>2</v>
      </c>
      <c r="P1327" s="30" t="str">
        <f>VLOOKUP(O1327,[5]Key!$E$2:$F$9,2,FALSE)</f>
        <v>Work</v>
      </c>
      <c r="Q1327" s="13" t="s">
        <v>153</v>
      </c>
      <c r="R1327" s="23" t="s">
        <v>153</v>
      </c>
      <c r="S1327" s="13" t="s">
        <v>221</v>
      </c>
      <c r="T1327" s="23">
        <v>4</v>
      </c>
      <c r="U1327" s="30" t="str">
        <f>VLOOKUP(T1327,[5]Key!$E$2:$F$9,2,FALSE)</f>
        <v>Commercial</v>
      </c>
      <c r="V1327" s="30" t="str">
        <f t="shared" si="80"/>
        <v>Work-Commercial</v>
      </c>
      <c r="W1327" s="23">
        <v>500000</v>
      </c>
      <c r="X1327" s="50">
        <v>340</v>
      </c>
      <c r="Y1327" s="50" t="str">
        <f t="shared" si="81"/>
        <v>Over 200</v>
      </c>
      <c r="Z1327" s="50">
        <v>8</v>
      </c>
      <c r="AA1327" s="50" t="str">
        <f t="shared" si="82"/>
        <v>Over 3.5</v>
      </c>
      <c r="AB1327" s="23">
        <v>10</v>
      </c>
      <c r="AC1327" s="30" t="str">
        <f>VLOOKUP(AB1327,[5]Key!$C$20:$D$29,2,FALSE)</f>
        <v>Other</v>
      </c>
      <c r="AD1327" s="23">
        <v>2</v>
      </c>
      <c r="AE1327" s="30" t="str">
        <f>VLOOKUP(AD1327,[5]Key!$E$20:$F$24,2,FALSE)</f>
        <v>300,000-500,000</v>
      </c>
      <c r="AF1327" s="23">
        <v>2</v>
      </c>
      <c r="AG1327" s="50">
        <v>1</v>
      </c>
      <c r="AH1327" s="50">
        <v>3</v>
      </c>
      <c r="AI1327" s="50">
        <v>4</v>
      </c>
      <c r="AJ1327" s="50">
        <v>5</v>
      </c>
      <c r="AK1327" s="46" t="s">
        <v>94</v>
      </c>
      <c r="AL1327" s="36">
        <v>1000</v>
      </c>
      <c r="AM1327" t="str">
        <f t="shared" si="83"/>
        <v>1000-2000</v>
      </c>
    </row>
    <row r="1328" spans="1:39" x14ac:dyDescent="0.2">
      <c r="A1328" s="44">
        <v>43758</v>
      </c>
      <c r="B1328" s="48">
        <v>0.60347222222222219</v>
      </c>
      <c r="C1328" s="48"/>
      <c r="D1328" s="48" t="s">
        <v>150</v>
      </c>
      <c r="E1328" s="13">
        <v>2</v>
      </c>
      <c r="F1328" s="38" t="str">
        <f>VLOOKUP(E1328,[5]Key!$A$17:$B$21,2,FALSE)</f>
        <v>Road Vehicle</v>
      </c>
      <c r="G1328" s="49">
        <v>4</v>
      </c>
      <c r="H1328" s="39" t="str">
        <f>VLOOKUP(G1328,[5]Key!$A$2:$B$14,2,FALSE)</f>
        <v>Minibus</v>
      </c>
      <c r="I1328" s="13" t="s">
        <v>109</v>
      </c>
      <c r="J1328" s="13">
        <v>4</v>
      </c>
      <c r="K1328" s="40" t="str">
        <f>VLOOKUP(J1328,[5]Key!$A$24:$B$29,2,FALSE)</f>
        <v>50-59</v>
      </c>
      <c r="L1328" s="13" t="s">
        <v>746</v>
      </c>
      <c r="M1328" s="23" t="s">
        <v>439</v>
      </c>
      <c r="N1328" s="13" t="s">
        <v>221</v>
      </c>
      <c r="O1328" s="46">
        <v>1</v>
      </c>
      <c r="P1328" s="30" t="str">
        <f>VLOOKUP(O1328,[5]Key!$E$2:$F$9,2,FALSE)</f>
        <v>Home</v>
      </c>
      <c r="Q1328" s="13" t="s">
        <v>812</v>
      </c>
      <c r="R1328" s="23" t="s">
        <v>428</v>
      </c>
      <c r="S1328" s="13" t="s">
        <v>221</v>
      </c>
      <c r="T1328" s="23">
        <v>6</v>
      </c>
      <c r="U1328" s="30" t="str">
        <f>VLOOKUP(T1328,[5]Key!$E$2:$F$9,2,FALSE)</f>
        <v>Leisure/Social</v>
      </c>
      <c r="V1328" s="30" t="str">
        <f t="shared" si="80"/>
        <v>Home-Leisure/Social</v>
      </c>
      <c r="W1328" s="23">
        <v>12000</v>
      </c>
      <c r="X1328" s="50"/>
      <c r="Y1328" s="50" t="str">
        <f t="shared" si="81"/>
        <v>0-10</v>
      </c>
      <c r="Z1328" s="50">
        <v>1</v>
      </c>
      <c r="AA1328" s="50" t="str">
        <f t="shared" si="82"/>
        <v>1.0-2.0</v>
      </c>
      <c r="AB1328" s="23">
        <v>6</v>
      </c>
      <c r="AC1328" s="30" t="str">
        <f>VLOOKUP(AB1328,[5]Key!$C$20:$D$29,2,FALSE)</f>
        <v>Businessman</v>
      </c>
      <c r="AD1328" s="23">
        <v>3</v>
      </c>
      <c r="AE1328" s="30" t="str">
        <f>VLOOKUP(AD1328,[5]Key!$E$20:$F$24,2,FALSE)</f>
        <v>500,000-750,000</v>
      </c>
      <c r="AF1328" s="23">
        <v>3</v>
      </c>
      <c r="AG1328" s="50">
        <v>2</v>
      </c>
      <c r="AH1328" s="50">
        <v>4</v>
      </c>
      <c r="AI1328" s="50">
        <v>1</v>
      </c>
      <c r="AJ1328" s="50">
        <v>5</v>
      </c>
      <c r="AK1328" s="46" t="s">
        <v>94</v>
      </c>
      <c r="AL1328" s="36"/>
      <c r="AM1328" t="str">
        <f t="shared" si="83"/>
        <v>0-1000</v>
      </c>
    </row>
    <row r="1329" spans="1:46" x14ac:dyDescent="0.2">
      <c r="A1329" s="44">
        <v>43758</v>
      </c>
      <c r="B1329" s="48">
        <v>0.48472222222222222</v>
      </c>
      <c r="C1329" s="48"/>
      <c r="D1329" s="48" t="s">
        <v>97</v>
      </c>
      <c r="E1329" s="13">
        <v>2</v>
      </c>
      <c r="F1329" s="38" t="str">
        <f>VLOOKUP(E1329,[5]Key!$A$17:$B$21,2,FALSE)</f>
        <v>Road Vehicle</v>
      </c>
      <c r="G1329" s="49">
        <v>2</v>
      </c>
      <c r="H1329" s="39" t="str">
        <f>VLOOKUP(G1329,[5]Key!$A$2:$B$14,2,FALSE)</f>
        <v>Station Wagon</v>
      </c>
      <c r="I1329" s="13" t="s">
        <v>156</v>
      </c>
      <c r="J1329" s="13">
        <v>4</v>
      </c>
      <c r="K1329" s="40" t="str">
        <f>VLOOKUP(J1329,[5]Key!$A$24:$B$29,2,FALSE)</f>
        <v>50-59</v>
      </c>
      <c r="L1329" s="13" t="s">
        <v>794</v>
      </c>
      <c r="M1329" s="23" t="s">
        <v>463</v>
      </c>
      <c r="N1329" s="13" t="s">
        <v>221</v>
      </c>
      <c r="O1329" s="46">
        <v>1</v>
      </c>
      <c r="P1329" s="30" t="str">
        <f>VLOOKUP(O1329,[5]Key!$E$2:$F$9,2,FALSE)</f>
        <v>Home</v>
      </c>
      <c r="Q1329" s="13" t="s">
        <v>756</v>
      </c>
      <c r="R1329" s="23" t="s">
        <v>452</v>
      </c>
      <c r="S1329" s="13" t="s">
        <v>221</v>
      </c>
      <c r="T1329" s="23">
        <v>6</v>
      </c>
      <c r="U1329" s="30" t="str">
        <f>VLOOKUP(T1329,[5]Key!$E$2:$F$9,2,FALSE)</f>
        <v>Leisure/Social</v>
      </c>
      <c r="V1329" s="30" t="str">
        <f t="shared" si="80"/>
        <v>Home-Leisure/Social</v>
      </c>
      <c r="W1329" s="23">
        <v>15200</v>
      </c>
      <c r="X1329" s="50">
        <v>30</v>
      </c>
      <c r="Y1329" s="50" t="str">
        <f t="shared" si="81"/>
        <v>20-40</v>
      </c>
      <c r="Z1329" s="50">
        <v>0.8</v>
      </c>
      <c r="AA1329" s="50" t="str">
        <f t="shared" si="82"/>
        <v>0.5-1.0</v>
      </c>
      <c r="AB1329" s="23">
        <v>9</v>
      </c>
      <c r="AC1329" s="30" t="str">
        <f>VLOOKUP(AB1329,[5]Key!$C$20:$D$29,2,FALSE)</f>
        <v>Retired</v>
      </c>
      <c r="AD1329" s="23">
        <v>3</v>
      </c>
      <c r="AE1329" s="30" t="str">
        <f>VLOOKUP(AD1329,[5]Key!$E$20:$F$24,2,FALSE)</f>
        <v>500,000-750,000</v>
      </c>
      <c r="AF1329" s="23">
        <v>5</v>
      </c>
      <c r="AG1329" s="50">
        <v>1</v>
      </c>
      <c r="AH1329" s="50">
        <v>2</v>
      </c>
      <c r="AI1329" s="50">
        <v>3</v>
      </c>
      <c r="AJ1329" s="50">
        <v>4</v>
      </c>
      <c r="AK1329" s="46" t="s">
        <v>94</v>
      </c>
      <c r="AL1329" s="36">
        <v>2000</v>
      </c>
      <c r="AM1329" t="str">
        <f t="shared" si="83"/>
        <v>2000-3000</v>
      </c>
    </row>
    <row r="1330" spans="1:46" x14ac:dyDescent="0.2">
      <c r="A1330" s="44">
        <v>43757</v>
      </c>
      <c r="B1330" s="48">
        <v>0.5625</v>
      </c>
      <c r="C1330" s="48"/>
      <c r="D1330" s="48" t="s">
        <v>97</v>
      </c>
      <c r="E1330" s="13">
        <v>2</v>
      </c>
      <c r="F1330" s="38" t="str">
        <f>VLOOKUP(E1330,[5]Key!$A$17:$B$21,2,FALSE)</f>
        <v>Road Vehicle</v>
      </c>
      <c r="G1330" s="49">
        <v>2</v>
      </c>
      <c r="H1330" s="39" t="str">
        <f>VLOOKUP(G1330,[5]Key!$A$2:$B$14,2,FALSE)</f>
        <v>Station Wagon</v>
      </c>
      <c r="I1330" s="13" t="s">
        <v>109</v>
      </c>
      <c r="J1330" s="13">
        <v>4</v>
      </c>
      <c r="K1330" s="40" t="str">
        <f>VLOOKUP(J1330,[5]Key!$A$24:$B$29,2,FALSE)</f>
        <v>50-59</v>
      </c>
      <c r="L1330" s="13" t="s">
        <v>786</v>
      </c>
      <c r="M1330" s="23" t="s">
        <v>463</v>
      </c>
      <c r="N1330" s="13" t="s">
        <v>221</v>
      </c>
      <c r="O1330" s="46">
        <v>1</v>
      </c>
      <c r="P1330" s="30" t="str">
        <f>VLOOKUP(O1330,[5]Key!$E$2:$F$9,2,FALSE)</f>
        <v>Home</v>
      </c>
      <c r="Q1330" s="13" t="s">
        <v>446</v>
      </c>
      <c r="R1330" s="23" t="s">
        <v>439</v>
      </c>
      <c r="S1330" s="13" t="s">
        <v>221</v>
      </c>
      <c r="T1330" s="23">
        <v>2</v>
      </c>
      <c r="U1330" s="30" t="str">
        <f>VLOOKUP(T1330,[5]Key!$E$2:$F$9,2,FALSE)</f>
        <v>Work</v>
      </c>
      <c r="V1330" s="30" t="str">
        <f t="shared" si="80"/>
        <v>Home-Work</v>
      </c>
      <c r="W1330" s="23">
        <v>30000</v>
      </c>
      <c r="X1330" s="50">
        <v>24</v>
      </c>
      <c r="Y1330" s="50" t="str">
        <f t="shared" si="81"/>
        <v>20-40</v>
      </c>
      <c r="Z1330" s="50">
        <v>1.5</v>
      </c>
      <c r="AA1330" s="50" t="str">
        <f t="shared" si="82"/>
        <v>1.0-2.0</v>
      </c>
      <c r="AB1330" s="23">
        <v>10</v>
      </c>
      <c r="AC1330" s="30" t="str">
        <f>VLOOKUP(AB1330,[5]Key!$C$20:$D$29,2,FALSE)</f>
        <v>Other</v>
      </c>
      <c r="AD1330" s="23">
        <v>1</v>
      </c>
      <c r="AE1330" s="30" t="str">
        <f>VLOOKUP(AD1330,[5]Key!$E$20:$F$24,2,FALSE)</f>
        <v>&lt;300,000</v>
      </c>
      <c r="AF1330" s="23">
        <v>4</v>
      </c>
      <c r="AG1330" s="50">
        <v>5</v>
      </c>
      <c r="AH1330" s="50">
        <v>1</v>
      </c>
      <c r="AI1330" s="50">
        <v>2</v>
      </c>
      <c r="AJ1330" s="50">
        <v>3</v>
      </c>
      <c r="AK1330" s="46" t="s">
        <v>700</v>
      </c>
      <c r="AL1330" s="36"/>
      <c r="AM1330" t="str">
        <f t="shared" si="83"/>
        <v>0-1000</v>
      </c>
    </row>
    <row r="1331" spans="1:46" x14ac:dyDescent="0.2">
      <c r="A1331" s="44">
        <v>43756</v>
      </c>
      <c r="B1331" s="48"/>
      <c r="C1331" s="48"/>
      <c r="D1331" s="48" t="s">
        <v>150</v>
      </c>
      <c r="E1331" s="13">
        <v>2</v>
      </c>
      <c r="F1331" s="38" t="str">
        <f>VLOOKUP(E1331,[5]Key!$A$17:$B$21,2,FALSE)</f>
        <v>Road Vehicle</v>
      </c>
      <c r="G1331" s="49">
        <v>1</v>
      </c>
      <c r="H1331" s="39" t="str">
        <f>VLOOKUP(G1331,[5]Key!$A$2:$B$14,2,FALSE)</f>
        <v>Car</v>
      </c>
      <c r="I1331" s="13" t="s">
        <v>156</v>
      </c>
      <c r="J1331" s="13">
        <v>5</v>
      </c>
      <c r="K1331" s="40" t="str">
        <f>VLOOKUP(J1331,[5]Key!$A$24:$B$29,2,FALSE)</f>
        <v>60-69</v>
      </c>
      <c r="L1331" s="55" t="s">
        <v>813</v>
      </c>
      <c r="M1331" s="23" t="s">
        <v>439</v>
      </c>
      <c r="N1331" s="13" t="s">
        <v>221</v>
      </c>
      <c r="O1331" s="46">
        <v>1</v>
      </c>
      <c r="P1331" s="30" t="str">
        <f>VLOOKUP(O1331,[5]Key!$E$2:$F$9,2,FALSE)</f>
        <v>Home</v>
      </c>
      <c r="Q1331" s="13" t="s">
        <v>732</v>
      </c>
      <c r="R1331" s="23" t="s">
        <v>421</v>
      </c>
      <c r="S1331" s="13" t="s">
        <v>221</v>
      </c>
      <c r="T1331" s="23">
        <v>7</v>
      </c>
      <c r="U1331" s="30" t="str">
        <f>VLOOKUP(T1331,[5]Key!$E$2:$F$9,2,FALSE)</f>
        <v>Hospital</v>
      </c>
      <c r="V1331" s="30" t="str">
        <f t="shared" si="80"/>
        <v>Home-Hospital</v>
      </c>
      <c r="W1331" s="41">
        <v>7000</v>
      </c>
      <c r="X1331" s="50"/>
      <c r="Y1331" s="50" t="str">
        <f t="shared" si="81"/>
        <v>0-10</v>
      </c>
      <c r="Z1331" s="50"/>
      <c r="AA1331" s="50" t="str">
        <f t="shared" si="82"/>
        <v>0-0.5</v>
      </c>
      <c r="AB1331" s="23">
        <v>1</v>
      </c>
      <c r="AC1331" s="30" t="str">
        <f>VLOOKUP(AB1331,[5]Key!$C$20:$D$29,2,FALSE)</f>
        <v>Unemployed</v>
      </c>
      <c r="AD1331" s="23">
        <v>1</v>
      </c>
      <c r="AE1331" s="30" t="str">
        <f>VLOOKUP(AD1331,[5]Key!$E$20:$F$24,2,FALSE)</f>
        <v>&lt;300,000</v>
      </c>
      <c r="AF1331" s="23">
        <v>2</v>
      </c>
      <c r="AG1331" s="50">
        <v>5</v>
      </c>
      <c r="AH1331" s="50">
        <v>4</v>
      </c>
      <c r="AI1331" s="50">
        <v>1</v>
      </c>
      <c r="AJ1331" s="50">
        <v>3</v>
      </c>
      <c r="AK1331" s="46" t="s">
        <v>94</v>
      </c>
      <c r="AL1331" s="36"/>
      <c r="AM1331" t="str">
        <f t="shared" si="83"/>
        <v>0-1000</v>
      </c>
      <c r="AN1331" s="19"/>
      <c r="AO1331" s="19"/>
      <c r="AP1331" s="19"/>
      <c r="AQ1331" s="19"/>
      <c r="AR1331" s="19"/>
      <c r="AS1331" s="19"/>
      <c r="AT1331" s="19"/>
    </row>
    <row r="1332" spans="1:46" x14ac:dyDescent="0.2">
      <c r="A1332" s="44">
        <v>43757</v>
      </c>
      <c r="B1332" s="48">
        <v>0.48888888888888887</v>
      </c>
      <c r="C1332" s="48"/>
      <c r="D1332" s="48" t="s">
        <v>97</v>
      </c>
      <c r="E1332" s="13">
        <v>2</v>
      </c>
      <c r="F1332" s="38" t="str">
        <f>VLOOKUP(E1332,[5]Key!$A$17:$B$21,2,FALSE)</f>
        <v>Road Vehicle</v>
      </c>
      <c r="G1332" s="49">
        <v>1</v>
      </c>
      <c r="H1332" s="39" t="str">
        <f>VLOOKUP(G1332,[5]Key!$A$2:$B$14,2,FALSE)</f>
        <v>Car</v>
      </c>
      <c r="I1332" s="13" t="s">
        <v>109</v>
      </c>
      <c r="J1332" s="13">
        <v>5</v>
      </c>
      <c r="K1332" s="40" t="str">
        <f>VLOOKUP(J1332,[5]Key!$A$24:$B$29,2,FALSE)</f>
        <v>60-69</v>
      </c>
      <c r="L1332" s="13" t="s">
        <v>446</v>
      </c>
      <c r="M1332" s="23" t="s">
        <v>439</v>
      </c>
      <c r="N1332" s="13" t="s">
        <v>221</v>
      </c>
      <c r="O1332" s="46">
        <v>2</v>
      </c>
      <c r="P1332" s="30" t="str">
        <f>VLOOKUP(O1332,[5]Key!$E$2:$F$9,2,FALSE)</f>
        <v>Work</v>
      </c>
      <c r="Q1332" s="13" t="s">
        <v>158</v>
      </c>
      <c r="R1332" s="23" t="s">
        <v>455</v>
      </c>
      <c r="S1332" s="13" t="s">
        <v>221</v>
      </c>
      <c r="T1332" s="23">
        <v>4</v>
      </c>
      <c r="U1332" s="30" t="str">
        <f>VLOOKUP(T1332,[5]Key!$E$2:$F$9,2,FALSE)</f>
        <v>Commercial</v>
      </c>
      <c r="V1332" s="30" t="str">
        <f t="shared" si="80"/>
        <v>Work-Commercial</v>
      </c>
      <c r="W1332" s="23">
        <v>120000</v>
      </c>
      <c r="X1332" s="50">
        <v>160</v>
      </c>
      <c r="Y1332" s="50" t="str">
        <f t="shared" si="81"/>
        <v>100-200</v>
      </c>
      <c r="Z1332" s="50">
        <v>4</v>
      </c>
      <c r="AA1332" s="50" t="str">
        <f t="shared" si="82"/>
        <v>Over 3.5</v>
      </c>
      <c r="AB1332" s="23">
        <v>4</v>
      </c>
      <c r="AC1332" s="30" t="str">
        <f>VLOOKUP(AB1332,[5]Key!$C$20:$D$29,2,FALSE)</f>
        <v>Office Worker</v>
      </c>
      <c r="AD1332" s="23">
        <v>5</v>
      </c>
      <c r="AE1332" s="30" t="str">
        <f>VLOOKUP(AD1332,[5]Key!$E$20:$F$24,2,FALSE)</f>
        <v>&gt;1,000,000</v>
      </c>
      <c r="AF1332" s="23">
        <v>4</v>
      </c>
      <c r="AG1332" s="50">
        <v>1</v>
      </c>
      <c r="AH1332" s="50">
        <v>2</v>
      </c>
      <c r="AI1332" s="50">
        <v>5</v>
      </c>
      <c r="AJ1332" s="50">
        <v>3</v>
      </c>
      <c r="AK1332" s="46" t="s">
        <v>94</v>
      </c>
      <c r="AL1332" s="36">
        <v>5000</v>
      </c>
      <c r="AM1332" t="str">
        <f t="shared" si="83"/>
        <v>5000-10000</v>
      </c>
    </row>
    <row r="1333" spans="1:46" x14ac:dyDescent="0.2">
      <c r="A1333" s="44">
        <v>43758</v>
      </c>
      <c r="B1333" s="48">
        <v>0.65625</v>
      </c>
      <c r="C1333" s="48"/>
      <c r="D1333" s="48" t="s">
        <v>150</v>
      </c>
      <c r="E1333" s="13">
        <v>2</v>
      </c>
      <c r="F1333" s="38" t="str">
        <f>VLOOKUP(E1333,[5]Key!$A$17:$B$21,2,FALSE)</f>
        <v>Road Vehicle</v>
      </c>
      <c r="G1333" s="49">
        <v>4</v>
      </c>
      <c r="H1333" s="39" t="str">
        <f>VLOOKUP(G1333,[5]Key!$A$2:$B$14,2,FALSE)</f>
        <v>Minibus</v>
      </c>
      <c r="I1333" s="13" t="s">
        <v>156</v>
      </c>
      <c r="J1333" s="13">
        <v>5</v>
      </c>
      <c r="K1333" s="40" t="str">
        <f>VLOOKUP(J1333,[5]Key!$A$24:$B$29,2,FALSE)</f>
        <v>60-69</v>
      </c>
      <c r="L1333" s="13" t="s">
        <v>712</v>
      </c>
      <c r="M1333" s="23" t="s">
        <v>441</v>
      </c>
      <c r="N1333" s="13" t="s">
        <v>221</v>
      </c>
      <c r="O1333" s="46">
        <v>4</v>
      </c>
      <c r="P1333" s="30" t="str">
        <f>VLOOKUP(O1333,[5]Key!$E$2:$F$9,2,FALSE)</f>
        <v>Commercial</v>
      </c>
      <c r="Q1333" s="13" t="s">
        <v>814</v>
      </c>
      <c r="R1333" s="23" t="s">
        <v>769</v>
      </c>
      <c r="S1333" s="13" t="s">
        <v>221</v>
      </c>
      <c r="T1333" s="23">
        <v>4</v>
      </c>
      <c r="U1333" s="30" t="str">
        <f>VLOOKUP(T1333,[5]Key!$E$2:$F$9,2,FALSE)</f>
        <v>Commercial</v>
      </c>
      <c r="V1333" s="30" t="str">
        <f t="shared" si="80"/>
        <v>Commercial-Commercial</v>
      </c>
      <c r="W1333" s="23">
        <v>18000</v>
      </c>
      <c r="X1333" s="50"/>
      <c r="Y1333" s="50" t="str">
        <f t="shared" si="81"/>
        <v>0-10</v>
      </c>
      <c r="Z1333" s="50">
        <v>1.5</v>
      </c>
      <c r="AA1333" s="50" t="str">
        <f t="shared" si="82"/>
        <v>1.0-2.0</v>
      </c>
      <c r="AB1333" s="23">
        <v>9</v>
      </c>
      <c r="AC1333" s="30" t="str">
        <f>VLOOKUP(AB1333,[5]Key!$C$20:$D$29,2,FALSE)</f>
        <v>Retired</v>
      </c>
      <c r="AD1333" s="23">
        <v>3</v>
      </c>
      <c r="AE1333" s="30" t="str">
        <f>VLOOKUP(AD1333,[5]Key!$E$20:$F$24,2,FALSE)</f>
        <v>500,000-750,000</v>
      </c>
      <c r="AF1333" s="23">
        <v>1</v>
      </c>
      <c r="AG1333" s="50">
        <v>2</v>
      </c>
      <c r="AH1333" s="50">
        <v>3</v>
      </c>
      <c r="AI1333" s="50">
        <v>4</v>
      </c>
      <c r="AJ1333" s="50">
        <v>5</v>
      </c>
      <c r="AK1333" s="46" t="s">
        <v>94</v>
      </c>
      <c r="AL1333" s="36">
        <v>1000</v>
      </c>
      <c r="AM1333" t="str">
        <f t="shared" si="83"/>
        <v>1000-2000</v>
      </c>
    </row>
    <row r="1334" spans="1:46" x14ac:dyDescent="0.2">
      <c r="A1334" s="44">
        <v>43757</v>
      </c>
      <c r="B1334" s="48">
        <v>0.4694444444444445</v>
      </c>
      <c r="C1334" s="48"/>
      <c r="D1334" s="48" t="s">
        <v>150</v>
      </c>
      <c r="E1334" s="13">
        <v>2</v>
      </c>
      <c r="F1334" s="38" t="str">
        <f>VLOOKUP(E1334,[5]Key!$A$17:$B$21,2,FALSE)</f>
        <v>Road Vehicle</v>
      </c>
      <c r="G1334" s="49">
        <v>4</v>
      </c>
      <c r="H1334" s="39" t="str">
        <f>VLOOKUP(G1334,[5]Key!$A$2:$B$14,2,FALSE)</f>
        <v>Minibus</v>
      </c>
      <c r="I1334" s="13" t="s">
        <v>109</v>
      </c>
      <c r="J1334" s="13">
        <v>5</v>
      </c>
      <c r="K1334" s="40" t="str">
        <f>VLOOKUP(J1334,[5]Key!$A$24:$B$29,2,FALSE)</f>
        <v>60-69</v>
      </c>
      <c r="L1334" s="13" t="s">
        <v>815</v>
      </c>
      <c r="M1334" s="23" t="s">
        <v>421</v>
      </c>
      <c r="N1334" s="13" t="s">
        <v>221</v>
      </c>
      <c r="O1334" s="46">
        <v>4</v>
      </c>
      <c r="P1334" s="30" t="str">
        <f>VLOOKUP(O1334,[5]Key!$E$2:$F$9,2,FALSE)</f>
        <v>Commercial</v>
      </c>
      <c r="Q1334" s="13" t="s">
        <v>780</v>
      </c>
      <c r="R1334" s="23" t="s">
        <v>439</v>
      </c>
      <c r="S1334" s="13" t="s">
        <v>221</v>
      </c>
      <c r="T1334" s="23">
        <v>1</v>
      </c>
      <c r="U1334" s="30" t="str">
        <f>VLOOKUP(T1334,[5]Key!$E$2:$F$9,2,FALSE)</f>
        <v>Home</v>
      </c>
      <c r="V1334" s="30" t="str">
        <f t="shared" si="80"/>
        <v>Commercial-Home</v>
      </c>
      <c r="W1334" s="23">
        <v>10000</v>
      </c>
      <c r="X1334" s="50">
        <v>12.87</v>
      </c>
      <c r="Y1334" s="50" t="str">
        <f t="shared" si="81"/>
        <v>10-20</v>
      </c>
      <c r="Z1334" s="50">
        <v>1</v>
      </c>
      <c r="AA1334" s="50" t="str">
        <f t="shared" si="82"/>
        <v>1.0-2.0</v>
      </c>
      <c r="AB1334" s="23">
        <v>6</v>
      </c>
      <c r="AC1334" s="30" t="str">
        <f>VLOOKUP(AB1334,[5]Key!$C$20:$D$29,2,FALSE)</f>
        <v>Businessman</v>
      </c>
      <c r="AD1334" s="23">
        <v>5</v>
      </c>
      <c r="AE1334" s="30" t="str">
        <f>VLOOKUP(AD1334,[5]Key!$E$20:$F$24,2,FALSE)</f>
        <v>&gt;1,000,000</v>
      </c>
      <c r="AF1334" s="23">
        <v>3</v>
      </c>
      <c r="AG1334" s="50">
        <v>2</v>
      </c>
      <c r="AH1334" s="50">
        <v>1</v>
      </c>
      <c r="AI1334" s="50">
        <v>4</v>
      </c>
      <c r="AJ1334" s="50">
        <v>5</v>
      </c>
      <c r="AK1334" s="46" t="s">
        <v>94</v>
      </c>
      <c r="AL1334" s="36">
        <v>1000</v>
      </c>
      <c r="AM1334" t="str">
        <f t="shared" si="83"/>
        <v>1000-2000</v>
      </c>
    </row>
    <row r="1335" spans="1:46" x14ac:dyDescent="0.2">
      <c r="A1335" s="44">
        <v>43758</v>
      </c>
      <c r="B1335" s="48">
        <v>0.47569444444444442</v>
      </c>
      <c r="C1335" s="48"/>
      <c r="D1335" s="48" t="s">
        <v>150</v>
      </c>
      <c r="E1335" s="13">
        <v>2</v>
      </c>
      <c r="F1335" s="38" t="str">
        <f>VLOOKUP(E1335,[5]Key!$A$17:$B$21,2,FALSE)</f>
        <v>Road Vehicle</v>
      </c>
      <c r="G1335" s="49">
        <v>4</v>
      </c>
      <c r="H1335" s="39" t="str">
        <f>VLOOKUP(G1335,[5]Key!$A$2:$B$14,2,FALSE)</f>
        <v>Minibus</v>
      </c>
      <c r="I1335" s="13" t="s">
        <v>109</v>
      </c>
      <c r="J1335" s="13">
        <v>5</v>
      </c>
      <c r="K1335" s="40" t="str">
        <f>VLOOKUP(J1335,[5]Key!$A$24:$B$29,2,FALSE)</f>
        <v>60-69</v>
      </c>
      <c r="L1335" s="13" t="s">
        <v>746</v>
      </c>
      <c r="M1335" s="23" t="s">
        <v>439</v>
      </c>
      <c r="N1335" s="13" t="s">
        <v>221</v>
      </c>
      <c r="O1335" s="46">
        <v>6</v>
      </c>
      <c r="P1335" s="30" t="str">
        <f>VLOOKUP(O1335,[5]Key!$E$2:$F$9,2,FALSE)</f>
        <v>Leisure/Social</v>
      </c>
      <c r="Q1335" s="13" t="s">
        <v>816</v>
      </c>
      <c r="R1335" s="23" t="s">
        <v>754</v>
      </c>
      <c r="S1335" s="13" t="s">
        <v>221</v>
      </c>
      <c r="T1335" s="23">
        <v>1</v>
      </c>
      <c r="U1335" s="30" t="str">
        <f>VLOOKUP(T1335,[5]Key!$E$2:$F$9,2,FALSE)</f>
        <v>Home</v>
      </c>
      <c r="V1335" s="30" t="str">
        <f t="shared" si="80"/>
        <v>Leisure/Social-Home</v>
      </c>
      <c r="W1335" s="23">
        <v>15000</v>
      </c>
      <c r="X1335" s="50"/>
      <c r="Y1335" s="50" t="str">
        <f t="shared" si="81"/>
        <v>0-10</v>
      </c>
      <c r="Z1335" s="50"/>
      <c r="AA1335" s="50" t="str">
        <f t="shared" si="82"/>
        <v>0-0.5</v>
      </c>
      <c r="AB1335" s="23">
        <v>1</v>
      </c>
      <c r="AC1335" s="30" t="str">
        <f>VLOOKUP(AB1335,[5]Key!$C$20:$D$29,2,FALSE)</f>
        <v>Unemployed</v>
      </c>
      <c r="AD1335" s="23">
        <v>1</v>
      </c>
      <c r="AE1335" s="30" t="str">
        <f>VLOOKUP(AD1335,[5]Key!$E$20:$F$24,2,FALSE)</f>
        <v>&lt;300,000</v>
      </c>
      <c r="AF1335" s="23">
        <v>2</v>
      </c>
      <c r="AG1335" s="50">
        <v>5</v>
      </c>
      <c r="AH1335" s="50">
        <v>3</v>
      </c>
      <c r="AI1335" s="50">
        <v>1</v>
      </c>
      <c r="AJ1335" s="50">
        <v>4</v>
      </c>
      <c r="AK1335" s="46" t="s">
        <v>94</v>
      </c>
      <c r="AL1335" s="36">
        <v>100</v>
      </c>
      <c r="AM1335" t="str">
        <f t="shared" si="83"/>
        <v>0-1000</v>
      </c>
    </row>
    <row r="1336" spans="1:46" x14ac:dyDescent="0.2">
      <c r="A1336" s="44">
        <v>43758</v>
      </c>
      <c r="B1336" s="48">
        <v>0.35694444444444445</v>
      </c>
      <c r="C1336" s="48"/>
      <c r="D1336" s="48" t="s">
        <v>150</v>
      </c>
      <c r="E1336" s="13">
        <v>2</v>
      </c>
      <c r="F1336" s="38" t="str">
        <f>VLOOKUP(E1336,[5]Key!$A$17:$B$21,2,FALSE)</f>
        <v>Road Vehicle</v>
      </c>
      <c r="G1336" s="49">
        <v>6</v>
      </c>
      <c r="H1336" s="39" t="str">
        <f>VLOOKUP(G1336,[5]Key!$A$2:$B$14,2,FALSE)</f>
        <v>Large Bus</v>
      </c>
      <c r="I1336" s="13" t="s">
        <v>109</v>
      </c>
      <c r="J1336" s="13">
        <v>6</v>
      </c>
      <c r="K1336" s="40" t="str">
        <f>VLOOKUP(J1336,[5]Key!$A$24:$B$29,2,FALSE)</f>
        <v>70-</v>
      </c>
      <c r="L1336" s="13" t="s">
        <v>817</v>
      </c>
      <c r="M1336" s="23" t="s">
        <v>153</v>
      </c>
      <c r="N1336" s="13" t="s">
        <v>221</v>
      </c>
      <c r="O1336" s="46">
        <v>2</v>
      </c>
      <c r="P1336" s="30" t="str">
        <f>VLOOKUP(O1336,[5]Key!$E$2:$F$9,2,FALSE)</f>
        <v>Work</v>
      </c>
      <c r="Q1336" s="13" t="s">
        <v>734</v>
      </c>
      <c r="R1336" s="23" t="s">
        <v>488</v>
      </c>
      <c r="S1336" s="13" t="s">
        <v>221</v>
      </c>
      <c r="T1336" s="23">
        <v>1</v>
      </c>
      <c r="U1336" s="30" t="str">
        <f>VLOOKUP(T1336,[5]Key!$E$2:$F$9,2,FALSE)</f>
        <v>Home</v>
      </c>
      <c r="V1336" s="30" t="str">
        <f t="shared" si="80"/>
        <v>Work-Home</v>
      </c>
      <c r="W1336" s="23">
        <v>20000</v>
      </c>
      <c r="X1336" s="50">
        <v>310</v>
      </c>
      <c r="Y1336" s="50" t="str">
        <f t="shared" si="81"/>
        <v>Over 200</v>
      </c>
      <c r="Z1336" s="50">
        <v>4</v>
      </c>
      <c r="AA1336" s="50" t="str">
        <f t="shared" si="82"/>
        <v>Over 3.5</v>
      </c>
      <c r="AB1336" s="23">
        <v>9</v>
      </c>
      <c r="AC1336" s="30" t="str">
        <f>VLOOKUP(AB1336,[5]Key!$C$20:$D$29,2,FALSE)</f>
        <v>Retired</v>
      </c>
      <c r="AD1336" s="23">
        <v>4</v>
      </c>
      <c r="AE1336" s="30" t="str">
        <f>VLOOKUP(AD1336,[5]Key!$E$20:$F$24,2,FALSE)</f>
        <v>750,000-1,000,000</v>
      </c>
      <c r="AF1336" s="23">
        <v>4</v>
      </c>
      <c r="AG1336" s="50">
        <v>3</v>
      </c>
      <c r="AH1336" s="50">
        <v>1</v>
      </c>
      <c r="AI1336" s="50">
        <v>2</v>
      </c>
      <c r="AJ1336" s="50">
        <v>5</v>
      </c>
      <c r="AK1336" s="46" t="s">
        <v>94</v>
      </c>
      <c r="AL1336" s="36"/>
      <c r="AM1336" t="str">
        <f t="shared" si="83"/>
        <v>0-1000</v>
      </c>
    </row>
    <row r="1337" spans="1:46" s="19" customFormat="1" x14ac:dyDescent="0.2">
      <c r="A1337" s="44">
        <v>43759</v>
      </c>
      <c r="B1337" s="48">
        <v>0.69444444444444453</v>
      </c>
      <c r="C1337" s="48"/>
      <c r="D1337" s="48" t="s">
        <v>150</v>
      </c>
      <c r="E1337" s="13">
        <v>1</v>
      </c>
      <c r="F1337" s="38" t="str">
        <f>VLOOKUP(E1337,[6]Key!$A$17:$B$21,2,FALSE)</f>
        <v>Walking/Cycling</v>
      </c>
      <c r="G1337" s="49">
        <v>13</v>
      </c>
      <c r="H1337" s="39" t="str">
        <f>VLOOKUP(G1337,[6]Key!$A$2:$B$14,2,FALSE)</f>
        <v>Bicylces</v>
      </c>
      <c r="I1337" s="13" t="s">
        <v>109</v>
      </c>
      <c r="J1337" s="13">
        <v>1</v>
      </c>
      <c r="K1337" s="40" t="str">
        <f>VLOOKUP(J1337,[6]Key!$A$24:$B$29,2,FALSE)</f>
        <v>20-29</v>
      </c>
      <c r="L1337" s="55" t="s">
        <v>818</v>
      </c>
      <c r="M1337" s="23" t="s">
        <v>819</v>
      </c>
      <c r="N1337" s="13" t="s">
        <v>820</v>
      </c>
      <c r="O1337" s="46">
        <v>2</v>
      </c>
      <c r="P1337" s="30" t="str">
        <f>VLOOKUP(O1337,[6]Key!$E$2:$F$9,2,FALSE)</f>
        <v>Work</v>
      </c>
      <c r="Q1337" s="13" t="s">
        <v>821</v>
      </c>
      <c r="R1337" s="23" t="s">
        <v>819</v>
      </c>
      <c r="S1337" s="13" t="s">
        <v>820</v>
      </c>
      <c r="T1337" s="23">
        <v>1</v>
      </c>
      <c r="U1337" s="30" t="str">
        <f>VLOOKUP(T1337,[6]Key!$E$2:$F$9,2,FALSE)</f>
        <v>Home</v>
      </c>
      <c r="V1337" s="30" t="str">
        <f t="shared" si="80"/>
        <v>Work-Home</v>
      </c>
      <c r="W1337" s="41">
        <v>2000</v>
      </c>
      <c r="X1337" s="50"/>
      <c r="Y1337" s="50" t="str">
        <f t="shared" si="81"/>
        <v>0-10</v>
      </c>
      <c r="Z1337" s="50">
        <v>0.3</v>
      </c>
      <c r="AA1337" s="50" t="str">
        <f t="shared" si="82"/>
        <v>0-0.5</v>
      </c>
      <c r="AB1337" s="23">
        <v>2</v>
      </c>
      <c r="AC1337" s="30" t="str">
        <f>VLOOKUP(AB1337,[6]Key!$C$20:$D$29,2,FALSE)</f>
        <v>Manual Labour</v>
      </c>
      <c r="AD1337" s="23">
        <v>1</v>
      </c>
      <c r="AE1337" s="30" t="str">
        <f>VLOOKUP(AD1337,[6]Key!$E$20:$F$24,2,FALSE)</f>
        <v>&lt;300,000</v>
      </c>
      <c r="AF1337" s="23">
        <v>1</v>
      </c>
      <c r="AG1337" s="50">
        <v>2</v>
      </c>
      <c r="AH1337" s="50">
        <v>4</v>
      </c>
      <c r="AI1337" s="50">
        <v>5</v>
      </c>
      <c r="AJ1337" s="50">
        <v>3</v>
      </c>
      <c r="AK1337" s="46" t="s">
        <v>94</v>
      </c>
      <c r="AL1337" s="36">
        <v>10000</v>
      </c>
      <c r="AM1337" t="str">
        <f t="shared" si="83"/>
        <v>Over 10000</v>
      </c>
      <c r="AN1337"/>
      <c r="AO1337"/>
      <c r="AP1337"/>
      <c r="AQ1337"/>
      <c r="AR1337"/>
      <c r="AS1337"/>
      <c r="AT1337"/>
    </row>
    <row r="1338" spans="1:46" x14ac:dyDescent="0.2">
      <c r="A1338" s="44">
        <v>43761</v>
      </c>
      <c r="B1338" s="48">
        <v>0.45833333333333331</v>
      </c>
      <c r="C1338" s="48"/>
      <c r="D1338" s="48" t="s">
        <v>150</v>
      </c>
      <c r="E1338" s="13">
        <v>2</v>
      </c>
      <c r="F1338" s="38" t="str">
        <f>VLOOKUP(E1338,[6]Key!$A$17:$B$21,2,FALSE)</f>
        <v>Road Vehicle</v>
      </c>
      <c r="G1338" s="49">
        <v>1</v>
      </c>
      <c r="H1338" s="39" t="str">
        <f>VLOOKUP(G1338,[6]Key!$A$2:$B$14,2,FALSE)</f>
        <v>Car</v>
      </c>
      <c r="I1338" s="13" t="s">
        <v>156</v>
      </c>
      <c r="J1338" s="13">
        <v>1</v>
      </c>
      <c r="K1338" s="40" t="str">
        <f>VLOOKUP(J1338,[6]Key!$A$24:$B$29,2,FALSE)</f>
        <v>20-29</v>
      </c>
      <c r="L1338" s="55" t="s">
        <v>822</v>
      </c>
      <c r="M1338" s="23" t="s">
        <v>822</v>
      </c>
      <c r="N1338" s="13" t="s">
        <v>820</v>
      </c>
      <c r="O1338" s="46">
        <v>1</v>
      </c>
      <c r="P1338" s="30" t="str">
        <f>VLOOKUP(O1338,[6]Key!$E$2:$F$9,2,FALSE)</f>
        <v>Home</v>
      </c>
      <c r="Q1338" s="13" t="s">
        <v>819</v>
      </c>
      <c r="R1338" s="23" t="s">
        <v>819</v>
      </c>
      <c r="S1338" s="13"/>
      <c r="T1338" s="23">
        <v>8</v>
      </c>
      <c r="U1338" s="30" t="str">
        <f>VLOOKUP(T1338,[6]Key!$E$2:$F$9,2,FALSE)</f>
        <v>Others</v>
      </c>
      <c r="V1338" s="30" t="str">
        <f t="shared" si="80"/>
        <v>Home-Others</v>
      </c>
      <c r="W1338" s="41">
        <v>15000</v>
      </c>
      <c r="X1338" s="50"/>
      <c r="Y1338" s="50" t="str">
        <f t="shared" si="81"/>
        <v>0-10</v>
      </c>
      <c r="Z1338" s="50">
        <v>2</v>
      </c>
      <c r="AA1338" s="50" t="str">
        <f t="shared" si="82"/>
        <v>2.0-3.5</v>
      </c>
      <c r="AB1338" s="23">
        <v>3</v>
      </c>
      <c r="AC1338" s="30" t="str">
        <f>VLOOKUP(AB1338,[6]Key!$C$20:$D$29,2,FALSE)</f>
        <v>Artisan/Domestic</v>
      </c>
      <c r="AD1338" s="23">
        <v>1</v>
      </c>
      <c r="AE1338" s="30" t="str">
        <f>VLOOKUP(AD1338,[6]Key!$E$20:$F$24,2,FALSE)</f>
        <v>&lt;300,000</v>
      </c>
      <c r="AF1338" s="23">
        <v>5</v>
      </c>
      <c r="AG1338" s="50">
        <v>4</v>
      </c>
      <c r="AH1338" s="50">
        <v>2</v>
      </c>
      <c r="AI1338" s="50">
        <v>1</v>
      </c>
      <c r="AJ1338" s="50">
        <v>3</v>
      </c>
      <c r="AK1338" s="46" t="s">
        <v>94</v>
      </c>
      <c r="AL1338" s="36">
        <v>1000</v>
      </c>
      <c r="AM1338" t="str">
        <f t="shared" si="83"/>
        <v>1000-2000</v>
      </c>
    </row>
    <row r="1339" spans="1:46" x14ac:dyDescent="0.2">
      <c r="A1339" s="44">
        <v>43759</v>
      </c>
      <c r="B1339" s="48">
        <v>0.59722222222222221</v>
      </c>
      <c r="C1339" s="48"/>
      <c r="D1339" s="48" t="s">
        <v>150</v>
      </c>
      <c r="E1339" s="13">
        <v>2</v>
      </c>
      <c r="F1339" s="38" t="str">
        <f>VLOOKUP(E1339,[6]Key!$A$17:$B$21,2,FALSE)</f>
        <v>Road Vehicle</v>
      </c>
      <c r="G1339" s="49">
        <v>1</v>
      </c>
      <c r="H1339" s="39" t="str">
        <f>VLOOKUP(G1339,[6]Key!$A$2:$B$14,2,FALSE)</f>
        <v>Car</v>
      </c>
      <c r="I1339" s="13" t="s">
        <v>109</v>
      </c>
      <c r="J1339" s="13">
        <v>1</v>
      </c>
      <c r="K1339" s="40" t="str">
        <f>VLOOKUP(J1339,[6]Key!$A$24:$B$29,2,FALSE)</f>
        <v>20-29</v>
      </c>
      <c r="L1339" s="55" t="s">
        <v>823</v>
      </c>
      <c r="M1339" s="23" t="s">
        <v>819</v>
      </c>
      <c r="N1339" s="13" t="s">
        <v>820</v>
      </c>
      <c r="O1339" s="46">
        <v>2</v>
      </c>
      <c r="P1339" s="30" t="str">
        <f>VLOOKUP(O1339,[6]Key!$E$2:$F$9,2,FALSE)</f>
        <v>Work</v>
      </c>
      <c r="Q1339" s="13" t="s">
        <v>96</v>
      </c>
      <c r="R1339" s="23" t="s">
        <v>819</v>
      </c>
      <c r="S1339" s="13" t="s">
        <v>820</v>
      </c>
      <c r="T1339" s="23">
        <v>1</v>
      </c>
      <c r="U1339" s="30" t="str">
        <f>VLOOKUP(T1339,[6]Key!$E$2:$F$9,2,FALSE)</f>
        <v>Home</v>
      </c>
      <c r="V1339" s="30" t="str">
        <f t="shared" si="80"/>
        <v>Work-Home</v>
      </c>
      <c r="W1339" s="41">
        <v>1000</v>
      </c>
      <c r="X1339" s="50">
        <v>0.5</v>
      </c>
      <c r="Y1339" s="50" t="str">
        <f t="shared" si="81"/>
        <v>0-10</v>
      </c>
      <c r="Z1339" s="50">
        <v>0.2</v>
      </c>
      <c r="AA1339" s="50" t="str">
        <f t="shared" si="82"/>
        <v>0-0.5</v>
      </c>
      <c r="AB1339" s="23">
        <v>6</v>
      </c>
      <c r="AC1339" s="30" t="str">
        <f>VLOOKUP(AB1339,[6]Key!$C$20:$D$29,2,FALSE)</f>
        <v>Businessman</v>
      </c>
      <c r="AD1339" s="23">
        <v>1</v>
      </c>
      <c r="AE1339" s="30" t="str">
        <f>VLOOKUP(AD1339,[6]Key!$E$20:$F$24,2,FALSE)</f>
        <v>&lt;300,000</v>
      </c>
      <c r="AF1339" s="23">
        <v>5</v>
      </c>
      <c r="AG1339" s="50">
        <v>1</v>
      </c>
      <c r="AH1339" s="50">
        <v>2</v>
      </c>
      <c r="AI1339" s="50">
        <v>4</v>
      </c>
      <c r="AJ1339" s="50">
        <v>3</v>
      </c>
      <c r="AK1339" s="46" t="s">
        <v>94</v>
      </c>
      <c r="AL1339" s="36">
        <v>2000</v>
      </c>
      <c r="AM1339" t="str">
        <f t="shared" si="83"/>
        <v>2000-3000</v>
      </c>
    </row>
    <row r="1340" spans="1:46" x14ac:dyDescent="0.2">
      <c r="A1340" s="44">
        <v>43759</v>
      </c>
      <c r="B1340" s="48">
        <v>0.65138888888888891</v>
      </c>
      <c r="C1340" s="48"/>
      <c r="D1340" s="48" t="s">
        <v>150</v>
      </c>
      <c r="E1340" s="13">
        <v>2</v>
      </c>
      <c r="F1340" s="38" t="str">
        <f>VLOOKUP(E1340,[6]Key!$A$17:$B$21,2,FALSE)</f>
        <v>Road Vehicle</v>
      </c>
      <c r="G1340" s="49">
        <v>1</v>
      </c>
      <c r="H1340" s="39" t="str">
        <f>VLOOKUP(G1340,[6]Key!$A$2:$B$14,2,FALSE)</f>
        <v>Car</v>
      </c>
      <c r="I1340" s="13" t="s">
        <v>109</v>
      </c>
      <c r="J1340" s="13">
        <v>1</v>
      </c>
      <c r="K1340" s="40" t="str">
        <f>VLOOKUP(J1340,[6]Key!$A$24:$B$29,2,FALSE)</f>
        <v>20-29</v>
      </c>
      <c r="L1340" s="55" t="s">
        <v>819</v>
      </c>
      <c r="M1340" s="23" t="s">
        <v>819</v>
      </c>
      <c r="N1340" s="13" t="s">
        <v>820</v>
      </c>
      <c r="O1340" s="46">
        <v>1</v>
      </c>
      <c r="P1340" s="30" t="str">
        <f>VLOOKUP(O1340,[6]Key!$E$2:$F$9,2,FALSE)</f>
        <v>Home</v>
      </c>
      <c r="Q1340" s="13" t="s">
        <v>283</v>
      </c>
      <c r="R1340" s="23" t="s">
        <v>283</v>
      </c>
      <c r="S1340" s="13" t="s">
        <v>820</v>
      </c>
      <c r="T1340" s="23">
        <v>2</v>
      </c>
      <c r="U1340" s="30" t="str">
        <f>VLOOKUP(T1340,[6]Key!$E$2:$F$9,2,FALSE)</f>
        <v>Work</v>
      </c>
      <c r="V1340" s="30" t="str">
        <f t="shared" si="80"/>
        <v>Home-Work</v>
      </c>
      <c r="W1340" s="41">
        <v>15000</v>
      </c>
      <c r="X1340" s="50"/>
      <c r="Y1340" s="50" t="str">
        <f t="shared" si="81"/>
        <v>0-10</v>
      </c>
      <c r="Z1340" s="50">
        <v>4.5</v>
      </c>
      <c r="AA1340" s="50" t="str">
        <f t="shared" si="82"/>
        <v>Over 3.5</v>
      </c>
      <c r="AB1340" s="23">
        <v>2</v>
      </c>
      <c r="AC1340" s="30" t="str">
        <f>VLOOKUP(AB1340,[6]Key!$C$20:$D$29,2,FALSE)</f>
        <v>Manual Labour</v>
      </c>
      <c r="AD1340" s="23">
        <v>1</v>
      </c>
      <c r="AE1340" s="30" t="str">
        <f>VLOOKUP(AD1340,[6]Key!$E$20:$F$24,2,FALSE)</f>
        <v>&lt;300,000</v>
      </c>
      <c r="AF1340" s="23"/>
      <c r="AG1340" s="50"/>
      <c r="AH1340" s="50"/>
      <c r="AI1340" s="50"/>
      <c r="AJ1340" s="50"/>
      <c r="AK1340" s="46" t="s">
        <v>94</v>
      </c>
      <c r="AL1340" s="36"/>
      <c r="AM1340" t="str">
        <f t="shared" si="83"/>
        <v>0-1000</v>
      </c>
    </row>
    <row r="1341" spans="1:46" x14ac:dyDescent="0.2">
      <c r="A1341" s="44">
        <v>43760</v>
      </c>
      <c r="B1341" s="48">
        <v>0.41736111111111113</v>
      </c>
      <c r="C1341" s="48"/>
      <c r="D1341" s="48" t="s">
        <v>150</v>
      </c>
      <c r="E1341" s="13">
        <v>2</v>
      </c>
      <c r="F1341" s="38" t="str">
        <f>VLOOKUP(E1341,[6]Key!$A$17:$B$21,2,FALSE)</f>
        <v>Road Vehicle</v>
      </c>
      <c r="G1341" s="49">
        <v>1</v>
      </c>
      <c r="H1341" s="39" t="str">
        <f>VLOOKUP(G1341,[6]Key!$A$2:$B$14,2,FALSE)</f>
        <v>Car</v>
      </c>
      <c r="I1341" s="13" t="s">
        <v>109</v>
      </c>
      <c r="J1341" s="13">
        <v>1</v>
      </c>
      <c r="K1341" s="40" t="str">
        <f>VLOOKUP(J1341,[6]Key!$A$24:$B$29,2,FALSE)</f>
        <v>20-29</v>
      </c>
      <c r="L1341" s="55" t="s">
        <v>824</v>
      </c>
      <c r="M1341" s="23" t="s">
        <v>819</v>
      </c>
      <c r="N1341" s="13" t="s">
        <v>820</v>
      </c>
      <c r="O1341" s="46">
        <v>2</v>
      </c>
      <c r="P1341" s="30" t="str">
        <f>VLOOKUP(O1341,[6]Key!$E$2:$F$9,2,FALSE)</f>
        <v>Work</v>
      </c>
      <c r="Q1341" s="13" t="s">
        <v>825</v>
      </c>
      <c r="R1341" s="23" t="s">
        <v>819</v>
      </c>
      <c r="S1341" s="13" t="s">
        <v>820</v>
      </c>
      <c r="T1341" s="23">
        <v>1</v>
      </c>
      <c r="U1341" s="30" t="str">
        <f>VLOOKUP(T1341,[6]Key!$E$2:$F$9,2,FALSE)</f>
        <v>Home</v>
      </c>
      <c r="V1341" s="30" t="str">
        <f t="shared" si="80"/>
        <v>Work-Home</v>
      </c>
      <c r="W1341" s="41">
        <v>1000</v>
      </c>
      <c r="X1341" s="50">
        <v>1</v>
      </c>
      <c r="Y1341" s="50" t="str">
        <f t="shared" si="81"/>
        <v>0-10</v>
      </c>
      <c r="Z1341" s="50">
        <v>0.2</v>
      </c>
      <c r="AA1341" s="50" t="str">
        <f t="shared" si="82"/>
        <v>0-0.5</v>
      </c>
      <c r="AB1341" s="23">
        <v>2</v>
      </c>
      <c r="AC1341" s="30" t="str">
        <f>VLOOKUP(AB1341,[6]Key!$C$20:$D$29,2,FALSE)</f>
        <v>Manual Labour</v>
      </c>
      <c r="AD1341" s="23">
        <v>1</v>
      </c>
      <c r="AE1341" s="30" t="str">
        <f>VLOOKUP(AD1341,[6]Key!$E$20:$F$24,2,FALSE)</f>
        <v>&lt;300,000</v>
      </c>
      <c r="AF1341" s="23">
        <v>1</v>
      </c>
      <c r="AG1341" s="50">
        <v>2</v>
      </c>
      <c r="AH1341" s="50">
        <v>5</v>
      </c>
      <c r="AI1341" s="50">
        <v>4</v>
      </c>
      <c r="AJ1341" s="50">
        <v>3</v>
      </c>
      <c r="AK1341" s="46" t="s">
        <v>700</v>
      </c>
      <c r="AL1341" s="36"/>
      <c r="AM1341" t="str">
        <f t="shared" si="83"/>
        <v>0-1000</v>
      </c>
    </row>
    <row r="1342" spans="1:46" x14ac:dyDescent="0.2">
      <c r="A1342" s="44">
        <v>43761</v>
      </c>
      <c r="B1342" s="48">
        <v>0.45416666666666666</v>
      </c>
      <c r="C1342" s="48"/>
      <c r="D1342" s="48" t="s">
        <v>150</v>
      </c>
      <c r="E1342" s="13">
        <v>2</v>
      </c>
      <c r="F1342" s="38" t="str">
        <f>VLOOKUP(E1342,[6]Key!$A$17:$B$21,2,FALSE)</f>
        <v>Road Vehicle</v>
      </c>
      <c r="G1342" s="49">
        <v>1</v>
      </c>
      <c r="H1342" s="39" t="str">
        <f>VLOOKUP(G1342,[6]Key!$A$2:$B$14,2,FALSE)</f>
        <v>Car</v>
      </c>
      <c r="I1342" s="13" t="s">
        <v>109</v>
      </c>
      <c r="J1342" s="13">
        <v>1</v>
      </c>
      <c r="K1342" s="40" t="str">
        <f>VLOOKUP(J1342,[6]Key!$A$24:$B$29,2,FALSE)</f>
        <v>20-29</v>
      </c>
      <c r="L1342" s="55" t="s">
        <v>404</v>
      </c>
      <c r="M1342" s="23" t="s">
        <v>404</v>
      </c>
      <c r="N1342" s="13" t="s">
        <v>820</v>
      </c>
      <c r="O1342" s="46">
        <v>1</v>
      </c>
      <c r="P1342" s="30" t="str">
        <f>VLOOKUP(O1342,[6]Key!$E$2:$F$9,2,FALSE)</f>
        <v>Home</v>
      </c>
      <c r="Q1342" s="13" t="s">
        <v>826</v>
      </c>
      <c r="R1342" s="23" t="s">
        <v>819</v>
      </c>
      <c r="S1342" s="13"/>
      <c r="T1342" s="23">
        <v>2</v>
      </c>
      <c r="U1342" s="30" t="str">
        <f>VLOOKUP(T1342,[6]Key!$E$2:$F$9,2,FALSE)</f>
        <v>Work</v>
      </c>
      <c r="V1342" s="30" t="str">
        <f t="shared" si="80"/>
        <v>Home-Work</v>
      </c>
      <c r="W1342" s="41">
        <v>50000</v>
      </c>
      <c r="X1342" s="50"/>
      <c r="Y1342" s="50" t="str">
        <f t="shared" si="81"/>
        <v>0-10</v>
      </c>
      <c r="Z1342" s="50">
        <v>10.5</v>
      </c>
      <c r="AA1342" s="50" t="str">
        <f t="shared" si="82"/>
        <v>Over 3.5</v>
      </c>
      <c r="AB1342" s="23">
        <v>6</v>
      </c>
      <c r="AC1342" s="30" t="str">
        <f>VLOOKUP(AB1342,[6]Key!$C$20:$D$29,2,FALSE)</f>
        <v>Businessman</v>
      </c>
      <c r="AD1342" s="23">
        <v>4</v>
      </c>
      <c r="AE1342" s="30" t="str">
        <f>VLOOKUP(AD1342,[6]Key!$E$20:$F$24,2,FALSE)</f>
        <v>750,000-1,000,000</v>
      </c>
      <c r="AF1342" s="23">
        <v>1</v>
      </c>
      <c r="AG1342" s="50">
        <v>2</v>
      </c>
      <c r="AH1342" s="50">
        <v>4</v>
      </c>
      <c r="AI1342" s="50">
        <v>3</v>
      </c>
      <c r="AJ1342" s="50">
        <v>5</v>
      </c>
      <c r="AK1342" s="46" t="s">
        <v>94</v>
      </c>
      <c r="AL1342" s="36">
        <v>10000</v>
      </c>
      <c r="AM1342" t="str">
        <f t="shared" si="83"/>
        <v>Over 10000</v>
      </c>
    </row>
    <row r="1343" spans="1:46" x14ac:dyDescent="0.2">
      <c r="A1343" s="44">
        <v>43759</v>
      </c>
      <c r="B1343" s="48"/>
      <c r="C1343" s="48"/>
      <c r="D1343" s="48" t="s">
        <v>150</v>
      </c>
      <c r="E1343" s="13">
        <v>2</v>
      </c>
      <c r="F1343" s="38" t="str">
        <f>VLOOKUP(E1343,[6]Key!$A$17:$B$21,2,FALSE)</f>
        <v>Road Vehicle</v>
      </c>
      <c r="G1343" s="49">
        <v>6</v>
      </c>
      <c r="H1343" s="39" t="str">
        <f>VLOOKUP(G1343,[6]Key!$A$2:$B$14,2,FALSE)</f>
        <v>Large Bus</v>
      </c>
      <c r="I1343" s="13" t="s">
        <v>156</v>
      </c>
      <c r="J1343" s="13">
        <v>1</v>
      </c>
      <c r="K1343" s="40" t="str">
        <f>VLOOKUP(J1343,[6]Key!$A$24:$B$29,2,FALSE)</f>
        <v>20-29</v>
      </c>
      <c r="L1343" s="55" t="s">
        <v>819</v>
      </c>
      <c r="M1343" s="23" t="s">
        <v>819</v>
      </c>
      <c r="N1343" s="13" t="s">
        <v>820</v>
      </c>
      <c r="O1343" s="46">
        <v>1</v>
      </c>
      <c r="P1343" s="30" t="str">
        <f>VLOOKUP(O1343,[6]Key!$E$2:$F$9,2,FALSE)</f>
        <v>Home</v>
      </c>
      <c r="Q1343" s="13" t="s">
        <v>283</v>
      </c>
      <c r="R1343" s="23" t="s">
        <v>283</v>
      </c>
      <c r="S1343" s="13" t="s">
        <v>820</v>
      </c>
      <c r="T1343" s="23">
        <v>2</v>
      </c>
      <c r="U1343" s="30" t="str">
        <f>VLOOKUP(T1343,[6]Key!$E$2:$F$9,2,FALSE)</f>
        <v>Work</v>
      </c>
      <c r="V1343" s="30" t="str">
        <f t="shared" si="80"/>
        <v>Home-Work</v>
      </c>
      <c r="W1343" s="41">
        <v>8000</v>
      </c>
      <c r="X1343" s="50"/>
      <c r="Y1343" s="50" t="str">
        <f t="shared" si="81"/>
        <v>0-10</v>
      </c>
      <c r="Z1343" s="50">
        <v>2</v>
      </c>
      <c r="AA1343" s="50" t="str">
        <f t="shared" si="82"/>
        <v>2.0-3.5</v>
      </c>
      <c r="AB1343" s="23">
        <v>2</v>
      </c>
      <c r="AC1343" s="30" t="str">
        <f>VLOOKUP(AB1343,[6]Key!$C$20:$D$29,2,FALSE)</f>
        <v>Manual Labour</v>
      </c>
      <c r="AD1343" s="23">
        <v>1</v>
      </c>
      <c r="AE1343" s="30" t="str">
        <f>VLOOKUP(AD1343,[6]Key!$E$20:$F$24,2,FALSE)</f>
        <v>&lt;300,000</v>
      </c>
      <c r="AF1343" s="23">
        <v>1</v>
      </c>
      <c r="AG1343" s="50">
        <v>2</v>
      </c>
      <c r="AH1343" s="50">
        <v>4</v>
      </c>
      <c r="AI1343" s="50">
        <v>3</v>
      </c>
      <c r="AJ1343" s="50">
        <v>5</v>
      </c>
      <c r="AK1343" s="46" t="s">
        <v>94</v>
      </c>
      <c r="AL1343" s="36"/>
      <c r="AM1343" t="str">
        <f t="shared" si="83"/>
        <v>0-1000</v>
      </c>
    </row>
    <row r="1344" spans="1:46" x14ac:dyDescent="0.2">
      <c r="A1344" s="44">
        <v>43759</v>
      </c>
      <c r="B1344" s="48"/>
      <c r="C1344" s="48"/>
      <c r="D1344" s="48" t="s">
        <v>150</v>
      </c>
      <c r="E1344" s="13">
        <v>2</v>
      </c>
      <c r="F1344" s="38" t="str">
        <f>VLOOKUP(E1344,[6]Key!$A$17:$B$21,2,FALSE)</f>
        <v>Road Vehicle</v>
      </c>
      <c r="G1344" s="49">
        <v>6</v>
      </c>
      <c r="H1344" s="39" t="str">
        <f>VLOOKUP(G1344,[6]Key!$A$2:$B$14,2,FALSE)</f>
        <v>Large Bus</v>
      </c>
      <c r="I1344" s="13" t="s">
        <v>156</v>
      </c>
      <c r="J1344" s="13">
        <v>1</v>
      </c>
      <c r="K1344" s="40" t="str">
        <f>VLOOKUP(J1344,[6]Key!$A$24:$B$29,2,FALSE)</f>
        <v>20-29</v>
      </c>
      <c r="L1344" s="55" t="s">
        <v>819</v>
      </c>
      <c r="M1344" s="23" t="s">
        <v>819</v>
      </c>
      <c r="N1344" s="13" t="s">
        <v>820</v>
      </c>
      <c r="O1344" s="46">
        <v>1</v>
      </c>
      <c r="P1344" s="30" t="str">
        <f>VLOOKUP(O1344,[6]Key!$E$2:$F$9,2,FALSE)</f>
        <v>Home</v>
      </c>
      <c r="Q1344" s="13" t="s">
        <v>404</v>
      </c>
      <c r="R1344" s="23" t="s">
        <v>404</v>
      </c>
      <c r="S1344" s="13" t="s">
        <v>820</v>
      </c>
      <c r="T1344" s="23">
        <v>2</v>
      </c>
      <c r="U1344" s="30" t="str">
        <f>VLOOKUP(T1344,[6]Key!$E$2:$F$9,2,FALSE)</f>
        <v>Work</v>
      </c>
      <c r="V1344" s="30" t="str">
        <f t="shared" si="80"/>
        <v>Home-Work</v>
      </c>
      <c r="W1344" s="41">
        <v>25000</v>
      </c>
      <c r="X1344" s="50"/>
      <c r="Y1344" s="50" t="str">
        <f t="shared" si="81"/>
        <v>0-10</v>
      </c>
      <c r="Z1344" s="50">
        <v>8</v>
      </c>
      <c r="AA1344" s="50" t="str">
        <f t="shared" si="82"/>
        <v>Over 3.5</v>
      </c>
      <c r="AB1344" s="23">
        <v>6</v>
      </c>
      <c r="AC1344" s="30" t="str">
        <f>VLOOKUP(AB1344,[6]Key!$C$20:$D$29,2,FALSE)</f>
        <v>Businessman</v>
      </c>
      <c r="AD1344" s="23">
        <v>1</v>
      </c>
      <c r="AE1344" s="30" t="str">
        <f>VLOOKUP(AD1344,[6]Key!$E$20:$F$24,2,FALSE)</f>
        <v>&lt;300,000</v>
      </c>
      <c r="AF1344" s="23"/>
      <c r="AG1344" s="50"/>
      <c r="AH1344" s="50"/>
      <c r="AI1344" s="50"/>
      <c r="AJ1344" s="50"/>
      <c r="AK1344" s="46" t="s">
        <v>94</v>
      </c>
      <c r="AL1344" s="36">
        <v>5000</v>
      </c>
      <c r="AM1344" t="str">
        <f t="shared" si="83"/>
        <v>5000-10000</v>
      </c>
    </row>
    <row r="1345" spans="1:39" x14ac:dyDescent="0.2">
      <c r="A1345" s="44">
        <v>43760</v>
      </c>
      <c r="B1345" s="48">
        <v>0.62013888888888891</v>
      </c>
      <c r="C1345" s="48"/>
      <c r="D1345" s="48" t="s">
        <v>150</v>
      </c>
      <c r="E1345" s="13">
        <v>2</v>
      </c>
      <c r="F1345" s="38" t="str">
        <f>VLOOKUP(E1345,[6]Key!$A$17:$B$21,2,FALSE)</f>
        <v>Road Vehicle</v>
      </c>
      <c r="G1345" s="49">
        <v>6</v>
      </c>
      <c r="H1345" s="39" t="str">
        <f>VLOOKUP(G1345,[6]Key!$A$2:$B$14,2,FALSE)</f>
        <v>Large Bus</v>
      </c>
      <c r="I1345" s="13" t="s">
        <v>156</v>
      </c>
      <c r="J1345" s="13">
        <v>1</v>
      </c>
      <c r="K1345" s="40" t="str">
        <f>VLOOKUP(J1345,[6]Key!$A$24:$B$29,2,FALSE)</f>
        <v>20-29</v>
      </c>
      <c r="L1345" s="55" t="s">
        <v>827</v>
      </c>
      <c r="M1345" s="23" t="s">
        <v>819</v>
      </c>
      <c r="N1345" s="13" t="s">
        <v>820</v>
      </c>
      <c r="O1345" s="46">
        <v>2</v>
      </c>
      <c r="P1345" s="30" t="str">
        <f>VLOOKUP(O1345,[6]Key!$E$2:$F$9,2,FALSE)</f>
        <v>Work</v>
      </c>
      <c r="Q1345" s="13" t="s">
        <v>828</v>
      </c>
      <c r="R1345" s="23" t="s">
        <v>829</v>
      </c>
      <c r="S1345" s="13" t="s">
        <v>820</v>
      </c>
      <c r="T1345" s="23">
        <v>1</v>
      </c>
      <c r="U1345" s="30" t="str">
        <f>VLOOKUP(T1345,[6]Key!$E$2:$F$9,2,FALSE)</f>
        <v>Home</v>
      </c>
      <c r="V1345" s="30" t="str">
        <f t="shared" si="80"/>
        <v>Work-Home</v>
      </c>
      <c r="W1345" s="41"/>
      <c r="X1345" s="50">
        <v>410</v>
      </c>
      <c r="Y1345" s="50" t="str">
        <f t="shared" si="81"/>
        <v>Over 200</v>
      </c>
      <c r="Z1345" s="50">
        <v>7.5</v>
      </c>
      <c r="AA1345" s="50" t="str">
        <f t="shared" si="82"/>
        <v>Over 3.5</v>
      </c>
      <c r="AB1345" s="23">
        <v>5</v>
      </c>
      <c r="AC1345" s="30" t="str">
        <f>VLOOKUP(AB1345,[6]Key!$C$20:$D$29,2,FALSE)</f>
        <v>Professional</v>
      </c>
      <c r="AD1345" s="23">
        <v>3</v>
      </c>
      <c r="AE1345" s="30" t="str">
        <f>VLOOKUP(AD1345,[6]Key!$E$20:$F$24,2,FALSE)</f>
        <v>500,000-750,000</v>
      </c>
      <c r="AF1345" s="23">
        <v>1</v>
      </c>
      <c r="AG1345" s="50">
        <v>2</v>
      </c>
      <c r="AH1345" s="50">
        <v>3</v>
      </c>
      <c r="AI1345" s="50">
        <v>4</v>
      </c>
      <c r="AJ1345" s="50">
        <v>5</v>
      </c>
      <c r="AK1345" s="46" t="s">
        <v>94</v>
      </c>
      <c r="AL1345" s="36"/>
      <c r="AM1345" t="str">
        <f t="shared" si="83"/>
        <v>0-1000</v>
      </c>
    </row>
    <row r="1346" spans="1:39" x14ac:dyDescent="0.2">
      <c r="A1346" s="44">
        <v>43760</v>
      </c>
      <c r="B1346" s="48">
        <v>0.61249999999999993</v>
      </c>
      <c r="C1346" s="48"/>
      <c r="D1346" s="48" t="s">
        <v>150</v>
      </c>
      <c r="E1346" s="13">
        <v>2</v>
      </c>
      <c r="F1346" s="38" t="str">
        <f>VLOOKUP(E1346,[6]Key!$A$17:$B$21,2,FALSE)</f>
        <v>Road Vehicle</v>
      </c>
      <c r="G1346" s="49">
        <v>6</v>
      </c>
      <c r="H1346" s="39" t="str">
        <f>VLOOKUP(G1346,[6]Key!$A$2:$B$14,2,FALSE)</f>
        <v>Large Bus</v>
      </c>
      <c r="I1346" s="13" t="s">
        <v>156</v>
      </c>
      <c r="J1346" s="13">
        <v>1</v>
      </c>
      <c r="K1346" s="40" t="str">
        <f>VLOOKUP(J1346,[6]Key!$A$24:$B$29,2,FALSE)</f>
        <v>20-29</v>
      </c>
      <c r="L1346" s="55" t="s">
        <v>819</v>
      </c>
      <c r="M1346" s="23" t="s">
        <v>819</v>
      </c>
      <c r="N1346" s="13" t="s">
        <v>820</v>
      </c>
      <c r="O1346" s="46">
        <v>2</v>
      </c>
      <c r="P1346" s="30" t="str">
        <f>VLOOKUP(O1346,[6]Key!$E$2:$F$9,2,FALSE)</f>
        <v>Work</v>
      </c>
      <c r="Q1346" s="13" t="s">
        <v>404</v>
      </c>
      <c r="R1346" s="23" t="s">
        <v>404</v>
      </c>
      <c r="S1346" s="13" t="s">
        <v>820</v>
      </c>
      <c r="T1346" s="23">
        <v>6</v>
      </c>
      <c r="U1346" s="30" t="str">
        <f>VLOOKUP(T1346,[6]Key!$E$2:$F$9,2,FALSE)</f>
        <v>Leisure/Social</v>
      </c>
      <c r="V1346" s="30" t="str">
        <f t="shared" ref="V1346:V1409" si="84">P1346&amp;"-"&amp;U1346</f>
        <v>Work-Leisure/Social</v>
      </c>
      <c r="W1346" s="41">
        <v>30000</v>
      </c>
      <c r="X1346" s="50">
        <v>400</v>
      </c>
      <c r="Y1346" s="50" t="str">
        <f t="shared" si="81"/>
        <v>Over 200</v>
      </c>
      <c r="Z1346" s="50">
        <v>8</v>
      </c>
      <c r="AA1346" s="50" t="str">
        <f t="shared" si="82"/>
        <v>Over 3.5</v>
      </c>
      <c r="AB1346" s="23">
        <v>6</v>
      </c>
      <c r="AC1346" s="30" t="str">
        <f>VLOOKUP(AB1346,[6]Key!$C$20:$D$29,2,FALSE)</f>
        <v>Businessman</v>
      </c>
      <c r="AD1346" s="23">
        <v>2</v>
      </c>
      <c r="AE1346" s="30" t="str">
        <f>VLOOKUP(AD1346,[6]Key!$E$20:$F$24,2,FALSE)</f>
        <v>300,000-500,000</v>
      </c>
      <c r="AF1346" s="23">
        <v>3</v>
      </c>
      <c r="AG1346" s="50">
        <v>2</v>
      </c>
      <c r="AH1346" s="50">
        <v>1</v>
      </c>
      <c r="AI1346" s="50">
        <v>5</v>
      </c>
      <c r="AJ1346" s="50">
        <v>4</v>
      </c>
      <c r="AK1346" s="46" t="s">
        <v>94</v>
      </c>
      <c r="AL1346" s="36">
        <v>1000</v>
      </c>
      <c r="AM1346" t="str">
        <f t="shared" si="83"/>
        <v>1000-2000</v>
      </c>
    </row>
    <row r="1347" spans="1:39" x14ac:dyDescent="0.2">
      <c r="A1347" s="44">
        <v>43760</v>
      </c>
      <c r="B1347" s="48">
        <v>0.60486111111111118</v>
      </c>
      <c r="C1347" s="48"/>
      <c r="D1347" s="48" t="s">
        <v>97</v>
      </c>
      <c r="E1347" s="13">
        <v>2</v>
      </c>
      <c r="F1347" s="38" t="str">
        <f>VLOOKUP(E1347,[6]Key!$A$17:$B$21,2,FALSE)</f>
        <v>Road Vehicle</v>
      </c>
      <c r="G1347" s="49">
        <v>6</v>
      </c>
      <c r="H1347" s="39" t="str">
        <f>VLOOKUP(G1347,[6]Key!$A$2:$B$14,2,FALSE)</f>
        <v>Large Bus</v>
      </c>
      <c r="I1347" s="13" t="s">
        <v>156</v>
      </c>
      <c r="J1347" s="13">
        <v>1</v>
      </c>
      <c r="K1347" s="40" t="str">
        <f>VLOOKUP(J1347,[6]Key!$A$24:$B$29,2,FALSE)</f>
        <v>20-29</v>
      </c>
      <c r="L1347" s="55" t="s">
        <v>819</v>
      </c>
      <c r="M1347" s="23" t="s">
        <v>819</v>
      </c>
      <c r="N1347" s="13" t="s">
        <v>820</v>
      </c>
      <c r="O1347" s="46">
        <v>2</v>
      </c>
      <c r="P1347" s="30" t="str">
        <f>VLOOKUP(O1347,[6]Key!$E$2:$F$9,2,FALSE)</f>
        <v>Work</v>
      </c>
      <c r="Q1347" s="13" t="s">
        <v>404</v>
      </c>
      <c r="R1347" s="23" t="s">
        <v>404</v>
      </c>
      <c r="S1347" s="13" t="s">
        <v>820</v>
      </c>
      <c r="T1347" s="23">
        <v>1</v>
      </c>
      <c r="U1347" s="30" t="str">
        <f>VLOOKUP(T1347,[6]Key!$E$2:$F$9,2,FALSE)</f>
        <v>Home</v>
      </c>
      <c r="V1347" s="30" t="str">
        <f t="shared" si="84"/>
        <v>Work-Home</v>
      </c>
      <c r="W1347" s="41">
        <v>30000</v>
      </c>
      <c r="X1347" s="50">
        <v>400</v>
      </c>
      <c r="Y1347" s="50" t="str">
        <f t="shared" ref="Y1347:Y1410" si="85">IF(X1347&lt;10,"0-10",IF(X1347&lt;20,"10-20",IF(X1347&lt;40,"20-40",IF(X1347&lt;70,"40-70",IF(X1347&lt;100,"70-100",IF(X1347&lt;200,"100-200","Over 200"))))))</f>
        <v>Over 200</v>
      </c>
      <c r="Z1347" s="50">
        <v>8</v>
      </c>
      <c r="AA1347" s="50" t="str">
        <f t="shared" ref="AA1347:AA1410" si="86">IF(Z1347&lt;0.5,"0-0.5",IF(Z1347&lt;1,"0.5-1.0",IF(Z1347&lt;2,"1.0-2.0",IF(Z1347&lt;3.5,"2.0-3.5","Over 3.5"))))</f>
        <v>Over 3.5</v>
      </c>
      <c r="AB1347" s="23">
        <v>7</v>
      </c>
      <c r="AC1347" s="30" t="str">
        <f>VLOOKUP(AB1347,[6]Key!$C$20:$D$29,2,FALSE)</f>
        <v>Farmer</v>
      </c>
      <c r="AD1347" s="23">
        <v>2</v>
      </c>
      <c r="AE1347" s="30" t="str">
        <f>VLOOKUP(AD1347,[6]Key!$E$20:$F$24,2,FALSE)</f>
        <v>300,000-500,000</v>
      </c>
      <c r="AF1347" s="23">
        <v>1</v>
      </c>
      <c r="AG1347" s="50">
        <v>2</v>
      </c>
      <c r="AH1347" s="50">
        <v>3</v>
      </c>
      <c r="AI1347" s="50">
        <v>4</v>
      </c>
      <c r="AJ1347" s="50">
        <v>5</v>
      </c>
      <c r="AK1347" s="46" t="s">
        <v>94</v>
      </c>
      <c r="AL1347" s="36">
        <v>500</v>
      </c>
      <c r="AM1347" t="str">
        <f t="shared" ref="AM1347:AM1410" si="87">IF(AL1347&lt;1000,"0-1000",IF(AL1347&lt;2000,"1000-2000",IF(AL1347&lt;3000,"2000-3000",IF(AL1347&lt;5000,"3000-5000",IF(AL1347&lt;10000,"5000-10000","Over 10000")))))</f>
        <v>0-1000</v>
      </c>
    </row>
    <row r="1348" spans="1:39" x14ac:dyDescent="0.2">
      <c r="A1348" s="44">
        <v>43761</v>
      </c>
      <c r="B1348" s="48">
        <v>0.6479166666666667</v>
      </c>
      <c r="C1348" s="48"/>
      <c r="D1348" s="48" t="s">
        <v>150</v>
      </c>
      <c r="E1348" s="13">
        <v>2</v>
      </c>
      <c r="F1348" s="38" t="str">
        <f>VLOOKUP(E1348,[6]Key!$A$17:$B$21,2,FALSE)</f>
        <v>Road Vehicle</v>
      </c>
      <c r="G1348" s="49">
        <v>6</v>
      </c>
      <c r="H1348" s="39" t="str">
        <f>VLOOKUP(G1348,[6]Key!$A$2:$B$14,2,FALSE)</f>
        <v>Large Bus</v>
      </c>
      <c r="I1348" s="13" t="s">
        <v>156</v>
      </c>
      <c r="J1348" s="13">
        <v>1</v>
      </c>
      <c r="K1348" s="40" t="str">
        <f>VLOOKUP(J1348,[6]Key!$A$24:$B$29,2,FALSE)</f>
        <v>20-29</v>
      </c>
      <c r="L1348" s="55" t="s">
        <v>819</v>
      </c>
      <c r="M1348" s="23" t="s">
        <v>819</v>
      </c>
      <c r="N1348" s="13" t="s">
        <v>820</v>
      </c>
      <c r="O1348" s="46">
        <v>2</v>
      </c>
      <c r="P1348" s="30" t="str">
        <f>VLOOKUP(O1348,[6]Key!$E$2:$F$9,2,FALSE)</f>
        <v>Work</v>
      </c>
      <c r="Q1348" s="13" t="s">
        <v>404</v>
      </c>
      <c r="R1348" s="23" t="s">
        <v>404</v>
      </c>
      <c r="S1348" s="13" t="s">
        <v>820</v>
      </c>
      <c r="T1348" s="23">
        <v>2</v>
      </c>
      <c r="U1348" s="30" t="str">
        <f>VLOOKUP(T1348,[6]Key!$E$2:$F$9,2,FALSE)</f>
        <v>Work</v>
      </c>
      <c r="V1348" s="30" t="str">
        <f t="shared" si="84"/>
        <v>Work-Work</v>
      </c>
      <c r="W1348" s="41">
        <v>30000</v>
      </c>
      <c r="X1348" s="50">
        <v>400</v>
      </c>
      <c r="Y1348" s="50" t="str">
        <f t="shared" si="85"/>
        <v>Over 200</v>
      </c>
      <c r="Z1348" s="50">
        <v>7.5</v>
      </c>
      <c r="AA1348" s="50" t="str">
        <f t="shared" si="86"/>
        <v>Over 3.5</v>
      </c>
      <c r="AB1348" s="23">
        <v>4</v>
      </c>
      <c r="AC1348" s="30" t="str">
        <f>VLOOKUP(AB1348,[6]Key!$C$20:$D$29,2,FALSE)</f>
        <v>Office Worker</v>
      </c>
      <c r="AD1348" s="23">
        <v>3</v>
      </c>
      <c r="AE1348" s="30" t="str">
        <f>VLOOKUP(AD1348,[6]Key!$E$20:$F$24,2,FALSE)</f>
        <v>500,000-750,000</v>
      </c>
      <c r="AF1348" s="23">
        <v>2</v>
      </c>
      <c r="AG1348" s="50">
        <v>4</v>
      </c>
      <c r="AH1348" s="50">
        <v>3</v>
      </c>
      <c r="AI1348" s="50">
        <v>5</v>
      </c>
      <c r="AJ1348" s="50">
        <v>1</v>
      </c>
      <c r="AK1348" s="46" t="s">
        <v>94</v>
      </c>
      <c r="AL1348" s="36">
        <v>1000</v>
      </c>
      <c r="AM1348" t="str">
        <f t="shared" si="87"/>
        <v>1000-2000</v>
      </c>
    </row>
    <row r="1349" spans="1:39" x14ac:dyDescent="0.2">
      <c r="A1349" s="44">
        <v>43760</v>
      </c>
      <c r="B1349" s="48">
        <v>0.56111111111111112</v>
      </c>
      <c r="C1349" s="48"/>
      <c r="D1349" s="48" t="s">
        <v>150</v>
      </c>
      <c r="E1349" s="13">
        <v>2</v>
      </c>
      <c r="F1349" s="38" t="str">
        <f>VLOOKUP(E1349,[6]Key!$A$17:$B$21,2,FALSE)</f>
        <v>Road Vehicle</v>
      </c>
      <c r="G1349" s="49">
        <v>6</v>
      </c>
      <c r="H1349" s="39" t="str">
        <f>VLOOKUP(G1349,[6]Key!$A$2:$B$14,2,FALSE)</f>
        <v>Large Bus</v>
      </c>
      <c r="I1349" s="13" t="s">
        <v>109</v>
      </c>
      <c r="J1349" s="13">
        <v>1</v>
      </c>
      <c r="K1349" s="40" t="str">
        <f>VLOOKUP(J1349,[6]Key!$A$24:$B$29,2,FALSE)</f>
        <v>20-29</v>
      </c>
      <c r="L1349" s="55" t="s">
        <v>830</v>
      </c>
      <c r="M1349" s="23" t="s">
        <v>819</v>
      </c>
      <c r="N1349" s="13" t="s">
        <v>820</v>
      </c>
      <c r="O1349" s="46">
        <v>2</v>
      </c>
      <c r="P1349" s="30" t="str">
        <f>VLOOKUP(O1349,[6]Key!$E$2:$F$9,2,FALSE)</f>
        <v>Work</v>
      </c>
      <c r="Q1349" s="13" t="s">
        <v>96</v>
      </c>
      <c r="R1349" s="23" t="s">
        <v>404</v>
      </c>
      <c r="S1349" s="13" t="s">
        <v>820</v>
      </c>
      <c r="T1349" s="23">
        <v>1</v>
      </c>
      <c r="U1349" s="30" t="str">
        <f>VLOOKUP(T1349,[6]Key!$E$2:$F$9,2,FALSE)</f>
        <v>Home</v>
      </c>
      <c r="V1349" s="30" t="str">
        <f t="shared" si="84"/>
        <v>Work-Home</v>
      </c>
      <c r="W1349" s="41">
        <v>30000</v>
      </c>
      <c r="X1349" s="50">
        <v>390</v>
      </c>
      <c r="Y1349" s="50" t="str">
        <f t="shared" si="85"/>
        <v>Over 200</v>
      </c>
      <c r="Z1349" s="50">
        <v>8.5</v>
      </c>
      <c r="AA1349" s="50" t="str">
        <f t="shared" si="86"/>
        <v>Over 3.5</v>
      </c>
      <c r="AB1349" s="23">
        <v>5</v>
      </c>
      <c r="AC1349" s="30" t="str">
        <f>VLOOKUP(AB1349,[6]Key!$C$20:$D$29,2,FALSE)</f>
        <v>Professional</v>
      </c>
      <c r="AD1349" s="23">
        <v>2</v>
      </c>
      <c r="AE1349" s="30" t="str">
        <f>VLOOKUP(AD1349,[6]Key!$E$20:$F$24,2,FALSE)</f>
        <v>300,000-500,000</v>
      </c>
      <c r="AF1349" s="23">
        <v>3</v>
      </c>
      <c r="AG1349" s="50">
        <v>5</v>
      </c>
      <c r="AH1349" s="50">
        <v>2</v>
      </c>
      <c r="AI1349" s="50">
        <v>1</v>
      </c>
      <c r="AJ1349" s="50">
        <v>4</v>
      </c>
      <c r="AK1349" s="46" t="s">
        <v>94</v>
      </c>
      <c r="AL1349" s="36"/>
      <c r="AM1349" t="str">
        <f t="shared" si="87"/>
        <v>0-1000</v>
      </c>
    </row>
    <row r="1350" spans="1:39" x14ac:dyDescent="0.2">
      <c r="A1350" s="44">
        <v>43760</v>
      </c>
      <c r="B1350" s="48"/>
      <c r="C1350" s="48"/>
      <c r="D1350" s="48" t="s">
        <v>150</v>
      </c>
      <c r="E1350" s="13">
        <v>2</v>
      </c>
      <c r="F1350" s="38" t="str">
        <f>VLOOKUP(E1350,[6]Key!$A$17:$B$21,2,FALSE)</f>
        <v>Road Vehicle</v>
      </c>
      <c r="G1350" s="49">
        <v>6</v>
      </c>
      <c r="H1350" s="39" t="str">
        <f>VLOOKUP(G1350,[6]Key!$A$2:$B$14,2,FALSE)</f>
        <v>Large Bus</v>
      </c>
      <c r="I1350" s="13" t="s">
        <v>109</v>
      </c>
      <c r="J1350" s="13">
        <v>1</v>
      </c>
      <c r="K1350" s="40" t="str">
        <f>VLOOKUP(J1350,[6]Key!$A$24:$B$29,2,FALSE)</f>
        <v>20-29</v>
      </c>
      <c r="L1350" s="55" t="s">
        <v>819</v>
      </c>
      <c r="M1350" s="23" t="s">
        <v>819</v>
      </c>
      <c r="N1350" s="13" t="s">
        <v>820</v>
      </c>
      <c r="O1350" s="46">
        <v>1</v>
      </c>
      <c r="P1350" s="30" t="str">
        <f>VLOOKUP(O1350,[6]Key!$E$2:$F$9,2,FALSE)</f>
        <v>Home</v>
      </c>
      <c r="Q1350" s="13" t="s">
        <v>404</v>
      </c>
      <c r="R1350" s="23" t="s">
        <v>404</v>
      </c>
      <c r="S1350" s="13" t="s">
        <v>820</v>
      </c>
      <c r="T1350" s="23">
        <v>4</v>
      </c>
      <c r="U1350" s="30" t="str">
        <f>VLOOKUP(T1350,[6]Key!$E$2:$F$9,2,FALSE)</f>
        <v>Commercial</v>
      </c>
      <c r="V1350" s="30" t="str">
        <f t="shared" si="84"/>
        <v>Home-Commercial</v>
      </c>
      <c r="W1350" s="41">
        <v>30000</v>
      </c>
      <c r="X1350" s="50">
        <v>400</v>
      </c>
      <c r="Y1350" s="50" t="str">
        <f t="shared" si="85"/>
        <v>Over 200</v>
      </c>
      <c r="Z1350" s="50">
        <v>8</v>
      </c>
      <c r="AA1350" s="50" t="str">
        <f t="shared" si="86"/>
        <v>Over 3.5</v>
      </c>
      <c r="AB1350" s="23">
        <v>2</v>
      </c>
      <c r="AC1350" s="30" t="str">
        <f>VLOOKUP(AB1350,[6]Key!$C$20:$D$29,2,FALSE)</f>
        <v>Manual Labour</v>
      </c>
      <c r="AD1350" s="23">
        <v>1</v>
      </c>
      <c r="AE1350" s="30" t="str">
        <f>VLOOKUP(AD1350,[6]Key!$E$20:$F$24,2,FALSE)</f>
        <v>&lt;300,000</v>
      </c>
      <c r="AF1350" s="23">
        <v>2</v>
      </c>
      <c r="AG1350" s="50">
        <v>3</v>
      </c>
      <c r="AH1350" s="50">
        <v>5</v>
      </c>
      <c r="AI1350" s="50">
        <v>4</v>
      </c>
      <c r="AJ1350" s="50">
        <v>1</v>
      </c>
      <c r="AK1350" s="46" t="s">
        <v>94</v>
      </c>
      <c r="AL1350" s="36">
        <v>3000</v>
      </c>
      <c r="AM1350" t="str">
        <f t="shared" si="87"/>
        <v>3000-5000</v>
      </c>
    </row>
    <row r="1351" spans="1:39" x14ac:dyDescent="0.2">
      <c r="A1351" s="44">
        <v>43761</v>
      </c>
      <c r="B1351" s="48">
        <v>0.67152777777777783</v>
      </c>
      <c r="C1351" s="48"/>
      <c r="D1351" s="48" t="s">
        <v>150</v>
      </c>
      <c r="E1351" s="13">
        <v>2</v>
      </c>
      <c r="F1351" s="38" t="str">
        <f>VLOOKUP(E1351,[6]Key!$A$17:$B$21,2,FALSE)</f>
        <v>Road Vehicle</v>
      </c>
      <c r="G1351" s="49">
        <v>6</v>
      </c>
      <c r="H1351" s="39" t="str">
        <f>VLOOKUP(G1351,[6]Key!$A$2:$B$14,2,FALSE)</f>
        <v>Large Bus</v>
      </c>
      <c r="I1351" s="13" t="s">
        <v>109</v>
      </c>
      <c r="J1351" s="13">
        <v>1</v>
      </c>
      <c r="K1351" s="40" t="str">
        <f>VLOOKUP(J1351,[6]Key!$A$24:$B$29,2,FALSE)</f>
        <v>20-29</v>
      </c>
      <c r="L1351" s="55" t="s">
        <v>404</v>
      </c>
      <c r="M1351" s="23" t="s">
        <v>404</v>
      </c>
      <c r="N1351" s="13" t="s">
        <v>820</v>
      </c>
      <c r="O1351" s="46">
        <v>2</v>
      </c>
      <c r="P1351" s="30" t="str">
        <f>VLOOKUP(O1351,[6]Key!$E$2:$F$9,2,FALSE)</f>
        <v>Work</v>
      </c>
      <c r="Q1351" s="13" t="s">
        <v>819</v>
      </c>
      <c r="R1351" s="23" t="s">
        <v>819</v>
      </c>
      <c r="S1351" s="13"/>
      <c r="T1351" s="23">
        <v>1</v>
      </c>
      <c r="U1351" s="30" t="str">
        <f>VLOOKUP(T1351,[6]Key!$E$2:$F$9,2,FALSE)</f>
        <v>Home</v>
      </c>
      <c r="V1351" s="30" t="str">
        <f t="shared" si="84"/>
        <v>Work-Home</v>
      </c>
      <c r="W1351" s="41">
        <v>30000</v>
      </c>
      <c r="X1351" s="50"/>
      <c r="Y1351" s="50" t="str">
        <f t="shared" si="85"/>
        <v>0-10</v>
      </c>
      <c r="Z1351" s="50">
        <v>8.5</v>
      </c>
      <c r="AA1351" s="50" t="str">
        <f t="shared" si="86"/>
        <v>Over 3.5</v>
      </c>
      <c r="AB1351" s="23">
        <v>2</v>
      </c>
      <c r="AC1351" s="30" t="str">
        <f>VLOOKUP(AB1351,[6]Key!$C$20:$D$29,2,FALSE)</f>
        <v>Manual Labour</v>
      </c>
      <c r="AD1351" s="23">
        <v>1</v>
      </c>
      <c r="AE1351" s="30" t="str">
        <f>VLOOKUP(AD1351,[6]Key!$E$20:$F$24,2,FALSE)</f>
        <v>&lt;300,000</v>
      </c>
      <c r="AF1351" s="23">
        <v>2</v>
      </c>
      <c r="AG1351" s="50">
        <v>4</v>
      </c>
      <c r="AH1351" s="50">
        <v>3</v>
      </c>
      <c r="AI1351" s="50">
        <v>5</v>
      </c>
      <c r="AJ1351" s="50">
        <v>1</v>
      </c>
      <c r="AK1351" s="46" t="s">
        <v>94</v>
      </c>
      <c r="AL1351" s="36"/>
      <c r="AM1351" t="str">
        <f t="shared" si="87"/>
        <v>0-1000</v>
      </c>
    </row>
    <row r="1352" spans="1:39" x14ac:dyDescent="0.2">
      <c r="A1352" s="44">
        <v>43759</v>
      </c>
      <c r="B1352" s="48">
        <v>0.70486111111111116</v>
      </c>
      <c r="C1352" s="48"/>
      <c r="D1352" s="48" t="s">
        <v>97</v>
      </c>
      <c r="E1352" s="13">
        <v>2</v>
      </c>
      <c r="F1352" s="38" t="str">
        <f>VLOOKUP(E1352,[6]Key!$A$17:$B$21,2,FALSE)</f>
        <v>Road Vehicle</v>
      </c>
      <c r="G1352" s="49">
        <v>7</v>
      </c>
      <c r="H1352" s="39" t="str">
        <f>VLOOKUP(G1352,[6]Key!$A$2:$B$14,2,FALSE)</f>
        <v xml:space="preserve">Light Truck </v>
      </c>
      <c r="I1352" s="13" t="s">
        <v>109</v>
      </c>
      <c r="J1352" s="13">
        <v>1</v>
      </c>
      <c r="K1352" s="40" t="str">
        <f>VLOOKUP(J1352,[6]Key!$A$24:$B$29,2,FALSE)</f>
        <v>20-29</v>
      </c>
      <c r="L1352" s="55" t="s">
        <v>831</v>
      </c>
      <c r="M1352" s="23" t="s">
        <v>819</v>
      </c>
      <c r="N1352" s="13" t="s">
        <v>820</v>
      </c>
      <c r="O1352" s="46">
        <v>4</v>
      </c>
      <c r="P1352" s="30" t="str">
        <f>VLOOKUP(O1352,[6]Key!$E$2:$F$9,2,FALSE)</f>
        <v>Commercial</v>
      </c>
      <c r="Q1352" s="13" t="s">
        <v>819</v>
      </c>
      <c r="R1352" s="23" t="s">
        <v>819</v>
      </c>
      <c r="S1352" s="13" t="s">
        <v>820</v>
      </c>
      <c r="T1352" s="23">
        <v>4</v>
      </c>
      <c r="U1352" s="30" t="str">
        <f>VLOOKUP(T1352,[6]Key!$E$2:$F$9,2,FALSE)</f>
        <v>Commercial</v>
      </c>
      <c r="V1352" s="30" t="str">
        <f t="shared" si="84"/>
        <v>Commercial-Commercial</v>
      </c>
      <c r="W1352" s="41">
        <v>15000</v>
      </c>
      <c r="X1352" s="50">
        <v>8</v>
      </c>
      <c r="Y1352" s="50" t="str">
        <f t="shared" si="85"/>
        <v>0-10</v>
      </c>
      <c r="Z1352" s="50">
        <v>0.6</v>
      </c>
      <c r="AA1352" s="50" t="str">
        <f t="shared" si="86"/>
        <v>0.5-1.0</v>
      </c>
      <c r="AB1352" s="23">
        <v>10</v>
      </c>
      <c r="AC1352" s="30" t="str">
        <f>VLOOKUP(AB1352,[6]Key!$C$20:$D$29,2,FALSE)</f>
        <v>Other</v>
      </c>
      <c r="AD1352" s="23">
        <v>1</v>
      </c>
      <c r="AE1352" s="30" t="str">
        <f>VLOOKUP(AD1352,[6]Key!$E$20:$F$24,2,FALSE)</f>
        <v>&lt;300,000</v>
      </c>
      <c r="AF1352" s="23">
        <v>5</v>
      </c>
      <c r="AG1352" s="50">
        <v>2</v>
      </c>
      <c r="AH1352" s="50">
        <v>1</v>
      </c>
      <c r="AI1352" s="50">
        <v>4</v>
      </c>
      <c r="AJ1352" s="50">
        <v>3</v>
      </c>
      <c r="AK1352" s="46" t="s">
        <v>94</v>
      </c>
      <c r="AL1352" s="36">
        <v>1000</v>
      </c>
      <c r="AM1352" t="str">
        <f t="shared" si="87"/>
        <v>1000-2000</v>
      </c>
    </row>
    <row r="1353" spans="1:39" x14ac:dyDescent="0.2">
      <c r="A1353" s="44">
        <v>43759</v>
      </c>
      <c r="B1353" s="48">
        <v>0.67986111111111114</v>
      </c>
      <c r="C1353" s="48"/>
      <c r="D1353" s="48" t="s">
        <v>150</v>
      </c>
      <c r="E1353" s="13">
        <v>2</v>
      </c>
      <c r="F1353" s="38" t="str">
        <f>VLOOKUP(E1353,[6]Key!$A$17:$B$21,2,FALSE)</f>
        <v>Road Vehicle</v>
      </c>
      <c r="G1353" s="49">
        <v>4</v>
      </c>
      <c r="H1353" s="39" t="str">
        <f>VLOOKUP(G1353,[6]Key!$A$2:$B$14,2,FALSE)</f>
        <v>Minibus</v>
      </c>
      <c r="I1353" s="13" t="s">
        <v>156</v>
      </c>
      <c r="J1353" s="13">
        <v>1</v>
      </c>
      <c r="K1353" s="40" t="str">
        <f>VLOOKUP(J1353,[6]Key!$A$24:$B$29,2,FALSE)</f>
        <v>20-29</v>
      </c>
      <c r="L1353" s="55" t="s">
        <v>404</v>
      </c>
      <c r="M1353" s="23" t="s">
        <v>404</v>
      </c>
      <c r="N1353" s="13" t="s">
        <v>820</v>
      </c>
      <c r="O1353" s="46">
        <v>2</v>
      </c>
      <c r="P1353" s="30" t="str">
        <f>VLOOKUP(O1353,[6]Key!$E$2:$F$9,2,FALSE)</f>
        <v>Work</v>
      </c>
      <c r="Q1353" s="13" t="s">
        <v>819</v>
      </c>
      <c r="R1353" s="23" t="s">
        <v>819</v>
      </c>
      <c r="S1353" s="13" t="s">
        <v>820</v>
      </c>
      <c r="T1353" s="23">
        <v>1</v>
      </c>
      <c r="U1353" s="30" t="str">
        <f>VLOOKUP(T1353,[6]Key!$E$2:$F$9,2,FALSE)</f>
        <v>Home</v>
      </c>
      <c r="V1353" s="30" t="str">
        <f t="shared" si="84"/>
        <v>Work-Home</v>
      </c>
      <c r="W1353" s="41">
        <v>30000</v>
      </c>
      <c r="X1353" s="50"/>
      <c r="Y1353" s="50" t="str">
        <f t="shared" si="85"/>
        <v>0-10</v>
      </c>
      <c r="Z1353" s="50">
        <v>9</v>
      </c>
      <c r="AA1353" s="50" t="str">
        <f t="shared" si="86"/>
        <v>Over 3.5</v>
      </c>
      <c r="AB1353" s="23">
        <v>6</v>
      </c>
      <c r="AC1353" s="30" t="str">
        <f>VLOOKUP(AB1353,[6]Key!$C$20:$D$29,2,FALSE)</f>
        <v>Businessman</v>
      </c>
      <c r="AD1353" s="23">
        <v>5</v>
      </c>
      <c r="AE1353" s="30" t="str">
        <f>VLOOKUP(AD1353,[6]Key!$E$20:$F$24,2,FALSE)</f>
        <v>&gt;1,000,000</v>
      </c>
      <c r="AF1353" s="23">
        <v>2</v>
      </c>
      <c r="AG1353" s="50">
        <v>1</v>
      </c>
      <c r="AH1353" s="50">
        <v>5</v>
      </c>
      <c r="AI1353" s="50">
        <v>3</v>
      </c>
      <c r="AJ1353" s="50">
        <v>4</v>
      </c>
      <c r="AK1353" s="46" t="s">
        <v>94</v>
      </c>
      <c r="AL1353" s="36"/>
      <c r="AM1353" t="str">
        <f t="shared" si="87"/>
        <v>0-1000</v>
      </c>
    </row>
    <row r="1354" spans="1:39" x14ac:dyDescent="0.2">
      <c r="A1354" s="44">
        <v>43759</v>
      </c>
      <c r="B1354" s="48">
        <v>0.63541666666666663</v>
      </c>
      <c r="C1354" s="48"/>
      <c r="D1354" s="48" t="s">
        <v>150</v>
      </c>
      <c r="E1354" s="13">
        <v>2</v>
      </c>
      <c r="F1354" s="38" t="str">
        <f>VLOOKUP(E1354,[6]Key!$A$17:$B$21,2,FALSE)</f>
        <v>Road Vehicle</v>
      </c>
      <c r="G1354" s="49">
        <v>4</v>
      </c>
      <c r="H1354" s="39" t="str">
        <f>VLOOKUP(G1354,[6]Key!$A$2:$B$14,2,FALSE)</f>
        <v>Minibus</v>
      </c>
      <c r="I1354" s="13" t="s">
        <v>156</v>
      </c>
      <c r="J1354" s="13">
        <v>1</v>
      </c>
      <c r="K1354" s="40" t="str">
        <f>VLOOKUP(J1354,[6]Key!$A$24:$B$29,2,FALSE)</f>
        <v>20-29</v>
      </c>
      <c r="L1354" s="55" t="s">
        <v>822</v>
      </c>
      <c r="M1354" s="23" t="s">
        <v>822</v>
      </c>
      <c r="N1354" s="13" t="s">
        <v>820</v>
      </c>
      <c r="O1354" s="46">
        <v>8</v>
      </c>
      <c r="P1354" s="30" t="str">
        <f>VLOOKUP(O1354,[6]Key!$E$2:$F$9,2,FALSE)</f>
        <v>Others</v>
      </c>
      <c r="Q1354" s="13" t="s">
        <v>819</v>
      </c>
      <c r="R1354" s="23" t="s">
        <v>819</v>
      </c>
      <c r="S1354" s="13" t="s">
        <v>820</v>
      </c>
      <c r="T1354" s="23">
        <v>1</v>
      </c>
      <c r="U1354" s="30" t="str">
        <f>VLOOKUP(T1354,[6]Key!$E$2:$F$9,2,FALSE)</f>
        <v>Home</v>
      </c>
      <c r="V1354" s="30" t="str">
        <f t="shared" si="84"/>
        <v>Others-Home</v>
      </c>
      <c r="W1354" s="41">
        <v>15000</v>
      </c>
      <c r="X1354" s="50"/>
      <c r="Y1354" s="50" t="str">
        <f t="shared" si="85"/>
        <v>0-10</v>
      </c>
      <c r="Z1354" s="50">
        <v>2</v>
      </c>
      <c r="AA1354" s="50" t="str">
        <f t="shared" si="86"/>
        <v>2.0-3.5</v>
      </c>
      <c r="AB1354" s="23">
        <v>1</v>
      </c>
      <c r="AC1354" s="30" t="str">
        <f>VLOOKUP(AB1354,[6]Key!$C$20:$D$29,2,FALSE)</f>
        <v>Unemployed</v>
      </c>
      <c r="AD1354" s="23">
        <v>1</v>
      </c>
      <c r="AE1354" s="30" t="str">
        <f>VLOOKUP(AD1354,[6]Key!$E$20:$F$24,2,FALSE)</f>
        <v>&lt;300,000</v>
      </c>
      <c r="AF1354" s="23">
        <v>5</v>
      </c>
      <c r="AG1354" s="50">
        <v>2</v>
      </c>
      <c r="AH1354" s="50">
        <v>4</v>
      </c>
      <c r="AI1354" s="50">
        <v>1</v>
      </c>
      <c r="AJ1354" s="50">
        <v>3</v>
      </c>
      <c r="AK1354" s="46" t="s">
        <v>94</v>
      </c>
      <c r="AL1354" s="36"/>
      <c r="AM1354" t="str">
        <f t="shared" si="87"/>
        <v>0-1000</v>
      </c>
    </row>
    <row r="1355" spans="1:39" x14ac:dyDescent="0.2">
      <c r="A1355" s="44">
        <v>43759</v>
      </c>
      <c r="B1355" s="48"/>
      <c r="C1355" s="48"/>
      <c r="D1355" s="48" t="s">
        <v>150</v>
      </c>
      <c r="E1355" s="13">
        <v>2</v>
      </c>
      <c r="F1355" s="38" t="str">
        <f>VLOOKUP(E1355,[6]Key!$A$17:$B$21,2,FALSE)</f>
        <v>Road Vehicle</v>
      </c>
      <c r="G1355" s="49">
        <v>4</v>
      </c>
      <c r="H1355" s="39" t="str">
        <f>VLOOKUP(G1355,[6]Key!$A$2:$B$14,2,FALSE)</f>
        <v>Minibus</v>
      </c>
      <c r="I1355" s="13" t="s">
        <v>156</v>
      </c>
      <c r="J1355" s="13">
        <v>1</v>
      </c>
      <c r="K1355" s="40" t="str">
        <f>VLOOKUP(J1355,[6]Key!$A$24:$B$29,2,FALSE)</f>
        <v>20-29</v>
      </c>
      <c r="L1355" s="55" t="s">
        <v>819</v>
      </c>
      <c r="M1355" s="23" t="s">
        <v>819</v>
      </c>
      <c r="N1355" s="13" t="s">
        <v>820</v>
      </c>
      <c r="O1355" s="46">
        <v>1</v>
      </c>
      <c r="P1355" s="30" t="str">
        <f>VLOOKUP(O1355,[6]Key!$E$2:$F$9,2,FALSE)</f>
        <v>Home</v>
      </c>
      <c r="Q1355" s="13" t="s">
        <v>830</v>
      </c>
      <c r="R1355" s="23" t="s">
        <v>832</v>
      </c>
      <c r="S1355" s="13" t="s">
        <v>820</v>
      </c>
      <c r="T1355" s="23">
        <v>6</v>
      </c>
      <c r="U1355" s="30" t="str">
        <f>VLOOKUP(T1355,[6]Key!$E$2:$F$9,2,FALSE)</f>
        <v>Leisure/Social</v>
      </c>
      <c r="V1355" s="30" t="str">
        <f t="shared" si="84"/>
        <v>Home-Leisure/Social</v>
      </c>
      <c r="W1355" s="41">
        <v>10000</v>
      </c>
      <c r="X1355" s="50"/>
      <c r="Y1355" s="50" t="str">
        <f t="shared" si="85"/>
        <v>0-10</v>
      </c>
      <c r="Z1355" s="50">
        <v>1.5</v>
      </c>
      <c r="AA1355" s="50" t="str">
        <f t="shared" si="86"/>
        <v>1.0-2.0</v>
      </c>
      <c r="AB1355" s="23">
        <v>2</v>
      </c>
      <c r="AC1355" s="30" t="str">
        <f>VLOOKUP(AB1355,[6]Key!$C$20:$D$29,2,FALSE)</f>
        <v>Manual Labour</v>
      </c>
      <c r="AD1355" s="23">
        <v>1</v>
      </c>
      <c r="AE1355" s="30" t="str">
        <f>VLOOKUP(AD1355,[6]Key!$E$20:$F$24,2,FALSE)</f>
        <v>&lt;300,000</v>
      </c>
      <c r="AF1355" s="23">
        <v>2</v>
      </c>
      <c r="AG1355" s="50">
        <v>3</v>
      </c>
      <c r="AH1355" s="50">
        <v>1</v>
      </c>
      <c r="AI1355" s="50">
        <v>5</v>
      </c>
      <c r="AJ1355" s="50">
        <v>4</v>
      </c>
      <c r="AK1355" s="46" t="s">
        <v>94</v>
      </c>
      <c r="AL1355" s="36">
        <v>3000</v>
      </c>
      <c r="AM1355" t="str">
        <f t="shared" si="87"/>
        <v>3000-5000</v>
      </c>
    </row>
    <row r="1356" spans="1:39" x14ac:dyDescent="0.2">
      <c r="A1356" s="44">
        <v>43759</v>
      </c>
      <c r="B1356" s="48"/>
      <c r="C1356" s="48"/>
      <c r="D1356" s="48" t="s">
        <v>150</v>
      </c>
      <c r="E1356" s="13">
        <v>2</v>
      </c>
      <c r="F1356" s="38" t="str">
        <f>VLOOKUP(E1356,[6]Key!$A$17:$B$21,2,FALSE)</f>
        <v>Road Vehicle</v>
      </c>
      <c r="G1356" s="49">
        <v>4</v>
      </c>
      <c r="H1356" s="39" t="str">
        <f>VLOOKUP(G1356,[6]Key!$A$2:$B$14,2,FALSE)</f>
        <v>Minibus</v>
      </c>
      <c r="I1356" s="13" t="s">
        <v>156</v>
      </c>
      <c r="J1356" s="13">
        <v>1</v>
      </c>
      <c r="K1356" s="40" t="str">
        <f>VLOOKUP(J1356,[6]Key!$A$24:$B$29,2,FALSE)</f>
        <v>20-29</v>
      </c>
      <c r="L1356" s="55" t="s">
        <v>819</v>
      </c>
      <c r="M1356" s="23" t="s">
        <v>819</v>
      </c>
      <c r="N1356" s="13" t="s">
        <v>820</v>
      </c>
      <c r="O1356" s="46">
        <v>1</v>
      </c>
      <c r="P1356" s="30" t="str">
        <f>VLOOKUP(O1356,[6]Key!$E$2:$F$9,2,FALSE)</f>
        <v>Home</v>
      </c>
      <c r="Q1356" s="13" t="s">
        <v>366</v>
      </c>
      <c r="R1356" s="23" t="s">
        <v>366</v>
      </c>
      <c r="S1356" s="13" t="s">
        <v>820</v>
      </c>
      <c r="T1356" s="23">
        <v>6</v>
      </c>
      <c r="U1356" s="30" t="str">
        <f>VLOOKUP(T1356,[6]Key!$E$2:$F$9,2,FALSE)</f>
        <v>Leisure/Social</v>
      </c>
      <c r="V1356" s="30" t="str">
        <f t="shared" si="84"/>
        <v>Home-Leisure/Social</v>
      </c>
      <c r="W1356" s="41">
        <v>5000</v>
      </c>
      <c r="X1356" s="50"/>
      <c r="Y1356" s="50" t="str">
        <f t="shared" si="85"/>
        <v>0-10</v>
      </c>
      <c r="Z1356" s="50">
        <v>1</v>
      </c>
      <c r="AA1356" s="50" t="str">
        <f t="shared" si="86"/>
        <v>1.0-2.0</v>
      </c>
      <c r="AB1356" s="23">
        <v>2</v>
      </c>
      <c r="AC1356" s="30" t="str">
        <f>VLOOKUP(AB1356,[6]Key!$C$20:$D$29,2,FALSE)</f>
        <v>Manual Labour</v>
      </c>
      <c r="AD1356" s="23">
        <v>1</v>
      </c>
      <c r="AE1356" s="30" t="str">
        <f>VLOOKUP(AD1356,[6]Key!$E$20:$F$24,2,FALSE)</f>
        <v>&lt;300,000</v>
      </c>
      <c r="AF1356" s="23">
        <v>2</v>
      </c>
      <c r="AG1356" s="50">
        <v>3</v>
      </c>
      <c r="AH1356" s="50">
        <v>1</v>
      </c>
      <c r="AI1356" s="50">
        <v>5</v>
      </c>
      <c r="AJ1356" s="50">
        <v>4</v>
      </c>
      <c r="AK1356" s="46" t="s">
        <v>94</v>
      </c>
      <c r="AL1356" s="36">
        <v>5000</v>
      </c>
      <c r="AM1356" t="str">
        <f t="shared" si="87"/>
        <v>5000-10000</v>
      </c>
    </row>
    <row r="1357" spans="1:39" x14ac:dyDescent="0.2">
      <c r="A1357" s="44">
        <v>43759</v>
      </c>
      <c r="B1357" s="48"/>
      <c r="C1357" s="48"/>
      <c r="D1357" s="48" t="s">
        <v>150</v>
      </c>
      <c r="E1357" s="13">
        <v>2</v>
      </c>
      <c r="F1357" s="38" t="str">
        <f>VLOOKUP(E1357,[6]Key!$A$17:$B$21,2,FALSE)</f>
        <v>Road Vehicle</v>
      </c>
      <c r="G1357" s="49">
        <v>4</v>
      </c>
      <c r="H1357" s="39" t="str">
        <f>VLOOKUP(G1357,[6]Key!$A$2:$B$14,2,FALSE)</f>
        <v>Minibus</v>
      </c>
      <c r="I1357" s="13" t="s">
        <v>156</v>
      </c>
      <c r="J1357" s="13">
        <v>1</v>
      </c>
      <c r="K1357" s="40" t="str">
        <f>VLOOKUP(J1357,[6]Key!$A$24:$B$29,2,FALSE)</f>
        <v>20-29</v>
      </c>
      <c r="L1357" s="55" t="s">
        <v>819</v>
      </c>
      <c r="M1357" s="23" t="s">
        <v>819</v>
      </c>
      <c r="N1357" s="13" t="s">
        <v>820</v>
      </c>
      <c r="O1357" s="46">
        <v>1</v>
      </c>
      <c r="P1357" s="30" t="str">
        <f>VLOOKUP(O1357,[6]Key!$E$2:$F$9,2,FALSE)</f>
        <v>Home</v>
      </c>
      <c r="Q1357" s="13" t="s">
        <v>366</v>
      </c>
      <c r="R1357" s="23" t="s">
        <v>366</v>
      </c>
      <c r="S1357" s="13" t="s">
        <v>820</v>
      </c>
      <c r="T1357" s="23">
        <v>2</v>
      </c>
      <c r="U1357" s="30" t="str">
        <f>VLOOKUP(T1357,[6]Key!$E$2:$F$9,2,FALSE)</f>
        <v>Work</v>
      </c>
      <c r="V1357" s="30" t="str">
        <f t="shared" si="84"/>
        <v>Home-Work</v>
      </c>
      <c r="W1357" s="41">
        <v>5000</v>
      </c>
      <c r="X1357" s="50"/>
      <c r="Y1357" s="50" t="str">
        <f t="shared" si="85"/>
        <v>0-10</v>
      </c>
      <c r="Z1357" s="50">
        <v>2</v>
      </c>
      <c r="AA1357" s="50" t="str">
        <f t="shared" si="86"/>
        <v>2.0-3.5</v>
      </c>
      <c r="AB1357" s="23">
        <v>7</v>
      </c>
      <c r="AC1357" s="30" t="str">
        <f>VLOOKUP(AB1357,[6]Key!$C$20:$D$29,2,FALSE)</f>
        <v>Farmer</v>
      </c>
      <c r="AD1357" s="23">
        <v>1</v>
      </c>
      <c r="AE1357" s="30" t="str">
        <f>VLOOKUP(AD1357,[6]Key!$E$20:$F$24,2,FALSE)</f>
        <v>&lt;300,000</v>
      </c>
      <c r="AF1357" s="23">
        <v>1</v>
      </c>
      <c r="AG1357" s="50">
        <v>3</v>
      </c>
      <c r="AH1357" s="50">
        <v>2</v>
      </c>
      <c r="AI1357" s="50">
        <v>5</v>
      </c>
      <c r="AJ1357" s="50">
        <v>4</v>
      </c>
      <c r="AK1357" s="46" t="s">
        <v>94</v>
      </c>
      <c r="AL1357" s="36">
        <v>10000</v>
      </c>
      <c r="AM1357" t="str">
        <f t="shared" si="87"/>
        <v>Over 10000</v>
      </c>
    </row>
    <row r="1358" spans="1:39" x14ac:dyDescent="0.2">
      <c r="A1358" s="44">
        <v>43759</v>
      </c>
      <c r="B1358" s="48"/>
      <c r="C1358" s="48"/>
      <c r="D1358" s="48" t="s">
        <v>150</v>
      </c>
      <c r="E1358" s="13">
        <v>2</v>
      </c>
      <c r="F1358" s="38" t="str">
        <f>VLOOKUP(E1358,[6]Key!$A$17:$B$21,2,FALSE)</f>
        <v>Road Vehicle</v>
      </c>
      <c r="G1358" s="49">
        <v>4</v>
      </c>
      <c r="H1358" s="39" t="str">
        <f>VLOOKUP(G1358,[6]Key!$A$2:$B$14,2,FALSE)</f>
        <v>Minibus</v>
      </c>
      <c r="I1358" s="13" t="s">
        <v>156</v>
      </c>
      <c r="J1358" s="13">
        <v>1</v>
      </c>
      <c r="K1358" s="40" t="str">
        <f>VLOOKUP(J1358,[6]Key!$A$24:$B$29,2,FALSE)</f>
        <v>20-29</v>
      </c>
      <c r="L1358" s="55" t="s">
        <v>819</v>
      </c>
      <c r="M1358" s="23" t="s">
        <v>819</v>
      </c>
      <c r="N1358" s="13" t="s">
        <v>820</v>
      </c>
      <c r="O1358" s="46">
        <v>2</v>
      </c>
      <c r="P1358" s="30" t="str">
        <f>VLOOKUP(O1358,[6]Key!$E$2:$F$9,2,FALSE)</f>
        <v>Work</v>
      </c>
      <c r="Q1358" s="13" t="s">
        <v>283</v>
      </c>
      <c r="R1358" s="23" t="s">
        <v>283</v>
      </c>
      <c r="S1358" s="13" t="s">
        <v>820</v>
      </c>
      <c r="T1358" s="23">
        <v>1</v>
      </c>
      <c r="U1358" s="30" t="str">
        <f>VLOOKUP(T1358,[6]Key!$E$2:$F$9,2,FALSE)</f>
        <v>Home</v>
      </c>
      <c r="V1358" s="30" t="str">
        <f t="shared" si="84"/>
        <v>Work-Home</v>
      </c>
      <c r="W1358" s="41">
        <v>10000</v>
      </c>
      <c r="X1358" s="50"/>
      <c r="Y1358" s="50" t="str">
        <f t="shared" si="85"/>
        <v>0-10</v>
      </c>
      <c r="Z1358" s="50">
        <v>1.5</v>
      </c>
      <c r="AA1358" s="50" t="str">
        <f t="shared" si="86"/>
        <v>1.0-2.0</v>
      </c>
      <c r="AB1358" s="23">
        <v>2</v>
      </c>
      <c r="AC1358" s="30" t="str">
        <f>VLOOKUP(AB1358,[6]Key!$C$20:$D$29,2,FALSE)</f>
        <v>Manual Labour</v>
      </c>
      <c r="AD1358" s="23">
        <v>1</v>
      </c>
      <c r="AE1358" s="30" t="str">
        <f>VLOOKUP(AD1358,[6]Key!$E$20:$F$24,2,FALSE)</f>
        <v>&lt;300,000</v>
      </c>
      <c r="AF1358" s="23"/>
      <c r="AG1358" s="50"/>
      <c r="AH1358" s="50"/>
      <c r="AI1358" s="50"/>
      <c r="AJ1358" s="50"/>
      <c r="AK1358" s="46" t="s">
        <v>94</v>
      </c>
      <c r="AL1358" s="36">
        <v>7000</v>
      </c>
      <c r="AM1358" t="str">
        <f t="shared" si="87"/>
        <v>5000-10000</v>
      </c>
    </row>
    <row r="1359" spans="1:39" x14ac:dyDescent="0.2">
      <c r="A1359" s="44">
        <v>43760</v>
      </c>
      <c r="B1359" s="48">
        <v>0.41041666666666665</v>
      </c>
      <c r="C1359" s="48"/>
      <c r="D1359" s="48" t="s">
        <v>150</v>
      </c>
      <c r="E1359" s="13">
        <v>2</v>
      </c>
      <c r="F1359" s="38" t="str">
        <f>VLOOKUP(E1359,[6]Key!$A$17:$B$21,2,FALSE)</f>
        <v>Road Vehicle</v>
      </c>
      <c r="G1359" s="49">
        <v>4</v>
      </c>
      <c r="H1359" s="39" t="str">
        <f>VLOOKUP(G1359,[6]Key!$A$2:$B$14,2,FALSE)</f>
        <v>Minibus</v>
      </c>
      <c r="I1359" s="13" t="s">
        <v>156</v>
      </c>
      <c r="J1359" s="13">
        <v>1</v>
      </c>
      <c r="K1359" s="40" t="str">
        <f>VLOOKUP(J1359,[6]Key!$A$24:$B$29,2,FALSE)</f>
        <v>20-29</v>
      </c>
      <c r="L1359" s="55" t="s">
        <v>833</v>
      </c>
      <c r="M1359" s="23" t="s">
        <v>819</v>
      </c>
      <c r="N1359" s="13" t="s">
        <v>820</v>
      </c>
      <c r="O1359" s="46">
        <v>1</v>
      </c>
      <c r="P1359" s="30" t="str">
        <f>VLOOKUP(O1359,[6]Key!$E$2:$F$9,2,FALSE)</f>
        <v>Home</v>
      </c>
      <c r="Q1359" s="13" t="s">
        <v>834</v>
      </c>
      <c r="R1359" s="23" t="s">
        <v>819</v>
      </c>
      <c r="S1359" s="13" t="s">
        <v>820</v>
      </c>
      <c r="T1359" s="23">
        <v>2</v>
      </c>
      <c r="U1359" s="30" t="str">
        <f>VLOOKUP(T1359,[6]Key!$E$2:$F$9,2,FALSE)</f>
        <v>Work</v>
      </c>
      <c r="V1359" s="30" t="str">
        <f t="shared" si="84"/>
        <v>Home-Work</v>
      </c>
      <c r="W1359" s="41">
        <v>2000</v>
      </c>
      <c r="X1359" s="50">
        <v>1</v>
      </c>
      <c r="Y1359" s="50" t="str">
        <f t="shared" si="85"/>
        <v>0-10</v>
      </c>
      <c r="Z1359" s="50">
        <v>0.3</v>
      </c>
      <c r="AA1359" s="50" t="str">
        <f t="shared" si="86"/>
        <v>0-0.5</v>
      </c>
      <c r="AB1359" s="23">
        <v>3</v>
      </c>
      <c r="AC1359" s="30" t="str">
        <f>VLOOKUP(AB1359,[6]Key!$C$20:$D$29,2,FALSE)</f>
        <v>Artisan/Domestic</v>
      </c>
      <c r="AD1359" s="23">
        <v>1</v>
      </c>
      <c r="AE1359" s="30" t="str">
        <f>VLOOKUP(AD1359,[6]Key!$E$20:$F$24,2,FALSE)</f>
        <v>&lt;300,000</v>
      </c>
      <c r="AF1359" s="23">
        <v>2</v>
      </c>
      <c r="AG1359" s="50">
        <v>1</v>
      </c>
      <c r="AH1359" s="50">
        <v>3</v>
      </c>
      <c r="AI1359" s="50">
        <v>4</v>
      </c>
      <c r="AJ1359" s="50">
        <v>5</v>
      </c>
      <c r="AK1359" s="46" t="s">
        <v>94</v>
      </c>
      <c r="AL1359" s="36"/>
      <c r="AM1359" t="str">
        <f t="shared" si="87"/>
        <v>0-1000</v>
      </c>
    </row>
    <row r="1360" spans="1:39" x14ac:dyDescent="0.2">
      <c r="A1360" s="44">
        <v>43760</v>
      </c>
      <c r="B1360" s="48"/>
      <c r="C1360" s="48"/>
      <c r="D1360" s="48" t="s">
        <v>150</v>
      </c>
      <c r="E1360" s="13">
        <v>2</v>
      </c>
      <c r="F1360" s="38" t="str">
        <f>VLOOKUP(E1360,[6]Key!$A$17:$B$21,2,FALSE)</f>
        <v>Road Vehicle</v>
      </c>
      <c r="G1360" s="49">
        <v>4</v>
      </c>
      <c r="H1360" s="39" t="str">
        <f>VLOOKUP(G1360,[6]Key!$A$2:$B$14,2,FALSE)</f>
        <v>Minibus</v>
      </c>
      <c r="I1360" s="13" t="s">
        <v>156</v>
      </c>
      <c r="J1360" s="13">
        <v>1</v>
      </c>
      <c r="K1360" s="40" t="str">
        <f>VLOOKUP(J1360,[6]Key!$A$24:$B$29,2,FALSE)</f>
        <v>20-29</v>
      </c>
      <c r="L1360" s="55" t="s">
        <v>819</v>
      </c>
      <c r="M1360" s="23" t="s">
        <v>819</v>
      </c>
      <c r="N1360" s="13" t="s">
        <v>820</v>
      </c>
      <c r="O1360" s="46">
        <v>1</v>
      </c>
      <c r="P1360" s="30" t="str">
        <f>VLOOKUP(O1360,[6]Key!$E$2:$F$9,2,FALSE)</f>
        <v>Home</v>
      </c>
      <c r="Q1360" s="13" t="s">
        <v>830</v>
      </c>
      <c r="R1360" s="23" t="s">
        <v>832</v>
      </c>
      <c r="S1360" s="13" t="s">
        <v>820</v>
      </c>
      <c r="T1360" s="23">
        <v>5</v>
      </c>
      <c r="U1360" s="30" t="str">
        <f>VLOOKUP(T1360,[6]Key!$E$2:$F$9,2,FALSE)</f>
        <v>Tourism</v>
      </c>
      <c r="V1360" s="30" t="str">
        <f t="shared" si="84"/>
        <v>Home-Tourism</v>
      </c>
      <c r="W1360" s="41">
        <v>10000</v>
      </c>
      <c r="X1360" s="50">
        <v>120</v>
      </c>
      <c r="Y1360" s="50" t="str">
        <f t="shared" si="85"/>
        <v>100-200</v>
      </c>
      <c r="Z1360" s="50">
        <v>2</v>
      </c>
      <c r="AA1360" s="50" t="str">
        <f t="shared" si="86"/>
        <v>2.0-3.5</v>
      </c>
      <c r="AB1360" s="23">
        <v>6</v>
      </c>
      <c r="AC1360" s="30" t="str">
        <f>VLOOKUP(AB1360,[6]Key!$C$20:$D$29,2,FALSE)</f>
        <v>Businessman</v>
      </c>
      <c r="AD1360" s="23">
        <v>2</v>
      </c>
      <c r="AE1360" s="30" t="str">
        <f>VLOOKUP(AD1360,[6]Key!$E$20:$F$24,2,FALSE)</f>
        <v>300,000-500,000</v>
      </c>
      <c r="AF1360" s="23">
        <v>3</v>
      </c>
      <c r="AG1360" s="50">
        <v>4</v>
      </c>
      <c r="AH1360" s="50">
        <v>5</v>
      </c>
      <c r="AI1360" s="50">
        <v>2</v>
      </c>
      <c r="AJ1360" s="50">
        <v>1</v>
      </c>
      <c r="AK1360" s="46" t="s">
        <v>94</v>
      </c>
      <c r="AL1360" s="36">
        <v>3000</v>
      </c>
      <c r="AM1360" t="str">
        <f t="shared" si="87"/>
        <v>3000-5000</v>
      </c>
    </row>
    <row r="1361" spans="1:39" x14ac:dyDescent="0.2">
      <c r="A1361" s="44">
        <v>43760</v>
      </c>
      <c r="B1361" s="48"/>
      <c r="C1361" s="48"/>
      <c r="D1361" s="48" t="s">
        <v>150</v>
      </c>
      <c r="E1361" s="13">
        <v>2</v>
      </c>
      <c r="F1361" s="38" t="str">
        <f>VLOOKUP(E1361,[6]Key!$A$17:$B$21,2,FALSE)</f>
        <v>Road Vehicle</v>
      </c>
      <c r="G1361" s="49">
        <v>4</v>
      </c>
      <c r="H1361" s="39" t="str">
        <f>VLOOKUP(G1361,[6]Key!$A$2:$B$14,2,FALSE)</f>
        <v>Minibus</v>
      </c>
      <c r="I1361" s="13" t="s">
        <v>156</v>
      </c>
      <c r="J1361" s="13">
        <v>1</v>
      </c>
      <c r="K1361" s="40" t="str">
        <f>VLOOKUP(J1361,[6]Key!$A$24:$B$29,2,FALSE)</f>
        <v>20-29</v>
      </c>
      <c r="L1361" s="55" t="s">
        <v>819</v>
      </c>
      <c r="M1361" s="23" t="s">
        <v>819</v>
      </c>
      <c r="N1361" s="13" t="s">
        <v>820</v>
      </c>
      <c r="O1361" s="46">
        <v>1</v>
      </c>
      <c r="P1361" s="30" t="str">
        <f>VLOOKUP(O1361,[6]Key!$E$2:$F$9,2,FALSE)</f>
        <v>Home</v>
      </c>
      <c r="Q1361" s="13" t="s">
        <v>835</v>
      </c>
      <c r="R1361" s="23" t="s">
        <v>819</v>
      </c>
      <c r="S1361" s="13" t="s">
        <v>820</v>
      </c>
      <c r="T1361" s="23">
        <v>2</v>
      </c>
      <c r="U1361" s="30" t="str">
        <f>VLOOKUP(T1361,[6]Key!$E$2:$F$9,2,FALSE)</f>
        <v>Work</v>
      </c>
      <c r="V1361" s="30" t="str">
        <f t="shared" si="84"/>
        <v>Home-Work</v>
      </c>
      <c r="W1361" s="41">
        <v>5000</v>
      </c>
      <c r="X1361" s="50">
        <v>57</v>
      </c>
      <c r="Y1361" s="50" t="str">
        <f t="shared" si="85"/>
        <v>40-70</v>
      </c>
      <c r="Z1361" s="50">
        <v>1</v>
      </c>
      <c r="AA1361" s="50" t="str">
        <f t="shared" si="86"/>
        <v>1.0-2.0</v>
      </c>
      <c r="AB1361" s="23">
        <v>2</v>
      </c>
      <c r="AC1361" s="30" t="str">
        <f>VLOOKUP(AB1361,[6]Key!$C$20:$D$29,2,FALSE)</f>
        <v>Manual Labour</v>
      </c>
      <c r="AD1361" s="23">
        <v>2</v>
      </c>
      <c r="AE1361" s="30" t="str">
        <f>VLOOKUP(AD1361,[6]Key!$E$20:$F$24,2,FALSE)</f>
        <v>300,000-500,000</v>
      </c>
      <c r="AF1361" s="23">
        <v>3</v>
      </c>
      <c r="AG1361" s="50">
        <v>2</v>
      </c>
      <c r="AH1361" s="50">
        <v>5</v>
      </c>
      <c r="AI1361" s="50">
        <v>4</v>
      </c>
      <c r="AJ1361" s="50">
        <v>1</v>
      </c>
      <c r="AK1361" s="46" t="s">
        <v>94</v>
      </c>
      <c r="AL1361" s="36">
        <v>3000</v>
      </c>
      <c r="AM1361" t="str">
        <f t="shared" si="87"/>
        <v>3000-5000</v>
      </c>
    </row>
    <row r="1362" spans="1:39" x14ac:dyDescent="0.2">
      <c r="A1362" s="44">
        <v>43760</v>
      </c>
      <c r="B1362" s="48"/>
      <c r="C1362" s="48"/>
      <c r="D1362" s="48" t="s">
        <v>150</v>
      </c>
      <c r="E1362" s="13">
        <v>2</v>
      </c>
      <c r="F1362" s="38" t="str">
        <f>VLOOKUP(E1362,[6]Key!$A$17:$B$21,2,FALSE)</f>
        <v>Road Vehicle</v>
      </c>
      <c r="G1362" s="49">
        <v>4</v>
      </c>
      <c r="H1362" s="39" t="str">
        <f>VLOOKUP(G1362,[6]Key!$A$2:$B$14,2,FALSE)</f>
        <v>Minibus</v>
      </c>
      <c r="I1362" s="13" t="s">
        <v>156</v>
      </c>
      <c r="J1362" s="13">
        <v>1</v>
      </c>
      <c r="K1362" s="40" t="str">
        <f>VLOOKUP(J1362,[6]Key!$A$24:$B$29,2,FALSE)</f>
        <v>20-29</v>
      </c>
      <c r="L1362" s="55" t="s">
        <v>819</v>
      </c>
      <c r="M1362" s="23" t="s">
        <v>819</v>
      </c>
      <c r="N1362" s="13" t="s">
        <v>820</v>
      </c>
      <c r="O1362" s="46">
        <v>1</v>
      </c>
      <c r="P1362" s="30" t="str">
        <f>VLOOKUP(O1362,[6]Key!$E$2:$F$9,2,FALSE)</f>
        <v>Home</v>
      </c>
      <c r="Q1362" s="13" t="s">
        <v>836</v>
      </c>
      <c r="R1362" s="23" t="s">
        <v>819</v>
      </c>
      <c r="S1362" s="13" t="s">
        <v>820</v>
      </c>
      <c r="T1362" s="23">
        <v>2</v>
      </c>
      <c r="U1362" s="30" t="str">
        <f>VLOOKUP(T1362,[6]Key!$E$2:$F$9,2,FALSE)</f>
        <v>Work</v>
      </c>
      <c r="V1362" s="30" t="str">
        <f t="shared" si="84"/>
        <v>Home-Work</v>
      </c>
      <c r="W1362" s="41">
        <v>5000</v>
      </c>
      <c r="X1362" s="50">
        <v>70</v>
      </c>
      <c r="Y1362" s="50" t="str">
        <f t="shared" si="85"/>
        <v>70-100</v>
      </c>
      <c r="Z1362" s="50">
        <v>1</v>
      </c>
      <c r="AA1362" s="50" t="str">
        <f t="shared" si="86"/>
        <v>1.0-2.0</v>
      </c>
      <c r="AB1362" s="23">
        <v>2</v>
      </c>
      <c r="AC1362" s="30" t="str">
        <f>VLOOKUP(AB1362,[6]Key!$C$20:$D$29,2,FALSE)</f>
        <v>Manual Labour</v>
      </c>
      <c r="AD1362" s="23">
        <v>1</v>
      </c>
      <c r="AE1362" s="30" t="str">
        <f>VLOOKUP(AD1362,[6]Key!$E$20:$F$24,2,FALSE)</f>
        <v>&lt;300,000</v>
      </c>
      <c r="AF1362" s="23">
        <v>2</v>
      </c>
      <c r="AG1362" s="50">
        <v>4</v>
      </c>
      <c r="AH1362" s="50">
        <v>5</v>
      </c>
      <c r="AI1362" s="50">
        <v>1</v>
      </c>
      <c r="AJ1362" s="50">
        <v>3</v>
      </c>
      <c r="AK1362" s="46" t="s">
        <v>94</v>
      </c>
      <c r="AL1362" s="36">
        <v>1000</v>
      </c>
      <c r="AM1362" t="str">
        <f t="shared" si="87"/>
        <v>1000-2000</v>
      </c>
    </row>
    <row r="1363" spans="1:39" x14ac:dyDescent="0.2">
      <c r="A1363" s="44">
        <v>43760</v>
      </c>
      <c r="B1363" s="48"/>
      <c r="C1363" s="48"/>
      <c r="D1363" s="48" t="s">
        <v>150</v>
      </c>
      <c r="E1363" s="13">
        <v>2</v>
      </c>
      <c r="F1363" s="38" t="str">
        <f>VLOOKUP(E1363,[6]Key!$A$17:$B$21,2,FALSE)</f>
        <v>Road Vehicle</v>
      </c>
      <c r="G1363" s="49">
        <v>4</v>
      </c>
      <c r="H1363" s="39" t="str">
        <f>VLOOKUP(G1363,[6]Key!$A$2:$B$14,2,FALSE)</f>
        <v>Minibus</v>
      </c>
      <c r="I1363" s="13" t="s">
        <v>156</v>
      </c>
      <c r="J1363" s="13">
        <v>1</v>
      </c>
      <c r="K1363" s="40" t="str">
        <f>VLOOKUP(J1363,[6]Key!$A$24:$B$29,2,FALSE)</f>
        <v>20-29</v>
      </c>
      <c r="L1363" s="55" t="s">
        <v>819</v>
      </c>
      <c r="M1363" s="23" t="s">
        <v>819</v>
      </c>
      <c r="N1363" s="13" t="s">
        <v>820</v>
      </c>
      <c r="O1363" s="46">
        <v>1</v>
      </c>
      <c r="P1363" s="30" t="str">
        <f>VLOOKUP(O1363,[6]Key!$E$2:$F$9,2,FALSE)</f>
        <v>Home</v>
      </c>
      <c r="Q1363" s="13" t="s">
        <v>837</v>
      </c>
      <c r="R1363" s="23" t="s">
        <v>819</v>
      </c>
      <c r="S1363" s="13" t="s">
        <v>820</v>
      </c>
      <c r="T1363" s="23">
        <v>2</v>
      </c>
      <c r="U1363" s="30" t="str">
        <f>VLOOKUP(T1363,[6]Key!$E$2:$F$9,2,FALSE)</f>
        <v>Work</v>
      </c>
      <c r="V1363" s="30" t="str">
        <f t="shared" si="84"/>
        <v>Home-Work</v>
      </c>
      <c r="W1363" s="41">
        <v>3000</v>
      </c>
      <c r="X1363" s="50">
        <v>50</v>
      </c>
      <c r="Y1363" s="50" t="str">
        <f t="shared" si="85"/>
        <v>40-70</v>
      </c>
      <c r="Z1363" s="50">
        <v>0.5</v>
      </c>
      <c r="AA1363" s="50" t="str">
        <f t="shared" si="86"/>
        <v>0.5-1.0</v>
      </c>
      <c r="AB1363" s="23">
        <v>2</v>
      </c>
      <c r="AC1363" s="30" t="str">
        <f>VLOOKUP(AB1363,[6]Key!$C$20:$D$29,2,FALSE)</f>
        <v>Manual Labour</v>
      </c>
      <c r="AD1363" s="23">
        <v>1</v>
      </c>
      <c r="AE1363" s="30" t="str">
        <f>VLOOKUP(AD1363,[6]Key!$E$20:$F$24,2,FALSE)</f>
        <v>&lt;300,000</v>
      </c>
      <c r="AF1363" s="23">
        <v>2</v>
      </c>
      <c r="AG1363" s="50">
        <v>3</v>
      </c>
      <c r="AH1363" s="50">
        <v>5</v>
      </c>
      <c r="AI1363" s="50">
        <v>1</v>
      </c>
      <c r="AJ1363" s="50">
        <v>4</v>
      </c>
      <c r="AK1363" s="46" t="s">
        <v>94</v>
      </c>
      <c r="AL1363" s="36">
        <v>1000</v>
      </c>
      <c r="AM1363" t="str">
        <f t="shared" si="87"/>
        <v>1000-2000</v>
      </c>
    </row>
    <row r="1364" spans="1:39" x14ac:dyDescent="0.2">
      <c r="A1364" s="44">
        <v>43760</v>
      </c>
      <c r="B1364" s="48"/>
      <c r="C1364" s="48"/>
      <c r="D1364" s="48" t="s">
        <v>150</v>
      </c>
      <c r="E1364" s="13">
        <v>2</v>
      </c>
      <c r="F1364" s="38" t="str">
        <f>VLOOKUP(E1364,[6]Key!$A$17:$B$21,2,FALSE)</f>
        <v>Road Vehicle</v>
      </c>
      <c r="G1364" s="49">
        <v>4</v>
      </c>
      <c r="H1364" s="39" t="str">
        <f>VLOOKUP(G1364,[6]Key!$A$2:$B$14,2,FALSE)</f>
        <v>Minibus</v>
      </c>
      <c r="I1364" s="13" t="s">
        <v>156</v>
      </c>
      <c r="J1364" s="13">
        <v>1</v>
      </c>
      <c r="K1364" s="40" t="str">
        <f>VLOOKUP(J1364,[6]Key!$A$24:$B$29,2,FALSE)</f>
        <v>20-29</v>
      </c>
      <c r="L1364" s="55" t="s">
        <v>819</v>
      </c>
      <c r="M1364" s="23" t="s">
        <v>819</v>
      </c>
      <c r="N1364" s="13" t="s">
        <v>820</v>
      </c>
      <c r="O1364" s="46">
        <v>1</v>
      </c>
      <c r="P1364" s="30" t="str">
        <f>VLOOKUP(O1364,[6]Key!$E$2:$F$9,2,FALSE)</f>
        <v>Home</v>
      </c>
      <c r="Q1364" s="13" t="s">
        <v>838</v>
      </c>
      <c r="R1364" s="23" t="s">
        <v>832</v>
      </c>
      <c r="S1364" s="13" t="s">
        <v>820</v>
      </c>
      <c r="T1364" s="23">
        <v>6</v>
      </c>
      <c r="U1364" s="30" t="str">
        <f>VLOOKUP(T1364,[6]Key!$E$2:$F$9,2,FALSE)</f>
        <v>Leisure/Social</v>
      </c>
      <c r="V1364" s="30" t="str">
        <f t="shared" si="84"/>
        <v>Home-Leisure/Social</v>
      </c>
      <c r="W1364" s="41">
        <v>7000</v>
      </c>
      <c r="X1364" s="50"/>
      <c r="Y1364" s="50" t="str">
        <f t="shared" si="85"/>
        <v>0-10</v>
      </c>
      <c r="Z1364" s="50">
        <v>1</v>
      </c>
      <c r="AA1364" s="50" t="str">
        <f t="shared" si="86"/>
        <v>1.0-2.0</v>
      </c>
      <c r="AB1364" s="23">
        <v>3</v>
      </c>
      <c r="AC1364" s="30" t="str">
        <f>VLOOKUP(AB1364,[6]Key!$C$20:$D$29,2,FALSE)</f>
        <v>Artisan/Domestic</v>
      </c>
      <c r="AD1364" s="23">
        <v>1</v>
      </c>
      <c r="AE1364" s="30" t="str">
        <f>VLOOKUP(AD1364,[6]Key!$E$20:$F$24,2,FALSE)</f>
        <v>&lt;300,000</v>
      </c>
      <c r="AF1364" s="23">
        <v>3</v>
      </c>
      <c r="AG1364" s="50">
        <v>2</v>
      </c>
      <c r="AH1364" s="50">
        <v>1</v>
      </c>
      <c r="AI1364" s="50">
        <v>4</v>
      </c>
      <c r="AJ1364" s="50">
        <v>5</v>
      </c>
      <c r="AK1364" s="46" t="s">
        <v>94</v>
      </c>
      <c r="AL1364" s="36">
        <v>3000</v>
      </c>
      <c r="AM1364" t="str">
        <f t="shared" si="87"/>
        <v>3000-5000</v>
      </c>
    </row>
    <row r="1365" spans="1:39" x14ac:dyDescent="0.2">
      <c r="A1365" s="44">
        <v>43760</v>
      </c>
      <c r="B1365" s="48"/>
      <c r="C1365" s="48"/>
      <c r="D1365" s="48" t="s">
        <v>150</v>
      </c>
      <c r="E1365" s="13">
        <v>2</v>
      </c>
      <c r="F1365" s="38" t="str">
        <f>VLOOKUP(E1365,[6]Key!$A$17:$B$21,2,FALSE)</f>
        <v>Road Vehicle</v>
      </c>
      <c r="G1365" s="49">
        <v>4</v>
      </c>
      <c r="H1365" s="39" t="str">
        <f>VLOOKUP(G1365,[6]Key!$A$2:$B$14,2,FALSE)</f>
        <v>Minibus</v>
      </c>
      <c r="I1365" s="13" t="s">
        <v>156</v>
      </c>
      <c r="J1365" s="13">
        <v>1</v>
      </c>
      <c r="K1365" s="40" t="str">
        <f>VLOOKUP(J1365,[6]Key!$A$24:$B$29,2,FALSE)</f>
        <v>20-29</v>
      </c>
      <c r="L1365" s="55" t="s">
        <v>839</v>
      </c>
      <c r="M1365" s="23" t="s">
        <v>839</v>
      </c>
      <c r="N1365" s="13" t="s">
        <v>820</v>
      </c>
      <c r="O1365" s="46">
        <v>1</v>
      </c>
      <c r="P1365" s="30" t="str">
        <f>VLOOKUP(O1365,[6]Key!$E$2:$F$9,2,FALSE)</f>
        <v>Home</v>
      </c>
      <c r="Q1365" s="13" t="s">
        <v>819</v>
      </c>
      <c r="R1365" s="23" t="s">
        <v>819</v>
      </c>
      <c r="S1365" s="13" t="s">
        <v>820</v>
      </c>
      <c r="T1365" s="23">
        <v>6</v>
      </c>
      <c r="U1365" s="30" t="str">
        <f>VLOOKUP(T1365,[6]Key!$E$2:$F$9,2,FALSE)</f>
        <v>Leisure/Social</v>
      </c>
      <c r="V1365" s="30" t="str">
        <f t="shared" si="84"/>
        <v>Home-Leisure/Social</v>
      </c>
      <c r="W1365" s="41">
        <v>30000</v>
      </c>
      <c r="X1365" s="50"/>
      <c r="Y1365" s="50" t="str">
        <f t="shared" si="85"/>
        <v>0-10</v>
      </c>
      <c r="Z1365" s="50">
        <v>5</v>
      </c>
      <c r="AA1365" s="50" t="str">
        <f t="shared" si="86"/>
        <v>Over 3.5</v>
      </c>
      <c r="AB1365" s="23">
        <v>7</v>
      </c>
      <c r="AC1365" s="30" t="str">
        <f>VLOOKUP(AB1365,[6]Key!$C$20:$D$29,2,FALSE)</f>
        <v>Farmer</v>
      </c>
      <c r="AD1365" s="23">
        <v>1</v>
      </c>
      <c r="AE1365" s="30" t="str">
        <f>VLOOKUP(AD1365,[6]Key!$E$20:$F$24,2,FALSE)</f>
        <v>&lt;300,000</v>
      </c>
      <c r="AF1365" s="23">
        <v>3</v>
      </c>
      <c r="AG1365" s="50">
        <v>4</v>
      </c>
      <c r="AH1365" s="50">
        <v>2</v>
      </c>
      <c r="AI1365" s="50">
        <v>1</v>
      </c>
      <c r="AJ1365" s="50">
        <v>5</v>
      </c>
      <c r="AK1365" s="46" t="s">
        <v>94</v>
      </c>
      <c r="AL1365" s="36"/>
      <c r="AM1365" t="str">
        <f t="shared" si="87"/>
        <v>0-1000</v>
      </c>
    </row>
    <row r="1366" spans="1:39" x14ac:dyDescent="0.2">
      <c r="A1366" s="44">
        <v>43760</v>
      </c>
      <c r="B1366" s="48"/>
      <c r="C1366" s="48"/>
      <c r="D1366" s="48" t="s">
        <v>150</v>
      </c>
      <c r="E1366" s="13">
        <v>2</v>
      </c>
      <c r="F1366" s="38" t="str">
        <f>VLOOKUP(E1366,[6]Key!$A$17:$B$21,2,FALSE)</f>
        <v>Road Vehicle</v>
      </c>
      <c r="G1366" s="49">
        <v>4</v>
      </c>
      <c r="H1366" s="39" t="str">
        <f>VLOOKUP(G1366,[6]Key!$A$2:$B$14,2,FALSE)</f>
        <v>Minibus</v>
      </c>
      <c r="I1366" s="13" t="s">
        <v>156</v>
      </c>
      <c r="J1366" s="13">
        <v>1</v>
      </c>
      <c r="K1366" s="40" t="str">
        <f>VLOOKUP(J1366,[6]Key!$A$24:$B$29,2,FALSE)</f>
        <v>20-29</v>
      </c>
      <c r="L1366" s="55" t="s">
        <v>819</v>
      </c>
      <c r="M1366" s="23" t="s">
        <v>819</v>
      </c>
      <c r="N1366" s="13" t="s">
        <v>820</v>
      </c>
      <c r="O1366" s="46">
        <v>1</v>
      </c>
      <c r="P1366" s="30" t="str">
        <f>VLOOKUP(O1366,[6]Key!$E$2:$F$9,2,FALSE)</f>
        <v>Home</v>
      </c>
      <c r="Q1366" s="13" t="s">
        <v>840</v>
      </c>
      <c r="R1366" s="23" t="s">
        <v>819</v>
      </c>
      <c r="S1366" s="13" t="s">
        <v>820</v>
      </c>
      <c r="T1366" s="23">
        <v>2</v>
      </c>
      <c r="U1366" s="30" t="str">
        <f>VLOOKUP(T1366,[6]Key!$E$2:$F$9,2,FALSE)</f>
        <v>Work</v>
      </c>
      <c r="V1366" s="30" t="str">
        <f t="shared" si="84"/>
        <v>Home-Work</v>
      </c>
      <c r="W1366" s="41">
        <v>2000</v>
      </c>
      <c r="X1366" s="50">
        <v>10</v>
      </c>
      <c r="Y1366" s="50" t="str">
        <f t="shared" si="85"/>
        <v>10-20</v>
      </c>
      <c r="Z1366" s="50">
        <v>0.7</v>
      </c>
      <c r="AA1366" s="50" t="str">
        <f t="shared" si="86"/>
        <v>0.5-1.0</v>
      </c>
      <c r="AB1366" s="23">
        <v>2</v>
      </c>
      <c r="AC1366" s="30" t="str">
        <f>VLOOKUP(AB1366,[6]Key!$C$20:$D$29,2,FALSE)</f>
        <v>Manual Labour</v>
      </c>
      <c r="AD1366" s="23">
        <v>2</v>
      </c>
      <c r="AE1366" s="30" t="str">
        <f>VLOOKUP(AD1366,[6]Key!$E$20:$F$24,2,FALSE)</f>
        <v>300,000-500,000</v>
      </c>
      <c r="AF1366" s="23">
        <v>3</v>
      </c>
      <c r="AG1366" s="50">
        <v>2</v>
      </c>
      <c r="AH1366" s="50">
        <v>1</v>
      </c>
      <c r="AI1366" s="50">
        <v>5</v>
      </c>
      <c r="AJ1366" s="50">
        <v>4</v>
      </c>
      <c r="AK1366" s="46" t="s">
        <v>94</v>
      </c>
      <c r="AL1366" s="36">
        <v>1000</v>
      </c>
      <c r="AM1366" t="str">
        <f t="shared" si="87"/>
        <v>1000-2000</v>
      </c>
    </row>
    <row r="1367" spans="1:39" x14ac:dyDescent="0.2">
      <c r="A1367" s="44">
        <v>43761</v>
      </c>
      <c r="B1367" s="48">
        <v>0.5395833333333333</v>
      </c>
      <c r="C1367" s="48"/>
      <c r="D1367" s="48" t="s">
        <v>150</v>
      </c>
      <c r="E1367" s="13">
        <v>2</v>
      </c>
      <c r="F1367" s="38" t="str">
        <f>VLOOKUP(E1367,[6]Key!$A$17:$B$21,2,FALSE)</f>
        <v>Road Vehicle</v>
      </c>
      <c r="G1367" s="49">
        <v>4</v>
      </c>
      <c r="H1367" s="39" t="str">
        <f>VLOOKUP(G1367,[6]Key!$A$2:$B$14,2,FALSE)</f>
        <v>Minibus</v>
      </c>
      <c r="I1367" s="13" t="s">
        <v>156</v>
      </c>
      <c r="J1367" s="13">
        <v>1</v>
      </c>
      <c r="K1367" s="40" t="str">
        <f>VLOOKUP(J1367,[6]Key!$A$24:$B$29,2,FALSE)</f>
        <v>20-29</v>
      </c>
      <c r="L1367" s="55" t="s">
        <v>96</v>
      </c>
      <c r="M1367" s="23" t="s">
        <v>822</v>
      </c>
      <c r="N1367" s="13" t="s">
        <v>820</v>
      </c>
      <c r="O1367" s="46">
        <v>2</v>
      </c>
      <c r="P1367" s="30" t="str">
        <f>VLOOKUP(O1367,[6]Key!$E$2:$F$9,2,FALSE)</f>
        <v>Work</v>
      </c>
      <c r="Q1367" s="13" t="s">
        <v>841</v>
      </c>
      <c r="R1367" s="23" t="s">
        <v>819</v>
      </c>
      <c r="S1367" s="13" t="s">
        <v>820</v>
      </c>
      <c r="T1367" s="23">
        <v>1</v>
      </c>
      <c r="U1367" s="30" t="str">
        <f>VLOOKUP(T1367,[6]Key!$E$2:$F$9,2,FALSE)</f>
        <v>Home</v>
      </c>
      <c r="V1367" s="30" t="str">
        <f t="shared" si="84"/>
        <v>Work-Home</v>
      </c>
      <c r="W1367" s="41">
        <v>5000</v>
      </c>
      <c r="X1367" s="50">
        <v>15</v>
      </c>
      <c r="Y1367" s="50" t="str">
        <f t="shared" si="85"/>
        <v>10-20</v>
      </c>
      <c r="Z1367" s="50">
        <v>2</v>
      </c>
      <c r="AA1367" s="50" t="str">
        <f t="shared" si="86"/>
        <v>2.0-3.5</v>
      </c>
      <c r="AB1367" s="23">
        <v>7</v>
      </c>
      <c r="AC1367" s="30" t="str">
        <f>VLOOKUP(AB1367,[6]Key!$C$20:$D$29,2,FALSE)</f>
        <v>Farmer</v>
      </c>
      <c r="AD1367" s="23">
        <v>1</v>
      </c>
      <c r="AE1367" s="30" t="str">
        <f>VLOOKUP(AD1367,[6]Key!$E$20:$F$24,2,FALSE)</f>
        <v>&lt;300,000</v>
      </c>
      <c r="AF1367" s="23">
        <v>2</v>
      </c>
      <c r="AG1367" s="50">
        <v>1</v>
      </c>
      <c r="AH1367" s="50">
        <v>3</v>
      </c>
      <c r="AI1367" s="50">
        <v>4</v>
      </c>
      <c r="AJ1367" s="50">
        <v>5</v>
      </c>
      <c r="AK1367" s="46" t="s">
        <v>94</v>
      </c>
      <c r="AL1367" s="36"/>
      <c r="AM1367" t="str">
        <f t="shared" si="87"/>
        <v>0-1000</v>
      </c>
    </row>
    <row r="1368" spans="1:39" x14ac:dyDescent="0.2">
      <c r="A1368" s="44">
        <v>43761</v>
      </c>
      <c r="B1368" s="48"/>
      <c r="C1368" s="48"/>
      <c r="D1368" s="48" t="s">
        <v>150</v>
      </c>
      <c r="E1368" s="13">
        <v>2</v>
      </c>
      <c r="F1368" s="38" t="str">
        <f>VLOOKUP(E1368,[6]Key!$A$17:$B$21,2,FALSE)</f>
        <v>Road Vehicle</v>
      </c>
      <c r="G1368" s="49">
        <v>4</v>
      </c>
      <c r="H1368" s="39" t="str">
        <f>VLOOKUP(G1368,[6]Key!$A$2:$B$14,2,FALSE)</f>
        <v>Minibus</v>
      </c>
      <c r="I1368" s="13" t="s">
        <v>156</v>
      </c>
      <c r="J1368" s="13">
        <v>1</v>
      </c>
      <c r="K1368" s="40" t="str">
        <f>VLOOKUP(J1368,[6]Key!$A$24:$B$29,2,FALSE)</f>
        <v>20-29</v>
      </c>
      <c r="L1368" s="55" t="s">
        <v>819</v>
      </c>
      <c r="M1368" s="23" t="s">
        <v>819</v>
      </c>
      <c r="N1368" s="13" t="s">
        <v>820</v>
      </c>
      <c r="O1368" s="46">
        <v>1</v>
      </c>
      <c r="P1368" s="30" t="str">
        <f>VLOOKUP(O1368,[6]Key!$E$2:$F$9,2,FALSE)</f>
        <v>Home</v>
      </c>
      <c r="Q1368" s="13" t="s">
        <v>842</v>
      </c>
      <c r="R1368" s="23" t="s">
        <v>819</v>
      </c>
      <c r="S1368" s="13" t="s">
        <v>820</v>
      </c>
      <c r="T1368" s="23">
        <v>2</v>
      </c>
      <c r="U1368" s="30" t="str">
        <f>VLOOKUP(T1368,[6]Key!$E$2:$F$9,2,FALSE)</f>
        <v>Work</v>
      </c>
      <c r="V1368" s="30" t="str">
        <f t="shared" si="84"/>
        <v>Home-Work</v>
      </c>
      <c r="W1368" s="41">
        <v>3000</v>
      </c>
      <c r="X1368" s="50">
        <v>10</v>
      </c>
      <c r="Y1368" s="50" t="str">
        <f t="shared" si="85"/>
        <v>10-20</v>
      </c>
      <c r="Z1368" s="50">
        <v>1</v>
      </c>
      <c r="AA1368" s="50" t="str">
        <f t="shared" si="86"/>
        <v>1.0-2.0</v>
      </c>
      <c r="AB1368" s="23">
        <v>2</v>
      </c>
      <c r="AC1368" s="30" t="str">
        <f>VLOOKUP(AB1368,[6]Key!$C$20:$D$29,2,FALSE)</f>
        <v>Manual Labour</v>
      </c>
      <c r="AD1368" s="23">
        <v>1</v>
      </c>
      <c r="AE1368" s="30" t="str">
        <f>VLOOKUP(AD1368,[6]Key!$E$20:$F$24,2,FALSE)</f>
        <v>&lt;300,000</v>
      </c>
      <c r="AF1368" s="23">
        <v>2</v>
      </c>
      <c r="AG1368" s="50">
        <v>5</v>
      </c>
      <c r="AH1368" s="50">
        <v>4</v>
      </c>
      <c r="AI1368" s="50">
        <v>3</v>
      </c>
      <c r="AJ1368" s="50">
        <v>1</v>
      </c>
      <c r="AK1368" s="46" t="s">
        <v>94</v>
      </c>
      <c r="AL1368" s="36">
        <v>3000</v>
      </c>
      <c r="AM1368" t="str">
        <f t="shared" si="87"/>
        <v>3000-5000</v>
      </c>
    </row>
    <row r="1369" spans="1:39" x14ac:dyDescent="0.2">
      <c r="A1369" s="44">
        <v>43761</v>
      </c>
      <c r="B1369" s="48">
        <v>0.34791666666666665</v>
      </c>
      <c r="C1369" s="48"/>
      <c r="D1369" s="48" t="s">
        <v>150</v>
      </c>
      <c r="E1369" s="13">
        <v>2</v>
      </c>
      <c r="F1369" s="38" t="str">
        <f>VLOOKUP(E1369,[6]Key!$A$17:$B$21,2,FALSE)</f>
        <v>Road Vehicle</v>
      </c>
      <c r="G1369" s="49">
        <v>4</v>
      </c>
      <c r="H1369" s="39" t="str">
        <f>VLOOKUP(G1369,[6]Key!$A$2:$B$14,2,FALSE)</f>
        <v>Minibus</v>
      </c>
      <c r="I1369" s="13" t="s">
        <v>156</v>
      </c>
      <c r="J1369" s="13">
        <v>1</v>
      </c>
      <c r="K1369" s="40" t="str">
        <f>VLOOKUP(J1369,[6]Key!$A$24:$B$29,2,FALSE)</f>
        <v>20-29</v>
      </c>
      <c r="L1369" s="55" t="s">
        <v>819</v>
      </c>
      <c r="M1369" s="23" t="s">
        <v>819</v>
      </c>
      <c r="N1369" s="13" t="s">
        <v>820</v>
      </c>
      <c r="O1369" s="46">
        <v>1</v>
      </c>
      <c r="P1369" s="30" t="str">
        <f>VLOOKUP(O1369,[6]Key!$E$2:$F$9,2,FALSE)</f>
        <v>Home</v>
      </c>
      <c r="Q1369" s="13" t="s">
        <v>843</v>
      </c>
      <c r="R1369" s="23" t="s">
        <v>839</v>
      </c>
      <c r="S1369" s="13"/>
      <c r="T1369" s="23">
        <v>1</v>
      </c>
      <c r="U1369" s="30" t="str">
        <f>VLOOKUP(T1369,[6]Key!$E$2:$F$9,2,FALSE)</f>
        <v>Home</v>
      </c>
      <c r="V1369" s="30" t="str">
        <f t="shared" si="84"/>
        <v>Home-Home</v>
      </c>
      <c r="W1369" s="41">
        <v>25000</v>
      </c>
      <c r="X1369" s="50"/>
      <c r="Y1369" s="50" t="str">
        <f t="shared" si="85"/>
        <v>0-10</v>
      </c>
      <c r="Z1369" s="50">
        <v>7</v>
      </c>
      <c r="AA1369" s="50" t="str">
        <f t="shared" si="86"/>
        <v>Over 3.5</v>
      </c>
      <c r="AB1369" s="23">
        <v>1</v>
      </c>
      <c r="AC1369" s="30" t="str">
        <f>VLOOKUP(AB1369,[6]Key!$C$20:$D$29,2,FALSE)</f>
        <v>Unemployed</v>
      </c>
      <c r="AD1369" s="23">
        <v>1</v>
      </c>
      <c r="AE1369" s="30" t="str">
        <f>VLOOKUP(AD1369,[6]Key!$E$20:$F$24,2,FALSE)</f>
        <v>&lt;300,000</v>
      </c>
      <c r="AF1369" s="23"/>
      <c r="AG1369" s="50"/>
      <c r="AH1369" s="50"/>
      <c r="AI1369" s="50"/>
      <c r="AJ1369" s="50"/>
      <c r="AK1369" s="46" t="s">
        <v>94</v>
      </c>
      <c r="AL1369" s="36"/>
      <c r="AM1369" t="str">
        <f t="shared" si="87"/>
        <v>0-1000</v>
      </c>
    </row>
    <row r="1370" spans="1:39" x14ac:dyDescent="0.2">
      <c r="A1370" s="44">
        <v>43761</v>
      </c>
      <c r="B1370" s="48">
        <v>0.36180555555555555</v>
      </c>
      <c r="C1370" s="48"/>
      <c r="D1370" s="48" t="s">
        <v>150</v>
      </c>
      <c r="E1370" s="13">
        <v>2</v>
      </c>
      <c r="F1370" s="38" t="str">
        <f>VLOOKUP(E1370,[6]Key!$A$17:$B$21,2,FALSE)</f>
        <v>Road Vehicle</v>
      </c>
      <c r="G1370" s="49">
        <v>4</v>
      </c>
      <c r="H1370" s="39" t="str">
        <f>VLOOKUP(G1370,[6]Key!$A$2:$B$14,2,FALSE)</f>
        <v>Minibus</v>
      </c>
      <c r="I1370" s="13" t="s">
        <v>156</v>
      </c>
      <c r="J1370" s="13">
        <v>1</v>
      </c>
      <c r="K1370" s="40" t="str">
        <f>VLOOKUP(J1370,[6]Key!$A$24:$B$29,2,FALSE)</f>
        <v>20-29</v>
      </c>
      <c r="L1370" s="55" t="s">
        <v>819</v>
      </c>
      <c r="M1370" s="23" t="s">
        <v>819</v>
      </c>
      <c r="N1370" s="13" t="s">
        <v>820</v>
      </c>
      <c r="O1370" s="46">
        <v>1</v>
      </c>
      <c r="P1370" s="30" t="str">
        <f>VLOOKUP(O1370,[6]Key!$E$2:$F$9,2,FALSE)</f>
        <v>Home</v>
      </c>
      <c r="Q1370" s="13" t="s">
        <v>404</v>
      </c>
      <c r="R1370" s="23" t="s">
        <v>404</v>
      </c>
      <c r="S1370" s="13"/>
      <c r="T1370" s="23">
        <v>2</v>
      </c>
      <c r="U1370" s="30" t="str">
        <f>VLOOKUP(T1370,[6]Key!$E$2:$F$9,2,FALSE)</f>
        <v>Work</v>
      </c>
      <c r="V1370" s="30" t="str">
        <f t="shared" si="84"/>
        <v>Home-Work</v>
      </c>
      <c r="W1370" s="41">
        <v>30000</v>
      </c>
      <c r="X1370" s="50"/>
      <c r="Y1370" s="50" t="str">
        <f t="shared" si="85"/>
        <v>0-10</v>
      </c>
      <c r="Z1370" s="50">
        <v>9</v>
      </c>
      <c r="AA1370" s="50" t="str">
        <f t="shared" si="86"/>
        <v>Over 3.5</v>
      </c>
      <c r="AB1370" s="23">
        <v>3</v>
      </c>
      <c r="AC1370" s="30" t="str">
        <f>VLOOKUP(AB1370,[6]Key!$C$20:$D$29,2,FALSE)</f>
        <v>Artisan/Domestic</v>
      </c>
      <c r="AD1370" s="23">
        <v>1</v>
      </c>
      <c r="AE1370" s="30" t="str">
        <f>VLOOKUP(AD1370,[6]Key!$E$20:$F$24,2,FALSE)</f>
        <v>&lt;300,000</v>
      </c>
      <c r="AF1370" s="23">
        <v>1</v>
      </c>
      <c r="AG1370" s="50">
        <v>2</v>
      </c>
      <c r="AH1370" s="50">
        <v>5</v>
      </c>
      <c r="AI1370" s="50">
        <v>3</v>
      </c>
      <c r="AJ1370" s="50">
        <v>4</v>
      </c>
      <c r="AK1370" s="46" t="s">
        <v>94</v>
      </c>
      <c r="AL1370" s="36"/>
      <c r="AM1370" t="str">
        <f t="shared" si="87"/>
        <v>0-1000</v>
      </c>
    </row>
    <row r="1371" spans="1:39" x14ac:dyDescent="0.2">
      <c r="A1371" s="44">
        <v>43761</v>
      </c>
      <c r="B1371" s="48">
        <v>0.67708333333333337</v>
      </c>
      <c r="C1371" s="48"/>
      <c r="D1371" s="48" t="s">
        <v>150</v>
      </c>
      <c r="E1371" s="13">
        <v>2</v>
      </c>
      <c r="F1371" s="38" t="str">
        <f>VLOOKUP(E1371,[6]Key!$A$17:$B$21,2,FALSE)</f>
        <v>Road Vehicle</v>
      </c>
      <c r="G1371" s="49">
        <v>4</v>
      </c>
      <c r="H1371" s="39" t="str">
        <f>VLOOKUP(G1371,[6]Key!$A$2:$B$14,2,FALSE)</f>
        <v>Minibus</v>
      </c>
      <c r="I1371" s="13" t="s">
        <v>156</v>
      </c>
      <c r="J1371" s="13">
        <v>1</v>
      </c>
      <c r="K1371" s="40" t="str">
        <f>VLOOKUP(J1371,[6]Key!$A$24:$B$29,2,FALSE)</f>
        <v>20-29</v>
      </c>
      <c r="L1371" s="55" t="s">
        <v>366</v>
      </c>
      <c r="M1371" s="23" t="s">
        <v>366</v>
      </c>
      <c r="N1371" s="13" t="s">
        <v>820</v>
      </c>
      <c r="O1371" s="46">
        <v>1</v>
      </c>
      <c r="P1371" s="30" t="str">
        <f>VLOOKUP(O1371,[6]Key!$E$2:$F$9,2,FALSE)</f>
        <v>Home</v>
      </c>
      <c r="Q1371" s="13" t="s">
        <v>819</v>
      </c>
      <c r="R1371" s="23" t="s">
        <v>819</v>
      </c>
      <c r="S1371" s="13"/>
      <c r="T1371" s="23">
        <v>2</v>
      </c>
      <c r="U1371" s="30" t="str">
        <f>VLOOKUP(T1371,[6]Key!$E$2:$F$9,2,FALSE)</f>
        <v>Work</v>
      </c>
      <c r="V1371" s="30" t="str">
        <f t="shared" si="84"/>
        <v>Home-Work</v>
      </c>
      <c r="W1371" s="41">
        <v>6000</v>
      </c>
      <c r="X1371" s="50"/>
      <c r="Y1371" s="50" t="str">
        <f t="shared" si="85"/>
        <v>0-10</v>
      </c>
      <c r="Z1371" s="50">
        <v>0.7</v>
      </c>
      <c r="AA1371" s="50" t="str">
        <f t="shared" si="86"/>
        <v>0.5-1.0</v>
      </c>
      <c r="AB1371" s="23">
        <v>4</v>
      </c>
      <c r="AC1371" s="30" t="str">
        <f>VLOOKUP(AB1371,[6]Key!$C$20:$D$29,2,FALSE)</f>
        <v>Office Worker</v>
      </c>
      <c r="AD1371" s="23">
        <v>2</v>
      </c>
      <c r="AE1371" s="30" t="str">
        <f>VLOOKUP(AD1371,[6]Key!$E$20:$F$24,2,FALSE)</f>
        <v>300,000-500,000</v>
      </c>
      <c r="AF1371" s="23">
        <v>4</v>
      </c>
      <c r="AG1371" s="50">
        <v>5</v>
      </c>
      <c r="AH1371" s="50">
        <v>1</v>
      </c>
      <c r="AI1371" s="50">
        <v>3</v>
      </c>
      <c r="AJ1371" s="50">
        <v>2</v>
      </c>
      <c r="AK1371" s="46" t="s">
        <v>94</v>
      </c>
      <c r="AL1371" s="36">
        <v>2000</v>
      </c>
      <c r="AM1371" t="str">
        <f t="shared" si="87"/>
        <v>2000-3000</v>
      </c>
    </row>
    <row r="1372" spans="1:39" x14ac:dyDescent="0.2">
      <c r="A1372" s="44">
        <v>43759</v>
      </c>
      <c r="B1372" s="48">
        <v>0.60763888888888895</v>
      </c>
      <c r="C1372" s="48"/>
      <c r="D1372" s="48" t="s">
        <v>150</v>
      </c>
      <c r="E1372" s="13">
        <v>2</v>
      </c>
      <c r="F1372" s="38" t="str">
        <f>VLOOKUP(E1372,[6]Key!$A$17:$B$21,2,FALSE)</f>
        <v>Road Vehicle</v>
      </c>
      <c r="G1372" s="49">
        <v>4</v>
      </c>
      <c r="H1372" s="39" t="str">
        <f>VLOOKUP(G1372,[6]Key!$A$2:$B$14,2,FALSE)</f>
        <v>Minibus</v>
      </c>
      <c r="I1372" s="13" t="s">
        <v>109</v>
      </c>
      <c r="J1372" s="13">
        <v>1</v>
      </c>
      <c r="K1372" s="40" t="str">
        <f>VLOOKUP(J1372,[6]Key!$A$24:$B$29,2,FALSE)</f>
        <v>20-29</v>
      </c>
      <c r="L1372" s="55" t="s">
        <v>844</v>
      </c>
      <c r="M1372" s="23" t="s">
        <v>819</v>
      </c>
      <c r="N1372" s="13" t="s">
        <v>820</v>
      </c>
      <c r="O1372" s="46">
        <v>2</v>
      </c>
      <c r="P1372" s="30" t="str">
        <f>VLOOKUP(O1372,[6]Key!$E$2:$F$9,2,FALSE)</f>
        <v>Work</v>
      </c>
      <c r="Q1372" s="13" t="s">
        <v>96</v>
      </c>
      <c r="R1372" s="23" t="s">
        <v>819</v>
      </c>
      <c r="S1372" s="13" t="s">
        <v>820</v>
      </c>
      <c r="T1372" s="23">
        <v>1</v>
      </c>
      <c r="U1372" s="30" t="str">
        <f>VLOOKUP(T1372,[6]Key!$E$2:$F$9,2,FALSE)</f>
        <v>Home</v>
      </c>
      <c r="V1372" s="30" t="str">
        <f t="shared" si="84"/>
        <v>Work-Home</v>
      </c>
      <c r="W1372" s="41">
        <v>1000</v>
      </c>
      <c r="X1372" s="50">
        <v>0.5</v>
      </c>
      <c r="Y1372" s="50" t="str">
        <f t="shared" si="85"/>
        <v>0-10</v>
      </c>
      <c r="Z1372" s="50">
        <v>0.2</v>
      </c>
      <c r="AA1372" s="50" t="str">
        <f t="shared" si="86"/>
        <v>0-0.5</v>
      </c>
      <c r="AB1372" s="23">
        <v>2</v>
      </c>
      <c r="AC1372" s="30" t="str">
        <f>VLOOKUP(AB1372,[6]Key!$C$20:$D$29,2,FALSE)</f>
        <v>Manual Labour</v>
      </c>
      <c r="AD1372" s="23">
        <v>1</v>
      </c>
      <c r="AE1372" s="30" t="str">
        <f>VLOOKUP(AD1372,[6]Key!$E$20:$F$24,2,FALSE)</f>
        <v>&lt;300,000</v>
      </c>
      <c r="AF1372" s="23">
        <v>1</v>
      </c>
      <c r="AG1372" s="50">
        <v>5</v>
      </c>
      <c r="AH1372" s="50">
        <v>2</v>
      </c>
      <c r="AI1372" s="50">
        <v>4</v>
      </c>
      <c r="AJ1372" s="50">
        <v>3</v>
      </c>
      <c r="AK1372" s="46" t="s">
        <v>94</v>
      </c>
      <c r="AL1372" s="36">
        <v>500</v>
      </c>
      <c r="AM1372" t="str">
        <f t="shared" si="87"/>
        <v>0-1000</v>
      </c>
    </row>
    <row r="1373" spans="1:39" x14ac:dyDescent="0.2">
      <c r="A1373" s="44">
        <v>43759</v>
      </c>
      <c r="B1373" s="48">
        <v>0.66666666666666663</v>
      </c>
      <c r="C1373" s="48"/>
      <c r="D1373" s="48" t="s">
        <v>150</v>
      </c>
      <c r="E1373" s="13">
        <v>2</v>
      </c>
      <c r="F1373" s="38" t="str">
        <f>VLOOKUP(E1373,[6]Key!$A$17:$B$21,2,FALSE)</f>
        <v>Road Vehicle</v>
      </c>
      <c r="G1373" s="49">
        <v>4</v>
      </c>
      <c r="H1373" s="39" t="str">
        <f>VLOOKUP(G1373,[6]Key!$A$2:$B$14,2,FALSE)</f>
        <v>Minibus</v>
      </c>
      <c r="I1373" s="13" t="s">
        <v>109</v>
      </c>
      <c r="J1373" s="13">
        <v>1</v>
      </c>
      <c r="K1373" s="40" t="str">
        <f>VLOOKUP(J1373,[6]Key!$A$24:$B$29,2,FALSE)</f>
        <v>20-29</v>
      </c>
      <c r="L1373" s="55" t="s">
        <v>845</v>
      </c>
      <c r="M1373" s="23" t="s">
        <v>832</v>
      </c>
      <c r="N1373" s="13" t="s">
        <v>820</v>
      </c>
      <c r="O1373" s="46">
        <v>1</v>
      </c>
      <c r="P1373" s="30" t="str">
        <f>VLOOKUP(O1373,[6]Key!$E$2:$F$9,2,FALSE)</f>
        <v>Home</v>
      </c>
      <c r="Q1373" s="13" t="s">
        <v>819</v>
      </c>
      <c r="R1373" s="23" t="s">
        <v>819</v>
      </c>
      <c r="S1373" s="13" t="s">
        <v>820</v>
      </c>
      <c r="T1373" s="23">
        <v>2</v>
      </c>
      <c r="U1373" s="30" t="str">
        <f>VLOOKUP(T1373,[6]Key!$E$2:$F$9,2,FALSE)</f>
        <v>Work</v>
      </c>
      <c r="V1373" s="30" t="str">
        <f t="shared" si="84"/>
        <v>Home-Work</v>
      </c>
      <c r="W1373" s="41">
        <v>15000</v>
      </c>
      <c r="X1373" s="50"/>
      <c r="Y1373" s="50" t="str">
        <f t="shared" si="85"/>
        <v>0-10</v>
      </c>
      <c r="Z1373" s="50">
        <v>3</v>
      </c>
      <c r="AA1373" s="50" t="str">
        <f t="shared" si="86"/>
        <v>2.0-3.5</v>
      </c>
      <c r="AB1373" s="23">
        <v>2</v>
      </c>
      <c r="AC1373" s="30" t="str">
        <f>VLOOKUP(AB1373,[6]Key!$C$20:$D$29,2,FALSE)</f>
        <v>Manual Labour</v>
      </c>
      <c r="AD1373" s="23">
        <v>1</v>
      </c>
      <c r="AE1373" s="30" t="str">
        <f>VLOOKUP(AD1373,[6]Key!$E$20:$F$24,2,FALSE)</f>
        <v>&lt;300,000</v>
      </c>
      <c r="AF1373" s="23">
        <v>4</v>
      </c>
      <c r="AG1373" s="50">
        <v>2</v>
      </c>
      <c r="AH1373" s="50">
        <v>1</v>
      </c>
      <c r="AI1373" s="50">
        <v>3</v>
      </c>
      <c r="AJ1373" s="50">
        <v>5</v>
      </c>
      <c r="AK1373" s="46" t="s">
        <v>94</v>
      </c>
      <c r="AL1373" s="36"/>
      <c r="AM1373" t="str">
        <f t="shared" si="87"/>
        <v>0-1000</v>
      </c>
    </row>
    <row r="1374" spans="1:39" x14ac:dyDescent="0.2">
      <c r="A1374" s="44">
        <v>43759</v>
      </c>
      <c r="B1374" s="48">
        <v>0.71319444444444446</v>
      </c>
      <c r="C1374" s="48"/>
      <c r="D1374" s="48" t="s">
        <v>150</v>
      </c>
      <c r="E1374" s="13">
        <v>2</v>
      </c>
      <c r="F1374" s="38" t="str">
        <f>VLOOKUP(E1374,[6]Key!$A$17:$B$21,2,FALSE)</f>
        <v>Road Vehicle</v>
      </c>
      <c r="G1374" s="49">
        <v>4</v>
      </c>
      <c r="H1374" s="39" t="str">
        <f>VLOOKUP(G1374,[6]Key!$A$2:$B$14,2,FALSE)</f>
        <v>Minibus</v>
      </c>
      <c r="I1374" s="13" t="s">
        <v>109</v>
      </c>
      <c r="J1374" s="13">
        <v>1</v>
      </c>
      <c r="K1374" s="40" t="str">
        <f>VLOOKUP(J1374,[6]Key!$A$24:$B$29,2,FALSE)</f>
        <v>20-29</v>
      </c>
      <c r="L1374" s="55" t="s">
        <v>846</v>
      </c>
      <c r="M1374" s="23" t="s">
        <v>819</v>
      </c>
      <c r="N1374" s="13" t="s">
        <v>820</v>
      </c>
      <c r="O1374" s="46">
        <v>1</v>
      </c>
      <c r="P1374" s="30" t="str">
        <f>VLOOKUP(O1374,[6]Key!$E$2:$F$9,2,FALSE)</f>
        <v>Home</v>
      </c>
      <c r="Q1374" s="13" t="s">
        <v>819</v>
      </c>
      <c r="R1374" s="23" t="s">
        <v>819</v>
      </c>
      <c r="S1374" s="13" t="s">
        <v>820</v>
      </c>
      <c r="T1374" s="23">
        <v>2</v>
      </c>
      <c r="U1374" s="30" t="str">
        <f>VLOOKUP(T1374,[6]Key!$E$2:$F$9,2,FALSE)</f>
        <v>Work</v>
      </c>
      <c r="V1374" s="30" t="str">
        <f t="shared" si="84"/>
        <v>Home-Work</v>
      </c>
      <c r="W1374" s="41">
        <v>1000</v>
      </c>
      <c r="X1374" s="50"/>
      <c r="Y1374" s="50" t="str">
        <f t="shared" si="85"/>
        <v>0-10</v>
      </c>
      <c r="Z1374" s="50">
        <v>0.1</v>
      </c>
      <c r="AA1374" s="50" t="str">
        <f t="shared" si="86"/>
        <v>0-0.5</v>
      </c>
      <c r="AB1374" s="23">
        <v>2</v>
      </c>
      <c r="AC1374" s="30" t="str">
        <f>VLOOKUP(AB1374,[6]Key!$C$20:$D$29,2,FALSE)</f>
        <v>Manual Labour</v>
      </c>
      <c r="AD1374" s="23">
        <v>2</v>
      </c>
      <c r="AE1374" s="30" t="str">
        <f>VLOOKUP(AD1374,[6]Key!$E$20:$F$24,2,FALSE)</f>
        <v>300,000-500,000</v>
      </c>
      <c r="AF1374" s="23">
        <v>2</v>
      </c>
      <c r="AG1374" s="50">
        <v>1</v>
      </c>
      <c r="AH1374" s="50">
        <v>5</v>
      </c>
      <c r="AI1374" s="50">
        <v>3</v>
      </c>
      <c r="AJ1374" s="50">
        <v>4</v>
      </c>
      <c r="AK1374" s="46" t="s">
        <v>94</v>
      </c>
      <c r="AL1374" s="36"/>
      <c r="AM1374" t="str">
        <f t="shared" si="87"/>
        <v>0-1000</v>
      </c>
    </row>
    <row r="1375" spans="1:39" x14ac:dyDescent="0.2">
      <c r="A1375" s="44">
        <v>43759</v>
      </c>
      <c r="B1375" s="48">
        <v>0.69652777777777775</v>
      </c>
      <c r="C1375" s="48"/>
      <c r="D1375" s="48" t="s">
        <v>150</v>
      </c>
      <c r="E1375" s="13">
        <v>2</v>
      </c>
      <c r="F1375" s="38" t="str">
        <f>VLOOKUP(E1375,[6]Key!$A$17:$B$21,2,FALSE)</f>
        <v>Road Vehicle</v>
      </c>
      <c r="G1375" s="49">
        <v>4</v>
      </c>
      <c r="H1375" s="39" t="str">
        <f>VLOOKUP(G1375,[6]Key!$A$2:$B$14,2,FALSE)</f>
        <v>Minibus</v>
      </c>
      <c r="I1375" s="13" t="s">
        <v>109</v>
      </c>
      <c r="J1375" s="13">
        <v>1</v>
      </c>
      <c r="K1375" s="40" t="str">
        <f>VLOOKUP(J1375,[6]Key!$A$24:$B$29,2,FALSE)</f>
        <v>20-29</v>
      </c>
      <c r="L1375" s="55" t="s">
        <v>332</v>
      </c>
      <c r="M1375" s="23" t="s">
        <v>332</v>
      </c>
      <c r="N1375" s="13" t="s">
        <v>820</v>
      </c>
      <c r="O1375" s="46">
        <v>1</v>
      </c>
      <c r="P1375" s="30" t="str">
        <f>VLOOKUP(O1375,[6]Key!$E$2:$F$9,2,FALSE)</f>
        <v>Home</v>
      </c>
      <c r="Q1375" s="13" t="s">
        <v>819</v>
      </c>
      <c r="R1375" s="23" t="s">
        <v>819</v>
      </c>
      <c r="S1375" s="13" t="s">
        <v>820</v>
      </c>
      <c r="T1375" s="23">
        <v>2</v>
      </c>
      <c r="U1375" s="30" t="str">
        <f>VLOOKUP(T1375,[6]Key!$E$2:$F$9,2,FALSE)</f>
        <v>Work</v>
      </c>
      <c r="V1375" s="30" t="str">
        <f t="shared" si="84"/>
        <v>Home-Work</v>
      </c>
      <c r="W1375" s="41">
        <v>10000</v>
      </c>
      <c r="X1375" s="50"/>
      <c r="Y1375" s="50" t="str">
        <f t="shared" si="85"/>
        <v>0-10</v>
      </c>
      <c r="Z1375" s="50">
        <v>2</v>
      </c>
      <c r="AA1375" s="50" t="str">
        <f t="shared" si="86"/>
        <v>2.0-3.5</v>
      </c>
      <c r="AB1375" s="23">
        <v>2</v>
      </c>
      <c r="AC1375" s="30" t="str">
        <f>VLOOKUP(AB1375,[6]Key!$C$20:$D$29,2,FALSE)</f>
        <v>Manual Labour</v>
      </c>
      <c r="AD1375" s="23">
        <v>1</v>
      </c>
      <c r="AE1375" s="30" t="str">
        <f>VLOOKUP(AD1375,[6]Key!$E$20:$F$24,2,FALSE)</f>
        <v>&lt;300,000</v>
      </c>
      <c r="AF1375" s="23">
        <v>5</v>
      </c>
      <c r="AG1375" s="50">
        <v>1</v>
      </c>
      <c r="AH1375" s="50">
        <v>4</v>
      </c>
      <c r="AI1375" s="50">
        <v>2</v>
      </c>
      <c r="AJ1375" s="50">
        <v>3</v>
      </c>
      <c r="AK1375" s="46" t="s">
        <v>94</v>
      </c>
      <c r="AL1375" s="36">
        <v>1000</v>
      </c>
      <c r="AM1375" t="str">
        <f t="shared" si="87"/>
        <v>1000-2000</v>
      </c>
    </row>
    <row r="1376" spans="1:39" x14ac:dyDescent="0.2">
      <c r="A1376" s="44">
        <v>43759</v>
      </c>
      <c r="B1376" s="48"/>
      <c r="C1376" s="48"/>
      <c r="D1376" s="48" t="s">
        <v>150</v>
      </c>
      <c r="E1376" s="13">
        <v>2</v>
      </c>
      <c r="F1376" s="38" t="str">
        <f>VLOOKUP(E1376,[6]Key!$A$17:$B$21,2,FALSE)</f>
        <v>Road Vehicle</v>
      </c>
      <c r="G1376" s="49">
        <v>4</v>
      </c>
      <c r="H1376" s="39" t="str">
        <f>VLOOKUP(G1376,[6]Key!$A$2:$B$14,2,FALSE)</f>
        <v>Minibus</v>
      </c>
      <c r="I1376" s="13" t="s">
        <v>109</v>
      </c>
      <c r="J1376" s="13">
        <v>1</v>
      </c>
      <c r="K1376" s="40" t="str">
        <f>VLOOKUP(J1376,[6]Key!$A$24:$B$29,2,FALSE)</f>
        <v>20-29</v>
      </c>
      <c r="L1376" s="55" t="s">
        <v>819</v>
      </c>
      <c r="M1376" s="23" t="s">
        <v>819</v>
      </c>
      <c r="N1376" s="13" t="s">
        <v>820</v>
      </c>
      <c r="O1376" s="46">
        <v>1</v>
      </c>
      <c r="P1376" s="30" t="str">
        <f>VLOOKUP(O1376,[6]Key!$E$2:$F$9,2,FALSE)</f>
        <v>Home</v>
      </c>
      <c r="Q1376" s="13" t="s">
        <v>366</v>
      </c>
      <c r="R1376" s="23" t="s">
        <v>366</v>
      </c>
      <c r="S1376" s="13" t="s">
        <v>820</v>
      </c>
      <c r="T1376" s="23">
        <v>4</v>
      </c>
      <c r="U1376" s="30" t="str">
        <f>VLOOKUP(T1376,[6]Key!$E$2:$F$9,2,FALSE)</f>
        <v>Commercial</v>
      </c>
      <c r="V1376" s="30" t="str">
        <f t="shared" si="84"/>
        <v>Home-Commercial</v>
      </c>
      <c r="W1376" s="41">
        <v>5000</v>
      </c>
      <c r="X1376" s="50"/>
      <c r="Y1376" s="50" t="str">
        <f t="shared" si="85"/>
        <v>0-10</v>
      </c>
      <c r="Z1376" s="50">
        <v>1</v>
      </c>
      <c r="AA1376" s="50" t="str">
        <f t="shared" si="86"/>
        <v>1.0-2.0</v>
      </c>
      <c r="AB1376" s="23">
        <v>3</v>
      </c>
      <c r="AC1376" s="30" t="str">
        <f>VLOOKUP(AB1376,[6]Key!$C$20:$D$29,2,FALSE)</f>
        <v>Artisan/Domestic</v>
      </c>
      <c r="AD1376" s="23">
        <v>2</v>
      </c>
      <c r="AE1376" s="30" t="str">
        <f>VLOOKUP(AD1376,[6]Key!$E$20:$F$24,2,FALSE)</f>
        <v>300,000-500,000</v>
      </c>
      <c r="AF1376" s="23">
        <v>2</v>
      </c>
      <c r="AG1376" s="50">
        <v>5</v>
      </c>
      <c r="AH1376" s="50">
        <v>4</v>
      </c>
      <c r="AI1376" s="50">
        <v>3</v>
      </c>
      <c r="AJ1376" s="50">
        <v>1</v>
      </c>
      <c r="AK1376" s="46" t="s">
        <v>94</v>
      </c>
      <c r="AL1376" s="36">
        <v>10000</v>
      </c>
      <c r="AM1376" t="str">
        <f t="shared" si="87"/>
        <v>Over 10000</v>
      </c>
    </row>
    <row r="1377" spans="1:39" x14ac:dyDescent="0.2">
      <c r="A1377" s="44">
        <v>43759</v>
      </c>
      <c r="B1377" s="48"/>
      <c r="C1377" s="48"/>
      <c r="D1377" s="48" t="s">
        <v>150</v>
      </c>
      <c r="E1377" s="13">
        <v>2</v>
      </c>
      <c r="F1377" s="38" t="str">
        <f>VLOOKUP(E1377,[6]Key!$A$17:$B$21,2,FALSE)</f>
        <v>Road Vehicle</v>
      </c>
      <c r="G1377" s="49">
        <v>4</v>
      </c>
      <c r="H1377" s="39" t="str">
        <f>VLOOKUP(G1377,[6]Key!$A$2:$B$14,2,FALSE)</f>
        <v>Minibus</v>
      </c>
      <c r="I1377" s="13" t="s">
        <v>109</v>
      </c>
      <c r="J1377" s="13">
        <v>1</v>
      </c>
      <c r="K1377" s="40" t="str">
        <f>VLOOKUP(J1377,[6]Key!$A$24:$B$29,2,FALSE)</f>
        <v>20-29</v>
      </c>
      <c r="L1377" s="55" t="s">
        <v>819</v>
      </c>
      <c r="M1377" s="23" t="s">
        <v>819</v>
      </c>
      <c r="N1377" s="13" t="s">
        <v>820</v>
      </c>
      <c r="O1377" s="46">
        <v>1</v>
      </c>
      <c r="P1377" s="30" t="str">
        <f>VLOOKUP(O1377,[6]Key!$E$2:$F$9,2,FALSE)</f>
        <v>Home</v>
      </c>
      <c r="Q1377" s="13" t="s">
        <v>366</v>
      </c>
      <c r="R1377" s="23" t="s">
        <v>366</v>
      </c>
      <c r="S1377" s="13" t="s">
        <v>820</v>
      </c>
      <c r="T1377" s="23">
        <v>2</v>
      </c>
      <c r="U1377" s="30" t="str">
        <f>VLOOKUP(T1377,[6]Key!$E$2:$F$9,2,FALSE)</f>
        <v>Work</v>
      </c>
      <c r="V1377" s="30" t="str">
        <f t="shared" si="84"/>
        <v>Home-Work</v>
      </c>
      <c r="W1377" s="41">
        <v>5000</v>
      </c>
      <c r="X1377" s="50"/>
      <c r="Y1377" s="50" t="str">
        <f t="shared" si="85"/>
        <v>0-10</v>
      </c>
      <c r="Z1377" s="50">
        <v>1</v>
      </c>
      <c r="AA1377" s="50" t="str">
        <f t="shared" si="86"/>
        <v>1.0-2.0</v>
      </c>
      <c r="AB1377" s="23">
        <v>6</v>
      </c>
      <c r="AC1377" s="30" t="str">
        <f>VLOOKUP(AB1377,[6]Key!$C$20:$D$29,2,FALSE)</f>
        <v>Businessman</v>
      </c>
      <c r="AD1377" s="23">
        <v>1</v>
      </c>
      <c r="AE1377" s="30" t="str">
        <f>VLOOKUP(AD1377,[6]Key!$E$20:$F$24,2,FALSE)</f>
        <v>&lt;300,000</v>
      </c>
      <c r="AF1377" s="23">
        <v>1</v>
      </c>
      <c r="AG1377" s="50">
        <v>3</v>
      </c>
      <c r="AH1377" s="50">
        <v>4</v>
      </c>
      <c r="AI1377" s="50">
        <v>5</v>
      </c>
      <c r="AJ1377" s="50">
        <v>2</v>
      </c>
      <c r="AK1377" s="46" t="s">
        <v>94</v>
      </c>
      <c r="AL1377" s="36"/>
      <c r="AM1377" t="str">
        <f t="shared" si="87"/>
        <v>0-1000</v>
      </c>
    </row>
    <row r="1378" spans="1:39" x14ac:dyDescent="0.2">
      <c r="A1378" s="44">
        <v>43759</v>
      </c>
      <c r="B1378" s="48"/>
      <c r="C1378" s="48"/>
      <c r="D1378" s="48" t="s">
        <v>150</v>
      </c>
      <c r="E1378" s="13">
        <v>2</v>
      </c>
      <c r="F1378" s="38" t="str">
        <f>VLOOKUP(E1378,[6]Key!$A$17:$B$21,2,FALSE)</f>
        <v>Road Vehicle</v>
      </c>
      <c r="G1378" s="49">
        <v>4</v>
      </c>
      <c r="H1378" s="39" t="str">
        <f>VLOOKUP(G1378,[6]Key!$A$2:$B$14,2,FALSE)</f>
        <v>Minibus</v>
      </c>
      <c r="I1378" s="13" t="s">
        <v>109</v>
      </c>
      <c r="J1378" s="13">
        <v>1</v>
      </c>
      <c r="K1378" s="40" t="str">
        <f>VLOOKUP(J1378,[6]Key!$A$24:$B$29,2,FALSE)</f>
        <v>20-29</v>
      </c>
      <c r="L1378" s="55" t="s">
        <v>819</v>
      </c>
      <c r="M1378" s="23" t="s">
        <v>819</v>
      </c>
      <c r="N1378" s="13" t="s">
        <v>820</v>
      </c>
      <c r="O1378" s="46">
        <v>1</v>
      </c>
      <c r="P1378" s="30" t="str">
        <f>VLOOKUP(O1378,[6]Key!$E$2:$F$9,2,FALSE)</f>
        <v>Home</v>
      </c>
      <c r="Q1378" s="13" t="s">
        <v>283</v>
      </c>
      <c r="R1378" s="23" t="s">
        <v>283</v>
      </c>
      <c r="S1378" s="13" t="s">
        <v>820</v>
      </c>
      <c r="T1378" s="23">
        <v>1</v>
      </c>
      <c r="U1378" s="30" t="str">
        <f>VLOOKUP(T1378,[6]Key!$E$2:$F$9,2,FALSE)</f>
        <v>Home</v>
      </c>
      <c r="V1378" s="30" t="str">
        <f t="shared" si="84"/>
        <v>Home-Home</v>
      </c>
      <c r="W1378" s="41">
        <v>15000</v>
      </c>
      <c r="X1378" s="50">
        <v>80</v>
      </c>
      <c r="Y1378" s="50" t="str">
        <f t="shared" si="85"/>
        <v>70-100</v>
      </c>
      <c r="Z1378" s="50">
        <v>2.5</v>
      </c>
      <c r="AA1378" s="50" t="str">
        <f t="shared" si="86"/>
        <v>2.0-3.5</v>
      </c>
      <c r="AB1378" s="23">
        <v>6</v>
      </c>
      <c r="AC1378" s="30" t="str">
        <f>VLOOKUP(AB1378,[6]Key!$C$20:$D$29,2,FALSE)</f>
        <v>Businessman</v>
      </c>
      <c r="AD1378" s="23">
        <v>1</v>
      </c>
      <c r="AE1378" s="30" t="str">
        <f>VLOOKUP(AD1378,[6]Key!$E$20:$F$24,2,FALSE)</f>
        <v>&lt;300,000</v>
      </c>
      <c r="AF1378" s="23"/>
      <c r="AG1378" s="50"/>
      <c r="AH1378" s="50"/>
      <c r="AI1378" s="50"/>
      <c r="AJ1378" s="50"/>
      <c r="AK1378" s="46" t="s">
        <v>94</v>
      </c>
      <c r="AL1378" s="36">
        <v>1000</v>
      </c>
      <c r="AM1378" t="str">
        <f t="shared" si="87"/>
        <v>1000-2000</v>
      </c>
    </row>
    <row r="1379" spans="1:39" x14ac:dyDescent="0.2">
      <c r="A1379" s="44">
        <v>43759</v>
      </c>
      <c r="B1379" s="48"/>
      <c r="C1379" s="48"/>
      <c r="D1379" s="48" t="s">
        <v>150</v>
      </c>
      <c r="E1379" s="13">
        <v>2</v>
      </c>
      <c r="F1379" s="38" t="str">
        <f>VLOOKUP(E1379,[6]Key!$A$17:$B$21,2,FALSE)</f>
        <v>Road Vehicle</v>
      </c>
      <c r="G1379" s="49">
        <v>4</v>
      </c>
      <c r="H1379" s="39" t="str">
        <f>VLOOKUP(G1379,[6]Key!$A$2:$B$14,2,FALSE)</f>
        <v>Minibus</v>
      </c>
      <c r="I1379" s="13" t="s">
        <v>109</v>
      </c>
      <c r="J1379" s="13">
        <v>1</v>
      </c>
      <c r="K1379" s="40" t="str">
        <f>VLOOKUP(J1379,[6]Key!$A$24:$B$29,2,FALSE)</f>
        <v>20-29</v>
      </c>
      <c r="L1379" s="55" t="s">
        <v>819</v>
      </c>
      <c r="M1379" s="23" t="s">
        <v>819</v>
      </c>
      <c r="N1379" s="13" t="s">
        <v>820</v>
      </c>
      <c r="O1379" s="46">
        <v>1</v>
      </c>
      <c r="P1379" s="30" t="str">
        <f>VLOOKUP(O1379,[6]Key!$E$2:$F$9,2,FALSE)</f>
        <v>Home</v>
      </c>
      <c r="Q1379" s="13" t="s">
        <v>283</v>
      </c>
      <c r="R1379" s="23" t="s">
        <v>283</v>
      </c>
      <c r="S1379" s="13" t="s">
        <v>820</v>
      </c>
      <c r="T1379" s="23">
        <v>2</v>
      </c>
      <c r="U1379" s="30" t="str">
        <f>VLOOKUP(T1379,[6]Key!$E$2:$F$9,2,FALSE)</f>
        <v>Work</v>
      </c>
      <c r="V1379" s="30" t="str">
        <f t="shared" si="84"/>
        <v>Home-Work</v>
      </c>
      <c r="W1379" s="41">
        <v>10000</v>
      </c>
      <c r="X1379" s="50">
        <v>80</v>
      </c>
      <c r="Y1379" s="50" t="str">
        <f t="shared" si="85"/>
        <v>70-100</v>
      </c>
      <c r="Z1379" s="50">
        <v>3</v>
      </c>
      <c r="AA1379" s="50" t="str">
        <f t="shared" si="86"/>
        <v>2.0-3.5</v>
      </c>
      <c r="AB1379" s="23">
        <v>3</v>
      </c>
      <c r="AC1379" s="30" t="str">
        <f>VLOOKUP(AB1379,[6]Key!$C$20:$D$29,2,FALSE)</f>
        <v>Artisan/Domestic</v>
      </c>
      <c r="AD1379" s="23">
        <v>1</v>
      </c>
      <c r="AE1379" s="30" t="str">
        <f>VLOOKUP(AD1379,[6]Key!$E$20:$F$24,2,FALSE)</f>
        <v>&lt;300,000</v>
      </c>
      <c r="AF1379" s="23"/>
      <c r="AG1379" s="50"/>
      <c r="AH1379" s="50"/>
      <c r="AI1379" s="50"/>
      <c r="AJ1379" s="50"/>
      <c r="AK1379" s="46" t="s">
        <v>94</v>
      </c>
      <c r="AL1379" s="36">
        <v>1000</v>
      </c>
      <c r="AM1379" t="str">
        <f t="shared" si="87"/>
        <v>1000-2000</v>
      </c>
    </row>
    <row r="1380" spans="1:39" x14ac:dyDescent="0.2">
      <c r="A1380" s="44">
        <v>43759</v>
      </c>
      <c r="B1380" s="48"/>
      <c r="C1380" s="48"/>
      <c r="D1380" s="48" t="s">
        <v>150</v>
      </c>
      <c r="E1380" s="13">
        <v>2</v>
      </c>
      <c r="F1380" s="38" t="str">
        <f>VLOOKUP(E1380,[6]Key!$A$17:$B$21,2,FALSE)</f>
        <v>Road Vehicle</v>
      </c>
      <c r="G1380" s="49">
        <v>4</v>
      </c>
      <c r="H1380" s="39" t="str">
        <f>VLOOKUP(G1380,[6]Key!$A$2:$B$14,2,FALSE)</f>
        <v>Minibus</v>
      </c>
      <c r="I1380" s="13" t="s">
        <v>109</v>
      </c>
      <c r="J1380" s="13">
        <v>1</v>
      </c>
      <c r="K1380" s="40" t="str">
        <f>VLOOKUP(J1380,[6]Key!$A$24:$B$29,2,FALSE)</f>
        <v>20-29</v>
      </c>
      <c r="L1380" s="55" t="s">
        <v>819</v>
      </c>
      <c r="M1380" s="23" t="s">
        <v>819</v>
      </c>
      <c r="N1380" s="13" t="s">
        <v>820</v>
      </c>
      <c r="O1380" s="46">
        <v>1</v>
      </c>
      <c r="P1380" s="30" t="str">
        <f>VLOOKUP(O1380,[6]Key!$E$2:$F$9,2,FALSE)</f>
        <v>Home</v>
      </c>
      <c r="Q1380" s="13" t="s">
        <v>283</v>
      </c>
      <c r="R1380" s="23" t="s">
        <v>283</v>
      </c>
      <c r="S1380" s="13" t="s">
        <v>820</v>
      </c>
      <c r="T1380" s="23">
        <v>5</v>
      </c>
      <c r="U1380" s="30" t="str">
        <f>VLOOKUP(T1380,[6]Key!$E$2:$F$9,2,FALSE)</f>
        <v>Tourism</v>
      </c>
      <c r="V1380" s="30" t="str">
        <f t="shared" si="84"/>
        <v>Home-Tourism</v>
      </c>
      <c r="W1380" s="41">
        <v>12000</v>
      </c>
      <c r="X1380" s="50">
        <v>80</v>
      </c>
      <c r="Y1380" s="50" t="str">
        <f t="shared" si="85"/>
        <v>70-100</v>
      </c>
      <c r="Z1380" s="50">
        <v>2.5</v>
      </c>
      <c r="AA1380" s="50" t="str">
        <f t="shared" si="86"/>
        <v>2.0-3.5</v>
      </c>
      <c r="AB1380" s="23">
        <v>7</v>
      </c>
      <c r="AC1380" s="30" t="str">
        <f>VLOOKUP(AB1380,[6]Key!$C$20:$D$29,2,FALSE)</f>
        <v>Farmer</v>
      </c>
      <c r="AD1380" s="23">
        <v>2</v>
      </c>
      <c r="AE1380" s="30" t="str">
        <f>VLOOKUP(AD1380,[6]Key!$E$20:$F$24,2,FALSE)</f>
        <v>300,000-500,000</v>
      </c>
      <c r="AF1380" s="23">
        <v>1</v>
      </c>
      <c r="AG1380" s="50">
        <v>3</v>
      </c>
      <c r="AH1380" s="50">
        <v>2</v>
      </c>
      <c r="AI1380" s="50">
        <v>5</v>
      </c>
      <c r="AJ1380" s="50">
        <v>4</v>
      </c>
      <c r="AK1380" s="46" t="s">
        <v>94</v>
      </c>
      <c r="AL1380" s="36">
        <v>5000</v>
      </c>
      <c r="AM1380" t="str">
        <f t="shared" si="87"/>
        <v>5000-10000</v>
      </c>
    </row>
    <row r="1381" spans="1:39" x14ac:dyDescent="0.2">
      <c r="A1381" s="44">
        <v>43759</v>
      </c>
      <c r="B1381" s="48"/>
      <c r="C1381" s="48"/>
      <c r="D1381" s="48" t="s">
        <v>150</v>
      </c>
      <c r="E1381" s="13">
        <v>2</v>
      </c>
      <c r="F1381" s="38" t="str">
        <f>VLOOKUP(E1381,[6]Key!$A$17:$B$21,2,FALSE)</f>
        <v>Road Vehicle</v>
      </c>
      <c r="G1381" s="49">
        <v>4</v>
      </c>
      <c r="H1381" s="39" t="str">
        <f>VLOOKUP(G1381,[6]Key!$A$2:$B$14,2,FALSE)</f>
        <v>Minibus</v>
      </c>
      <c r="I1381" s="13" t="s">
        <v>109</v>
      </c>
      <c r="J1381" s="13">
        <v>1</v>
      </c>
      <c r="K1381" s="40" t="str">
        <f>VLOOKUP(J1381,[6]Key!$A$24:$B$29,2,FALSE)</f>
        <v>20-29</v>
      </c>
      <c r="L1381" s="55" t="s">
        <v>819</v>
      </c>
      <c r="M1381" s="23" t="s">
        <v>819</v>
      </c>
      <c r="N1381" s="13" t="s">
        <v>820</v>
      </c>
      <c r="O1381" s="46">
        <v>1</v>
      </c>
      <c r="P1381" s="30" t="str">
        <f>VLOOKUP(O1381,[6]Key!$E$2:$F$9,2,FALSE)</f>
        <v>Home</v>
      </c>
      <c r="Q1381" s="13" t="s">
        <v>283</v>
      </c>
      <c r="R1381" s="23" t="s">
        <v>283</v>
      </c>
      <c r="S1381" s="13" t="s">
        <v>820</v>
      </c>
      <c r="T1381" s="23">
        <v>5</v>
      </c>
      <c r="U1381" s="30" t="str">
        <f>VLOOKUP(T1381,[6]Key!$E$2:$F$9,2,FALSE)</f>
        <v>Tourism</v>
      </c>
      <c r="V1381" s="30" t="str">
        <f t="shared" si="84"/>
        <v>Home-Tourism</v>
      </c>
      <c r="W1381" s="41">
        <v>10000</v>
      </c>
      <c r="X1381" s="50"/>
      <c r="Y1381" s="50" t="str">
        <f t="shared" si="85"/>
        <v>0-10</v>
      </c>
      <c r="Z1381" s="50">
        <v>1.5</v>
      </c>
      <c r="AA1381" s="50" t="str">
        <f t="shared" si="86"/>
        <v>1.0-2.0</v>
      </c>
      <c r="AB1381" s="23">
        <v>2</v>
      </c>
      <c r="AC1381" s="30" t="str">
        <f>VLOOKUP(AB1381,[6]Key!$C$20:$D$29,2,FALSE)</f>
        <v>Manual Labour</v>
      </c>
      <c r="AD1381" s="23">
        <v>1</v>
      </c>
      <c r="AE1381" s="30" t="str">
        <f>VLOOKUP(AD1381,[6]Key!$E$20:$F$24,2,FALSE)</f>
        <v>&lt;300,000</v>
      </c>
      <c r="AF1381" s="23">
        <v>3</v>
      </c>
      <c r="AG1381" s="50">
        <v>4</v>
      </c>
      <c r="AH1381" s="50">
        <v>1</v>
      </c>
      <c r="AI1381" s="50">
        <v>2</v>
      </c>
      <c r="AJ1381" s="50">
        <v>5</v>
      </c>
      <c r="AK1381" s="46" t="s">
        <v>94</v>
      </c>
      <c r="AL1381" s="36">
        <v>1000</v>
      </c>
      <c r="AM1381" t="str">
        <f t="shared" si="87"/>
        <v>1000-2000</v>
      </c>
    </row>
    <row r="1382" spans="1:39" x14ac:dyDescent="0.2">
      <c r="A1382" s="44">
        <v>43759</v>
      </c>
      <c r="B1382" s="48"/>
      <c r="C1382" s="48"/>
      <c r="D1382" s="48" t="s">
        <v>150</v>
      </c>
      <c r="E1382" s="13">
        <v>2</v>
      </c>
      <c r="F1382" s="38" t="str">
        <f>VLOOKUP(E1382,[6]Key!$A$17:$B$21,2,FALSE)</f>
        <v>Road Vehicle</v>
      </c>
      <c r="G1382" s="49">
        <v>4</v>
      </c>
      <c r="H1382" s="39" t="str">
        <f>VLOOKUP(G1382,[6]Key!$A$2:$B$14,2,FALSE)</f>
        <v>Minibus</v>
      </c>
      <c r="I1382" s="13" t="s">
        <v>109</v>
      </c>
      <c r="J1382" s="13">
        <v>1</v>
      </c>
      <c r="K1382" s="40" t="str">
        <f>VLOOKUP(J1382,[6]Key!$A$24:$B$29,2,FALSE)</f>
        <v>20-29</v>
      </c>
      <c r="L1382" s="55" t="s">
        <v>819</v>
      </c>
      <c r="M1382" s="23" t="s">
        <v>819</v>
      </c>
      <c r="N1382" s="13" t="s">
        <v>820</v>
      </c>
      <c r="O1382" s="46">
        <v>1</v>
      </c>
      <c r="P1382" s="30" t="str">
        <f>VLOOKUP(O1382,[6]Key!$E$2:$F$9,2,FALSE)</f>
        <v>Home</v>
      </c>
      <c r="Q1382" s="13" t="s">
        <v>840</v>
      </c>
      <c r="R1382" s="23" t="s">
        <v>819</v>
      </c>
      <c r="S1382" s="13" t="s">
        <v>820</v>
      </c>
      <c r="T1382" s="23">
        <v>1</v>
      </c>
      <c r="U1382" s="30" t="str">
        <f>VLOOKUP(T1382,[6]Key!$E$2:$F$9,2,FALSE)</f>
        <v>Home</v>
      </c>
      <c r="V1382" s="30" t="str">
        <f t="shared" si="84"/>
        <v>Home-Home</v>
      </c>
      <c r="W1382" s="41">
        <v>2000</v>
      </c>
      <c r="X1382" s="50">
        <v>8</v>
      </c>
      <c r="Y1382" s="50" t="str">
        <f t="shared" si="85"/>
        <v>0-10</v>
      </c>
      <c r="Z1382" s="50">
        <v>1</v>
      </c>
      <c r="AA1382" s="50" t="str">
        <f t="shared" si="86"/>
        <v>1.0-2.0</v>
      </c>
      <c r="AB1382" s="23">
        <v>5</v>
      </c>
      <c r="AC1382" s="30" t="str">
        <f>VLOOKUP(AB1382,[6]Key!$C$20:$D$29,2,FALSE)</f>
        <v>Professional</v>
      </c>
      <c r="AD1382" s="23">
        <v>2</v>
      </c>
      <c r="AE1382" s="30" t="str">
        <f>VLOOKUP(AD1382,[6]Key!$E$20:$F$24,2,FALSE)</f>
        <v>300,000-500,000</v>
      </c>
      <c r="AF1382" s="23">
        <v>2</v>
      </c>
      <c r="AG1382" s="50">
        <v>3</v>
      </c>
      <c r="AH1382" s="50">
        <v>5</v>
      </c>
      <c r="AI1382" s="50">
        <v>1</v>
      </c>
      <c r="AJ1382" s="50">
        <v>4</v>
      </c>
      <c r="AK1382" s="46" t="s">
        <v>94</v>
      </c>
      <c r="AL1382" s="36">
        <v>1000</v>
      </c>
      <c r="AM1382" t="str">
        <f t="shared" si="87"/>
        <v>1000-2000</v>
      </c>
    </row>
    <row r="1383" spans="1:39" x14ac:dyDescent="0.2">
      <c r="A1383" s="44">
        <v>43760</v>
      </c>
      <c r="B1383" s="48">
        <v>0.66875000000000007</v>
      </c>
      <c r="C1383" s="48"/>
      <c r="D1383" s="48" t="s">
        <v>150</v>
      </c>
      <c r="E1383" s="13">
        <v>2</v>
      </c>
      <c r="F1383" s="38" t="str">
        <f>VLOOKUP(E1383,[6]Key!$A$17:$B$21,2,FALSE)</f>
        <v>Road Vehicle</v>
      </c>
      <c r="G1383" s="49">
        <v>4</v>
      </c>
      <c r="H1383" s="39" t="str">
        <f>VLOOKUP(G1383,[6]Key!$A$2:$B$14,2,FALSE)</f>
        <v>Minibus</v>
      </c>
      <c r="I1383" s="13" t="s">
        <v>109</v>
      </c>
      <c r="J1383" s="13">
        <v>1</v>
      </c>
      <c r="K1383" s="40" t="str">
        <f>VLOOKUP(J1383,[6]Key!$A$24:$B$29,2,FALSE)</f>
        <v>20-29</v>
      </c>
      <c r="L1383" s="55" t="s">
        <v>847</v>
      </c>
      <c r="M1383" s="23" t="s">
        <v>819</v>
      </c>
      <c r="N1383" s="13" t="s">
        <v>820</v>
      </c>
      <c r="O1383" s="46">
        <v>3</v>
      </c>
      <c r="P1383" s="30" t="str">
        <f>VLOOKUP(O1383,[6]Key!$E$2:$F$9,2,FALSE)</f>
        <v>Study</v>
      </c>
      <c r="Q1383" s="13" t="s">
        <v>848</v>
      </c>
      <c r="R1383" s="23" t="s">
        <v>283</v>
      </c>
      <c r="S1383" s="13" t="s">
        <v>820</v>
      </c>
      <c r="T1383" s="23">
        <v>1</v>
      </c>
      <c r="U1383" s="30" t="str">
        <f>VLOOKUP(T1383,[6]Key!$E$2:$F$9,2,FALSE)</f>
        <v>Home</v>
      </c>
      <c r="V1383" s="30" t="str">
        <f t="shared" si="84"/>
        <v>Study-Home</v>
      </c>
      <c r="W1383" s="41">
        <v>15000</v>
      </c>
      <c r="X1383" s="50">
        <v>120</v>
      </c>
      <c r="Y1383" s="50" t="str">
        <f t="shared" si="85"/>
        <v>100-200</v>
      </c>
      <c r="Z1383" s="50">
        <v>4</v>
      </c>
      <c r="AA1383" s="50" t="str">
        <f t="shared" si="86"/>
        <v>Over 3.5</v>
      </c>
      <c r="AB1383" s="23">
        <v>8</v>
      </c>
      <c r="AC1383" s="30" t="str">
        <f>VLOOKUP(AB1383,[6]Key!$C$20:$D$29,2,FALSE)</f>
        <v>Student</v>
      </c>
      <c r="AD1383" s="23">
        <v>1</v>
      </c>
      <c r="AE1383" s="30" t="str">
        <f>VLOOKUP(AD1383,[6]Key!$E$20:$F$24,2,FALSE)</f>
        <v>&lt;300,000</v>
      </c>
      <c r="AF1383" s="23">
        <v>2</v>
      </c>
      <c r="AG1383" s="50">
        <v>1</v>
      </c>
      <c r="AH1383" s="50">
        <v>5</v>
      </c>
      <c r="AI1383" s="50">
        <v>4</v>
      </c>
      <c r="AJ1383" s="50">
        <v>3</v>
      </c>
      <c r="AK1383" s="46" t="s">
        <v>94</v>
      </c>
      <c r="AL1383" s="36"/>
      <c r="AM1383" t="str">
        <f t="shared" si="87"/>
        <v>0-1000</v>
      </c>
    </row>
    <row r="1384" spans="1:39" x14ac:dyDescent="0.2">
      <c r="A1384" s="44">
        <v>43760</v>
      </c>
      <c r="B1384" s="48">
        <v>0.56944444444444442</v>
      </c>
      <c r="C1384" s="48"/>
      <c r="D1384" s="48" t="s">
        <v>150</v>
      </c>
      <c r="E1384" s="13">
        <v>2</v>
      </c>
      <c r="F1384" s="38" t="str">
        <f>VLOOKUP(E1384,[6]Key!$A$17:$B$21,2,FALSE)</f>
        <v>Road Vehicle</v>
      </c>
      <c r="G1384" s="49">
        <v>4</v>
      </c>
      <c r="H1384" s="39" t="str">
        <f>VLOOKUP(G1384,[6]Key!$A$2:$B$14,2,FALSE)</f>
        <v>Minibus</v>
      </c>
      <c r="I1384" s="13" t="s">
        <v>109</v>
      </c>
      <c r="J1384" s="13">
        <v>1</v>
      </c>
      <c r="K1384" s="40" t="str">
        <f>VLOOKUP(J1384,[6]Key!$A$24:$B$29,2,FALSE)</f>
        <v>20-29</v>
      </c>
      <c r="L1384" s="55" t="s">
        <v>849</v>
      </c>
      <c r="M1384" s="23" t="s">
        <v>819</v>
      </c>
      <c r="N1384" s="13" t="s">
        <v>820</v>
      </c>
      <c r="O1384" s="46">
        <v>3</v>
      </c>
      <c r="P1384" s="30" t="str">
        <f>VLOOKUP(O1384,[6]Key!$E$2:$F$9,2,FALSE)</f>
        <v>Study</v>
      </c>
      <c r="Q1384" s="13" t="s">
        <v>842</v>
      </c>
      <c r="R1384" s="23" t="s">
        <v>819</v>
      </c>
      <c r="S1384" s="13" t="s">
        <v>820</v>
      </c>
      <c r="T1384" s="23">
        <v>1</v>
      </c>
      <c r="U1384" s="30" t="str">
        <f>VLOOKUP(T1384,[6]Key!$E$2:$F$9,2,FALSE)</f>
        <v>Home</v>
      </c>
      <c r="V1384" s="30" t="str">
        <f t="shared" si="84"/>
        <v>Study-Home</v>
      </c>
      <c r="W1384" s="41">
        <v>3000</v>
      </c>
      <c r="X1384" s="50">
        <v>1.5</v>
      </c>
      <c r="Y1384" s="50" t="str">
        <f t="shared" si="85"/>
        <v>0-10</v>
      </c>
      <c r="Z1384" s="50">
        <v>0.7</v>
      </c>
      <c r="AA1384" s="50" t="str">
        <f t="shared" si="86"/>
        <v>0.5-1.0</v>
      </c>
      <c r="AB1384" s="23">
        <v>1</v>
      </c>
      <c r="AC1384" s="30" t="str">
        <f>VLOOKUP(AB1384,[6]Key!$C$20:$D$29,2,FALSE)</f>
        <v>Unemployed</v>
      </c>
      <c r="AD1384" s="23">
        <v>1</v>
      </c>
      <c r="AE1384" s="30" t="str">
        <f>VLOOKUP(AD1384,[6]Key!$E$20:$F$24,2,FALSE)</f>
        <v>&lt;300,000</v>
      </c>
      <c r="AF1384" s="23">
        <v>2</v>
      </c>
      <c r="AG1384" s="50">
        <v>1</v>
      </c>
      <c r="AH1384" s="50">
        <v>5</v>
      </c>
      <c r="AI1384" s="50">
        <v>4</v>
      </c>
      <c r="AJ1384" s="50">
        <v>3</v>
      </c>
      <c r="AK1384" s="46" t="s">
        <v>94</v>
      </c>
      <c r="AL1384" s="36">
        <v>500</v>
      </c>
      <c r="AM1384" t="str">
        <f t="shared" si="87"/>
        <v>0-1000</v>
      </c>
    </row>
    <row r="1385" spans="1:39" x14ac:dyDescent="0.2">
      <c r="A1385" s="44">
        <v>43760</v>
      </c>
      <c r="B1385" s="48"/>
      <c r="C1385" s="48"/>
      <c r="D1385" s="48" t="s">
        <v>150</v>
      </c>
      <c r="E1385" s="13">
        <v>2</v>
      </c>
      <c r="F1385" s="38" t="str">
        <f>VLOOKUP(E1385,[6]Key!$A$17:$B$21,2,FALSE)</f>
        <v>Road Vehicle</v>
      </c>
      <c r="G1385" s="49">
        <v>4</v>
      </c>
      <c r="H1385" s="39" t="str">
        <f>VLOOKUP(G1385,[6]Key!$A$2:$B$14,2,FALSE)</f>
        <v>Minibus</v>
      </c>
      <c r="I1385" s="13" t="s">
        <v>109</v>
      </c>
      <c r="J1385" s="13">
        <v>1</v>
      </c>
      <c r="K1385" s="40" t="str">
        <f>VLOOKUP(J1385,[6]Key!$A$24:$B$29,2,FALSE)</f>
        <v>20-29</v>
      </c>
      <c r="L1385" s="55" t="s">
        <v>819</v>
      </c>
      <c r="M1385" s="23" t="s">
        <v>819</v>
      </c>
      <c r="N1385" s="13" t="s">
        <v>820</v>
      </c>
      <c r="O1385" s="46">
        <v>1</v>
      </c>
      <c r="P1385" s="30" t="str">
        <f>VLOOKUP(O1385,[6]Key!$E$2:$F$9,2,FALSE)</f>
        <v>Home</v>
      </c>
      <c r="Q1385" s="13" t="s">
        <v>850</v>
      </c>
      <c r="R1385" s="23" t="s">
        <v>819</v>
      </c>
      <c r="S1385" s="13" t="s">
        <v>820</v>
      </c>
      <c r="T1385" s="23">
        <v>4</v>
      </c>
      <c r="U1385" s="30" t="str">
        <f>VLOOKUP(T1385,[6]Key!$E$2:$F$9,2,FALSE)</f>
        <v>Commercial</v>
      </c>
      <c r="V1385" s="30" t="str">
        <f t="shared" si="84"/>
        <v>Home-Commercial</v>
      </c>
      <c r="W1385" s="41">
        <v>7000</v>
      </c>
      <c r="X1385" s="50">
        <v>80</v>
      </c>
      <c r="Y1385" s="50" t="str">
        <f t="shared" si="85"/>
        <v>70-100</v>
      </c>
      <c r="Z1385" s="50">
        <v>1.5</v>
      </c>
      <c r="AA1385" s="50" t="str">
        <f t="shared" si="86"/>
        <v>1.0-2.0</v>
      </c>
      <c r="AB1385" s="23">
        <v>2</v>
      </c>
      <c r="AC1385" s="30" t="str">
        <f>VLOOKUP(AB1385,[6]Key!$C$20:$D$29,2,FALSE)</f>
        <v>Manual Labour</v>
      </c>
      <c r="AD1385" s="23">
        <v>1</v>
      </c>
      <c r="AE1385" s="30" t="str">
        <f>VLOOKUP(AD1385,[6]Key!$E$20:$F$24,2,FALSE)</f>
        <v>&lt;300,000</v>
      </c>
      <c r="AF1385" s="23">
        <v>3</v>
      </c>
      <c r="AG1385" s="50">
        <v>4</v>
      </c>
      <c r="AH1385" s="50">
        <v>1</v>
      </c>
      <c r="AI1385" s="50">
        <v>2</v>
      </c>
      <c r="AJ1385" s="50">
        <v>5</v>
      </c>
      <c r="AK1385" s="46" t="s">
        <v>94</v>
      </c>
      <c r="AL1385" s="36">
        <v>2000</v>
      </c>
      <c r="AM1385" t="str">
        <f t="shared" si="87"/>
        <v>2000-3000</v>
      </c>
    </row>
    <row r="1386" spans="1:39" x14ac:dyDescent="0.2">
      <c r="A1386" s="44">
        <v>43760</v>
      </c>
      <c r="B1386" s="48"/>
      <c r="C1386" s="48"/>
      <c r="D1386" s="48" t="s">
        <v>150</v>
      </c>
      <c r="E1386" s="13">
        <v>2</v>
      </c>
      <c r="F1386" s="38" t="str">
        <f>VLOOKUP(E1386,[6]Key!$A$17:$B$21,2,FALSE)</f>
        <v>Road Vehicle</v>
      </c>
      <c r="G1386" s="49">
        <v>4</v>
      </c>
      <c r="H1386" s="39" t="str">
        <f>VLOOKUP(G1386,[6]Key!$A$2:$B$14,2,FALSE)</f>
        <v>Minibus</v>
      </c>
      <c r="I1386" s="13" t="s">
        <v>109</v>
      </c>
      <c r="J1386" s="13">
        <v>1</v>
      </c>
      <c r="K1386" s="40" t="str">
        <f>VLOOKUP(J1386,[6]Key!$A$24:$B$29,2,FALSE)</f>
        <v>20-29</v>
      </c>
      <c r="L1386" s="55" t="s">
        <v>819</v>
      </c>
      <c r="M1386" s="23" t="s">
        <v>819</v>
      </c>
      <c r="N1386" s="13" t="s">
        <v>820</v>
      </c>
      <c r="O1386" s="46">
        <v>2</v>
      </c>
      <c r="P1386" s="30" t="str">
        <f>VLOOKUP(O1386,[6]Key!$E$2:$F$9,2,FALSE)</f>
        <v>Work</v>
      </c>
      <c r="Q1386" s="13" t="s">
        <v>404</v>
      </c>
      <c r="R1386" s="23" t="s">
        <v>404</v>
      </c>
      <c r="S1386" s="13" t="s">
        <v>820</v>
      </c>
      <c r="T1386" s="23">
        <v>1</v>
      </c>
      <c r="U1386" s="30" t="str">
        <f>VLOOKUP(T1386,[6]Key!$E$2:$F$9,2,FALSE)</f>
        <v>Home</v>
      </c>
      <c r="V1386" s="30" t="str">
        <f t="shared" si="84"/>
        <v>Work-Home</v>
      </c>
      <c r="W1386" s="41">
        <v>30000</v>
      </c>
      <c r="X1386" s="50">
        <v>380</v>
      </c>
      <c r="Y1386" s="50" t="str">
        <f t="shared" si="85"/>
        <v>Over 200</v>
      </c>
      <c r="Z1386" s="50">
        <v>7.5</v>
      </c>
      <c r="AA1386" s="50" t="str">
        <f t="shared" si="86"/>
        <v>Over 3.5</v>
      </c>
      <c r="AB1386" s="23">
        <v>4</v>
      </c>
      <c r="AC1386" s="30" t="str">
        <f>VLOOKUP(AB1386,[6]Key!$C$20:$D$29,2,FALSE)</f>
        <v>Office Worker</v>
      </c>
      <c r="AD1386" s="23">
        <v>2</v>
      </c>
      <c r="AE1386" s="30" t="str">
        <f>VLOOKUP(AD1386,[6]Key!$E$20:$F$24,2,FALSE)</f>
        <v>300,000-500,000</v>
      </c>
      <c r="AF1386" s="23">
        <v>1</v>
      </c>
      <c r="AG1386" s="50">
        <v>5</v>
      </c>
      <c r="AH1386" s="50">
        <v>3</v>
      </c>
      <c r="AI1386" s="50">
        <v>2</v>
      </c>
      <c r="AJ1386" s="50">
        <v>4</v>
      </c>
      <c r="AK1386" s="46" t="s">
        <v>94</v>
      </c>
      <c r="AL1386" s="36">
        <v>4000</v>
      </c>
      <c r="AM1386" t="str">
        <f t="shared" si="87"/>
        <v>3000-5000</v>
      </c>
    </row>
    <row r="1387" spans="1:39" x14ac:dyDescent="0.2">
      <c r="A1387" s="44">
        <v>43760</v>
      </c>
      <c r="B1387" s="48"/>
      <c r="C1387" s="48"/>
      <c r="D1387" s="48" t="s">
        <v>150</v>
      </c>
      <c r="E1387" s="13">
        <v>2</v>
      </c>
      <c r="F1387" s="38" t="str">
        <f>VLOOKUP(E1387,[6]Key!$A$17:$B$21,2,FALSE)</f>
        <v>Road Vehicle</v>
      </c>
      <c r="G1387" s="49">
        <v>4</v>
      </c>
      <c r="H1387" s="39" t="str">
        <f>VLOOKUP(G1387,[6]Key!$A$2:$B$14,2,FALSE)</f>
        <v>Minibus</v>
      </c>
      <c r="I1387" s="13" t="s">
        <v>109</v>
      </c>
      <c r="J1387" s="13">
        <v>1</v>
      </c>
      <c r="K1387" s="40" t="str">
        <f>VLOOKUP(J1387,[6]Key!$A$24:$B$29,2,FALSE)</f>
        <v>20-29</v>
      </c>
      <c r="L1387" s="55" t="s">
        <v>819</v>
      </c>
      <c r="M1387" s="23" t="s">
        <v>819</v>
      </c>
      <c r="N1387" s="13" t="s">
        <v>820</v>
      </c>
      <c r="O1387" s="46">
        <v>1</v>
      </c>
      <c r="P1387" s="30" t="str">
        <f>VLOOKUP(O1387,[6]Key!$E$2:$F$9,2,FALSE)</f>
        <v>Home</v>
      </c>
      <c r="Q1387" s="13" t="s">
        <v>404</v>
      </c>
      <c r="R1387" s="23" t="s">
        <v>404</v>
      </c>
      <c r="S1387" s="13" t="s">
        <v>820</v>
      </c>
      <c r="T1387" s="23">
        <v>4</v>
      </c>
      <c r="U1387" s="30" t="str">
        <f>VLOOKUP(T1387,[6]Key!$E$2:$F$9,2,FALSE)</f>
        <v>Commercial</v>
      </c>
      <c r="V1387" s="30" t="str">
        <f t="shared" si="84"/>
        <v>Home-Commercial</v>
      </c>
      <c r="W1387" s="41">
        <v>30000</v>
      </c>
      <c r="X1387" s="50">
        <v>400</v>
      </c>
      <c r="Y1387" s="50" t="str">
        <f t="shared" si="85"/>
        <v>Over 200</v>
      </c>
      <c r="Z1387" s="50">
        <v>7</v>
      </c>
      <c r="AA1387" s="50" t="str">
        <f t="shared" si="86"/>
        <v>Over 3.5</v>
      </c>
      <c r="AB1387" s="23">
        <v>3</v>
      </c>
      <c r="AC1387" s="30" t="str">
        <f>VLOOKUP(AB1387,[6]Key!$C$20:$D$29,2,FALSE)</f>
        <v>Artisan/Domestic</v>
      </c>
      <c r="AD1387" s="23">
        <v>2</v>
      </c>
      <c r="AE1387" s="30" t="str">
        <f>VLOOKUP(AD1387,[6]Key!$E$20:$F$24,2,FALSE)</f>
        <v>300,000-500,000</v>
      </c>
      <c r="AF1387" s="23">
        <v>2</v>
      </c>
      <c r="AG1387" s="50">
        <v>3</v>
      </c>
      <c r="AH1387" s="50">
        <v>5</v>
      </c>
      <c r="AI1387" s="50">
        <v>1</v>
      </c>
      <c r="AJ1387" s="50">
        <v>4</v>
      </c>
      <c r="AK1387" s="46" t="s">
        <v>94</v>
      </c>
      <c r="AL1387" s="36">
        <v>4000</v>
      </c>
      <c r="AM1387" t="str">
        <f t="shared" si="87"/>
        <v>3000-5000</v>
      </c>
    </row>
    <row r="1388" spans="1:39" x14ac:dyDescent="0.2">
      <c r="A1388" s="44">
        <v>43760</v>
      </c>
      <c r="B1388" s="48"/>
      <c r="C1388" s="48"/>
      <c r="D1388" s="48" t="s">
        <v>150</v>
      </c>
      <c r="E1388" s="13">
        <v>2</v>
      </c>
      <c r="F1388" s="38" t="str">
        <f>VLOOKUP(E1388,[6]Key!$A$17:$B$21,2,FALSE)</f>
        <v>Road Vehicle</v>
      </c>
      <c r="G1388" s="49">
        <v>4</v>
      </c>
      <c r="H1388" s="39" t="str">
        <f>VLOOKUP(G1388,[6]Key!$A$2:$B$14,2,FALSE)</f>
        <v>Minibus</v>
      </c>
      <c r="I1388" s="13" t="s">
        <v>109</v>
      </c>
      <c r="J1388" s="13">
        <v>1</v>
      </c>
      <c r="K1388" s="40" t="str">
        <f>VLOOKUP(J1388,[6]Key!$A$24:$B$29,2,FALSE)</f>
        <v>20-29</v>
      </c>
      <c r="L1388" s="55" t="s">
        <v>819</v>
      </c>
      <c r="M1388" s="23" t="s">
        <v>819</v>
      </c>
      <c r="N1388" s="13" t="s">
        <v>820</v>
      </c>
      <c r="O1388" s="46">
        <v>1</v>
      </c>
      <c r="P1388" s="30" t="str">
        <f>VLOOKUP(O1388,[6]Key!$E$2:$F$9,2,FALSE)</f>
        <v>Home</v>
      </c>
      <c r="Q1388" s="13" t="s">
        <v>404</v>
      </c>
      <c r="R1388" s="23" t="s">
        <v>404</v>
      </c>
      <c r="S1388" s="13" t="s">
        <v>820</v>
      </c>
      <c r="T1388" s="23">
        <v>6</v>
      </c>
      <c r="U1388" s="30" t="str">
        <f>VLOOKUP(T1388,[6]Key!$E$2:$F$9,2,FALSE)</f>
        <v>Leisure/Social</v>
      </c>
      <c r="V1388" s="30" t="str">
        <f t="shared" si="84"/>
        <v>Home-Leisure/Social</v>
      </c>
      <c r="W1388" s="41">
        <v>25000</v>
      </c>
      <c r="X1388" s="50">
        <v>400</v>
      </c>
      <c r="Y1388" s="50" t="str">
        <f t="shared" si="85"/>
        <v>Over 200</v>
      </c>
      <c r="Z1388" s="50">
        <v>6</v>
      </c>
      <c r="AA1388" s="50" t="str">
        <f t="shared" si="86"/>
        <v>Over 3.5</v>
      </c>
      <c r="AB1388" s="23">
        <v>5</v>
      </c>
      <c r="AC1388" s="30" t="str">
        <f>VLOOKUP(AB1388,[6]Key!$C$20:$D$29,2,FALSE)</f>
        <v>Professional</v>
      </c>
      <c r="AD1388" s="23">
        <v>1</v>
      </c>
      <c r="AE1388" s="30" t="str">
        <f>VLOOKUP(AD1388,[6]Key!$E$20:$F$24,2,FALSE)</f>
        <v>&lt;300,000</v>
      </c>
      <c r="AF1388" s="23"/>
      <c r="AG1388" s="50"/>
      <c r="AH1388" s="50"/>
      <c r="AI1388" s="50"/>
      <c r="AJ1388" s="50"/>
      <c r="AK1388" s="46" t="s">
        <v>94</v>
      </c>
      <c r="AL1388" s="36">
        <v>1000</v>
      </c>
      <c r="AM1388" t="str">
        <f t="shared" si="87"/>
        <v>1000-2000</v>
      </c>
    </row>
    <row r="1389" spans="1:39" x14ac:dyDescent="0.2">
      <c r="A1389" s="44">
        <v>43761</v>
      </c>
      <c r="B1389" s="48">
        <v>0.54236111111111118</v>
      </c>
      <c r="C1389" s="48"/>
      <c r="D1389" s="48" t="s">
        <v>150</v>
      </c>
      <c r="E1389" s="13">
        <v>2</v>
      </c>
      <c r="F1389" s="38" t="str">
        <f>VLOOKUP(E1389,[6]Key!$A$17:$B$21,2,FALSE)</f>
        <v>Road Vehicle</v>
      </c>
      <c r="G1389" s="49">
        <v>4</v>
      </c>
      <c r="H1389" s="39" t="str">
        <f>VLOOKUP(G1389,[6]Key!$A$2:$B$14,2,FALSE)</f>
        <v>Minibus</v>
      </c>
      <c r="I1389" s="13" t="s">
        <v>109</v>
      </c>
      <c r="J1389" s="13">
        <v>1</v>
      </c>
      <c r="K1389" s="40" t="str">
        <f>VLOOKUP(J1389,[6]Key!$A$24:$B$29,2,FALSE)</f>
        <v>20-29</v>
      </c>
      <c r="L1389" s="55" t="s">
        <v>851</v>
      </c>
      <c r="M1389" s="23" t="s">
        <v>819</v>
      </c>
      <c r="N1389" s="13" t="s">
        <v>820</v>
      </c>
      <c r="O1389" s="46">
        <v>2</v>
      </c>
      <c r="P1389" s="30" t="str">
        <f>VLOOKUP(O1389,[6]Key!$E$2:$F$9,2,FALSE)</f>
        <v>Work</v>
      </c>
      <c r="Q1389" s="13" t="s">
        <v>852</v>
      </c>
      <c r="R1389" s="23" t="s">
        <v>819</v>
      </c>
      <c r="S1389" s="13" t="s">
        <v>820</v>
      </c>
      <c r="T1389" s="23">
        <v>2</v>
      </c>
      <c r="U1389" s="30" t="str">
        <f>VLOOKUP(T1389,[6]Key!$E$2:$F$9,2,FALSE)</f>
        <v>Work</v>
      </c>
      <c r="V1389" s="30" t="str">
        <f t="shared" si="84"/>
        <v>Work-Work</v>
      </c>
      <c r="W1389" s="41">
        <v>1000</v>
      </c>
      <c r="X1389" s="50">
        <v>10</v>
      </c>
      <c r="Y1389" s="50" t="str">
        <f t="shared" si="85"/>
        <v>10-20</v>
      </c>
      <c r="Z1389" s="50">
        <v>0.3</v>
      </c>
      <c r="AA1389" s="50" t="str">
        <f t="shared" si="86"/>
        <v>0-0.5</v>
      </c>
      <c r="AB1389" s="23">
        <v>2</v>
      </c>
      <c r="AC1389" s="30" t="str">
        <f>VLOOKUP(AB1389,[6]Key!$C$20:$D$29,2,FALSE)</f>
        <v>Manual Labour</v>
      </c>
      <c r="AD1389" s="23">
        <v>1</v>
      </c>
      <c r="AE1389" s="30" t="str">
        <f>VLOOKUP(AD1389,[6]Key!$E$20:$F$24,2,FALSE)</f>
        <v>&lt;300,000</v>
      </c>
      <c r="AF1389" s="23">
        <v>1</v>
      </c>
      <c r="AG1389" s="50">
        <v>2</v>
      </c>
      <c r="AH1389" s="50">
        <v>3</v>
      </c>
      <c r="AI1389" s="50">
        <v>5</v>
      </c>
      <c r="AJ1389" s="50">
        <v>4</v>
      </c>
      <c r="AK1389" s="46" t="s">
        <v>94</v>
      </c>
      <c r="AL1389" s="36"/>
      <c r="AM1389" t="str">
        <f t="shared" si="87"/>
        <v>0-1000</v>
      </c>
    </row>
    <row r="1390" spans="1:39" x14ac:dyDescent="0.2">
      <c r="A1390" s="44">
        <v>43761</v>
      </c>
      <c r="B1390" s="48"/>
      <c r="C1390" s="48"/>
      <c r="D1390" s="48" t="s">
        <v>150</v>
      </c>
      <c r="E1390" s="13">
        <v>2</v>
      </c>
      <c r="F1390" s="38" t="str">
        <f>VLOOKUP(E1390,[6]Key!$A$17:$B$21,2,FALSE)</f>
        <v>Road Vehicle</v>
      </c>
      <c r="G1390" s="49">
        <v>4</v>
      </c>
      <c r="H1390" s="39" t="str">
        <f>VLOOKUP(G1390,[6]Key!$A$2:$B$14,2,FALSE)</f>
        <v>Minibus</v>
      </c>
      <c r="I1390" s="13" t="s">
        <v>109</v>
      </c>
      <c r="J1390" s="13">
        <v>1</v>
      </c>
      <c r="K1390" s="40" t="str">
        <f>VLOOKUP(J1390,[6]Key!$A$24:$B$29,2,FALSE)</f>
        <v>20-29</v>
      </c>
      <c r="L1390" s="55" t="s">
        <v>819</v>
      </c>
      <c r="M1390" s="23" t="s">
        <v>819</v>
      </c>
      <c r="N1390" s="13" t="s">
        <v>820</v>
      </c>
      <c r="O1390" s="46">
        <v>2</v>
      </c>
      <c r="P1390" s="30" t="str">
        <f>VLOOKUP(O1390,[6]Key!$E$2:$F$9,2,FALSE)</f>
        <v>Work</v>
      </c>
      <c r="Q1390" s="13" t="s">
        <v>853</v>
      </c>
      <c r="R1390" s="23" t="s">
        <v>404</v>
      </c>
      <c r="S1390" s="13" t="s">
        <v>820</v>
      </c>
      <c r="T1390" s="23">
        <v>1</v>
      </c>
      <c r="U1390" s="30" t="str">
        <f>VLOOKUP(T1390,[6]Key!$E$2:$F$9,2,FALSE)</f>
        <v>Home</v>
      </c>
      <c r="V1390" s="30" t="str">
        <f t="shared" si="84"/>
        <v>Work-Home</v>
      </c>
      <c r="W1390" s="41">
        <v>35000</v>
      </c>
      <c r="X1390" s="50">
        <v>400</v>
      </c>
      <c r="Y1390" s="50" t="str">
        <f t="shared" si="85"/>
        <v>Over 200</v>
      </c>
      <c r="Z1390" s="50">
        <v>9</v>
      </c>
      <c r="AA1390" s="50" t="str">
        <f t="shared" si="86"/>
        <v>Over 3.5</v>
      </c>
      <c r="AB1390" s="23">
        <v>2</v>
      </c>
      <c r="AC1390" s="30" t="str">
        <f>VLOOKUP(AB1390,[6]Key!$C$20:$D$29,2,FALSE)</f>
        <v>Manual Labour</v>
      </c>
      <c r="AD1390" s="23">
        <v>2</v>
      </c>
      <c r="AE1390" s="30" t="str">
        <f>VLOOKUP(AD1390,[6]Key!$E$20:$F$24,2,FALSE)</f>
        <v>300,000-500,000</v>
      </c>
      <c r="AF1390" s="23">
        <v>3</v>
      </c>
      <c r="AG1390" s="50">
        <v>4</v>
      </c>
      <c r="AH1390" s="50">
        <v>1</v>
      </c>
      <c r="AI1390" s="50">
        <v>2</v>
      </c>
      <c r="AJ1390" s="50">
        <v>5</v>
      </c>
      <c r="AK1390" s="46" t="s">
        <v>94</v>
      </c>
      <c r="AL1390" s="36"/>
      <c r="AM1390" t="str">
        <f t="shared" si="87"/>
        <v>0-1000</v>
      </c>
    </row>
    <row r="1391" spans="1:39" x14ac:dyDescent="0.2">
      <c r="A1391" s="44">
        <v>43761</v>
      </c>
      <c r="B1391" s="48"/>
      <c r="C1391" s="48"/>
      <c r="D1391" s="48" t="s">
        <v>150</v>
      </c>
      <c r="E1391" s="13">
        <v>2</v>
      </c>
      <c r="F1391" s="38" t="str">
        <f>VLOOKUP(E1391,[6]Key!$A$17:$B$21,2,FALSE)</f>
        <v>Road Vehicle</v>
      </c>
      <c r="G1391" s="49">
        <v>4</v>
      </c>
      <c r="H1391" s="39" t="str">
        <f>VLOOKUP(G1391,[6]Key!$A$2:$B$14,2,FALSE)</f>
        <v>Minibus</v>
      </c>
      <c r="I1391" s="13" t="s">
        <v>109</v>
      </c>
      <c r="J1391" s="13">
        <v>1</v>
      </c>
      <c r="K1391" s="40" t="str">
        <f>VLOOKUP(J1391,[6]Key!$A$24:$B$29,2,FALSE)</f>
        <v>20-29</v>
      </c>
      <c r="L1391" s="55" t="s">
        <v>819</v>
      </c>
      <c r="M1391" s="23" t="s">
        <v>819</v>
      </c>
      <c r="N1391" s="13" t="s">
        <v>820</v>
      </c>
      <c r="O1391" s="46">
        <v>1</v>
      </c>
      <c r="P1391" s="30" t="str">
        <f>VLOOKUP(O1391,[6]Key!$E$2:$F$9,2,FALSE)</f>
        <v>Home</v>
      </c>
      <c r="Q1391" s="13" t="s">
        <v>404</v>
      </c>
      <c r="R1391" s="23" t="s">
        <v>404</v>
      </c>
      <c r="S1391" s="13" t="s">
        <v>820</v>
      </c>
      <c r="T1391" s="23">
        <v>2</v>
      </c>
      <c r="U1391" s="30" t="str">
        <f>VLOOKUP(T1391,[6]Key!$E$2:$F$9,2,FALSE)</f>
        <v>Work</v>
      </c>
      <c r="V1391" s="30" t="str">
        <f t="shared" si="84"/>
        <v>Home-Work</v>
      </c>
      <c r="W1391" s="41">
        <v>30000</v>
      </c>
      <c r="X1391" s="50">
        <v>400</v>
      </c>
      <c r="Y1391" s="50" t="str">
        <f t="shared" si="85"/>
        <v>Over 200</v>
      </c>
      <c r="Z1391" s="50">
        <v>8</v>
      </c>
      <c r="AA1391" s="50" t="str">
        <f t="shared" si="86"/>
        <v>Over 3.5</v>
      </c>
      <c r="AB1391" s="23">
        <v>2</v>
      </c>
      <c r="AC1391" s="30" t="str">
        <f>VLOOKUP(AB1391,[6]Key!$C$20:$D$29,2,FALSE)</f>
        <v>Manual Labour</v>
      </c>
      <c r="AD1391" s="23">
        <v>1</v>
      </c>
      <c r="AE1391" s="30" t="str">
        <f>VLOOKUP(AD1391,[6]Key!$E$20:$F$24,2,FALSE)</f>
        <v>&lt;300,000</v>
      </c>
      <c r="AF1391" s="23"/>
      <c r="AG1391" s="50"/>
      <c r="AH1391" s="50"/>
      <c r="AI1391" s="50"/>
      <c r="AJ1391" s="50"/>
      <c r="AK1391" s="46" t="s">
        <v>94</v>
      </c>
      <c r="AL1391" s="36"/>
      <c r="AM1391" t="str">
        <f t="shared" si="87"/>
        <v>0-1000</v>
      </c>
    </row>
    <row r="1392" spans="1:39" x14ac:dyDescent="0.2">
      <c r="A1392" s="44">
        <v>43761</v>
      </c>
      <c r="B1392" s="48"/>
      <c r="C1392" s="48"/>
      <c r="D1392" s="48" t="s">
        <v>150</v>
      </c>
      <c r="E1392" s="13">
        <v>2</v>
      </c>
      <c r="F1392" s="38" t="str">
        <f>VLOOKUP(E1392,[6]Key!$A$17:$B$21,2,FALSE)</f>
        <v>Road Vehicle</v>
      </c>
      <c r="G1392" s="49">
        <v>4</v>
      </c>
      <c r="H1392" s="39" t="str">
        <f>VLOOKUP(G1392,[6]Key!$A$2:$B$14,2,FALSE)</f>
        <v>Minibus</v>
      </c>
      <c r="I1392" s="13" t="s">
        <v>109</v>
      </c>
      <c r="J1392" s="13">
        <v>1</v>
      </c>
      <c r="K1392" s="40" t="str">
        <f>VLOOKUP(J1392,[6]Key!$A$24:$B$29,2,FALSE)</f>
        <v>20-29</v>
      </c>
      <c r="L1392" s="55" t="s">
        <v>819</v>
      </c>
      <c r="M1392" s="23" t="s">
        <v>819</v>
      </c>
      <c r="N1392" s="13" t="s">
        <v>820</v>
      </c>
      <c r="O1392" s="46">
        <v>1</v>
      </c>
      <c r="P1392" s="30" t="str">
        <f>VLOOKUP(O1392,[6]Key!$E$2:$F$9,2,FALSE)</f>
        <v>Home</v>
      </c>
      <c r="Q1392" s="13" t="s">
        <v>851</v>
      </c>
      <c r="R1392" s="23" t="s">
        <v>819</v>
      </c>
      <c r="S1392" s="13" t="s">
        <v>820</v>
      </c>
      <c r="T1392" s="23">
        <v>2</v>
      </c>
      <c r="U1392" s="30" t="str">
        <f>VLOOKUP(T1392,[6]Key!$E$2:$F$9,2,FALSE)</f>
        <v>Work</v>
      </c>
      <c r="V1392" s="30" t="str">
        <f t="shared" si="84"/>
        <v>Home-Work</v>
      </c>
      <c r="W1392" s="41">
        <v>1500</v>
      </c>
      <c r="X1392" s="50">
        <v>4</v>
      </c>
      <c r="Y1392" s="50" t="str">
        <f t="shared" si="85"/>
        <v>0-10</v>
      </c>
      <c r="Z1392" s="50">
        <v>0.7</v>
      </c>
      <c r="AA1392" s="50" t="str">
        <f t="shared" si="86"/>
        <v>0.5-1.0</v>
      </c>
      <c r="AB1392" s="23">
        <v>2</v>
      </c>
      <c r="AC1392" s="30" t="str">
        <f>VLOOKUP(AB1392,[6]Key!$C$20:$D$29,2,FALSE)</f>
        <v>Manual Labour</v>
      </c>
      <c r="AD1392" s="23">
        <v>1</v>
      </c>
      <c r="AE1392" s="30" t="str">
        <f>VLOOKUP(AD1392,[6]Key!$E$20:$F$24,2,FALSE)</f>
        <v>&lt;300,000</v>
      </c>
      <c r="AF1392" s="23">
        <v>2</v>
      </c>
      <c r="AG1392" s="50">
        <v>3</v>
      </c>
      <c r="AH1392" s="50">
        <v>5</v>
      </c>
      <c r="AI1392" s="50">
        <v>1</v>
      </c>
      <c r="AJ1392" s="50">
        <v>4</v>
      </c>
      <c r="AK1392" s="46" t="s">
        <v>94</v>
      </c>
      <c r="AL1392" s="36">
        <v>7000</v>
      </c>
      <c r="AM1392" t="str">
        <f t="shared" si="87"/>
        <v>5000-10000</v>
      </c>
    </row>
    <row r="1393" spans="1:39" x14ac:dyDescent="0.2">
      <c r="A1393" s="44">
        <v>43761</v>
      </c>
      <c r="B1393" s="48"/>
      <c r="C1393" s="48"/>
      <c r="D1393" s="48" t="s">
        <v>150</v>
      </c>
      <c r="E1393" s="13">
        <v>2</v>
      </c>
      <c r="F1393" s="38" t="str">
        <f>VLOOKUP(E1393,[6]Key!$A$17:$B$21,2,FALSE)</f>
        <v>Road Vehicle</v>
      </c>
      <c r="G1393" s="49">
        <v>4</v>
      </c>
      <c r="H1393" s="39" t="str">
        <f>VLOOKUP(G1393,[6]Key!$A$2:$B$14,2,FALSE)</f>
        <v>Minibus</v>
      </c>
      <c r="I1393" s="13" t="s">
        <v>109</v>
      </c>
      <c r="J1393" s="13">
        <v>1</v>
      </c>
      <c r="K1393" s="40" t="str">
        <f>VLOOKUP(J1393,[6]Key!$A$24:$B$29,2,FALSE)</f>
        <v>20-29</v>
      </c>
      <c r="L1393" s="55" t="s">
        <v>819</v>
      </c>
      <c r="M1393" s="23" t="s">
        <v>819</v>
      </c>
      <c r="N1393" s="13" t="s">
        <v>820</v>
      </c>
      <c r="O1393" s="46">
        <v>1</v>
      </c>
      <c r="P1393" s="30" t="str">
        <f>VLOOKUP(O1393,[6]Key!$E$2:$F$9,2,FALSE)</f>
        <v>Home</v>
      </c>
      <c r="Q1393" s="13" t="s">
        <v>851</v>
      </c>
      <c r="R1393" s="23" t="s">
        <v>819</v>
      </c>
      <c r="S1393" s="13" t="s">
        <v>820</v>
      </c>
      <c r="T1393" s="23">
        <v>2</v>
      </c>
      <c r="U1393" s="30" t="str">
        <f>VLOOKUP(T1393,[6]Key!$E$2:$F$9,2,FALSE)</f>
        <v>Work</v>
      </c>
      <c r="V1393" s="30" t="str">
        <f t="shared" si="84"/>
        <v>Home-Work</v>
      </c>
      <c r="W1393" s="41">
        <v>1500</v>
      </c>
      <c r="X1393" s="50">
        <v>3</v>
      </c>
      <c r="Y1393" s="50" t="str">
        <f t="shared" si="85"/>
        <v>0-10</v>
      </c>
      <c r="Z1393" s="50">
        <v>0.5</v>
      </c>
      <c r="AA1393" s="50" t="str">
        <f t="shared" si="86"/>
        <v>0.5-1.0</v>
      </c>
      <c r="AB1393" s="23">
        <v>2</v>
      </c>
      <c r="AC1393" s="30" t="str">
        <f>VLOOKUP(AB1393,[6]Key!$C$20:$D$29,2,FALSE)</f>
        <v>Manual Labour</v>
      </c>
      <c r="AD1393" s="23">
        <v>1</v>
      </c>
      <c r="AE1393" s="30" t="str">
        <f>VLOOKUP(AD1393,[6]Key!$E$20:$F$24,2,FALSE)</f>
        <v>&lt;300,000</v>
      </c>
      <c r="AF1393" s="23">
        <v>1</v>
      </c>
      <c r="AG1393" s="50">
        <v>3</v>
      </c>
      <c r="AH1393" s="50">
        <v>5</v>
      </c>
      <c r="AI1393" s="50">
        <v>4</v>
      </c>
      <c r="AJ1393" s="50">
        <v>2</v>
      </c>
      <c r="AK1393" s="46" t="s">
        <v>94</v>
      </c>
      <c r="AL1393" s="36">
        <v>1000</v>
      </c>
      <c r="AM1393" t="str">
        <f t="shared" si="87"/>
        <v>1000-2000</v>
      </c>
    </row>
    <row r="1394" spans="1:39" x14ac:dyDescent="0.2">
      <c r="A1394" s="44">
        <v>43761</v>
      </c>
      <c r="B1394" s="48"/>
      <c r="C1394" s="48"/>
      <c r="D1394" s="48" t="s">
        <v>150</v>
      </c>
      <c r="E1394" s="13">
        <v>2</v>
      </c>
      <c r="F1394" s="38" t="str">
        <f>VLOOKUP(E1394,[6]Key!$A$17:$B$21,2,FALSE)</f>
        <v>Road Vehicle</v>
      </c>
      <c r="G1394" s="49">
        <v>4</v>
      </c>
      <c r="H1394" s="39" t="str">
        <f>VLOOKUP(G1394,[6]Key!$A$2:$B$14,2,FALSE)</f>
        <v>Minibus</v>
      </c>
      <c r="I1394" s="13" t="s">
        <v>109</v>
      </c>
      <c r="J1394" s="13">
        <v>1</v>
      </c>
      <c r="K1394" s="40" t="str">
        <f>VLOOKUP(J1394,[6]Key!$A$24:$B$29,2,FALSE)</f>
        <v>20-29</v>
      </c>
      <c r="L1394" s="55" t="s">
        <v>854</v>
      </c>
      <c r="M1394" s="23" t="s">
        <v>819</v>
      </c>
      <c r="N1394" s="13" t="s">
        <v>820</v>
      </c>
      <c r="O1394" s="46">
        <v>1</v>
      </c>
      <c r="P1394" s="30" t="str">
        <f>VLOOKUP(O1394,[6]Key!$E$2:$F$9,2,FALSE)</f>
        <v>Home</v>
      </c>
      <c r="Q1394" s="13" t="s">
        <v>855</v>
      </c>
      <c r="R1394" s="23" t="s">
        <v>283</v>
      </c>
      <c r="S1394" s="13" t="s">
        <v>820</v>
      </c>
      <c r="T1394" s="23">
        <v>6</v>
      </c>
      <c r="U1394" s="30" t="str">
        <f>VLOOKUP(T1394,[6]Key!$E$2:$F$9,2,FALSE)</f>
        <v>Leisure/Social</v>
      </c>
      <c r="V1394" s="30" t="str">
        <f t="shared" si="84"/>
        <v>Home-Leisure/Social</v>
      </c>
      <c r="W1394" s="41">
        <v>15000</v>
      </c>
      <c r="X1394" s="50">
        <v>150</v>
      </c>
      <c r="Y1394" s="50" t="str">
        <f t="shared" si="85"/>
        <v>100-200</v>
      </c>
      <c r="Z1394" s="50">
        <v>4.5</v>
      </c>
      <c r="AA1394" s="50" t="str">
        <f t="shared" si="86"/>
        <v>Over 3.5</v>
      </c>
      <c r="AB1394" s="23">
        <v>2</v>
      </c>
      <c r="AC1394" s="30" t="str">
        <f>VLOOKUP(AB1394,[6]Key!$C$20:$D$29,2,FALSE)</f>
        <v>Manual Labour</v>
      </c>
      <c r="AD1394" s="23">
        <v>2</v>
      </c>
      <c r="AE1394" s="30" t="str">
        <f>VLOOKUP(AD1394,[6]Key!$E$20:$F$24,2,FALSE)</f>
        <v>300,000-500,000</v>
      </c>
      <c r="AF1394" s="23"/>
      <c r="AG1394" s="50"/>
      <c r="AH1394" s="50"/>
      <c r="AI1394" s="50"/>
      <c r="AJ1394" s="50"/>
      <c r="AK1394" s="46" t="s">
        <v>94</v>
      </c>
      <c r="AL1394" s="36"/>
      <c r="AM1394" t="str">
        <f t="shared" si="87"/>
        <v>0-1000</v>
      </c>
    </row>
    <row r="1395" spans="1:39" x14ac:dyDescent="0.2">
      <c r="A1395" s="44">
        <v>43761</v>
      </c>
      <c r="B1395" s="48"/>
      <c r="C1395" s="48"/>
      <c r="D1395" s="48" t="s">
        <v>150</v>
      </c>
      <c r="E1395" s="13">
        <v>2</v>
      </c>
      <c r="F1395" s="38" t="str">
        <f>VLOOKUP(E1395,[6]Key!$A$17:$B$21,2,FALSE)</f>
        <v>Road Vehicle</v>
      </c>
      <c r="G1395" s="49">
        <v>4</v>
      </c>
      <c r="H1395" s="39" t="str">
        <f>VLOOKUP(G1395,[6]Key!$A$2:$B$14,2,FALSE)</f>
        <v>Minibus</v>
      </c>
      <c r="I1395" s="13" t="s">
        <v>109</v>
      </c>
      <c r="J1395" s="13">
        <v>1</v>
      </c>
      <c r="K1395" s="40" t="str">
        <f>VLOOKUP(J1395,[6]Key!$A$24:$B$29,2,FALSE)</f>
        <v>20-29</v>
      </c>
      <c r="L1395" s="55" t="s">
        <v>819</v>
      </c>
      <c r="M1395" s="23" t="s">
        <v>819</v>
      </c>
      <c r="N1395" s="13" t="s">
        <v>820</v>
      </c>
      <c r="O1395" s="46">
        <v>1</v>
      </c>
      <c r="P1395" s="30" t="str">
        <f>VLOOKUP(O1395,[6]Key!$E$2:$F$9,2,FALSE)</f>
        <v>Home</v>
      </c>
      <c r="Q1395" s="13" t="s">
        <v>841</v>
      </c>
      <c r="R1395" s="23" t="s">
        <v>819</v>
      </c>
      <c r="S1395" s="13" t="s">
        <v>820</v>
      </c>
      <c r="T1395" s="23">
        <v>6</v>
      </c>
      <c r="U1395" s="30" t="str">
        <f>VLOOKUP(T1395,[6]Key!$E$2:$F$9,2,FALSE)</f>
        <v>Leisure/Social</v>
      </c>
      <c r="V1395" s="30" t="str">
        <f t="shared" si="84"/>
        <v>Home-Leisure/Social</v>
      </c>
      <c r="W1395" s="41">
        <v>5000</v>
      </c>
      <c r="X1395" s="50">
        <v>20</v>
      </c>
      <c r="Y1395" s="50" t="str">
        <f t="shared" si="85"/>
        <v>20-40</v>
      </c>
      <c r="Z1395" s="50">
        <v>1.5</v>
      </c>
      <c r="AA1395" s="50" t="str">
        <f t="shared" si="86"/>
        <v>1.0-2.0</v>
      </c>
      <c r="AB1395" s="23">
        <v>7</v>
      </c>
      <c r="AC1395" s="30" t="str">
        <f>VLOOKUP(AB1395,[6]Key!$C$20:$D$29,2,FALSE)</f>
        <v>Farmer</v>
      </c>
      <c r="AD1395" s="23">
        <v>2</v>
      </c>
      <c r="AE1395" s="30" t="str">
        <f>VLOOKUP(AD1395,[6]Key!$E$20:$F$24,2,FALSE)</f>
        <v>300,000-500,000</v>
      </c>
      <c r="AF1395" s="23">
        <v>2</v>
      </c>
      <c r="AG1395" s="50">
        <v>5</v>
      </c>
      <c r="AH1395" s="50">
        <v>1</v>
      </c>
      <c r="AI1395" s="50">
        <v>4</v>
      </c>
      <c r="AJ1395" s="50">
        <v>3</v>
      </c>
      <c r="AK1395" s="46" t="s">
        <v>94</v>
      </c>
      <c r="AL1395" s="36">
        <v>5000</v>
      </c>
      <c r="AM1395" t="str">
        <f t="shared" si="87"/>
        <v>5000-10000</v>
      </c>
    </row>
    <row r="1396" spans="1:39" x14ac:dyDescent="0.2">
      <c r="A1396" s="44">
        <v>43761</v>
      </c>
      <c r="B1396" s="48">
        <v>0.34375</v>
      </c>
      <c r="C1396" s="48"/>
      <c r="D1396" s="48" t="s">
        <v>150</v>
      </c>
      <c r="E1396" s="13">
        <v>2</v>
      </c>
      <c r="F1396" s="38" t="str">
        <f>VLOOKUP(E1396,[6]Key!$A$17:$B$21,2,FALSE)</f>
        <v>Road Vehicle</v>
      </c>
      <c r="G1396" s="49">
        <v>4</v>
      </c>
      <c r="H1396" s="39" t="str">
        <f>VLOOKUP(G1396,[6]Key!$A$2:$B$14,2,FALSE)</f>
        <v>Minibus</v>
      </c>
      <c r="I1396" s="13" t="s">
        <v>109</v>
      </c>
      <c r="J1396" s="13">
        <v>1</v>
      </c>
      <c r="K1396" s="40" t="str">
        <f>VLOOKUP(J1396,[6]Key!$A$24:$B$29,2,FALSE)</f>
        <v>20-29</v>
      </c>
      <c r="L1396" s="55" t="s">
        <v>819</v>
      </c>
      <c r="M1396" s="23" t="s">
        <v>819</v>
      </c>
      <c r="N1396" s="13" t="s">
        <v>820</v>
      </c>
      <c r="O1396" s="46">
        <v>1</v>
      </c>
      <c r="P1396" s="30" t="str">
        <f>VLOOKUP(O1396,[6]Key!$E$2:$F$9,2,FALSE)</f>
        <v>Home</v>
      </c>
      <c r="Q1396" s="13" t="s">
        <v>404</v>
      </c>
      <c r="R1396" s="23" t="s">
        <v>404</v>
      </c>
      <c r="S1396" s="13"/>
      <c r="T1396" s="23">
        <v>2</v>
      </c>
      <c r="U1396" s="30" t="str">
        <f>VLOOKUP(T1396,[6]Key!$E$2:$F$9,2,FALSE)</f>
        <v>Work</v>
      </c>
      <c r="V1396" s="30" t="str">
        <f t="shared" si="84"/>
        <v>Home-Work</v>
      </c>
      <c r="W1396" s="41">
        <v>30000</v>
      </c>
      <c r="X1396" s="50"/>
      <c r="Y1396" s="50" t="str">
        <f t="shared" si="85"/>
        <v>0-10</v>
      </c>
      <c r="Z1396" s="50">
        <v>9</v>
      </c>
      <c r="AA1396" s="50" t="str">
        <f t="shared" si="86"/>
        <v>Over 3.5</v>
      </c>
      <c r="AB1396" s="23">
        <v>2</v>
      </c>
      <c r="AC1396" s="30" t="str">
        <f>VLOOKUP(AB1396,[6]Key!$C$20:$D$29,2,FALSE)</f>
        <v>Manual Labour</v>
      </c>
      <c r="AD1396" s="23">
        <v>1</v>
      </c>
      <c r="AE1396" s="30" t="str">
        <f>VLOOKUP(AD1396,[6]Key!$E$20:$F$24,2,FALSE)</f>
        <v>&lt;300,000</v>
      </c>
      <c r="AF1396" s="23">
        <v>3</v>
      </c>
      <c r="AG1396" s="50">
        <v>2</v>
      </c>
      <c r="AH1396" s="50">
        <v>1</v>
      </c>
      <c r="AI1396" s="50">
        <v>4</v>
      </c>
      <c r="AJ1396" s="50">
        <v>3</v>
      </c>
      <c r="AK1396" s="46" t="s">
        <v>94</v>
      </c>
      <c r="AL1396" s="36"/>
      <c r="AM1396" t="str">
        <f t="shared" si="87"/>
        <v>0-1000</v>
      </c>
    </row>
    <row r="1397" spans="1:39" x14ac:dyDescent="0.2">
      <c r="A1397" s="44">
        <v>43761</v>
      </c>
      <c r="B1397" s="48">
        <v>0.3659722222222222</v>
      </c>
      <c r="C1397" s="48"/>
      <c r="D1397" s="48" t="s">
        <v>150</v>
      </c>
      <c r="E1397" s="13">
        <v>2</v>
      </c>
      <c r="F1397" s="38" t="str">
        <f>VLOOKUP(E1397,[6]Key!$A$17:$B$21,2,FALSE)</f>
        <v>Road Vehicle</v>
      </c>
      <c r="G1397" s="49">
        <v>4</v>
      </c>
      <c r="H1397" s="39" t="str">
        <f>VLOOKUP(G1397,[6]Key!$A$2:$B$14,2,FALSE)</f>
        <v>Minibus</v>
      </c>
      <c r="I1397" s="13" t="s">
        <v>109</v>
      </c>
      <c r="J1397" s="13">
        <v>1</v>
      </c>
      <c r="K1397" s="40" t="str">
        <f>VLOOKUP(J1397,[6]Key!$A$24:$B$29,2,FALSE)</f>
        <v>20-29</v>
      </c>
      <c r="L1397" s="55" t="s">
        <v>819</v>
      </c>
      <c r="M1397" s="23" t="s">
        <v>819</v>
      </c>
      <c r="N1397" s="13" t="s">
        <v>820</v>
      </c>
      <c r="O1397" s="46">
        <v>1</v>
      </c>
      <c r="P1397" s="30" t="str">
        <f>VLOOKUP(O1397,[6]Key!$E$2:$F$9,2,FALSE)</f>
        <v>Home</v>
      </c>
      <c r="Q1397" s="13" t="s">
        <v>283</v>
      </c>
      <c r="R1397" s="23" t="s">
        <v>283</v>
      </c>
      <c r="S1397" s="13"/>
      <c r="T1397" s="23">
        <v>4</v>
      </c>
      <c r="U1397" s="30" t="str">
        <f>VLOOKUP(T1397,[6]Key!$E$2:$F$9,2,FALSE)</f>
        <v>Commercial</v>
      </c>
      <c r="V1397" s="30" t="str">
        <f t="shared" si="84"/>
        <v>Home-Commercial</v>
      </c>
      <c r="W1397" s="41">
        <v>20000</v>
      </c>
      <c r="X1397" s="50"/>
      <c r="Y1397" s="50" t="str">
        <f t="shared" si="85"/>
        <v>0-10</v>
      </c>
      <c r="Z1397" s="50">
        <v>4</v>
      </c>
      <c r="AA1397" s="50" t="str">
        <f t="shared" si="86"/>
        <v>Over 3.5</v>
      </c>
      <c r="AB1397" s="23">
        <v>6</v>
      </c>
      <c r="AC1397" s="30" t="str">
        <f>VLOOKUP(AB1397,[6]Key!$C$20:$D$29,2,FALSE)</f>
        <v>Businessman</v>
      </c>
      <c r="AD1397" s="23">
        <v>4</v>
      </c>
      <c r="AE1397" s="30" t="str">
        <f>VLOOKUP(AD1397,[6]Key!$E$20:$F$24,2,FALSE)</f>
        <v>750,000-1,000,000</v>
      </c>
      <c r="AF1397" s="23">
        <v>5</v>
      </c>
      <c r="AG1397" s="50">
        <v>3</v>
      </c>
      <c r="AH1397" s="50">
        <v>4</v>
      </c>
      <c r="AI1397" s="50">
        <v>1</v>
      </c>
      <c r="AJ1397" s="50">
        <v>2</v>
      </c>
      <c r="AK1397" s="46" t="s">
        <v>94</v>
      </c>
      <c r="AL1397" s="36">
        <v>5000</v>
      </c>
      <c r="AM1397" t="str">
        <f t="shared" si="87"/>
        <v>5000-10000</v>
      </c>
    </row>
    <row r="1398" spans="1:39" x14ac:dyDescent="0.2">
      <c r="A1398" s="44">
        <v>43761</v>
      </c>
      <c r="B1398" s="48">
        <v>0.69097222222222221</v>
      </c>
      <c r="C1398" s="48"/>
      <c r="D1398" s="48" t="s">
        <v>150</v>
      </c>
      <c r="E1398" s="13">
        <v>2</v>
      </c>
      <c r="F1398" s="38" t="str">
        <f>VLOOKUP(E1398,[6]Key!$A$17:$B$21,2,FALSE)</f>
        <v>Road Vehicle</v>
      </c>
      <c r="G1398" s="49">
        <v>4</v>
      </c>
      <c r="H1398" s="39" t="str">
        <f>VLOOKUP(G1398,[6]Key!$A$2:$B$14,2,FALSE)</f>
        <v>Minibus</v>
      </c>
      <c r="I1398" s="13" t="s">
        <v>109</v>
      </c>
      <c r="J1398" s="13">
        <v>1</v>
      </c>
      <c r="K1398" s="40" t="str">
        <f>VLOOKUP(J1398,[6]Key!$A$24:$B$29,2,FALSE)</f>
        <v>20-29</v>
      </c>
      <c r="L1398" s="55" t="s">
        <v>856</v>
      </c>
      <c r="M1398" s="23" t="s">
        <v>832</v>
      </c>
      <c r="N1398" s="13" t="s">
        <v>820</v>
      </c>
      <c r="O1398" s="46">
        <v>5</v>
      </c>
      <c r="P1398" s="30" t="str">
        <f>VLOOKUP(O1398,[6]Key!$E$2:$F$9,2,FALSE)</f>
        <v>Tourism</v>
      </c>
      <c r="Q1398" s="13" t="s">
        <v>819</v>
      </c>
      <c r="R1398" s="23" t="s">
        <v>819</v>
      </c>
      <c r="S1398" s="13"/>
      <c r="T1398" s="23">
        <v>2</v>
      </c>
      <c r="U1398" s="30" t="str">
        <f>VLOOKUP(T1398,[6]Key!$E$2:$F$9,2,FALSE)</f>
        <v>Work</v>
      </c>
      <c r="V1398" s="30" t="str">
        <f t="shared" si="84"/>
        <v>Tourism-Work</v>
      </c>
      <c r="W1398" s="41">
        <v>20000</v>
      </c>
      <c r="X1398" s="50"/>
      <c r="Y1398" s="50" t="str">
        <f t="shared" si="85"/>
        <v>0-10</v>
      </c>
      <c r="Z1398" s="50">
        <v>4</v>
      </c>
      <c r="AA1398" s="50" t="str">
        <f t="shared" si="86"/>
        <v>Over 3.5</v>
      </c>
      <c r="AB1398" s="23">
        <v>5</v>
      </c>
      <c r="AC1398" s="30" t="str">
        <f>VLOOKUP(AB1398,[6]Key!$C$20:$D$29,2,FALSE)</f>
        <v>Professional</v>
      </c>
      <c r="AD1398" s="23">
        <v>4</v>
      </c>
      <c r="AE1398" s="30" t="str">
        <f>VLOOKUP(AD1398,[6]Key!$E$20:$F$24,2,FALSE)</f>
        <v>750,000-1,000,000</v>
      </c>
      <c r="AF1398" s="23">
        <v>3</v>
      </c>
      <c r="AG1398" s="50">
        <v>2</v>
      </c>
      <c r="AH1398" s="50">
        <v>1</v>
      </c>
      <c r="AI1398" s="50">
        <v>4</v>
      </c>
      <c r="AJ1398" s="50">
        <v>5</v>
      </c>
      <c r="AK1398" s="46" t="s">
        <v>94</v>
      </c>
      <c r="AL1398" s="36">
        <v>5000</v>
      </c>
      <c r="AM1398" t="str">
        <f t="shared" si="87"/>
        <v>5000-10000</v>
      </c>
    </row>
    <row r="1399" spans="1:39" x14ac:dyDescent="0.2">
      <c r="A1399" s="44">
        <v>43761</v>
      </c>
      <c r="B1399" s="48">
        <v>0.68055555555555547</v>
      </c>
      <c r="C1399" s="48"/>
      <c r="D1399" s="48" t="s">
        <v>150</v>
      </c>
      <c r="E1399" s="13">
        <v>2</v>
      </c>
      <c r="F1399" s="38" t="str">
        <f>VLOOKUP(E1399,[6]Key!$A$17:$B$21,2,FALSE)</f>
        <v>Road Vehicle</v>
      </c>
      <c r="G1399" s="49">
        <v>3</v>
      </c>
      <c r="H1399" s="39" t="str">
        <f>VLOOKUP(G1399,[6]Key!$A$2:$B$14,2,FALSE)</f>
        <v>Pickups</v>
      </c>
      <c r="I1399" s="13" t="s">
        <v>109</v>
      </c>
      <c r="J1399" s="13">
        <v>1</v>
      </c>
      <c r="K1399" s="40" t="str">
        <f>VLOOKUP(J1399,[6]Key!$A$24:$B$29,2,FALSE)</f>
        <v>20-29</v>
      </c>
      <c r="L1399" s="55" t="s">
        <v>822</v>
      </c>
      <c r="M1399" s="23" t="s">
        <v>822</v>
      </c>
      <c r="N1399" s="13" t="s">
        <v>820</v>
      </c>
      <c r="O1399" s="46">
        <v>1</v>
      </c>
      <c r="P1399" s="30" t="str">
        <f>VLOOKUP(O1399,[6]Key!$E$2:$F$9,2,FALSE)</f>
        <v>Home</v>
      </c>
      <c r="Q1399" s="13" t="s">
        <v>819</v>
      </c>
      <c r="R1399" s="23" t="s">
        <v>819</v>
      </c>
      <c r="S1399" s="13"/>
      <c r="T1399" s="23">
        <v>8</v>
      </c>
      <c r="U1399" s="30" t="str">
        <f>VLOOKUP(T1399,[6]Key!$E$2:$F$9,2,FALSE)</f>
        <v>Others</v>
      </c>
      <c r="V1399" s="30" t="str">
        <f t="shared" si="84"/>
        <v>Home-Others</v>
      </c>
      <c r="W1399" s="41">
        <v>15000</v>
      </c>
      <c r="X1399" s="50"/>
      <c r="Y1399" s="50" t="str">
        <f t="shared" si="85"/>
        <v>0-10</v>
      </c>
      <c r="Z1399" s="50">
        <v>2</v>
      </c>
      <c r="AA1399" s="50" t="str">
        <f t="shared" si="86"/>
        <v>2.0-3.5</v>
      </c>
      <c r="AB1399" s="23">
        <v>7</v>
      </c>
      <c r="AC1399" s="30" t="str">
        <f>VLOOKUP(AB1399,[6]Key!$C$20:$D$29,2,FALSE)</f>
        <v>Farmer</v>
      </c>
      <c r="AD1399" s="23">
        <v>3</v>
      </c>
      <c r="AE1399" s="30" t="str">
        <f>VLOOKUP(AD1399,[6]Key!$E$20:$F$24,2,FALSE)</f>
        <v>500,000-750,000</v>
      </c>
      <c r="AF1399" s="23">
        <v>5</v>
      </c>
      <c r="AG1399" s="50">
        <v>2</v>
      </c>
      <c r="AH1399" s="50">
        <v>4</v>
      </c>
      <c r="AI1399" s="50">
        <v>1</v>
      </c>
      <c r="AJ1399" s="50">
        <v>3</v>
      </c>
      <c r="AK1399" s="46" t="s">
        <v>94</v>
      </c>
      <c r="AL1399" s="36">
        <v>5000</v>
      </c>
      <c r="AM1399" t="str">
        <f t="shared" si="87"/>
        <v>5000-10000</v>
      </c>
    </row>
    <row r="1400" spans="1:39" x14ac:dyDescent="0.2">
      <c r="A1400" s="44">
        <v>43761</v>
      </c>
      <c r="B1400" s="48">
        <v>0.31597222222222221</v>
      </c>
      <c r="C1400" s="48"/>
      <c r="D1400" s="48" t="s">
        <v>150</v>
      </c>
      <c r="E1400" s="13">
        <v>2</v>
      </c>
      <c r="F1400" s="38" t="str">
        <f>VLOOKUP(E1400,[6]Key!$A$17:$B$21,2,FALSE)</f>
        <v>Road Vehicle</v>
      </c>
      <c r="G1400" s="49">
        <v>2</v>
      </c>
      <c r="H1400" s="39" t="str">
        <f>VLOOKUP(G1400,[6]Key!$A$2:$B$14,2,FALSE)</f>
        <v>Station Wagon</v>
      </c>
      <c r="I1400" s="13" t="s">
        <v>156</v>
      </c>
      <c r="J1400" s="13">
        <v>1</v>
      </c>
      <c r="K1400" s="40" t="str">
        <f>VLOOKUP(J1400,[6]Key!$A$24:$B$29,2,FALSE)</f>
        <v>20-29</v>
      </c>
      <c r="L1400" s="55" t="s">
        <v>366</v>
      </c>
      <c r="M1400" s="23" t="s">
        <v>366</v>
      </c>
      <c r="N1400" s="13" t="s">
        <v>820</v>
      </c>
      <c r="O1400" s="46">
        <v>8</v>
      </c>
      <c r="P1400" s="30" t="str">
        <f>VLOOKUP(O1400,[6]Key!$E$2:$F$9,2,FALSE)</f>
        <v>Others</v>
      </c>
      <c r="Q1400" s="13" t="s">
        <v>819</v>
      </c>
      <c r="R1400" s="23" t="s">
        <v>819</v>
      </c>
      <c r="S1400" s="13"/>
      <c r="T1400" s="23">
        <v>1</v>
      </c>
      <c r="U1400" s="30" t="str">
        <f>VLOOKUP(T1400,[6]Key!$E$2:$F$9,2,FALSE)</f>
        <v>Home</v>
      </c>
      <c r="V1400" s="30" t="str">
        <f t="shared" si="84"/>
        <v>Others-Home</v>
      </c>
      <c r="W1400" s="41">
        <v>6000</v>
      </c>
      <c r="X1400" s="50"/>
      <c r="Y1400" s="50" t="str">
        <f t="shared" si="85"/>
        <v>0-10</v>
      </c>
      <c r="Z1400" s="50">
        <v>0.7</v>
      </c>
      <c r="AA1400" s="50" t="str">
        <f t="shared" si="86"/>
        <v>0.5-1.0</v>
      </c>
      <c r="AB1400" s="23">
        <v>1</v>
      </c>
      <c r="AC1400" s="30" t="str">
        <f>VLOOKUP(AB1400,[6]Key!$C$20:$D$29,2,FALSE)</f>
        <v>Unemployed</v>
      </c>
      <c r="AD1400" s="23">
        <v>1</v>
      </c>
      <c r="AE1400" s="30" t="str">
        <f>VLOOKUP(AD1400,[6]Key!$E$20:$F$24,2,FALSE)</f>
        <v>&lt;300,000</v>
      </c>
      <c r="AF1400" s="23">
        <v>2</v>
      </c>
      <c r="AG1400" s="50">
        <v>1</v>
      </c>
      <c r="AH1400" s="50">
        <v>4</v>
      </c>
      <c r="AI1400" s="50">
        <v>5</v>
      </c>
      <c r="AJ1400" s="50">
        <v>3</v>
      </c>
      <c r="AK1400" s="46" t="s">
        <v>94</v>
      </c>
      <c r="AL1400" s="36"/>
      <c r="AM1400" t="str">
        <f t="shared" si="87"/>
        <v>0-1000</v>
      </c>
    </row>
    <row r="1401" spans="1:39" x14ac:dyDescent="0.2">
      <c r="A1401" s="44">
        <v>43761</v>
      </c>
      <c r="B1401" s="48">
        <v>0.4069444444444445</v>
      </c>
      <c r="C1401" s="48"/>
      <c r="D1401" s="48" t="s">
        <v>150</v>
      </c>
      <c r="E1401" s="13">
        <v>2</v>
      </c>
      <c r="F1401" s="38" t="str">
        <f>VLOOKUP(E1401,[6]Key!$A$17:$B$21,2,FALSE)</f>
        <v>Road Vehicle</v>
      </c>
      <c r="G1401" s="49">
        <v>2</v>
      </c>
      <c r="H1401" s="39" t="str">
        <f>VLOOKUP(G1401,[6]Key!$A$2:$B$14,2,FALSE)</f>
        <v>Station Wagon</v>
      </c>
      <c r="I1401" s="13" t="s">
        <v>156</v>
      </c>
      <c r="J1401" s="13">
        <v>1</v>
      </c>
      <c r="K1401" s="40" t="str">
        <f>VLOOKUP(J1401,[6]Key!$A$24:$B$29,2,FALSE)</f>
        <v>20-29</v>
      </c>
      <c r="L1401" s="55" t="s">
        <v>819</v>
      </c>
      <c r="M1401" s="23" t="s">
        <v>819</v>
      </c>
      <c r="N1401" s="13" t="s">
        <v>820</v>
      </c>
      <c r="O1401" s="46">
        <v>1</v>
      </c>
      <c r="P1401" s="30" t="str">
        <f>VLOOKUP(O1401,[6]Key!$E$2:$F$9,2,FALSE)</f>
        <v>Home</v>
      </c>
      <c r="Q1401" s="13" t="s">
        <v>291</v>
      </c>
      <c r="R1401" s="23" t="s">
        <v>268</v>
      </c>
      <c r="S1401" s="13"/>
      <c r="T1401" s="23">
        <v>2</v>
      </c>
      <c r="U1401" s="30" t="str">
        <f>VLOOKUP(T1401,[6]Key!$E$2:$F$9,2,FALSE)</f>
        <v>Work</v>
      </c>
      <c r="V1401" s="30" t="str">
        <f t="shared" si="84"/>
        <v>Home-Work</v>
      </c>
      <c r="W1401" s="41">
        <v>10000</v>
      </c>
      <c r="X1401" s="50"/>
      <c r="Y1401" s="50" t="str">
        <f t="shared" si="85"/>
        <v>0-10</v>
      </c>
      <c r="Z1401" s="50">
        <v>2</v>
      </c>
      <c r="AA1401" s="50" t="str">
        <f t="shared" si="86"/>
        <v>2.0-3.5</v>
      </c>
      <c r="AB1401" s="23">
        <v>4</v>
      </c>
      <c r="AC1401" s="30" t="str">
        <f>VLOOKUP(AB1401,[6]Key!$C$20:$D$29,2,FALSE)</f>
        <v>Office Worker</v>
      </c>
      <c r="AD1401" s="23">
        <v>2</v>
      </c>
      <c r="AE1401" s="30" t="str">
        <f>VLOOKUP(AD1401,[6]Key!$E$20:$F$24,2,FALSE)</f>
        <v>300,000-500,000</v>
      </c>
      <c r="AF1401" s="23">
        <v>5</v>
      </c>
      <c r="AG1401" s="50">
        <v>3</v>
      </c>
      <c r="AH1401" s="50">
        <v>4</v>
      </c>
      <c r="AI1401" s="50">
        <v>1</v>
      </c>
      <c r="AJ1401" s="50">
        <v>2</v>
      </c>
      <c r="AK1401" s="46" t="s">
        <v>94</v>
      </c>
      <c r="AL1401" s="36">
        <v>1000</v>
      </c>
      <c r="AM1401" t="str">
        <f t="shared" si="87"/>
        <v>1000-2000</v>
      </c>
    </row>
    <row r="1402" spans="1:39" x14ac:dyDescent="0.2">
      <c r="A1402" s="44">
        <v>43761</v>
      </c>
      <c r="B1402" s="48">
        <v>0.42708333333333331</v>
      </c>
      <c r="C1402" s="48"/>
      <c r="D1402" s="48" t="s">
        <v>150</v>
      </c>
      <c r="E1402" s="13">
        <v>2</v>
      </c>
      <c r="F1402" s="38" t="str">
        <f>VLOOKUP(E1402,[6]Key!$A$17:$B$21,2,FALSE)</f>
        <v>Road Vehicle</v>
      </c>
      <c r="G1402" s="49">
        <v>2</v>
      </c>
      <c r="H1402" s="39" t="str">
        <f>VLOOKUP(G1402,[6]Key!$A$2:$B$14,2,FALSE)</f>
        <v>Station Wagon</v>
      </c>
      <c r="I1402" s="13" t="s">
        <v>156</v>
      </c>
      <c r="J1402" s="13">
        <v>1</v>
      </c>
      <c r="K1402" s="40" t="str">
        <f>VLOOKUP(J1402,[6]Key!$A$24:$B$29,2,FALSE)</f>
        <v>20-29</v>
      </c>
      <c r="L1402" s="55" t="s">
        <v>283</v>
      </c>
      <c r="M1402" s="23" t="s">
        <v>283</v>
      </c>
      <c r="N1402" s="13" t="s">
        <v>820</v>
      </c>
      <c r="O1402" s="46">
        <v>1</v>
      </c>
      <c r="P1402" s="30" t="str">
        <f>VLOOKUP(O1402,[6]Key!$E$2:$F$9,2,FALSE)</f>
        <v>Home</v>
      </c>
      <c r="Q1402" s="13" t="s">
        <v>366</v>
      </c>
      <c r="R1402" s="23" t="s">
        <v>366</v>
      </c>
      <c r="S1402" s="13"/>
      <c r="T1402" s="23">
        <v>1</v>
      </c>
      <c r="U1402" s="30" t="str">
        <f>VLOOKUP(T1402,[6]Key!$E$2:$F$9,2,FALSE)</f>
        <v>Home</v>
      </c>
      <c r="V1402" s="30" t="str">
        <f t="shared" si="84"/>
        <v>Home-Home</v>
      </c>
      <c r="W1402" s="41">
        <v>20000</v>
      </c>
      <c r="X1402" s="50"/>
      <c r="Y1402" s="50" t="str">
        <f t="shared" si="85"/>
        <v>0-10</v>
      </c>
      <c r="Z1402" s="50">
        <v>2</v>
      </c>
      <c r="AA1402" s="50" t="str">
        <f t="shared" si="86"/>
        <v>2.0-3.5</v>
      </c>
      <c r="AB1402" s="23">
        <v>6</v>
      </c>
      <c r="AC1402" s="30" t="str">
        <f>VLOOKUP(AB1402,[6]Key!$C$20:$D$29,2,FALSE)</f>
        <v>Businessman</v>
      </c>
      <c r="AD1402" s="23">
        <v>4</v>
      </c>
      <c r="AE1402" s="30" t="str">
        <f>VLOOKUP(AD1402,[6]Key!$E$20:$F$24,2,FALSE)</f>
        <v>750,000-1,000,000</v>
      </c>
      <c r="AF1402" s="23">
        <v>4</v>
      </c>
      <c r="AG1402" s="50">
        <v>5</v>
      </c>
      <c r="AH1402" s="50">
        <v>4</v>
      </c>
      <c r="AI1402" s="50">
        <v>1</v>
      </c>
      <c r="AJ1402" s="50">
        <v>2</v>
      </c>
      <c r="AK1402" s="46" t="s">
        <v>94</v>
      </c>
      <c r="AL1402" s="36"/>
      <c r="AM1402" t="str">
        <f t="shared" si="87"/>
        <v>0-1000</v>
      </c>
    </row>
    <row r="1403" spans="1:39" x14ac:dyDescent="0.2">
      <c r="A1403" s="44">
        <v>43761</v>
      </c>
      <c r="B1403" s="48">
        <v>0.68541666666666667</v>
      </c>
      <c r="C1403" s="48"/>
      <c r="D1403" s="48" t="s">
        <v>150</v>
      </c>
      <c r="E1403" s="13">
        <v>2</v>
      </c>
      <c r="F1403" s="38" t="str">
        <f>VLOOKUP(E1403,[6]Key!$A$17:$B$21,2,FALSE)</f>
        <v>Road Vehicle</v>
      </c>
      <c r="G1403" s="49">
        <v>2</v>
      </c>
      <c r="H1403" s="39" t="str">
        <f>VLOOKUP(G1403,[6]Key!$A$2:$B$14,2,FALSE)</f>
        <v>Station Wagon</v>
      </c>
      <c r="I1403" s="13" t="s">
        <v>156</v>
      </c>
      <c r="J1403" s="13">
        <v>1</v>
      </c>
      <c r="K1403" s="40" t="str">
        <f>VLOOKUP(J1403,[6]Key!$A$24:$B$29,2,FALSE)</f>
        <v>20-29</v>
      </c>
      <c r="L1403" s="55" t="s">
        <v>822</v>
      </c>
      <c r="M1403" s="23" t="s">
        <v>822</v>
      </c>
      <c r="N1403" s="13" t="s">
        <v>820</v>
      </c>
      <c r="O1403" s="46">
        <v>1</v>
      </c>
      <c r="P1403" s="30" t="str">
        <f>VLOOKUP(O1403,[6]Key!$E$2:$F$9,2,FALSE)</f>
        <v>Home</v>
      </c>
      <c r="Q1403" s="13" t="s">
        <v>819</v>
      </c>
      <c r="R1403" s="23" t="s">
        <v>819</v>
      </c>
      <c r="S1403" s="13"/>
      <c r="T1403" s="23">
        <v>4</v>
      </c>
      <c r="U1403" s="30" t="str">
        <f>VLOOKUP(T1403,[6]Key!$E$2:$F$9,2,FALSE)</f>
        <v>Commercial</v>
      </c>
      <c r="V1403" s="30" t="str">
        <f t="shared" si="84"/>
        <v>Home-Commercial</v>
      </c>
      <c r="W1403" s="41">
        <v>15000</v>
      </c>
      <c r="X1403" s="50"/>
      <c r="Y1403" s="50" t="str">
        <f t="shared" si="85"/>
        <v>0-10</v>
      </c>
      <c r="Z1403" s="50">
        <v>2</v>
      </c>
      <c r="AA1403" s="50" t="str">
        <f t="shared" si="86"/>
        <v>2.0-3.5</v>
      </c>
      <c r="AB1403" s="23">
        <v>6</v>
      </c>
      <c r="AC1403" s="30" t="str">
        <f>VLOOKUP(AB1403,[6]Key!$C$20:$D$29,2,FALSE)</f>
        <v>Businessman</v>
      </c>
      <c r="AD1403" s="23">
        <v>5</v>
      </c>
      <c r="AE1403" s="30" t="str">
        <f>VLOOKUP(AD1403,[6]Key!$E$20:$F$24,2,FALSE)</f>
        <v>&gt;1,000,000</v>
      </c>
      <c r="AF1403" s="23">
        <v>5</v>
      </c>
      <c r="AG1403" s="50">
        <v>4</v>
      </c>
      <c r="AH1403" s="50">
        <v>1</v>
      </c>
      <c r="AI1403" s="50">
        <v>2</v>
      </c>
      <c r="AJ1403" s="50">
        <v>3</v>
      </c>
      <c r="AK1403" s="46" t="s">
        <v>94</v>
      </c>
      <c r="AL1403" s="36">
        <v>10000</v>
      </c>
      <c r="AM1403" t="str">
        <f t="shared" si="87"/>
        <v>Over 10000</v>
      </c>
    </row>
    <row r="1404" spans="1:39" x14ac:dyDescent="0.2">
      <c r="A1404" s="44">
        <v>43759</v>
      </c>
      <c r="B1404" s="48">
        <v>0.6430555555555556</v>
      </c>
      <c r="C1404" s="48"/>
      <c r="D1404" s="48" t="s">
        <v>150</v>
      </c>
      <c r="E1404" s="13">
        <v>2</v>
      </c>
      <c r="F1404" s="38" t="str">
        <f>VLOOKUP(E1404,[6]Key!$A$17:$B$21,2,FALSE)</f>
        <v>Road Vehicle</v>
      </c>
      <c r="G1404" s="49">
        <v>1</v>
      </c>
      <c r="H1404" s="39" t="str">
        <f>VLOOKUP(G1404,[6]Key!$A$2:$B$14,2,FALSE)</f>
        <v>Car</v>
      </c>
      <c r="I1404" s="13" t="s">
        <v>156</v>
      </c>
      <c r="J1404" s="13">
        <v>2</v>
      </c>
      <c r="K1404" s="40" t="str">
        <f>VLOOKUP(J1404,[6]Key!$A$24:$B$29,2,FALSE)</f>
        <v>30-39</v>
      </c>
      <c r="L1404" s="55" t="s">
        <v>819</v>
      </c>
      <c r="M1404" s="23" t="s">
        <v>819</v>
      </c>
      <c r="N1404" s="13" t="s">
        <v>820</v>
      </c>
      <c r="O1404" s="46">
        <v>8</v>
      </c>
      <c r="P1404" s="30" t="str">
        <f>VLOOKUP(O1404,[6]Key!$E$2:$F$9,2,FALSE)</f>
        <v>Others</v>
      </c>
      <c r="Q1404" s="13" t="s">
        <v>268</v>
      </c>
      <c r="R1404" s="23" t="s">
        <v>268</v>
      </c>
      <c r="S1404" s="13" t="s">
        <v>820</v>
      </c>
      <c r="T1404" s="23">
        <v>1</v>
      </c>
      <c r="U1404" s="30" t="str">
        <f>VLOOKUP(T1404,[6]Key!$E$2:$F$9,2,FALSE)</f>
        <v>Home</v>
      </c>
      <c r="V1404" s="30" t="str">
        <f t="shared" si="84"/>
        <v>Others-Home</v>
      </c>
      <c r="W1404" s="41">
        <v>15000</v>
      </c>
      <c r="X1404" s="50"/>
      <c r="Y1404" s="50" t="str">
        <f t="shared" si="85"/>
        <v>0-10</v>
      </c>
      <c r="Z1404" s="50">
        <v>3.5</v>
      </c>
      <c r="AA1404" s="50" t="str">
        <f t="shared" si="86"/>
        <v>Over 3.5</v>
      </c>
      <c r="AB1404" s="23">
        <v>1</v>
      </c>
      <c r="AC1404" s="30" t="str">
        <f>VLOOKUP(AB1404,[6]Key!$C$20:$D$29,2,FALSE)</f>
        <v>Unemployed</v>
      </c>
      <c r="AD1404" s="23">
        <v>1</v>
      </c>
      <c r="AE1404" s="30" t="str">
        <f>VLOOKUP(AD1404,[6]Key!$E$20:$F$24,2,FALSE)</f>
        <v>&lt;300,000</v>
      </c>
      <c r="AF1404" s="23"/>
      <c r="AG1404" s="50"/>
      <c r="AH1404" s="50"/>
      <c r="AI1404" s="50"/>
      <c r="AJ1404" s="50"/>
      <c r="AK1404" s="46" t="s">
        <v>94</v>
      </c>
      <c r="AL1404" s="36"/>
      <c r="AM1404" t="str">
        <f t="shared" si="87"/>
        <v>0-1000</v>
      </c>
    </row>
    <row r="1405" spans="1:39" x14ac:dyDescent="0.2">
      <c r="A1405" s="44">
        <v>43761</v>
      </c>
      <c r="B1405" s="48">
        <v>0.61805555555555558</v>
      </c>
      <c r="C1405" s="48"/>
      <c r="D1405" s="48" t="s">
        <v>150</v>
      </c>
      <c r="E1405" s="13">
        <v>2</v>
      </c>
      <c r="F1405" s="38" t="str">
        <f>VLOOKUP(E1405,[6]Key!$A$17:$B$21,2,FALSE)</f>
        <v>Road Vehicle</v>
      </c>
      <c r="G1405" s="49">
        <v>1</v>
      </c>
      <c r="H1405" s="39" t="str">
        <f>VLOOKUP(G1405,[6]Key!$A$2:$B$14,2,FALSE)</f>
        <v>Car</v>
      </c>
      <c r="I1405" s="13" t="s">
        <v>156</v>
      </c>
      <c r="J1405" s="13">
        <v>2</v>
      </c>
      <c r="K1405" s="40" t="str">
        <f>VLOOKUP(J1405,[6]Key!$A$24:$B$29,2,FALSE)</f>
        <v>30-39</v>
      </c>
      <c r="L1405" s="55" t="s">
        <v>404</v>
      </c>
      <c r="M1405" s="23" t="s">
        <v>404</v>
      </c>
      <c r="N1405" s="13" t="s">
        <v>820</v>
      </c>
      <c r="O1405" s="46">
        <v>2</v>
      </c>
      <c r="P1405" s="30" t="str">
        <f>VLOOKUP(O1405,[6]Key!$E$2:$F$9,2,FALSE)</f>
        <v>Work</v>
      </c>
      <c r="Q1405" s="13" t="s">
        <v>845</v>
      </c>
      <c r="R1405" s="23" t="s">
        <v>832</v>
      </c>
      <c r="S1405" s="13"/>
      <c r="T1405" s="23">
        <v>2</v>
      </c>
      <c r="U1405" s="30" t="str">
        <f>VLOOKUP(T1405,[6]Key!$E$2:$F$9,2,FALSE)</f>
        <v>Work</v>
      </c>
      <c r="V1405" s="30" t="str">
        <f t="shared" si="84"/>
        <v>Work-Work</v>
      </c>
      <c r="W1405" s="41">
        <v>30000</v>
      </c>
      <c r="X1405" s="50"/>
      <c r="Y1405" s="50" t="str">
        <f t="shared" si="85"/>
        <v>0-10</v>
      </c>
      <c r="Z1405" s="50">
        <v>7.5</v>
      </c>
      <c r="AA1405" s="50" t="str">
        <f t="shared" si="86"/>
        <v>Over 3.5</v>
      </c>
      <c r="AB1405" s="23">
        <v>2</v>
      </c>
      <c r="AC1405" s="30" t="str">
        <f>VLOOKUP(AB1405,[6]Key!$C$20:$D$29,2,FALSE)</f>
        <v>Manual Labour</v>
      </c>
      <c r="AD1405" s="23">
        <v>2</v>
      </c>
      <c r="AE1405" s="30" t="str">
        <f>VLOOKUP(AD1405,[6]Key!$E$20:$F$24,2,FALSE)</f>
        <v>300,000-500,000</v>
      </c>
      <c r="AF1405" s="23">
        <v>2</v>
      </c>
      <c r="AG1405" s="50">
        <v>1</v>
      </c>
      <c r="AH1405" s="50">
        <v>4</v>
      </c>
      <c r="AI1405" s="50">
        <v>3</v>
      </c>
      <c r="AJ1405" s="50">
        <v>5</v>
      </c>
      <c r="AK1405" s="46" t="s">
        <v>94</v>
      </c>
      <c r="AL1405" s="36"/>
      <c r="AM1405" t="str">
        <f t="shared" si="87"/>
        <v>0-1000</v>
      </c>
    </row>
    <row r="1406" spans="1:39" x14ac:dyDescent="0.2">
      <c r="A1406" s="44">
        <v>43759</v>
      </c>
      <c r="B1406" s="48">
        <v>0.71527777777777779</v>
      </c>
      <c r="C1406" s="48"/>
      <c r="D1406" s="48" t="s">
        <v>97</v>
      </c>
      <c r="E1406" s="13">
        <v>2</v>
      </c>
      <c r="F1406" s="38" t="str">
        <f>VLOOKUP(E1406,[6]Key!$A$17:$B$21,2,FALSE)</f>
        <v>Road Vehicle</v>
      </c>
      <c r="G1406" s="49">
        <v>1</v>
      </c>
      <c r="H1406" s="39" t="str">
        <f>VLOOKUP(G1406,[6]Key!$A$2:$B$14,2,FALSE)</f>
        <v>Car</v>
      </c>
      <c r="I1406" s="13" t="s">
        <v>109</v>
      </c>
      <c r="J1406" s="13">
        <v>2</v>
      </c>
      <c r="K1406" s="40" t="str">
        <f>VLOOKUP(J1406,[6]Key!$A$24:$B$29,2,FALSE)</f>
        <v>30-39</v>
      </c>
      <c r="L1406" s="55" t="s">
        <v>857</v>
      </c>
      <c r="M1406" s="23" t="s">
        <v>819</v>
      </c>
      <c r="N1406" s="13" t="s">
        <v>820</v>
      </c>
      <c r="O1406" s="46">
        <v>2</v>
      </c>
      <c r="P1406" s="30" t="str">
        <f>VLOOKUP(O1406,[6]Key!$E$2:$F$9,2,FALSE)</f>
        <v>Work</v>
      </c>
      <c r="Q1406" s="13" t="s">
        <v>96</v>
      </c>
      <c r="R1406" s="23" t="s">
        <v>819</v>
      </c>
      <c r="S1406" s="13" t="s">
        <v>820</v>
      </c>
      <c r="T1406" s="23">
        <v>1</v>
      </c>
      <c r="U1406" s="30" t="str">
        <f>VLOOKUP(T1406,[6]Key!$E$2:$F$9,2,FALSE)</f>
        <v>Home</v>
      </c>
      <c r="V1406" s="30" t="str">
        <f t="shared" si="84"/>
        <v>Work-Home</v>
      </c>
      <c r="W1406" s="41">
        <v>150000</v>
      </c>
      <c r="X1406" s="50">
        <v>3</v>
      </c>
      <c r="Y1406" s="50" t="str">
        <f t="shared" si="85"/>
        <v>0-10</v>
      </c>
      <c r="Z1406" s="50">
        <v>1.5</v>
      </c>
      <c r="AA1406" s="50" t="str">
        <f t="shared" si="86"/>
        <v>1.0-2.0</v>
      </c>
      <c r="AB1406" s="23">
        <v>10</v>
      </c>
      <c r="AC1406" s="30" t="str">
        <f>VLOOKUP(AB1406,[6]Key!$C$20:$D$29,2,FALSE)</f>
        <v>Other</v>
      </c>
      <c r="AD1406" s="23">
        <v>2</v>
      </c>
      <c r="AE1406" s="30" t="str">
        <f>VLOOKUP(AD1406,[6]Key!$E$20:$F$24,2,FALSE)</f>
        <v>300,000-500,000</v>
      </c>
      <c r="AF1406" s="23">
        <v>1</v>
      </c>
      <c r="AG1406" s="50">
        <v>3</v>
      </c>
      <c r="AH1406" s="50">
        <v>4</v>
      </c>
      <c r="AI1406" s="50">
        <v>5</v>
      </c>
      <c r="AJ1406" s="50">
        <v>2</v>
      </c>
      <c r="AK1406" s="46" t="s">
        <v>94</v>
      </c>
      <c r="AL1406" s="36">
        <v>1000</v>
      </c>
      <c r="AM1406" t="str">
        <f t="shared" si="87"/>
        <v>1000-2000</v>
      </c>
    </row>
    <row r="1407" spans="1:39" x14ac:dyDescent="0.2">
      <c r="A1407" s="44">
        <v>43759</v>
      </c>
      <c r="B1407" s="48">
        <v>0.58402777777777781</v>
      </c>
      <c r="C1407" s="48"/>
      <c r="D1407" s="48" t="s">
        <v>97</v>
      </c>
      <c r="E1407" s="13">
        <v>2</v>
      </c>
      <c r="F1407" s="38" t="str">
        <f>VLOOKUP(E1407,[6]Key!$A$17:$B$21,2,FALSE)</f>
        <v>Road Vehicle</v>
      </c>
      <c r="G1407" s="49">
        <v>1</v>
      </c>
      <c r="H1407" s="39" t="str">
        <f>VLOOKUP(G1407,[6]Key!$A$2:$B$14,2,FALSE)</f>
        <v>Car</v>
      </c>
      <c r="I1407" s="13" t="s">
        <v>109</v>
      </c>
      <c r="J1407" s="13">
        <v>2</v>
      </c>
      <c r="K1407" s="40" t="str">
        <f>VLOOKUP(J1407,[6]Key!$A$24:$B$29,2,FALSE)</f>
        <v>30-39</v>
      </c>
      <c r="L1407" s="55" t="s">
        <v>858</v>
      </c>
      <c r="M1407" s="23" t="s">
        <v>819</v>
      </c>
      <c r="N1407" s="13" t="s">
        <v>820</v>
      </c>
      <c r="O1407" s="46">
        <v>1</v>
      </c>
      <c r="P1407" s="30" t="str">
        <f>VLOOKUP(O1407,[6]Key!$E$2:$F$9,2,FALSE)</f>
        <v>Home</v>
      </c>
      <c r="Q1407" s="13" t="s">
        <v>96</v>
      </c>
      <c r="R1407" s="23" t="s">
        <v>819</v>
      </c>
      <c r="S1407" s="13" t="s">
        <v>820</v>
      </c>
      <c r="T1407" s="23">
        <v>2</v>
      </c>
      <c r="U1407" s="30" t="str">
        <f>VLOOKUP(T1407,[6]Key!$E$2:$F$9,2,FALSE)</f>
        <v>Work</v>
      </c>
      <c r="V1407" s="30" t="str">
        <f t="shared" si="84"/>
        <v>Home-Work</v>
      </c>
      <c r="W1407" s="41">
        <v>2000</v>
      </c>
      <c r="X1407" s="50">
        <v>5</v>
      </c>
      <c r="Y1407" s="50" t="str">
        <f t="shared" si="85"/>
        <v>0-10</v>
      </c>
      <c r="Z1407" s="50">
        <v>0.2</v>
      </c>
      <c r="AA1407" s="50" t="str">
        <f t="shared" si="86"/>
        <v>0-0.5</v>
      </c>
      <c r="AB1407" s="23">
        <v>6</v>
      </c>
      <c r="AC1407" s="30" t="str">
        <f>VLOOKUP(AB1407,[6]Key!$C$20:$D$29,2,FALSE)</f>
        <v>Businessman</v>
      </c>
      <c r="AD1407" s="23">
        <v>1</v>
      </c>
      <c r="AE1407" s="30" t="str">
        <f>VLOOKUP(AD1407,[6]Key!$E$20:$F$24,2,FALSE)</f>
        <v>&lt;300,000</v>
      </c>
      <c r="AF1407" s="23">
        <v>1</v>
      </c>
      <c r="AG1407" s="50">
        <v>5</v>
      </c>
      <c r="AH1407" s="50">
        <v>2</v>
      </c>
      <c r="AI1407" s="50">
        <v>3</v>
      </c>
      <c r="AJ1407" s="50">
        <v>4</v>
      </c>
      <c r="AK1407" s="46" t="s">
        <v>94</v>
      </c>
      <c r="AL1407" s="36"/>
      <c r="AM1407" t="str">
        <f t="shared" si="87"/>
        <v>0-1000</v>
      </c>
    </row>
    <row r="1408" spans="1:39" x14ac:dyDescent="0.2">
      <c r="A1408" s="44">
        <v>43759</v>
      </c>
      <c r="B1408" s="48">
        <v>0.61388888888888882</v>
      </c>
      <c r="C1408" s="48"/>
      <c r="D1408" s="48" t="s">
        <v>150</v>
      </c>
      <c r="E1408" s="13">
        <v>2</v>
      </c>
      <c r="F1408" s="38" t="str">
        <f>VLOOKUP(E1408,[6]Key!$A$17:$B$21,2,FALSE)</f>
        <v>Road Vehicle</v>
      </c>
      <c r="G1408" s="49">
        <v>1</v>
      </c>
      <c r="H1408" s="39" t="str">
        <f>VLOOKUP(G1408,[6]Key!$A$2:$B$14,2,FALSE)</f>
        <v>Car</v>
      </c>
      <c r="I1408" s="13" t="s">
        <v>109</v>
      </c>
      <c r="J1408" s="13">
        <v>2</v>
      </c>
      <c r="K1408" s="40" t="str">
        <f>VLOOKUP(J1408,[6]Key!$A$24:$B$29,2,FALSE)</f>
        <v>30-39</v>
      </c>
      <c r="L1408" s="55" t="s">
        <v>823</v>
      </c>
      <c r="M1408" s="23" t="s">
        <v>819</v>
      </c>
      <c r="N1408" s="13" t="s">
        <v>820</v>
      </c>
      <c r="O1408" s="46">
        <v>2</v>
      </c>
      <c r="P1408" s="30" t="str">
        <f>VLOOKUP(O1408,[6]Key!$E$2:$F$9,2,FALSE)</f>
        <v>Work</v>
      </c>
      <c r="Q1408" s="13" t="s">
        <v>859</v>
      </c>
      <c r="R1408" s="23" t="s">
        <v>832</v>
      </c>
      <c r="S1408" s="13" t="s">
        <v>820</v>
      </c>
      <c r="T1408" s="23">
        <v>1</v>
      </c>
      <c r="U1408" s="30" t="str">
        <f>VLOOKUP(T1408,[6]Key!$E$2:$F$9,2,FALSE)</f>
        <v>Home</v>
      </c>
      <c r="V1408" s="30" t="str">
        <f t="shared" si="84"/>
        <v>Work-Home</v>
      </c>
      <c r="W1408" s="41">
        <v>10000</v>
      </c>
      <c r="X1408" s="50"/>
      <c r="Y1408" s="50" t="str">
        <f t="shared" si="85"/>
        <v>0-10</v>
      </c>
      <c r="Z1408" s="50">
        <v>2</v>
      </c>
      <c r="AA1408" s="50" t="str">
        <f t="shared" si="86"/>
        <v>2.0-3.5</v>
      </c>
      <c r="AB1408" s="23">
        <v>6</v>
      </c>
      <c r="AC1408" s="30" t="str">
        <f>VLOOKUP(AB1408,[6]Key!$C$20:$D$29,2,FALSE)</f>
        <v>Businessman</v>
      </c>
      <c r="AD1408" s="23">
        <v>1</v>
      </c>
      <c r="AE1408" s="30" t="str">
        <f>VLOOKUP(AD1408,[6]Key!$E$20:$F$24,2,FALSE)</f>
        <v>&lt;300,000</v>
      </c>
      <c r="AF1408" s="23"/>
      <c r="AG1408" s="50"/>
      <c r="AH1408" s="50"/>
      <c r="AI1408" s="50"/>
      <c r="AJ1408" s="50"/>
      <c r="AK1408" s="46" t="s">
        <v>94</v>
      </c>
      <c r="AL1408" s="36"/>
      <c r="AM1408" t="str">
        <f t="shared" si="87"/>
        <v>0-1000</v>
      </c>
    </row>
    <row r="1409" spans="1:39" x14ac:dyDescent="0.2">
      <c r="A1409" s="44">
        <v>43759</v>
      </c>
      <c r="B1409" s="48">
        <v>0.63055555555555554</v>
      </c>
      <c r="C1409" s="48"/>
      <c r="D1409" s="48" t="s">
        <v>97</v>
      </c>
      <c r="E1409" s="13">
        <v>2</v>
      </c>
      <c r="F1409" s="38" t="str">
        <f>VLOOKUP(E1409,[6]Key!$A$17:$B$21,2,FALSE)</f>
        <v>Road Vehicle</v>
      </c>
      <c r="G1409" s="49">
        <v>1</v>
      </c>
      <c r="H1409" s="39" t="str">
        <f>VLOOKUP(G1409,[6]Key!$A$2:$B$14,2,FALSE)</f>
        <v>Car</v>
      </c>
      <c r="I1409" s="13" t="s">
        <v>109</v>
      </c>
      <c r="J1409" s="13">
        <v>2</v>
      </c>
      <c r="K1409" s="40" t="str">
        <f>VLOOKUP(J1409,[6]Key!$A$24:$B$29,2,FALSE)</f>
        <v>30-39</v>
      </c>
      <c r="L1409" s="55" t="s">
        <v>819</v>
      </c>
      <c r="M1409" s="23" t="s">
        <v>819</v>
      </c>
      <c r="N1409" s="13" t="s">
        <v>820</v>
      </c>
      <c r="O1409" s="46">
        <v>1</v>
      </c>
      <c r="P1409" s="30" t="str">
        <f>VLOOKUP(O1409,[6]Key!$E$2:$F$9,2,FALSE)</f>
        <v>Home</v>
      </c>
      <c r="Q1409" s="13" t="s">
        <v>366</v>
      </c>
      <c r="R1409" s="23" t="s">
        <v>366</v>
      </c>
      <c r="S1409" s="13" t="s">
        <v>820</v>
      </c>
      <c r="T1409" s="23">
        <v>8</v>
      </c>
      <c r="U1409" s="30" t="str">
        <f>VLOOKUP(T1409,[6]Key!$E$2:$F$9,2,FALSE)</f>
        <v>Others</v>
      </c>
      <c r="V1409" s="30" t="str">
        <f t="shared" si="84"/>
        <v>Home-Others</v>
      </c>
      <c r="W1409" s="41">
        <v>25000</v>
      </c>
      <c r="X1409" s="50"/>
      <c r="Y1409" s="50" t="str">
        <f t="shared" si="85"/>
        <v>0-10</v>
      </c>
      <c r="Z1409" s="50">
        <v>0.8</v>
      </c>
      <c r="AA1409" s="50" t="str">
        <f t="shared" si="86"/>
        <v>0.5-1.0</v>
      </c>
      <c r="AB1409" s="23">
        <v>5</v>
      </c>
      <c r="AC1409" s="30" t="str">
        <f>VLOOKUP(AB1409,[6]Key!$C$20:$D$29,2,FALSE)</f>
        <v>Professional</v>
      </c>
      <c r="AD1409" s="23">
        <v>4</v>
      </c>
      <c r="AE1409" s="30" t="str">
        <f>VLOOKUP(AD1409,[6]Key!$E$20:$F$24,2,FALSE)</f>
        <v>750,000-1,000,000</v>
      </c>
      <c r="AF1409" s="23">
        <v>5</v>
      </c>
      <c r="AG1409" s="50">
        <v>2</v>
      </c>
      <c r="AH1409" s="50">
        <v>3</v>
      </c>
      <c r="AI1409" s="50">
        <v>1</v>
      </c>
      <c r="AJ1409" s="50">
        <v>4</v>
      </c>
      <c r="AK1409" s="46" t="s">
        <v>94</v>
      </c>
      <c r="AL1409" s="36">
        <v>5000</v>
      </c>
      <c r="AM1409" t="str">
        <f t="shared" si="87"/>
        <v>5000-10000</v>
      </c>
    </row>
    <row r="1410" spans="1:39" x14ac:dyDescent="0.2">
      <c r="A1410" s="44">
        <v>43761</v>
      </c>
      <c r="B1410" s="48">
        <v>0.40138888888888885</v>
      </c>
      <c r="C1410" s="48"/>
      <c r="D1410" s="48" t="s">
        <v>97</v>
      </c>
      <c r="E1410" s="13">
        <v>2</v>
      </c>
      <c r="F1410" s="38" t="str">
        <f>VLOOKUP(E1410,[6]Key!$A$17:$B$21,2,FALSE)</f>
        <v>Road Vehicle</v>
      </c>
      <c r="G1410" s="49">
        <v>1</v>
      </c>
      <c r="H1410" s="39" t="str">
        <f>VLOOKUP(G1410,[6]Key!$A$2:$B$14,2,FALSE)</f>
        <v>Car</v>
      </c>
      <c r="I1410" s="13" t="s">
        <v>109</v>
      </c>
      <c r="J1410" s="13">
        <v>2</v>
      </c>
      <c r="K1410" s="40" t="str">
        <f>VLOOKUP(J1410,[6]Key!$A$24:$B$29,2,FALSE)</f>
        <v>30-39</v>
      </c>
      <c r="L1410" s="55" t="s">
        <v>819</v>
      </c>
      <c r="M1410" s="23" t="s">
        <v>819</v>
      </c>
      <c r="N1410" s="13" t="s">
        <v>820</v>
      </c>
      <c r="O1410" s="46">
        <v>2</v>
      </c>
      <c r="P1410" s="30" t="str">
        <f>VLOOKUP(O1410,[6]Key!$E$2:$F$9,2,FALSE)</f>
        <v>Work</v>
      </c>
      <c r="Q1410" s="13" t="s">
        <v>822</v>
      </c>
      <c r="R1410" s="23" t="s">
        <v>822</v>
      </c>
      <c r="S1410" s="13"/>
      <c r="T1410" s="23">
        <v>8</v>
      </c>
      <c r="U1410" s="30" t="str">
        <f>VLOOKUP(T1410,[6]Key!$E$2:$F$9,2,FALSE)</f>
        <v>Others</v>
      </c>
      <c r="V1410" s="30" t="str">
        <f t="shared" ref="V1410:V1473" si="88">P1410&amp;"-"&amp;U1410</f>
        <v>Work-Others</v>
      </c>
      <c r="W1410" s="41">
        <v>180000</v>
      </c>
      <c r="X1410" s="50"/>
      <c r="Y1410" s="50" t="str">
        <f t="shared" si="85"/>
        <v>0-10</v>
      </c>
      <c r="Z1410" s="50">
        <v>6</v>
      </c>
      <c r="AA1410" s="50" t="str">
        <f t="shared" si="86"/>
        <v>Over 3.5</v>
      </c>
      <c r="AB1410" s="23">
        <v>5</v>
      </c>
      <c r="AC1410" s="30" t="str">
        <f>VLOOKUP(AB1410,[6]Key!$C$20:$D$29,2,FALSE)</f>
        <v>Professional</v>
      </c>
      <c r="AD1410" s="23">
        <v>4</v>
      </c>
      <c r="AE1410" s="30" t="str">
        <f>VLOOKUP(AD1410,[6]Key!$E$20:$F$24,2,FALSE)</f>
        <v>750,000-1,000,000</v>
      </c>
      <c r="AF1410" s="23">
        <v>5</v>
      </c>
      <c r="AG1410" s="50">
        <v>1</v>
      </c>
      <c r="AH1410" s="50">
        <v>4</v>
      </c>
      <c r="AI1410" s="50">
        <v>2</v>
      </c>
      <c r="AJ1410" s="50">
        <v>3</v>
      </c>
      <c r="AK1410" s="46" t="s">
        <v>94</v>
      </c>
      <c r="AL1410" s="36">
        <v>10000</v>
      </c>
      <c r="AM1410" t="str">
        <f t="shared" si="87"/>
        <v>Over 10000</v>
      </c>
    </row>
    <row r="1411" spans="1:39" x14ac:dyDescent="0.2">
      <c r="A1411" s="44">
        <v>43761</v>
      </c>
      <c r="B1411" s="48">
        <v>0.68819444444444444</v>
      </c>
      <c r="C1411" s="48"/>
      <c r="D1411" s="48" t="s">
        <v>150</v>
      </c>
      <c r="E1411" s="13">
        <v>2</v>
      </c>
      <c r="F1411" s="38" t="str">
        <f>VLOOKUP(E1411,[6]Key!$A$17:$B$21,2,FALSE)</f>
        <v>Road Vehicle</v>
      </c>
      <c r="G1411" s="49">
        <v>1</v>
      </c>
      <c r="H1411" s="39" t="str">
        <f>VLOOKUP(G1411,[6]Key!$A$2:$B$14,2,FALSE)</f>
        <v>Car</v>
      </c>
      <c r="I1411" s="13" t="s">
        <v>109</v>
      </c>
      <c r="J1411" s="13">
        <v>2</v>
      </c>
      <c r="K1411" s="40" t="str">
        <f>VLOOKUP(J1411,[6]Key!$A$24:$B$29,2,FALSE)</f>
        <v>30-39</v>
      </c>
      <c r="L1411" s="55" t="s">
        <v>856</v>
      </c>
      <c r="M1411" s="23" t="s">
        <v>832</v>
      </c>
      <c r="N1411" s="13" t="s">
        <v>820</v>
      </c>
      <c r="O1411" s="46">
        <v>2</v>
      </c>
      <c r="P1411" s="30" t="str">
        <f>VLOOKUP(O1411,[6]Key!$E$2:$F$9,2,FALSE)</f>
        <v>Work</v>
      </c>
      <c r="Q1411" s="13" t="s">
        <v>819</v>
      </c>
      <c r="R1411" s="23" t="s">
        <v>819</v>
      </c>
      <c r="S1411" s="13"/>
      <c r="T1411" s="23">
        <v>2</v>
      </c>
      <c r="U1411" s="30" t="str">
        <f>VLOOKUP(T1411,[6]Key!$E$2:$F$9,2,FALSE)</f>
        <v>Work</v>
      </c>
      <c r="V1411" s="30" t="str">
        <f t="shared" si="88"/>
        <v>Work-Work</v>
      </c>
      <c r="W1411" s="41">
        <v>20000</v>
      </c>
      <c r="X1411" s="50"/>
      <c r="Y1411" s="50" t="str">
        <f t="shared" ref="Y1411:Y1474" si="89">IF(X1411&lt;10,"0-10",IF(X1411&lt;20,"10-20",IF(X1411&lt;40,"20-40",IF(X1411&lt;70,"40-70",IF(X1411&lt;100,"70-100",IF(X1411&lt;200,"100-200","Over 200"))))))</f>
        <v>0-10</v>
      </c>
      <c r="Z1411" s="50">
        <v>4</v>
      </c>
      <c r="AA1411" s="50" t="str">
        <f t="shared" ref="AA1411:AA1474" si="90">IF(Z1411&lt;0.5,"0-0.5",IF(Z1411&lt;1,"0.5-1.0",IF(Z1411&lt;2,"1.0-2.0",IF(Z1411&lt;3.5,"2.0-3.5","Over 3.5"))))</f>
        <v>Over 3.5</v>
      </c>
      <c r="AB1411" s="23">
        <v>6</v>
      </c>
      <c r="AC1411" s="30" t="str">
        <f>VLOOKUP(AB1411,[6]Key!$C$20:$D$29,2,FALSE)</f>
        <v>Businessman</v>
      </c>
      <c r="AD1411" s="23">
        <v>4</v>
      </c>
      <c r="AE1411" s="30" t="str">
        <f>VLOOKUP(AD1411,[6]Key!$E$20:$F$24,2,FALSE)</f>
        <v>750,000-1,000,000</v>
      </c>
      <c r="AF1411" s="23">
        <v>5</v>
      </c>
      <c r="AG1411" s="50">
        <v>4</v>
      </c>
      <c r="AH1411" s="50">
        <v>2</v>
      </c>
      <c r="AI1411" s="50">
        <v>1</v>
      </c>
      <c r="AJ1411" s="50">
        <v>3</v>
      </c>
      <c r="AK1411" s="46" t="s">
        <v>94</v>
      </c>
      <c r="AL1411" s="36">
        <v>2000</v>
      </c>
      <c r="AM1411" t="str">
        <f t="shared" ref="AM1411:AM1474" si="91">IF(AL1411&lt;1000,"0-1000",IF(AL1411&lt;2000,"1000-2000",IF(AL1411&lt;3000,"2000-3000",IF(AL1411&lt;5000,"3000-5000",IF(AL1411&lt;10000,"5000-10000","Over 10000")))))</f>
        <v>2000-3000</v>
      </c>
    </row>
    <row r="1412" spans="1:39" x14ac:dyDescent="0.2">
      <c r="A1412" s="44">
        <v>43759</v>
      </c>
      <c r="B1412" s="48">
        <v>0.73125000000000007</v>
      </c>
      <c r="C1412" s="48"/>
      <c r="D1412" s="48" t="s">
        <v>97</v>
      </c>
      <c r="E1412" s="13">
        <v>2</v>
      </c>
      <c r="F1412" s="38" t="str">
        <f>VLOOKUP(E1412,[6]Key!$A$17:$B$21,2,FALSE)</f>
        <v>Road Vehicle</v>
      </c>
      <c r="G1412" s="49">
        <v>9</v>
      </c>
      <c r="H1412" s="39" t="str">
        <f>VLOOKUP(G1412,[6]Key!$A$2:$B$14,2,FALSE)</f>
        <v xml:space="preserve">Heavy truck </v>
      </c>
      <c r="I1412" s="13" t="s">
        <v>109</v>
      </c>
      <c r="J1412" s="13">
        <v>2</v>
      </c>
      <c r="K1412" s="40" t="str">
        <f>VLOOKUP(J1412,[6]Key!$A$24:$B$29,2,FALSE)</f>
        <v>30-39</v>
      </c>
      <c r="L1412" s="55" t="s">
        <v>404</v>
      </c>
      <c r="M1412" s="23" t="s">
        <v>404</v>
      </c>
      <c r="N1412" s="13" t="s">
        <v>820</v>
      </c>
      <c r="O1412" s="46">
        <v>4</v>
      </c>
      <c r="P1412" s="30" t="str">
        <f>VLOOKUP(O1412,[6]Key!$E$2:$F$9,2,FALSE)</f>
        <v>Commercial</v>
      </c>
      <c r="Q1412" s="13" t="s">
        <v>283</v>
      </c>
      <c r="R1412" s="23" t="s">
        <v>283</v>
      </c>
      <c r="S1412" s="13" t="s">
        <v>820</v>
      </c>
      <c r="T1412" s="23">
        <v>1</v>
      </c>
      <c r="U1412" s="30" t="str">
        <f>VLOOKUP(T1412,[6]Key!$E$2:$F$9,2,FALSE)</f>
        <v>Home</v>
      </c>
      <c r="V1412" s="30" t="str">
        <f t="shared" si="88"/>
        <v>Commercial-Home</v>
      </c>
      <c r="W1412" s="41">
        <v>400000</v>
      </c>
      <c r="X1412" s="50"/>
      <c r="Y1412" s="50" t="str">
        <f t="shared" si="89"/>
        <v>0-10</v>
      </c>
      <c r="Z1412" s="50">
        <v>12</v>
      </c>
      <c r="AA1412" s="50" t="str">
        <f t="shared" si="90"/>
        <v>Over 3.5</v>
      </c>
      <c r="AB1412" s="23">
        <v>10</v>
      </c>
      <c r="AC1412" s="30" t="str">
        <f>VLOOKUP(AB1412,[6]Key!$C$20:$D$29,2,FALSE)</f>
        <v>Other</v>
      </c>
      <c r="AD1412" s="23">
        <v>3</v>
      </c>
      <c r="AE1412" s="30" t="str">
        <f>VLOOKUP(AD1412,[6]Key!$E$20:$F$24,2,FALSE)</f>
        <v>500,000-750,000</v>
      </c>
      <c r="AF1412" s="23">
        <v>2</v>
      </c>
      <c r="AG1412" s="50">
        <v>1</v>
      </c>
      <c r="AH1412" s="50">
        <v>5</v>
      </c>
      <c r="AI1412" s="50">
        <v>3</v>
      </c>
      <c r="AJ1412" s="50">
        <v>4</v>
      </c>
      <c r="AK1412" s="46" t="s">
        <v>94</v>
      </c>
      <c r="AL1412" s="36">
        <v>10000</v>
      </c>
      <c r="AM1412" t="str">
        <f t="shared" si="91"/>
        <v>Over 10000</v>
      </c>
    </row>
    <row r="1413" spans="1:39" x14ac:dyDescent="0.2">
      <c r="A1413" s="44">
        <v>43760</v>
      </c>
      <c r="B1413" s="48">
        <v>0.59722222222222221</v>
      </c>
      <c r="C1413" s="48"/>
      <c r="D1413" s="48" t="s">
        <v>150</v>
      </c>
      <c r="E1413" s="13">
        <v>2</v>
      </c>
      <c r="F1413" s="38" t="str">
        <f>VLOOKUP(E1413,[6]Key!$A$17:$B$21,2,FALSE)</f>
        <v>Road Vehicle</v>
      </c>
      <c r="G1413" s="49">
        <v>6</v>
      </c>
      <c r="H1413" s="39" t="str">
        <f>VLOOKUP(G1413,[6]Key!$A$2:$B$14,2,FALSE)</f>
        <v>Large Bus</v>
      </c>
      <c r="I1413" s="13" t="s">
        <v>156</v>
      </c>
      <c r="J1413" s="13">
        <v>2</v>
      </c>
      <c r="K1413" s="40" t="str">
        <f>VLOOKUP(J1413,[6]Key!$A$24:$B$29,2,FALSE)</f>
        <v>30-39</v>
      </c>
      <c r="L1413" s="55" t="s">
        <v>819</v>
      </c>
      <c r="M1413" s="23" t="s">
        <v>819</v>
      </c>
      <c r="N1413" s="13" t="s">
        <v>820</v>
      </c>
      <c r="O1413" s="46">
        <v>3</v>
      </c>
      <c r="P1413" s="30" t="str">
        <f>VLOOKUP(O1413,[6]Key!$E$2:$F$9,2,FALSE)</f>
        <v>Study</v>
      </c>
      <c r="Q1413" s="13" t="s">
        <v>283</v>
      </c>
      <c r="R1413" s="23" t="s">
        <v>283</v>
      </c>
      <c r="S1413" s="13" t="s">
        <v>820</v>
      </c>
      <c r="T1413" s="23">
        <v>1</v>
      </c>
      <c r="U1413" s="30" t="str">
        <f>VLOOKUP(T1413,[6]Key!$E$2:$F$9,2,FALSE)</f>
        <v>Home</v>
      </c>
      <c r="V1413" s="30" t="str">
        <f t="shared" si="88"/>
        <v>Study-Home</v>
      </c>
      <c r="W1413" s="41">
        <v>150000</v>
      </c>
      <c r="X1413" s="50">
        <v>120</v>
      </c>
      <c r="Y1413" s="50" t="str">
        <f t="shared" si="89"/>
        <v>100-200</v>
      </c>
      <c r="Z1413" s="50">
        <v>5</v>
      </c>
      <c r="AA1413" s="50" t="str">
        <f t="shared" si="90"/>
        <v>Over 3.5</v>
      </c>
      <c r="AB1413" s="23">
        <v>4</v>
      </c>
      <c r="AC1413" s="30" t="str">
        <f>VLOOKUP(AB1413,[6]Key!$C$20:$D$29,2,FALSE)</f>
        <v>Office Worker</v>
      </c>
      <c r="AD1413" s="23">
        <v>1</v>
      </c>
      <c r="AE1413" s="30" t="str">
        <f>VLOOKUP(AD1413,[6]Key!$E$20:$F$24,2,FALSE)</f>
        <v>&lt;300,000</v>
      </c>
      <c r="AF1413" s="23">
        <v>2</v>
      </c>
      <c r="AG1413" s="50">
        <v>1</v>
      </c>
      <c r="AH1413" s="50">
        <v>5</v>
      </c>
      <c r="AI1413" s="50">
        <v>4</v>
      </c>
      <c r="AJ1413" s="50">
        <v>3</v>
      </c>
      <c r="AK1413" s="46" t="s">
        <v>94</v>
      </c>
      <c r="AL1413" s="36">
        <v>2000</v>
      </c>
      <c r="AM1413" t="str">
        <f t="shared" si="91"/>
        <v>2000-3000</v>
      </c>
    </row>
    <row r="1414" spans="1:39" x14ac:dyDescent="0.2">
      <c r="A1414" s="44">
        <v>43760</v>
      </c>
      <c r="B1414" s="48">
        <v>0.62569444444444444</v>
      </c>
      <c r="C1414" s="48"/>
      <c r="D1414" s="48" t="s">
        <v>150</v>
      </c>
      <c r="E1414" s="13">
        <v>2</v>
      </c>
      <c r="F1414" s="38" t="str">
        <f>VLOOKUP(E1414,[6]Key!$A$17:$B$21,2,FALSE)</f>
        <v>Road Vehicle</v>
      </c>
      <c r="G1414" s="49">
        <v>6</v>
      </c>
      <c r="H1414" s="39" t="str">
        <f>VLOOKUP(G1414,[6]Key!$A$2:$B$14,2,FALSE)</f>
        <v>Large Bus</v>
      </c>
      <c r="I1414" s="13" t="s">
        <v>156</v>
      </c>
      <c r="J1414" s="13">
        <v>2</v>
      </c>
      <c r="K1414" s="40" t="str">
        <f>VLOOKUP(J1414,[6]Key!$A$24:$B$29,2,FALSE)</f>
        <v>30-39</v>
      </c>
      <c r="L1414" s="55" t="s">
        <v>819</v>
      </c>
      <c r="M1414" s="23" t="s">
        <v>819</v>
      </c>
      <c r="N1414" s="13" t="s">
        <v>820</v>
      </c>
      <c r="O1414" s="46">
        <v>4</v>
      </c>
      <c r="P1414" s="30" t="str">
        <f>VLOOKUP(O1414,[6]Key!$E$2:$F$9,2,FALSE)</f>
        <v>Commercial</v>
      </c>
      <c r="Q1414" s="13" t="s">
        <v>404</v>
      </c>
      <c r="R1414" s="23" t="s">
        <v>404</v>
      </c>
      <c r="S1414" s="13" t="s">
        <v>820</v>
      </c>
      <c r="T1414" s="23">
        <v>1</v>
      </c>
      <c r="U1414" s="30" t="str">
        <f>VLOOKUP(T1414,[6]Key!$E$2:$F$9,2,FALSE)</f>
        <v>Home</v>
      </c>
      <c r="V1414" s="30" t="str">
        <f t="shared" si="88"/>
        <v>Commercial-Home</v>
      </c>
      <c r="W1414" s="41">
        <v>30000</v>
      </c>
      <c r="X1414" s="50">
        <v>401</v>
      </c>
      <c r="Y1414" s="50" t="str">
        <f t="shared" si="89"/>
        <v>Over 200</v>
      </c>
      <c r="Z1414" s="50">
        <v>8</v>
      </c>
      <c r="AA1414" s="50" t="str">
        <f t="shared" si="90"/>
        <v>Over 3.5</v>
      </c>
      <c r="AB1414" s="23">
        <v>6</v>
      </c>
      <c r="AC1414" s="30" t="str">
        <f>VLOOKUP(AB1414,[6]Key!$C$20:$D$29,2,FALSE)</f>
        <v>Businessman</v>
      </c>
      <c r="AD1414" s="23">
        <v>3</v>
      </c>
      <c r="AE1414" s="30" t="str">
        <f>VLOOKUP(AD1414,[6]Key!$E$20:$F$24,2,FALSE)</f>
        <v>500,000-750,000</v>
      </c>
      <c r="AF1414" s="23">
        <v>2</v>
      </c>
      <c r="AG1414" s="50">
        <v>1</v>
      </c>
      <c r="AH1414" s="50">
        <v>3</v>
      </c>
      <c r="AI1414" s="50">
        <v>5</v>
      </c>
      <c r="AJ1414" s="50">
        <v>4</v>
      </c>
      <c r="AK1414" s="46" t="s">
        <v>94</v>
      </c>
      <c r="AL1414" s="36">
        <v>1000</v>
      </c>
      <c r="AM1414" t="str">
        <f t="shared" si="91"/>
        <v>1000-2000</v>
      </c>
    </row>
    <row r="1415" spans="1:39" x14ac:dyDescent="0.2">
      <c r="A1415" s="44">
        <v>43759</v>
      </c>
      <c r="B1415" s="48">
        <v>0.72152777777777777</v>
      </c>
      <c r="C1415" s="48"/>
      <c r="D1415" s="48" t="s">
        <v>97</v>
      </c>
      <c r="E1415" s="13">
        <v>2</v>
      </c>
      <c r="F1415" s="38" t="str">
        <f>VLOOKUP(E1415,[6]Key!$A$17:$B$21,2,FALSE)</f>
        <v>Road Vehicle</v>
      </c>
      <c r="G1415" s="49">
        <v>6</v>
      </c>
      <c r="H1415" s="39" t="str">
        <f>VLOOKUP(G1415,[6]Key!$A$2:$B$14,2,FALSE)</f>
        <v>Large Bus</v>
      </c>
      <c r="I1415" s="13" t="s">
        <v>109</v>
      </c>
      <c r="J1415" s="13">
        <v>2</v>
      </c>
      <c r="K1415" s="40" t="str">
        <f>VLOOKUP(J1415,[6]Key!$A$24:$B$29,2,FALSE)</f>
        <v>30-39</v>
      </c>
      <c r="L1415" s="55" t="s">
        <v>819</v>
      </c>
      <c r="M1415" s="23" t="s">
        <v>819</v>
      </c>
      <c r="N1415" s="13" t="s">
        <v>820</v>
      </c>
      <c r="O1415" s="46">
        <v>4</v>
      </c>
      <c r="P1415" s="30" t="str">
        <f>VLOOKUP(O1415,[6]Key!$E$2:$F$9,2,FALSE)</f>
        <v>Commercial</v>
      </c>
      <c r="Q1415" s="13" t="s">
        <v>404</v>
      </c>
      <c r="R1415" s="23" t="s">
        <v>404</v>
      </c>
      <c r="S1415" s="13" t="s">
        <v>820</v>
      </c>
      <c r="T1415" s="23">
        <v>4</v>
      </c>
      <c r="U1415" s="30" t="str">
        <f>VLOOKUP(T1415,[6]Key!$E$2:$F$9,2,FALSE)</f>
        <v>Commercial</v>
      </c>
      <c r="V1415" s="30" t="str">
        <f t="shared" si="88"/>
        <v>Commercial-Commercial</v>
      </c>
      <c r="W1415" s="41">
        <v>1100000</v>
      </c>
      <c r="X1415" s="50"/>
      <c r="Y1415" s="50" t="str">
        <f t="shared" si="89"/>
        <v>0-10</v>
      </c>
      <c r="Z1415" s="50">
        <v>7</v>
      </c>
      <c r="AA1415" s="50" t="str">
        <f t="shared" si="90"/>
        <v>Over 3.5</v>
      </c>
      <c r="AB1415" s="23">
        <v>10</v>
      </c>
      <c r="AC1415" s="30" t="str">
        <f>VLOOKUP(AB1415,[6]Key!$C$20:$D$29,2,FALSE)</f>
        <v>Other</v>
      </c>
      <c r="AD1415" s="23">
        <v>2</v>
      </c>
      <c r="AE1415" s="30" t="str">
        <f>VLOOKUP(AD1415,[6]Key!$E$20:$F$24,2,FALSE)</f>
        <v>300,000-500,000</v>
      </c>
      <c r="AF1415" s="23">
        <v>1</v>
      </c>
      <c r="AG1415" s="50">
        <v>2</v>
      </c>
      <c r="AH1415" s="50">
        <v>4</v>
      </c>
      <c r="AI1415" s="50">
        <v>5</v>
      </c>
      <c r="AJ1415" s="50">
        <v>3</v>
      </c>
      <c r="AK1415" s="46" t="s">
        <v>94</v>
      </c>
      <c r="AL1415" s="36"/>
      <c r="AM1415" t="str">
        <f t="shared" si="91"/>
        <v>0-1000</v>
      </c>
    </row>
    <row r="1416" spans="1:39" x14ac:dyDescent="0.2">
      <c r="A1416" s="44">
        <v>43760</v>
      </c>
      <c r="B1416" s="48">
        <v>0.51180555555555551</v>
      </c>
      <c r="C1416" s="48"/>
      <c r="D1416" s="48" t="s">
        <v>97</v>
      </c>
      <c r="E1416" s="13">
        <v>2</v>
      </c>
      <c r="F1416" s="38" t="str">
        <f>VLOOKUP(E1416,[6]Key!$A$17:$B$21,2,FALSE)</f>
        <v>Road Vehicle</v>
      </c>
      <c r="G1416" s="49">
        <v>6</v>
      </c>
      <c r="H1416" s="39" t="str">
        <f>VLOOKUP(G1416,[6]Key!$A$2:$B$14,2,FALSE)</f>
        <v>Large Bus</v>
      </c>
      <c r="I1416" s="13" t="s">
        <v>109</v>
      </c>
      <c r="J1416" s="13">
        <v>2</v>
      </c>
      <c r="K1416" s="40" t="str">
        <f>VLOOKUP(J1416,[6]Key!$A$24:$B$29,2,FALSE)</f>
        <v>30-39</v>
      </c>
      <c r="L1416" s="55" t="s">
        <v>96</v>
      </c>
      <c r="M1416" s="23" t="s">
        <v>819</v>
      </c>
      <c r="N1416" s="13" t="s">
        <v>820</v>
      </c>
      <c r="O1416" s="46">
        <v>2</v>
      </c>
      <c r="P1416" s="30" t="str">
        <f>VLOOKUP(O1416,[6]Key!$E$2:$F$9,2,FALSE)</f>
        <v>Work</v>
      </c>
      <c r="Q1416" s="13" t="s">
        <v>96</v>
      </c>
      <c r="R1416" s="23" t="s">
        <v>404</v>
      </c>
      <c r="S1416" s="13" t="s">
        <v>820</v>
      </c>
      <c r="T1416" s="23">
        <v>1</v>
      </c>
      <c r="U1416" s="30" t="str">
        <f>VLOOKUP(T1416,[6]Key!$E$2:$F$9,2,FALSE)</f>
        <v>Home</v>
      </c>
      <c r="V1416" s="30" t="str">
        <f t="shared" si="88"/>
        <v>Work-Home</v>
      </c>
      <c r="W1416" s="41">
        <v>650000</v>
      </c>
      <c r="X1416" s="50">
        <v>390</v>
      </c>
      <c r="Y1416" s="50" t="str">
        <f t="shared" si="89"/>
        <v>Over 200</v>
      </c>
      <c r="Z1416" s="50">
        <v>7</v>
      </c>
      <c r="AA1416" s="50" t="str">
        <f t="shared" si="90"/>
        <v>Over 3.5</v>
      </c>
      <c r="AB1416" s="23">
        <v>10</v>
      </c>
      <c r="AC1416" s="30" t="str">
        <f>VLOOKUP(AB1416,[6]Key!$C$20:$D$29,2,FALSE)</f>
        <v>Other</v>
      </c>
      <c r="AD1416" s="23">
        <v>1</v>
      </c>
      <c r="AE1416" s="30" t="str">
        <f>VLOOKUP(AD1416,[6]Key!$E$20:$F$24,2,FALSE)</f>
        <v>&lt;300,000</v>
      </c>
      <c r="AF1416" s="23">
        <v>2</v>
      </c>
      <c r="AG1416" s="50">
        <v>1</v>
      </c>
      <c r="AH1416" s="50">
        <v>3</v>
      </c>
      <c r="AI1416" s="50">
        <v>4</v>
      </c>
      <c r="AJ1416" s="50">
        <v>5</v>
      </c>
      <c r="AK1416" s="46" t="s">
        <v>94</v>
      </c>
      <c r="AL1416" s="36">
        <v>3000</v>
      </c>
      <c r="AM1416" t="str">
        <f t="shared" si="91"/>
        <v>3000-5000</v>
      </c>
    </row>
    <row r="1417" spans="1:39" x14ac:dyDescent="0.2">
      <c r="A1417" s="44">
        <v>43760</v>
      </c>
      <c r="B1417" s="48"/>
      <c r="C1417" s="48"/>
      <c r="D1417" s="48" t="s">
        <v>150</v>
      </c>
      <c r="E1417" s="13">
        <v>2</v>
      </c>
      <c r="F1417" s="38" t="str">
        <f>VLOOKUP(E1417,[6]Key!$A$17:$B$21,2,FALSE)</f>
        <v>Road Vehicle</v>
      </c>
      <c r="G1417" s="49">
        <v>6</v>
      </c>
      <c r="H1417" s="39" t="str">
        <f>VLOOKUP(G1417,[6]Key!$A$2:$B$14,2,FALSE)</f>
        <v>Large Bus</v>
      </c>
      <c r="I1417" s="13" t="s">
        <v>109</v>
      </c>
      <c r="J1417" s="13">
        <v>2</v>
      </c>
      <c r="K1417" s="40" t="str">
        <f>VLOOKUP(J1417,[6]Key!$A$24:$B$29,2,FALSE)</f>
        <v>30-39</v>
      </c>
      <c r="L1417" s="55" t="s">
        <v>819</v>
      </c>
      <c r="M1417" s="23" t="s">
        <v>819</v>
      </c>
      <c r="N1417" s="13" t="s">
        <v>820</v>
      </c>
      <c r="O1417" s="46">
        <v>1</v>
      </c>
      <c r="P1417" s="30" t="str">
        <f>VLOOKUP(O1417,[6]Key!$E$2:$F$9,2,FALSE)</f>
        <v>Home</v>
      </c>
      <c r="Q1417" s="13" t="s">
        <v>23</v>
      </c>
      <c r="R1417" s="23" t="s">
        <v>404</v>
      </c>
      <c r="S1417" s="13" t="s">
        <v>820</v>
      </c>
      <c r="T1417" s="23">
        <v>4</v>
      </c>
      <c r="U1417" s="30" t="str">
        <f>VLOOKUP(T1417,[6]Key!$E$2:$F$9,2,FALSE)</f>
        <v>Commercial</v>
      </c>
      <c r="V1417" s="30" t="str">
        <f t="shared" si="88"/>
        <v>Home-Commercial</v>
      </c>
      <c r="W1417" s="41">
        <v>35000</v>
      </c>
      <c r="X1417" s="50">
        <v>4000</v>
      </c>
      <c r="Y1417" s="50" t="str">
        <f t="shared" si="89"/>
        <v>Over 200</v>
      </c>
      <c r="Z1417" s="50">
        <v>8</v>
      </c>
      <c r="AA1417" s="50" t="str">
        <f t="shared" si="90"/>
        <v>Over 3.5</v>
      </c>
      <c r="AB1417" s="23">
        <v>3</v>
      </c>
      <c r="AC1417" s="30" t="str">
        <f>VLOOKUP(AB1417,[6]Key!$C$20:$D$29,2,FALSE)</f>
        <v>Artisan/Domestic</v>
      </c>
      <c r="AD1417" s="23">
        <v>2</v>
      </c>
      <c r="AE1417" s="30" t="str">
        <f>VLOOKUP(AD1417,[6]Key!$E$20:$F$24,2,FALSE)</f>
        <v>300,000-500,000</v>
      </c>
      <c r="AF1417" s="23">
        <v>1</v>
      </c>
      <c r="AG1417" s="50">
        <v>4</v>
      </c>
      <c r="AH1417" s="50">
        <v>5</v>
      </c>
      <c r="AI1417" s="50">
        <v>2</v>
      </c>
      <c r="AJ1417" s="50">
        <v>3</v>
      </c>
      <c r="AK1417" s="46" t="s">
        <v>94</v>
      </c>
      <c r="AL1417" s="36">
        <v>3000</v>
      </c>
      <c r="AM1417" t="str">
        <f t="shared" si="91"/>
        <v>3000-5000</v>
      </c>
    </row>
    <row r="1418" spans="1:39" x14ac:dyDescent="0.2">
      <c r="A1418" s="44">
        <v>43761</v>
      </c>
      <c r="B1418" s="48">
        <v>0.71736111111111101</v>
      </c>
      <c r="C1418" s="48"/>
      <c r="D1418" s="48" t="s">
        <v>97</v>
      </c>
      <c r="E1418" s="13">
        <v>2</v>
      </c>
      <c r="F1418" s="38" t="str">
        <f>VLOOKUP(E1418,[6]Key!$A$17:$B$21,2,FALSE)</f>
        <v>Road Vehicle</v>
      </c>
      <c r="G1418" s="49">
        <v>6</v>
      </c>
      <c r="H1418" s="39" t="str">
        <f>VLOOKUP(G1418,[6]Key!$A$2:$B$14,2,FALSE)</f>
        <v>Large Bus</v>
      </c>
      <c r="I1418" s="13" t="s">
        <v>109</v>
      </c>
      <c r="J1418" s="13">
        <v>2</v>
      </c>
      <c r="K1418" s="40" t="str">
        <f>VLOOKUP(J1418,[6]Key!$A$24:$B$29,2,FALSE)</f>
        <v>30-39</v>
      </c>
      <c r="L1418" s="55" t="s">
        <v>819</v>
      </c>
      <c r="M1418" s="23" t="s">
        <v>819</v>
      </c>
      <c r="N1418" s="13" t="s">
        <v>820</v>
      </c>
      <c r="O1418" s="46">
        <v>2</v>
      </c>
      <c r="P1418" s="30" t="str">
        <f>VLOOKUP(O1418,[6]Key!$E$2:$F$9,2,FALSE)</f>
        <v>Work</v>
      </c>
      <c r="Q1418" s="13" t="s">
        <v>404</v>
      </c>
      <c r="R1418" s="23" t="s">
        <v>404</v>
      </c>
      <c r="S1418" s="13" t="s">
        <v>820</v>
      </c>
      <c r="T1418" s="23">
        <v>1</v>
      </c>
      <c r="U1418" s="30" t="str">
        <f>VLOOKUP(T1418,[6]Key!$E$2:$F$9,2,FALSE)</f>
        <v>Home</v>
      </c>
      <c r="V1418" s="30" t="str">
        <f t="shared" si="88"/>
        <v>Work-Home</v>
      </c>
      <c r="W1418" s="41">
        <v>650000</v>
      </c>
      <c r="X1418" s="50">
        <v>390</v>
      </c>
      <c r="Y1418" s="50" t="str">
        <f t="shared" si="89"/>
        <v>Over 200</v>
      </c>
      <c r="Z1418" s="50">
        <v>7</v>
      </c>
      <c r="AA1418" s="50" t="str">
        <f t="shared" si="90"/>
        <v>Over 3.5</v>
      </c>
      <c r="AB1418" s="23">
        <v>10</v>
      </c>
      <c r="AC1418" s="30" t="str">
        <f>VLOOKUP(AB1418,[6]Key!$C$20:$D$29,2,FALSE)</f>
        <v>Other</v>
      </c>
      <c r="AD1418" s="23">
        <v>3</v>
      </c>
      <c r="AE1418" s="30" t="str">
        <f>VLOOKUP(AD1418,[6]Key!$E$20:$F$24,2,FALSE)</f>
        <v>500,000-750,000</v>
      </c>
      <c r="AF1418" s="23">
        <v>2</v>
      </c>
      <c r="AG1418" s="50">
        <v>3</v>
      </c>
      <c r="AH1418" s="50">
        <v>5</v>
      </c>
      <c r="AI1418" s="50">
        <v>4</v>
      </c>
      <c r="AJ1418" s="50">
        <v>1</v>
      </c>
      <c r="AK1418" s="46" t="s">
        <v>94</v>
      </c>
      <c r="AL1418" s="36">
        <v>2000</v>
      </c>
      <c r="AM1418" t="str">
        <f t="shared" si="91"/>
        <v>2000-3000</v>
      </c>
    </row>
    <row r="1419" spans="1:39" x14ac:dyDescent="0.2">
      <c r="A1419" s="44">
        <v>43761</v>
      </c>
      <c r="B1419" s="48">
        <v>0.70208333333333339</v>
      </c>
      <c r="C1419" s="48"/>
      <c r="D1419" s="48" t="s">
        <v>97</v>
      </c>
      <c r="E1419" s="13">
        <v>2</v>
      </c>
      <c r="F1419" s="38" t="str">
        <f>VLOOKUP(E1419,[6]Key!$A$17:$B$21,2,FALSE)</f>
        <v>Road Vehicle</v>
      </c>
      <c r="G1419" s="49">
        <v>6</v>
      </c>
      <c r="H1419" s="39" t="str">
        <f>VLOOKUP(G1419,[6]Key!$A$2:$B$14,2,FALSE)</f>
        <v>Large Bus</v>
      </c>
      <c r="I1419" s="13" t="s">
        <v>109</v>
      </c>
      <c r="J1419" s="13">
        <v>2</v>
      </c>
      <c r="K1419" s="40" t="str">
        <f>VLOOKUP(J1419,[6]Key!$A$24:$B$29,2,FALSE)</f>
        <v>30-39</v>
      </c>
      <c r="L1419" s="55" t="s">
        <v>860</v>
      </c>
      <c r="M1419" s="23" t="s">
        <v>819</v>
      </c>
      <c r="N1419" s="13" t="s">
        <v>820</v>
      </c>
      <c r="O1419" s="46">
        <v>2</v>
      </c>
      <c r="P1419" s="30" t="str">
        <f>VLOOKUP(O1419,[6]Key!$E$2:$F$9,2,FALSE)</f>
        <v>Work</v>
      </c>
      <c r="Q1419" s="13" t="s">
        <v>404</v>
      </c>
      <c r="R1419" s="23" t="s">
        <v>404</v>
      </c>
      <c r="S1419" s="13" t="s">
        <v>820</v>
      </c>
      <c r="T1419" s="23">
        <v>1</v>
      </c>
      <c r="U1419" s="30" t="str">
        <f>VLOOKUP(T1419,[6]Key!$E$2:$F$9,2,FALSE)</f>
        <v>Home</v>
      </c>
      <c r="V1419" s="30" t="str">
        <f t="shared" si="88"/>
        <v>Work-Home</v>
      </c>
      <c r="W1419" s="41">
        <v>500000</v>
      </c>
      <c r="X1419" s="50">
        <v>382</v>
      </c>
      <c r="Y1419" s="50" t="str">
        <f t="shared" si="89"/>
        <v>Over 200</v>
      </c>
      <c r="Z1419" s="50">
        <v>7</v>
      </c>
      <c r="AA1419" s="50" t="str">
        <f t="shared" si="90"/>
        <v>Over 3.5</v>
      </c>
      <c r="AB1419" s="23">
        <v>10</v>
      </c>
      <c r="AC1419" s="30" t="str">
        <f>VLOOKUP(AB1419,[6]Key!$C$20:$D$29,2,FALSE)</f>
        <v>Other</v>
      </c>
      <c r="AD1419" s="23">
        <v>3</v>
      </c>
      <c r="AE1419" s="30" t="str">
        <f>VLOOKUP(AD1419,[6]Key!$E$20:$F$24,2,FALSE)</f>
        <v>500,000-750,000</v>
      </c>
      <c r="AF1419" s="23">
        <v>2</v>
      </c>
      <c r="AG1419" s="50">
        <v>1</v>
      </c>
      <c r="AH1419" s="50">
        <v>5</v>
      </c>
      <c r="AI1419" s="50">
        <v>3</v>
      </c>
      <c r="AJ1419" s="50">
        <v>4</v>
      </c>
      <c r="AK1419" s="46" t="s">
        <v>94</v>
      </c>
      <c r="AL1419" s="36">
        <v>1500</v>
      </c>
      <c r="AM1419" t="str">
        <f t="shared" si="91"/>
        <v>1000-2000</v>
      </c>
    </row>
    <row r="1420" spans="1:39" x14ac:dyDescent="0.2">
      <c r="A1420" s="44">
        <v>43761</v>
      </c>
      <c r="B1420" s="48">
        <v>0.65763888888888888</v>
      </c>
      <c r="C1420" s="48"/>
      <c r="D1420" s="48" t="s">
        <v>97</v>
      </c>
      <c r="E1420" s="13">
        <v>2</v>
      </c>
      <c r="F1420" s="38" t="str">
        <f>VLOOKUP(E1420,[6]Key!$A$17:$B$21,2,FALSE)</f>
        <v>Road Vehicle</v>
      </c>
      <c r="G1420" s="49">
        <v>6</v>
      </c>
      <c r="H1420" s="39" t="str">
        <f>VLOOKUP(G1420,[6]Key!$A$2:$B$14,2,FALSE)</f>
        <v>Large Bus</v>
      </c>
      <c r="I1420" s="13" t="s">
        <v>109</v>
      </c>
      <c r="J1420" s="13">
        <v>2</v>
      </c>
      <c r="K1420" s="40" t="str">
        <f>VLOOKUP(J1420,[6]Key!$A$24:$B$29,2,FALSE)</f>
        <v>30-39</v>
      </c>
      <c r="L1420" s="55" t="s">
        <v>819</v>
      </c>
      <c r="M1420" s="23" t="s">
        <v>819</v>
      </c>
      <c r="N1420" s="13" t="s">
        <v>820</v>
      </c>
      <c r="O1420" s="46">
        <v>2</v>
      </c>
      <c r="P1420" s="30" t="str">
        <f>VLOOKUP(O1420,[6]Key!$E$2:$F$9,2,FALSE)</f>
        <v>Work</v>
      </c>
      <c r="Q1420" s="13" t="s">
        <v>404</v>
      </c>
      <c r="R1420" s="23" t="s">
        <v>404</v>
      </c>
      <c r="S1420" s="13" t="s">
        <v>820</v>
      </c>
      <c r="T1420" s="23">
        <v>1</v>
      </c>
      <c r="U1420" s="30" t="str">
        <f>VLOOKUP(T1420,[6]Key!$E$2:$F$9,2,FALSE)</f>
        <v>Home</v>
      </c>
      <c r="V1420" s="30" t="str">
        <f t="shared" si="88"/>
        <v>Work-Home</v>
      </c>
      <c r="W1420" s="41">
        <v>600000</v>
      </c>
      <c r="X1420" s="50">
        <v>385</v>
      </c>
      <c r="Y1420" s="50" t="str">
        <f t="shared" si="89"/>
        <v>Over 200</v>
      </c>
      <c r="Z1420" s="50">
        <v>7.5</v>
      </c>
      <c r="AA1420" s="50" t="str">
        <f t="shared" si="90"/>
        <v>Over 3.5</v>
      </c>
      <c r="AB1420" s="23">
        <v>10</v>
      </c>
      <c r="AC1420" s="30" t="str">
        <f>VLOOKUP(AB1420,[6]Key!$C$20:$D$29,2,FALSE)</f>
        <v>Other</v>
      </c>
      <c r="AD1420" s="23">
        <v>3</v>
      </c>
      <c r="AE1420" s="30" t="str">
        <f>VLOOKUP(AD1420,[6]Key!$E$20:$F$24,2,FALSE)</f>
        <v>500,000-750,000</v>
      </c>
      <c r="AF1420" s="23">
        <v>2</v>
      </c>
      <c r="AG1420" s="50">
        <v>1</v>
      </c>
      <c r="AH1420" s="50">
        <v>3</v>
      </c>
      <c r="AI1420" s="50">
        <v>5</v>
      </c>
      <c r="AJ1420" s="50">
        <v>4</v>
      </c>
      <c r="AK1420" s="46" t="s">
        <v>94</v>
      </c>
      <c r="AL1420" s="36">
        <v>2000</v>
      </c>
      <c r="AM1420" t="str">
        <f t="shared" si="91"/>
        <v>2000-3000</v>
      </c>
    </row>
    <row r="1421" spans="1:39" x14ac:dyDescent="0.2">
      <c r="A1421" s="44">
        <v>43761</v>
      </c>
      <c r="B1421" s="48">
        <v>0.61388888888888882</v>
      </c>
      <c r="C1421" s="48"/>
      <c r="D1421" s="48" t="s">
        <v>97</v>
      </c>
      <c r="E1421" s="13">
        <v>2</v>
      </c>
      <c r="F1421" s="38" t="str">
        <f>VLOOKUP(E1421,[6]Key!$A$17:$B$21,2,FALSE)</f>
        <v>Road Vehicle</v>
      </c>
      <c r="G1421" s="49">
        <v>6</v>
      </c>
      <c r="H1421" s="39" t="str">
        <f>VLOOKUP(G1421,[6]Key!$A$2:$B$14,2,FALSE)</f>
        <v>Large Bus</v>
      </c>
      <c r="I1421" s="13" t="s">
        <v>109</v>
      </c>
      <c r="J1421" s="13">
        <v>2</v>
      </c>
      <c r="K1421" s="40" t="str">
        <f>VLOOKUP(J1421,[6]Key!$A$24:$B$29,2,FALSE)</f>
        <v>30-39</v>
      </c>
      <c r="L1421" s="55" t="s">
        <v>819</v>
      </c>
      <c r="M1421" s="23" t="s">
        <v>819</v>
      </c>
      <c r="N1421" s="13" t="s">
        <v>820</v>
      </c>
      <c r="O1421" s="46">
        <v>2</v>
      </c>
      <c r="P1421" s="30" t="str">
        <f>VLOOKUP(O1421,[6]Key!$E$2:$F$9,2,FALSE)</f>
        <v>Work</v>
      </c>
      <c r="Q1421" s="13" t="s">
        <v>404</v>
      </c>
      <c r="R1421" s="23" t="s">
        <v>404</v>
      </c>
      <c r="S1421" s="13" t="s">
        <v>820</v>
      </c>
      <c r="T1421" s="23">
        <v>1</v>
      </c>
      <c r="U1421" s="30" t="str">
        <f>VLOOKUP(T1421,[6]Key!$E$2:$F$9,2,FALSE)</f>
        <v>Home</v>
      </c>
      <c r="V1421" s="30" t="str">
        <f t="shared" si="88"/>
        <v>Work-Home</v>
      </c>
      <c r="W1421" s="41">
        <v>650000</v>
      </c>
      <c r="X1421" s="50">
        <v>400</v>
      </c>
      <c r="Y1421" s="50" t="str">
        <f t="shared" si="89"/>
        <v>Over 200</v>
      </c>
      <c r="Z1421" s="50">
        <v>7.5</v>
      </c>
      <c r="AA1421" s="50" t="str">
        <f t="shared" si="90"/>
        <v>Over 3.5</v>
      </c>
      <c r="AB1421" s="23">
        <v>10</v>
      </c>
      <c r="AC1421" s="30" t="str">
        <f>VLOOKUP(AB1421,[6]Key!$C$20:$D$29,2,FALSE)</f>
        <v>Other</v>
      </c>
      <c r="AD1421" s="23">
        <v>4</v>
      </c>
      <c r="AE1421" s="30" t="str">
        <f>VLOOKUP(AD1421,[6]Key!$E$20:$F$24,2,FALSE)</f>
        <v>750,000-1,000,000</v>
      </c>
      <c r="AF1421" s="23">
        <v>1</v>
      </c>
      <c r="AG1421" s="50">
        <v>3</v>
      </c>
      <c r="AH1421" s="50">
        <v>2</v>
      </c>
      <c r="AI1421" s="50">
        <v>5</v>
      </c>
      <c r="AJ1421" s="50">
        <v>4</v>
      </c>
      <c r="AK1421" s="46" t="s">
        <v>94</v>
      </c>
      <c r="AL1421" s="36">
        <v>1000</v>
      </c>
      <c r="AM1421" t="str">
        <f t="shared" si="91"/>
        <v>1000-2000</v>
      </c>
    </row>
    <row r="1422" spans="1:39" x14ac:dyDescent="0.2">
      <c r="A1422" s="44">
        <v>43761</v>
      </c>
      <c r="B1422" s="48">
        <v>0.55277777777777781</v>
      </c>
      <c r="C1422" s="48"/>
      <c r="D1422" s="48" t="s">
        <v>97</v>
      </c>
      <c r="E1422" s="13">
        <v>2</v>
      </c>
      <c r="F1422" s="38" t="str">
        <f>VLOOKUP(E1422,[6]Key!$A$17:$B$21,2,FALSE)</f>
        <v>Road Vehicle</v>
      </c>
      <c r="G1422" s="49">
        <v>6</v>
      </c>
      <c r="H1422" s="39" t="str">
        <f>VLOOKUP(G1422,[6]Key!$A$2:$B$14,2,FALSE)</f>
        <v>Large Bus</v>
      </c>
      <c r="I1422" s="13" t="s">
        <v>109</v>
      </c>
      <c r="J1422" s="13">
        <v>2</v>
      </c>
      <c r="K1422" s="40" t="str">
        <f>VLOOKUP(J1422,[6]Key!$A$24:$B$29,2,FALSE)</f>
        <v>30-39</v>
      </c>
      <c r="L1422" s="55" t="s">
        <v>842</v>
      </c>
      <c r="M1422" s="23" t="s">
        <v>819</v>
      </c>
      <c r="N1422" s="13" t="s">
        <v>820</v>
      </c>
      <c r="O1422" s="46">
        <v>2</v>
      </c>
      <c r="P1422" s="30" t="str">
        <f>VLOOKUP(O1422,[6]Key!$E$2:$F$9,2,FALSE)</f>
        <v>Work</v>
      </c>
      <c r="Q1422" s="13" t="s">
        <v>404</v>
      </c>
      <c r="R1422" s="23" t="s">
        <v>404</v>
      </c>
      <c r="S1422" s="13" t="s">
        <v>820</v>
      </c>
      <c r="T1422" s="23">
        <v>2</v>
      </c>
      <c r="U1422" s="30" t="str">
        <f>VLOOKUP(T1422,[6]Key!$E$2:$F$9,2,FALSE)</f>
        <v>Work</v>
      </c>
      <c r="V1422" s="30" t="str">
        <f t="shared" si="88"/>
        <v>Work-Work</v>
      </c>
      <c r="W1422" s="41">
        <v>650000</v>
      </c>
      <c r="X1422" s="50">
        <v>390</v>
      </c>
      <c r="Y1422" s="50" t="str">
        <f t="shared" si="89"/>
        <v>Over 200</v>
      </c>
      <c r="Z1422" s="50">
        <v>7.5</v>
      </c>
      <c r="AA1422" s="50" t="str">
        <f t="shared" si="90"/>
        <v>Over 3.5</v>
      </c>
      <c r="AB1422" s="23">
        <v>10</v>
      </c>
      <c r="AC1422" s="30" t="str">
        <f>VLOOKUP(AB1422,[6]Key!$C$20:$D$29,2,FALSE)</f>
        <v>Other</v>
      </c>
      <c r="AD1422" s="23">
        <v>3</v>
      </c>
      <c r="AE1422" s="30" t="str">
        <f>VLOOKUP(AD1422,[6]Key!$E$20:$F$24,2,FALSE)</f>
        <v>500,000-750,000</v>
      </c>
      <c r="AF1422" s="23">
        <v>2</v>
      </c>
      <c r="AG1422" s="50">
        <v>3</v>
      </c>
      <c r="AH1422" s="50">
        <v>4</v>
      </c>
      <c r="AI1422" s="50">
        <v>5</v>
      </c>
      <c r="AJ1422" s="50">
        <v>1</v>
      </c>
      <c r="AK1422" s="46" t="s">
        <v>94</v>
      </c>
      <c r="AL1422" s="36">
        <v>3000</v>
      </c>
      <c r="AM1422" t="str">
        <f t="shared" si="91"/>
        <v>3000-5000</v>
      </c>
    </row>
    <row r="1423" spans="1:39" x14ac:dyDescent="0.2">
      <c r="A1423" s="44">
        <v>43761</v>
      </c>
      <c r="B1423" s="48">
        <v>0.6333333333333333</v>
      </c>
      <c r="C1423" s="48"/>
      <c r="D1423" s="48" t="s">
        <v>97</v>
      </c>
      <c r="E1423" s="13">
        <v>2</v>
      </c>
      <c r="F1423" s="38" t="str">
        <f>VLOOKUP(E1423,[6]Key!$A$17:$B$21,2,FALSE)</f>
        <v>Road Vehicle</v>
      </c>
      <c r="G1423" s="49">
        <v>6</v>
      </c>
      <c r="H1423" s="39" t="str">
        <f>VLOOKUP(G1423,[6]Key!$A$2:$B$14,2,FALSE)</f>
        <v>Large Bus</v>
      </c>
      <c r="I1423" s="13" t="s">
        <v>109</v>
      </c>
      <c r="J1423" s="13">
        <v>2</v>
      </c>
      <c r="K1423" s="40" t="str">
        <f>VLOOKUP(J1423,[6]Key!$A$24:$B$29,2,FALSE)</f>
        <v>30-39</v>
      </c>
      <c r="L1423" s="55" t="s">
        <v>861</v>
      </c>
      <c r="M1423" s="23" t="s">
        <v>819</v>
      </c>
      <c r="N1423" s="13" t="s">
        <v>820</v>
      </c>
      <c r="O1423" s="46">
        <v>1</v>
      </c>
      <c r="P1423" s="30" t="str">
        <f>VLOOKUP(O1423,[6]Key!$E$2:$F$9,2,FALSE)</f>
        <v>Home</v>
      </c>
      <c r="Q1423" s="13" t="s">
        <v>404</v>
      </c>
      <c r="R1423" s="23" t="s">
        <v>404</v>
      </c>
      <c r="S1423" s="13" t="s">
        <v>820</v>
      </c>
      <c r="T1423" s="23">
        <v>2</v>
      </c>
      <c r="U1423" s="30" t="str">
        <f>VLOOKUP(T1423,[6]Key!$E$2:$F$9,2,FALSE)</f>
        <v>Work</v>
      </c>
      <c r="V1423" s="30" t="str">
        <f t="shared" si="88"/>
        <v>Home-Work</v>
      </c>
      <c r="W1423" s="41">
        <v>600000</v>
      </c>
      <c r="X1423" s="50">
        <v>400</v>
      </c>
      <c r="Y1423" s="50" t="str">
        <f t="shared" si="89"/>
        <v>Over 200</v>
      </c>
      <c r="Z1423" s="50">
        <v>8</v>
      </c>
      <c r="AA1423" s="50" t="str">
        <f t="shared" si="90"/>
        <v>Over 3.5</v>
      </c>
      <c r="AB1423" s="23">
        <v>5</v>
      </c>
      <c r="AC1423" s="30" t="str">
        <f>VLOOKUP(AB1423,[6]Key!$C$20:$D$29,2,FALSE)</f>
        <v>Professional</v>
      </c>
      <c r="AD1423" s="23">
        <v>4</v>
      </c>
      <c r="AE1423" s="30" t="str">
        <f>VLOOKUP(AD1423,[6]Key!$E$20:$F$24,2,FALSE)</f>
        <v>750,000-1,000,000</v>
      </c>
      <c r="AF1423" s="23">
        <v>2</v>
      </c>
      <c r="AG1423" s="50">
        <v>4</v>
      </c>
      <c r="AH1423" s="50">
        <v>5</v>
      </c>
      <c r="AI1423" s="50">
        <v>3</v>
      </c>
      <c r="AJ1423" s="50">
        <v>1</v>
      </c>
      <c r="AK1423" s="46" t="s">
        <v>94</v>
      </c>
      <c r="AL1423" s="36">
        <v>5000</v>
      </c>
      <c r="AM1423" t="str">
        <f t="shared" si="91"/>
        <v>5000-10000</v>
      </c>
    </row>
    <row r="1424" spans="1:39" x14ac:dyDescent="0.2">
      <c r="A1424" s="44">
        <v>43761</v>
      </c>
      <c r="B1424" s="48">
        <v>0.6694444444444444</v>
      </c>
      <c r="C1424" s="48"/>
      <c r="D1424" s="48" t="s">
        <v>150</v>
      </c>
      <c r="E1424" s="13">
        <v>2</v>
      </c>
      <c r="F1424" s="38" t="str">
        <f>VLOOKUP(E1424,[6]Key!$A$17:$B$21,2,FALSE)</f>
        <v>Road Vehicle</v>
      </c>
      <c r="G1424" s="49">
        <v>6</v>
      </c>
      <c r="H1424" s="39" t="str">
        <f>VLOOKUP(G1424,[6]Key!$A$2:$B$14,2,FALSE)</f>
        <v>Large Bus</v>
      </c>
      <c r="I1424" s="13" t="s">
        <v>109</v>
      </c>
      <c r="J1424" s="13">
        <v>2</v>
      </c>
      <c r="K1424" s="40" t="str">
        <f>VLOOKUP(J1424,[6]Key!$A$24:$B$29,2,FALSE)</f>
        <v>30-39</v>
      </c>
      <c r="L1424" s="55" t="s">
        <v>404</v>
      </c>
      <c r="M1424" s="23" t="s">
        <v>404</v>
      </c>
      <c r="N1424" s="13" t="s">
        <v>820</v>
      </c>
      <c r="O1424" s="46">
        <v>8</v>
      </c>
      <c r="P1424" s="30" t="str">
        <f>VLOOKUP(O1424,[6]Key!$E$2:$F$9,2,FALSE)</f>
        <v>Others</v>
      </c>
      <c r="Q1424" s="13" t="s">
        <v>819</v>
      </c>
      <c r="R1424" s="23" t="s">
        <v>819</v>
      </c>
      <c r="S1424" s="13"/>
      <c r="T1424" s="23">
        <v>2</v>
      </c>
      <c r="U1424" s="30" t="str">
        <f>VLOOKUP(T1424,[6]Key!$E$2:$F$9,2,FALSE)</f>
        <v>Work</v>
      </c>
      <c r="V1424" s="30" t="str">
        <f t="shared" si="88"/>
        <v>Others-Work</v>
      </c>
      <c r="W1424" s="41">
        <v>30000</v>
      </c>
      <c r="X1424" s="50"/>
      <c r="Y1424" s="50" t="str">
        <f t="shared" si="89"/>
        <v>0-10</v>
      </c>
      <c r="Z1424" s="50">
        <v>9</v>
      </c>
      <c r="AA1424" s="50" t="str">
        <f t="shared" si="90"/>
        <v>Over 3.5</v>
      </c>
      <c r="AB1424" s="23">
        <v>4</v>
      </c>
      <c r="AC1424" s="30" t="str">
        <f>VLOOKUP(AB1424,[6]Key!$C$20:$D$29,2,FALSE)</f>
        <v>Office Worker</v>
      </c>
      <c r="AD1424" s="23">
        <v>2</v>
      </c>
      <c r="AE1424" s="30" t="str">
        <f>VLOOKUP(AD1424,[6]Key!$E$20:$F$24,2,FALSE)</f>
        <v>300,000-500,000</v>
      </c>
      <c r="AF1424" s="23">
        <v>4</v>
      </c>
      <c r="AG1424" s="50">
        <v>5</v>
      </c>
      <c r="AH1424" s="50">
        <v>2</v>
      </c>
      <c r="AI1424" s="50">
        <v>1</v>
      </c>
      <c r="AJ1424" s="50">
        <v>3</v>
      </c>
      <c r="AK1424" s="46" t="s">
        <v>94</v>
      </c>
      <c r="AL1424" s="36">
        <v>2000</v>
      </c>
      <c r="AM1424" t="str">
        <f t="shared" si="91"/>
        <v>2000-3000</v>
      </c>
    </row>
    <row r="1425" spans="1:39" x14ac:dyDescent="0.2">
      <c r="A1425" s="44">
        <v>43761</v>
      </c>
      <c r="B1425" s="48">
        <v>0.67569444444444438</v>
      </c>
      <c r="C1425" s="48"/>
      <c r="D1425" s="48" t="s">
        <v>150</v>
      </c>
      <c r="E1425" s="13">
        <v>2</v>
      </c>
      <c r="F1425" s="38" t="str">
        <f>VLOOKUP(E1425,[6]Key!$A$17:$B$21,2,FALSE)</f>
        <v>Road Vehicle</v>
      </c>
      <c r="G1425" s="49">
        <v>6</v>
      </c>
      <c r="H1425" s="39" t="str">
        <f>VLOOKUP(G1425,[6]Key!$A$2:$B$14,2,FALSE)</f>
        <v>Large Bus</v>
      </c>
      <c r="I1425" s="13" t="s">
        <v>109</v>
      </c>
      <c r="J1425" s="13">
        <v>2</v>
      </c>
      <c r="K1425" s="40" t="str">
        <f>VLOOKUP(J1425,[6]Key!$A$24:$B$29,2,FALSE)</f>
        <v>30-39</v>
      </c>
      <c r="L1425" s="55" t="s">
        <v>819</v>
      </c>
      <c r="M1425" s="23" t="s">
        <v>819</v>
      </c>
      <c r="N1425" s="13" t="s">
        <v>820</v>
      </c>
      <c r="O1425" s="46">
        <v>4</v>
      </c>
      <c r="P1425" s="30" t="str">
        <f>VLOOKUP(O1425,[6]Key!$E$2:$F$9,2,FALSE)</f>
        <v>Commercial</v>
      </c>
      <c r="Q1425" s="13" t="s">
        <v>845</v>
      </c>
      <c r="R1425" s="23" t="s">
        <v>366</v>
      </c>
      <c r="S1425" s="13"/>
      <c r="T1425" s="23">
        <v>4</v>
      </c>
      <c r="U1425" s="30" t="str">
        <f>VLOOKUP(T1425,[6]Key!$E$2:$F$9,2,FALSE)</f>
        <v>Commercial</v>
      </c>
      <c r="V1425" s="30" t="str">
        <f t="shared" si="88"/>
        <v>Commercial-Commercial</v>
      </c>
      <c r="W1425" s="41">
        <v>10000</v>
      </c>
      <c r="X1425" s="50"/>
      <c r="Y1425" s="50" t="str">
        <f t="shared" si="89"/>
        <v>0-10</v>
      </c>
      <c r="Z1425" s="50">
        <v>2</v>
      </c>
      <c r="AA1425" s="50" t="str">
        <f t="shared" si="90"/>
        <v>2.0-3.5</v>
      </c>
      <c r="AB1425" s="23">
        <v>6</v>
      </c>
      <c r="AC1425" s="30" t="str">
        <f>VLOOKUP(AB1425,[6]Key!$C$20:$D$29,2,FALSE)</f>
        <v>Businessman</v>
      </c>
      <c r="AD1425" s="23">
        <v>5</v>
      </c>
      <c r="AE1425" s="30" t="str">
        <f>VLOOKUP(AD1425,[6]Key!$E$20:$F$24,2,FALSE)</f>
        <v>&gt;1,000,000</v>
      </c>
      <c r="AF1425" s="23">
        <v>5</v>
      </c>
      <c r="AG1425" s="50">
        <v>4</v>
      </c>
      <c r="AH1425" s="50">
        <v>1</v>
      </c>
      <c r="AI1425" s="50">
        <v>2</v>
      </c>
      <c r="AJ1425" s="50">
        <v>5</v>
      </c>
      <c r="AK1425" s="46" t="s">
        <v>94</v>
      </c>
      <c r="AL1425" s="36">
        <v>1000</v>
      </c>
      <c r="AM1425" t="str">
        <f t="shared" si="91"/>
        <v>1000-2000</v>
      </c>
    </row>
    <row r="1426" spans="1:39" x14ac:dyDescent="0.2">
      <c r="A1426" s="44">
        <v>43761</v>
      </c>
      <c r="B1426" s="48">
        <v>0.63958333333333328</v>
      </c>
      <c r="C1426" s="48"/>
      <c r="D1426" s="48" t="s">
        <v>150</v>
      </c>
      <c r="E1426" s="13">
        <v>2</v>
      </c>
      <c r="F1426" s="38" t="str">
        <f>VLOOKUP(E1426,[6]Key!$A$17:$B$21,2,FALSE)</f>
        <v>Road Vehicle</v>
      </c>
      <c r="G1426" s="49">
        <v>5</v>
      </c>
      <c r="H1426" s="39" t="str">
        <f>VLOOKUP(G1426,[6]Key!$A$2:$B$14,2,FALSE)</f>
        <v xml:space="preserve">Medium bus </v>
      </c>
      <c r="I1426" s="13" t="s">
        <v>156</v>
      </c>
      <c r="J1426" s="13">
        <v>2</v>
      </c>
      <c r="K1426" s="40" t="str">
        <f>VLOOKUP(J1426,[6]Key!$A$24:$B$29,2,FALSE)</f>
        <v>30-39</v>
      </c>
      <c r="L1426" s="55" t="s">
        <v>854</v>
      </c>
      <c r="M1426" s="23" t="s">
        <v>819</v>
      </c>
      <c r="N1426" s="13" t="s">
        <v>820</v>
      </c>
      <c r="O1426" s="46">
        <v>2</v>
      </c>
      <c r="P1426" s="30" t="str">
        <f>VLOOKUP(O1426,[6]Key!$E$2:$F$9,2,FALSE)</f>
        <v>Work</v>
      </c>
      <c r="Q1426" s="13" t="s">
        <v>855</v>
      </c>
      <c r="R1426" s="23" t="s">
        <v>283</v>
      </c>
      <c r="S1426" s="13" t="s">
        <v>820</v>
      </c>
      <c r="T1426" s="23">
        <v>1</v>
      </c>
      <c r="U1426" s="30" t="str">
        <f>VLOOKUP(T1426,[6]Key!$E$2:$F$9,2,FALSE)</f>
        <v>Home</v>
      </c>
      <c r="V1426" s="30" t="str">
        <f t="shared" si="88"/>
        <v>Work-Home</v>
      </c>
      <c r="W1426" s="41">
        <v>15000</v>
      </c>
      <c r="X1426" s="50">
        <v>150</v>
      </c>
      <c r="Y1426" s="50" t="str">
        <f t="shared" si="89"/>
        <v>100-200</v>
      </c>
      <c r="Z1426" s="50">
        <v>4</v>
      </c>
      <c r="AA1426" s="50" t="str">
        <f t="shared" si="90"/>
        <v>Over 3.5</v>
      </c>
      <c r="AB1426" s="23">
        <v>5</v>
      </c>
      <c r="AC1426" s="30" t="str">
        <f>VLOOKUP(AB1426,[6]Key!$C$20:$D$29,2,FALSE)</f>
        <v>Professional</v>
      </c>
      <c r="AD1426" s="23">
        <v>2</v>
      </c>
      <c r="AE1426" s="30" t="str">
        <f>VLOOKUP(AD1426,[6]Key!$E$20:$F$24,2,FALSE)</f>
        <v>300,000-500,000</v>
      </c>
      <c r="AF1426" s="23">
        <v>1</v>
      </c>
      <c r="AG1426" s="50">
        <v>4</v>
      </c>
      <c r="AH1426" s="50">
        <v>5</v>
      </c>
      <c r="AI1426" s="50">
        <v>3</v>
      </c>
      <c r="AJ1426" s="50">
        <v>2</v>
      </c>
      <c r="AK1426" s="46" t="s">
        <v>94</v>
      </c>
      <c r="AL1426" s="36"/>
      <c r="AM1426" t="str">
        <f t="shared" si="91"/>
        <v>0-1000</v>
      </c>
    </row>
    <row r="1427" spans="1:39" x14ac:dyDescent="0.2">
      <c r="A1427" s="44">
        <v>43759</v>
      </c>
      <c r="B1427" s="48">
        <v>0.61319444444444449</v>
      </c>
      <c r="C1427" s="48"/>
      <c r="D1427" s="48" t="s">
        <v>150</v>
      </c>
      <c r="E1427" s="13">
        <v>2</v>
      </c>
      <c r="F1427" s="38" t="str">
        <f>VLOOKUP(E1427,[6]Key!$A$17:$B$21,2,FALSE)</f>
        <v>Road Vehicle</v>
      </c>
      <c r="G1427" s="49">
        <v>5</v>
      </c>
      <c r="H1427" s="39" t="str">
        <f>VLOOKUP(G1427,[6]Key!$A$2:$B$14,2,FALSE)</f>
        <v xml:space="preserve">Medium bus </v>
      </c>
      <c r="I1427" s="13" t="s">
        <v>109</v>
      </c>
      <c r="J1427" s="13">
        <v>2</v>
      </c>
      <c r="K1427" s="40" t="str">
        <f>VLOOKUP(J1427,[6]Key!$A$24:$B$29,2,FALSE)</f>
        <v>30-39</v>
      </c>
      <c r="L1427" s="55" t="s">
        <v>862</v>
      </c>
      <c r="M1427" s="23" t="s">
        <v>819</v>
      </c>
      <c r="N1427" s="13" t="s">
        <v>820</v>
      </c>
      <c r="O1427" s="46">
        <v>1</v>
      </c>
      <c r="P1427" s="30" t="str">
        <f>VLOOKUP(O1427,[6]Key!$E$2:$F$9,2,FALSE)</f>
        <v>Home</v>
      </c>
      <c r="Q1427" s="13" t="s">
        <v>863</v>
      </c>
      <c r="R1427" s="23" t="s">
        <v>819</v>
      </c>
      <c r="S1427" s="13" t="s">
        <v>820</v>
      </c>
      <c r="T1427" s="23">
        <v>2</v>
      </c>
      <c r="U1427" s="30" t="str">
        <f>VLOOKUP(T1427,[6]Key!$E$2:$F$9,2,FALSE)</f>
        <v>Work</v>
      </c>
      <c r="V1427" s="30" t="str">
        <f t="shared" si="88"/>
        <v>Home-Work</v>
      </c>
      <c r="W1427" s="41">
        <v>120000</v>
      </c>
      <c r="X1427" s="50">
        <v>130</v>
      </c>
      <c r="Y1427" s="50" t="str">
        <f t="shared" si="89"/>
        <v>100-200</v>
      </c>
      <c r="Z1427" s="50">
        <v>2</v>
      </c>
      <c r="AA1427" s="50" t="str">
        <f t="shared" si="90"/>
        <v>2.0-3.5</v>
      </c>
      <c r="AB1427" s="23">
        <v>4</v>
      </c>
      <c r="AC1427" s="30" t="str">
        <f>VLOOKUP(AB1427,[6]Key!$C$20:$D$29,2,FALSE)</f>
        <v>Office Worker</v>
      </c>
      <c r="AD1427" s="23">
        <v>2</v>
      </c>
      <c r="AE1427" s="30" t="str">
        <f>VLOOKUP(AD1427,[6]Key!$E$20:$F$24,2,FALSE)</f>
        <v>300,000-500,000</v>
      </c>
      <c r="AF1427" s="23">
        <v>3</v>
      </c>
      <c r="AG1427" s="50">
        <v>1</v>
      </c>
      <c r="AH1427" s="50">
        <v>2</v>
      </c>
      <c r="AI1427" s="50">
        <v>4</v>
      </c>
      <c r="AJ1427" s="50">
        <v>5</v>
      </c>
      <c r="AK1427" s="46" t="s">
        <v>94</v>
      </c>
      <c r="AL1427" s="36"/>
      <c r="AM1427" t="str">
        <f t="shared" si="91"/>
        <v>0-1000</v>
      </c>
    </row>
    <row r="1428" spans="1:39" x14ac:dyDescent="0.2">
      <c r="A1428" s="44">
        <v>43760</v>
      </c>
      <c r="B1428" s="48">
        <v>0.6430555555555556</v>
      </c>
      <c r="C1428" s="48"/>
      <c r="D1428" s="48" t="s">
        <v>97</v>
      </c>
      <c r="E1428" s="13">
        <v>2</v>
      </c>
      <c r="F1428" s="38" t="str">
        <f>VLOOKUP(E1428,[6]Key!$A$17:$B$21,2,FALSE)</f>
        <v>Road Vehicle</v>
      </c>
      <c r="G1428" s="49">
        <v>5</v>
      </c>
      <c r="H1428" s="39" t="str">
        <f>VLOOKUP(G1428,[6]Key!$A$2:$B$14,2,FALSE)</f>
        <v xml:space="preserve">Medium bus </v>
      </c>
      <c r="I1428" s="13" t="s">
        <v>109</v>
      </c>
      <c r="J1428" s="13">
        <v>2</v>
      </c>
      <c r="K1428" s="40" t="str">
        <f>VLOOKUP(J1428,[6]Key!$A$24:$B$29,2,FALSE)</f>
        <v>30-39</v>
      </c>
      <c r="L1428" s="55"/>
      <c r="M1428" s="23"/>
      <c r="N1428" s="13" t="s">
        <v>820</v>
      </c>
      <c r="O1428" s="46">
        <v>2</v>
      </c>
      <c r="P1428" s="30" t="str">
        <f>VLOOKUP(O1428,[6]Key!$E$2:$F$9,2,FALSE)</f>
        <v>Work</v>
      </c>
      <c r="Q1428" s="13"/>
      <c r="R1428" s="23"/>
      <c r="S1428" s="13" t="s">
        <v>820</v>
      </c>
      <c r="T1428" s="23">
        <v>1</v>
      </c>
      <c r="U1428" s="30" t="str">
        <f>VLOOKUP(T1428,[6]Key!$E$2:$F$9,2,FALSE)</f>
        <v>Home</v>
      </c>
      <c r="V1428" s="30" t="str">
        <f t="shared" si="88"/>
        <v>Work-Home</v>
      </c>
      <c r="W1428" s="41">
        <v>200000</v>
      </c>
      <c r="X1428" s="50">
        <v>115</v>
      </c>
      <c r="Y1428" s="50" t="str">
        <f t="shared" si="89"/>
        <v>100-200</v>
      </c>
      <c r="Z1428" s="50">
        <v>4</v>
      </c>
      <c r="AA1428" s="50" t="str">
        <f t="shared" si="90"/>
        <v>Over 3.5</v>
      </c>
      <c r="AB1428" s="23">
        <v>10</v>
      </c>
      <c r="AC1428" s="30" t="str">
        <f>VLOOKUP(AB1428,[6]Key!$C$20:$D$29,2,FALSE)</f>
        <v>Other</v>
      </c>
      <c r="AD1428" s="23">
        <v>3</v>
      </c>
      <c r="AE1428" s="30" t="str">
        <f>VLOOKUP(AD1428,[6]Key!$E$20:$F$24,2,FALSE)</f>
        <v>500,000-750,000</v>
      </c>
      <c r="AF1428" s="23">
        <v>1</v>
      </c>
      <c r="AG1428" s="50">
        <v>2</v>
      </c>
      <c r="AH1428" s="50">
        <v>3</v>
      </c>
      <c r="AI1428" s="50">
        <v>4</v>
      </c>
      <c r="AJ1428" s="50">
        <v>5</v>
      </c>
      <c r="AK1428" s="46" t="s">
        <v>94</v>
      </c>
      <c r="AL1428" s="36">
        <v>2000</v>
      </c>
      <c r="AM1428" t="str">
        <f t="shared" si="91"/>
        <v>2000-3000</v>
      </c>
    </row>
    <row r="1429" spans="1:39" x14ac:dyDescent="0.2">
      <c r="A1429" s="44">
        <v>43761</v>
      </c>
      <c r="B1429" s="48">
        <v>0.60486111111111118</v>
      </c>
      <c r="C1429" s="48"/>
      <c r="D1429" s="48" t="s">
        <v>97</v>
      </c>
      <c r="E1429" s="13">
        <v>2</v>
      </c>
      <c r="F1429" s="38" t="str">
        <f>VLOOKUP(E1429,[6]Key!$A$17:$B$21,2,FALSE)</f>
        <v>Road Vehicle</v>
      </c>
      <c r="G1429" s="49">
        <v>5</v>
      </c>
      <c r="H1429" s="39" t="str">
        <f>VLOOKUP(G1429,[6]Key!$A$2:$B$14,2,FALSE)</f>
        <v xml:space="preserve">Medium bus </v>
      </c>
      <c r="I1429" s="13" t="s">
        <v>109</v>
      </c>
      <c r="J1429" s="13">
        <v>2</v>
      </c>
      <c r="K1429" s="40" t="str">
        <f>VLOOKUP(J1429,[6]Key!$A$24:$B$29,2,FALSE)</f>
        <v>30-39</v>
      </c>
      <c r="L1429" s="55" t="s">
        <v>819</v>
      </c>
      <c r="M1429" s="23" t="s">
        <v>819</v>
      </c>
      <c r="N1429" s="13" t="s">
        <v>820</v>
      </c>
      <c r="O1429" s="46">
        <v>1</v>
      </c>
      <c r="P1429" s="30" t="str">
        <f>VLOOKUP(O1429,[6]Key!$E$2:$F$9,2,FALSE)</f>
        <v>Home</v>
      </c>
      <c r="Q1429" s="13" t="s">
        <v>283</v>
      </c>
      <c r="R1429" s="23" t="s">
        <v>283</v>
      </c>
      <c r="S1429" s="13" t="s">
        <v>820</v>
      </c>
      <c r="T1429" s="23">
        <v>2</v>
      </c>
      <c r="U1429" s="30" t="str">
        <f>VLOOKUP(T1429,[6]Key!$E$2:$F$9,2,FALSE)</f>
        <v>Work</v>
      </c>
      <c r="V1429" s="30" t="str">
        <f t="shared" si="88"/>
        <v>Home-Work</v>
      </c>
      <c r="W1429" s="41">
        <v>250000</v>
      </c>
      <c r="X1429" s="50">
        <v>114</v>
      </c>
      <c r="Y1429" s="50" t="str">
        <f t="shared" si="89"/>
        <v>100-200</v>
      </c>
      <c r="Z1429" s="50">
        <v>4.5</v>
      </c>
      <c r="AA1429" s="50" t="str">
        <f t="shared" si="90"/>
        <v>Over 3.5</v>
      </c>
      <c r="AB1429" s="23">
        <v>10</v>
      </c>
      <c r="AC1429" s="30" t="str">
        <f>VLOOKUP(AB1429,[6]Key!$C$20:$D$29,2,FALSE)</f>
        <v>Other</v>
      </c>
      <c r="AD1429" s="23">
        <v>2</v>
      </c>
      <c r="AE1429" s="30" t="str">
        <f>VLOOKUP(AD1429,[6]Key!$E$20:$F$24,2,FALSE)</f>
        <v>300,000-500,000</v>
      </c>
      <c r="AF1429" s="23">
        <v>1</v>
      </c>
      <c r="AG1429" s="50">
        <v>3</v>
      </c>
      <c r="AH1429" s="50">
        <v>2</v>
      </c>
      <c r="AI1429" s="50">
        <v>4</v>
      </c>
      <c r="AJ1429" s="50">
        <v>5</v>
      </c>
      <c r="AK1429" s="46" t="s">
        <v>94</v>
      </c>
      <c r="AL1429" s="36">
        <v>3000</v>
      </c>
      <c r="AM1429" t="str">
        <f t="shared" si="91"/>
        <v>3000-5000</v>
      </c>
    </row>
    <row r="1430" spans="1:39" x14ac:dyDescent="0.2">
      <c r="A1430" s="44">
        <v>43761</v>
      </c>
      <c r="B1430" s="48">
        <v>0.59375</v>
      </c>
      <c r="C1430" s="48"/>
      <c r="D1430" s="48" t="s">
        <v>97</v>
      </c>
      <c r="E1430" s="13">
        <v>2</v>
      </c>
      <c r="F1430" s="38" t="str">
        <f>VLOOKUP(E1430,[6]Key!$A$17:$B$21,2,FALSE)</f>
        <v>Road Vehicle</v>
      </c>
      <c r="G1430" s="49">
        <v>5</v>
      </c>
      <c r="H1430" s="39" t="str">
        <f>VLOOKUP(G1430,[6]Key!$A$2:$B$14,2,FALSE)</f>
        <v xml:space="preserve">Medium bus </v>
      </c>
      <c r="I1430" s="13" t="s">
        <v>109</v>
      </c>
      <c r="J1430" s="13">
        <v>2</v>
      </c>
      <c r="K1430" s="40" t="str">
        <f>VLOOKUP(J1430,[6]Key!$A$24:$B$29,2,FALSE)</f>
        <v>30-39</v>
      </c>
      <c r="L1430" s="55" t="s">
        <v>864</v>
      </c>
      <c r="M1430" s="23" t="s">
        <v>819</v>
      </c>
      <c r="N1430" s="13" t="s">
        <v>820</v>
      </c>
      <c r="O1430" s="46">
        <v>2</v>
      </c>
      <c r="P1430" s="30" t="str">
        <f>VLOOKUP(O1430,[6]Key!$E$2:$F$9,2,FALSE)</f>
        <v>Work</v>
      </c>
      <c r="Q1430" s="13" t="s">
        <v>826</v>
      </c>
      <c r="R1430" s="23" t="s">
        <v>819</v>
      </c>
      <c r="S1430" s="13" t="s">
        <v>820</v>
      </c>
      <c r="T1430" s="23">
        <v>1</v>
      </c>
      <c r="U1430" s="30" t="str">
        <f>VLOOKUP(T1430,[6]Key!$E$2:$F$9,2,FALSE)</f>
        <v>Home</v>
      </c>
      <c r="V1430" s="30" t="str">
        <f t="shared" si="88"/>
        <v>Work-Home</v>
      </c>
      <c r="W1430" s="41">
        <v>200000</v>
      </c>
      <c r="X1430" s="50">
        <v>80</v>
      </c>
      <c r="Y1430" s="50" t="str">
        <f t="shared" si="89"/>
        <v>70-100</v>
      </c>
      <c r="Z1430" s="50">
        <v>2.5</v>
      </c>
      <c r="AA1430" s="50" t="str">
        <f t="shared" si="90"/>
        <v>2.0-3.5</v>
      </c>
      <c r="AB1430" s="23">
        <v>5</v>
      </c>
      <c r="AC1430" s="30" t="str">
        <f>VLOOKUP(AB1430,[6]Key!$C$20:$D$29,2,FALSE)</f>
        <v>Professional</v>
      </c>
      <c r="AD1430" s="23">
        <v>3</v>
      </c>
      <c r="AE1430" s="30" t="str">
        <f>VLOOKUP(AD1430,[6]Key!$E$20:$F$24,2,FALSE)</f>
        <v>500,000-750,000</v>
      </c>
      <c r="AF1430" s="23">
        <v>2</v>
      </c>
      <c r="AG1430" s="50">
        <v>4</v>
      </c>
      <c r="AH1430" s="50">
        <v>5</v>
      </c>
      <c r="AI1430" s="50">
        <v>3</v>
      </c>
      <c r="AJ1430" s="50">
        <v>1</v>
      </c>
      <c r="AK1430" s="46" t="s">
        <v>94</v>
      </c>
      <c r="AL1430" s="36"/>
      <c r="AM1430" t="str">
        <f t="shared" si="91"/>
        <v>0-1000</v>
      </c>
    </row>
    <row r="1431" spans="1:39" x14ac:dyDescent="0.2">
      <c r="A1431" s="44">
        <v>43761</v>
      </c>
      <c r="B1431" s="48">
        <v>0.59861111111111109</v>
      </c>
      <c r="C1431" s="48"/>
      <c r="D1431" s="48" t="s">
        <v>97</v>
      </c>
      <c r="E1431" s="13">
        <v>2</v>
      </c>
      <c r="F1431" s="38" t="str">
        <f>VLOOKUP(E1431,[6]Key!$A$17:$B$21,2,FALSE)</f>
        <v>Road Vehicle</v>
      </c>
      <c r="G1431" s="49">
        <v>5</v>
      </c>
      <c r="H1431" s="39" t="str">
        <f>VLOOKUP(G1431,[6]Key!$A$2:$B$14,2,FALSE)</f>
        <v xml:space="preserve">Medium bus </v>
      </c>
      <c r="I1431" s="13" t="s">
        <v>109</v>
      </c>
      <c r="J1431" s="13">
        <v>2</v>
      </c>
      <c r="K1431" s="40" t="str">
        <f>VLOOKUP(J1431,[6]Key!$A$24:$B$29,2,FALSE)</f>
        <v>30-39</v>
      </c>
      <c r="L1431" s="55" t="s">
        <v>859</v>
      </c>
      <c r="M1431" s="23" t="s">
        <v>819</v>
      </c>
      <c r="N1431" s="13" t="s">
        <v>820</v>
      </c>
      <c r="O1431" s="46">
        <v>2</v>
      </c>
      <c r="P1431" s="30" t="str">
        <f>VLOOKUP(O1431,[6]Key!$E$2:$F$9,2,FALSE)</f>
        <v>Work</v>
      </c>
      <c r="Q1431" s="13" t="s">
        <v>283</v>
      </c>
      <c r="R1431" s="23" t="s">
        <v>283</v>
      </c>
      <c r="S1431" s="13" t="s">
        <v>820</v>
      </c>
      <c r="T1431" s="23">
        <v>1</v>
      </c>
      <c r="U1431" s="30" t="str">
        <f>VLOOKUP(T1431,[6]Key!$E$2:$F$9,2,FALSE)</f>
        <v>Home</v>
      </c>
      <c r="V1431" s="30" t="str">
        <f t="shared" si="88"/>
        <v>Work-Home</v>
      </c>
      <c r="W1431" s="41">
        <v>180000</v>
      </c>
      <c r="X1431" s="50">
        <v>120</v>
      </c>
      <c r="Y1431" s="50" t="str">
        <f t="shared" si="89"/>
        <v>100-200</v>
      </c>
      <c r="Z1431" s="50">
        <v>4.5</v>
      </c>
      <c r="AA1431" s="50" t="str">
        <f t="shared" si="90"/>
        <v>Over 3.5</v>
      </c>
      <c r="AB1431" s="23">
        <v>6</v>
      </c>
      <c r="AC1431" s="30" t="str">
        <f>VLOOKUP(AB1431,[6]Key!$C$20:$D$29,2,FALSE)</f>
        <v>Businessman</v>
      </c>
      <c r="AD1431" s="23">
        <v>3</v>
      </c>
      <c r="AE1431" s="30" t="str">
        <f>VLOOKUP(AD1431,[6]Key!$E$20:$F$24,2,FALSE)</f>
        <v>500,000-750,000</v>
      </c>
      <c r="AF1431" s="23">
        <v>2</v>
      </c>
      <c r="AG1431" s="50">
        <v>3</v>
      </c>
      <c r="AH1431" s="50">
        <v>5</v>
      </c>
      <c r="AI1431" s="50">
        <v>1</v>
      </c>
      <c r="AJ1431" s="50">
        <v>4</v>
      </c>
      <c r="AK1431" s="46" t="s">
        <v>94</v>
      </c>
      <c r="AL1431" s="36">
        <v>1000</v>
      </c>
      <c r="AM1431" t="str">
        <f t="shared" si="91"/>
        <v>1000-2000</v>
      </c>
    </row>
    <row r="1432" spans="1:39" x14ac:dyDescent="0.2">
      <c r="A1432" s="44">
        <v>43759</v>
      </c>
      <c r="B1432" s="48"/>
      <c r="C1432" s="48"/>
      <c r="D1432" s="48" t="s">
        <v>150</v>
      </c>
      <c r="E1432" s="13">
        <v>2</v>
      </c>
      <c r="F1432" s="38" t="str">
        <f>VLOOKUP(E1432,[6]Key!$A$17:$B$21,2,FALSE)</f>
        <v>Road Vehicle</v>
      </c>
      <c r="G1432" s="49">
        <v>4</v>
      </c>
      <c r="H1432" s="39" t="str">
        <f>VLOOKUP(G1432,[6]Key!$A$2:$B$14,2,FALSE)</f>
        <v>Minibus</v>
      </c>
      <c r="I1432" s="13" t="s">
        <v>156</v>
      </c>
      <c r="J1432" s="13">
        <v>2</v>
      </c>
      <c r="K1432" s="40" t="str">
        <f>VLOOKUP(J1432,[6]Key!$A$24:$B$29,2,FALSE)</f>
        <v>30-39</v>
      </c>
      <c r="L1432" s="55" t="s">
        <v>819</v>
      </c>
      <c r="M1432" s="23" t="s">
        <v>819</v>
      </c>
      <c r="N1432" s="13" t="s">
        <v>820</v>
      </c>
      <c r="O1432" s="46">
        <v>1</v>
      </c>
      <c r="P1432" s="30" t="str">
        <f>VLOOKUP(O1432,[6]Key!$E$2:$F$9,2,FALSE)</f>
        <v>Home</v>
      </c>
      <c r="Q1432" s="13" t="s">
        <v>838</v>
      </c>
      <c r="R1432" s="23" t="s">
        <v>832</v>
      </c>
      <c r="S1432" s="13" t="s">
        <v>820</v>
      </c>
      <c r="T1432" s="23">
        <v>3</v>
      </c>
      <c r="U1432" s="30" t="str">
        <f>VLOOKUP(T1432,[6]Key!$E$2:$F$9,2,FALSE)</f>
        <v>Study</v>
      </c>
      <c r="V1432" s="30" t="str">
        <f t="shared" si="88"/>
        <v>Home-Study</v>
      </c>
      <c r="W1432" s="41">
        <v>7000</v>
      </c>
      <c r="X1432" s="50"/>
      <c r="Y1432" s="50" t="str">
        <f t="shared" si="89"/>
        <v>0-10</v>
      </c>
      <c r="Z1432" s="50">
        <v>1.5</v>
      </c>
      <c r="AA1432" s="50" t="str">
        <f t="shared" si="90"/>
        <v>1.0-2.0</v>
      </c>
      <c r="AB1432" s="23">
        <v>4</v>
      </c>
      <c r="AC1432" s="30" t="str">
        <f>VLOOKUP(AB1432,[6]Key!$C$20:$D$29,2,FALSE)</f>
        <v>Office Worker</v>
      </c>
      <c r="AD1432" s="23">
        <v>3</v>
      </c>
      <c r="AE1432" s="30" t="str">
        <f>VLOOKUP(AD1432,[6]Key!$E$20:$F$24,2,FALSE)</f>
        <v>500,000-750,000</v>
      </c>
      <c r="AF1432" s="23">
        <v>3</v>
      </c>
      <c r="AG1432" s="50">
        <v>1</v>
      </c>
      <c r="AH1432" s="50">
        <v>4</v>
      </c>
      <c r="AI1432" s="50">
        <v>2</v>
      </c>
      <c r="AJ1432" s="50">
        <v>5</v>
      </c>
      <c r="AK1432" s="46" t="s">
        <v>94</v>
      </c>
      <c r="AL1432" s="36">
        <v>3000</v>
      </c>
      <c r="AM1432" t="str">
        <f t="shared" si="91"/>
        <v>3000-5000</v>
      </c>
    </row>
    <row r="1433" spans="1:39" ht="12" customHeight="1" x14ac:dyDescent="0.2">
      <c r="A1433" s="44">
        <v>43759</v>
      </c>
      <c r="B1433" s="48"/>
      <c r="C1433" s="48"/>
      <c r="D1433" s="48" t="s">
        <v>150</v>
      </c>
      <c r="E1433" s="13">
        <v>2</v>
      </c>
      <c r="F1433" s="38" t="str">
        <f>VLOOKUP(E1433,[6]Key!$A$17:$B$21,2,FALSE)</f>
        <v>Road Vehicle</v>
      </c>
      <c r="G1433" s="49">
        <v>4</v>
      </c>
      <c r="H1433" s="39" t="str">
        <f>VLOOKUP(G1433,[6]Key!$A$2:$B$14,2,FALSE)</f>
        <v>Minibus</v>
      </c>
      <c r="I1433" s="13" t="s">
        <v>156</v>
      </c>
      <c r="J1433" s="13">
        <v>2</v>
      </c>
      <c r="K1433" s="40" t="str">
        <f>VLOOKUP(J1433,[6]Key!$A$24:$B$29,2,FALSE)</f>
        <v>30-39</v>
      </c>
      <c r="L1433" s="55" t="s">
        <v>819</v>
      </c>
      <c r="M1433" s="23" t="s">
        <v>819</v>
      </c>
      <c r="N1433" s="13" t="s">
        <v>820</v>
      </c>
      <c r="O1433" s="46">
        <v>1</v>
      </c>
      <c r="P1433" s="30" t="str">
        <f>VLOOKUP(O1433,[6]Key!$E$2:$F$9,2,FALSE)</f>
        <v>Home</v>
      </c>
      <c r="Q1433" s="13" t="s">
        <v>283</v>
      </c>
      <c r="R1433" s="23" t="s">
        <v>283</v>
      </c>
      <c r="S1433" s="13" t="s">
        <v>820</v>
      </c>
      <c r="T1433" s="23">
        <v>4</v>
      </c>
      <c r="U1433" s="30" t="str">
        <f>VLOOKUP(T1433,[6]Key!$E$2:$F$9,2,FALSE)</f>
        <v>Commercial</v>
      </c>
      <c r="V1433" s="30" t="str">
        <f t="shared" si="88"/>
        <v>Home-Commercial</v>
      </c>
      <c r="W1433" s="41">
        <v>15000</v>
      </c>
      <c r="X1433" s="50">
        <v>85</v>
      </c>
      <c r="Y1433" s="50" t="str">
        <f t="shared" si="89"/>
        <v>70-100</v>
      </c>
      <c r="Z1433" s="50">
        <v>1.5</v>
      </c>
      <c r="AA1433" s="50" t="str">
        <f t="shared" si="90"/>
        <v>1.0-2.0</v>
      </c>
      <c r="AB1433" s="23">
        <v>6</v>
      </c>
      <c r="AC1433" s="30" t="str">
        <f>VLOOKUP(AB1433,[6]Key!$C$20:$D$29,2,FALSE)</f>
        <v>Businessman</v>
      </c>
      <c r="AD1433" s="23">
        <v>3</v>
      </c>
      <c r="AE1433" s="30" t="str">
        <f>VLOOKUP(AD1433,[6]Key!$E$20:$F$24,2,FALSE)</f>
        <v>500,000-750,000</v>
      </c>
      <c r="AF1433" s="23">
        <v>1</v>
      </c>
      <c r="AG1433" s="50">
        <v>4</v>
      </c>
      <c r="AH1433" s="50">
        <v>5</v>
      </c>
      <c r="AI1433" s="50">
        <v>2</v>
      </c>
      <c r="AJ1433" s="50">
        <v>3</v>
      </c>
      <c r="AK1433" s="46" t="s">
        <v>94</v>
      </c>
      <c r="AL1433" s="36"/>
      <c r="AM1433" t="str">
        <f t="shared" si="91"/>
        <v>0-1000</v>
      </c>
    </row>
    <row r="1434" spans="1:39" x14ac:dyDescent="0.2">
      <c r="A1434" s="44">
        <v>43760</v>
      </c>
      <c r="B1434" s="48">
        <v>0.55972222222222223</v>
      </c>
      <c r="C1434" s="48"/>
      <c r="D1434" s="48" t="s">
        <v>150</v>
      </c>
      <c r="E1434" s="13">
        <v>2</v>
      </c>
      <c r="F1434" s="38" t="str">
        <f>VLOOKUP(E1434,[6]Key!$A$17:$B$21,2,FALSE)</f>
        <v>Road Vehicle</v>
      </c>
      <c r="G1434" s="49">
        <v>4</v>
      </c>
      <c r="H1434" s="39" t="str">
        <f>VLOOKUP(G1434,[6]Key!$A$2:$B$14,2,FALSE)</f>
        <v>Minibus</v>
      </c>
      <c r="I1434" s="13" t="s">
        <v>156</v>
      </c>
      <c r="J1434" s="13">
        <v>2</v>
      </c>
      <c r="K1434" s="40" t="str">
        <f>VLOOKUP(J1434,[6]Key!$A$24:$B$29,2,FALSE)</f>
        <v>30-39</v>
      </c>
      <c r="L1434" s="55" t="s">
        <v>819</v>
      </c>
      <c r="M1434" s="23" t="s">
        <v>819</v>
      </c>
      <c r="N1434" s="13" t="s">
        <v>820</v>
      </c>
      <c r="O1434" s="46">
        <v>1</v>
      </c>
      <c r="P1434" s="30" t="str">
        <f>VLOOKUP(O1434,[6]Key!$E$2:$F$9,2,FALSE)</f>
        <v>Home</v>
      </c>
      <c r="Q1434" s="13" t="s">
        <v>865</v>
      </c>
      <c r="R1434" s="23" t="s">
        <v>404</v>
      </c>
      <c r="S1434" s="13" t="s">
        <v>820</v>
      </c>
      <c r="T1434" s="23">
        <v>2</v>
      </c>
      <c r="U1434" s="30" t="str">
        <f>VLOOKUP(T1434,[6]Key!$E$2:$F$9,2,FALSE)</f>
        <v>Work</v>
      </c>
      <c r="V1434" s="30" t="str">
        <f t="shared" si="88"/>
        <v>Home-Work</v>
      </c>
      <c r="W1434" s="41">
        <v>30000</v>
      </c>
      <c r="X1434" s="50">
        <v>388</v>
      </c>
      <c r="Y1434" s="50" t="str">
        <f t="shared" si="89"/>
        <v>Over 200</v>
      </c>
      <c r="Z1434" s="50">
        <v>9</v>
      </c>
      <c r="AA1434" s="50" t="str">
        <f t="shared" si="90"/>
        <v>Over 3.5</v>
      </c>
      <c r="AB1434" s="23">
        <v>5</v>
      </c>
      <c r="AC1434" s="30" t="str">
        <f>VLOOKUP(AB1434,[6]Key!$C$20:$D$29,2,FALSE)</f>
        <v>Professional</v>
      </c>
      <c r="AD1434" s="23">
        <v>2</v>
      </c>
      <c r="AE1434" s="30" t="str">
        <f>VLOOKUP(AD1434,[6]Key!$E$20:$F$24,2,FALSE)</f>
        <v>300,000-500,000</v>
      </c>
      <c r="AF1434" s="23">
        <v>1</v>
      </c>
      <c r="AG1434" s="50">
        <v>5</v>
      </c>
      <c r="AH1434" s="50">
        <v>4</v>
      </c>
      <c r="AI1434" s="50">
        <v>3</v>
      </c>
      <c r="AJ1434" s="50">
        <v>2</v>
      </c>
      <c r="AK1434" s="46" t="s">
        <v>94</v>
      </c>
      <c r="AL1434" s="36">
        <v>2000</v>
      </c>
      <c r="AM1434" t="str">
        <f t="shared" si="91"/>
        <v>2000-3000</v>
      </c>
    </row>
    <row r="1435" spans="1:39" x14ac:dyDescent="0.2">
      <c r="A1435" s="44">
        <v>43760</v>
      </c>
      <c r="B1435" s="48"/>
      <c r="C1435" s="48"/>
      <c r="D1435" s="48" t="s">
        <v>150</v>
      </c>
      <c r="E1435" s="13">
        <v>2</v>
      </c>
      <c r="F1435" s="38" t="str">
        <f>VLOOKUP(E1435,[6]Key!$A$17:$B$21,2,FALSE)</f>
        <v>Road Vehicle</v>
      </c>
      <c r="G1435" s="49">
        <v>4</v>
      </c>
      <c r="H1435" s="39" t="str">
        <f>VLOOKUP(G1435,[6]Key!$A$2:$B$14,2,FALSE)</f>
        <v>Minibus</v>
      </c>
      <c r="I1435" s="13" t="s">
        <v>156</v>
      </c>
      <c r="J1435" s="13">
        <v>2</v>
      </c>
      <c r="K1435" s="40" t="str">
        <f>VLOOKUP(J1435,[6]Key!$A$24:$B$29,2,FALSE)</f>
        <v>30-39</v>
      </c>
      <c r="L1435" s="55" t="s">
        <v>819</v>
      </c>
      <c r="M1435" s="23" t="s">
        <v>819</v>
      </c>
      <c r="N1435" s="13" t="s">
        <v>820</v>
      </c>
      <c r="O1435" s="46">
        <v>1</v>
      </c>
      <c r="P1435" s="30" t="str">
        <f>VLOOKUP(O1435,[6]Key!$E$2:$F$9,2,FALSE)</f>
        <v>Home</v>
      </c>
      <c r="Q1435" s="13" t="s">
        <v>866</v>
      </c>
      <c r="R1435" s="23" t="s">
        <v>819</v>
      </c>
      <c r="S1435" s="13" t="s">
        <v>820</v>
      </c>
      <c r="T1435" s="23">
        <v>2</v>
      </c>
      <c r="U1435" s="30" t="str">
        <f>VLOOKUP(T1435,[6]Key!$E$2:$F$9,2,FALSE)</f>
        <v>Work</v>
      </c>
      <c r="V1435" s="30" t="str">
        <f t="shared" si="88"/>
        <v>Home-Work</v>
      </c>
      <c r="W1435" s="41">
        <v>3000</v>
      </c>
      <c r="X1435" s="50">
        <v>30</v>
      </c>
      <c r="Y1435" s="50" t="str">
        <f t="shared" si="89"/>
        <v>20-40</v>
      </c>
      <c r="Z1435" s="50">
        <v>0.5</v>
      </c>
      <c r="AA1435" s="50" t="str">
        <f t="shared" si="90"/>
        <v>0.5-1.0</v>
      </c>
      <c r="AB1435" s="23">
        <v>2</v>
      </c>
      <c r="AC1435" s="30" t="str">
        <f>VLOOKUP(AB1435,[6]Key!$C$20:$D$29,2,FALSE)</f>
        <v>Manual Labour</v>
      </c>
      <c r="AD1435" s="23">
        <v>3</v>
      </c>
      <c r="AE1435" s="30" t="str">
        <f>VLOOKUP(AD1435,[6]Key!$E$20:$F$24,2,FALSE)</f>
        <v>500,000-750,000</v>
      </c>
      <c r="AF1435" s="23">
        <v>1</v>
      </c>
      <c r="AG1435" s="50">
        <v>3</v>
      </c>
      <c r="AH1435" s="50">
        <v>4</v>
      </c>
      <c r="AI1435" s="50">
        <v>2</v>
      </c>
      <c r="AJ1435" s="50">
        <v>5</v>
      </c>
      <c r="AK1435" s="46" t="s">
        <v>94</v>
      </c>
      <c r="AL1435" s="36">
        <v>7000</v>
      </c>
      <c r="AM1435" t="str">
        <f t="shared" si="91"/>
        <v>5000-10000</v>
      </c>
    </row>
    <row r="1436" spans="1:39" x14ac:dyDescent="0.2">
      <c r="A1436" s="44">
        <v>43760</v>
      </c>
      <c r="B1436" s="48"/>
      <c r="C1436" s="48"/>
      <c r="D1436" s="48" t="s">
        <v>150</v>
      </c>
      <c r="E1436" s="13">
        <v>2</v>
      </c>
      <c r="F1436" s="38" t="str">
        <f>VLOOKUP(E1436,[6]Key!$A$17:$B$21,2,FALSE)</f>
        <v>Road Vehicle</v>
      </c>
      <c r="G1436" s="49">
        <v>4</v>
      </c>
      <c r="H1436" s="39" t="str">
        <f>VLOOKUP(G1436,[6]Key!$A$2:$B$14,2,FALSE)</f>
        <v>Minibus</v>
      </c>
      <c r="I1436" s="13" t="s">
        <v>156</v>
      </c>
      <c r="J1436" s="13">
        <v>2</v>
      </c>
      <c r="K1436" s="40" t="str">
        <f>VLOOKUP(J1436,[6]Key!$A$24:$B$29,2,FALSE)</f>
        <v>30-39</v>
      </c>
      <c r="L1436" s="55" t="s">
        <v>819</v>
      </c>
      <c r="M1436" s="23" t="s">
        <v>819</v>
      </c>
      <c r="N1436" s="13" t="s">
        <v>820</v>
      </c>
      <c r="O1436" s="46">
        <v>1</v>
      </c>
      <c r="P1436" s="30" t="str">
        <f>VLOOKUP(O1436,[6]Key!$E$2:$F$9,2,FALSE)</f>
        <v>Home</v>
      </c>
      <c r="Q1436" s="13" t="s">
        <v>366</v>
      </c>
      <c r="R1436" s="23" t="s">
        <v>366</v>
      </c>
      <c r="S1436" s="13" t="s">
        <v>820</v>
      </c>
      <c r="T1436" s="23">
        <v>4</v>
      </c>
      <c r="U1436" s="30" t="str">
        <f>VLOOKUP(T1436,[6]Key!$E$2:$F$9,2,FALSE)</f>
        <v>Commercial</v>
      </c>
      <c r="V1436" s="30" t="str">
        <f t="shared" si="88"/>
        <v>Home-Commercial</v>
      </c>
      <c r="W1436" s="41">
        <v>7000</v>
      </c>
      <c r="X1436" s="50">
        <v>75</v>
      </c>
      <c r="Y1436" s="50" t="str">
        <f t="shared" si="89"/>
        <v>70-100</v>
      </c>
      <c r="Z1436" s="50">
        <v>1</v>
      </c>
      <c r="AA1436" s="50" t="str">
        <f t="shared" si="90"/>
        <v>1.0-2.0</v>
      </c>
      <c r="AB1436" s="23">
        <v>7</v>
      </c>
      <c r="AC1436" s="30" t="str">
        <f>VLOOKUP(AB1436,[6]Key!$C$20:$D$29,2,FALSE)</f>
        <v>Farmer</v>
      </c>
      <c r="AD1436" s="23">
        <v>1</v>
      </c>
      <c r="AE1436" s="30" t="str">
        <f>VLOOKUP(AD1436,[6]Key!$E$20:$F$24,2,FALSE)</f>
        <v>&lt;300,000</v>
      </c>
      <c r="AF1436" s="23">
        <v>2</v>
      </c>
      <c r="AG1436" s="50">
        <v>1</v>
      </c>
      <c r="AH1436" s="50">
        <v>3</v>
      </c>
      <c r="AI1436" s="50">
        <v>5</v>
      </c>
      <c r="AJ1436" s="50">
        <v>4</v>
      </c>
      <c r="AK1436" s="46" t="s">
        <v>94</v>
      </c>
      <c r="AL1436" s="36">
        <v>1000</v>
      </c>
      <c r="AM1436" t="str">
        <f t="shared" si="91"/>
        <v>1000-2000</v>
      </c>
    </row>
    <row r="1437" spans="1:39" x14ac:dyDescent="0.2">
      <c r="A1437" s="44">
        <v>43760</v>
      </c>
      <c r="B1437" s="48"/>
      <c r="C1437" s="48"/>
      <c r="D1437" s="48" t="s">
        <v>150</v>
      </c>
      <c r="E1437" s="13">
        <v>2</v>
      </c>
      <c r="F1437" s="38" t="str">
        <f>VLOOKUP(E1437,[6]Key!$A$17:$B$21,2,FALSE)</f>
        <v>Road Vehicle</v>
      </c>
      <c r="G1437" s="49">
        <v>4</v>
      </c>
      <c r="H1437" s="39" t="str">
        <f>VLOOKUP(G1437,[6]Key!$A$2:$B$14,2,FALSE)</f>
        <v>Minibus</v>
      </c>
      <c r="I1437" s="13" t="s">
        <v>156</v>
      </c>
      <c r="J1437" s="13">
        <v>2</v>
      </c>
      <c r="K1437" s="40" t="str">
        <f>VLOOKUP(J1437,[6]Key!$A$24:$B$29,2,FALSE)</f>
        <v>30-39</v>
      </c>
      <c r="L1437" s="55" t="s">
        <v>819</v>
      </c>
      <c r="M1437" s="23" t="s">
        <v>819</v>
      </c>
      <c r="N1437" s="13" t="s">
        <v>820</v>
      </c>
      <c r="O1437" s="46">
        <v>2</v>
      </c>
      <c r="P1437" s="30" t="str">
        <f>VLOOKUP(O1437,[6]Key!$E$2:$F$9,2,FALSE)</f>
        <v>Work</v>
      </c>
      <c r="Q1437" s="13" t="s">
        <v>366</v>
      </c>
      <c r="R1437" s="23" t="s">
        <v>366</v>
      </c>
      <c r="S1437" s="13" t="s">
        <v>820</v>
      </c>
      <c r="T1437" s="23">
        <v>4</v>
      </c>
      <c r="U1437" s="30" t="str">
        <f>VLOOKUP(T1437,[6]Key!$E$2:$F$9,2,FALSE)</f>
        <v>Commercial</v>
      </c>
      <c r="V1437" s="30" t="str">
        <f t="shared" si="88"/>
        <v>Work-Commercial</v>
      </c>
      <c r="W1437" s="41">
        <v>7000</v>
      </c>
      <c r="X1437" s="50">
        <v>75</v>
      </c>
      <c r="Y1437" s="50" t="str">
        <f t="shared" si="89"/>
        <v>70-100</v>
      </c>
      <c r="Z1437" s="50">
        <v>1.5</v>
      </c>
      <c r="AA1437" s="50" t="str">
        <f t="shared" si="90"/>
        <v>1.0-2.0</v>
      </c>
      <c r="AB1437" s="23">
        <v>6</v>
      </c>
      <c r="AC1437" s="30" t="str">
        <f>VLOOKUP(AB1437,[6]Key!$C$20:$D$29,2,FALSE)</f>
        <v>Businessman</v>
      </c>
      <c r="AD1437" s="23">
        <v>2</v>
      </c>
      <c r="AE1437" s="30" t="str">
        <f>VLOOKUP(AD1437,[6]Key!$E$20:$F$24,2,FALSE)</f>
        <v>300,000-500,000</v>
      </c>
      <c r="AF1437" s="23">
        <v>3</v>
      </c>
      <c r="AG1437" s="50">
        <v>1</v>
      </c>
      <c r="AH1437" s="50">
        <v>2</v>
      </c>
      <c r="AI1437" s="50">
        <v>5</v>
      </c>
      <c r="AJ1437" s="50">
        <v>4</v>
      </c>
      <c r="AK1437" s="46" t="s">
        <v>94</v>
      </c>
      <c r="AL1437" s="36">
        <v>1000</v>
      </c>
      <c r="AM1437" t="str">
        <f t="shared" si="91"/>
        <v>1000-2000</v>
      </c>
    </row>
    <row r="1438" spans="1:39" x14ac:dyDescent="0.2">
      <c r="A1438" s="44">
        <v>43760</v>
      </c>
      <c r="B1438" s="48"/>
      <c r="C1438" s="48"/>
      <c r="D1438" s="48" t="s">
        <v>150</v>
      </c>
      <c r="E1438" s="13">
        <v>2</v>
      </c>
      <c r="F1438" s="38" t="str">
        <f>VLOOKUP(E1438,[6]Key!$A$17:$B$21,2,FALSE)</f>
        <v>Road Vehicle</v>
      </c>
      <c r="G1438" s="49">
        <v>4</v>
      </c>
      <c r="H1438" s="39" t="str">
        <f>VLOOKUP(G1438,[6]Key!$A$2:$B$14,2,FALSE)</f>
        <v>Minibus</v>
      </c>
      <c r="I1438" s="13" t="s">
        <v>156</v>
      </c>
      <c r="J1438" s="13">
        <v>2</v>
      </c>
      <c r="K1438" s="40" t="str">
        <f>VLOOKUP(J1438,[6]Key!$A$24:$B$29,2,FALSE)</f>
        <v>30-39</v>
      </c>
      <c r="L1438" s="55" t="s">
        <v>819</v>
      </c>
      <c r="M1438" s="23" t="s">
        <v>819</v>
      </c>
      <c r="N1438" s="13" t="s">
        <v>820</v>
      </c>
      <c r="O1438" s="46">
        <v>1</v>
      </c>
      <c r="P1438" s="30" t="str">
        <f>VLOOKUP(O1438,[6]Key!$E$2:$F$9,2,FALSE)</f>
        <v>Home</v>
      </c>
      <c r="Q1438" s="13" t="s">
        <v>404</v>
      </c>
      <c r="R1438" s="23" t="s">
        <v>404</v>
      </c>
      <c r="S1438" s="13" t="s">
        <v>820</v>
      </c>
      <c r="T1438" s="23">
        <v>4</v>
      </c>
      <c r="U1438" s="30" t="str">
        <f>VLOOKUP(T1438,[6]Key!$E$2:$F$9,2,FALSE)</f>
        <v>Commercial</v>
      </c>
      <c r="V1438" s="30" t="str">
        <f t="shared" si="88"/>
        <v>Home-Commercial</v>
      </c>
      <c r="W1438" s="41">
        <v>30000</v>
      </c>
      <c r="X1438" s="50"/>
      <c r="Y1438" s="50" t="str">
        <f t="shared" si="89"/>
        <v>0-10</v>
      </c>
      <c r="Z1438" s="50">
        <v>7</v>
      </c>
      <c r="AA1438" s="50" t="str">
        <f t="shared" si="90"/>
        <v>Over 3.5</v>
      </c>
      <c r="AB1438" s="23">
        <v>3</v>
      </c>
      <c r="AC1438" s="30" t="str">
        <f>VLOOKUP(AB1438,[6]Key!$C$20:$D$29,2,FALSE)</f>
        <v>Artisan/Domestic</v>
      </c>
      <c r="AD1438" s="23">
        <v>2</v>
      </c>
      <c r="AE1438" s="30" t="str">
        <f>VLOOKUP(AD1438,[6]Key!$E$20:$F$24,2,FALSE)</f>
        <v>300,000-500,000</v>
      </c>
      <c r="AF1438" s="23">
        <v>3</v>
      </c>
      <c r="AG1438" s="50">
        <v>5</v>
      </c>
      <c r="AH1438" s="50">
        <v>1</v>
      </c>
      <c r="AI1438" s="50">
        <v>2</v>
      </c>
      <c r="AJ1438" s="50">
        <v>4</v>
      </c>
      <c r="AK1438" s="46" t="s">
        <v>94</v>
      </c>
      <c r="AL1438" s="36"/>
      <c r="AM1438" t="str">
        <f t="shared" si="91"/>
        <v>0-1000</v>
      </c>
    </row>
    <row r="1439" spans="1:39" x14ac:dyDescent="0.2">
      <c r="A1439" s="44">
        <v>43761</v>
      </c>
      <c r="B1439" s="48"/>
      <c r="C1439" s="48"/>
      <c r="D1439" s="48" t="s">
        <v>150</v>
      </c>
      <c r="E1439" s="13">
        <v>2</v>
      </c>
      <c r="F1439" s="38" t="str">
        <f>VLOOKUP(E1439,[6]Key!$A$17:$B$21,2,FALSE)</f>
        <v>Road Vehicle</v>
      </c>
      <c r="G1439" s="49">
        <v>4</v>
      </c>
      <c r="H1439" s="39" t="str">
        <f>VLOOKUP(G1439,[6]Key!$A$2:$B$14,2,FALSE)</f>
        <v>Minibus</v>
      </c>
      <c r="I1439" s="13" t="s">
        <v>156</v>
      </c>
      <c r="J1439" s="13">
        <v>2</v>
      </c>
      <c r="K1439" s="40" t="str">
        <f>VLOOKUP(J1439,[6]Key!$A$24:$B$29,2,FALSE)</f>
        <v>30-39</v>
      </c>
      <c r="L1439" s="55" t="s">
        <v>819</v>
      </c>
      <c r="M1439" s="23" t="s">
        <v>819</v>
      </c>
      <c r="N1439" s="13" t="s">
        <v>820</v>
      </c>
      <c r="O1439" s="46">
        <v>1</v>
      </c>
      <c r="P1439" s="30" t="str">
        <f>VLOOKUP(O1439,[6]Key!$E$2:$F$9,2,FALSE)</f>
        <v>Home</v>
      </c>
      <c r="Q1439" s="13" t="s">
        <v>867</v>
      </c>
      <c r="R1439" s="23" t="s">
        <v>819</v>
      </c>
      <c r="S1439" s="13" t="s">
        <v>820</v>
      </c>
      <c r="T1439" s="23">
        <v>2</v>
      </c>
      <c r="U1439" s="30" t="str">
        <f>VLOOKUP(T1439,[6]Key!$E$2:$F$9,2,FALSE)</f>
        <v>Work</v>
      </c>
      <c r="V1439" s="30" t="str">
        <f t="shared" si="88"/>
        <v>Home-Work</v>
      </c>
      <c r="W1439" s="41">
        <v>6000</v>
      </c>
      <c r="X1439" s="50">
        <v>30</v>
      </c>
      <c r="Y1439" s="50" t="str">
        <f t="shared" si="89"/>
        <v>20-40</v>
      </c>
      <c r="Z1439" s="50">
        <v>1</v>
      </c>
      <c r="AA1439" s="50" t="str">
        <f t="shared" si="90"/>
        <v>1.0-2.0</v>
      </c>
      <c r="AB1439" s="23">
        <v>2</v>
      </c>
      <c r="AC1439" s="30" t="str">
        <f>VLOOKUP(AB1439,[6]Key!$C$20:$D$29,2,FALSE)</f>
        <v>Manual Labour</v>
      </c>
      <c r="AD1439" s="23">
        <v>1</v>
      </c>
      <c r="AE1439" s="30" t="str">
        <f>VLOOKUP(AD1439,[6]Key!$E$20:$F$24,2,FALSE)</f>
        <v>&lt;300,000</v>
      </c>
      <c r="AF1439" s="23">
        <v>1</v>
      </c>
      <c r="AG1439" s="50">
        <v>2</v>
      </c>
      <c r="AH1439" s="50">
        <v>3</v>
      </c>
      <c r="AI1439" s="50">
        <v>4</v>
      </c>
      <c r="AJ1439" s="50">
        <v>5</v>
      </c>
      <c r="AK1439" s="46" t="s">
        <v>94</v>
      </c>
      <c r="AL1439" s="36"/>
      <c r="AM1439" t="str">
        <f t="shared" si="91"/>
        <v>0-1000</v>
      </c>
    </row>
    <row r="1440" spans="1:39" x14ac:dyDescent="0.2">
      <c r="A1440" s="44">
        <v>43761</v>
      </c>
      <c r="B1440" s="48">
        <v>0.3527777777777778</v>
      </c>
      <c r="C1440" s="48"/>
      <c r="D1440" s="48" t="s">
        <v>150</v>
      </c>
      <c r="E1440" s="13">
        <v>2</v>
      </c>
      <c r="F1440" s="38" t="str">
        <f>VLOOKUP(E1440,[6]Key!$A$17:$B$21,2,FALSE)</f>
        <v>Road Vehicle</v>
      </c>
      <c r="G1440" s="49">
        <v>4</v>
      </c>
      <c r="H1440" s="39" t="str">
        <f>VLOOKUP(G1440,[6]Key!$A$2:$B$14,2,FALSE)</f>
        <v>Minibus</v>
      </c>
      <c r="I1440" s="13" t="s">
        <v>156</v>
      </c>
      <c r="J1440" s="13">
        <v>2</v>
      </c>
      <c r="K1440" s="40" t="str">
        <f>VLOOKUP(J1440,[6]Key!$A$24:$B$29,2,FALSE)</f>
        <v>30-39</v>
      </c>
      <c r="L1440" s="55" t="s">
        <v>819</v>
      </c>
      <c r="M1440" s="23" t="s">
        <v>819</v>
      </c>
      <c r="N1440" s="13" t="s">
        <v>820</v>
      </c>
      <c r="O1440" s="46">
        <v>1</v>
      </c>
      <c r="P1440" s="30" t="str">
        <f>VLOOKUP(O1440,[6]Key!$E$2:$F$9,2,FALSE)</f>
        <v>Home</v>
      </c>
      <c r="Q1440" s="13" t="s">
        <v>868</v>
      </c>
      <c r="R1440" s="23" t="s">
        <v>839</v>
      </c>
      <c r="S1440" s="13"/>
      <c r="T1440" s="23">
        <v>2</v>
      </c>
      <c r="U1440" s="30" t="str">
        <f>VLOOKUP(T1440,[6]Key!$E$2:$F$9,2,FALSE)</f>
        <v>Work</v>
      </c>
      <c r="V1440" s="30" t="str">
        <f t="shared" si="88"/>
        <v>Home-Work</v>
      </c>
      <c r="W1440" s="41">
        <v>20000</v>
      </c>
      <c r="X1440" s="50"/>
      <c r="Y1440" s="50" t="str">
        <f t="shared" si="89"/>
        <v>0-10</v>
      </c>
      <c r="Z1440" s="50">
        <v>5.5</v>
      </c>
      <c r="AA1440" s="50" t="str">
        <f t="shared" si="90"/>
        <v>Over 3.5</v>
      </c>
      <c r="AB1440" s="23">
        <v>4</v>
      </c>
      <c r="AC1440" s="30" t="str">
        <f>VLOOKUP(AB1440,[6]Key!$C$20:$D$29,2,FALSE)</f>
        <v>Office Worker</v>
      </c>
      <c r="AD1440" s="23">
        <v>2</v>
      </c>
      <c r="AE1440" s="30" t="str">
        <f>VLOOKUP(AD1440,[6]Key!$E$20:$F$24,2,FALSE)</f>
        <v>300,000-500,000</v>
      </c>
      <c r="AF1440" s="23">
        <v>5</v>
      </c>
      <c r="AG1440" s="50">
        <v>3</v>
      </c>
      <c r="AH1440" s="50">
        <v>2</v>
      </c>
      <c r="AI1440" s="50">
        <v>1</v>
      </c>
      <c r="AJ1440" s="50">
        <v>4</v>
      </c>
      <c r="AK1440" s="46" t="s">
        <v>94</v>
      </c>
      <c r="AL1440" s="36"/>
      <c r="AM1440" t="str">
        <f t="shared" si="91"/>
        <v>0-1000</v>
      </c>
    </row>
    <row r="1441" spans="1:39" x14ac:dyDescent="0.2">
      <c r="A1441" s="44">
        <v>43761</v>
      </c>
      <c r="B1441" s="48">
        <v>0.37222222222222223</v>
      </c>
      <c r="C1441" s="48"/>
      <c r="D1441" s="48" t="s">
        <v>150</v>
      </c>
      <c r="E1441" s="13">
        <v>2</v>
      </c>
      <c r="F1441" s="38" t="str">
        <f>VLOOKUP(E1441,[6]Key!$A$17:$B$21,2,FALSE)</f>
        <v>Road Vehicle</v>
      </c>
      <c r="G1441" s="49">
        <v>4</v>
      </c>
      <c r="H1441" s="39" t="str">
        <f>VLOOKUP(G1441,[6]Key!$A$2:$B$14,2,FALSE)</f>
        <v>Minibus</v>
      </c>
      <c r="I1441" s="13" t="s">
        <v>156</v>
      </c>
      <c r="J1441" s="13">
        <v>2</v>
      </c>
      <c r="K1441" s="40" t="str">
        <f>VLOOKUP(J1441,[6]Key!$A$24:$B$29,2,FALSE)</f>
        <v>30-39</v>
      </c>
      <c r="L1441" s="55" t="s">
        <v>819</v>
      </c>
      <c r="M1441" s="23" t="s">
        <v>819</v>
      </c>
      <c r="N1441" s="13" t="s">
        <v>820</v>
      </c>
      <c r="O1441" s="46">
        <v>1</v>
      </c>
      <c r="P1441" s="30" t="str">
        <f>VLOOKUP(O1441,[6]Key!$E$2:$F$9,2,FALSE)</f>
        <v>Home</v>
      </c>
      <c r="Q1441" s="13" t="s">
        <v>283</v>
      </c>
      <c r="R1441" s="23" t="s">
        <v>283</v>
      </c>
      <c r="S1441" s="13"/>
      <c r="T1441" s="23">
        <v>7</v>
      </c>
      <c r="U1441" s="30" t="str">
        <f>VLOOKUP(T1441,[6]Key!$E$2:$F$9,2,FALSE)</f>
        <v>Hospital</v>
      </c>
      <c r="V1441" s="30" t="str">
        <f t="shared" si="88"/>
        <v>Home-Hospital</v>
      </c>
      <c r="W1441" s="41">
        <v>20000</v>
      </c>
      <c r="X1441" s="50"/>
      <c r="Y1441" s="50" t="str">
        <f t="shared" si="89"/>
        <v>0-10</v>
      </c>
      <c r="Z1441" s="50">
        <v>3.5</v>
      </c>
      <c r="AA1441" s="50" t="str">
        <f t="shared" si="90"/>
        <v>Over 3.5</v>
      </c>
      <c r="AB1441" s="23">
        <v>5</v>
      </c>
      <c r="AC1441" s="30" t="str">
        <f>VLOOKUP(AB1441,[6]Key!$C$20:$D$29,2,FALSE)</f>
        <v>Professional</v>
      </c>
      <c r="AD1441" s="23">
        <v>4</v>
      </c>
      <c r="AE1441" s="30" t="str">
        <f>VLOOKUP(AD1441,[6]Key!$E$20:$F$24,2,FALSE)</f>
        <v>750,000-1,000,000</v>
      </c>
      <c r="AF1441" s="23">
        <v>5</v>
      </c>
      <c r="AG1441" s="50">
        <v>4</v>
      </c>
      <c r="AH1441" s="50">
        <v>3</v>
      </c>
      <c r="AI1441" s="50">
        <v>1</v>
      </c>
      <c r="AJ1441" s="50">
        <v>2</v>
      </c>
      <c r="AK1441" s="46" t="s">
        <v>94</v>
      </c>
      <c r="AL1441" s="36">
        <v>10000</v>
      </c>
      <c r="AM1441" t="str">
        <f t="shared" si="91"/>
        <v>Over 10000</v>
      </c>
    </row>
    <row r="1442" spans="1:39" x14ac:dyDescent="0.2">
      <c r="A1442" s="44">
        <v>43761</v>
      </c>
      <c r="B1442" s="48">
        <v>0.63541666666666663</v>
      </c>
      <c r="C1442" s="48"/>
      <c r="D1442" s="48" t="s">
        <v>150</v>
      </c>
      <c r="E1442" s="13">
        <v>2</v>
      </c>
      <c r="F1442" s="38" t="str">
        <f>VLOOKUP(E1442,[6]Key!$A$17:$B$21,2,FALSE)</f>
        <v>Road Vehicle</v>
      </c>
      <c r="G1442" s="49">
        <v>4</v>
      </c>
      <c r="H1442" s="39" t="str">
        <f>VLOOKUP(G1442,[6]Key!$A$2:$B$14,2,FALSE)</f>
        <v>Minibus</v>
      </c>
      <c r="I1442" s="13" t="s">
        <v>156</v>
      </c>
      <c r="J1442" s="13">
        <v>2</v>
      </c>
      <c r="K1442" s="40" t="str">
        <f>VLOOKUP(J1442,[6]Key!$A$24:$B$29,2,FALSE)</f>
        <v>30-39</v>
      </c>
      <c r="L1442" s="55" t="s">
        <v>404</v>
      </c>
      <c r="M1442" s="23" t="s">
        <v>404</v>
      </c>
      <c r="N1442" s="13" t="s">
        <v>820</v>
      </c>
      <c r="O1442" s="46">
        <v>4</v>
      </c>
      <c r="P1442" s="30" t="str">
        <f>VLOOKUP(O1442,[6]Key!$E$2:$F$9,2,FALSE)</f>
        <v>Commercial</v>
      </c>
      <c r="Q1442" s="13" t="s">
        <v>819</v>
      </c>
      <c r="R1442" s="23" t="s">
        <v>819</v>
      </c>
      <c r="S1442" s="13"/>
      <c r="T1442" s="23">
        <v>1</v>
      </c>
      <c r="U1442" s="30" t="str">
        <f>VLOOKUP(T1442,[6]Key!$E$2:$F$9,2,FALSE)</f>
        <v>Home</v>
      </c>
      <c r="V1442" s="30" t="str">
        <f t="shared" si="88"/>
        <v>Commercial-Home</v>
      </c>
      <c r="W1442" s="41">
        <v>30000</v>
      </c>
      <c r="X1442" s="50"/>
      <c r="Y1442" s="50" t="str">
        <f t="shared" si="89"/>
        <v>0-10</v>
      </c>
      <c r="Z1442" s="50">
        <v>8</v>
      </c>
      <c r="AA1442" s="50" t="str">
        <f t="shared" si="90"/>
        <v>Over 3.5</v>
      </c>
      <c r="AB1442" s="23">
        <v>6</v>
      </c>
      <c r="AC1442" s="30" t="str">
        <f>VLOOKUP(AB1442,[6]Key!$C$20:$D$29,2,FALSE)</f>
        <v>Businessman</v>
      </c>
      <c r="AD1442" s="23">
        <v>4</v>
      </c>
      <c r="AE1442" s="30" t="str">
        <f>VLOOKUP(AD1442,[6]Key!$E$20:$F$24,2,FALSE)</f>
        <v>750,000-1,000,000</v>
      </c>
      <c r="AF1442" s="23">
        <v>2</v>
      </c>
      <c r="AG1442" s="50">
        <v>3</v>
      </c>
      <c r="AH1442" s="50">
        <v>1</v>
      </c>
      <c r="AI1442" s="50">
        <v>5</v>
      </c>
      <c r="AJ1442" s="50">
        <v>4</v>
      </c>
      <c r="AK1442" s="46" t="s">
        <v>94</v>
      </c>
      <c r="AL1442" s="36">
        <v>5000</v>
      </c>
      <c r="AM1442" t="str">
        <f t="shared" si="91"/>
        <v>5000-10000</v>
      </c>
    </row>
    <row r="1443" spans="1:39" x14ac:dyDescent="0.2">
      <c r="A1443" s="44">
        <v>43759</v>
      </c>
      <c r="B1443" s="48">
        <v>0.68402777777777779</v>
      </c>
      <c r="C1443" s="48"/>
      <c r="D1443" s="48" t="s">
        <v>150</v>
      </c>
      <c r="E1443" s="13">
        <v>2</v>
      </c>
      <c r="F1443" s="38" t="str">
        <f>VLOOKUP(E1443,[6]Key!$A$17:$B$21,2,FALSE)</f>
        <v>Road Vehicle</v>
      </c>
      <c r="G1443" s="49">
        <v>4</v>
      </c>
      <c r="H1443" s="39" t="str">
        <f>VLOOKUP(G1443,[6]Key!$A$2:$B$14,2,FALSE)</f>
        <v>Minibus</v>
      </c>
      <c r="I1443" s="13" t="s">
        <v>109</v>
      </c>
      <c r="J1443" s="13">
        <v>2</v>
      </c>
      <c r="K1443" s="40" t="str">
        <f>VLOOKUP(J1443,[6]Key!$A$24:$B$29,2,FALSE)</f>
        <v>30-39</v>
      </c>
      <c r="L1443" s="55" t="s">
        <v>283</v>
      </c>
      <c r="M1443" s="23" t="s">
        <v>283</v>
      </c>
      <c r="N1443" s="13" t="s">
        <v>820</v>
      </c>
      <c r="O1443" s="46">
        <v>4</v>
      </c>
      <c r="P1443" s="30" t="str">
        <f>VLOOKUP(O1443,[6]Key!$E$2:$F$9,2,FALSE)</f>
        <v>Commercial</v>
      </c>
      <c r="Q1443" s="13" t="s">
        <v>819</v>
      </c>
      <c r="R1443" s="23" t="s">
        <v>819</v>
      </c>
      <c r="S1443" s="13" t="s">
        <v>820</v>
      </c>
      <c r="T1443" s="23">
        <v>1</v>
      </c>
      <c r="U1443" s="30" t="str">
        <f>VLOOKUP(T1443,[6]Key!$E$2:$F$9,2,FALSE)</f>
        <v>Home</v>
      </c>
      <c r="V1443" s="30" t="str">
        <f t="shared" si="88"/>
        <v>Commercial-Home</v>
      </c>
      <c r="W1443" s="41">
        <v>20000</v>
      </c>
      <c r="X1443" s="50"/>
      <c r="Y1443" s="50" t="str">
        <f t="shared" si="89"/>
        <v>0-10</v>
      </c>
      <c r="Z1443" s="50">
        <v>3.5</v>
      </c>
      <c r="AA1443" s="50" t="str">
        <f t="shared" si="90"/>
        <v>Over 3.5</v>
      </c>
      <c r="AB1443" s="23">
        <v>6</v>
      </c>
      <c r="AC1443" s="30" t="str">
        <f>VLOOKUP(AB1443,[6]Key!$C$20:$D$29,2,FALSE)</f>
        <v>Businessman</v>
      </c>
      <c r="AD1443" s="23">
        <v>4</v>
      </c>
      <c r="AE1443" s="30" t="str">
        <f>VLOOKUP(AD1443,[6]Key!$E$20:$F$24,2,FALSE)</f>
        <v>750,000-1,000,000</v>
      </c>
      <c r="AF1443" s="23"/>
      <c r="AG1443" s="50"/>
      <c r="AH1443" s="50"/>
      <c r="AI1443" s="50"/>
      <c r="AJ1443" s="50"/>
      <c r="AK1443" s="46" t="s">
        <v>94</v>
      </c>
      <c r="AL1443" s="36"/>
      <c r="AM1443" t="str">
        <f t="shared" si="91"/>
        <v>0-1000</v>
      </c>
    </row>
    <row r="1444" spans="1:39" x14ac:dyDescent="0.2">
      <c r="A1444" s="44">
        <v>43759</v>
      </c>
      <c r="B1444" s="48">
        <v>0.67708333333333337</v>
      </c>
      <c r="C1444" s="48"/>
      <c r="D1444" s="48" t="s">
        <v>97</v>
      </c>
      <c r="E1444" s="13">
        <v>2</v>
      </c>
      <c r="F1444" s="38" t="str">
        <f>VLOOKUP(E1444,[6]Key!$A$17:$B$21,2,FALSE)</f>
        <v>Road Vehicle</v>
      </c>
      <c r="G1444" s="49">
        <v>4</v>
      </c>
      <c r="H1444" s="39" t="str">
        <f>VLOOKUP(G1444,[6]Key!$A$2:$B$14,2,FALSE)</f>
        <v>Minibus</v>
      </c>
      <c r="I1444" s="13" t="s">
        <v>109</v>
      </c>
      <c r="J1444" s="13">
        <v>2</v>
      </c>
      <c r="K1444" s="40" t="str">
        <f>VLOOKUP(J1444,[6]Key!$A$24:$B$29,2,FALSE)</f>
        <v>30-39</v>
      </c>
      <c r="L1444" s="55" t="s">
        <v>822</v>
      </c>
      <c r="M1444" s="23" t="s">
        <v>822</v>
      </c>
      <c r="N1444" s="13" t="s">
        <v>820</v>
      </c>
      <c r="O1444" s="46">
        <v>4</v>
      </c>
      <c r="P1444" s="30" t="str">
        <f>VLOOKUP(O1444,[6]Key!$E$2:$F$9,2,FALSE)</f>
        <v>Commercial</v>
      </c>
      <c r="Q1444" s="13" t="s">
        <v>819</v>
      </c>
      <c r="R1444" s="23" t="s">
        <v>819</v>
      </c>
      <c r="S1444" s="13" t="s">
        <v>820</v>
      </c>
      <c r="T1444" s="23">
        <v>4</v>
      </c>
      <c r="U1444" s="30" t="str">
        <f>VLOOKUP(T1444,[6]Key!$E$2:$F$9,2,FALSE)</f>
        <v>Commercial</v>
      </c>
      <c r="V1444" s="30" t="str">
        <f t="shared" si="88"/>
        <v>Commercial-Commercial</v>
      </c>
      <c r="W1444" s="41">
        <v>150000</v>
      </c>
      <c r="X1444" s="50"/>
      <c r="Y1444" s="50" t="str">
        <f t="shared" si="89"/>
        <v>0-10</v>
      </c>
      <c r="Z1444" s="50">
        <v>3</v>
      </c>
      <c r="AA1444" s="50" t="str">
        <f t="shared" si="90"/>
        <v>2.0-3.5</v>
      </c>
      <c r="AB1444" s="23">
        <v>10</v>
      </c>
      <c r="AC1444" s="30" t="str">
        <f>VLOOKUP(AB1444,[6]Key!$C$20:$D$29,2,FALSE)</f>
        <v>Other</v>
      </c>
      <c r="AD1444" s="23">
        <v>4</v>
      </c>
      <c r="AE1444" s="30" t="str">
        <f>VLOOKUP(AD1444,[6]Key!$E$20:$F$24,2,FALSE)</f>
        <v>750,000-1,000,000</v>
      </c>
      <c r="AF1444" s="23">
        <v>2</v>
      </c>
      <c r="AG1444" s="50">
        <v>1</v>
      </c>
      <c r="AH1444" s="50">
        <v>3</v>
      </c>
      <c r="AI1444" s="50">
        <v>4</v>
      </c>
      <c r="AJ1444" s="50">
        <v>5</v>
      </c>
      <c r="AK1444" s="46" t="s">
        <v>94</v>
      </c>
      <c r="AL1444" s="36"/>
      <c r="AM1444" t="str">
        <f t="shared" si="91"/>
        <v>0-1000</v>
      </c>
    </row>
    <row r="1445" spans="1:39" x14ac:dyDescent="0.2">
      <c r="A1445" s="44">
        <v>43759</v>
      </c>
      <c r="B1445" s="48">
        <v>0.65694444444444444</v>
      </c>
      <c r="C1445" s="48"/>
      <c r="D1445" s="48" t="s">
        <v>150</v>
      </c>
      <c r="E1445" s="13">
        <v>2</v>
      </c>
      <c r="F1445" s="38" t="str">
        <f>VLOOKUP(E1445,[6]Key!$A$17:$B$21,2,FALSE)</f>
        <v>Road Vehicle</v>
      </c>
      <c r="G1445" s="49">
        <v>4</v>
      </c>
      <c r="H1445" s="39" t="str">
        <f>VLOOKUP(G1445,[6]Key!$A$2:$B$14,2,FALSE)</f>
        <v>Minibus</v>
      </c>
      <c r="I1445" s="13" t="s">
        <v>109</v>
      </c>
      <c r="J1445" s="13">
        <v>2</v>
      </c>
      <c r="K1445" s="40" t="str">
        <f>VLOOKUP(J1445,[6]Key!$A$24:$B$29,2,FALSE)</f>
        <v>30-39</v>
      </c>
      <c r="L1445" s="55" t="s">
        <v>832</v>
      </c>
      <c r="M1445" s="23" t="s">
        <v>832</v>
      </c>
      <c r="N1445" s="13" t="s">
        <v>820</v>
      </c>
      <c r="O1445" s="46">
        <v>2</v>
      </c>
      <c r="P1445" s="30" t="str">
        <f>VLOOKUP(O1445,[6]Key!$E$2:$F$9,2,FALSE)</f>
        <v>Work</v>
      </c>
      <c r="Q1445" s="13" t="s">
        <v>819</v>
      </c>
      <c r="R1445" s="23" t="s">
        <v>819</v>
      </c>
      <c r="S1445" s="13" t="s">
        <v>820</v>
      </c>
      <c r="T1445" s="23">
        <v>8</v>
      </c>
      <c r="U1445" s="30" t="str">
        <f>VLOOKUP(T1445,[6]Key!$E$2:$F$9,2,FALSE)</f>
        <v>Others</v>
      </c>
      <c r="V1445" s="30" t="str">
        <f t="shared" si="88"/>
        <v>Work-Others</v>
      </c>
      <c r="W1445" s="41">
        <v>20000</v>
      </c>
      <c r="X1445" s="50"/>
      <c r="Y1445" s="50" t="str">
        <f t="shared" si="89"/>
        <v>0-10</v>
      </c>
      <c r="Z1445" s="50">
        <v>5</v>
      </c>
      <c r="AA1445" s="50" t="str">
        <f t="shared" si="90"/>
        <v>Over 3.5</v>
      </c>
      <c r="AB1445" s="23">
        <v>5</v>
      </c>
      <c r="AC1445" s="30" t="str">
        <f>VLOOKUP(AB1445,[6]Key!$C$20:$D$29,2,FALSE)</f>
        <v>Professional</v>
      </c>
      <c r="AD1445" s="23">
        <v>4</v>
      </c>
      <c r="AE1445" s="30" t="str">
        <f>VLOOKUP(AD1445,[6]Key!$E$20:$F$24,2,FALSE)</f>
        <v>750,000-1,000,000</v>
      </c>
      <c r="AF1445" s="23">
        <v>5</v>
      </c>
      <c r="AG1445" s="50">
        <v>4</v>
      </c>
      <c r="AH1445" s="50">
        <v>2</v>
      </c>
      <c r="AI1445" s="50">
        <v>1</v>
      </c>
      <c r="AJ1445" s="50">
        <v>3</v>
      </c>
      <c r="AK1445" s="46" t="s">
        <v>94</v>
      </c>
      <c r="AL1445" s="36">
        <v>3000</v>
      </c>
      <c r="AM1445" t="str">
        <f t="shared" si="91"/>
        <v>3000-5000</v>
      </c>
    </row>
    <row r="1446" spans="1:39" x14ac:dyDescent="0.2">
      <c r="A1446" s="44">
        <v>43759</v>
      </c>
      <c r="B1446" s="48">
        <v>0.66249999999999998</v>
      </c>
      <c r="C1446" s="48"/>
      <c r="D1446" s="48" t="s">
        <v>97</v>
      </c>
      <c r="E1446" s="13">
        <v>2</v>
      </c>
      <c r="F1446" s="38" t="str">
        <f>VLOOKUP(E1446,[6]Key!$A$17:$B$21,2,FALSE)</f>
        <v>Road Vehicle</v>
      </c>
      <c r="G1446" s="49">
        <v>4</v>
      </c>
      <c r="H1446" s="39" t="str">
        <f>VLOOKUP(G1446,[6]Key!$A$2:$B$14,2,FALSE)</f>
        <v>Minibus</v>
      </c>
      <c r="I1446" s="13" t="s">
        <v>109</v>
      </c>
      <c r="J1446" s="13">
        <v>2</v>
      </c>
      <c r="K1446" s="40" t="str">
        <f>VLOOKUP(J1446,[6]Key!$A$24:$B$29,2,FALSE)</f>
        <v>30-39</v>
      </c>
      <c r="L1446" s="55" t="s">
        <v>832</v>
      </c>
      <c r="M1446" s="23" t="s">
        <v>832</v>
      </c>
      <c r="N1446" s="13" t="s">
        <v>820</v>
      </c>
      <c r="O1446" s="46">
        <v>4</v>
      </c>
      <c r="P1446" s="30" t="str">
        <f>VLOOKUP(O1446,[6]Key!$E$2:$F$9,2,FALSE)</f>
        <v>Commercial</v>
      </c>
      <c r="Q1446" s="13" t="s">
        <v>819</v>
      </c>
      <c r="R1446" s="23" t="s">
        <v>819</v>
      </c>
      <c r="S1446" s="13" t="s">
        <v>820</v>
      </c>
      <c r="T1446" s="23">
        <v>4</v>
      </c>
      <c r="U1446" s="30" t="str">
        <f>VLOOKUP(T1446,[6]Key!$E$2:$F$9,2,FALSE)</f>
        <v>Commercial</v>
      </c>
      <c r="V1446" s="30" t="str">
        <f t="shared" si="88"/>
        <v>Commercial-Commercial</v>
      </c>
      <c r="W1446" s="41">
        <v>140000</v>
      </c>
      <c r="X1446" s="50"/>
      <c r="Y1446" s="50" t="str">
        <f t="shared" si="89"/>
        <v>0-10</v>
      </c>
      <c r="Z1446" s="50">
        <v>5.5</v>
      </c>
      <c r="AA1446" s="50" t="str">
        <f t="shared" si="90"/>
        <v>Over 3.5</v>
      </c>
      <c r="AB1446" s="23">
        <v>10</v>
      </c>
      <c r="AC1446" s="30" t="str">
        <f>VLOOKUP(AB1446,[6]Key!$C$20:$D$29,2,FALSE)</f>
        <v>Other</v>
      </c>
      <c r="AD1446" s="23">
        <v>4</v>
      </c>
      <c r="AE1446" s="30" t="str">
        <f>VLOOKUP(AD1446,[6]Key!$E$20:$F$24,2,FALSE)</f>
        <v>750,000-1,000,000</v>
      </c>
      <c r="AF1446" s="23">
        <v>2</v>
      </c>
      <c r="AG1446" s="50">
        <v>1</v>
      </c>
      <c r="AH1446" s="50">
        <v>5</v>
      </c>
      <c r="AI1446" s="50">
        <v>3</v>
      </c>
      <c r="AJ1446" s="50">
        <v>4</v>
      </c>
      <c r="AK1446" s="46" t="s">
        <v>94</v>
      </c>
      <c r="AL1446" s="36"/>
      <c r="AM1446" t="str">
        <f t="shared" si="91"/>
        <v>0-1000</v>
      </c>
    </row>
    <row r="1447" spans="1:39" x14ac:dyDescent="0.2">
      <c r="A1447" s="44">
        <v>43759</v>
      </c>
      <c r="B1447" s="48">
        <v>0.64861111111111114</v>
      </c>
      <c r="C1447" s="48"/>
      <c r="D1447" s="48" t="s">
        <v>150</v>
      </c>
      <c r="E1447" s="13">
        <v>2</v>
      </c>
      <c r="F1447" s="38" t="str">
        <f>VLOOKUP(E1447,[6]Key!$A$17:$B$21,2,FALSE)</f>
        <v>Road Vehicle</v>
      </c>
      <c r="G1447" s="49">
        <v>4</v>
      </c>
      <c r="H1447" s="39" t="str">
        <f>VLOOKUP(G1447,[6]Key!$A$2:$B$14,2,FALSE)</f>
        <v>Minibus</v>
      </c>
      <c r="I1447" s="13" t="s">
        <v>109</v>
      </c>
      <c r="J1447" s="13">
        <v>2</v>
      </c>
      <c r="K1447" s="40" t="str">
        <f>VLOOKUP(J1447,[6]Key!$A$24:$B$29,2,FALSE)</f>
        <v>30-39</v>
      </c>
      <c r="L1447" s="55" t="s">
        <v>819</v>
      </c>
      <c r="M1447" s="23" t="s">
        <v>819</v>
      </c>
      <c r="N1447" s="13" t="s">
        <v>820</v>
      </c>
      <c r="O1447" s="46">
        <v>1</v>
      </c>
      <c r="P1447" s="30" t="str">
        <f>VLOOKUP(O1447,[6]Key!$E$2:$F$9,2,FALSE)</f>
        <v>Home</v>
      </c>
      <c r="Q1447" s="13" t="s">
        <v>283</v>
      </c>
      <c r="R1447" s="23" t="s">
        <v>283</v>
      </c>
      <c r="S1447" s="13" t="s">
        <v>820</v>
      </c>
      <c r="T1447" s="23">
        <v>4</v>
      </c>
      <c r="U1447" s="30" t="str">
        <f>VLOOKUP(T1447,[6]Key!$E$2:$F$9,2,FALSE)</f>
        <v>Commercial</v>
      </c>
      <c r="V1447" s="30" t="str">
        <f t="shared" si="88"/>
        <v>Home-Commercial</v>
      </c>
      <c r="W1447" s="41">
        <v>15000</v>
      </c>
      <c r="X1447" s="50"/>
      <c r="Y1447" s="50" t="str">
        <f t="shared" si="89"/>
        <v>0-10</v>
      </c>
      <c r="Z1447" s="50">
        <v>3</v>
      </c>
      <c r="AA1447" s="50" t="str">
        <f t="shared" si="90"/>
        <v>2.0-3.5</v>
      </c>
      <c r="AB1447" s="23">
        <v>7</v>
      </c>
      <c r="AC1447" s="30" t="str">
        <f>VLOOKUP(AB1447,[6]Key!$C$20:$D$29,2,FALSE)</f>
        <v>Farmer</v>
      </c>
      <c r="AD1447" s="23">
        <v>3</v>
      </c>
      <c r="AE1447" s="30" t="str">
        <f>VLOOKUP(AD1447,[6]Key!$E$20:$F$24,2,FALSE)</f>
        <v>500,000-750,000</v>
      </c>
      <c r="AF1447" s="23">
        <v>2</v>
      </c>
      <c r="AG1447" s="50">
        <v>1</v>
      </c>
      <c r="AH1447" s="50">
        <v>4</v>
      </c>
      <c r="AI1447" s="50">
        <v>3</v>
      </c>
      <c r="AJ1447" s="50">
        <v>5</v>
      </c>
      <c r="AK1447" s="46" t="s">
        <v>94</v>
      </c>
      <c r="AL1447" s="36"/>
      <c r="AM1447" t="str">
        <f t="shared" si="91"/>
        <v>0-1000</v>
      </c>
    </row>
    <row r="1448" spans="1:39" x14ac:dyDescent="0.2">
      <c r="A1448" s="44">
        <v>43759</v>
      </c>
      <c r="B1448" s="48">
        <v>0.63958333333333328</v>
      </c>
      <c r="C1448" s="48"/>
      <c r="D1448" s="48" t="s">
        <v>97</v>
      </c>
      <c r="E1448" s="13">
        <v>2</v>
      </c>
      <c r="F1448" s="38" t="str">
        <f>VLOOKUP(E1448,[6]Key!$A$17:$B$21,2,FALSE)</f>
        <v>Road Vehicle</v>
      </c>
      <c r="G1448" s="49">
        <v>4</v>
      </c>
      <c r="H1448" s="39" t="str">
        <f>VLOOKUP(G1448,[6]Key!$A$2:$B$14,2,FALSE)</f>
        <v>Minibus</v>
      </c>
      <c r="I1448" s="13" t="s">
        <v>109</v>
      </c>
      <c r="J1448" s="13">
        <v>2</v>
      </c>
      <c r="K1448" s="40" t="str">
        <f>VLOOKUP(J1448,[6]Key!$A$24:$B$29,2,FALSE)</f>
        <v>30-39</v>
      </c>
      <c r="L1448" s="55" t="s">
        <v>819</v>
      </c>
      <c r="M1448" s="23" t="s">
        <v>819</v>
      </c>
      <c r="N1448" s="13" t="s">
        <v>820</v>
      </c>
      <c r="O1448" s="46">
        <v>4</v>
      </c>
      <c r="P1448" s="30" t="str">
        <f>VLOOKUP(O1448,[6]Key!$E$2:$F$9,2,FALSE)</f>
        <v>Commercial</v>
      </c>
      <c r="Q1448" s="13" t="s">
        <v>283</v>
      </c>
      <c r="R1448" s="23" t="s">
        <v>283</v>
      </c>
      <c r="S1448" s="13" t="s">
        <v>820</v>
      </c>
      <c r="T1448" s="23">
        <v>4</v>
      </c>
      <c r="U1448" s="30" t="str">
        <f>VLOOKUP(T1448,[6]Key!$E$2:$F$9,2,FALSE)</f>
        <v>Commercial</v>
      </c>
      <c r="V1448" s="30" t="str">
        <f t="shared" si="88"/>
        <v>Commercial-Commercial</v>
      </c>
      <c r="W1448" s="41">
        <v>60000</v>
      </c>
      <c r="X1448" s="50"/>
      <c r="Y1448" s="50" t="str">
        <f t="shared" si="89"/>
        <v>0-10</v>
      </c>
      <c r="Z1448" s="50">
        <v>5</v>
      </c>
      <c r="AA1448" s="50" t="str">
        <f t="shared" si="90"/>
        <v>Over 3.5</v>
      </c>
      <c r="AB1448" s="23">
        <v>10</v>
      </c>
      <c r="AC1448" s="30" t="str">
        <f>VLOOKUP(AB1448,[6]Key!$C$20:$D$29,2,FALSE)</f>
        <v>Other</v>
      </c>
      <c r="AD1448" s="23">
        <v>4</v>
      </c>
      <c r="AE1448" s="30" t="str">
        <f>VLOOKUP(AD1448,[6]Key!$E$20:$F$24,2,FALSE)</f>
        <v>750,000-1,000,000</v>
      </c>
      <c r="AF1448" s="23"/>
      <c r="AG1448" s="50"/>
      <c r="AH1448" s="50"/>
      <c r="AI1448" s="50"/>
      <c r="AJ1448" s="50"/>
      <c r="AK1448" s="46" t="s">
        <v>94</v>
      </c>
      <c r="AL1448" s="36"/>
      <c r="AM1448" t="str">
        <f t="shared" si="91"/>
        <v>0-1000</v>
      </c>
    </row>
    <row r="1449" spans="1:39" x14ac:dyDescent="0.2">
      <c r="A1449" s="44">
        <v>43759</v>
      </c>
      <c r="B1449" s="48">
        <v>0.69513888888888886</v>
      </c>
      <c r="C1449" s="48"/>
      <c r="D1449" s="48" t="s">
        <v>97</v>
      </c>
      <c r="E1449" s="13">
        <v>2</v>
      </c>
      <c r="F1449" s="38" t="str">
        <f>VLOOKUP(E1449,[6]Key!$A$17:$B$21,2,FALSE)</f>
        <v>Road Vehicle</v>
      </c>
      <c r="G1449" s="49">
        <v>4</v>
      </c>
      <c r="H1449" s="39" t="str">
        <f>VLOOKUP(G1449,[6]Key!$A$2:$B$14,2,FALSE)</f>
        <v>Minibus</v>
      </c>
      <c r="I1449" s="13" t="s">
        <v>109</v>
      </c>
      <c r="J1449" s="13">
        <v>2</v>
      </c>
      <c r="K1449" s="40" t="str">
        <f>VLOOKUP(J1449,[6]Key!$A$24:$B$29,2,FALSE)</f>
        <v>30-39</v>
      </c>
      <c r="L1449" s="55" t="s">
        <v>283</v>
      </c>
      <c r="M1449" s="23" t="s">
        <v>283</v>
      </c>
      <c r="N1449" s="13" t="s">
        <v>820</v>
      </c>
      <c r="O1449" s="46">
        <v>4</v>
      </c>
      <c r="P1449" s="30" t="str">
        <f>VLOOKUP(O1449,[6]Key!$E$2:$F$9,2,FALSE)</f>
        <v>Commercial</v>
      </c>
      <c r="Q1449" s="13" t="s">
        <v>819</v>
      </c>
      <c r="R1449" s="23" t="s">
        <v>819</v>
      </c>
      <c r="S1449" s="13" t="s">
        <v>820</v>
      </c>
      <c r="T1449" s="23">
        <v>4</v>
      </c>
      <c r="U1449" s="30" t="str">
        <f>VLOOKUP(T1449,[6]Key!$E$2:$F$9,2,FALSE)</f>
        <v>Commercial</v>
      </c>
      <c r="V1449" s="30" t="str">
        <f t="shared" si="88"/>
        <v>Commercial-Commercial</v>
      </c>
      <c r="W1449" s="41">
        <v>50000</v>
      </c>
      <c r="X1449" s="50"/>
      <c r="Y1449" s="50" t="str">
        <f t="shared" si="89"/>
        <v>0-10</v>
      </c>
      <c r="Z1449" s="50">
        <v>2.5</v>
      </c>
      <c r="AA1449" s="50" t="str">
        <f t="shared" si="90"/>
        <v>2.0-3.5</v>
      </c>
      <c r="AB1449" s="23">
        <v>10</v>
      </c>
      <c r="AC1449" s="30" t="str">
        <f>VLOOKUP(AB1449,[6]Key!$C$20:$D$29,2,FALSE)</f>
        <v>Other</v>
      </c>
      <c r="AD1449" s="23">
        <v>3</v>
      </c>
      <c r="AE1449" s="30" t="str">
        <f>VLOOKUP(AD1449,[6]Key!$E$20:$F$24,2,FALSE)</f>
        <v>500,000-750,000</v>
      </c>
      <c r="AF1449" s="23">
        <v>4</v>
      </c>
      <c r="AG1449" s="50">
        <v>3</v>
      </c>
      <c r="AH1449" s="50">
        <v>1</v>
      </c>
      <c r="AI1449" s="50">
        <v>2</v>
      </c>
      <c r="AJ1449" s="50">
        <v>5</v>
      </c>
      <c r="AK1449" s="46" t="s">
        <v>94</v>
      </c>
      <c r="AL1449" s="36">
        <v>10000</v>
      </c>
      <c r="AM1449" t="str">
        <f t="shared" si="91"/>
        <v>Over 10000</v>
      </c>
    </row>
    <row r="1450" spans="1:39" x14ac:dyDescent="0.2">
      <c r="A1450" s="44">
        <v>43759</v>
      </c>
      <c r="B1450" s="48"/>
      <c r="C1450" s="48"/>
      <c r="D1450" s="48" t="s">
        <v>97</v>
      </c>
      <c r="E1450" s="13">
        <v>2</v>
      </c>
      <c r="F1450" s="38" t="str">
        <f>VLOOKUP(E1450,[6]Key!$A$17:$B$21,2,FALSE)</f>
        <v>Road Vehicle</v>
      </c>
      <c r="G1450" s="49">
        <v>4</v>
      </c>
      <c r="H1450" s="39" t="str">
        <f>VLOOKUP(G1450,[6]Key!$A$2:$B$14,2,FALSE)</f>
        <v>Minibus</v>
      </c>
      <c r="I1450" s="13" t="s">
        <v>109</v>
      </c>
      <c r="J1450" s="13">
        <v>2</v>
      </c>
      <c r="K1450" s="40" t="str">
        <f>VLOOKUP(J1450,[6]Key!$A$24:$B$29,2,FALSE)</f>
        <v>30-39</v>
      </c>
      <c r="L1450" s="55" t="s">
        <v>819</v>
      </c>
      <c r="M1450" s="23" t="s">
        <v>819</v>
      </c>
      <c r="N1450" s="13" t="s">
        <v>820</v>
      </c>
      <c r="O1450" s="46">
        <v>1</v>
      </c>
      <c r="P1450" s="30" t="str">
        <f>VLOOKUP(O1450,[6]Key!$E$2:$F$9,2,FALSE)</f>
        <v>Home</v>
      </c>
      <c r="Q1450" s="13" t="s">
        <v>863</v>
      </c>
      <c r="R1450" s="23" t="s">
        <v>832</v>
      </c>
      <c r="S1450" s="13" t="s">
        <v>820</v>
      </c>
      <c r="T1450" s="23">
        <v>2</v>
      </c>
      <c r="U1450" s="30" t="str">
        <f>VLOOKUP(T1450,[6]Key!$E$2:$F$9,2,FALSE)</f>
        <v>Work</v>
      </c>
      <c r="V1450" s="30" t="str">
        <f t="shared" si="88"/>
        <v>Home-Work</v>
      </c>
      <c r="W1450" s="41">
        <v>90000</v>
      </c>
      <c r="X1450" s="50">
        <v>100</v>
      </c>
      <c r="Y1450" s="50" t="str">
        <f t="shared" si="89"/>
        <v>100-200</v>
      </c>
      <c r="Z1450" s="50">
        <v>1.5</v>
      </c>
      <c r="AA1450" s="50" t="str">
        <f t="shared" si="90"/>
        <v>1.0-2.0</v>
      </c>
      <c r="AB1450" s="23">
        <v>2</v>
      </c>
      <c r="AC1450" s="30" t="str">
        <f>VLOOKUP(AB1450,[6]Key!$C$20:$D$29,2,FALSE)</f>
        <v>Manual Labour</v>
      </c>
      <c r="AD1450" s="23">
        <v>1</v>
      </c>
      <c r="AE1450" s="30" t="str">
        <f>VLOOKUP(AD1450,[6]Key!$E$20:$F$24,2,FALSE)</f>
        <v>&lt;300,000</v>
      </c>
      <c r="AF1450" s="23"/>
      <c r="AG1450" s="50"/>
      <c r="AH1450" s="50"/>
      <c r="AI1450" s="50"/>
      <c r="AJ1450" s="50"/>
      <c r="AK1450" s="46" t="s">
        <v>94</v>
      </c>
      <c r="AL1450" s="36">
        <v>5000</v>
      </c>
      <c r="AM1450" t="str">
        <f t="shared" si="91"/>
        <v>5000-10000</v>
      </c>
    </row>
    <row r="1451" spans="1:39" x14ac:dyDescent="0.2">
      <c r="A1451" s="44">
        <v>43759</v>
      </c>
      <c r="B1451" s="48"/>
      <c r="C1451" s="48"/>
      <c r="D1451" s="48" t="s">
        <v>150</v>
      </c>
      <c r="E1451" s="13">
        <v>2</v>
      </c>
      <c r="F1451" s="38" t="str">
        <f>VLOOKUP(E1451,[6]Key!$A$17:$B$21,2,FALSE)</f>
        <v>Road Vehicle</v>
      </c>
      <c r="G1451" s="49">
        <v>4</v>
      </c>
      <c r="H1451" s="39" t="str">
        <f>VLOOKUP(G1451,[6]Key!$A$2:$B$14,2,FALSE)</f>
        <v>Minibus</v>
      </c>
      <c r="I1451" s="13" t="s">
        <v>109</v>
      </c>
      <c r="J1451" s="13">
        <v>2</v>
      </c>
      <c r="K1451" s="40" t="str">
        <f>VLOOKUP(J1451,[6]Key!$A$24:$B$29,2,FALSE)</f>
        <v>30-39</v>
      </c>
      <c r="L1451" s="55" t="s">
        <v>819</v>
      </c>
      <c r="M1451" s="23" t="s">
        <v>819</v>
      </c>
      <c r="N1451" s="13" t="s">
        <v>820</v>
      </c>
      <c r="O1451" s="46">
        <v>1</v>
      </c>
      <c r="P1451" s="30" t="str">
        <f>VLOOKUP(O1451,[6]Key!$E$2:$F$9,2,FALSE)</f>
        <v>Home</v>
      </c>
      <c r="Q1451" s="13" t="s">
        <v>366</v>
      </c>
      <c r="R1451" s="23" t="s">
        <v>366</v>
      </c>
      <c r="S1451" s="13" t="s">
        <v>820</v>
      </c>
      <c r="T1451" s="23">
        <v>4</v>
      </c>
      <c r="U1451" s="30" t="str">
        <f>VLOOKUP(T1451,[6]Key!$E$2:$F$9,2,FALSE)</f>
        <v>Commercial</v>
      </c>
      <c r="V1451" s="30" t="str">
        <f t="shared" si="88"/>
        <v>Home-Commercial</v>
      </c>
      <c r="W1451" s="41">
        <v>5000</v>
      </c>
      <c r="X1451" s="50"/>
      <c r="Y1451" s="50" t="str">
        <f t="shared" si="89"/>
        <v>0-10</v>
      </c>
      <c r="Z1451" s="50">
        <v>1</v>
      </c>
      <c r="AA1451" s="50" t="str">
        <f t="shared" si="90"/>
        <v>1.0-2.0</v>
      </c>
      <c r="AB1451" s="23">
        <v>6</v>
      </c>
      <c r="AC1451" s="30" t="str">
        <f>VLOOKUP(AB1451,[6]Key!$C$20:$D$29,2,FALSE)</f>
        <v>Businessman</v>
      </c>
      <c r="AD1451" s="23">
        <v>1</v>
      </c>
      <c r="AE1451" s="30" t="str">
        <f>VLOOKUP(AD1451,[6]Key!$E$20:$F$24,2,FALSE)</f>
        <v>&lt;300,000</v>
      </c>
      <c r="AF1451" s="23">
        <v>1</v>
      </c>
      <c r="AG1451" s="50">
        <v>3</v>
      </c>
      <c r="AH1451" s="50">
        <v>4</v>
      </c>
      <c r="AI1451" s="50">
        <v>5</v>
      </c>
      <c r="AJ1451" s="50">
        <v>2</v>
      </c>
      <c r="AK1451" s="46" t="s">
        <v>94</v>
      </c>
      <c r="AL1451" s="36"/>
      <c r="AM1451" t="str">
        <f t="shared" si="91"/>
        <v>0-1000</v>
      </c>
    </row>
    <row r="1452" spans="1:39" x14ac:dyDescent="0.2">
      <c r="A1452" s="44">
        <v>43760</v>
      </c>
      <c r="B1452" s="48">
        <v>0.54166666666666663</v>
      </c>
      <c r="C1452" s="48"/>
      <c r="D1452" s="48" t="s">
        <v>97</v>
      </c>
      <c r="E1452" s="13">
        <v>2</v>
      </c>
      <c r="F1452" s="38" t="str">
        <f>VLOOKUP(E1452,[6]Key!$A$17:$B$21,2,FALSE)</f>
        <v>Road Vehicle</v>
      </c>
      <c r="G1452" s="49">
        <v>4</v>
      </c>
      <c r="H1452" s="39" t="str">
        <f>VLOOKUP(G1452,[6]Key!$A$2:$B$14,2,FALSE)</f>
        <v>Minibus</v>
      </c>
      <c r="I1452" s="13" t="s">
        <v>109</v>
      </c>
      <c r="J1452" s="13">
        <v>2</v>
      </c>
      <c r="K1452" s="40" t="str">
        <f>VLOOKUP(J1452,[6]Key!$A$24:$B$29,2,FALSE)</f>
        <v>30-39</v>
      </c>
      <c r="L1452" s="55" t="s">
        <v>819</v>
      </c>
      <c r="M1452" s="23" t="s">
        <v>819</v>
      </c>
      <c r="N1452" s="13" t="s">
        <v>820</v>
      </c>
      <c r="O1452" s="46">
        <v>2</v>
      </c>
      <c r="P1452" s="30" t="str">
        <f>VLOOKUP(O1452,[6]Key!$E$2:$F$9,2,FALSE)</f>
        <v>Work</v>
      </c>
      <c r="Q1452" s="13" t="s">
        <v>404</v>
      </c>
      <c r="R1452" s="23" t="s">
        <v>404</v>
      </c>
      <c r="S1452" s="13" t="s">
        <v>820</v>
      </c>
      <c r="T1452" s="23">
        <v>1</v>
      </c>
      <c r="U1452" s="30" t="str">
        <f>VLOOKUP(T1452,[6]Key!$E$2:$F$9,2,FALSE)</f>
        <v>Home</v>
      </c>
      <c r="V1452" s="30" t="str">
        <f t="shared" si="88"/>
        <v>Work-Home</v>
      </c>
      <c r="W1452" s="41">
        <v>200000</v>
      </c>
      <c r="X1452" s="50">
        <v>390</v>
      </c>
      <c r="Y1452" s="50" t="str">
        <f t="shared" si="89"/>
        <v>Over 200</v>
      </c>
      <c r="Z1452" s="50">
        <v>8</v>
      </c>
      <c r="AA1452" s="50" t="str">
        <f t="shared" si="90"/>
        <v>Over 3.5</v>
      </c>
      <c r="AB1452" s="23">
        <v>10</v>
      </c>
      <c r="AC1452" s="30" t="str">
        <f>VLOOKUP(AB1452,[6]Key!$C$20:$D$29,2,FALSE)</f>
        <v>Other</v>
      </c>
      <c r="AD1452" s="23">
        <v>1</v>
      </c>
      <c r="AE1452" s="30" t="str">
        <f>VLOOKUP(AD1452,[6]Key!$E$20:$F$24,2,FALSE)</f>
        <v>&lt;300,000</v>
      </c>
      <c r="AF1452" s="23">
        <v>2</v>
      </c>
      <c r="AG1452" s="50">
        <v>1</v>
      </c>
      <c r="AH1452" s="50">
        <v>3</v>
      </c>
      <c r="AI1452" s="50">
        <v>5</v>
      </c>
      <c r="AJ1452" s="50">
        <v>4</v>
      </c>
      <c r="AK1452" s="46" t="s">
        <v>94</v>
      </c>
      <c r="AL1452" s="36">
        <v>1000</v>
      </c>
      <c r="AM1452" t="str">
        <f t="shared" si="91"/>
        <v>1000-2000</v>
      </c>
    </row>
    <row r="1453" spans="1:39" x14ac:dyDescent="0.2">
      <c r="A1453" s="44">
        <v>43760</v>
      </c>
      <c r="B1453" s="48">
        <v>0.43055555555555558</v>
      </c>
      <c r="C1453" s="48"/>
      <c r="D1453" s="48" t="s">
        <v>150</v>
      </c>
      <c r="E1453" s="13">
        <v>2</v>
      </c>
      <c r="F1453" s="38" t="str">
        <f>VLOOKUP(E1453,[6]Key!$A$17:$B$21,2,FALSE)</f>
        <v>Road Vehicle</v>
      </c>
      <c r="G1453" s="49">
        <v>4</v>
      </c>
      <c r="H1453" s="39" t="str">
        <f>VLOOKUP(G1453,[6]Key!$A$2:$B$14,2,FALSE)</f>
        <v>Minibus</v>
      </c>
      <c r="I1453" s="13" t="s">
        <v>109</v>
      </c>
      <c r="J1453" s="13">
        <v>2</v>
      </c>
      <c r="K1453" s="40" t="str">
        <f>VLOOKUP(J1453,[6]Key!$A$24:$B$29,2,FALSE)</f>
        <v>30-39</v>
      </c>
      <c r="L1453" s="55" t="s">
        <v>869</v>
      </c>
      <c r="M1453" s="23" t="s">
        <v>819</v>
      </c>
      <c r="N1453" s="13" t="s">
        <v>820</v>
      </c>
      <c r="O1453" s="46">
        <v>1</v>
      </c>
      <c r="P1453" s="30" t="str">
        <f>VLOOKUP(O1453,[6]Key!$E$2:$F$9,2,FALSE)</f>
        <v>Home</v>
      </c>
      <c r="Q1453" s="13" t="s">
        <v>825</v>
      </c>
      <c r="R1453" s="23" t="s">
        <v>819</v>
      </c>
      <c r="S1453" s="13" t="s">
        <v>820</v>
      </c>
      <c r="T1453" s="23">
        <v>2</v>
      </c>
      <c r="U1453" s="30" t="str">
        <f>VLOOKUP(T1453,[6]Key!$E$2:$F$9,2,FALSE)</f>
        <v>Work</v>
      </c>
      <c r="V1453" s="30" t="str">
        <f t="shared" si="88"/>
        <v>Home-Work</v>
      </c>
      <c r="W1453" s="41">
        <v>2000</v>
      </c>
      <c r="X1453" s="50">
        <v>3</v>
      </c>
      <c r="Y1453" s="50" t="str">
        <f t="shared" si="89"/>
        <v>0-10</v>
      </c>
      <c r="Z1453" s="50">
        <v>1.5</v>
      </c>
      <c r="AA1453" s="50" t="str">
        <f t="shared" si="90"/>
        <v>1.0-2.0</v>
      </c>
      <c r="AB1453" s="23">
        <v>2</v>
      </c>
      <c r="AC1453" s="30" t="str">
        <f>VLOOKUP(AB1453,[6]Key!$C$20:$D$29,2,FALSE)</f>
        <v>Manual Labour</v>
      </c>
      <c r="AD1453" s="23">
        <v>1</v>
      </c>
      <c r="AE1453" s="30" t="str">
        <f>VLOOKUP(AD1453,[6]Key!$E$20:$F$24,2,FALSE)</f>
        <v>&lt;300,000</v>
      </c>
      <c r="AF1453" s="23">
        <v>3</v>
      </c>
      <c r="AG1453" s="50">
        <v>2</v>
      </c>
      <c r="AH1453" s="50">
        <v>1</v>
      </c>
      <c r="AI1453" s="50">
        <v>5</v>
      </c>
      <c r="AJ1453" s="50">
        <v>4</v>
      </c>
      <c r="AK1453" s="46" t="s">
        <v>94</v>
      </c>
      <c r="AL1453" s="36"/>
      <c r="AM1453" t="str">
        <f t="shared" si="91"/>
        <v>0-1000</v>
      </c>
    </row>
    <row r="1454" spans="1:39" x14ac:dyDescent="0.2">
      <c r="A1454" s="44">
        <v>43760</v>
      </c>
      <c r="B1454" s="48">
        <v>0.44791666666666669</v>
      </c>
      <c r="C1454" s="48"/>
      <c r="D1454" s="48" t="s">
        <v>150</v>
      </c>
      <c r="E1454" s="13">
        <v>2</v>
      </c>
      <c r="F1454" s="38" t="str">
        <f>VLOOKUP(E1454,[6]Key!$A$17:$B$21,2,FALSE)</f>
        <v>Road Vehicle</v>
      </c>
      <c r="G1454" s="49">
        <v>4</v>
      </c>
      <c r="H1454" s="39" t="str">
        <f>VLOOKUP(G1454,[6]Key!$A$2:$B$14,2,FALSE)</f>
        <v>Minibus</v>
      </c>
      <c r="I1454" s="13" t="s">
        <v>109</v>
      </c>
      <c r="J1454" s="13">
        <v>2</v>
      </c>
      <c r="K1454" s="40" t="str">
        <f>VLOOKUP(J1454,[6]Key!$A$24:$B$29,2,FALSE)</f>
        <v>30-39</v>
      </c>
      <c r="L1454" s="55" t="s">
        <v>870</v>
      </c>
      <c r="M1454" s="23" t="s">
        <v>819</v>
      </c>
      <c r="N1454" s="13" t="s">
        <v>820</v>
      </c>
      <c r="O1454" s="46">
        <v>2</v>
      </c>
      <c r="P1454" s="30" t="str">
        <f>VLOOKUP(O1454,[6]Key!$E$2:$F$9,2,FALSE)</f>
        <v>Work</v>
      </c>
      <c r="Q1454" s="13" t="s">
        <v>825</v>
      </c>
      <c r="R1454" s="23" t="s">
        <v>819</v>
      </c>
      <c r="S1454" s="13" t="s">
        <v>820</v>
      </c>
      <c r="T1454" s="23">
        <v>1</v>
      </c>
      <c r="U1454" s="30" t="str">
        <f>VLOOKUP(T1454,[6]Key!$E$2:$F$9,2,FALSE)</f>
        <v>Home</v>
      </c>
      <c r="V1454" s="30" t="str">
        <f t="shared" si="88"/>
        <v>Work-Home</v>
      </c>
      <c r="W1454" s="41">
        <v>2000</v>
      </c>
      <c r="X1454" s="50">
        <v>2</v>
      </c>
      <c r="Y1454" s="50" t="str">
        <f t="shared" si="89"/>
        <v>0-10</v>
      </c>
      <c r="Z1454" s="50">
        <v>0.5</v>
      </c>
      <c r="AA1454" s="50" t="str">
        <f t="shared" si="90"/>
        <v>0.5-1.0</v>
      </c>
      <c r="AB1454" s="23">
        <v>2</v>
      </c>
      <c r="AC1454" s="30" t="str">
        <f>VLOOKUP(AB1454,[6]Key!$C$20:$D$29,2,FALSE)</f>
        <v>Manual Labour</v>
      </c>
      <c r="AD1454" s="23">
        <v>1</v>
      </c>
      <c r="AE1454" s="30" t="str">
        <f>VLOOKUP(AD1454,[6]Key!$E$20:$F$24,2,FALSE)</f>
        <v>&lt;300,000</v>
      </c>
      <c r="AF1454" s="23">
        <v>4</v>
      </c>
      <c r="AG1454" s="50">
        <v>1</v>
      </c>
      <c r="AH1454" s="50">
        <v>3</v>
      </c>
      <c r="AI1454" s="50">
        <v>5</v>
      </c>
      <c r="AJ1454" s="50">
        <v>2</v>
      </c>
      <c r="AK1454" s="46" t="s">
        <v>94</v>
      </c>
      <c r="AL1454" s="36">
        <v>200</v>
      </c>
      <c r="AM1454" t="str">
        <f t="shared" si="91"/>
        <v>0-1000</v>
      </c>
    </row>
    <row r="1455" spans="1:39" x14ac:dyDescent="0.2">
      <c r="A1455" s="44">
        <v>43760</v>
      </c>
      <c r="B1455" s="48"/>
      <c r="C1455" s="48"/>
      <c r="D1455" s="48" t="s">
        <v>150</v>
      </c>
      <c r="E1455" s="13">
        <v>2</v>
      </c>
      <c r="F1455" s="38" t="str">
        <f>VLOOKUP(E1455,[6]Key!$A$17:$B$21,2,FALSE)</f>
        <v>Road Vehicle</v>
      </c>
      <c r="G1455" s="49">
        <v>4</v>
      </c>
      <c r="H1455" s="39" t="str">
        <f>VLOOKUP(G1455,[6]Key!$A$2:$B$14,2,FALSE)</f>
        <v>Minibus</v>
      </c>
      <c r="I1455" s="13" t="s">
        <v>109</v>
      </c>
      <c r="J1455" s="13">
        <v>2</v>
      </c>
      <c r="K1455" s="40" t="str">
        <f>VLOOKUP(J1455,[6]Key!$A$24:$B$29,2,FALSE)</f>
        <v>30-39</v>
      </c>
      <c r="L1455" s="55" t="s">
        <v>819</v>
      </c>
      <c r="M1455" s="23" t="s">
        <v>819</v>
      </c>
      <c r="N1455" s="13" t="s">
        <v>820</v>
      </c>
      <c r="O1455" s="46">
        <v>1</v>
      </c>
      <c r="P1455" s="30" t="str">
        <f>VLOOKUP(O1455,[6]Key!$E$2:$F$9,2,FALSE)</f>
        <v>Home</v>
      </c>
      <c r="Q1455" s="13" t="s">
        <v>836</v>
      </c>
      <c r="R1455" s="23" t="s">
        <v>819</v>
      </c>
      <c r="S1455" s="13" t="s">
        <v>820</v>
      </c>
      <c r="T1455" s="23">
        <v>2</v>
      </c>
      <c r="U1455" s="30" t="str">
        <f>VLOOKUP(T1455,[6]Key!$E$2:$F$9,2,FALSE)</f>
        <v>Work</v>
      </c>
      <c r="V1455" s="30" t="str">
        <f t="shared" si="88"/>
        <v>Home-Work</v>
      </c>
      <c r="W1455" s="41">
        <v>5000</v>
      </c>
      <c r="X1455" s="50">
        <v>75</v>
      </c>
      <c r="Y1455" s="50" t="str">
        <f t="shared" si="89"/>
        <v>70-100</v>
      </c>
      <c r="Z1455" s="50">
        <v>1</v>
      </c>
      <c r="AA1455" s="50" t="str">
        <f t="shared" si="90"/>
        <v>1.0-2.0</v>
      </c>
      <c r="AB1455" s="23">
        <v>2</v>
      </c>
      <c r="AC1455" s="30" t="str">
        <f>VLOOKUP(AB1455,[6]Key!$C$20:$D$29,2,FALSE)</f>
        <v>Manual Labour</v>
      </c>
      <c r="AD1455" s="23">
        <v>1</v>
      </c>
      <c r="AE1455" s="30" t="str">
        <f>VLOOKUP(AD1455,[6]Key!$E$20:$F$24,2,FALSE)</f>
        <v>&lt;300,000</v>
      </c>
      <c r="AF1455" s="23">
        <v>3</v>
      </c>
      <c r="AG1455" s="50">
        <v>1</v>
      </c>
      <c r="AH1455" s="50">
        <v>2</v>
      </c>
      <c r="AI1455" s="50">
        <v>5</v>
      </c>
      <c r="AJ1455" s="50">
        <v>4</v>
      </c>
      <c r="AK1455" s="46" t="s">
        <v>94</v>
      </c>
      <c r="AL1455" s="36">
        <v>5000</v>
      </c>
      <c r="AM1455" t="str">
        <f t="shared" si="91"/>
        <v>5000-10000</v>
      </c>
    </row>
    <row r="1456" spans="1:39" x14ac:dyDescent="0.2">
      <c r="A1456" s="44">
        <v>43760</v>
      </c>
      <c r="B1456" s="48"/>
      <c r="C1456" s="48"/>
      <c r="D1456" s="48" t="s">
        <v>150</v>
      </c>
      <c r="E1456" s="13">
        <v>2</v>
      </c>
      <c r="F1456" s="38" t="str">
        <f>VLOOKUP(E1456,[6]Key!$A$17:$B$21,2,FALSE)</f>
        <v>Road Vehicle</v>
      </c>
      <c r="G1456" s="49">
        <v>4</v>
      </c>
      <c r="H1456" s="39" t="str">
        <f>VLOOKUP(G1456,[6]Key!$A$2:$B$14,2,FALSE)</f>
        <v>Minibus</v>
      </c>
      <c r="I1456" s="13" t="s">
        <v>109</v>
      </c>
      <c r="J1456" s="13">
        <v>2</v>
      </c>
      <c r="K1456" s="40" t="str">
        <f>VLOOKUP(J1456,[6]Key!$A$24:$B$29,2,FALSE)</f>
        <v>30-39</v>
      </c>
      <c r="L1456" s="55" t="s">
        <v>819</v>
      </c>
      <c r="M1456" s="23" t="s">
        <v>819</v>
      </c>
      <c r="N1456" s="13" t="s">
        <v>820</v>
      </c>
      <c r="O1456" s="46">
        <v>1</v>
      </c>
      <c r="P1456" s="30" t="str">
        <f>VLOOKUP(O1456,[6]Key!$E$2:$F$9,2,FALSE)</f>
        <v>Home</v>
      </c>
      <c r="Q1456" s="13" t="s">
        <v>871</v>
      </c>
      <c r="R1456" s="23" t="s">
        <v>832</v>
      </c>
      <c r="S1456" s="13" t="s">
        <v>820</v>
      </c>
      <c r="T1456" s="23">
        <v>2</v>
      </c>
      <c r="U1456" s="30" t="str">
        <f>VLOOKUP(T1456,[6]Key!$E$2:$F$9,2,FALSE)</f>
        <v>Work</v>
      </c>
      <c r="V1456" s="30" t="str">
        <f t="shared" si="88"/>
        <v>Home-Work</v>
      </c>
      <c r="W1456" s="41">
        <v>12000</v>
      </c>
      <c r="X1456" s="50"/>
      <c r="Y1456" s="50" t="str">
        <f t="shared" si="89"/>
        <v>0-10</v>
      </c>
      <c r="Z1456" s="50">
        <v>1.5</v>
      </c>
      <c r="AA1456" s="50" t="str">
        <f t="shared" si="90"/>
        <v>1.0-2.0</v>
      </c>
      <c r="AB1456" s="23">
        <v>6</v>
      </c>
      <c r="AC1456" s="30" t="str">
        <f>VLOOKUP(AB1456,[6]Key!$C$20:$D$29,2,FALSE)</f>
        <v>Businessman</v>
      </c>
      <c r="AD1456" s="23">
        <v>3</v>
      </c>
      <c r="AE1456" s="30" t="str">
        <f>VLOOKUP(AD1456,[6]Key!$E$20:$F$24,2,FALSE)</f>
        <v>500,000-750,000</v>
      </c>
      <c r="AF1456" s="23">
        <v>3</v>
      </c>
      <c r="AG1456" s="50">
        <v>1</v>
      </c>
      <c r="AH1456" s="50">
        <v>2</v>
      </c>
      <c r="AI1456" s="50">
        <v>5</v>
      </c>
      <c r="AJ1456" s="50">
        <v>4</v>
      </c>
      <c r="AK1456" s="46" t="s">
        <v>94</v>
      </c>
      <c r="AL1456" s="36">
        <v>1000</v>
      </c>
      <c r="AM1456" t="str">
        <f t="shared" si="91"/>
        <v>1000-2000</v>
      </c>
    </row>
    <row r="1457" spans="1:39" x14ac:dyDescent="0.2">
      <c r="A1457" s="44">
        <v>43760</v>
      </c>
      <c r="B1457" s="48"/>
      <c r="C1457" s="48"/>
      <c r="D1457" s="48" t="s">
        <v>97</v>
      </c>
      <c r="E1457" s="13">
        <v>2</v>
      </c>
      <c r="F1457" s="38" t="str">
        <f>VLOOKUP(E1457,[6]Key!$A$17:$B$21,2,FALSE)</f>
        <v>Road Vehicle</v>
      </c>
      <c r="G1457" s="49">
        <v>4</v>
      </c>
      <c r="H1457" s="39" t="str">
        <f>VLOOKUP(G1457,[6]Key!$A$2:$B$14,2,FALSE)</f>
        <v>Minibus</v>
      </c>
      <c r="I1457" s="13" t="s">
        <v>109</v>
      </c>
      <c r="J1457" s="13">
        <v>2</v>
      </c>
      <c r="K1457" s="40" t="str">
        <f>VLOOKUP(J1457,[6]Key!$A$24:$B$29,2,FALSE)</f>
        <v>30-39</v>
      </c>
      <c r="L1457" s="55" t="s">
        <v>819</v>
      </c>
      <c r="M1457" s="23" t="s">
        <v>819</v>
      </c>
      <c r="N1457" s="13" t="s">
        <v>820</v>
      </c>
      <c r="O1457" s="46">
        <v>1</v>
      </c>
      <c r="P1457" s="30" t="str">
        <f>VLOOKUP(O1457,[6]Key!$E$2:$F$9,2,FALSE)</f>
        <v>Home</v>
      </c>
      <c r="Q1457" s="13" t="s">
        <v>840</v>
      </c>
      <c r="R1457" s="23" t="s">
        <v>819</v>
      </c>
      <c r="S1457" s="13" t="s">
        <v>820</v>
      </c>
      <c r="T1457" s="23">
        <v>2</v>
      </c>
      <c r="U1457" s="30" t="str">
        <f>VLOOKUP(T1457,[6]Key!$E$2:$F$9,2,FALSE)</f>
        <v>Work</v>
      </c>
      <c r="V1457" s="30" t="str">
        <f t="shared" si="88"/>
        <v>Home-Work</v>
      </c>
      <c r="W1457" s="41">
        <v>30000</v>
      </c>
      <c r="X1457" s="50">
        <v>10</v>
      </c>
      <c r="Y1457" s="50" t="str">
        <f t="shared" si="89"/>
        <v>10-20</v>
      </c>
      <c r="Z1457" s="50">
        <v>0.5</v>
      </c>
      <c r="AA1457" s="50" t="str">
        <f t="shared" si="90"/>
        <v>0.5-1.0</v>
      </c>
      <c r="AB1457" s="23">
        <v>5</v>
      </c>
      <c r="AC1457" s="30" t="str">
        <f>VLOOKUP(AB1457,[6]Key!$C$20:$D$29,2,FALSE)</f>
        <v>Professional</v>
      </c>
      <c r="AD1457" s="23">
        <v>3</v>
      </c>
      <c r="AE1457" s="30" t="str">
        <f>VLOOKUP(AD1457,[6]Key!$E$20:$F$24,2,FALSE)</f>
        <v>500,000-750,000</v>
      </c>
      <c r="AF1457" s="23">
        <v>1</v>
      </c>
      <c r="AG1457" s="50">
        <v>3</v>
      </c>
      <c r="AH1457" s="50">
        <v>2</v>
      </c>
      <c r="AI1457" s="50">
        <v>5</v>
      </c>
      <c r="AJ1457" s="50">
        <v>4</v>
      </c>
      <c r="AK1457" s="46" t="s">
        <v>94</v>
      </c>
      <c r="AL1457" s="36"/>
      <c r="AM1457" t="str">
        <f t="shared" si="91"/>
        <v>0-1000</v>
      </c>
    </row>
    <row r="1458" spans="1:39" x14ac:dyDescent="0.2">
      <c r="A1458" s="44">
        <v>43760</v>
      </c>
      <c r="B1458" s="48"/>
      <c r="C1458" s="48"/>
      <c r="D1458" s="48" t="s">
        <v>150</v>
      </c>
      <c r="E1458" s="13">
        <v>2</v>
      </c>
      <c r="F1458" s="38" t="str">
        <f>VLOOKUP(E1458,[6]Key!$A$17:$B$21,2,FALSE)</f>
        <v>Road Vehicle</v>
      </c>
      <c r="G1458" s="49">
        <v>4</v>
      </c>
      <c r="H1458" s="39" t="str">
        <f>VLOOKUP(G1458,[6]Key!$A$2:$B$14,2,FALSE)</f>
        <v>Minibus</v>
      </c>
      <c r="I1458" s="13" t="s">
        <v>109</v>
      </c>
      <c r="J1458" s="13">
        <v>2</v>
      </c>
      <c r="K1458" s="40" t="str">
        <f>VLOOKUP(J1458,[6]Key!$A$24:$B$29,2,FALSE)</f>
        <v>30-39</v>
      </c>
      <c r="L1458" s="55" t="s">
        <v>819</v>
      </c>
      <c r="M1458" s="23" t="s">
        <v>819</v>
      </c>
      <c r="N1458" s="13" t="s">
        <v>820</v>
      </c>
      <c r="O1458" s="46">
        <v>1</v>
      </c>
      <c r="P1458" s="30" t="str">
        <f>VLOOKUP(O1458,[6]Key!$E$2:$F$9,2,FALSE)</f>
        <v>Home</v>
      </c>
      <c r="Q1458" s="13" t="s">
        <v>837</v>
      </c>
      <c r="R1458" s="23" t="s">
        <v>819</v>
      </c>
      <c r="S1458" s="13" t="s">
        <v>820</v>
      </c>
      <c r="T1458" s="23">
        <v>5</v>
      </c>
      <c r="U1458" s="30" t="str">
        <f>VLOOKUP(T1458,[6]Key!$E$2:$F$9,2,FALSE)</f>
        <v>Tourism</v>
      </c>
      <c r="V1458" s="30" t="str">
        <f t="shared" si="88"/>
        <v>Home-Tourism</v>
      </c>
      <c r="W1458" s="41">
        <v>5000</v>
      </c>
      <c r="X1458" s="50">
        <v>30</v>
      </c>
      <c r="Y1458" s="50" t="str">
        <f t="shared" si="89"/>
        <v>20-40</v>
      </c>
      <c r="Z1458" s="50">
        <v>1</v>
      </c>
      <c r="AA1458" s="50" t="str">
        <f t="shared" si="90"/>
        <v>1.0-2.0</v>
      </c>
      <c r="AB1458" s="23">
        <v>2</v>
      </c>
      <c r="AC1458" s="30" t="str">
        <f>VLOOKUP(AB1458,[6]Key!$C$20:$D$29,2,FALSE)</f>
        <v>Manual Labour</v>
      </c>
      <c r="AD1458" s="23">
        <v>1</v>
      </c>
      <c r="AE1458" s="30" t="str">
        <f>VLOOKUP(AD1458,[6]Key!$E$20:$F$24,2,FALSE)</f>
        <v>&lt;300,000</v>
      </c>
      <c r="AF1458" s="23">
        <v>2</v>
      </c>
      <c r="AG1458" s="50">
        <v>1</v>
      </c>
      <c r="AH1458" s="50">
        <v>5</v>
      </c>
      <c r="AI1458" s="50">
        <v>3</v>
      </c>
      <c r="AJ1458" s="50">
        <v>4</v>
      </c>
      <c r="AK1458" s="46" t="s">
        <v>94</v>
      </c>
      <c r="AL1458" s="36">
        <v>7000</v>
      </c>
      <c r="AM1458" t="str">
        <f t="shared" si="91"/>
        <v>5000-10000</v>
      </c>
    </row>
    <row r="1459" spans="1:39" x14ac:dyDescent="0.2">
      <c r="A1459" s="44">
        <v>43760</v>
      </c>
      <c r="B1459" s="48"/>
      <c r="C1459" s="48"/>
      <c r="D1459" s="48" t="s">
        <v>97</v>
      </c>
      <c r="E1459" s="13">
        <v>2</v>
      </c>
      <c r="F1459" s="38" t="str">
        <f>VLOOKUP(E1459,[6]Key!$A$17:$B$21,2,FALSE)</f>
        <v>Road Vehicle</v>
      </c>
      <c r="G1459" s="49">
        <v>4</v>
      </c>
      <c r="H1459" s="39" t="str">
        <f>VLOOKUP(G1459,[6]Key!$A$2:$B$14,2,FALSE)</f>
        <v>Minibus</v>
      </c>
      <c r="I1459" s="13" t="s">
        <v>109</v>
      </c>
      <c r="J1459" s="13">
        <v>2</v>
      </c>
      <c r="K1459" s="40" t="str">
        <f>VLOOKUP(J1459,[6]Key!$A$24:$B$29,2,FALSE)</f>
        <v>30-39</v>
      </c>
      <c r="L1459" s="55" t="s">
        <v>819</v>
      </c>
      <c r="M1459" s="23" t="s">
        <v>819</v>
      </c>
      <c r="N1459" s="13" t="s">
        <v>820</v>
      </c>
      <c r="O1459" s="46">
        <v>1</v>
      </c>
      <c r="P1459" s="30" t="str">
        <f>VLOOKUP(O1459,[6]Key!$E$2:$F$9,2,FALSE)</f>
        <v>Home</v>
      </c>
      <c r="Q1459" s="13" t="s">
        <v>291</v>
      </c>
      <c r="R1459" s="23" t="s">
        <v>268</v>
      </c>
      <c r="S1459" s="13" t="s">
        <v>820</v>
      </c>
      <c r="T1459" s="23">
        <v>2</v>
      </c>
      <c r="U1459" s="30" t="str">
        <f>VLOOKUP(T1459,[6]Key!$E$2:$F$9,2,FALSE)</f>
        <v>Work</v>
      </c>
      <c r="V1459" s="30" t="str">
        <f t="shared" si="88"/>
        <v>Home-Work</v>
      </c>
      <c r="W1459" s="41">
        <v>80000</v>
      </c>
      <c r="X1459" s="50">
        <v>80</v>
      </c>
      <c r="Y1459" s="50" t="str">
        <f t="shared" si="89"/>
        <v>70-100</v>
      </c>
      <c r="Z1459" s="50">
        <v>1.5</v>
      </c>
      <c r="AA1459" s="50" t="str">
        <f t="shared" si="90"/>
        <v>1.0-2.0</v>
      </c>
      <c r="AB1459" s="23">
        <v>2</v>
      </c>
      <c r="AC1459" s="30" t="str">
        <f>VLOOKUP(AB1459,[6]Key!$C$20:$D$29,2,FALSE)</f>
        <v>Manual Labour</v>
      </c>
      <c r="AD1459" s="23">
        <v>3</v>
      </c>
      <c r="AE1459" s="30" t="str">
        <f>VLOOKUP(AD1459,[6]Key!$E$20:$F$24,2,FALSE)</f>
        <v>500,000-750,000</v>
      </c>
      <c r="AF1459" s="23">
        <v>2</v>
      </c>
      <c r="AG1459" s="50">
        <v>3</v>
      </c>
      <c r="AH1459" s="50">
        <v>1</v>
      </c>
      <c r="AI1459" s="50">
        <v>4</v>
      </c>
      <c r="AJ1459" s="50">
        <v>5</v>
      </c>
      <c r="AK1459" s="46" t="s">
        <v>94</v>
      </c>
      <c r="AL1459" s="36">
        <v>5000</v>
      </c>
      <c r="AM1459" t="str">
        <f t="shared" si="91"/>
        <v>5000-10000</v>
      </c>
    </row>
    <row r="1460" spans="1:39" x14ac:dyDescent="0.2">
      <c r="A1460" s="44">
        <v>43760</v>
      </c>
      <c r="B1460" s="48"/>
      <c r="C1460" s="48"/>
      <c r="D1460" s="48" t="s">
        <v>150</v>
      </c>
      <c r="E1460" s="13">
        <v>2</v>
      </c>
      <c r="F1460" s="38" t="str">
        <f>VLOOKUP(E1460,[6]Key!$A$17:$B$21,2,FALSE)</f>
        <v>Road Vehicle</v>
      </c>
      <c r="G1460" s="49">
        <v>4</v>
      </c>
      <c r="H1460" s="39" t="str">
        <f>VLOOKUP(G1460,[6]Key!$A$2:$B$14,2,FALSE)</f>
        <v>Minibus</v>
      </c>
      <c r="I1460" s="13" t="s">
        <v>109</v>
      </c>
      <c r="J1460" s="13">
        <v>2</v>
      </c>
      <c r="K1460" s="40" t="str">
        <f>VLOOKUP(J1460,[6]Key!$A$24:$B$29,2,FALSE)</f>
        <v>30-39</v>
      </c>
      <c r="L1460" s="55" t="s">
        <v>819</v>
      </c>
      <c r="M1460" s="23" t="s">
        <v>819</v>
      </c>
      <c r="N1460" s="13" t="s">
        <v>820</v>
      </c>
      <c r="O1460" s="46">
        <v>1</v>
      </c>
      <c r="P1460" s="30" t="str">
        <f>VLOOKUP(O1460,[6]Key!$E$2:$F$9,2,FALSE)</f>
        <v>Home</v>
      </c>
      <c r="Q1460" s="13" t="s">
        <v>822</v>
      </c>
      <c r="R1460" s="23" t="s">
        <v>822</v>
      </c>
      <c r="S1460" s="13" t="s">
        <v>820</v>
      </c>
      <c r="T1460" s="23">
        <v>4</v>
      </c>
      <c r="U1460" s="30" t="str">
        <f>VLOOKUP(T1460,[6]Key!$E$2:$F$9,2,FALSE)</f>
        <v>Commercial</v>
      </c>
      <c r="V1460" s="30" t="str">
        <f t="shared" si="88"/>
        <v>Home-Commercial</v>
      </c>
      <c r="W1460" s="41">
        <v>15000</v>
      </c>
      <c r="X1460" s="50"/>
      <c r="Y1460" s="50" t="str">
        <f t="shared" si="89"/>
        <v>0-10</v>
      </c>
      <c r="Z1460" s="50">
        <v>2</v>
      </c>
      <c r="AA1460" s="50" t="str">
        <f t="shared" si="90"/>
        <v>2.0-3.5</v>
      </c>
      <c r="AB1460" s="23">
        <v>4</v>
      </c>
      <c r="AC1460" s="30" t="str">
        <f>VLOOKUP(AB1460,[6]Key!$C$20:$D$29,2,FALSE)</f>
        <v>Office Worker</v>
      </c>
      <c r="AD1460" s="23">
        <v>2</v>
      </c>
      <c r="AE1460" s="30" t="str">
        <f>VLOOKUP(AD1460,[6]Key!$E$20:$F$24,2,FALSE)</f>
        <v>300,000-500,000</v>
      </c>
      <c r="AF1460" s="23">
        <v>2</v>
      </c>
      <c r="AG1460" s="50">
        <v>3</v>
      </c>
      <c r="AH1460" s="50">
        <v>5</v>
      </c>
      <c r="AI1460" s="50">
        <v>4</v>
      </c>
      <c r="AJ1460" s="50">
        <v>1</v>
      </c>
      <c r="AK1460" s="46" t="s">
        <v>94</v>
      </c>
      <c r="AL1460" s="36"/>
      <c r="AM1460" t="str">
        <f t="shared" si="91"/>
        <v>0-1000</v>
      </c>
    </row>
    <row r="1461" spans="1:39" x14ac:dyDescent="0.2">
      <c r="A1461" s="44">
        <v>43760</v>
      </c>
      <c r="B1461" s="48"/>
      <c r="C1461" s="48"/>
      <c r="D1461" s="48" t="s">
        <v>150</v>
      </c>
      <c r="E1461" s="13">
        <v>2</v>
      </c>
      <c r="F1461" s="38" t="str">
        <f>VLOOKUP(E1461,[6]Key!$A$17:$B$21,2,FALSE)</f>
        <v>Road Vehicle</v>
      </c>
      <c r="G1461" s="49">
        <v>4</v>
      </c>
      <c r="H1461" s="39" t="str">
        <f>VLOOKUP(G1461,[6]Key!$A$2:$B$14,2,FALSE)</f>
        <v>Minibus</v>
      </c>
      <c r="I1461" s="13" t="s">
        <v>109</v>
      </c>
      <c r="J1461" s="13">
        <v>2</v>
      </c>
      <c r="K1461" s="40" t="str">
        <f>VLOOKUP(J1461,[6]Key!$A$24:$B$29,2,FALSE)</f>
        <v>30-39</v>
      </c>
      <c r="L1461" s="55" t="s">
        <v>819</v>
      </c>
      <c r="M1461" s="23" t="s">
        <v>819</v>
      </c>
      <c r="N1461" s="13" t="s">
        <v>820</v>
      </c>
      <c r="O1461" s="46">
        <v>1</v>
      </c>
      <c r="P1461" s="30" t="str">
        <f>VLOOKUP(O1461,[6]Key!$E$2:$F$9,2,FALSE)</f>
        <v>Home</v>
      </c>
      <c r="Q1461" s="13" t="s">
        <v>283</v>
      </c>
      <c r="R1461" s="23" t="s">
        <v>283</v>
      </c>
      <c r="S1461" s="13" t="s">
        <v>820</v>
      </c>
      <c r="T1461" s="23">
        <v>6</v>
      </c>
      <c r="U1461" s="30" t="str">
        <f>VLOOKUP(T1461,[6]Key!$E$2:$F$9,2,FALSE)</f>
        <v>Leisure/Social</v>
      </c>
      <c r="V1461" s="30" t="str">
        <f t="shared" si="88"/>
        <v>Home-Leisure/Social</v>
      </c>
      <c r="W1461" s="41">
        <v>15000</v>
      </c>
      <c r="X1461" s="50"/>
      <c r="Y1461" s="50" t="str">
        <f t="shared" si="89"/>
        <v>0-10</v>
      </c>
      <c r="Z1461" s="50">
        <v>3</v>
      </c>
      <c r="AA1461" s="50" t="str">
        <f t="shared" si="90"/>
        <v>2.0-3.5</v>
      </c>
      <c r="AB1461" s="23">
        <v>4</v>
      </c>
      <c r="AC1461" s="30" t="str">
        <f>VLOOKUP(AB1461,[6]Key!$C$20:$D$29,2,FALSE)</f>
        <v>Office Worker</v>
      </c>
      <c r="AD1461" s="23">
        <v>4</v>
      </c>
      <c r="AE1461" s="30" t="str">
        <f>VLOOKUP(AD1461,[6]Key!$E$20:$F$24,2,FALSE)</f>
        <v>750,000-1,000,000</v>
      </c>
      <c r="AF1461" s="23">
        <v>3</v>
      </c>
      <c r="AG1461" s="50">
        <v>5</v>
      </c>
      <c r="AH1461" s="50">
        <v>4</v>
      </c>
      <c r="AI1461" s="50">
        <v>2</v>
      </c>
      <c r="AJ1461" s="50">
        <v>1</v>
      </c>
      <c r="AK1461" s="46" t="s">
        <v>94</v>
      </c>
      <c r="AL1461" s="36">
        <v>3000</v>
      </c>
      <c r="AM1461" t="str">
        <f t="shared" si="91"/>
        <v>3000-5000</v>
      </c>
    </row>
    <row r="1462" spans="1:39" x14ac:dyDescent="0.2">
      <c r="A1462" s="44">
        <v>43760</v>
      </c>
      <c r="B1462" s="48"/>
      <c r="C1462" s="48"/>
      <c r="D1462" s="48" t="s">
        <v>150</v>
      </c>
      <c r="E1462" s="13">
        <v>2</v>
      </c>
      <c r="F1462" s="38" t="str">
        <f>VLOOKUP(E1462,[6]Key!$A$17:$B$21,2,FALSE)</f>
        <v>Road Vehicle</v>
      </c>
      <c r="G1462" s="49">
        <v>4</v>
      </c>
      <c r="H1462" s="39" t="str">
        <f>VLOOKUP(G1462,[6]Key!$A$2:$B$14,2,FALSE)</f>
        <v>Minibus</v>
      </c>
      <c r="I1462" s="13" t="s">
        <v>109</v>
      </c>
      <c r="J1462" s="13">
        <v>2</v>
      </c>
      <c r="K1462" s="40" t="str">
        <f>VLOOKUP(J1462,[6]Key!$A$24:$B$29,2,FALSE)</f>
        <v>30-39</v>
      </c>
      <c r="L1462" s="55" t="s">
        <v>819</v>
      </c>
      <c r="M1462" s="23" t="s">
        <v>819</v>
      </c>
      <c r="N1462" s="13" t="s">
        <v>820</v>
      </c>
      <c r="O1462" s="46">
        <v>1</v>
      </c>
      <c r="P1462" s="30" t="str">
        <f>VLOOKUP(O1462,[6]Key!$E$2:$F$9,2,FALSE)</f>
        <v>Home</v>
      </c>
      <c r="Q1462" s="13" t="s">
        <v>838</v>
      </c>
      <c r="R1462" s="23" t="s">
        <v>832</v>
      </c>
      <c r="S1462" s="13" t="s">
        <v>820</v>
      </c>
      <c r="T1462" s="23">
        <v>2</v>
      </c>
      <c r="U1462" s="30" t="str">
        <f>VLOOKUP(T1462,[6]Key!$E$2:$F$9,2,FALSE)</f>
        <v>Work</v>
      </c>
      <c r="V1462" s="30" t="str">
        <f t="shared" si="88"/>
        <v>Home-Work</v>
      </c>
      <c r="W1462" s="41">
        <v>15000</v>
      </c>
      <c r="X1462" s="50">
        <v>90</v>
      </c>
      <c r="Y1462" s="50" t="str">
        <f t="shared" si="89"/>
        <v>70-100</v>
      </c>
      <c r="Z1462" s="50">
        <v>3</v>
      </c>
      <c r="AA1462" s="50" t="str">
        <f t="shared" si="90"/>
        <v>2.0-3.5</v>
      </c>
      <c r="AB1462" s="23">
        <v>10</v>
      </c>
      <c r="AC1462" s="30" t="str">
        <f>VLOOKUP(AB1462,[6]Key!$C$20:$D$29,2,FALSE)</f>
        <v>Other</v>
      </c>
      <c r="AD1462" s="23">
        <v>1</v>
      </c>
      <c r="AE1462" s="30" t="str">
        <f>VLOOKUP(AD1462,[6]Key!$E$20:$F$24,2,FALSE)</f>
        <v>&lt;300,000</v>
      </c>
      <c r="AF1462" s="23">
        <v>3</v>
      </c>
      <c r="AG1462" s="50">
        <v>2</v>
      </c>
      <c r="AH1462" s="50">
        <v>1</v>
      </c>
      <c r="AI1462" s="50">
        <v>5</v>
      </c>
      <c r="AJ1462" s="50">
        <v>4</v>
      </c>
      <c r="AK1462" s="46" t="s">
        <v>94</v>
      </c>
      <c r="AL1462" s="36">
        <v>5000</v>
      </c>
      <c r="AM1462" t="str">
        <f t="shared" si="91"/>
        <v>5000-10000</v>
      </c>
    </row>
    <row r="1463" spans="1:39" x14ac:dyDescent="0.2">
      <c r="A1463" s="44">
        <v>43760</v>
      </c>
      <c r="B1463" s="48"/>
      <c r="C1463" s="48"/>
      <c r="D1463" s="48" t="s">
        <v>150</v>
      </c>
      <c r="E1463" s="13">
        <v>2</v>
      </c>
      <c r="F1463" s="38" t="str">
        <f>VLOOKUP(E1463,[6]Key!$A$17:$B$21,2,FALSE)</f>
        <v>Road Vehicle</v>
      </c>
      <c r="G1463" s="49">
        <v>4</v>
      </c>
      <c r="H1463" s="39" t="str">
        <f>VLOOKUP(G1463,[6]Key!$A$2:$B$14,2,FALSE)</f>
        <v>Minibus</v>
      </c>
      <c r="I1463" s="13" t="s">
        <v>109</v>
      </c>
      <c r="J1463" s="13">
        <v>2</v>
      </c>
      <c r="K1463" s="40" t="str">
        <f>VLOOKUP(J1463,[6]Key!$A$24:$B$29,2,FALSE)</f>
        <v>30-39</v>
      </c>
      <c r="L1463" s="55" t="s">
        <v>404</v>
      </c>
      <c r="M1463" s="23" t="s">
        <v>404</v>
      </c>
      <c r="N1463" s="13" t="s">
        <v>820</v>
      </c>
      <c r="O1463" s="46">
        <v>1</v>
      </c>
      <c r="P1463" s="30" t="str">
        <f>VLOOKUP(O1463,[6]Key!$E$2:$F$9,2,FALSE)</f>
        <v>Home</v>
      </c>
      <c r="Q1463" s="13" t="s">
        <v>819</v>
      </c>
      <c r="R1463" s="23" t="s">
        <v>819</v>
      </c>
      <c r="S1463" s="13" t="s">
        <v>820</v>
      </c>
      <c r="T1463" s="23">
        <v>2</v>
      </c>
      <c r="U1463" s="30" t="str">
        <f>VLOOKUP(T1463,[6]Key!$E$2:$F$9,2,FALSE)</f>
        <v>Work</v>
      </c>
      <c r="V1463" s="30" t="str">
        <f t="shared" si="88"/>
        <v>Home-Work</v>
      </c>
      <c r="W1463" s="41">
        <v>25000</v>
      </c>
      <c r="X1463" s="50">
        <v>400</v>
      </c>
      <c r="Y1463" s="50" t="str">
        <f t="shared" si="89"/>
        <v>Over 200</v>
      </c>
      <c r="Z1463" s="50">
        <v>7</v>
      </c>
      <c r="AA1463" s="50" t="str">
        <f t="shared" si="90"/>
        <v>Over 3.5</v>
      </c>
      <c r="AB1463" s="23">
        <v>4</v>
      </c>
      <c r="AC1463" s="30" t="str">
        <f>VLOOKUP(AB1463,[6]Key!$C$20:$D$29,2,FALSE)</f>
        <v>Office Worker</v>
      </c>
      <c r="AD1463" s="23">
        <v>5</v>
      </c>
      <c r="AE1463" s="30" t="str">
        <f>VLOOKUP(AD1463,[6]Key!$E$20:$F$24,2,FALSE)</f>
        <v>&gt;1,000,000</v>
      </c>
      <c r="AF1463" s="23">
        <v>1</v>
      </c>
      <c r="AG1463" s="50">
        <v>3</v>
      </c>
      <c r="AH1463" s="50">
        <v>2</v>
      </c>
      <c r="AI1463" s="50">
        <v>4</v>
      </c>
      <c r="AJ1463" s="50">
        <v>5</v>
      </c>
      <c r="AK1463" s="46" t="s">
        <v>94</v>
      </c>
      <c r="AL1463" s="36"/>
      <c r="AM1463" t="str">
        <f t="shared" si="91"/>
        <v>0-1000</v>
      </c>
    </row>
    <row r="1464" spans="1:39" x14ac:dyDescent="0.2">
      <c r="A1464" s="44">
        <v>43760</v>
      </c>
      <c r="B1464" s="48"/>
      <c r="C1464" s="48"/>
      <c r="D1464" s="48" t="s">
        <v>97</v>
      </c>
      <c r="E1464" s="13">
        <v>2</v>
      </c>
      <c r="F1464" s="38" t="str">
        <f>VLOOKUP(E1464,[6]Key!$A$17:$B$21,2,FALSE)</f>
        <v>Road Vehicle</v>
      </c>
      <c r="G1464" s="49">
        <v>4</v>
      </c>
      <c r="H1464" s="39" t="str">
        <f>VLOOKUP(G1464,[6]Key!$A$2:$B$14,2,FALSE)</f>
        <v>Minibus</v>
      </c>
      <c r="I1464" s="13" t="s">
        <v>109</v>
      </c>
      <c r="J1464" s="13">
        <v>2</v>
      </c>
      <c r="K1464" s="40" t="str">
        <f>VLOOKUP(J1464,[6]Key!$A$24:$B$29,2,FALSE)</f>
        <v>30-39</v>
      </c>
      <c r="L1464" s="55" t="s">
        <v>819</v>
      </c>
      <c r="M1464" s="23" t="s">
        <v>819</v>
      </c>
      <c r="N1464" s="13" t="s">
        <v>820</v>
      </c>
      <c r="O1464" s="46">
        <v>1</v>
      </c>
      <c r="P1464" s="30" t="str">
        <f>VLOOKUP(O1464,[6]Key!$E$2:$F$9,2,FALSE)</f>
        <v>Home</v>
      </c>
      <c r="Q1464" s="13" t="s">
        <v>283</v>
      </c>
      <c r="R1464" s="23" t="s">
        <v>283</v>
      </c>
      <c r="S1464" s="13" t="s">
        <v>820</v>
      </c>
      <c r="T1464" s="23">
        <v>2</v>
      </c>
      <c r="U1464" s="30" t="str">
        <f>VLOOKUP(T1464,[6]Key!$E$2:$F$9,2,FALSE)</f>
        <v>Work</v>
      </c>
      <c r="V1464" s="30" t="str">
        <f t="shared" si="88"/>
        <v>Home-Work</v>
      </c>
      <c r="W1464" s="41">
        <v>130000</v>
      </c>
      <c r="X1464" s="50">
        <v>114</v>
      </c>
      <c r="Y1464" s="50" t="str">
        <f t="shared" si="89"/>
        <v>100-200</v>
      </c>
      <c r="Z1464" s="50">
        <v>4</v>
      </c>
      <c r="AA1464" s="50" t="str">
        <f t="shared" si="90"/>
        <v>Over 3.5</v>
      </c>
      <c r="AB1464" s="23">
        <v>2</v>
      </c>
      <c r="AC1464" s="30" t="str">
        <f>VLOOKUP(AB1464,[6]Key!$C$20:$D$29,2,FALSE)</f>
        <v>Manual Labour</v>
      </c>
      <c r="AD1464" s="23">
        <v>1</v>
      </c>
      <c r="AE1464" s="30" t="str">
        <f>VLOOKUP(AD1464,[6]Key!$E$20:$F$24,2,FALSE)</f>
        <v>&lt;300,000</v>
      </c>
      <c r="AF1464" s="23"/>
      <c r="AG1464" s="50"/>
      <c r="AH1464" s="50"/>
      <c r="AI1464" s="50"/>
      <c r="AJ1464" s="50"/>
      <c r="AK1464" s="46" t="s">
        <v>94</v>
      </c>
      <c r="AL1464" s="36">
        <v>1000</v>
      </c>
      <c r="AM1464" t="str">
        <f t="shared" si="91"/>
        <v>1000-2000</v>
      </c>
    </row>
    <row r="1465" spans="1:39" x14ac:dyDescent="0.2">
      <c r="A1465" s="44">
        <v>43760</v>
      </c>
      <c r="B1465" s="48"/>
      <c r="C1465" s="48"/>
      <c r="D1465" s="48" t="s">
        <v>150</v>
      </c>
      <c r="E1465" s="13">
        <v>2</v>
      </c>
      <c r="F1465" s="38" t="str">
        <f>VLOOKUP(E1465,[6]Key!$A$17:$B$21,2,FALSE)</f>
        <v>Road Vehicle</v>
      </c>
      <c r="G1465" s="49">
        <v>4</v>
      </c>
      <c r="H1465" s="39" t="str">
        <f>VLOOKUP(G1465,[6]Key!$A$2:$B$14,2,FALSE)</f>
        <v>Minibus</v>
      </c>
      <c r="I1465" s="13" t="s">
        <v>109</v>
      </c>
      <c r="J1465" s="13">
        <v>2</v>
      </c>
      <c r="K1465" s="40" t="str">
        <f>VLOOKUP(J1465,[6]Key!$A$24:$B$29,2,FALSE)</f>
        <v>30-39</v>
      </c>
      <c r="L1465" s="55" t="s">
        <v>819</v>
      </c>
      <c r="M1465" s="23" t="s">
        <v>819</v>
      </c>
      <c r="N1465" s="13" t="s">
        <v>820</v>
      </c>
      <c r="O1465" s="46">
        <v>1</v>
      </c>
      <c r="P1465" s="30" t="str">
        <f>VLOOKUP(O1465,[6]Key!$E$2:$F$9,2,FALSE)</f>
        <v>Home</v>
      </c>
      <c r="Q1465" s="13" t="s">
        <v>283</v>
      </c>
      <c r="R1465" s="23" t="s">
        <v>283</v>
      </c>
      <c r="S1465" s="13" t="s">
        <v>820</v>
      </c>
      <c r="T1465" s="23">
        <v>4</v>
      </c>
      <c r="U1465" s="30" t="str">
        <f>VLOOKUP(T1465,[6]Key!$E$2:$F$9,2,FALSE)</f>
        <v>Commercial</v>
      </c>
      <c r="V1465" s="30" t="str">
        <f t="shared" si="88"/>
        <v>Home-Commercial</v>
      </c>
      <c r="W1465" s="41">
        <v>10000</v>
      </c>
      <c r="X1465" s="50">
        <v>120</v>
      </c>
      <c r="Y1465" s="50" t="str">
        <f t="shared" si="89"/>
        <v>100-200</v>
      </c>
      <c r="Z1465" s="50">
        <v>3</v>
      </c>
      <c r="AA1465" s="50" t="str">
        <f t="shared" si="90"/>
        <v>2.0-3.5</v>
      </c>
      <c r="AB1465" s="23">
        <v>6</v>
      </c>
      <c r="AC1465" s="30" t="str">
        <f>VLOOKUP(AB1465,[6]Key!$C$20:$D$29,2,FALSE)</f>
        <v>Businessman</v>
      </c>
      <c r="AD1465" s="23">
        <v>2</v>
      </c>
      <c r="AE1465" s="30" t="str">
        <f>VLOOKUP(AD1465,[6]Key!$E$20:$F$24,2,FALSE)</f>
        <v>300,000-500,000</v>
      </c>
      <c r="AF1465" s="23">
        <v>3</v>
      </c>
      <c r="AG1465" s="50">
        <v>2</v>
      </c>
      <c r="AH1465" s="50">
        <v>4</v>
      </c>
      <c r="AI1465" s="50">
        <v>5</v>
      </c>
      <c r="AJ1465" s="50">
        <v>1</v>
      </c>
      <c r="AK1465" s="46" t="s">
        <v>94</v>
      </c>
      <c r="AL1465" s="36">
        <v>4000</v>
      </c>
      <c r="AM1465" t="str">
        <f t="shared" si="91"/>
        <v>3000-5000</v>
      </c>
    </row>
    <row r="1466" spans="1:39" x14ac:dyDescent="0.2">
      <c r="A1466" s="44">
        <v>43760</v>
      </c>
      <c r="B1466" s="48"/>
      <c r="C1466" s="48"/>
      <c r="D1466" s="48" t="s">
        <v>97</v>
      </c>
      <c r="E1466" s="13">
        <v>2</v>
      </c>
      <c r="F1466" s="38" t="str">
        <f>VLOOKUP(E1466,[6]Key!$A$17:$B$21,2,FALSE)</f>
        <v>Road Vehicle</v>
      </c>
      <c r="G1466" s="49">
        <v>4</v>
      </c>
      <c r="H1466" s="39" t="str">
        <f>VLOOKUP(G1466,[6]Key!$A$2:$B$14,2,FALSE)</f>
        <v>Minibus</v>
      </c>
      <c r="I1466" s="13" t="s">
        <v>109</v>
      </c>
      <c r="J1466" s="13">
        <v>2</v>
      </c>
      <c r="K1466" s="40" t="str">
        <f>VLOOKUP(J1466,[6]Key!$A$24:$B$29,2,FALSE)</f>
        <v>30-39</v>
      </c>
      <c r="L1466" s="55" t="s">
        <v>819</v>
      </c>
      <c r="M1466" s="23" t="s">
        <v>819</v>
      </c>
      <c r="N1466" s="13" t="s">
        <v>820</v>
      </c>
      <c r="O1466" s="46">
        <v>1</v>
      </c>
      <c r="P1466" s="30" t="str">
        <f>VLOOKUP(O1466,[6]Key!$E$2:$F$9,2,FALSE)</f>
        <v>Home</v>
      </c>
      <c r="Q1466" s="13" t="s">
        <v>838</v>
      </c>
      <c r="R1466" s="23" t="s">
        <v>832</v>
      </c>
      <c r="S1466" s="13" t="s">
        <v>820</v>
      </c>
      <c r="T1466" s="23">
        <v>2</v>
      </c>
      <c r="U1466" s="30" t="str">
        <f>VLOOKUP(T1466,[6]Key!$E$2:$F$9,2,FALSE)</f>
        <v>Work</v>
      </c>
      <c r="V1466" s="30" t="str">
        <f t="shared" si="88"/>
        <v>Home-Work</v>
      </c>
      <c r="W1466" s="41">
        <v>120000</v>
      </c>
      <c r="X1466" s="50">
        <v>85</v>
      </c>
      <c r="Y1466" s="50" t="str">
        <f t="shared" si="89"/>
        <v>70-100</v>
      </c>
      <c r="Z1466" s="50">
        <v>1.5</v>
      </c>
      <c r="AA1466" s="50" t="str">
        <f t="shared" si="90"/>
        <v>1.0-2.0</v>
      </c>
      <c r="AB1466" s="23">
        <v>5</v>
      </c>
      <c r="AC1466" s="30" t="str">
        <f>VLOOKUP(AB1466,[6]Key!$C$20:$D$29,2,FALSE)</f>
        <v>Professional</v>
      </c>
      <c r="AD1466" s="23">
        <v>3</v>
      </c>
      <c r="AE1466" s="30" t="str">
        <f>VLOOKUP(AD1466,[6]Key!$E$20:$F$24,2,FALSE)</f>
        <v>500,000-750,000</v>
      </c>
      <c r="AF1466" s="23">
        <v>1</v>
      </c>
      <c r="AG1466" s="50">
        <v>3</v>
      </c>
      <c r="AH1466" s="50">
        <v>4</v>
      </c>
      <c r="AI1466" s="50">
        <v>5</v>
      </c>
      <c r="AJ1466" s="50">
        <v>2</v>
      </c>
      <c r="AK1466" s="46" t="s">
        <v>94</v>
      </c>
      <c r="AL1466" s="36"/>
      <c r="AM1466" t="str">
        <f t="shared" si="91"/>
        <v>0-1000</v>
      </c>
    </row>
    <row r="1467" spans="1:39" x14ac:dyDescent="0.2">
      <c r="A1467" s="44">
        <v>43761</v>
      </c>
      <c r="B1467" s="48"/>
      <c r="C1467" s="48"/>
      <c r="D1467" s="48" t="s">
        <v>97</v>
      </c>
      <c r="E1467" s="13">
        <v>2</v>
      </c>
      <c r="F1467" s="38" t="str">
        <f>VLOOKUP(E1467,[6]Key!$A$17:$B$21,2,FALSE)</f>
        <v>Road Vehicle</v>
      </c>
      <c r="G1467" s="49">
        <v>4</v>
      </c>
      <c r="H1467" s="39" t="str">
        <f>VLOOKUP(G1467,[6]Key!$A$2:$B$14,2,FALSE)</f>
        <v>Minibus</v>
      </c>
      <c r="I1467" s="13" t="s">
        <v>109</v>
      </c>
      <c r="J1467" s="13">
        <v>2</v>
      </c>
      <c r="K1467" s="40" t="str">
        <f>VLOOKUP(J1467,[6]Key!$A$24:$B$29,2,FALSE)</f>
        <v>30-39</v>
      </c>
      <c r="L1467" s="55" t="s">
        <v>819</v>
      </c>
      <c r="M1467" s="23" t="s">
        <v>819</v>
      </c>
      <c r="N1467" s="13" t="s">
        <v>820</v>
      </c>
      <c r="O1467" s="46">
        <v>1</v>
      </c>
      <c r="P1467" s="30" t="str">
        <f>VLOOKUP(O1467,[6]Key!$E$2:$F$9,2,FALSE)</f>
        <v>Home</v>
      </c>
      <c r="Q1467" s="13" t="s">
        <v>866</v>
      </c>
      <c r="R1467" s="23" t="s">
        <v>819</v>
      </c>
      <c r="S1467" s="13" t="s">
        <v>820</v>
      </c>
      <c r="T1467" s="23">
        <v>4</v>
      </c>
      <c r="U1467" s="30" t="str">
        <f>VLOOKUP(T1467,[6]Key!$E$2:$F$9,2,FALSE)</f>
        <v>Commercial</v>
      </c>
      <c r="V1467" s="30" t="str">
        <f t="shared" si="88"/>
        <v>Home-Commercial</v>
      </c>
      <c r="W1467" s="41">
        <v>3000</v>
      </c>
      <c r="X1467" s="50">
        <v>20</v>
      </c>
      <c r="Y1467" s="50" t="str">
        <f t="shared" si="89"/>
        <v>20-40</v>
      </c>
      <c r="Z1467" s="50">
        <v>1</v>
      </c>
      <c r="AA1467" s="50" t="str">
        <f t="shared" si="90"/>
        <v>1.0-2.0</v>
      </c>
      <c r="AB1467" s="23">
        <v>2</v>
      </c>
      <c r="AC1467" s="30" t="str">
        <f>VLOOKUP(AB1467,[6]Key!$C$20:$D$29,2,FALSE)</f>
        <v>Manual Labour</v>
      </c>
      <c r="AD1467" s="23">
        <v>1</v>
      </c>
      <c r="AE1467" s="30" t="str">
        <f>VLOOKUP(AD1467,[6]Key!$E$20:$F$24,2,FALSE)</f>
        <v>&lt;300,000</v>
      </c>
      <c r="AF1467" s="23">
        <v>1</v>
      </c>
      <c r="AG1467" s="50">
        <v>3</v>
      </c>
      <c r="AH1467" s="50">
        <v>5</v>
      </c>
      <c r="AI1467" s="50">
        <v>4</v>
      </c>
      <c r="AJ1467" s="50">
        <v>2</v>
      </c>
      <c r="AK1467" s="46" t="s">
        <v>94</v>
      </c>
      <c r="AL1467" s="36"/>
      <c r="AM1467" t="str">
        <f t="shared" si="91"/>
        <v>0-1000</v>
      </c>
    </row>
    <row r="1468" spans="1:39" x14ac:dyDescent="0.2">
      <c r="A1468" s="44">
        <v>43761</v>
      </c>
      <c r="B1468" s="48">
        <v>0.33124999999999999</v>
      </c>
      <c r="C1468" s="48"/>
      <c r="D1468" s="48" t="s">
        <v>150</v>
      </c>
      <c r="E1468" s="13">
        <v>2</v>
      </c>
      <c r="F1468" s="38" t="str">
        <f>VLOOKUP(E1468,[6]Key!$A$17:$B$21,2,FALSE)</f>
        <v>Road Vehicle</v>
      </c>
      <c r="G1468" s="49">
        <v>4</v>
      </c>
      <c r="H1468" s="39" t="str">
        <f>VLOOKUP(G1468,[6]Key!$A$2:$B$14,2,FALSE)</f>
        <v>Minibus</v>
      </c>
      <c r="I1468" s="13" t="s">
        <v>109</v>
      </c>
      <c r="J1468" s="13">
        <v>2</v>
      </c>
      <c r="K1468" s="40" t="str">
        <f>VLOOKUP(J1468,[6]Key!$A$24:$B$29,2,FALSE)</f>
        <v>30-39</v>
      </c>
      <c r="L1468" s="55" t="s">
        <v>819</v>
      </c>
      <c r="M1468" s="23" t="s">
        <v>819</v>
      </c>
      <c r="N1468" s="13" t="s">
        <v>820</v>
      </c>
      <c r="O1468" s="46">
        <v>1</v>
      </c>
      <c r="P1468" s="30" t="str">
        <f>VLOOKUP(O1468,[6]Key!$E$2:$F$9,2,FALSE)</f>
        <v>Home</v>
      </c>
      <c r="Q1468" s="13" t="s">
        <v>283</v>
      </c>
      <c r="R1468" s="23" t="s">
        <v>283</v>
      </c>
      <c r="S1468" s="13"/>
      <c r="T1468" s="23">
        <v>4</v>
      </c>
      <c r="U1468" s="30" t="str">
        <f>VLOOKUP(T1468,[6]Key!$E$2:$F$9,2,FALSE)</f>
        <v>Commercial</v>
      </c>
      <c r="V1468" s="30" t="str">
        <f t="shared" si="88"/>
        <v>Home-Commercial</v>
      </c>
      <c r="W1468" s="41">
        <v>20000</v>
      </c>
      <c r="X1468" s="50"/>
      <c r="Y1468" s="50" t="str">
        <f t="shared" si="89"/>
        <v>0-10</v>
      </c>
      <c r="Z1468" s="50">
        <v>3</v>
      </c>
      <c r="AA1468" s="50" t="str">
        <f t="shared" si="90"/>
        <v>2.0-3.5</v>
      </c>
      <c r="AB1468" s="23">
        <v>6</v>
      </c>
      <c r="AC1468" s="30" t="str">
        <f>VLOOKUP(AB1468,[6]Key!$C$20:$D$29,2,FALSE)</f>
        <v>Businessman</v>
      </c>
      <c r="AD1468" s="23">
        <v>4</v>
      </c>
      <c r="AE1468" s="30" t="str">
        <f>VLOOKUP(AD1468,[6]Key!$E$20:$F$24,2,FALSE)</f>
        <v>750,000-1,000,000</v>
      </c>
      <c r="AF1468" s="23">
        <v>3</v>
      </c>
      <c r="AG1468" s="50">
        <v>5</v>
      </c>
      <c r="AH1468" s="50">
        <v>1</v>
      </c>
      <c r="AI1468" s="50">
        <v>2</v>
      </c>
      <c r="AJ1468" s="50">
        <v>4</v>
      </c>
      <c r="AK1468" s="46" t="s">
        <v>94</v>
      </c>
      <c r="AL1468" s="36">
        <v>10000</v>
      </c>
      <c r="AM1468" t="str">
        <f t="shared" si="91"/>
        <v>Over 10000</v>
      </c>
    </row>
    <row r="1469" spans="1:39" x14ac:dyDescent="0.2">
      <c r="A1469" s="44">
        <v>43761</v>
      </c>
      <c r="B1469" s="48">
        <v>0.33680555555555558</v>
      </c>
      <c r="C1469" s="48"/>
      <c r="D1469" s="48" t="s">
        <v>150</v>
      </c>
      <c r="E1469" s="13">
        <v>2</v>
      </c>
      <c r="F1469" s="38" t="str">
        <f>VLOOKUP(E1469,[6]Key!$A$17:$B$21,2,FALSE)</f>
        <v>Road Vehicle</v>
      </c>
      <c r="G1469" s="49">
        <v>4</v>
      </c>
      <c r="H1469" s="39" t="str">
        <f>VLOOKUP(G1469,[6]Key!$A$2:$B$14,2,FALSE)</f>
        <v>Minibus</v>
      </c>
      <c r="I1469" s="13" t="s">
        <v>109</v>
      </c>
      <c r="J1469" s="13">
        <v>2</v>
      </c>
      <c r="K1469" s="40" t="str">
        <f>VLOOKUP(J1469,[6]Key!$A$24:$B$29,2,FALSE)</f>
        <v>30-39</v>
      </c>
      <c r="L1469" s="55" t="s">
        <v>819</v>
      </c>
      <c r="M1469" s="23" t="s">
        <v>819</v>
      </c>
      <c r="N1469" s="13" t="s">
        <v>820</v>
      </c>
      <c r="O1469" s="46">
        <v>1</v>
      </c>
      <c r="P1469" s="30" t="str">
        <f>VLOOKUP(O1469,[6]Key!$E$2:$F$9,2,FALSE)</f>
        <v>Home</v>
      </c>
      <c r="Q1469" s="13" t="s">
        <v>872</v>
      </c>
      <c r="R1469" s="23" t="s">
        <v>872</v>
      </c>
      <c r="S1469" s="13"/>
      <c r="T1469" s="23">
        <v>2</v>
      </c>
      <c r="U1469" s="30" t="str">
        <f>VLOOKUP(T1469,[6]Key!$E$2:$F$9,2,FALSE)</f>
        <v>Work</v>
      </c>
      <c r="V1469" s="30" t="str">
        <f t="shared" si="88"/>
        <v>Home-Work</v>
      </c>
      <c r="W1469" s="41">
        <v>25000</v>
      </c>
      <c r="X1469" s="50"/>
      <c r="Y1469" s="50" t="str">
        <f t="shared" si="89"/>
        <v>0-10</v>
      </c>
      <c r="Z1469" s="50">
        <v>6</v>
      </c>
      <c r="AA1469" s="50" t="str">
        <f t="shared" si="90"/>
        <v>Over 3.5</v>
      </c>
      <c r="AB1469" s="23">
        <v>5</v>
      </c>
      <c r="AC1469" s="30" t="str">
        <f>VLOOKUP(AB1469,[6]Key!$C$20:$D$29,2,FALSE)</f>
        <v>Professional</v>
      </c>
      <c r="AD1469" s="23">
        <v>3</v>
      </c>
      <c r="AE1469" s="30" t="str">
        <f>VLOOKUP(AD1469,[6]Key!$E$20:$F$24,2,FALSE)</f>
        <v>500,000-750,000</v>
      </c>
      <c r="AF1469" s="23">
        <v>1</v>
      </c>
      <c r="AG1469" s="50">
        <v>2</v>
      </c>
      <c r="AH1469" s="50">
        <v>5</v>
      </c>
      <c r="AI1469" s="50">
        <v>4</v>
      </c>
      <c r="AJ1469" s="50">
        <v>3</v>
      </c>
      <c r="AK1469" s="46" t="s">
        <v>94</v>
      </c>
      <c r="AL1469" s="36">
        <v>10000</v>
      </c>
      <c r="AM1469" t="str">
        <f t="shared" si="91"/>
        <v>Over 10000</v>
      </c>
    </row>
    <row r="1470" spans="1:39" x14ac:dyDescent="0.2">
      <c r="A1470" s="44">
        <v>43761</v>
      </c>
      <c r="B1470" s="48">
        <v>0.3576388888888889</v>
      </c>
      <c r="C1470" s="48"/>
      <c r="D1470" s="48" t="s">
        <v>150</v>
      </c>
      <c r="E1470" s="13">
        <v>2</v>
      </c>
      <c r="F1470" s="38" t="str">
        <f>VLOOKUP(E1470,[6]Key!$A$17:$B$21,2,FALSE)</f>
        <v>Road Vehicle</v>
      </c>
      <c r="G1470" s="49">
        <v>4</v>
      </c>
      <c r="H1470" s="39" t="str">
        <f>VLOOKUP(G1470,[6]Key!$A$2:$B$14,2,FALSE)</f>
        <v>Minibus</v>
      </c>
      <c r="I1470" s="13" t="s">
        <v>109</v>
      </c>
      <c r="J1470" s="13">
        <v>2</v>
      </c>
      <c r="K1470" s="40" t="str">
        <f>VLOOKUP(J1470,[6]Key!$A$24:$B$29,2,FALSE)</f>
        <v>30-39</v>
      </c>
      <c r="L1470" s="55" t="s">
        <v>819</v>
      </c>
      <c r="M1470" s="23" t="s">
        <v>819</v>
      </c>
      <c r="N1470" s="13" t="s">
        <v>820</v>
      </c>
      <c r="O1470" s="46">
        <v>1</v>
      </c>
      <c r="P1470" s="30" t="str">
        <f>VLOOKUP(O1470,[6]Key!$E$2:$F$9,2,FALSE)</f>
        <v>Home</v>
      </c>
      <c r="Q1470" s="13" t="s">
        <v>404</v>
      </c>
      <c r="R1470" s="23" t="s">
        <v>404</v>
      </c>
      <c r="S1470" s="13"/>
      <c r="T1470" s="23">
        <v>4</v>
      </c>
      <c r="U1470" s="30" t="str">
        <f>VLOOKUP(T1470,[6]Key!$E$2:$F$9,2,FALSE)</f>
        <v>Commercial</v>
      </c>
      <c r="V1470" s="30" t="str">
        <f t="shared" si="88"/>
        <v>Home-Commercial</v>
      </c>
      <c r="W1470" s="41">
        <v>30000</v>
      </c>
      <c r="X1470" s="50"/>
      <c r="Y1470" s="50" t="str">
        <f t="shared" si="89"/>
        <v>0-10</v>
      </c>
      <c r="Z1470" s="50">
        <v>8.5</v>
      </c>
      <c r="AA1470" s="50" t="str">
        <f t="shared" si="90"/>
        <v>Over 3.5</v>
      </c>
      <c r="AB1470" s="23">
        <v>6</v>
      </c>
      <c r="AC1470" s="30" t="str">
        <f>VLOOKUP(AB1470,[6]Key!$C$20:$D$29,2,FALSE)</f>
        <v>Businessman</v>
      </c>
      <c r="AD1470" s="23">
        <v>5</v>
      </c>
      <c r="AE1470" s="30" t="str">
        <f>VLOOKUP(AD1470,[6]Key!$E$20:$F$24,2,FALSE)</f>
        <v>&gt;1,000,000</v>
      </c>
      <c r="AF1470" s="23">
        <v>2</v>
      </c>
      <c r="AG1470" s="50">
        <v>1</v>
      </c>
      <c r="AH1470" s="50">
        <v>5</v>
      </c>
      <c r="AI1470" s="50">
        <v>4</v>
      </c>
      <c r="AJ1470" s="50">
        <v>3</v>
      </c>
      <c r="AK1470" s="46" t="s">
        <v>94</v>
      </c>
      <c r="AL1470" s="36"/>
      <c r="AM1470" t="str">
        <f t="shared" si="91"/>
        <v>0-1000</v>
      </c>
    </row>
    <row r="1471" spans="1:39" x14ac:dyDescent="0.2">
      <c r="A1471" s="44">
        <v>43761</v>
      </c>
      <c r="B1471" s="48">
        <v>0.38541666666666669</v>
      </c>
      <c r="C1471" s="48"/>
      <c r="D1471" s="48" t="s">
        <v>150</v>
      </c>
      <c r="E1471" s="13">
        <v>2</v>
      </c>
      <c r="F1471" s="38" t="str">
        <f>VLOOKUP(E1471,[6]Key!$A$17:$B$21,2,FALSE)</f>
        <v>Road Vehicle</v>
      </c>
      <c r="G1471" s="49">
        <v>4</v>
      </c>
      <c r="H1471" s="39" t="str">
        <f>VLOOKUP(G1471,[6]Key!$A$2:$B$14,2,FALSE)</f>
        <v>Minibus</v>
      </c>
      <c r="I1471" s="13" t="s">
        <v>109</v>
      </c>
      <c r="J1471" s="13">
        <v>2</v>
      </c>
      <c r="K1471" s="40" t="str">
        <f>VLOOKUP(J1471,[6]Key!$A$24:$B$29,2,FALSE)</f>
        <v>30-39</v>
      </c>
      <c r="L1471" s="55" t="s">
        <v>819</v>
      </c>
      <c r="M1471" s="23" t="s">
        <v>819</v>
      </c>
      <c r="N1471" s="13" t="s">
        <v>820</v>
      </c>
      <c r="O1471" s="46">
        <v>1</v>
      </c>
      <c r="P1471" s="30" t="str">
        <f>VLOOKUP(O1471,[6]Key!$E$2:$F$9,2,FALSE)</f>
        <v>Home</v>
      </c>
      <c r="Q1471" s="13" t="s">
        <v>404</v>
      </c>
      <c r="R1471" s="23" t="s">
        <v>404</v>
      </c>
      <c r="S1471" s="13"/>
      <c r="T1471" s="23">
        <v>2</v>
      </c>
      <c r="U1471" s="30" t="str">
        <f>VLOOKUP(T1471,[6]Key!$E$2:$F$9,2,FALSE)</f>
        <v>Work</v>
      </c>
      <c r="V1471" s="30" t="str">
        <f t="shared" si="88"/>
        <v>Home-Work</v>
      </c>
      <c r="W1471" s="41">
        <v>30000</v>
      </c>
      <c r="X1471" s="50"/>
      <c r="Y1471" s="50" t="str">
        <f t="shared" si="89"/>
        <v>0-10</v>
      </c>
      <c r="Z1471" s="50">
        <v>9</v>
      </c>
      <c r="AA1471" s="50" t="str">
        <f t="shared" si="90"/>
        <v>Over 3.5</v>
      </c>
      <c r="AB1471" s="23">
        <v>7</v>
      </c>
      <c r="AC1471" s="30" t="str">
        <f>VLOOKUP(AB1471,[6]Key!$C$20:$D$29,2,FALSE)</f>
        <v>Farmer</v>
      </c>
      <c r="AD1471" s="23">
        <v>4</v>
      </c>
      <c r="AE1471" s="30" t="str">
        <f>VLOOKUP(AD1471,[6]Key!$E$20:$F$24,2,FALSE)</f>
        <v>750,000-1,000,000</v>
      </c>
      <c r="AF1471" s="23">
        <v>4</v>
      </c>
      <c r="AG1471" s="50">
        <v>5</v>
      </c>
      <c r="AH1471" s="50">
        <v>3</v>
      </c>
      <c r="AI1471" s="50">
        <v>1</v>
      </c>
      <c r="AJ1471" s="50">
        <v>2</v>
      </c>
      <c r="AK1471" s="46" t="s">
        <v>94</v>
      </c>
      <c r="AL1471" s="36"/>
      <c r="AM1471" t="str">
        <f t="shared" si="91"/>
        <v>0-1000</v>
      </c>
    </row>
    <row r="1472" spans="1:39" x14ac:dyDescent="0.2">
      <c r="A1472" s="44">
        <v>43761</v>
      </c>
      <c r="B1472" s="48">
        <v>0.39583333333333331</v>
      </c>
      <c r="C1472" s="48"/>
      <c r="D1472" s="48" t="s">
        <v>150</v>
      </c>
      <c r="E1472" s="13">
        <v>2</v>
      </c>
      <c r="F1472" s="38" t="str">
        <f>VLOOKUP(E1472,[6]Key!$A$17:$B$21,2,FALSE)</f>
        <v>Road Vehicle</v>
      </c>
      <c r="G1472" s="49">
        <v>4</v>
      </c>
      <c r="H1472" s="39" t="str">
        <f>VLOOKUP(G1472,[6]Key!$A$2:$B$14,2,FALSE)</f>
        <v>Minibus</v>
      </c>
      <c r="I1472" s="13" t="s">
        <v>109</v>
      </c>
      <c r="J1472" s="13">
        <v>2</v>
      </c>
      <c r="K1472" s="40" t="str">
        <f>VLOOKUP(J1472,[6]Key!$A$24:$B$29,2,FALSE)</f>
        <v>30-39</v>
      </c>
      <c r="L1472" s="55" t="s">
        <v>819</v>
      </c>
      <c r="M1472" s="23" t="s">
        <v>819</v>
      </c>
      <c r="N1472" s="13" t="s">
        <v>820</v>
      </c>
      <c r="O1472" s="46">
        <v>2</v>
      </c>
      <c r="P1472" s="30" t="str">
        <f>VLOOKUP(O1472,[6]Key!$E$2:$F$9,2,FALSE)</f>
        <v>Work</v>
      </c>
      <c r="Q1472" s="13" t="s">
        <v>404</v>
      </c>
      <c r="R1472" s="23" t="s">
        <v>404</v>
      </c>
      <c r="S1472" s="13"/>
      <c r="T1472" s="23">
        <v>2</v>
      </c>
      <c r="U1472" s="30" t="str">
        <f>VLOOKUP(T1472,[6]Key!$E$2:$F$9,2,FALSE)</f>
        <v>Work</v>
      </c>
      <c r="V1472" s="30" t="str">
        <f t="shared" si="88"/>
        <v>Work-Work</v>
      </c>
      <c r="W1472" s="41">
        <v>200000</v>
      </c>
      <c r="X1472" s="50"/>
      <c r="Y1472" s="50" t="str">
        <f t="shared" si="89"/>
        <v>0-10</v>
      </c>
      <c r="Z1472" s="50">
        <v>8</v>
      </c>
      <c r="AA1472" s="50" t="str">
        <f t="shared" si="90"/>
        <v>Over 3.5</v>
      </c>
      <c r="AB1472" s="23">
        <v>10</v>
      </c>
      <c r="AC1472" s="30" t="str">
        <f>VLOOKUP(AB1472,[6]Key!$C$20:$D$29,2,FALSE)</f>
        <v>Other</v>
      </c>
      <c r="AD1472" s="23">
        <v>4</v>
      </c>
      <c r="AE1472" s="30" t="str">
        <f>VLOOKUP(AD1472,[6]Key!$E$20:$F$24,2,FALSE)</f>
        <v>750,000-1,000,000</v>
      </c>
      <c r="AF1472" s="23">
        <v>5</v>
      </c>
      <c r="AG1472" s="50">
        <v>1</v>
      </c>
      <c r="AH1472" s="50">
        <v>4</v>
      </c>
      <c r="AI1472" s="50">
        <v>2</v>
      </c>
      <c r="AJ1472" s="50">
        <v>3</v>
      </c>
      <c r="AK1472" s="46" t="s">
        <v>94</v>
      </c>
      <c r="AL1472" s="36">
        <v>10000</v>
      </c>
      <c r="AM1472" t="str">
        <f t="shared" si="91"/>
        <v>Over 10000</v>
      </c>
    </row>
    <row r="1473" spans="1:46" x14ac:dyDescent="0.2">
      <c r="A1473" s="44">
        <v>43761</v>
      </c>
      <c r="B1473" s="48">
        <v>0.41250000000000003</v>
      </c>
      <c r="C1473" s="48"/>
      <c r="D1473" s="48" t="s">
        <v>97</v>
      </c>
      <c r="E1473" s="13">
        <v>2</v>
      </c>
      <c r="F1473" s="38" t="str">
        <f>VLOOKUP(E1473,[6]Key!$A$17:$B$21,2,FALSE)</f>
        <v>Road Vehicle</v>
      </c>
      <c r="G1473" s="49">
        <v>4</v>
      </c>
      <c r="H1473" s="39" t="str">
        <f>VLOOKUP(G1473,[6]Key!$A$2:$B$14,2,FALSE)</f>
        <v>Minibus</v>
      </c>
      <c r="I1473" s="13" t="s">
        <v>109</v>
      </c>
      <c r="J1473" s="13">
        <v>2</v>
      </c>
      <c r="K1473" s="40" t="str">
        <f>VLOOKUP(J1473,[6]Key!$A$24:$B$29,2,FALSE)</f>
        <v>30-39</v>
      </c>
      <c r="L1473" s="55" t="s">
        <v>822</v>
      </c>
      <c r="M1473" s="23" t="s">
        <v>822</v>
      </c>
      <c r="N1473" s="13" t="s">
        <v>820</v>
      </c>
      <c r="O1473" s="46">
        <v>4</v>
      </c>
      <c r="P1473" s="30" t="str">
        <f>VLOOKUP(O1473,[6]Key!$E$2:$F$9,2,FALSE)</f>
        <v>Commercial</v>
      </c>
      <c r="Q1473" s="13" t="s">
        <v>819</v>
      </c>
      <c r="R1473" s="23" t="s">
        <v>819</v>
      </c>
      <c r="S1473" s="13"/>
      <c r="T1473" s="23">
        <v>4</v>
      </c>
      <c r="U1473" s="30" t="str">
        <f>VLOOKUP(T1473,[6]Key!$E$2:$F$9,2,FALSE)</f>
        <v>Commercial</v>
      </c>
      <c r="V1473" s="30" t="str">
        <f t="shared" si="88"/>
        <v>Commercial-Commercial</v>
      </c>
      <c r="W1473" s="41">
        <v>40000</v>
      </c>
      <c r="X1473" s="50"/>
      <c r="Y1473" s="50" t="str">
        <f t="shared" si="89"/>
        <v>0-10</v>
      </c>
      <c r="Z1473" s="50">
        <v>0.3</v>
      </c>
      <c r="AA1473" s="50" t="str">
        <f t="shared" si="90"/>
        <v>0-0.5</v>
      </c>
      <c r="AB1473" s="23">
        <v>10</v>
      </c>
      <c r="AC1473" s="30" t="str">
        <f>VLOOKUP(AB1473,[6]Key!$C$20:$D$29,2,FALSE)</f>
        <v>Other</v>
      </c>
      <c r="AD1473" s="23">
        <v>4</v>
      </c>
      <c r="AE1473" s="30" t="str">
        <f>VLOOKUP(AD1473,[6]Key!$E$20:$F$24,2,FALSE)</f>
        <v>750,000-1,000,000</v>
      </c>
      <c r="AF1473" s="23">
        <v>5</v>
      </c>
      <c r="AG1473" s="50">
        <v>1</v>
      </c>
      <c r="AH1473" s="50">
        <v>4</v>
      </c>
      <c r="AI1473" s="50">
        <v>2</v>
      </c>
      <c r="AJ1473" s="50">
        <v>3</v>
      </c>
      <c r="AK1473" s="46" t="s">
        <v>94</v>
      </c>
      <c r="AL1473" s="36"/>
      <c r="AM1473" t="str">
        <f t="shared" si="91"/>
        <v>0-1000</v>
      </c>
    </row>
    <row r="1474" spans="1:46" x14ac:dyDescent="0.2">
      <c r="A1474" s="44">
        <v>43760</v>
      </c>
      <c r="B1474" s="48">
        <v>0.58333333333333337</v>
      </c>
      <c r="C1474" s="48"/>
      <c r="D1474" s="48" t="s">
        <v>97</v>
      </c>
      <c r="E1474" s="13">
        <v>2</v>
      </c>
      <c r="F1474" s="38" t="str">
        <f>VLOOKUP(E1474,[6]Key!$A$17:$B$21,2,FALSE)</f>
        <v>Road Vehicle</v>
      </c>
      <c r="G1474" s="49">
        <v>3</v>
      </c>
      <c r="H1474" s="39" t="str">
        <f>VLOOKUP(G1474,[6]Key!$A$2:$B$14,2,FALSE)</f>
        <v>Pickups</v>
      </c>
      <c r="I1474" s="13" t="s">
        <v>109</v>
      </c>
      <c r="J1474" s="13">
        <v>2</v>
      </c>
      <c r="K1474" s="40" t="str">
        <f>VLOOKUP(J1474,[6]Key!$A$24:$B$29,2,FALSE)</f>
        <v>30-39</v>
      </c>
      <c r="L1474" s="55" t="s">
        <v>860</v>
      </c>
      <c r="M1474" s="23" t="s">
        <v>819</v>
      </c>
      <c r="N1474" s="13" t="s">
        <v>820</v>
      </c>
      <c r="O1474" s="46">
        <v>1</v>
      </c>
      <c r="P1474" s="30" t="str">
        <f>VLOOKUP(O1474,[6]Key!$E$2:$F$9,2,FALSE)</f>
        <v>Home</v>
      </c>
      <c r="Q1474" s="13" t="s">
        <v>819</v>
      </c>
      <c r="R1474" s="23" t="s">
        <v>819</v>
      </c>
      <c r="S1474" s="13" t="s">
        <v>820</v>
      </c>
      <c r="T1474" s="23">
        <v>2</v>
      </c>
      <c r="U1474" s="30" t="str">
        <f>VLOOKUP(T1474,[6]Key!$E$2:$F$9,2,FALSE)</f>
        <v>Work</v>
      </c>
      <c r="V1474" s="30" t="str">
        <f t="shared" ref="V1474:V1537" si="92">P1474&amp;"-"&amp;U1474</f>
        <v>Home-Work</v>
      </c>
      <c r="W1474" s="41">
        <v>50000</v>
      </c>
      <c r="X1474" s="50">
        <v>45</v>
      </c>
      <c r="Y1474" s="50" t="str">
        <f t="shared" si="89"/>
        <v>40-70</v>
      </c>
      <c r="Z1474" s="50">
        <v>2</v>
      </c>
      <c r="AA1474" s="50" t="str">
        <f t="shared" si="90"/>
        <v>2.0-3.5</v>
      </c>
      <c r="AB1474" s="23">
        <v>7</v>
      </c>
      <c r="AC1474" s="30" t="str">
        <f>VLOOKUP(AB1474,[6]Key!$C$20:$D$29,2,FALSE)</f>
        <v>Farmer</v>
      </c>
      <c r="AD1474" s="23">
        <v>2</v>
      </c>
      <c r="AE1474" s="30" t="str">
        <f>VLOOKUP(AD1474,[6]Key!$E$20:$F$24,2,FALSE)</f>
        <v>300,000-500,000</v>
      </c>
      <c r="AF1474" s="23">
        <v>1</v>
      </c>
      <c r="AG1474" s="50">
        <v>4</v>
      </c>
      <c r="AH1474" s="50">
        <v>2</v>
      </c>
      <c r="AI1474" s="50">
        <v>5</v>
      </c>
      <c r="AJ1474" s="50">
        <v>3</v>
      </c>
      <c r="AK1474" s="46" t="s">
        <v>94</v>
      </c>
      <c r="AL1474" s="36">
        <v>1500</v>
      </c>
      <c r="AM1474" t="str">
        <f t="shared" si="91"/>
        <v>1000-2000</v>
      </c>
    </row>
    <row r="1475" spans="1:46" x14ac:dyDescent="0.2">
      <c r="A1475" s="44">
        <v>43761</v>
      </c>
      <c r="B1475" s="48">
        <v>0.6791666666666667</v>
      </c>
      <c r="C1475" s="48"/>
      <c r="D1475" s="48" t="s">
        <v>150</v>
      </c>
      <c r="E1475" s="13">
        <v>2</v>
      </c>
      <c r="F1475" s="38" t="str">
        <f>VLOOKUP(E1475,[6]Key!$A$17:$B$21,2,FALSE)</f>
        <v>Road Vehicle</v>
      </c>
      <c r="G1475" s="49">
        <v>3</v>
      </c>
      <c r="H1475" s="39" t="str">
        <f>VLOOKUP(G1475,[6]Key!$A$2:$B$14,2,FALSE)</f>
        <v>Pickups</v>
      </c>
      <c r="I1475" s="13" t="s">
        <v>109</v>
      </c>
      <c r="J1475" s="13">
        <v>2</v>
      </c>
      <c r="K1475" s="40" t="str">
        <f>VLOOKUP(J1475,[6]Key!$A$24:$B$29,2,FALSE)</f>
        <v>30-39</v>
      </c>
      <c r="L1475" s="55" t="s">
        <v>819</v>
      </c>
      <c r="M1475" s="23" t="s">
        <v>819</v>
      </c>
      <c r="N1475" s="13" t="s">
        <v>820</v>
      </c>
      <c r="O1475" s="46">
        <v>1</v>
      </c>
      <c r="P1475" s="30" t="str">
        <f>VLOOKUP(O1475,[6]Key!$E$2:$F$9,2,FALSE)</f>
        <v>Home</v>
      </c>
      <c r="Q1475" s="13" t="s">
        <v>291</v>
      </c>
      <c r="R1475" s="23" t="s">
        <v>268</v>
      </c>
      <c r="S1475" s="13"/>
      <c r="T1475" s="23">
        <v>2</v>
      </c>
      <c r="U1475" s="30" t="str">
        <f>VLOOKUP(T1475,[6]Key!$E$2:$F$9,2,FALSE)</f>
        <v>Work</v>
      </c>
      <c r="V1475" s="30" t="str">
        <f t="shared" si="92"/>
        <v>Home-Work</v>
      </c>
      <c r="W1475" s="41">
        <v>12000</v>
      </c>
      <c r="X1475" s="50"/>
      <c r="Y1475" s="50" t="str">
        <f t="shared" ref="Y1475:Y1538" si="93">IF(X1475&lt;10,"0-10",IF(X1475&lt;20,"10-20",IF(X1475&lt;40,"20-40",IF(X1475&lt;70,"40-70",IF(X1475&lt;100,"70-100",IF(X1475&lt;200,"100-200","Over 200"))))))</f>
        <v>0-10</v>
      </c>
      <c r="Z1475" s="50">
        <v>0.7</v>
      </c>
      <c r="AA1475" s="50" t="str">
        <f t="shared" ref="AA1475:AA1538" si="94">IF(Z1475&lt;0.5,"0-0.5",IF(Z1475&lt;1,"0.5-1.0",IF(Z1475&lt;2,"1.0-2.0",IF(Z1475&lt;3.5,"2.0-3.5","Over 3.5"))))</f>
        <v>0.5-1.0</v>
      </c>
      <c r="AB1475" s="23">
        <v>4</v>
      </c>
      <c r="AC1475" s="30" t="str">
        <f>VLOOKUP(AB1475,[6]Key!$C$20:$D$29,2,FALSE)</f>
        <v>Office Worker</v>
      </c>
      <c r="AD1475" s="23">
        <v>2</v>
      </c>
      <c r="AE1475" s="30" t="str">
        <f>VLOOKUP(AD1475,[6]Key!$E$20:$F$24,2,FALSE)</f>
        <v>300,000-500,000</v>
      </c>
      <c r="AF1475" s="23">
        <v>2</v>
      </c>
      <c r="AG1475" s="50">
        <v>3</v>
      </c>
      <c r="AH1475" s="50">
        <v>5</v>
      </c>
      <c r="AI1475" s="50">
        <v>1</v>
      </c>
      <c r="AJ1475" s="50">
        <v>4</v>
      </c>
      <c r="AK1475" s="46" t="s">
        <v>94</v>
      </c>
      <c r="AL1475" s="36">
        <v>2000</v>
      </c>
      <c r="AM1475" t="str">
        <f t="shared" ref="AM1475:AM1538" si="95">IF(AL1475&lt;1000,"0-1000",IF(AL1475&lt;2000,"1000-2000",IF(AL1475&lt;3000,"2000-3000",IF(AL1475&lt;5000,"3000-5000",IF(AL1475&lt;10000,"5000-10000","Over 10000")))))</f>
        <v>2000-3000</v>
      </c>
    </row>
    <row r="1476" spans="1:46" x14ac:dyDescent="0.2">
      <c r="A1476" s="44">
        <v>43760</v>
      </c>
      <c r="B1476" s="48"/>
      <c r="C1476" s="48"/>
      <c r="D1476" s="48" t="s">
        <v>97</v>
      </c>
      <c r="E1476" s="13">
        <v>2</v>
      </c>
      <c r="F1476" s="38" t="str">
        <f>VLOOKUP(E1476,[6]Key!$A$17:$B$21,2,FALSE)</f>
        <v>Road Vehicle</v>
      </c>
      <c r="G1476" s="49">
        <v>2</v>
      </c>
      <c r="H1476" s="39" t="str">
        <f>VLOOKUP(G1476,[6]Key!$A$2:$B$14,2,FALSE)</f>
        <v>Station Wagon</v>
      </c>
      <c r="I1476" s="13" t="s">
        <v>156</v>
      </c>
      <c r="J1476" s="13">
        <v>2</v>
      </c>
      <c r="K1476" s="40" t="str">
        <f>VLOOKUP(J1476,[6]Key!$A$24:$B$29,2,FALSE)</f>
        <v>30-39</v>
      </c>
      <c r="L1476" s="55" t="s">
        <v>873</v>
      </c>
      <c r="M1476" s="23" t="s">
        <v>819</v>
      </c>
      <c r="N1476" s="13" t="s">
        <v>820</v>
      </c>
      <c r="O1476" s="46">
        <v>2</v>
      </c>
      <c r="P1476" s="30" t="str">
        <f>VLOOKUP(O1476,[6]Key!$E$2:$F$9,2,FALSE)</f>
        <v>Work</v>
      </c>
      <c r="Q1476" s="13" t="s">
        <v>874</v>
      </c>
      <c r="R1476" s="23" t="s">
        <v>283</v>
      </c>
      <c r="S1476" s="13" t="s">
        <v>820</v>
      </c>
      <c r="T1476" s="23">
        <v>4</v>
      </c>
      <c r="U1476" s="30" t="str">
        <f>VLOOKUP(T1476,[6]Key!$E$2:$F$9,2,FALSE)</f>
        <v>Commercial</v>
      </c>
      <c r="V1476" s="30" t="str">
        <f t="shared" si="92"/>
        <v>Work-Commercial</v>
      </c>
      <c r="W1476" s="41">
        <v>150000</v>
      </c>
      <c r="X1476" s="50">
        <v>120</v>
      </c>
      <c r="Y1476" s="50" t="str">
        <f t="shared" si="93"/>
        <v>100-200</v>
      </c>
      <c r="Z1476" s="50">
        <v>3</v>
      </c>
      <c r="AA1476" s="50" t="str">
        <f t="shared" si="94"/>
        <v>2.0-3.5</v>
      </c>
      <c r="AB1476" s="23">
        <v>4</v>
      </c>
      <c r="AC1476" s="30" t="str">
        <f>VLOOKUP(AB1476,[6]Key!$C$20:$D$29,2,FALSE)</f>
        <v>Office Worker</v>
      </c>
      <c r="AD1476" s="23">
        <v>5</v>
      </c>
      <c r="AE1476" s="30" t="str">
        <f>VLOOKUP(AD1476,[6]Key!$E$20:$F$24,2,FALSE)</f>
        <v>&gt;1,000,000</v>
      </c>
      <c r="AF1476" s="23">
        <v>2</v>
      </c>
      <c r="AG1476" s="50">
        <v>5</v>
      </c>
      <c r="AH1476" s="50">
        <v>4</v>
      </c>
      <c r="AI1476" s="50">
        <v>3</v>
      </c>
      <c r="AJ1476" s="50">
        <v>1</v>
      </c>
      <c r="AK1476" s="46" t="s">
        <v>94</v>
      </c>
      <c r="AL1476" s="36">
        <v>10000</v>
      </c>
      <c r="AM1476" t="str">
        <f t="shared" si="95"/>
        <v>Over 10000</v>
      </c>
    </row>
    <row r="1477" spans="1:46" x14ac:dyDescent="0.2">
      <c r="A1477" s="44">
        <v>43761</v>
      </c>
      <c r="B1477" s="48">
        <v>0.42222222222222222</v>
      </c>
      <c r="C1477" s="48"/>
      <c r="D1477" s="48" t="s">
        <v>150</v>
      </c>
      <c r="E1477" s="13">
        <v>2</v>
      </c>
      <c r="F1477" s="38" t="str">
        <f>VLOOKUP(E1477,[6]Key!$A$17:$B$21,2,FALSE)</f>
        <v>Road Vehicle</v>
      </c>
      <c r="G1477" s="49">
        <v>2</v>
      </c>
      <c r="H1477" s="39" t="str">
        <f>VLOOKUP(G1477,[6]Key!$A$2:$B$14,2,FALSE)</f>
        <v>Station Wagon</v>
      </c>
      <c r="I1477" s="13" t="s">
        <v>156</v>
      </c>
      <c r="J1477" s="13">
        <v>2</v>
      </c>
      <c r="K1477" s="40" t="str">
        <f>VLOOKUP(J1477,[6]Key!$A$24:$B$29,2,FALSE)</f>
        <v>30-39</v>
      </c>
      <c r="L1477" s="55" t="s">
        <v>366</v>
      </c>
      <c r="M1477" s="23" t="s">
        <v>366</v>
      </c>
      <c r="N1477" s="13" t="s">
        <v>820</v>
      </c>
      <c r="O1477" s="46">
        <v>8</v>
      </c>
      <c r="P1477" s="30" t="str">
        <f>VLOOKUP(O1477,[6]Key!$E$2:$F$9,2,FALSE)</f>
        <v>Others</v>
      </c>
      <c r="Q1477" s="13" t="s">
        <v>819</v>
      </c>
      <c r="R1477" s="23" t="s">
        <v>819</v>
      </c>
      <c r="S1477" s="13"/>
      <c r="T1477" s="23">
        <v>2</v>
      </c>
      <c r="U1477" s="30" t="str">
        <f>VLOOKUP(T1477,[6]Key!$E$2:$F$9,2,FALSE)</f>
        <v>Work</v>
      </c>
      <c r="V1477" s="30" t="str">
        <f t="shared" si="92"/>
        <v>Others-Work</v>
      </c>
      <c r="W1477" s="41">
        <v>5000</v>
      </c>
      <c r="X1477" s="50"/>
      <c r="Y1477" s="50" t="str">
        <f t="shared" si="93"/>
        <v>0-10</v>
      </c>
      <c r="Z1477" s="50">
        <v>0.7</v>
      </c>
      <c r="AA1477" s="50" t="str">
        <f t="shared" si="94"/>
        <v>0.5-1.0</v>
      </c>
      <c r="AB1477" s="23">
        <v>4</v>
      </c>
      <c r="AC1477" s="30" t="str">
        <f>VLOOKUP(AB1477,[6]Key!$C$20:$D$29,2,FALSE)</f>
        <v>Office Worker</v>
      </c>
      <c r="AD1477" s="23">
        <v>2</v>
      </c>
      <c r="AE1477" s="30" t="str">
        <f>VLOOKUP(AD1477,[6]Key!$E$20:$F$24,2,FALSE)</f>
        <v>300,000-500,000</v>
      </c>
      <c r="AF1477" s="23">
        <v>5</v>
      </c>
      <c r="AG1477" s="50">
        <v>3</v>
      </c>
      <c r="AH1477" s="50">
        <v>4</v>
      </c>
      <c r="AI1477" s="50">
        <v>1</v>
      </c>
      <c r="AJ1477" s="50">
        <v>2</v>
      </c>
      <c r="AK1477" s="46" t="s">
        <v>94</v>
      </c>
      <c r="AL1477" s="36">
        <v>1000</v>
      </c>
      <c r="AM1477" t="str">
        <f t="shared" si="95"/>
        <v>1000-2000</v>
      </c>
    </row>
    <row r="1478" spans="1:46" x14ac:dyDescent="0.2">
      <c r="A1478" s="44">
        <v>43761</v>
      </c>
      <c r="B1478" s="48">
        <v>0.62569444444444444</v>
      </c>
      <c r="C1478" s="48"/>
      <c r="D1478" s="48" t="s">
        <v>150</v>
      </c>
      <c r="E1478" s="13">
        <v>2</v>
      </c>
      <c r="F1478" s="38" t="str">
        <f>VLOOKUP(E1478,[6]Key!$A$17:$B$21,2,FALSE)</f>
        <v>Road Vehicle</v>
      </c>
      <c r="G1478" s="49">
        <v>2</v>
      </c>
      <c r="H1478" s="39" t="str">
        <f>VLOOKUP(G1478,[6]Key!$A$2:$B$14,2,FALSE)</f>
        <v>Station Wagon</v>
      </c>
      <c r="I1478" s="13" t="s">
        <v>156</v>
      </c>
      <c r="J1478" s="13">
        <v>2</v>
      </c>
      <c r="K1478" s="40" t="str">
        <f>VLOOKUP(J1478,[6]Key!$A$24:$B$29,2,FALSE)</f>
        <v>30-39</v>
      </c>
      <c r="L1478" s="55" t="s">
        <v>404</v>
      </c>
      <c r="M1478" s="23" t="s">
        <v>404</v>
      </c>
      <c r="N1478" s="13" t="s">
        <v>820</v>
      </c>
      <c r="O1478" s="46">
        <v>4</v>
      </c>
      <c r="P1478" s="30" t="str">
        <f>VLOOKUP(O1478,[6]Key!$E$2:$F$9,2,FALSE)</f>
        <v>Commercial</v>
      </c>
      <c r="Q1478" s="13" t="s">
        <v>366</v>
      </c>
      <c r="R1478" s="23" t="s">
        <v>366</v>
      </c>
      <c r="S1478" s="13"/>
      <c r="T1478" s="23">
        <v>4</v>
      </c>
      <c r="U1478" s="30" t="str">
        <f>VLOOKUP(T1478,[6]Key!$E$2:$F$9,2,FALSE)</f>
        <v>Commercial</v>
      </c>
      <c r="V1478" s="30" t="str">
        <f t="shared" si="92"/>
        <v>Commercial-Commercial</v>
      </c>
      <c r="W1478" s="41">
        <v>30000</v>
      </c>
      <c r="X1478" s="50"/>
      <c r="Y1478" s="50" t="str">
        <f t="shared" si="93"/>
        <v>0-10</v>
      </c>
      <c r="Z1478" s="50">
        <v>8</v>
      </c>
      <c r="AA1478" s="50" t="str">
        <f t="shared" si="94"/>
        <v>Over 3.5</v>
      </c>
      <c r="AB1478" s="23">
        <v>5</v>
      </c>
      <c r="AC1478" s="30" t="str">
        <f>VLOOKUP(AB1478,[6]Key!$C$20:$D$29,2,FALSE)</f>
        <v>Professional</v>
      </c>
      <c r="AD1478" s="23">
        <v>4</v>
      </c>
      <c r="AE1478" s="30" t="str">
        <f>VLOOKUP(AD1478,[6]Key!$E$20:$F$24,2,FALSE)</f>
        <v>750,000-1,000,000</v>
      </c>
      <c r="AF1478" s="23">
        <v>5</v>
      </c>
      <c r="AG1478" s="50">
        <v>1</v>
      </c>
      <c r="AH1478" s="50">
        <v>3</v>
      </c>
      <c r="AI1478" s="50">
        <v>4</v>
      </c>
      <c r="AJ1478" s="50">
        <v>2</v>
      </c>
      <c r="AK1478" s="46" t="s">
        <v>94</v>
      </c>
      <c r="AL1478" s="36"/>
      <c r="AM1478" t="str">
        <f t="shared" si="95"/>
        <v>0-1000</v>
      </c>
    </row>
    <row r="1479" spans="1:46" x14ac:dyDescent="0.2">
      <c r="A1479" s="44">
        <v>43759</v>
      </c>
      <c r="B1479" s="48">
        <v>0.625</v>
      </c>
      <c r="C1479" s="48"/>
      <c r="D1479" s="48" t="s">
        <v>97</v>
      </c>
      <c r="E1479" s="13">
        <v>2</v>
      </c>
      <c r="F1479" s="38" t="str">
        <f>VLOOKUP(E1479,[6]Key!$A$17:$B$21,2,FALSE)</f>
        <v>Road Vehicle</v>
      </c>
      <c r="G1479" s="49">
        <v>2</v>
      </c>
      <c r="H1479" s="39" t="str">
        <f>VLOOKUP(G1479,[6]Key!$A$2:$B$14,2,FALSE)</f>
        <v>Station Wagon</v>
      </c>
      <c r="I1479" s="13" t="s">
        <v>156</v>
      </c>
      <c r="J1479" s="13">
        <v>2</v>
      </c>
      <c r="K1479" s="40" t="str">
        <f>VLOOKUP(J1479,[6]Key!$A$24:$B$29,2,FALSE)</f>
        <v>30-39</v>
      </c>
      <c r="L1479" s="55" t="s">
        <v>847</v>
      </c>
      <c r="M1479" s="23" t="s">
        <v>819</v>
      </c>
      <c r="N1479" s="13" t="s">
        <v>820</v>
      </c>
      <c r="O1479" s="46">
        <v>2</v>
      </c>
      <c r="P1479" s="30" t="str">
        <f>VLOOKUP(O1479,[6]Key!$E$2:$F$9,2,FALSE)</f>
        <v>Work</v>
      </c>
      <c r="Q1479" s="13" t="s">
        <v>96</v>
      </c>
      <c r="R1479" s="23" t="s">
        <v>819</v>
      </c>
      <c r="S1479" s="13" t="s">
        <v>820</v>
      </c>
      <c r="T1479" s="23">
        <v>1</v>
      </c>
      <c r="U1479" s="30" t="str">
        <f>VLOOKUP(T1479,[6]Key!$E$2:$F$9,2,FALSE)</f>
        <v>Home</v>
      </c>
      <c r="V1479" s="30" t="str">
        <f t="shared" si="92"/>
        <v>Work-Home</v>
      </c>
      <c r="W1479" s="41">
        <v>5000</v>
      </c>
      <c r="X1479" s="50">
        <v>1</v>
      </c>
      <c r="Y1479" s="50" t="str">
        <f t="shared" si="93"/>
        <v>0-10</v>
      </c>
      <c r="Z1479" s="50">
        <v>0.5</v>
      </c>
      <c r="AA1479" s="50" t="str">
        <f t="shared" si="94"/>
        <v>0.5-1.0</v>
      </c>
      <c r="AB1479" s="23">
        <v>4</v>
      </c>
      <c r="AC1479" s="30" t="str">
        <f>VLOOKUP(AB1479,[6]Key!$C$20:$D$29,2,FALSE)</f>
        <v>Office Worker</v>
      </c>
      <c r="AD1479" s="23">
        <v>2</v>
      </c>
      <c r="AE1479" s="30" t="str">
        <f>VLOOKUP(AD1479,[6]Key!$E$20:$F$24,2,FALSE)</f>
        <v>300,000-500,000</v>
      </c>
      <c r="AF1479" s="23">
        <v>4</v>
      </c>
      <c r="AG1479" s="50">
        <v>3</v>
      </c>
      <c r="AH1479" s="50">
        <v>2</v>
      </c>
      <c r="AI1479" s="50">
        <v>5</v>
      </c>
      <c r="AJ1479" s="50">
        <v>1</v>
      </c>
      <c r="AK1479" s="46" t="s">
        <v>94</v>
      </c>
      <c r="AL1479" s="36">
        <v>5000</v>
      </c>
      <c r="AM1479" t="str">
        <f t="shared" si="95"/>
        <v>5000-10000</v>
      </c>
    </row>
    <row r="1480" spans="1:46" x14ac:dyDescent="0.2">
      <c r="A1480" s="44">
        <v>43761</v>
      </c>
      <c r="B1480" s="48">
        <v>0.3215277777777778</v>
      </c>
      <c r="C1480" s="48"/>
      <c r="D1480" s="48" t="s">
        <v>150</v>
      </c>
      <c r="E1480" s="13">
        <v>2</v>
      </c>
      <c r="F1480" s="38" t="str">
        <f>VLOOKUP(E1480,[6]Key!$A$17:$B$21,2,FALSE)</f>
        <v>Road Vehicle</v>
      </c>
      <c r="G1480" s="49">
        <v>2</v>
      </c>
      <c r="H1480" s="39" t="str">
        <f>VLOOKUP(G1480,[6]Key!$A$2:$B$14,2,FALSE)</f>
        <v>Station Wagon</v>
      </c>
      <c r="I1480" s="13" t="s">
        <v>156</v>
      </c>
      <c r="J1480" s="13">
        <v>2</v>
      </c>
      <c r="K1480" s="40" t="str">
        <f>VLOOKUP(J1480,[6]Key!$A$24:$B$29,2,FALSE)</f>
        <v>30-39</v>
      </c>
      <c r="L1480" s="55" t="s">
        <v>875</v>
      </c>
      <c r="M1480" s="23" t="s">
        <v>875</v>
      </c>
      <c r="N1480" s="13" t="s">
        <v>820</v>
      </c>
      <c r="O1480" s="46">
        <v>8</v>
      </c>
      <c r="P1480" s="30" t="str">
        <f>VLOOKUP(O1480,[6]Key!$E$2:$F$9,2,FALSE)</f>
        <v>Others</v>
      </c>
      <c r="Q1480" s="13" t="s">
        <v>819</v>
      </c>
      <c r="R1480" s="23" t="s">
        <v>819</v>
      </c>
      <c r="S1480" s="13"/>
      <c r="T1480" s="23">
        <v>2</v>
      </c>
      <c r="U1480" s="30" t="str">
        <f>VLOOKUP(T1480,[6]Key!$E$2:$F$9,2,FALSE)</f>
        <v>Work</v>
      </c>
      <c r="V1480" s="30" t="str">
        <f t="shared" si="92"/>
        <v>Others-Work</v>
      </c>
      <c r="W1480" s="41">
        <v>15000</v>
      </c>
      <c r="X1480" s="50"/>
      <c r="Y1480" s="50" t="str">
        <f t="shared" si="93"/>
        <v>0-10</v>
      </c>
      <c r="Z1480" s="50">
        <v>2.5</v>
      </c>
      <c r="AA1480" s="50" t="str">
        <f t="shared" si="94"/>
        <v>2.0-3.5</v>
      </c>
      <c r="AB1480" s="23">
        <v>5</v>
      </c>
      <c r="AC1480" s="30" t="str">
        <f>VLOOKUP(AB1480,[6]Key!$C$20:$D$29,2,FALSE)</f>
        <v>Professional</v>
      </c>
      <c r="AD1480" s="23">
        <v>4</v>
      </c>
      <c r="AE1480" s="30" t="str">
        <f>VLOOKUP(AD1480,[6]Key!$E$20:$F$24,2,FALSE)</f>
        <v>750,000-1,000,000</v>
      </c>
      <c r="AF1480" s="23">
        <v>2</v>
      </c>
      <c r="AG1480" s="50">
        <v>1</v>
      </c>
      <c r="AH1480" s="50">
        <v>5</v>
      </c>
      <c r="AI1480" s="50">
        <v>3</v>
      </c>
      <c r="AJ1480" s="50">
        <v>4</v>
      </c>
      <c r="AK1480" s="46" t="s">
        <v>94</v>
      </c>
      <c r="AL1480" s="36">
        <v>1000</v>
      </c>
      <c r="AM1480" t="str">
        <f t="shared" si="95"/>
        <v>1000-2000</v>
      </c>
    </row>
    <row r="1481" spans="1:46" x14ac:dyDescent="0.2">
      <c r="A1481" s="44">
        <v>43761</v>
      </c>
      <c r="B1481" s="48">
        <v>0.43888888888888888</v>
      </c>
      <c r="C1481" s="48"/>
      <c r="D1481" s="48" t="s">
        <v>150</v>
      </c>
      <c r="E1481" s="13">
        <v>2</v>
      </c>
      <c r="F1481" s="38" t="str">
        <f>VLOOKUP(E1481,[6]Key!$A$17:$B$21,2,FALSE)</f>
        <v>Road Vehicle</v>
      </c>
      <c r="G1481" s="49">
        <v>2</v>
      </c>
      <c r="H1481" s="39" t="str">
        <f>VLOOKUP(G1481,[6]Key!$A$2:$B$14,2,FALSE)</f>
        <v>Station Wagon</v>
      </c>
      <c r="I1481" s="13" t="s">
        <v>156</v>
      </c>
      <c r="J1481" s="13">
        <v>2</v>
      </c>
      <c r="K1481" s="40" t="str">
        <f>VLOOKUP(J1481,[6]Key!$A$24:$B$29,2,FALSE)</f>
        <v>30-39</v>
      </c>
      <c r="L1481" s="55" t="s">
        <v>876</v>
      </c>
      <c r="M1481" s="23" t="s">
        <v>832</v>
      </c>
      <c r="N1481" s="13" t="s">
        <v>820</v>
      </c>
      <c r="O1481" s="46">
        <v>8</v>
      </c>
      <c r="P1481" s="30" t="str">
        <f>VLOOKUP(O1481,[6]Key!$E$2:$F$9,2,FALSE)</f>
        <v>Others</v>
      </c>
      <c r="Q1481" s="13" t="s">
        <v>819</v>
      </c>
      <c r="R1481" s="23" t="s">
        <v>819</v>
      </c>
      <c r="S1481" s="13"/>
      <c r="T1481" s="23">
        <v>8</v>
      </c>
      <c r="U1481" s="30" t="str">
        <f>VLOOKUP(T1481,[6]Key!$E$2:$F$9,2,FALSE)</f>
        <v>Others</v>
      </c>
      <c r="V1481" s="30" t="str">
        <f t="shared" si="92"/>
        <v>Others-Others</v>
      </c>
      <c r="W1481" s="41">
        <v>20000</v>
      </c>
      <c r="X1481" s="50"/>
      <c r="Y1481" s="50" t="str">
        <f t="shared" si="93"/>
        <v>0-10</v>
      </c>
      <c r="Z1481" s="50">
        <v>5</v>
      </c>
      <c r="AA1481" s="50" t="str">
        <f t="shared" si="94"/>
        <v>Over 3.5</v>
      </c>
      <c r="AB1481" s="23">
        <v>5</v>
      </c>
      <c r="AC1481" s="30" t="str">
        <f>VLOOKUP(AB1481,[6]Key!$C$20:$D$29,2,FALSE)</f>
        <v>Professional</v>
      </c>
      <c r="AD1481" s="23">
        <v>4</v>
      </c>
      <c r="AE1481" s="30" t="str">
        <f>VLOOKUP(AD1481,[6]Key!$E$20:$F$24,2,FALSE)</f>
        <v>750,000-1,000,000</v>
      </c>
      <c r="AF1481" s="23">
        <v>5</v>
      </c>
      <c r="AG1481" s="50">
        <v>4</v>
      </c>
      <c r="AH1481" s="50">
        <v>2</v>
      </c>
      <c r="AI1481" s="50">
        <v>1</v>
      </c>
      <c r="AJ1481" s="50">
        <v>3</v>
      </c>
      <c r="AK1481" s="46" t="s">
        <v>94</v>
      </c>
      <c r="AL1481" s="36">
        <v>2000</v>
      </c>
      <c r="AM1481" t="str">
        <f t="shared" si="95"/>
        <v>2000-3000</v>
      </c>
    </row>
    <row r="1482" spans="1:46" x14ac:dyDescent="0.2">
      <c r="A1482" s="44">
        <v>43761</v>
      </c>
      <c r="B1482" s="48">
        <v>0.61319444444444449</v>
      </c>
      <c r="C1482" s="48"/>
      <c r="D1482" s="48" t="s">
        <v>150</v>
      </c>
      <c r="E1482" s="13">
        <v>2</v>
      </c>
      <c r="F1482" s="38" t="str">
        <f>VLOOKUP(E1482,[6]Key!$A$17:$B$21,2,FALSE)</f>
        <v>Road Vehicle</v>
      </c>
      <c r="G1482" s="49">
        <v>2</v>
      </c>
      <c r="H1482" s="39" t="str">
        <f>VLOOKUP(G1482,[6]Key!$A$2:$B$14,2,FALSE)</f>
        <v>Station Wagon</v>
      </c>
      <c r="I1482" s="13" t="s">
        <v>156</v>
      </c>
      <c r="J1482" s="13">
        <v>2</v>
      </c>
      <c r="K1482" s="40" t="str">
        <f>VLOOKUP(J1482,[6]Key!$A$24:$B$29,2,FALSE)</f>
        <v>30-39</v>
      </c>
      <c r="L1482" s="55" t="s">
        <v>404</v>
      </c>
      <c r="M1482" s="23" t="s">
        <v>404</v>
      </c>
      <c r="N1482" s="13" t="s">
        <v>820</v>
      </c>
      <c r="O1482" s="46">
        <v>2</v>
      </c>
      <c r="P1482" s="30" t="str">
        <f>VLOOKUP(O1482,[6]Key!$E$2:$F$9,2,FALSE)</f>
        <v>Work</v>
      </c>
      <c r="Q1482" s="13" t="s">
        <v>856</v>
      </c>
      <c r="R1482" s="23" t="s">
        <v>832</v>
      </c>
      <c r="S1482" s="13"/>
      <c r="T1482" s="23">
        <v>6</v>
      </c>
      <c r="U1482" s="30" t="str">
        <f>VLOOKUP(T1482,[6]Key!$E$2:$F$9,2,FALSE)</f>
        <v>Leisure/Social</v>
      </c>
      <c r="V1482" s="30" t="str">
        <f t="shared" si="92"/>
        <v>Work-Leisure/Social</v>
      </c>
      <c r="W1482" s="41">
        <v>30000</v>
      </c>
      <c r="X1482" s="50"/>
      <c r="Y1482" s="50" t="str">
        <f t="shared" si="93"/>
        <v>0-10</v>
      </c>
      <c r="Z1482" s="50">
        <v>8.5</v>
      </c>
      <c r="AA1482" s="50" t="str">
        <f t="shared" si="94"/>
        <v>Over 3.5</v>
      </c>
      <c r="AB1482" s="23">
        <v>5</v>
      </c>
      <c r="AC1482" s="30" t="str">
        <f>VLOOKUP(AB1482,[6]Key!$C$20:$D$29,2,FALSE)</f>
        <v>Professional</v>
      </c>
      <c r="AD1482" s="23">
        <v>5</v>
      </c>
      <c r="AE1482" s="30" t="str">
        <f>VLOOKUP(AD1482,[6]Key!$E$20:$F$24,2,FALSE)</f>
        <v>&gt;1,000,000</v>
      </c>
      <c r="AF1482" s="23">
        <v>3</v>
      </c>
      <c r="AG1482" s="50">
        <v>1</v>
      </c>
      <c r="AH1482" s="50">
        <v>4</v>
      </c>
      <c r="AI1482" s="50">
        <v>2</v>
      </c>
      <c r="AJ1482" s="50">
        <v>5</v>
      </c>
      <c r="AK1482" s="46" t="s">
        <v>94</v>
      </c>
      <c r="AL1482" s="36">
        <v>10000</v>
      </c>
      <c r="AM1482" t="str">
        <f t="shared" si="95"/>
        <v>Over 10000</v>
      </c>
    </row>
    <row r="1483" spans="1:46" x14ac:dyDescent="0.2">
      <c r="A1483" s="44">
        <v>43759</v>
      </c>
      <c r="B1483" s="48">
        <v>0.63194444444444442</v>
      </c>
      <c r="C1483" s="48"/>
      <c r="D1483" s="48" t="s">
        <v>150</v>
      </c>
      <c r="E1483" s="13">
        <v>2</v>
      </c>
      <c r="F1483" s="38" t="str">
        <f>VLOOKUP(E1483,[6]Key!$A$17:$B$21,2,FALSE)</f>
        <v>Road Vehicle</v>
      </c>
      <c r="G1483" s="49">
        <v>1</v>
      </c>
      <c r="H1483" s="39" t="str">
        <f>VLOOKUP(G1483,[6]Key!$A$2:$B$14,2,FALSE)</f>
        <v>Car</v>
      </c>
      <c r="I1483" s="13" t="s">
        <v>109</v>
      </c>
      <c r="J1483" s="13">
        <v>3</v>
      </c>
      <c r="K1483" s="40" t="str">
        <f>VLOOKUP(J1483,[6]Key!$A$24:$B$29,2,FALSE)</f>
        <v>40-49</v>
      </c>
      <c r="L1483" s="55" t="s">
        <v>877</v>
      </c>
      <c r="M1483" s="23" t="s">
        <v>819</v>
      </c>
      <c r="N1483" s="13" t="s">
        <v>820</v>
      </c>
      <c r="O1483" s="46">
        <v>1</v>
      </c>
      <c r="P1483" s="30" t="str">
        <f>VLOOKUP(O1483,[6]Key!$E$2:$F$9,2,FALSE)</f>
        <v>Home</v>
      </c>
      <c r="Q1483" s="13" t="s">
        <v>96</v>
      </c>
      <c r="R1483" s="23" t="s">
        <v>819</v>
      </c>
      <c r="S1483" s="13" t="s">
        <v>820</v>
      </c>
      <c r="T1483" s="23">
        <v>2</v>
      </c>
      <c r="U1483" s="30" t="str">
        <f>VLOOKUP(T1483,[6]Key!$E$2:$F$9,2,FALSE)</f>
        <v>Work</v>
      </c>
      <c r="V1483" s="30" t="str">
        <f t="shared" si="92"/>
        <v>Home-Work</v>
      </c>
      <c r="W1483" s="41">
        <v>7000</v>
      </c>
      <c r="X1483" s="50"/>
      <c r="Y1483" s="50" t="str">
        <f t="shared" si="93"/>
        <v>0-10</v>
      </c>
      <c r="Z1483" s="50">
        <v>1.5</v>
      </c>
      <c r="AA1483" s="50" t="str">
        <f t="shared" si="94"/>
        <v>1.0-2.0</v>
      </c>
      <c r="AB1483" s="23">
        <v>6</v>
      </c>
      <c r="AC1483" s="30" t="str">
        <f>VLOOKUP(AB1483,[6]Key!$C$20:$D$29,2,FALSE)</f>
        <v>Businessman</v>
      </c>
      <c r="AD1483" s="23">
        <v>1</v>
      </c>
      <c r="AE1483" s="30" t="str">
        <f>VLOOKUP(AD1483,[6]Key!$E$20:$F$24,2,FALSE)</f>
        <v>&lt;300,000</v>
      </c>
      <c r="AF1483" s="23">
        <v>2</v>
      </c>
      <c r="AG1483" s="50">
        <v>3</v>
      </c>
      <c r="AH1483" s="50">
        <v>4</v>
      </c>
      <c r="AI1483" s="50">
        <v>5</v>
      </c>
      <c r="AJ1483" s="50">
        <v>1</v>
      </c>
      <c r="AK1483" s="46" t="s">
        <v>94</v>
      </c>
      <c r="AL1483" s="36">
        <v>1000</v>
      </c>
      <c r="AM1483" t="str">
        <f t="shared" si="95"/>
        <v>1000-2000</v>
      </c>
    </row>
    <row r="1484" spans="1:46" x14ac:dyDescent="0.2">
      <c r="A1484" s="44">
        <v>43760</v>
      </c>
      <c r="B1484" s="48">
        <v>0.41250000000000003</v>
      </c>
      <c r="C1484" s="48"/>
      <c r="D1484" s="48" t="s">
        <v>150</v>
      </c>
      <c r="E1484" s="13">
        <v>2</v>
      </c>
      <c r="F1484" s="38" t="str">
        <f>VLOOKUP(E1484,[6]Key!$A$17:$B$21,2,FALSE)</f>
        <v>Road Vehicle</v>
      </c>
      <c r="G1484" s="49">
        <v>1</v>
      </c>
      <c r="H1484" s="39" t="str">
        <f>VLOOKUP(G1484,[6]Key!$A$2:$B$14,2,FALSE)</f>
        <v>Car</v>
      </c>
      <c r="I1484" s="13" t="s">
        <v>109</v>
      </c>
      <c r="J1484" s="13">
        <v>3</v>
      </c>
      <c r="K1484" s="40" t="str">
        <f>VLOOKUP(J1484,[6]Key!$A$24:$B$29,2,FALSE)</f>
        <v>40-49</v>
      </c>
      <c r="L1484" s="55" t="s">
        <v>878</v>
      </c>
      <c r="M1484" s="23" t="s">
        <v>819</v>
      </c>
      <c r="N1484" s="13" t="s">
        <v>820</v>
      </c>
      <c r="O1484" s="46">
        <v>2</v>
      </c>
      <c r="P1484" s="30" t="str">
        <f>VLOOKUP(O1484,[6]Key!$E$2:$F$9,2,FALSE)</f>
        <v>Work</v>
      </c>
      <c r="Q1484" s="13" t="s">
        <v>879</v>
      </c>
      <c r="R1484" s="23" t="s">
        <v>819</v>
      </c>
      <c r="S1484" s="13" t="s">
        <v>820</v>
      </c>
      <c r="T1484" s="23">
        <v>1</v>
      </c>
      <c r="U1484" s="30" t="str">
        <f>VLOOKUP(T1484,[6]Key!$E$2:$F$9,2,FALSE)</f>
        <v>Home</v>
      </c>
      <c r="V1484" s="30" t="str">
        <f t="shared" si="92"/>
        <v>Work-Home</v>
      </c>
      <c r="W1484" s="41">
        <v>3000</v>
      </c>
      <c r="X1484" s="50">
        <v>5</v>
      </c>
      <c r="Y1484" s="50" t="str">
        <f t="shared" si="93"/>
        <v>0-10</v>
      </c>
      <c r="Z1484" s="50">
        <v>0.5</v>
      </c>
      <c r="AA1484" s="50" t="str">
        <f t="shared" si="94"/>
        <v>0.5-1.0</v>
      </c>
      <c r="AB1484" s="23">
        <v>6</v>
      </c>
      <c r="AC1484" s="30" t="str">
        <f>VLOOKUP(AB1484,[6]Key!$C$20:$D$29,2,FALSE)</f>
        <v>Businessman</v>
      </c>
      <c r="AD1484" s="23">
        <v>1</v>
      </c>
      <c r="AE1484" s="30" t="str">
        <f>VLOOKUP(AD1484,[6]Key!$E$20:$F$24,2,FALSE)</f>
        <v>&lt;300,000</v>
      </c>
      <c r="AF1484" s="23">
        <v>1</v>
      </c>
      <c r="AG1484" s="50">
        <v>5</v>
      </c>
      <c r="AH1484" s="50">
        <v>4</v>
      </c>
      <c r="AI1484" s="50">
        <v>2</v>
      </c>
      <c r="AJ1484" s="50">
        <v>3</v>
      </c>
      <c r="AK1484" s="46" t="s">
        <v>94</v>
      </c>
      <c r="AL1484" s="36">
        <v>1000</v>
      </c>
      <c r="AM1484" t="str">
        <f t="shared" si="95"/>
        <v>1000-2000</v>
      </c>
    </row>
    <row r="1485" spans="1:46" x14ac:dyDescent="0.2">
      <c r="A1485" s="44">
        <v>43760</v>
      </c>
      <c r="B1485" s="48"/>
      <c r="C1485" s="48"/>
      <c r="D1485" s="48" t="s">
        <v>97</v>
      </c>
      <c r="E1485" s="13">
        <v>2</v>
      </c>
      <c r="F1485" s="38" t="str">
        <f>VLOOKUP(E1485,[6]Key!$A$17:$B$21,2,FALSE)</f>
        <v>Road Vehicle</v>
      </c>
      <c r="G1485" s="49">
        <v>1</v>
      </c>
      <c r="H1485" s="39" t="str">
        <f>VLOOKUP(G1485,[6]Key!$A$2:$B$14,2,FALSE)</f>
        <v>Car</v>
      </c>
      <c r="I1485" s="13" t="s">
        <v>109</v>
      </c>
      <c r="J1485" s="13">
        <v>3</v>
      </c>
      <c r="K1485" s="40" t="str">
        <f>VLOOKUP(J1485,[6]Key!$A$24:$B$29,2,FALSE)</f>
        <v>40-49</v>
      </c>
      <c r="L1485" s="55" t="s">
        <v>819</v>
      </c>
      <c r="M1485" s="23" t="s">
        <v>819</v>
      </c>
      <c r="N1485" s="13" t="s">
        <v>820</v>
      </c>
      <c r="O1485" s="46">
        <v>1</v>
      </c>
      <c r="P1485" s="30" t="str">
        <f>VLOOKUP(O1485,[6]Key!$E$2:$F$9,2,FALSE)</f>
        <v>Home</v>
      </c>
      <c r="Q1485" s="13" t="s">
        <v>291</v>
      </c>
      <c r="R1485" s="23" t="s">
        <v>268</v>
      </c>
      <c r="S1485" s="13" t="s">
        <v>820</v>
      </c>
      <c r="T1485" s="23">
        <v>2</v>
      </c>
      <c r="U1485" s="30" t="str">
        <f>VLOOKUP(T1485,[6]Key!$E$2:$F$9,2,FALSE)</f>
        <v>Work</v>
      </c>
      <c r="V1485" s="30" t="str">
        <f t="shared" si="92"/>
        <v>Home-Work</v>
      </c>
      <c r="W1485" s="41">
        <v>50000</v>
      </c>
      <c r="X1485" s="50">
        <v>70</v>
      </c>
      <c r="Y1485" s="50" t="str">
        <f t="shared" si="93"/>
        <v>70-100</v>
      </c>
      <c r="Z1485" s="50">
        <v>2</v>
      </c>
      <c r="AA1485" s="50" t="str">
        <f t="shared" si="94"/>
        <v>2.0-3.5</v>
      </c>
      <c r="AB1485" s="23">
        <v>6</v>
      </c>
      <c r="AC1485" s="30" t="str">
        <f>VLOOKUP(AB1485,[6]Key!$C$20:$D$29,2,FALSE)</f>
        <v>Businessman</v>
      </c>
      <c r="AD1485" s="23">
        <v>3</v>
      </c>
      <c r="AE1485" s="30" t="str">
        <f>VLOOKUP(AD1485,[6]Key!$E$20:$F$24,2,FALSE)</f>
        <v>500,000-750,000</v>
      </c>
      <c r="AF1485" s="23">
        <v>2</v>
      </c>
      <c r="AG1485" s="50">
        <v>3</v>
      </c>
      <c r="AH1485" s="50">
        <v>1</v>
      </c>
      <c r="AI1485" s="50">
        <v>4</v>
      </c>
      <c r="AJ1485" s="50">
        <v>5</v>
      </c>
      <c r="AK1485" s="46" t="s">
        <v>94</v>
      </c>
      <c r="AL1485" s="36"/>
      <c r="AM1485" t="str">
        <f t="shared" si="95"/>
        <v>0-1000</v>
      </c>
    </row>
    <row r="1486" spans="1:46" x14ac:dyDescent="0.2">
      <c r="A1486" s="44">
        <v>43759</v>
      </c>
      <c r="B1486" s="48">
        <v>0.74097222222222225</v>
      </c>
      <c r="C1486" s="48"/>
      <c r="D1486" s="48" t="s">
        <v>97</v>
      </c>
      <c r="E1486" s="13">
        <v>2</v>
      </c>
      <c r="F1486" s="38" t="str">
        <f>VLOOKUP(E1486,[6]Key!$A$17:$B$21,2,FALSE)</f>
        <v>Road Vehicle</v>
      </c>
      <c r="G1486" s="49">
        <v>6</v>
      </c>
      <c r="H1486" s="39" t="str">
        <f>VLOOKUP(G1486,[6]Key!$A$2:$B$14,2,FALSE)</f>
        <v>Large Bus</v>
      </c>
      <c r="I1486" s="13" t="s">
        <v>156</v>
      </c>
      <c r="J1486" s="13">
        <v>3</v>
      </c>
      <c r="K1486" s="40" t="str">
        <f>VLOOKUP(J1486,[6]Key!$A$24:$B$29,2,FALSE)</f>
        <v>40-49</v>
      </c>
      <c r="L1486" s="55" t="s">
        <v>819</v>
      </c>
      <c r="M1486" s="23" t="s">
        <v>819</v>
      </c>
      <c r="N1486" s="13" t="s">
        <v>820</v>
      </c>
      <c r="O1486" s="46">
        <v>4</v>
      </c>
      <c r="P1486" s="30" t="str">
        <f>VLOOKUP(O1486,[6]Key!$E$2:$F$9,2,FALSE)</f>
        <v>Commercial</v>
      </c>
      <c r="Q1486" s="13" t="s">
        <v>404</v>
      </c>
      <c r="R1486" s="23" t="s">
        <v>404</v>
      </c>
      <c r="S1486" s="13" t="s">
        <v>820</v>
      </c>
      <c r="T1486" s="23">
        <v>4</v>
      </c>
      <c r="U1486" s="30" t="str">
        <f>VLOOKUP(T1486,[6]Key!$E$2:$F$9,2,FALSE)</f>
        <v>Commercial</v>
      </c>
      <c r="V1486" s="30" t="str">
        <f t="shared" si="92"/>
        <v>Commercial-Commercial</v>
      </c>
      <c r="W1486" s="41">
        <v>1000000</v>
      </c>
      <c r="X1486" s="50"/>
      <c r="Y1486" s="50" t="str">
        <f t="shared" si="93"/>
        <v>0-10</v>
      </c>
      <c r="Z1486" s="50">
        <v>8</v>
      </c>
      <c r="AA1486" s="50" t="str">
        <f t="shared" si="94"/>
        <v>Over 3.5</v>
      </c>
      <c r="AB1486" s="23">
        <v>10</v>
      </c>
      <c r="AC1486" s="30" t="str">
        <f>VLOOKUP(AB1486,[6]Key!$C$20:$D$29,2,FALSE)</f>
        <v>Other</v>
      </c>
      <c r="AD1486" s="23">
        <v>1</v>
      </c>
      <c r="AE1486" s="30" t="str">
        <f>VLOOKUP(AD1486,[6]Key!$E$20:$F$24,2,FALSE)</f>
        <v>&lt;300,000</v>
      </c>
      <c r="AF1486" s="23">
        <v>5</v>
      </c>
      <c r="AG1486" s="50">
        <v>1</v>
      </c>
      <c r="AH1486" s="50">
        <v>4</v>
      </c>
      <c r="AI1486" s="50">
        <v>2</v>
      </c>
      <c r="AJ1486" s="50">
        <v>3</v>
      </c>
      <c r="AK1486" s="46" t="s">
        <v>94</v>
      </c>
      <c r="AL1486" s="36">
        <v>5000</v>
      </c>
      <c r="AM1486" t="str">
        <f t="shared" si="95"/>
        <v>5000-10000</v>
      </c>
    </row>
    <row r="1487" spans="1:46" x14ac:dyDescent="0.2">
      <c r="A1487" s="44">
        <v>43760</v>
      </c>
      <c r="B1487" s="48">
        <v>0.60972222222222217</v>
      </c>
      <c r="C1487" s="48"/>
      <c r="D1487" s="48"/>
      <c r="E1487" s="13">
        <v>2</v>
      </c>
      <c r="F1487" s="38" t="str">
        <f>VLOOKUP(E1487,[6]Key!$A$17:$B$21,2,FALSE)</f>
        <v>Road Vehicle</v>
      </c>
      <c r="G1487" s="49">
        <v>6</v>
      </c>
      <c r="H1487" s="39" t="str">
        <f>VLOOKUP(G1487,[6]Key!$A$2:$B$14,2,FALSE)</f>
        <v>Large Bus</v>
      </c>
      <c r="I1487" s="13" t="s">
        <v>156</v>
      </c>
      <c r="J1487" s="13">
        <v>3</v>
      </c>
      <c r="K1487" s="40" t="str">
        <f>VLOOKUP(J1487,[6]Key!$A$24:$B$29,2,FALSE)</f>
        <v>40-49</v>
      </c>
      <c r="L1487" s="55" t="s">
        <v>819</v>
      </c>
      <c r="M1487" s="23" t="s">
        <v>819</v>
      </c>
      <c r="N1487" s="13" t="s">
        <v>820</v>
      </c>
      <c r="O1487" s="46">
        <v>2</v>
      </c>
      <c r="P1487" s="30" t="str">
        <f>VLOOKUP(O1487,[6]Key!$E$2:$F$9,2,FALSE)</f>
        <v>Work</v>
      </c>
      <c r="Q1487" s="13" t="s">
        <v>404</v>
      </c>
      <c r="R1487" s="23" t="s">
        <v>404</v>
      </c>
      <c r="S1487" s="13" t="s">
        <v>820</v>
      </c>
      <c r="T1487" s="23">
        <v>4</v>
      </c>
      <c r="U1487" s="30" t="str">
        <f>VLOOKUP(T1487,[6]Key!$E$2:$F$9,2,FALSE)</f>
        <v>Commercial</v>
      </c>
      <c r="V1487" s="30" t="str">
        <f t="shared" si="92"/>
        <v>Work-Commercial</v>
      </c>
      <c r="W1487" s="41">
        <v>30000</v>
      </c>
      <c r="X1487" s="50">
        <v>400</v>
      </c>
      <c r="Y1487" s="50" t="str">
        <f t="shared" si="93"/>
        <v>Over 200</v>
      </c>
      <c r="Z1487" s="50">
        <v>7</v>
      </c>
      <c r="AA1487" s="50" t="str">
        <f t="shared" si="94"/>
        <v>Over 3.5</v>
      </c>
      <c r="AB1487" s="23">
        <v>5</v>
      </c>
      <c r="AC1487" s="30" t="str">
        <f>VLOOKUP(AB1487,[6]Key!$C$20:$D$29,2,FALSE)</f>
        <v>Professional</v>
      </c>
      <c r="AD1487" s="23">
        <v>2</v>
      </c>
      <c r="AE1487" s="30" t="str">
        <f>VLOOKUP(AD1487,[6]Key!$E$20:$F$24,2,FALSE)</f>
        <v>300,000-500,000</v>
      </c>
      <c r="AF1487" s="23">
        <v>1</v>
      </c>
      <c r="AG1487" s="50">
        <v>2</v>
      </c>
      <c r="AH1487" s="50">
        <v>3</v>
      </c>
      <c r="AI1487" s="50">
        <v>5</v>
      </c>
      <c r="AJ1487" s="50">
        <v>4</v>
      </c>
      <c r="AK1487" s="46" t="s">
        <v>94</v>
      </c>
      <c r="AL1487" s="36">
        <v>5000</v>
      </c>
      <c r="AM1487" t="str">
        <f t="shared" si="95"/>
        <v>5000-10000</v>
      </c>
    </row>
    <row r="1488" spans="1:46" x14ac:dyDescent="0.2">
      <c r="A1488" s="44">
        <v>43759</v>
      </c>
      <c r="B1488" s="48">
        <v>0.70763888888888893</v>
      </c>
      <c r="C1488" s="48"/>
      <c r="D1488" s="48" t="s">
        <v>97</v>
      </c>
      <c r="E1488" s="13">
        <v>2</v>
      </c>
      <c r="F1488" s="38" t="str">
        <f>VLOOKUP(E1488,[6]Key!$A$17:$B$21,2,FALSE)</f>
        <v>Road Vehicle</v>
      </c>
      <c r="G1488" s="49">
        <v>6</v>
      </c>
      <c r="H1488" s="39" t="str">
        <f>VLOOKUP(G1488,[6]Key!$A$2:$B$14,2,FALSE)</f>
        <v>Large Bus</v>
      </c>
      <c r="I1488" s="13" t="s">
        <v>109</v>
      </c>
      <c r="J1488" s="13">
        <v>3</v>
      </c>
      <c r="K1488" s="40" t="str">
        <f>VLOOKUP(J1488,[6]Key!$A$24:$B$29,2,FALSE)</f>
        <v>40-49</v>
      </c>
      <c r="L1488" s="55" t="s">
        <v>847</v>
      </c>
      <c r="M1488" s="23" t="s">
        <v>819</v>
      </c>
      <c r="N1488" s="13" t="s">
        <v>820</v>
      </c>
      <c r="O1488" s="46">
        <v>2</v>
      </c>
      <c r="P1488" s="30" t="str">
        <f>VLOOKUP(O1488,[6]Key!$E$2:$F$9,2,FALSE)</f>
        <v>Work</v>
      </c>
      <c r="Q1488" s="13" t="s">
        <v>880</v>
      </c>
      <c r="R1488" s="23" t="s">
        <v>404</v>
      </c>
      <c r="S1488" s="13" t="s">
        <v>820</v>
      </c>
      <c r="T1488" s="23">
        <v>1</v>
      </c>
      <c r="U1488" s="30" t="str">
        <f>VLOOKUP(T1488,[6]Key!$E$2:$F$9,2,FALSE)</f>
        <v>Home</v>
      </c>
      <c r="V1488" s="30" t="str">
        <f t="shared" si="92"/>
        <v>Work-Home</v>
      </c>
      <c r="W1488" s="41">
        <v>450000</v>
      </c>
      <c r="X1488" s="50">
        <v>412</v>
      </c>
      <c r="Y1488" s="50" t="str">
        <f t="shared" si="93"/>
        <v>Over 200</v>
      </c>
      <c r="Z1488" s="50">
        <v>6</v>
      </c>
      <c r="AA1488" s="50" t="str">
        <f t="shared" si="94"/>
        <v>Over 3.5</v>
      </c>
      <c r="AB1488" s="23">
        <v>10</v>
      </c>
      <c r="AC1488" s="30" t="str">
        <f>VLOOKUP(AB1488,[6]Key!$C$20:$D$29,2,FALSE)</f>
        <v>Other</v>
      </c>
      <c r="AD1488" s="23">
        <v>2</v>
      </c>
      <c r="AE1488" s="30" t="str">
        <f>VLOOKUP(AD1488,[6]Key!$E$20:$F$24,2,FALSE)</f>
        <v>300,000-500,000</v>
      </c>
      <c r="AF1488" s="23">
        <v>1</v>
      </c>
      <c r="AG1488" s="50">
        <v>2</v>
      </c>
      <c r="AH1488" s="50">
        <v>4</v>
      </c>
      <c r="AI1488" s="50">
        <v>5</v>
      </c>
      <c r="AJ1488" s="50">
        <v>3</v>
      </c>
      <c r="AK1488" s="46" t="s">
        <v>94</v>
      </c>
      <c r="AL1488" s="36"/>
      <c r="AM1488" t="str">
        <f t="shared" si="95"/>
        <v>0-1000</v>
      </c>
      <c r="AN1488" s="19"/>
      <c r="AO1488" s="19"/>
      <c r="AP1488" s="19"/>
      <c r="AQ1488" s="19"/>
      <c r="AR1488" s="19"/>
      <c r="AS1488" s="19"/>
      <c r="AT1488" s="19"/>
    </row>
    <row r="1489" spans="1:39" x14ac:dyDescent="0.2">
      <c r="A1489" s="44">
        <v>43759</v>
      </c>
      <c r="B1489" s="48">
        <v>0.66527777777777775</v>
      </c>
      <c r="C1489" s="48"/>
      <c r="D1489" s="48" t="s">
        <v>97</v>
      </c>
      <c r="E1489" s="13">
        <v>2</v>
      </c>
      <c r="F1489" s="38" t="str">
        <f>VLOOKUP(E1489,[6]Key!$A$17:$B$21,2,FALSE)</f>
        <v>Road Vehicle</v>
      </c>
      <c r="G1489" s="49">
        <v>6</v>
      </c>
      <c r="H1489" s="39" t="str">
        <f>VLOOKUP(G1489,[6]Key!$A$2:$B$14,2,FALSE)</f>
        <v>Large Bus</v>
      </c>
      <c r="I1489" s="13" t="s">
        <v>109</v>
      </c>
      <c r="J1489" s="13">
        <v>3</v>
      </c>
      <c r="K1489" s="40" t="str">
        <f>VLOOKUP(J1489,[6]Key!$A$24:$B$29,2,FALSE)</f>
        <v>40-49</v>
      </c>
      <c r="L1489" s="55" t="s">
        <v>881</v>
      </c>
      <c r="M1489" s="23" t="s">
        <v>819</v>
      </c>
      <c r="N1489" s="13" t="s">
        <v>820</v>
      </c>
      <c r="O1489" s="46">
        <v>2</v>
      </c>
      <c r="P1489" s="30" t="str">
        <f>VLOOKUP(O1489,[6]Key!$E$2:$F$9,2,FALSE)</f>
        <v>Work</v>
      </c>
      <c r="Q1489" s="13" t="s">
        <v>874</v>
      </c>
      <c r="R1489" s="23" t="s">
        <v>404</v>
      </c>
      <c r="S1489" s="13" t="s">
        <v>820</v>
      </c>
      <c r="T1489" s="23">
        <v>1</v>
      </c>
      <c r="U1489" s="30" t="str">
        <f>VLOOKUP(T1489,[6]Key!$E$2:$F$9,2,FALSE)</f>
        <v>Home</v>
      </c>
      <c r="V1489" s="30" t="str">
        <f t="shared" si="92"/>
        <v>Work-Home</v>
      </c>
      <c r="W1489" s="41">
        <v>700000</v>
      </c>
      <c r="X1489" s="50">
        <v>390</v>
      </c>
      <c r="Y1489" s="50" t="str">
        <f t="shared" si="93"/>
        <v>Over 200</v>
      </c>
      <c r="Z1489" s="50">
        <v>7</v>
      </c>
      <c r="AA1489" s="50" t="str">
        <f t="shared" si="94"/>
        <v>Over 3.5</v>
      </c>
      <c r="AB1489" s="23">
        <v>10</v>
      </c>
      <c r="AC1489" s="30" t="str">
        <f>VLOOKUP(AB1489,[6]Key!$C$20:$D$29,2,FALSE)</f>
        <v>Other</v>
      </c>
      <c r="AD1489" s="23">
        <v>1</v>
      </c>
      <c r="AE1489" s="30" t="str">
        <f>VLOOKUP(AD1489,[6]Key!$E$20:$F$24,2,FALSE)</f>
        <v>&lt;300,000</v>
      </c>
      <c r="AF1489" s="23">
        <v>5</v>
      </c>
      <c r="AG1489" s="50">
        <v>4</v>
      </c>
      <c r="AH1489" s="50">
        <v>1</v>
      </c>
      <c r="AI1489" s="50">
        <v>3</v>
      </c>
      <c r="AJ1489" s="50">
        <v>2</v>
      </c>
      <c r="AK1489" s="46" t="s">
        <v>94</v>
      </c>
      <c r="AL1489" s="36">
        <v>3000</v>
      </c>
      <c r="AM1489" t="str">
        <f t="shared" si="95"/>
        <v>3000-5000</v>
      </c>
    </row>
    <row r="1490" spans="1:39" x14ac:dyDescent="0.2">
      <c r="A1490" s="44">
        <v>43759</v>
      </c>
      <c r="B1490" s="48">
        <v>0.75624999999999998</v>
      </c>
      <c r="C1490" s="48"/>
      <c r="D1490" s="48" t="s">
        <v>97</v>
      </c>
      <c r="E1490" s="13">
        <v>2</v>
      </c>
      <c r="F1490" s="38" t="str">
        <f>VLOOKUP(E1490,[6]Key!$A$17:$B$21,2,FALSE)</f>
        <v>Road Vehicle</v>
      </c>
      <c r="G1490" s="49">
        <v>6</v>
      </c>
      <c r="H1490" s="39" t="str">
        <f>VLOOKUP(G1490,[6]Key!$A$2:$B$14,2,FALSE)</f>
        <v>Large Bus</v>
      </c>
      <c r="I1490" s="13" t="s">
        <v>109</v>
      </c>
      <c r="J1490" s="13">
        <v>3</v>
      </c>
      <c r="K1490" s="40" t="str">
        <f>VLOOKUP(J1490,[6]Key!$A$24:$B$29,2,FALSE)</f>
        <v>40-49</v>
      </c>
      <c r="L1490" s="55" t="s">
        <v>404</v>
      </c>
      <c r="M1490" s="23" t="s">
        <v>404</v>
      </c>
      <c r="N1490" s="13" t="s">
        <v>820</v>
      </c>
      <c r="O1490" s="46">
        <v>4</v>
      </c>
      <c r="P1490" s="30" t="str">
        <f>VLOOKUP(O1490,[6]Key!$E$2:$F$9,2,FALSE)</f>
        <v>Commercial</v>
      </c>
      <c r="Q1490" s="13" t="s">
        <v>819</v>
      </c>
      <c r="R1490" s="23" t="s">
        <v>819</v>
      </c>
      <c r="S1490" s="13" t="s">
        <v>820</v>
      </c>
      <c r="T1490" s="23">
        <v>4</v>
      </c>
      <c r="U1490" s="30" t="str">
        <f>VLOOKUP(T1490,[6]Key!$E$2:$F$9,2,FALSE)</f>
        <v>Commercial</v>
      </c>
      <c r="V1490" s="30" t="str">
        <f t="shared" si="92"/>
        <v>Commercial-Commercial</v>
      </c>
      <c r="W1490" s="41">
        <v>1200000</v>
      </c>
      <c r="X1490" s="50"/>
      <c r="Y1490" s="50" t="str">
        <f t="shared" si="93"/>
        <v>0-10</v>
      </c>
      <c r="Z1490" s="50">
        <v>7</v>
      </c>
      <c r="AA1490" s="50" t="str">
        <f t="shared" si="94"/>
        <v>Over 3.5</v>
      </c>
      <c r="AB1490" s="23">
        <v>10</v>
      </c>
      <c r="AC1490" s="30" t="str">
        <f>VLOOKUP(AB1490,[6]Key!$C$20:$D$29,2,FALSE)</f>
        <v>Other</v>
      </c>
      <c r="AD1490" s="23">
        <v>3</v>
      </c>
      <c r="AE1490" s="30" t="str">
        <f>VLOOKUP(AD1490,[6]Key!$E$20:$F$24,2,FALSE)</f>
        <v>500,000-750,000</v>
      </c>
      <c r="AF1490" s="23">
        <v>5</v>
      </c>
      <c r="AG1490" s="50">
        <v>2</v>
      </c>
      <c r="AH1490" s="50">
        <v>4</v>
      </c>
      <c r="AI1490" s="50">
        <v>1</v>
      </c>
      <c r="AJ1490" s="50">
        <v>3</v>
      </c>
      <c r="AK1490" s="46" t="s">
        <v>94</v>
      </c>
      <c r="AL1490" s="36">
        <v>10000</v>
      </c>
      <c r="AM1490" t="str">
        <f t="shared" si="95"/>
        <v>Over 10000</v>
      </c>
    </row>
    <row r="1491" spans="1:39" x14ac:dyDescent="0.2">
      <c r="A1491" s="44">
        <v>43760</v>
      </c>
      <c r="B1491" s="48">
        <v>0.65416666666666667</v>
      </c>
      <c r="C1491" s="48"/>
      <c r="D1491" s="48" t="s">
        <v>97</v>
      </c>
      <c r="E1491" s="13">
        <v>2</v>
      </c>
      <c r="F1491" s="38" t="str">
        <f>VLOOKUP(E1491,[6]Key!$A$17:$B$21,2,FALSE)</f>
        <v>Road Vehicle</v>
      </c>
      <c r="G1491" s="49">
        <v>6</v>
      </c>
      <c r="H1491" s="39" t="str">
        <f>VLOOKUP(G1491,[6]Key!$A$2:$B$14,2,FALSE)</f>
        <v>Large Bus</v>
      </c>
      <c r="I1491" s="13" t="s">
        <v>109</v>
      </c>
      <c r="J1491" s="13">
        <v>3</v>
      </c>
      <c r="K1491" s="40" t="str">
        <f>VLOOKUP(J1491,[6]Key!$A$24:$B$29,2,FALSE)</f>
        <v>40-49</v>
      </c>
      <c r="L1491" s="55"/>
      <c r="M1491" s="23"/>
      <c r="N1491" s="13" t="s">
        <v>820</v>
      </c>
      <c r="O1491" s="46">
        <v>2</v>
      </c>
      <c r="P1491" s="30" t="str">
        <f>VLOOKUP(O1491,[6]Key!$E$2:$F$9,2,FALSE)</f>
        <v>Work</v>
      </c>
      <c r="Q1491" s="13"/>
      <c r="R1491" s="23"/>
      <c r="S1491" s="13" t="s">
        <v>820</v>
      </c>
      <c r="T1491" s="23">
        <v>1</v>
      </c>
      <c r="U1491" s="30" t="str">
        <f>VLOOKUP(T1491,[6]Key!$E$2:$F$9,2,FALSE)</f>
        <v>Home</v>
      </c>
      <c r="V1491" s="30" t="str">
        <f t="shared" si="92"/>
        <v>Work-Home</v>
      </c>
      <c r="W1491" s="41">
        <v>650000</v>
      </c>
      <c r="X1491" s="50">
        <v>390</v>
      </c>
      <c r="Y1491" s="50" t="str">
        <f t="shared" si="93"/>
        <v>Over 200</v>
      </c>
      <c r="Z1491" s="50">
        <v>7</v>
      </c>
      <c r="AA1491" s="50" t="str">
        <f t="shared" si="94"/>
        <v>Over 3.5</v>
      </c>
      <c r="AB1491" s="23">
        <v>10</v>
      </c>
      <c r="AC1491" s="30" t="str">
        <f>VLOOKUP(AB1491,[6]Key!$C$20:$D$29,2,FALSE)</f>
        <v>Other</v>
      </c>
      <c r="AD1491" s="23">
        <v>4</v>
      </c>
      <c r="AE1491" s="30" t="str">
        <f>VLOOKUP(AD1491,[6]Key!$E$20:$F$24,2,FALSE)</f>
        <v>750,000-1,000,000</v>
      </c>
      <c r="AF1491" s="23">
        <v>2</v>
      </c>
      <c r="AG1491" s="50">
        <v>1</v>
      </c>
      <c r="AH1491" s="50">
        <v>5</v>
      </c>
      <c r="AI1491" s="50">
        <v>3</v>
      </c>
      <c r="AJ1491" s="50">
        <v>4</v>
      </c>
      <c r="AK1491" s="46" t="s">
        <v>94</v>
      </c>
      <c r="AL1491" s="36">
        <v>5000</v>
      </c>
      <c r="AM1491" t="str">
        <f t="shared" si="95"/>
        <v>5000-10000</v>
      </c>
    </row>
    <row r="1492" spans="1:39" x14ac:dyDescent="0.2">
      <c r="A1492" s="44">
        <v>43760</v>
      </c>
      <c r="B1492" s="48">
        <v>0.5</v>
      </c>
      <c r="C1492" s="48"/>
      <c r="D1492" s="48" t="s">
        <v>97</v>
      </c>
      <c r="E1492" s="13">
        <v>2</v>
      </c>
      <c r="F1492" s="38" t="str">
        <f>VLOOKUP(E1492,[6]Key!$A$17:$B$21,2,FALSE)</f>
        <v>Road Vehicle</v>
      </c>
      <c r="G1492" s="49">
        <v>6</v>
      </c>
      <c r="H1492" s="39" t="str">
        <f>VLOOKUP(G1492,[6]Key!$A$2:$B$14,2,FALSE)</f>
        <v>Large Bus</v>
      </c>
      <c r="I1492" s="13" t="s">
        <v>109</v>
      </c>
      <c r="J1492" s="13">
        <v>3</v>
      </c>
      <c r="K1492" s="40" t="str">
        <f>VLOOKUP(J1492,[6]Key!$A$24:$B$29,2,FALSE)</f>
        <v>40-49</v>
      </c>
      <c r="L1492" s="55" t="s">
        <v>96</v>
      </c>
      <c r="M1492" s="23" t="s">
        <v>819</v>
      </c>
      <c r="N1492" s="13" t="s">
        <v>820</v>
      </c>
      <c r="O1492" s="46">
        <v>2</v>
      </c>
      <c r="P1492" s="30" t="str">
        <f>VLOOKUP(O1492,[6]Key!$E$2:$F$9,2,FALSE)</f>
        <v>Work</v>
      </c>
      <c r="Q1492" s="13" t="s">
        <v>283</v>
      </c>
      <c r="R1492" s="23" t="s">
        <v>283</v>
      </c>
      <c r="S1492" s="13" t="s">
        <v>820</v>
      </c>
      <c r="T1492" s="23">
        <v>1</v>
      </c>
      <c r="U1492" s="30" t="str">
        <f>VLOOKUP(T1492,[6]Key!$E$2:$F$9,2,FALSE)</f>
        <v>Home</v>
      </c>
      <c r="V1492" s="30" t="str">
        <f t="shared" si="92"/>
        <v>Work-Home</v>
      </c>
      <c r="W1492" s="41">
        <v>650000</v>
      </c>
      <c r="X1492" s="50">
        <v>100</v>
      </c>
      <c r="Y1492" s="50" t="str">
        <f t="shared" si="93"/>
        <v>100-200</v>
      </c>
      <c r="Z1492" s="50">
        <v>3.5</v>
      </c>
      <c r="AA1492" s="50" t="str">
        <f t="shared" si="94"/>
        <v>Over 3.5</v>
      </c>
      <c r="AB1492" s="23">
        <v>10</v>
      </c>
      <c r="AC1492" s="30" t="str">
        <f>VLOOKUP(AB1492,[6]Key!$C$20:$D$29,2,FALSE)</f>
        <v>Other</v>
      </c>
      <c r="AD1492" s="23">
        <v>1</v>
      </c>
      <c r="AE1492" s="30" t="str">
        <f>VLOOKUP(AD1492,[6]Key!$E$20:$F$24,2,FALSE)</f>
        <v>&lt;300,000</v>
      </c>
      <c r="AF1492" s="23">
        <v>2</v>
      </c>
      <c r="AG1492" s="50">
        <v>1</v>
      </c>
      <c r="AH1492" s="50">
        <v>3</v>
      </c>
      <c r="AI1492" s="50">
        <v>5</v>
      </c>
      <c r="AJ1492" s="50">
        <v>4</v>
      </c>
      <c r="AK1492" s="46" t="s">
        <v>94</v>
      </c>
      <c r="AL1492" s="36">
        <v>5000</v>
      </c>
      <c r="AM1492" t="str">
        <f t="shared" si="95"/>
        <v>5000-10000</v>
      </c>
    </row>
    <row r="1493" spans="1:39" x14ac:dyDescent="0.2">
      <c r="A1493" s="44">
        <v>43760</v>
      </c>
      <c r="B1493" s="48">
        <v>0.59097222222222223</v>
      </c>
      <c r="C1493" s="48"/>
      <c r="D1493" s="48" t="s">
        <v>97</v>
      </c>
      <c r="E1493" s="13">
        <v>2</v>
      </c>
      <c r="F1493" s="38" t="str">
        <f>VLOOKUP(E1493,[6]Key!$A$17:$B$21,2,FALSE)</f>
        <v>Road Vehicle</v>
      </c>
      <c r="G1493" s="49">
        <v>6</v>
      </c>
      <c r="H1493" s="39" t="str">
        <f>VLOOKUP(G1493,[6]Key!$A$2:$B$14,2,FALSE)</f>
        <v>Large Bus</v>
      </c>
      <c r="I1493" s="13" t="s">
        <v>109</v>
      </c>
      <c r="J1493" s="13">
        <v>3</v>
      </c>
      <c r="K1493" s="40" t="str">
        <f>VLOOKUP(J1493,[6]Key!$A$24:$B$29,2,FALSE)</f>
        <v>40-49</v>
      </c>
      <c r="L1493" s="55" t="s">
        <v>849</v>
      </c>
      <c r="M1493" s="23" t="s">
        <v>819</v>
      </c>
      <c r="N1493" s="13" t="s">
        <v>820</v>
      </c>
      <c r="O1493" s="46">
        <v>2</v>
      </c>
      <c r="P1493" s="30" t="str">
        <f>VLOOKUP(O1493,[6]Key!$E$2:$F$9,2,FALSE)</f>
        <v>Work</v>
      </c>
      <c r="Q1493" s="13" t="s">
        <v>855</v>
      </c>
      <c r="R1493" s="23" t="s">
        <v>283</v>
      </c>
      <c r="S1493" s="13" t="s">
        <v>820</v>
      </c>
      <c r="T1493" s="23">
        <v>1</v>
      </c>
      <c r="U1493" s="30" t="str">
        <f>VLOOKUP(T1493,[6]Key!$E$2:$F$9,2,FALSE)</f>
        <v>Home</v>
      </c>
      <c r="V1493" s="30" t="str">
        <f t="shared" si="92"/>
        <v>Work-Home</v>
      </c>
      <c r="W1493" s="41">
        <v>400000</v>
      </c>
      <c r="X1493" s="50">
        <v>115</v>
      </c>
      <c r="Y1493" s="50" t="str">
        <f t="shared" si="93"/>
        <v>100-200</v>
      </c>
      <c r="Z1493" s="50">
        <v>3.5</v>
      </c>
      <c r="AA1493" s="50" t="str">
        <f t="shared" si="94"/>
        <v>Over 3.5</v>
      </c>
      <c r="AB1493" s="23">
        <v>10</v>
      </c>
      <c r="AC1493" s="30" t="str">
        <f>VLOOKUP(AB1493,[6]Key!$C$20:$D$29,2,FALSE)</f>
        <v>Other</v>
      </c>
      <c r="AD1493" s="23">
        <v>2</v>
      </c>
      <c r="AE1493" s="30" t="str">
        <f>VLOOKUP(AD1493,[6]Key!$E$20:$F$24,2,FALSE)</f>
        <v>300,000-500,000</v>
      </c>
      <c r="AF1493" s="23">
        <v>1</v>
      </c>
      <c r="AG1493" s="50">
        <v>2</v>
      </c>
      <c r="AH1493" s="50">
        <v>3</v>
      </c>
      <c r="AI1493" s="50">
        <v>4</v>
      </c>
      <c r="AJ1493" s="50">
        <v>5</v>
      </c>
      <c r="AK1493" s="46" t="s">
        <v>94</v>
      </c>
      <c r="AL1493" s="36">
        <v>5000</v>
      </c>
      <c r="AM1493" t="str">
        <f t="shared" si="95"/>
        <v>5000-10000</v>
      </c>
    </row>
    <row r="1494" spans="1:39" x14ac:dyDescent="0.2">
      <c r="A1494" s="44">
        <v>43761</v>
      </c>
      <c r="B1494" s="48">
        <v>0.58402777777777781</v>
      </c>
      <c r="C1494" s="48"/>
      <c r="D1494" s="48" t="s">
        <v>97</v>
      </c>
      <c r="E1494" s="13">
        <v>2</v>
      </c>
      <c r="F1494" s="38" t="str">
        <f>VLOOKUP(E1494,[6]Key!$A$17:$B$21,2,FALSE)</f>
        <v>Road Vehicle</v>
      </c>
      <c r="G1494" s="49">
        <v>6</v>
      </c>
      <c r="H1494" s="39" t="str">
        <f>VLOOKUP(G1494,[6]Key!$A$2:$B$14,2,FALSE)</f>
        <v>Large Bus</v>
      </c>
      <c r="I1494" s="13" t="s">
        <v>109</v>
      </c>
      <c r="J1494" s="13">
        <v>3</v>
      </c>
      <c r="K1494" s="40" t="str">
        <f>VLOOKUP(J1494,[6]Key!$A$24:$B$29,2,FALSE)</f>
        <v>40-49</v>
      </c>
      <c r="L1494" s="55" t="s">
        <v>819</v>
      </c>
      <c r="M1494" s="23" t="s">
        <v>819</v>
      </c>
      <c r="N1494" s="13" t="s">
        <v>820</v>
      </c>
      <c r="O1494" s="46">
        <v>2</v>
      </c>
      <c r="P1494" s="30" t="str">
        <f>VLOOKUP(O1494,[6]Key!$E$2:$F$9,2,FALSE)</f>
        <v>Work</v>
      </c>
      <c r="Q1494" s="13" t="s">
        <v>404</v>
      </c>
      <c r="R1494" s="23" t="s">
        <v>404</v>
      </c>
      <c r="S1494" s="13" t="s">
        <v>820</v>
      </c>
      <c r="T1494" s="23">
        <v>1</v>
      </c>
      <c r="U1494" s="30" t="str">
        <f>VLOOKUP(T1494,[6]Key!$E$2:$F$9,2,FALSE)</f>
        <v>Home</v>
      </c>
      <c r="V1494" s="30" t="str">
        <f t="shared" si="92"/>
        <v>Work-Home</v>
      </c>
      <c r="W1494" s="41">
        <v>700000</v>
      </c>
      <c r="X1494" s="50">
        <v>396</v>
      </c>
      <c r="Y1494" s="50" t="str">
        <f t="shared" si="93"/>
        <v>Over 200</v>
      </c>
      <c r="Z1494" s="50">
        <v>7.5</v>
      </c>
      <c r="AA1494" s="50" t="str">
        <f t="shared" si="94"/>
        <v>Over 3.5</v>
      </c>
      <c r="AB1494" s="23">
        <v>10</v>
      </c>
      <c r="AC1494" s="30" t="str">
        <f>VLOOKUP(AB1494,[6]Key!$C$20:$D$29,2,FALSE)</f>
        <v>Other</v>
      </c>
      <c r="AD1494" s="23">
        <v>3</v>
      </c>
      <c r="AE1494" s="30" t="str">
        <f>VLOOKUP(AD1494,[6]Key!$E$20:$F$24,2,FALSE)</f>
        <v>500,000-750,000</v>
      </c>
      <c r="AF1494" s="23">
        <v>1</v>
      </c>
      <c r="AG1494" s="50">
        <v>3</v>
      </c>
      <c r="AH1494" s="50">
        <v>2</v>
      </c>
      <c r="AI1494" s="50">
        <v>5</v>
      </c>
      <c r="AJ1494" s="50">
        <v>4</v>
      </c>
      <c r="AK1494" s="46" t="s">
        <v>94</v>
      </c>
      <c r="AL1494" s="36"/>
      <c r="AM1494" t="str">
        <f t="shared" si="95"/>
        <v>0-1000</v>
      </c>
    </row>
    <row r="1495" spans="1:39" x14ac:dyDescent="0.2">
      <c r="A1495" s="44">
        <v>43761</v>
      </c>
      <c r="B1495" s="48">
        <v>0.57777777777777783</v>
      </c>
      <c r="C1495" s="48"/>
      <c r="D1495" s="48" t="s">
        <v>97</v>
      </c>
      <c r="E1495" s="13">
        <v>2</v>
      </c>
      <c r="F1495" s="38" t="str">
        <f>VLOOKUP(E1495,[6]Key!$A$17:$B$21,2,FALSE)</f>
        <v>Road Vehicle</v>
      </c>
      <c r="G1495" s="49">
        <v>6</v>
      </c>
      <c r="H1495" s="39" t="str">
        <f>VLOOKUP(G1495,[6]Key!$A$2:$B$14,2,FALSE)</f>
        <v>Large Bus</v>
      </c>
      <c r="I1495" s="13" t="s">
        <v>109</v>
      </c>
      <c r="J1495" s="13">
        <v>3</v>
      </c>
      <c r="K1495" s="40" t="str">
        <f>VLOOKUP(J1495,[6]Key!$A$24:$B$29,2,FALSE)</f>
        <v>40-49</v>
      </c>
      <c r="L1495" s="55" t="s">
        <v>847</v>
      </c>
      <c r="M1495" s="23" t="s">
        <v>819</v>
      </c>
      <c r="N1495" s="13" t="s">
        <v>820</v>
      </c>
      <c r="O1495" s="46">
        <v>1</v>
      </c>
      <c r="P1495" s="30" t="str">
        <f>VLOOKUP(O1495,[6]Key!$E$2:$F$9,2,FALSE)</f>
        <v>Home</v>
      </c>
      <c r="Q1495" s="13" t="s">
        <v>404</v>
      </c>
      <c r="R1495" s="23" t="s">
        <v>404</v>
      </c>
      <c r="S1495" s="13" t="s">
        <v>820</v>
      </c>
      <c r="T1495" s="23">
        <v>2</v>
      </c>
      <c r="U1495" s="30" t="str">
        <f>VLOOKUP(T1495,[6]Key!$E$2:$F$9,2,FALSE)</f>
        <v>Work</v>
      </c>
      <c r="V1495" s="30" t="str">
        <f t="shared" si="92"/>
        <v>Home-Work</v>
      </c>
      <c r="W1495" s="41">
        <v>650000</v>
      </c>
      <c r="X1495" s="50">
        <v>370</v>
      </c>
      <c r="Y1495" s="50" t="str">
        <f t="shared" si="93"/>
        <v>Over 200</v>
      </c>
      <c r="Z1495" s="50">
        <v>7</v>
      </c>
      <c r="AA1495" s="50" t="str">
        <f t="shared" si="94"/>
        <v>Over 3.5</v>
      </c>
      <c r="AB1495" s="23">
        <v>10</v>
      </c>
      <c r="AC1495" s="30" t="str">
        <f>VLOOKUP(AB1495,[6]Key!$C$20:$D$29,2,FALSE)</f>
        <v>Other</v>
      </c>
      <c r="AD1495" s="23">
        <v>3</v>
      </c>
      <c r="AE1495" s="30" t="str">
        <f>VLOOKUP(AD1495,[6]Key!$E$20:$F$24,2,FALSE)</f>
        <v>500,000-750,000</v>
      </c>
      <c r="AF1495" s="23">
        <v>2</v>
      </c>
      <c r="AG1495" s="50">
        <v>3</v>
      </c>
      <c r="AH1495" s="50">
        <v>4</v>
      </c>
      <c r="AI1495" s="50">
        <v>5</v>
      </c>
      <c r="AJ1495" s="50">
        <v>1</v>
      </c>
      <c r="AK1495" s="46" t="s">
        <v>94</v>
      </c>
      <c r="AL1495" s="36">
        <v>1000</v>
      </c>
      <c r="AM1495" t="str">
        <f t="shared" si="95"/>
        <v>1000-2000</v>
      </c>
    </row>
    <row r="1496" spans="1:39" x14ac:dyDescent="0.2">
      <c r="A1496" s="44">
        <v>43761</v>
      </c>
      <c r="B1496" s="48">
        <v>0.71180555555555547</v>
      </c>
      <c r="C1496" s="48"/>
      <c r="D1496" s="48" t="s">
        <v>97</v>
      </c>
      <c r="E1496" s="13">
        <v>2</v>
      </c>
      <c r="F1496" s="38" t="str">
        <f>VLOOKUP(E1496,[6]Key!$A$17:$B$21,2,FALSE)</f>
        <v>Road Vehicle</v>
      </c>
      <c r="G1496" s="49">
        <v>6</v>
      </c>
      <c r="H1496" s="39" t="str">
        <f>VLOOKUP(G1496,[6]Key!$A$2:$B$14,2,FALSE)</f>
        <v>Large Bus</v>
      </c>
      <c r="I1496" s="13" t="s">
        <v>109</v>
      </c>
      <c r="J1496" s="13">
        <v>3</v>
      </c>
      <c r="K1496" s="40" t="str">
        <f>VLOOKUP(J1496,[6]Key!$A$24:$B$29,2,FALSE)</f>
        <v>40-49</v>
      </c>
      <c r="L1496" s="55" t="s">
        <v>819</v>
      </c>
      <c r="M1496" s="23" t="s">
        <v>819</v>
      </c>
      <c r="N1496" s="13" t="s">
        <v>820</v>
      </c>
      <c r="O1496" s="46">
        <v>2</v>
      </c>
      <c r="P1496" s="30" t="str">
        <f>VLOOKUP(O1496,[6]Key!$E$2:$F$9,2,FALSE)</f>
        <v>Work</v>
      </c>
      <c r="Q1496" s="13" t="s">
        <v>283</v>
      </c>
      <c r="R1496" s="23" t="s">
        <v>283</v>
      </c>
      <c r="S1496" s="13" t="s">
        <v>820</v>
      </c>
      <c r="T1496" s="23">
        <v>1</v>
      </c>
      <c r="U1496" s="30" t="str">
        <f>VLOOKUP(T1496,[6]Key!$E$2:$F$9,2,FALSE)</f>
        <v>Home</v>
      </c>
      <c r="V1496" s="30" t="str">
        <f t="shared" si="92"/>
        <v>Work-Home</v>
      </c>
      <c r="W1496" s="41">
        <v>600000</v>
      </c>
      <c r="X1496" s="50">
        <v>390</v>
      </c>
      <c r="Y1496" s="50" t="str">
        <f t="shared" si="93"/>
        <v>Over 200</v>
      </c>
      <c r="Z1496" s="50">
        <v>7</v>
      </c>
      <c r="AA1496" s="50" t="str">
        <f t="shared" si="94"/>
        <v>Over 3.5</v>
      </c>
      <c r="AB1496" s="23">
        <v>10</v>
      </c>
      <c r="AC1496" s="30" t="str">
        <f>VLOOKUP(AB1496,[6]Key!$C$20:$D$29,2,FALSE)</f>
        <v>Other</v>
      </c>
      <c r="AD1496" s="23">
        <v>4</v>
      </c>
      <c r="AE1496" s="30" t="str">
        <f>VLOOKUP(AD1496,[6]Key!$E$20:$F$24,2,FALSE)</f>
        <v>750,000-1,000,000</v>
      </c>
      <c r="AF1496" s="23">
        <v>2</v>
      </c>
      <c r="AG1496" s="50">
        <v>1</v>
      </c>
      <c r="AH1496" s="50">
        <v>5</v>
      </c>
      <c r="AI1496" s="50">
        <v>4</v>
      </c>
      <c r="AJ1496" s="50">
        <v>3</v>
      </c>
      <c r="AK1496" s="46" t="s">
        <v>94</v>
      </c>
      <c r="AL1496" s="36">
        <v>4000</v>
      </c>
      <c r="AM1496" t="str">
        <f t="shared" si="95"/>
        <v>3000-5000</v>
      </c>
    </row>
    <row r="1497" spans="1:39" x14ac:dyDescent="0.2">
      <c r="A1497" s="44">
        <v>43761</v>
      </c>
      <c r="B1497" s="48">
        <v>0.72291666666666676</v>
      </c>
      <c r="C1497" s="48"/>
      <c r="D1497" s="48" t="s">
        <v>97</v>
      </c>
      <c r="E1497" s="13">
        <v>2</v>
      </c>
      <c r="F1497" s="38" t="str">
        <f>VLOOKUP(E1497,[6]Key!$A$17:$B$21,2,FALSE)</f>
        <v>Road Vehicle</v>
      </c>
      <c r="G1497" s="49">
        <v>6</v>
      </c>
      <c r="H1497" s="39" t="str">
        <f>VLOOKUP(G1497,[6]Key!$A$2:$B$14,2,FALSE)</f>
        <v>Large Bus</v>
      </c>
      <c r="I1497" s="13" t="s">
        <v>109</v>
      </c>
      <c r="J1497" s="13">
        <v>3</v>
      </c>
      <c r="K1497" s="40" t="str">
        <f>VLOOKUP(J1497,[6]Key!$A$24:$B$29,2,FALSE)</f>
        <v>40-49</v>
      </c>
      <c r="L1497" s="55" t="s">
        <v>819</v>
      </c>
      <c r="M1497" s="23" t="s">
        <v>819</v>
      </c>
      <c r="N1497" s="13" t="s">
        <v>820</v>
      </c>
      <c r="O1497" s="46">
        <v>2</v>
      </c>
      <c r="P1497" s="30" t="str">
        <f>VLOOKUP(O1497,[6]Key!$E$2:$F$9,2,FALSE)</f>
        <v>Work</v>
      </c>
      <c r="Q1497" s="13" t="s">
        <v>404</v>
      </c>
      <c r="R1497" s="23" t="s">
        <v>404</v>
      </c>
      <c r="S1497" s="13" t="s">
        <v>820</v>
      </c>
      <c r="T1497" s="23">
        <v>1</v>
      </c>
      <c r="U1497" s="30" t="str">
        <f>VLOOKUP(T1497,[6]Key!$E$2:$F$9,2,FALSE)</f>
        <v>Home</v>
      </c>
      <c r="V1497" s="30" t="str">
        <f t="shared" si="92"/>
        <v>Work-Home</v>
      </c>
      <c r="W1497" s="41">
        <v>600000</v>
      </c>
      <c r="X1497" s="50">
        <v>390</v>
      </c>
      <c r="Y1497" s="50" t="str">
        <f t="shared" si="93"/>
        <v>Over 200</v>
      </c>
      <c r="Z1497" s="50">
        <v>7.5</v>
      </c>
      <c r="AA1497" s="50" t="str">
        <f t="shared" si="94"/>
        <v>Over 3.5</v>
      </c>
      <c r="AB1497" s="23">
        <v>10</v>
      </c>
      <c r="AC1497" s="30" t="str">
        <f>VLOOKUP(AB1497,[6]Key!$C$20:$D$29,2,FALSE)</f>
        <v>Other</v>
      </c>
      <c r="AD1497" s="23">
        <v>4</v>
      </c>
      <c r="AE1497" s="30" t="str">
        <f>VLOOKUP(AD1497,[6]Key!$E$20:$F$24,2,FALSE)</f>
        <v>750,000-1,000,000</v>
      </c>
      <c r="AF1497" s="23">
        <v>2</v>
      </c>
      <c r="AG1497" s="50">
        <v>1</v>
      </c>
      <c r="AH1497" s="50">
        <v>3</v>
      </c>
      <c r="AI1497" s="50">
        <v>5</v>
      </c>
      <c r="AJ1497" s="50">
        <v>4</v>
      </c>
      <c r="AK1497" s="46" t="s">
        <v>94</v>
      </c>
      <c r="AL1497" s="36">
        <v>10000</v>
      </c>
      <c r="AM1497" t="str">
        <f t="shared" si="95"/>
        <v>Over 10000</v>
      </c>
    </row>
    <row r="1498" spans="1:39" x14ac:dyDescent="0.2">
      <c r="A1498" s="44">
        <v>43761</v>
      </c>
      <c r="B1498" s="48">
        <v>0.68958333333333333</v>
      </c>
      <c r="C1498" s="48"/>
      <c r="D1498" s="48" t="s">
        <v>97</v>
      </c>
      <c r="E1498" s="13">
        <v>2</v>
      </c>
      <c r="F1498" s="38" t="str">
        <f>VLOOKUP(E1498,[6]Key!$A$17:$B$21,2,FALSE)</f>
        <v>Road Vehicle</v>
      </c>
      <c r="G1498" s="49">
        <v>6</v>
      </c>
      <c r="H1498" s="39" t="str">
        <f>VLOOKUP(G1498,[6]Key!$A$2:$B$14,2,FALSE)</f>
        <v>Large Bus</v>
      </c>
      <c r="I1498" s="13" t="s">
        <v>109</v>
      </c>
      <c r="J1498" s="13">
        <v>3</v>
      </c>
      <c r="K1498" s="40" t="str">
        <f>VLOOKUP(J1498,[6]Key!$A$24:$B$29,2,FALSE)</f>
        <v>40-49</v>
      </c>
      <c r="L1498" s="55" t="s">
        <v>842</v>
      </c>
      <c r="M1498" s="23" t="s">
        <v>819</v>
      </c>
      <c r="N1498" s="13" t="s">
        <v>820</v>
      </c>
      <c r="O1498" s="46">
        <v>2</v>
      </c>
      <c r="P1498" s="30" t="str">
        <f>VLOOKUP(O1498,[6]Key!$E$2:$F$9,2,FALSE)</f>
        <v>Work</v>
      </c>
      <c r="Q1498" s="13" t="s">
        <v>404</v>
      </c>
      <c r="R1498" s="23" t="s">
        <v>404</v>
      </c>
      <c r="S1498" s="13" t="s">
        <v>820</v>
      </c>
      <c r="T1498" s="23">
        <v>1</v>
      </c>
      <c r="U1498" s="30" t="str">
        <f>VLOOKUP(T1498,[6]Key!$E$2:$F$9,2,FALSE)</f>
        <v>Home</v>
      </c>
      <c r="V1498" s="30" t="str">
        <f t="shared" si="92"/>
        <v>Work-Home</v>
      </c>
      <c r="W1498" s="41">
        <v>600000</v>
      </c>
      <c r="X1498" s="50">
        <v>390</v>
      </c>
      <c r="Y1498" s="50" t="str">
        <f t="shared" si="93"/>
        <v>Over 200</v>
      </c>
      <c r="Z1498" s="50">
        <v>7.5</v>
      </c>
      <c r="AA1498" s="50" t="str">
        <f t="shared" si="94"/>
        <v>Over 3.5</v>
      </c>
      <c r="AB1498" s="23">
        <v>10</v>
      </c>
      <c r="AC1498" s="30" t="str">
        <f>VLOOKUP(AB1498,[6]Key!$C$20:$D$29,2,FALSE)</f>
        <v>Other</v>
      </c>
      <c r="AD1498" s="23">
        <v>2</v>
      </c>
      <c r="AE1498" s="30" t="str">
        <f>VLOOKUP(AD1498,[6]Key!$E$20:$F$24,2,FALSE)</f>
        <v>300,000-500,000</v>
      </c>
      <c r="AF1498" s="23">
        <v>2</v>
      </c>
      <c r="AG1498" s="50">
        <v>1</v>
      </c>
      <c r="AH1498" s="50">
        <v>3</v>
      </c>
      <c r="AI1498" s="50">
        <v>5</v>
      </c>
      <c r="AJ1498" s="50">
        <v>4</v>
      </c>
      <c r="AK1498" s="46" t="s">
        <v>94</v>
      </c>
      <c r="AL1498" s="36"/>
      <c r="AM1498" t="str">
        <f t="shared" si="95"/>
        <v>0-1000</v>
      </c>
    </row>
    <row r="1499" spans="1:39" x14ac:dyDescent="0.2">
      <c r="A1499" s="44">
        <v>43761</v>
      </c>
      <c r="B1499" s="48">
        <v>0.6958333333333333</v>
      </c>
      <c r="C1499" s="48"/>
      <c r="D1499" s="48" t="s">
        <v>97</v>
      </c>
      <c r="E1499" s="13">
        <v>2</v>
      </c>
      <c r="F1499" s="38" t="str">
        <f>VLOOKUP(E1499,[6]Key!$A$17:$B$21,2,FALSE)</f>
        <v>Road Vehicle</v>
      </c>
      <c r="G1499" s="49">
        <v>6</v>
      </c>
      <c r="H1499" s="39" t="str">
        <f>VLOOKUP(G1499,[6]Key!$A$2:$B$14,2,FALSE)</f>
        <v>Large Bus</v>
      </c>
      <c r="I1499" s="13" t="s">
        <v>109</v>
      </c>
      <c r="J1499" s="13">
        <v>3</v>
      </c>
      <c r="K1499" s="40" t="str">
        <f>VLOOKUP(J1499,[6]Key!$A$24:$B$29,2,FALSE)</f>
        <v>40-49</v>
      </c>
      <c r="L1499" s="55" t="s">
        <v>882</v>
      </c>
      <c r="M1499" s="23" t="s">
        <v>819</v>
      </c>
      <c r="N1499" s="13" t="s">
        <v>820</v>
      </c>
      <c r="O1499" s="46">
        <v>2</v>
      </c>
      <c r="P1499" s="30" t="str">
        <f>VLOOKUP(O1499,[6]Key!$E$2:$F$9,2,FALSE)</f>
        <v>Work</v>
      </c>
      <c r="Q1499" s="13" t="s">
        <v>883</v>
      </c>
      <c r="R1499" s="23" t="s">
        <v>404</v>
      </c>
      <c r="S1499" s="13" t="s">
        <v>820</v>
      </c>
      <c r="T1499" s="23">
        <v>1</v>
      </c>
      <c r="U1499" s="30" t="str">
        <f>VLOOKUP(T1499,[6]Key!$E$2:$F$9,2,FALSE)</f>
        <v>Home</v>
      </c>
      <c r="V1499" s="30" t="str">
        <f t="shared" si="92"/>
        <v>Work-Home</v>
      </c>
      <c r="W1499" s="41">
        <v>550000</v>
      </c>
      <c r="X1499" s="50">
        <v>318</v>
      </c>
      <c r="Y1499" s="50" t="str">
        <f t="shared" si="93"/>
        <v>Over 200</v>
      </c>
      <c r="Z1499" s="50">
        <v>6.5</v>
      </c>
      <c r="AA1499" s="50" t="str">
        <f t="shared" si="94"/>
        <v>Over 3.5</v>
      </c>
      <c r="AB1499" s="23">
        <v>10</v>
      </c>
      <c r="AC1499" s="30" t="str">
        <f>VLOOKUP(AB1499,[6]Key!$C$20:$D$29,2,FALSE)</f>
        <v>Other</v>
      </c>
      <c r="AD1499" s="23">
        <v>4</v>
      </c>
      <c r="AE1499" s="30" t="str">
        <f>VLOOKUP(AD1499,[6]Key!$E$20:$F$24,2,FALSE)</f>
        <v>750,000-1,000,000</v>
      </c>
      <c r="AF1499" s="23">
        <v>5</v>
      </c>
      <c r="AG1499" s="50">
        <v>1</v>
      </c>
      <c r="AH1499" s="50">
        <v>2</v>
      </c>
      <c r="AI1499" s="50">
        <v>3</v>
      </c>
      <c r="AJ1499" s="50">
        <v>4</v>
      </c>
      <c r="AK1499" s="46" t="s">
        <v>94</v>
      </c>
      <c r="AL1499" s="36">
        <v>3000</v>
      </c>
      <c r="AM1499" t="str">
        <f t="shared" si="95"/>
        <v>3000-5000</v>
      </c>
    </row>
    <row r="1500" spans="1:39" x14ac:dyDescent="0.2">
      <c r="A1500" s="44">
        <v>43761</v>
      </c>
      <c r="B1500" s="48">
        <v>0.68125000000000002</v>
      </c>
      <c r="C1500" s="48"/>
      <c r="D1500" s="48" t="s">
        <v>97</v>
      </c>
      <c r="E1500" s="13">
        <v>2</v>
      </c>
      <c r="F1500" s="38" t="str">
        <f>VLOOKUP(E1500,[6]Key!$A$17:$B$21,2,FALSE)</f>
        <v>Road Vehicle</v>
      </c>
      <c r="G1500" s="49">
        <v>6</v>
      </c>
      <c r="H1500" s="39" t="str">
        <f>VLOOKUP(G1500,[6]Key!$A$2:$B$14,2,FALSE)</f>
        <v>Large Bus</v>
      </c>
      <c r="I1500" s="13" t="s">
        <v>109</v>
      </c>
      <c r="J1500" s="13">
        <v>3</v>
      </c>
      <c r="K1500" s="40" t="str">
        <f>VLOOKUP(J1500,[6]Key!$A$24:$B$29,2,FALSE)</f>
        <v>40-49</v>
      </c>
      <c r="L1500" s="55" t="s">
        <v>819</v>
      </c>
      <c r="M1500" s="23" t="s">
        <v>819</v>
      </c>
      <c r="N1500" s="13" t="s">
        <v>820</v>
      </c>
      <c r="O1500" s="46">
        <v>2</v>
      </c>
      <c r="P1500" s="30" t="str">
        <f>VLOOKUP(O1500,[6]Key!$E$2:$F$9,2,FALSE)</f>
        <v>Work</v>
      </c>
      <c r="Q1500" s="13" t="s">
        <v>404</v>
      </c>
      <c r="R1500" s="23" t="s">
        <v>404</v>
      </c>
      <c r="S1500" s="13" t="s">
        <v>820</v>
      </c>
      <c r="T1500" s="23">
        <v>1</v>
      </c>
      <c r="U1500" s="30" t="str">
        <f>VLOOKUP(T1500,[6]Key!$E$2:$F$9,2,FALSE)</f>
        <v>Home</v>
      </c>
      <c r="V1500" s="30" t="str">
        <f t="shared" si="92"/>
        <v>Work-Home</v>
      </c>
      <c r="W1500" s="41">
        <v>650000</v>
      </c>
      <c r="X1500" s="50">
        <v>391</v>
      </c>
      <c r="Y1500" s="50" t="str">
        <f t="shared" si="93"/>
        <v>Over 200</v>
      </c>
      <c r="Z1500" s="50">
        <v>7</v>
      </c>
      <c r="AA1500" s="50" t="str">
        <f t="shared" si="94"/>
        <v>Over 3.5</v>
      </c>
      <c r="AB1500" s="23">
        <v>10</v>
      </c>
      <c r="AC1500" s="30" t="str">
        <f>VLOOKUP(AB1500,[6]Key!$C$20:$D$29,2,FALSE)</f>
        <v>Other</v>
      </c>
      <c r="AD1500" s="23">
        <v>3</v>
      </c>
      <c r="AE1500" s="30" t="str">
        <f>VLOOKUP(AD1500,[6]Key!$E$20:$F$24,2,FALSE)</f>
        <v>500,000-750,000</v>
      </c>
      <c r="AF1500" s="23">
        <v>2</v>
      </c>
      <c r="AG1500" s="50">
        <v>1</v>
      </c>
      <c r="AH1500" s="50">
        <v>3</v>
      </c>
      <c r="AI1500" s="50">
        <v>4</v>
      </c>
      <c r="AJ1500" s="50">
        <v>5</v>
      </c>
      <c r="AK1500" s="46" t="s">
        <v>94</v>
      </c>
      <c r="AL1500" s="36">
        <v>8000</v>
      </c>
      <c r="AM1500" t="str">
        <f t="shared" si="95"/>
        <v>5000-10000</v>
      </c>
    </row>
    <row r="1501" spans="1:39" x14ac:dyDescent="0.2">
      <c r="A1501" s="44">
        <v>43761</v>
      </c>
      <c r="B1501" s="48">
        <v>0.66666666666666663</v>
      </c>
      <c r="C1501" s="48"/>
      <c r="D1501" s="48" t="s">
        <v>97</v>
      </c>
      <c r="E1501" s="13">
        <v>2</v>
      </c>
      <c r="F1501" s="38" t="str">
        <f>VLOOKUP(E1501,[6]Key!$A$17:$B$21,2,FALSE)</f>
        <v>Road Vehicle</v>
      </c>
      <c r="G1501" s="49">
        <v>6</v>
      </c>
      <c r="H1501" s="39" t="str">
        <f>VLOOKUP(G1501,[6]Key!$A$2:$B$14,2,FALSE)</f>
        <v>Large Bus</v>
      </c>
      <c r="I1501" s="13" t="s">
        <v>109</v>
      </c>
      <c r="J1501" s="13">
        <v>3</v>
      </c>
      <c r="K1501" s="40" t="str">
        <f>VLOOKUP(J1501,[6]Key!$A$24:$B$29,2,FALSE)</f>
        <v>40-49</v>
      </c>
      <c r="L1501" s="55" t="s">
        <v>819</v>
      </c>
      <c r="M1501" s="23" t="s">
        <v>819</v>
      </c>
      <c r="N1501" s="13" t="s">
        <v>820</v>
      </c>
      <c r="O1501" s="46">
        <v>2</v>
      </c>
      <c r="P1501" s="30" t="str">
        <f>VLOOKUP(O1501,[6]Key!$E$2:$F$9,2,FALSE)</f>
        <v>Work</v>
      </c>
      <c r="Q1501" s="13" t="s">
        <v>404</v>
      </c>
      <c r="R1501" s="23" t="s">
        <v>404</v>
      </c>
      <c r="S1501" s="13" t="s">
        <v>820</v>
      </c>
      <c r="T1501" s="23">
        <v>1</v>
      </c>
      <c r="U1501" s="30" t="str">
        <f>VLOOKUP(T1501,[6]Key!$E$2:$F$9,2,FALSE)</f>
        <v>Home</v>
      </c>
      <c r="V1501" s="30" t="str">
        <f t="shared" si="92"/>
        <v>Work-Home</v>
      </c>
      <c r="W1501" s="41">
        <v>710000</v>
      </c>
      <c r="X1501" s="50">
        <v>391</v>
      </c>
      <c r="Y1501" s="50" t="str">
        <f t="shared" si="93"/>
        <v>Over 200</v>
      </c>
      <c r="Z1501" s="50">
        <v>7.5</v>
      </c>
      <c r="AA1501" s="50" t="str">
        <f t="shared" si="94"/>
        <v>Over 3.5</v>
      </c>
      <c r="AB1501" s="23">
        <v>10</v>
      </c>
      <c r="AC1501" s="30" t="str">
        <f>VLOOKUP(AB1501,[6]Key!$C$20:$D$29,2,FALSE)</f>
        <v>Other</v>
      </c>
      <c r="AD1501" s="23">
        <v>4</v>
      </c>
      <c r="AE1501" s="30" t="str">
        <f>VLOOKUP(AD1501,[6]Key!$E$20:$F$24,2,FALSE)</f>
        <v>750,000-1,000,000</v>
      </c>
      <c r="AF1501" s="23">
        <v>2</v>
      </c>
      <c r="AG1501" s="50">
        <v>1</v>
      </c>
      <c r="AH1501" s="50">
        <v>3</v>
      </c>
      <c r="AI1501" s="50">
        <v>4</v>
      </c>
      <c r="AJ1501" s="50">
        <v>5</v>
      </c>
      <c r="AK1501" s="46" t="s">
        <v>94</v>
      </c>
      <c r="AL1501" s="36"/>
      <c r="AM1501" t="str">
        <f t="shared" si="95"/>
        <v>0-1000</v>
      </c>
    </row>
    <row r="1502" spans="1:39" x14ac:dyDescent="0.2">
      <c r="A1502" s="44">
        <v>43761</v>
      </c>
      <c r="B1502" s="48">
        <v>0.65347222222222223</v>
      </c>
      <c r="C1502" s="48"/>
      <c r="D1502" s="48" t="s">
        <v>97</v>
      </c>
      <c r="E1502" s="13">
        <v>2</v>
      </c>
      <c r="F1502" s="38" t="str">
        <f>VLOOKUP(E1502,[6]Key!$A$17:$B$21,2,FALSE)</f>
        <v>Road Vehicle</v>
      </c>
      <c r="G1502" s="49">
        <v>6</v>
      </c>
      <c r="H1502" s="39" t="str">
        <f>VLOOKUP(G1502,[6]Key!$A$2:$B$14,2,FALSE)</f>
        <v>Large Bus</v>
      </c>
      <c r="I1502" s="13" t="s">
        <v>109</v>
      </c>
      <c r="J1502" s="13">
        <v>3</v>
      </c>
      <c r="K1502" s="40" t="str">
        <f>VLOOKUP(J1502,[6]Key!$A$24:$B$29,2,FALSE)</f>
        <v>40-49</v>
      </c>
      <c r="L1502" s="55" t="s">
        <v>819</v>
      </c>
      <c r="M1502" s="23" t="s">
        <v>819</v>
      </c>
      <c r="N1502" s="13" t="s">
        <v>820</v>
      </c>
      <c r="O1502" s="46">
        <v>2</v>
      </c>
      <c r="P1502" s="30" t="str">
        <f>VLOOKUP(O1502,[6]Key!$E$2:$F$9,2,FALSE)</f>
        <v>Work</v>
      </c>
      <c r="Q1502" s="13" t="s">
        <v>404</v>
      </c>
      <c r="R1502" s="23" t="s">
        <v>404</v>
      </c>
      <c r="S1502" s="13" t="s">
        <v>820</v>
      </c>
      <c r="T1502" s="23">
        <v>1</v>
      </c>
      <c r="U1502" s="30" t="str">
        <f>VLOOKUP(T1502,[6]Key!$E$2:$F$9,2,FALSE)</f>
        <v>Home</v>
      </c>
      <c r="V1502" s="30" t="str">
        <f t="shared" si="92"/>
        <v>Work-Home</v>
      </c>
      <c r="W1502" s="41">
        <v>650000</v>
      </c>
      <c r="X1502" s="50">
        <v>380</v>
      </c>
      <c r="Y1502" s="50" t="str">
        <f t="shared" si="93"/>
        <v>Over 200</v>
      </c>
      <c r="Z1502" s="50">
        <v>7.5</v>
      </c>
      <c r="AA1502" s="50" t="str">
        <f t="shared" si="94"/>
        <v>Over 3.5</v>
      </c>
      <c r="AB1502" s="23">
        <v>10</v>
      </c>
      <c r="AC1502" s="30" t="str">
        <f>VLOOKUP(AB1502,[6]Key!$C$20:$D$29,2,FALSE)</f>
        <v>Other</v>
      </c>
      <c r="AD1502" s="23">
        <v>3</v>
      </c>
      <c r="AE1502" s="30" t="str">
        <f>VLOOKUP(AD1502,[6]Key!$E$20:$F$24,2,FALSE)</f>
        <v>500,000-750,000</v>
      </c>
      <c r="AF1502" s="23">
        <v>5</v>
      </c>
      <c r="AG1502" s="50">
        <v>2</v>
      </c>
      <c r="AH1502" s="50">
        <v>3</v>
      </c>
      <c r="AI1502" s="50">
        <v>1</v>
      </c>
      <c r="AJ1502" s="50">
        <v>4</v>
      </c>
      <c r="AK1502" s="46" t="s">
        <v>94</v>
      </c>
      <c r="AL1502" s="36"/>
      <c r="AM1502" t="str">
        <f t="shared" si="95"/>
        <v>0-1000</v>
      </c>
    </row>
    <row r="1503" spans="1:39" x14ac:dyDescent="0.2">
      <c r="A1503" s="44">
        <v>43761</v>
      </c>
      <c r="B1503" s="48">
        <v>0.61944444444444446</v>
      </c>
      <c r="C1503" s="48"/>
      <c r="D1503" s="48" t="s">
        <v>97</v>
      </c>
      <c r="E1503" s="13">
        <v>2</v>
      </c>
      <c r="F1503" s="38" t="str">
        <f>VLOOKUP(E1503,[6]Key!$A$17:$B$21,2,FALSE)</f>
        <v>Road Vehicle</v>
      </c>
      <c r="G1503" s="49">
        <v>6</v>
      </c>
      <c r="H1503" s="39" t="str">
        <f>VLOOKUP(G1503,[6]Key!$A$2:$B$14,2,FALSE)</f>
        <v>Large Bus</v>
      </c>
      <c r="I1503" s="13" t="s">
        <v>109</v>
      </c>
      <c r="J1503" s="13">
        <v>3</v>
      </c>
      <c r="K1503" s="40" t="str">
        <f>VLOOKUP(J1503,[6]Key!$A$24:$B$29,2,FALSE)</f>
        <v>40-49</v>
      </c>
      <c r="L1503" s="55" t="s">
        <v>860</v>
      </c>
      <c r="M1503" s="23" t="s">
        <v>819</v>
      </c>
      <c r="N1503" s="13" t="s">
        <v>820</v>
      </c>
      <c r="O1503" s="46">
        <v>2</v>
      </c>
      <c r="P1503" s="30" t="str">
        <f>VLOOKUP(O1503,[6]Key!$E$2:$F$9,2,FALSE)</f>
        <v>Work</v>
      </c>
      <c r="Q1503" s="13" t="s">
        <v>96</v>
      </c>
      <c r="R1503" s="23" t="s">
        <v>404</v>
      </c>
      <c r="S1503" s="13" t="s">
        <v>820</v>
      </c>
      <c r="T1503" s="23">
        <v>1</v>
      </c>
      <c r="U1503" s="30" t="str">
        <f>VLOOKUP(T1503,[6]Key!$E$2:$F$9,2,FALSE)</f>
        <v>Home</v>
      </c>
      <c r="V1503" s="30" t="str">
        <f t="shared" si="92"/>
        <v>Work-Home</v>
      </c>
      <c r="W1503" s="41">
        <v>650000</v>
      </c>
      <c r="X1503" s="50">
        <v>414</v>
      </c>
      <c r="Y1503" s="50" t="str">
        <f t="shared" si="93"/>
        <v>Over 200</v>
      </c>
      <c r="Z1503" s="50">
        <v>8</v>
      </c>
      <c r="AA1503" s="50" t="str">
        <f t="shared" si="94"/>
        <v>Over 3.5</v>
      </c>
      <c r="AB1503" s="23">
        <v>10</v>
      </c>
      <c r="AC1503" s="30" t="str">
        <f>VLOOKUP(AB1503,[6]Key!$C$20:$D$29,2,FALSE)</f>
        <v>Other</v>
      </c>
      <c r="AD1503" s="23">
        <v>3</v>
      </c>
      <c r="AE1503" s="30" t="str">
        <f>VLOOKUP(AD1503,[6]Key!$E$20:$F$24,2,FALSE)</f>
        <v>500,000-750,000</v>
      </c>
      <c r="AF1503" s="23">
        <v>1</v>
      </c>
      <c r="AG1503" s="50">
        <v>2</v>
      </c>
      <c r="AH1503" s="50">
        <v>5</v>
      </c>
      <c r="AI1503" s="50">
        <v>4</v>
      </c>
      <c r="AJ1503" s="50">
        <v>3</v>
      </c>
      <c r="AK1503" s="46" t="s">
        <v>94</v>
      </c>
      <c r="AL1503" s="36"/>
      <c r="AM1503" t="str">
        <f t="shared" si="95"/>
        <v>0-1000</v>
      </c>
    </row>
    <row r="1504" spans="1:39" x14ac:dyDescent="0.2">
      <c r="A1504" s="44">
        <v>43761</v>
      </c>
      <c r="B1504" s="48">
        <v>0.56666666666666665</v>
      </c>
      <c r="C1504" s="48"/>
      <c r="D1504" s="48" t="s">
        <v>97</v>
      </c>
      <c r="E1504" s="13">
        <v>2</v>
      </c>
      <c r="F1504" s="38" t="str">
        <f>VLOOKUP(E1504,[6]Key!$A$17:$B$21,2,FALSE)</f>
        <v>Road Vehicle</v>
      </c>
      <c r="G1504" s="49">
        <v>6</v>
      </c>
      <c r="H1504" s="39" t="str">
        <f>VLOOKUP(G1504,[6]Key!$A$2:$B$14,2,FALSE)</f>
        <v>Large Bus</v>
      </c>
      <c r="I1504" s="13" t="s">
        <v>109</v>
      </c>
      <c r="J1504" s="13">
        <v>3</v>
      </c>
      <c r="K1504" s="40" t="str">
        <f>VLOOKUP(J1504,[6]Key!$A$24:$B$29,2,FALSE)</f>
        <v>40-49</v>
      </c>
      <c r="L1504" s="55" t="s">
        <v>851</v>
      </c>
      <c r="M1504" s="23" t="s">
        <v>819</v>
      </c>
      <c r="N1504" s="13" t="s">
        <v>820</v>
      </c>
      <c r="O1504" s="46">
        <v>2</v>
      </c>
      <c r="P1504" s="30" t="str">
        <f>VLOOKUP(O1504,[6]Key!$E$2:$F$9,2,FALSE)</f>
        <v>Work</v>
      </c>
      <c r="Q1504" s="13" t="s">
        <v>404</v>
      </c>
      <c r="R1504" s="23" t="s">
        <v>404</v>
      </c>
      <c r="S1504" s="13" t="s">
        <v>820</v>
      </c>
      <c r="T1504" s="23">
        <v>1</v>
      </c>
      <c r="U1504" s="30" t="str">
        <f>VLOOKUP(T1504,[6]Key!$E$2:$F$9,2,FALSE)</f>
        <v>Home</v>
      </c>
      <c r="V1504" s="30" t="str">
        <f t="shared" si="92"/>
        <v>Work-Home</v>
      </c>
      <c r="W1504" s="41">
        <v>600000</v>
      </c>
      <c r="X1504" s="50">
        <v>396</v>
      </c>
      <c r="Y1504" s="50" t="str">
        <f t="shared" si="93"/>
        <v>Over 200</v>
      </c>
      <c r="Z1504" s="50">
        <v>8</v>
      </c>
      <c r="AA1504" s="50" t="str">
        <f t="shared" si="94"/>
        <v>Over 3.5</v>
      </c>
      <c r="AB1504" s="23">
        <v>10</v>
      </c>
      <c r="AC1504" s="30" t="str">
        <f>VLOOKUP(AB1504,[6]Key!$C$20:$D$29,2,FALSE)</f>
        <v>Other</v>
      </c>
      <c r="AD1504" s="23">
        <v>4</v>
      </c>
      <c r="AE1504" s="30" t="str">
        <f>VLOOKUP(AD1504,[6]Key!$E$20:$F$24,2,FALSE)</f>
        <v>750,000-1,000,000</v>
      </c>
      <c r="AF1504" s="23">
        <v>4</v>
      </c>
      <c r="AG1504" s="50">
        <v>3</v>
      </c>
      <c r="AH1504" s="50">
        <v>1</v>
      </c>
      <c r="AI1504" s="50">
        <v>2</v>
      </c>
      <c r="AJ1504" s="50">
        <v>5</v>
      </c>
      <c r="AK1504" s="46" t="s">
        <v>94</v>
      </c>
      <c r="AL1504" s="36">
        <v>5000</v>
      </c>
      <c r="AM1504" t="str">
        <f t="shared" si="95"/>
        <v>5000-10000</v>
      </c>
    </row>
    <row r="1505" spans="1:39" x14ac:dyDescent="0.2">
      <c r="A1505" s="44">
        <v>43761</v>
      </c>
      <c r="B1505" s="48">
        <v>0.57500000000000007</v>
      </c>
      <c r="C1505" s="48"/>
      <c r="D1505" s="48" t="s">
        <v>97</v>
      </c>
      <c r="E1505" s="13">
        <v>2</v>
      </c>
      <c r="F1505" s="38" t="str">
        <f>VLOOKUP(E1505,[6]Key!$A$17:$B$21,2,FALSE)</f>
        <v>Road Vehicle</v>
      </c>
      <c r="G1505" s="49">
        <v>6</v>
      </c>
      <c r="H1505" s="39" t="str">
        <f>VLOOKUP(G1505,[6]Key!$A$2:$B$14,2,FALSE)</f>
        <v>Large Bus</v>
      </c>
      <c r="I1505" s="13" t="s">
        <v>109</v>
      </c>
      <c r="J1505" s="13">
        <v>3</v>
      </c>
      <c r="K1505" s="40" t="str">
        <f>VLOOKUP(J1505,[6]Key!$A$24:$B$29,2,FALSE)</f>
        <v>40-49</v>
      </c>
      <c r="L1505" s="55" t="s">
        <v>819</v>
      </c>
      <c r="M1505" s="23" t="s">
        <v>819</v>
      </c>
      <c r="N1505" s="13" t="s">
        <v>820</v>
      </c>
      <c r="O1505" s="46">
        <v>1</v>
      </c>
      <c r="P1505" s="30" t="str">
        <f>VLOOKUP(O1505,[6]Key!$E$2:$F$9,2,FALSE)</f>
        <v>Home</v>
      </c>
      <c r="Q1505" s="13" t="s">
        <v>404</v>
      </c>
      <c r="R1505" s="23" t="s">
        <v>404</v>
      </c>
      <c r="S1505" s="13" t="s">
        <v>820</v>
      </c>
      <c r="T1505" s="23">
        <v>2</v>
      </c>
      <c r="U1505" s="30" t="str">
        <f>VLOOKUP(T1505,[6]Key!$E$2:$F$9,2,FALSE)</f>
        <v>Work</v>
      </c>
      <c r="V1505" s="30" t="str">
        <f t="shared" si="92"/>
        <v>Home-Work</v>
      </c>
      <c r="W1505" s="41">
        <v>650000</v>
      </c>
      <c r="X1505" s="50">
        <v>391</v>
      </c>
      <c r="Y1505" s="50" t="str">
        <f t="shared" si="93"/>
        <v>Over 200</v>
      </c>
      <c r="Z1505" s="50">
        <v>7.5</v>
      </c>
      <c r="AA1505" s="50" t="str">
        <f t="shared" si="94"/>
        <v>Over 3.5</v>
      </c>
      <c r="AB1505" s="23">
        <v>10</v>
      </c>
      <c r="AC1505" s="30" t="str">
        <f>VLOOKUP(AB1505,[6]Key!$C$20:$D$29,2,FALSE)</f>
        <v>Other</v>
      </c>
      <c r="AD1505" s="23">
        <v>3</v>
      </c>
      <c r="AE1505" s="30" t="str">
        <f>VLOOKUP(AD1505,[6]Key!$E$20:$F$24,2,FALSE)</f>
        <v>500,000-750,000</v>
      </c>
      <c r="AF1505" s="23">
        <v>2</v>
      </c>
      <c r="AG1505" s="50">
        <v>3</v>
      </c>
      <c r="AH1505" s="50">
        <v>5</v>
      </c>
      <c r="AI1505" s="50">
        <v>1</v>
      </c>
      <c r="AJ1505" s="50">
        <v>4</v>
      </c>
      <c r="AK1505" s="46" t="s">
        <v>94</v>
      </c>
      <c r="AL1505" s="36"/>
      <c r="AM1505" t="str">
        <f t="shared" si="95"/>
        <v>0-1000</v>
      </c>
    </row>
    <row r="1506" spans="1:39" x14ac:dyDescent="0.2">
      <c r="A1506" s="44">
        <v>43761</v>
      </c>
      <c r="B1506" s="48">
        <v>0.55763888888888891</v>
      </c>
      <c r="C1506" s="48"/>
      <c r="D1506" s="48" t="s">
        <v>97</v>
      </c>
      <c r="E1506" s="13">
        <v>2</v>
      </c>
      <c r="F1506" s="38" t="str">
        <f>VLOOKUP(E1506,[6]Key!$A$17:$B$21,2,FALSE)</f>
        <v>Road Vehicle</v>
      </c>
      <c r="G1506" s="49">
        <v>6</v>
      </c>
      <c r="H1506" s="39" t="str">
        <f>VLOOKUP(G1506,[6]Key!$A$2:$B$14,2,FALSE)</f>
        <v>Large Bus</v>
      </c>
      <c r="I1506" s="13" t="s">
        <v>109</v>
      </c>
      <c r="J1506" s="13">
        <v>3</v>
      </c>
      <c r="K1506" s="40" t="str">
        <f>VLOOKUP(J1506,[6]Key!$A$24:$B$29,2,FALSE)</f>
        <v>40-49</v>
      </c>
      <c r="L1506" s="55" t="s">
        <v>819</v>
      </c>
      <c r="M1506" s="23" t="s">
        <v>819</v>
      </c>
      <c r="N1506" s="13" t="s">
        <v>820</v>
      </c>
      <c r="O1506" s="46">
        <v>2</v>
      </c>
      <c r="P1506" s="30" t="str">
        <f>VLOOKUP(O1506,[6]Key!$E$2:$F$9,2,FALSE)</f>
        <v>Work</v>
      </c>
      <c r="Q1506" s="13" t="s">
        <v>404</v>
      </c>
      <c r="R1506" s="23" t="s">
        <v>404</v>
      </c>
      <c r="S1506" s="13" t="s">
        <v>820</v>
      </c>
      <c r="T1506" s="23">
        <v>1</v>
      </c>
      <c r="U1506" s="30" t="str">
        <f>VLOOKUP(T1506,[6]Key!$E$2:$F$9,2,FALSE)</f>
        <v>Home</v>
      </c>
      <c r="V1506" s="30" t="str">
        <f t="shared" si="92"/>
        <v>Work-Home</v>
      </c>
      <c r="W1506" s="41">
        <v>650000</v>
      </c>
      <c r="X1506" s="50">
        <v>380</v>
      </c>
      <c r="Y1506" s="50" t="str">
        <f t="shared" si="93"/>
        <v>Over 200</v>
      </c>
      <c r="Z1506" s="50">
        <v>7</v>
      </c>
      <c r="AA1506" s="50" t="str">
        <f t="shared" si="94"/>
        <v>Over 3.5</v>
      </c>
      <c r="AB1506" s="23">
        <v>10</v>
      </c>
      <c r="AC1506" s="30" t="str">
        <f>VLOOKUP(AB1506,[6]Key!$C$20:$D$29,2,FALSE)</f>
        <v>Other</v>
      </c>
      <c r="AD1506" s="23">
        <v>3</v>
      </c>
      <c r="AE1506" s="30" t="str">
        <f>VLOOKUP(AD1506,[6]Key!$E$20:$F$24,2,FALSE)</f>
        <v>500,000-750,000</v>
      </c>
      <c r="AF1506" s="23">
        <v>1</v>
      </c>
      <c r="AG1506" s="50">
        <v>2</v>
      </c>
      <c r="AH1506" s="50">
        <v>4</v>
      </c>
      <c r="AI1506" s="50">
        <v>5</v>
      </c>
      <c r="AJ1506" s="50">
        <v>3</v>
      </c>
      <c r="AK1506" s="46" t="s">
        <v>94</v>
      </c>
      <c r="AL1506" s="36"/>
      <c r="AM1506" t="str">
        <f t="shared" si="95"/>
        <v>0-1000</v>
      </c>
    </row>
    <row r="1507" spans="1:39" x14ac:dyDescent="0.2">
      <c r="A1507" s="44">
        <v>43761</v>
      </c>
      <c r="B1507" s="48">
        <v>0.63750000000000007</v>
      </c>
      <c r="C1507" s="48"/>
      <c r="D1507" s="48" t="s">
        <v>97</v>
      </c>
      <c r="E1507" s="13">
        <v>2</v>
      </c>
      <c r="F1507" s="38" t="str">
        <f>VLOOKUP(E1507,[6]Key!$A$17:$B$21,2,FALSE)</f>
        <v>Road Vehicle</v>
      </c>
      <c r="G1507" s="49">
        <v>6</v>
      </c>
      <c r="H1507" s="39" t="str">
        <f>VLOOKUP(G1507,[6]Key!$A$2:$B$14,2,FALSE)</f>
        <v>Large Bus</v>
      </c>
      <c r="I1507" s="13" t="s">
        <v>109</v>
      </c>
      <c r="J1507" s="13">
        <v>3</v>
      </c>
      <c r="K1507" s="40" t="str">
        <f>VLOOKUP(J1507,[6]Key!$A$24:$B$29,2,FALSE)</f>
        <v>40-49</v>
      </c>
      <c r="L1507" s="55" t="s">
        <v>404</v>
      </c>
      <c r="M1507" s="23" t="s">
        <v>404</v>
      </c>
      <c r="N1507" s="13" t="s">
        <v>820</v>
      </c>
      <c r="O1507" s="46">
        <v>4</v>
      </c>
      <c r="P1507" s="30" t="str">
        <f>VLOOKUP(O1507,[6]Key!$E$2:$F$9,2,FALSE)</f>
        <v>Commercial</v>
      </c>
      <c r="Q1507" s="13" t="s">
        <v>366</v>
      </c>
      <c r="R1507" s="23" t="s">
        <v>366</v>
      </c>
      <c r="S1507" s="13"/>
      <c r="T1507" s="23">
        <v>4</v>
      </c>
      <c r="U1507" s="30" t="str">
        <f>VLOOKUP(T1507,[6]Key!$E$2:$F$9,2,FALSE)</f>
        <v>Commercial</v>
      </c>
      <c r="V1507" s="30" t="str">
        <f t="shared" si="92"/>
        <v>Commercial-Commercial</v>
      </c>
      <c r="W1507" s="41">
        <v>800000</v>
      </c>
      <c r="X1507" s="50"/>
      <c r="Y1507" s="50" t="str">
        <f t="shared" si="93"/>
        <v>0-10</v>
      </c>
      <c r="Z1507" s="50">
        <v>9</v>
      </c>
      <c r="AA1507" s="50" t="str">
        <f t="shared" si="94"/>
        <v>Over 3.5</v>
      </c>
      <c r="AB1507" s="23">
        <v>10</v>
      </c>
      <c r="AC1507" s="30" t="str">
        <f>VLOOKUP(AB1507,[6]Key!$C$20:$D$29,2,FALSE)</f>
        <v>Other</v>
      </c>
      <c r="AD1507" s="23">
        <v>5</v>
      </c>
      <c r="AE1507" s="30" t="str">
        <f>VLOOKUP(AD1507,[6]Key!$E$20:$F$24,2,FALSE)</f>
        <v>&gt;1,000,000</v>
      </c>
      <c r="AF1507" s="23">
        <v>5</v>
      </c>
      <c r="AG1507" s="50">
        <v>1</v>
      </c>
      <c r="AH1507" s="50">
        <v>4</v>
      </c>
      <c r="AI1507" s="50">
        <v>2</v>
      </c>
      <c r="AJ1507" s="50">
        <v>3</v>
      </c>
      <c r="AK1507" s="46" t="s">
        <v>94</v>
      </c>
      <c r="AL1507" s="36">
        <v>10000</v>
      </c>
      <c r="AM1507" t="str">
        <f t="shared" si="95"/>
        <v>Over 10000</v>
      </c>
    </row>
    <row r="1508" spans="1:39" x14ac:dyDescent="0.2">
      <c r="A1508" s="44">
        <v>43761</v>
      </c>
      <c r="B1508" s="48">
        <v>0.72638888888888886</v>
      </c>
      <c r="C1508" s="48"/>
      <c r="D1508" s="48" t="s">
        <v>97</v>
      </c>
      <c r="E1508" s="13">
        <v>2</v>
      </c>
      <c r="F1508" s="38" t="str">
        <f>VLOOKUP(E1508,[6]Key!$A$17:$B$21,2,FALSE)</f>
        <v>Road Vehicle</v>
      </c>
      <c r="G1508" s="49">
        <v>5</v>
      </c>
      <c r="H1508" s="39" t="str">
        <f>VLOOKUP(G1508,[6]Key!$A$2:$B$14,2,FALSE)</f>
        <v xml:space="preserve">Medium bus </v>
      </c>
      <c r="I1508" s="13" t="s">
        <v>109</v>
      </c>
      <c r="J1508" s="13">
        <v>3</v>
      </c>
      <c r="K1508" s="40" t="str">
        <f>VLOOKUP(J1508,[6]Key!$A$24:$B$29,2,FALSE)</f>
        <v>40-49</v>
      </c>
      <c r="L1508" s="55" t="s">
        <v>819</v>
      </c>
      <c r="M1508" s="23" t="s">
        <v>819</v>
      </c>
      <c r="N1508" s="13" t="s">
        <v>820</v>
      </c>
      <c r="O1508" s="46">
        <v>2</v>
      </c>
      <c r="P1508" s="30" t="str">
        <f>VLOOKUP(O1508,[6]Key!$E$2:$F$9,2,FALSE)</f>
        <v>Work</v>
      </c>
      <c r="Q1508" s="13" t="s">
        <v>283</v>
      </c>
      <c r="R1508" s="23" t="s">
        <v>283</v>
      </c>
      <c r="S1508" s="13" t="s">
        <v>820</v>
      </c>
      <c r="T1508" s="23">
        <v>1</v>
      </c>
      <c r="U1508" s="30" t="str">
        <f>VLOOKUP(T1508,[6]Key!$E$2:$F$9,2,FALSE)</f>
        <v>Home</v>
      </c>
      <c r="V1508" s="30" t="str">
        <f t="shared" si="92"/>
        <v>Work-Home</v>
      </c>
      <c r="W1508" s="41">
        <v>200000</v>
      </c>
      <c r="X1508" s="50">
        <v>117</v>
      </c>
      <c r="Y1508" s="50" t="str">
        <f t="shared" si="93"/>
        <v>100-200</v>
      </c>
      <c r="Z1508" s="50">
        <v>4</v>
      </c>
      <c r="AA1508" s="50" t="str">
        <f t="shared" si="94"/>
        <v>Over 3.5</v>
      </c>
      <c r="AB1508" s="23">
        <v>10</v>
      </c>
      <c r="AC1508" s="30" t="str">
        <f>VLOOKUP(AB1508,[6]Key!$C$20:$D$29,2,FALSE)</f>
        <v>Other</v>
      </c>
      <c r="AD1508" s="23">
        <v>4</v>
      </c>
      <c r="AE1508" s="30" t="str">
        <f>VLOOKUP(AD1508,[6]Key!$E$20:$F$24,2,FALSE)</f>
        <v>750,000-1,000,000</v>
      </c>
      <c r="AF1508" s="23">
        <v>3</v>
      </c>
      <c r="AG1508" s="50">
        <v>1</v>
      </c>
      <c r="AH1508" s="50">
        <v>2</v>
      </c>
      <c r="AI1508" s="50">
        <v>5</v>
      </c>
      <c r="AJ1508" s="50">
        <v>4</v>
      </c>
      <c r="AK1508" s="46" t="s">
        <v>94</v>
      </c>
      <c r="AL1508" s="36"/>
      <c r="AM1508" t="str">
        <f t="shared" si="95"/>
        <v>0-1000</v>
      </c>
    </row>
    <row r="1509" spans="1:39" x14ac:dyDescent="0.2">
      <c r="A1509" s="44">
        <v>43761</v>
      </c>
      <c r="B1509" s="48">
        <v>0.70763888888888893</v>
      </c>
      <c r="C1509" s="48"/>
      <c r="D1509" s="48" t="s">
        <v>97</v>
      </c>
      <c r="E1509" s="13">
        <v>2</v>
      </c>
      <c r="F1509" s="38" t="str">
        <f>VLOOKUP(E1509,[6]Key!$A$17:$B$21,2,FALSE)</f>
        <v>Road Vehicle</v>
      </c>
      <c r="G1509" s="49">
        <v>5</v>
      </c>
      <c r="H1509" s="39" t="str">
        <f>VLOOKUP(G1509,[6]Key!$A$2:$B$14,2,FALSE)</f>
        <v xml:space="preserve">Medium bus </v>
      </c>
      <c r="I1509" s="13" t="s">
        <v>109</v>
      </c>
      <c r="J1509" s="13">
        <v>3</v>
      </c>
      <c r="K1509" s="40" t="str">
        <f>VLOOKUP(J1509,[6]Key!$A$24:$B$29,2,FALSE)</f>
        <v>40-49</v>
      </c>
      <c r="L1509" s="55" t="s">
        <v>859</v>
      </c>
      <c r="M1509" s="23" t="s">
        <v>819</v>
      </c>
      <c r="N1509" s="13" t="s">
        <v>820</v>
      </c>
      <c r="O1509" s="46">
        <v>2</v>
      </c>
      <c r="P1509" s="30" t="str">
        <f>VLOOKUP(O1509,[6]Key!$E$2:$F$9,2,FALSE)</f>
        <v>Work</v>
      </c>
      <c r="Q1509" s="13" t="s">
        <v>855</v>
      </c>
      <c r="R1509" s="23" t="s">
        <v>283</v>
      </c>
      <c r="S1509" s="13" t="s">
        <v>820</v>
      </c>
      <c r="T1509" s="23">
        <v>1</v>
      </c>
      <c r="U1509" s="30" t="str">
        <f>VLOOKUP(T1509,[6]Key!$E$2:$F$9,2,FALSE)</f>
        <v>Home</v>
      </c>
      <c r="V1509" s="30" t="str">
        <f t="shared" si="92"/>
        <v>Work-Home</v>
      </c>
      <c r="W1509" s="41">
        <v>180000</v>
      </c>
      <c r="X1509" s="50">
        <v>118</v>
      </c>
      <c r="Y1509" s="50" t="str">
        <f t="shared" si="93"/>
        <v>100-200</v>
      </c>
      <c r="Z1509" s="50">
        <v>4.5</v>
      </c>
      <c r="AA1509" s="50" t="str">
        <f t="shared" si="94"/>
        <v>Over 3.5</v>
      </c>
      <c r="AB1509" s="23">
        <v>10</v>
      </c>
      <c r="AC1509" s="30" t="str">
        <f>VLOOKUP(AB1509,[6]Key!$C$20:$D$29,2,FALSE)</f>
        <v>Other</v>
      </c>
      <c r="AD1509" s="23">
        <v>3</v>
      </c>
      <c r="AE1509" s="30" t="str">
        <f>VLOOKUP(AD1509,[6]Key!$E$20:$F$24,2,FALSE)</f>
        <v>500,000-750,000</v>
      </c>
      <c r="AF1509" s="23">
        <v>2</v>
      </c>
      <c r="AG1509" s="50">
        <v>1</v>
      </c>
      <c r="AH1509" s="50">
        <v>5</v>
      </c>
      <c r="AI1509" s="50">
        <v>3</v>
      </c>
      <c r="AJ1509" s="50">
        <v>4</v>
      </c>
      <c r="AK1509" s="46" t="s">
        <v>94</v>
      </c>
      <c r="AL1509" s="36"/>
      <c r="AM1509" t="str">
        <f t="shared" si="95"/>
        <v>0-1000</v>
      </c>
    </row>
    <row r="1510" spans="1:39" x14ac:dyDescent="0.2">
      <c r="A1510" s="44">
        <v>43761</v>
      </c>
      <c r="B1510" s="48">
        <v>0.6777777777777777</v>
      </c>
      <c r="C1510" s="48"/>
      <c r="D1510" s="48" t="s">
        <v>97</v>
      </c>
      <c r="E1510" s="13">
        <v>2</v>
      </c>
      <c r="F1510" s="38" t="str">
        <f>VLOOKUP(E1510,[6]Key!$A$17:$B$21,2,FALSE)</f>
        <v>Road Vehicle</v>
      </c>
      <c r="G1510" s="49">
        <v>5</v>
      </c>
      <c r="H1510" s="39" t="str">
        <f>VLOOKUP(G1510,[6]Key!$A$2:$B$14,2,FALSE)</f>
        <v xml:space="preserve">Medium bus </v>
      </c>
      <c r="I1510" s="13" t="s">
        <v>109</v>
      </c>
      <c r="J1510" s="13">
        <v>3</v>
      </c>
      <c r="K1510" s="40" t="str">
        <f>VLOOKUP(J1510,[6]Key!$A$24:$B$29,2,FALSE)</f>
        <v>40-49</v>
      </c>
      <c r="L1510" s="55" t="s">
        <v>819</v>
      </c>
      <c r="M1510" s="23" t="s">
        <v>819</v>
      </c>
      <c r="N1510" s="13" t="s">
        <v>820</v>
      </c>
      <c r="O1510" s="46">
        <v>2</v>
      </c>
      <c r="P1510" s="30" t="str">
        <f>VLOOKUP(O1510,[6]Key!$E$2:$F$9,2,FALSE)</f>
        <v>Work</v>
      </c>
      <c r="Q1510" s="13" t="s">
        <v>283</v>
      </c>
      <c r="R1510" s="23" t="s">
        <v>283</v>
      </c>
      <c r="S1510" s="13" t="s">
        <v>820</v>
      </c>
      <c r="T1510" s="23">
        <v>1</v>
      </c>
      <c r="U1510" s="30" t="str">
        <f>VLOOKUP(T1510,[6]Key!$E$2:$F$9,2,FALSE)</f>
        <v>Home</v>
      </c>
      <c r="V1510" s="30" t="str">
        <f t="shared" si="92"/>
        <v>Work-Home</v>
      </c>
      <c r="W1510" s="41">
        <v>200000</v>
      </c>
      <c r="X1510" s="50">
        <v>117</v>
      </c>
      <c r="Y1510" s="50" t="str">
        <f t="shared" si="93"/>
        <v>100-200</v>
      </c>
      <c r="Z1510" s="50">
        <v>4.5</v>
      </c>
      <c r="AA1510" s="50" t="str">
        <f t="shared" si="94"/>
        <v>Over 3.5</v>
      </c>
      <c r="AB1510" s="23">
        <v>10</v>
      </c>
      <c r="AC1510" s="30" t="str">
        <f>VLOOKUP(AB1510,[6]Key!$C$20:$D$29,2,FALSE)</f>
        <v>Other</v>
      </c>
      <c r="AD1510" s="23">
        <v>3</v>
      </c>
      <c r="AE1510" s="30" t="str">
        <f>VLOOKUP(AD1510,[6]Key!$E$20:$F$24,2,FALSE)</f>
        <v>500,000-750,000</v>
      </c>
      <c r="AF1510" s="23">
        <v>1</v>
      </c>
      <c r="AG1510" s="50">
        <v>2</v>
      </c>
      <c r="AH1510" s="50">
        <v>5</v>
      </c>
      <c r="AI1510" s="50">
        <v>4</v>
      </c>
      <c r="AJ1510" s="50">
        <v>3</v>
      </c>
      <c r="AK1510" s="46" t="s">
        <v>94</v>
      </c>
      <c r="AL1510" s="36">
        <v>3000</v>
      </c>
      <c r="AM1510" t="str">
        <f t="shared" si="95"/>
        <v>3000-5000</v>
      </c>
    </row>
    <row r="1511" spans="1:39" x14ac:dyDescent="0.2">
      <c r="A1511" s="44">
        <v>43761</v>
      </c>
      <c r="B1511" s="48">
        <v>0.66319444444444442</v>
      </c>
      <c r="C1511" s="48"/>
      <c r="D1511" s="48" t="s">
        <v>97</v>
      </c>
      <c r="E1511" s="13">
        <v>2</v>
      </c>
      <c r="F1511" s="38" t="str">
        <f>VLOOKUP(E1511,[6]Key!$A$17:$B$21,2,FALSE)</f>
        <v>Road Vehicle</v>
      </c>
      <c r="G1511" s="49">
        <v>5</v>
      </c>
      <c r="H1511" s="39" t="str">
        <f>VLOOKUP(G1511,[6]Key!$A$2:$B$14,2,FALSE)</f>
        <v xml:space="preserve">Medium bus </v>
      </c>
      <c r="I1511" s="13" t="s">
        <v>109</v>
      </c>
      <c r="J1511" s="13">
        <v>3</v>
      </c>
      <c r="K1511" s="40" t="str">
        <f>VLOOKUP(J1511,[6]Key!$A$24:$B$29,2,FALSE)</f>
        <v>40-49</v>
      </c>
      <c r="L1511" s="55" t="s">
        <v>819</v>
      </c>
      <c r="M1511" s="23" t="s">
        <v>819</v>
      </c>
      <c r="N1511" s="13" t="s">
        <v>820</v>
      </c>
      <c r="O1511" s="46">
        <v>2</v>
      </c>
      <c r="P1511" s="30" t="str">
        <f>VLOOKUP(O1511,[6]Key!$E$2:$F$9,2,FALSE)</f>
        <v>Work</v>
      </c>
      <c r="Q1511" s="13" t="s">
        <v>283</v>
      </c>
      <c r="R1511" s="23" t="s">
        <v>283</v>
      </c>
      <c r="S1511" s="13" t="s">
        <v>820</v>
      </c>
      <c r="T1511" s="23">
        <v>1</v>
      </c>
      <c r="U1511" s="30" t="str">
        <f>VLOOKUP(T1511,[6]Key!$E$2:$F$9,2,FALSE)</f>
        <v>Home</v>
      </c>
      <c r="V1511" s="30" t="str">
        <f t="shared" si="92"/>
        <v>Work-Home</v>
      </c>
      <c r="W1511" s="41">
        <v>250000</v>
      </c>
      <c r="X1511" s="50">
        <v>116</v>
      </c>
      <c r="Y1511" s="50" t="str">
        <f t="shared" si="93"/>
        <v>100-200</v>
      </c>
      <c r="Z1511" s="50">
        <v>4</v>
      </c>
      <c r="AA1511" s="50" t="str">
        <f t="shared" si="94"/>
        <v>Over 3.5</v>
      </c>
      <c r="AB1511" s="23">
        <v>10</v>
      </c>
      <c r="AC1511" s="30" t="str">
        <f>VLOOKUP(AB1511,[6]Key!$C$20:$D$29,2,FALSE)</f>
        <v>Other</v>
      </c>
      <c r="AD1511" s="23">
        <v>3</v>
      </c>
      <c r="AE1511" s="30" t="str">
        <f>VLOOKUP(AD1511,[6]Key!$E$20:$F$24,2,FALSE)</f>
        <v>500,000-750,000</v>
      </c>
      <c r="AF1511" s="23">
        <v>1</v>
      </c>
      <c r="AG1511" s="50">
        <v>2</v>
      </c>
      <c r="AH1511" s="50">
        <v>5</v>
      </c>
      <c r="AI1511" s="50">
        <v>4</v>
      </c>
      <c r="AJ1511" s="50">
        <v>3</v>
      </c>
      <c r="AK1511" s="46" t="s">
        <v>94</v>
      </c>
      <c r="AL1511" s="36">
        <v>500</v>
      </c>
      <c r="AM1511" t="str">
        <f t="shared" si="95"/>
        <v>0-1000</v>
      </c>
    </row>
    <row r="1512" spans="1:39" x14ac:dyDescent="0.2">
      <c r="A1512" s="44">
        <v>43761</v>
      </c>
      <c r="B1512" s="48">
        <v>0.62916666666666665</v>
      </c>
      <c r="C1512" s="48"/>
      <c r="D1512" s="48" t="s">
        <v>97</v>
      </c>
      <c r="E1512" s="13">
        <v>2</v>
      </c>
      <c r="F1512" s="38" t="str">
        <f>VLOOKUP(E1512,[6]Key!$A$17:$B$21,2,FALSE)</f>
        <v>Road Vehicle</v>
      </c>
      <c r="G1512" s="49">
        <v>5</v>
      </c>
      <c r="H1512" s="39" t="str">
        <f>VLOOKUP(G1512,[6]Key!$A$2:$B$14,2,FALSE)</f>
        <v xml:space="preserve">Medium bus </v>
      </c>
      <c r="I1512" s="13" t="s">
        <v>109</v>
      </c>
      <c r="J1512" s="13">
        <v>3</v>
      </c>
      <c r="K1512" s="40" t="str">
        <f>VLOOKUP(J1512,[6]Key!$A$24:$B$29,2,FALSE)</f>
        <v>40-49</v>
      </c>
      <c r="L1512" s="55" t="s">
        <v>819</v>
      </c>
      <c r="M1512" s="23" t="s">
        <v>819</v>
      </c>
      <c r="N1512" s="13" t="s">
        <v>820</v>
      </c>
      <c r="O1512" s="46">
        <v>2</v>
      </c>
      <c r="P1512" s="30" t="str">
        <f>VLOOKUP(O1512,[6]Key!$E$2:$F$9,2,FALSE)</f>
        <v>Work</v>
      </c>
      <c r="Q1512" s="13" t="s">
        <v>283</v>
      </c>
      <c r="R1512" s="23" t="s">
        <v>283</v>
      </c>
      <c r="S1512" s="13" t="s">
        <v>820</v>
      </c>
      <c r="T1512" s="23">
        <v>1</v>
      </c>
      <c r="U1512" s="30" t="str">
        <f>VLOOKUP(T1512,[6]Key!$E$2:$F$9,2,FALSE)</f>
        <v>Home</v>
      </c>
      <c r="V1512" s="30" t="str">
        <f t="shared" si="92"/>
        <v>Work-Home</v>
      </c>
      <c r="W1512" s="41">
        <v>260000</v>
      </c>
      <c r="X1512" s="50">
        <v>120</v>
      </c>
      <c r="Y1512" s="50" t="str">
        <f t="shared" si="93"/>
        <v>100-200</v>
      </c>
      <c r="Z1512" s="50">
        <v>4.5</v>
      </c>
      <c r="AA1512" s="50" t="str">
        <f t="shared" si="94"/>
        <v>Over 3.5</v>
      </c>
      <c r="AB1512" s="23">
        <v>10</v>
      </c>
      <c r="AC1512" s="30" t="str">
        <f>VLOOKUP(AB1512,[6]Key!$C$20:$D$29,2,FALSE)</f>
        <v>Other</v>
      </c>
      <c r="AD1512" s="23">
        <v>2</v>
      </c>
      <c r="AE1512" s="30" t="str">
        <f>VLOOKUP(AD1512,[6]Key!$E$20:$F$24,2,FALSE)</f>
        <v>300,000-500,000</v>
      </c>
      <c r="AF1512" s="23">
        <v>1</v>
      </c>
      <c r="AG1512" s="50">
        <v>3</v>
      </c>
      <c r="AH1512" s="50">
        <v>2</v>
      </c>
      <c r="AI1512" s="50">
        <v>5</v>
      </c>
      <c r="AJ1512" s="50">
        <v>4</v>
      </c>
      <c r="AK1512" s="46" t="s">
        <v>94</v>
      </c>
      <c r="AL1512" s="36">
        <v>2000</v>
      </c>
      <c r="AM1512" t="str">
        <f t="shared" si="95"/>
        <v>2000-3000</v>
      </c>
    </row>
    <row r="1513" spans="1:39" x14ac:dyDescent="0.2">
      <c r="A1513" s="44">
        <v>43761</v>
      </c>
      <c r="B1513" s="48">
        <v>0.64861111111111114</v>
      </c>
      <c r="C1513" s="48"/>
      <c r="D1513" s="48" t="s">
        <v>97</v>
      </c>
      <c r="E1513" s="13">
        <v>2</v>
      </c>
      <c r="F1513" s="38" t="str">
        <f>VLOOKUP(E1513,[6]Key!$A$17:$B$21,2,FALSE)</f>
        <v>Road Vehicle</v>
      </c>
      <c r="G1513" s="49">
        <v>5</v>
      </c>
      <c r="H1513" s="39" t="str">
        <f>VLOOKUP(G1513,[6]Key!$A$2:$B$14,2,FALSE)</f>
        <v xml:space="preserve">Medium bus </v>
      </c>
      <c r="I1513" s="13" t="s">
        <v>109</v>
      </c>
      <c r="J1513" s="13">
        <v>3</v>
      </c>
      <c r="K1513" s="40" t="str">
        <f>VLOOKUP(J1513,[6]Key!$A$24:$B$29,2,FALSE)</f>
        <v>40-49</v>
      </c>
      <c r="L1513" s="55" t="s">
        <v>819</v>
      </c>
      <c r="M1513" s="23" t="s">
        <v>819</v>
      </c>
      <c r="N1513" s="13" t="s">
        <v>820</v>
      </c>
      <c r="O1513" s="46">
        <v>1</v>
      </c>
      <c r="P1513" s="30" t="str">
        <f>VLOOKUP(O1513,[6]Key!$E$2:$F$9,2,FALSE)</f>
        <v>Home</v>
      </c>
      <c r="Q1513" s="13" t="s">
        <v>283</v>
      </c>
      <c r="R1513" s="23" t="s">
        <v>283</v>
      </c>
      <c r="S1513" s="13" t="s">
        <v>820</v>
      </c>
      <c r="T1513" s="23">
        <v>2</v>
      </c>
      <c r="U1513" s="30" t="str">
        <f>VLOOKUP(T1513,[6]Key!$E$2:$F$9,2,FALSE)</f>
        <v>Work</v>
      </c>
      <c r="V1513" s="30" t="str">
        <f t="shared" si="92"/>
        <v>Home-Work</v>
      </c>
      <c r="W1513" s="41">
        <v>300000</v>
      </c>
      <c r="X1513" s="50">
        <v>120</v>
      </c>
      <c r="Y1513" s="50" t="str">
        <f t="shared" si="93"/>
        <v>100-200</v>
      </c>
      <c r="Z1513" s="50">
        <v>4</v>
      </c>
      <c r="AA1513" s="50" t="str">
        <f t="shared" si="94"/>
        <v>Over 3.5</v>
      </c>
      <c r="AB1513" s="23">
        <v>5</v>
      </c>
      <c r="AC1513" s="30" t="str">
        <f>VLOOKUP(AB1513,[6]Key!$C$20:$D$29,2,FALSE)</f>
        <v>Professional</v>
      </c>
      <c r="AD1513" s="23">
        <v>3</v>
      </c>
      <c r="AE1513" s="30" t="str">
        <f>VLOOKUP(AD1513,[6]Key!$E$20:$F$24,2,FALSE)</f>
        <v>500,000-750,000</v>
      </c>
      <c r="AF1513" s="23">
        <v>3</v>
      </c>
      <c r="AG1513" s="50">
        <v>5</v>
      </c>
      <c r="AH1513" s="50">
        <v>4</v>
      </c>
      <c r="AI1513" s="50">
        <v>1</v>
      </c>
      <c r="AJ1513" s="50">
        <v>2</v>
      </c>
      <c r="AK1513" s="46" t="s">
        <v>94</v>
      </c>
      <c r="AL1513" s="36"/>
      <c r="AM1513" t="str">
        <f t="shared" si="95"/>
        <v>0-1000</v>
      </c>
    </row>
    <row r="1514" spans="1:39" x14ac:dyDescent="0.2">
      <c r="A1514" s="44">
        <v>43759</v>
      </c>
      <c r="B1514" s="48"/>
      <c r="C1514" s="48"/>
      <c r="D1514" s="48" t="s">
        <v>150</v>
      </c>
      <c r="E1514" s="13">
        <v>2</v>
      </c>
      <c r="F1514" s="38" t="str">
        <f>VLOOKUP(E1514,[6]Key!$A$17:$B$21,2,FALSE)</f>
        <v>Road Vehicle</v>
      </c>
      <c r="G1514" s="49">
        <v>4</v>
      </c>
      <c r="H1514" s="39" t="str">
        <f>VLOOKUP(G1514,[6]Key!$A$2:$B$14,2,FALSE)</f>
        <v>Minibus</v>
      </c>
      <c r="I1514" s="13" t="s">
        <v>156</v>
      </c>
      <c r="J1514" s="13">
        <v>3</v>
      </c>
      <c r="K1514" s="40" t="str">
        <f>VLOOKUP(J1514,[6]Key!$A$24:$B$29,2,FALSE)</f>
        <v>40-49</v>
      </c>
      <c r="L1514" s="55" t="s">
        <v>819</v>
      </c>
      <c r="M1514" s="23" t="s">
        <v>819</v>
      </c>
      <c r="N1514" s="13" t="s">
        <v>820</v>
      </c>
      <c r="O1514" s="46">
        <v>1</v>
      </c>
      <c r="P1514" s="30" t="str">
        <f>VLOOKUP(O1514,[6]Key!$E$2:$F$9,2,FALSE)</f>
        <v>Home</v>
      </c>
      <c r="Q1514" s="13" t="s">
        <v>283</v>
      </c>
      <c r="R1514" s="23" t="s">
        <v>283</v>
      </c>
      <c r="S1514" s="13" t="s">
        <v>820</v>
      </c>
      <c r="T1514" s="23">
        <v>4</v>
      </c>
      <c r="U1514" s="30" t="str">
        <f>VLOOKUP(T1514,[6]Key!$E$2:$F$9,2,FALSE)</f>
        <v>Commercial</v>
      </c>
      <c r="V1514" s="30" t="str">
        <f t="shared" si="92"/>
        <v>Home-Commercial</v>
      </c>
      <c r="W1514" s="41">
        <v>10000</v>
      </c>
      <c r="X1514" s="50"/>
      <c r="Y1514" s="50" t="str">
        <f t="shared" si="93"/>
        <v>0-10</v>
      </c>
      <c r="Z1514" s="50">
        <v>3</v>
      </c>
      <c r="AA1514" s="50" t="str">
        <f t="shared" si="94"/>
        <v>2.0-3.5</v>
      </c>
      <c r="AB1514" s="23">
        <v>2</v>
      </c>
      <c r="AC1514" s="30" t="str">
        <f>VLOOKUP(AB1514,[6]Key!$C$20:$D$29,2,FALSE)</f>
        <v>Manual Labour</v>
      </c>
      <c r="AD1514" s="23">
        <v>1</v>
      </c>
      <c r="AE1514" s="30" t="str">
        <f>VLOOKUP(AD1514,[6]Key!$E$20:$F$24,2,FALSE)</f>
        <v>&lt;300,000</v>
      </c>
      <c r="AF1514" s="23">
        <v>1</v>
      </c>
      <c r="AG1514" s="50">
        <v>3</v>
      </c>
      <c r="AH1514" s="50">
        <v>4</v>
      </c>
      <c r="AI1514" s="50">
        <v>2</v>
      </c>
      <c r="AJ1514" s="50">
        <v>5</v>
      </c>
      <c r="AK1514" s="46" t="s">
        <v>94</v>
      </c>
      <c r="AL1514" s="36">
        <v>10000</v>
      </c>
      <c r="AM1514" t="str">
        <f t="shared" si="95"/>
        <v>Over 10000</v>
      </c>
    </row>
    <row r="1515" spans="1:39" x14ac:dyDescent="0.2">
      <c r="A1515" s="44">
        <v>43761</v>
      </c>
      <c r="B1515" s="48"/>
      <c r="C1515" s="48"/>
      <c r="D1515" s="48" t="s">
        <v>150</v>
      </c>
      <c r="E1515" s="13">
        <v>2</v>
      </c>
      <c r="F1515" s="38" t="str">
        <f>VLOOKUP(E1515,[6]Key!$A$17:$B$21,2,FALSE)</f>
        <v>Road Vehicle</v>
      </c>
      <c r="G1515" s="49">
        <v>4</v>
      </c>
      <c r="H1515" s="39" t="str">
        <f>VLOOKUP(G1515,[6]Key!$A$2:$B$14,2,FALSE)</f>
        <v>Minibus</v>
      </c>
      <c r="I1515" s="13" t="s">
        <v>156</v>
      </c>
      <c r="J1515" s="13">
        <v>3</v>
      </c>
      <c r="K1515" s="40" t="str">
        <f>VLOOKUP(J1515,[6]Key!$A$24:$B$29,2,FALSE)</f>
        <v>40-49</v>
      </c>
      <c r="L1515" s="55" t="s">
        <v>819</v>
      </c>
      <c r="M1515" s="23" t="s">
        <v>819</v>
      </c>
      <c r="N1515" s="13" t="s">
        <v>820</v>
      </c>
      <c r="O1515" s="46">
        <v>1</v>
      </c>
      <c r="P1515" s="30" t="str">
        <f>VLOOKUP(O1515,[6]Key!$E$2:$F$9,2,FALSE)</f>
        <v>Home</v>
      </c>
      <c r="Q1515" s="13" t="s">
        <v>853</v>
      </c>
      <c r="R1515" s="23" t="s">
        <v>404</v>
      </c>
      <c r="S1515" s="13" t="s">
        <v>820</v>
      </c>
      <c r="T1515" s="23">
        <v>5</v>
      </c>
      <c r="U1515" s="30" t="str">
        <f>VLOOKUP(T1515,[6]Key!$E$2:$F$9,2,FALSE)</f>
        <v>Tourism</v>
      </c>
      <c r="V1515" s="30" t="str">
        <f t="shared" si="92"/>
        <v>Home-Tourism</v>
      </c>
      <c r="W1515" s="41">
        <v>30000</v>
      </c>
      <c r="X1515" s="50">
        <v>400</v>
      </c>
      <c r="Y1515" s="50" t="str">
        <f t="shared" si="93"/>
        <v>Over 200</v>
      </c>
      <c r="Z1515" s="50">
        <v>8</v>
      </c>
      <c r="AA1515" s="50" t="str">
        <f t="shared" si="94"/>
        <v>Over 3.5</v>
      </c>
      <c r="AB1515" s="23">
        <v>2</v>
      </c>
      <c r="AC1515" s="30" t="str">
        <f>VLOOKUP(AB1515,[6]Key!$C$20:$D$29,2,FALSE)</f>
        <v>Manual Labour</v>
      </c>
      <c r="AD1515" s="23">
        <v>2</v>
      </c>
      <c r="AE1515" s="30" t="str">
        <f>VLOOKUP(AD1515,[6]Key!$E$20:$F$24,2,FALSE)</f>
        <v>300,000-500,000</v>
      </c>
      <c r="AF1515" s="23">
        <v>3</v>
      </c>
      <c r="AG1515" s="50">
        <v>2</v>
      </c>
      <c r="AH1515" s="50">
        <v>5</v>
      </c>
      <c r="AI1515" s="50">
        <v>4</v>
      </c>
      <c r="AJ1515" s="50">
        <v>1</v>
      </c>
      <c r="AK1515" s="46" t="s">
        <v>94</v>
      </c>
      <c r="AL1515" s="36">
        <v>2000</v>
      </c>
      <c r="AM1515" t="str">
        <f t="shared" si="95"/>
        <v>2000-3000</v>
      </c>
    </row>
    <row r="1516" spans="1:39" x14ac:dyDescent="0.2">
      <c r="A1516" s="44">
        <v>43761</v>
      </c>
      <c r="B1516" s="48">
        <v>0.43402777777777773</v>
      </c>
      <c r="C1516" s="48"/>
      <c r="D1516" s="48" t="s">
        <v>97</v>
      </c>
      <c r="E1516" s="13">
        <v>2</v>
      </c>
      <c r="F1516" s="38" t="str">
        <f>VLOOKUP(E1516,[6]Key!$A$17:$B$21,2,FALSE)</f>
        <v>Road Vehicle</v>
      </c>
      <c r="G1516" s="49">
        <v>4</v>
      </c>
      <c r="H1516" s="39" t="str">
        <f>VLOOKUP(G1516,[6]Key!$A$2:$B$14,2,FALSE)</f>
        <v>Minibus</v>
      </c>
      <c r="I1516" s="13" t="s">
        <v>156</v>
      </c>
      <c r="J1516" s="13">
        <v>3</v>
      </c>
      <c r="K1516" s="40" t="str">
        <f>VLOOKUP(J1516,[6]Key!$A$24:$B$29,2,FALSE)</f>
        <v>40-49</v>
      </c>
      <c r="L1516" s="55" t="s">
        <v>819</v>
      </c>
      <c r="M1516" s="23" t="s">
        <v>819</v>
      </c>
      <c r="N1516" s="13" t="s">
        <v>820</v>
      </c>
      <c r="O1516" s="46">
        <v>4</v>
      </c>
      <c r="P1516" s="30" t="str">
        <f>VLOOKUP(O1516,[6]Key!$E$2:$F$9,2,FALSE)</f>
        <v>Commercial</v>
      </c>
      <c r="Q1516" s="13" t="s">
        <v>404</v>
      </c>
      <c r="R1516" s="23" t="s">
        <v>404</v>
      </c>
      <c r="S1516" s="13"/>
      <c r="T1516" s="23">
        <v>4</v>
      </c>
      <c r="U1516" s="30" t="str">
        <f>VLOOKUP(T1516,[6]Key!$E$2:$F$9,2,FALSE)</f>
        <v>Commercial</v>
      </c>
      <c r="V1516" s="30" t="str">
        <f t="shared" si="92"/>
        <v>Commercial-Commercial</v>
      </c>
      <c r="W1516" s="41">
        <v>190000</v>
      </c>
      <c r="X1516" s="50"/>
      <c r="Y1516" s="50" t="str">
        <f t="shared" si="93"/>
        <v>0-10</v>
      </c>
      <c r="Z1516" s="50">
        <v>9</v>
      </c>
      <c r="AA1516" s="50" t="str">
        <f t="shared" si="94"/>
        <v>Over 3.5</v>
      </c>
      <c r="AB1516" s="23">
        <v>10</v>
      </c>
      <c r="AC1516" s="30" t="str">
        <f>VLOOKUP(AB1516,[6]Key!$C$20:$D$29,2,FALSE)</f>
        <v>Other</v>
      </c>
      <c r="AD1516" s="23">
        <v>4</v>
      </c>
      <c r="AE1516" s="30" t="str">
        <f>VLOOKUP(AD1516,[6]Key!$E$20:$F$24,2,FALSE)</f>
        <v>750,000-1,000,000</v>
      </c>
      <c r="AF1516" s="23">
        <v>3</v>
      </c>
      <c r="AG1516" s="50">
        <v>1</v>
      </c>
      <c r="AH1516" s="50">
        <v>4</v>
      </c>
      <c r="AI1516" s="50">
        <v>2</v>
      </c>
      <c r="AJ1516" s="50">
        <v>5</v>
      </c>
      <c r="AK1516" s="46" t="s">
        <v>94</v>
      </c>
      <c r="AL1516" s="36"/>
      <c r="AM1516" t="str">
        <f t="shared" si="95"/>
        <v>0-1000</v>
      </c>
    </row>
    <row r="1517" spans="1:39" x14ac:dyDescent="0.2">
      <c r="A1517" s="44">
        <v>43759</v>
      </c>
      <c r="B1517" s="48">
        <v>0.59097222222222223</v>
      </c>
      <c r="C1517" s="48"/>
      <c r="D1517" s="48" t="s">
        <v>97</v>
      </c>
      <c r="E1517" s="13">
        <v>2</v>
      </c>
      <c r="F1517" s="38" t="str">
        <f>VLOOKUP(E1517,[6]Key!$A$17:$B$21,2,FALSE)</f>
        <v>Road Vehicle</v>
      </c>
      <c r="G1517" s="49">
        <v>4</v>
      </c>
      <c r="H1517" s="39" t="str">
        <f>VLOOKUP(G1517,[6]Key!$A$2:$B$14,2,FALSE)</f>
        <v>Minibus</v>
      </c>
      <c r="I1517" s="13" t="s">
        <v>109</v>
      </c>
      <c r="J1517" s="13">
        <v>3</v>
      </c>
      <c r="K1517" s="40" t="str">
        <f>VLOOKUP(J1517,[6]Key!$A$24:$B$29,2,FALSE)</f>
        <v>40-49</v>
      </c>
      <c r="L1517" s="55" t="s">
        <v>884</v>
      </c>
      <c r="M1517" s="23" t="s">
        <v>819</v>
      </c>
      <c r="N1517" s="13" t="s">
        <v>820</v>
      </c>
      <c r="O1517" s="46">
        <v>2</v>
      </c>
      <c r="P1517" s="30" t="str">
        <f>VLOOKUP(O1517,[6]Key!$E$2:$F$9,2,FALSE)</f>
        <v>Work</v>
      </c>
      <c r="Q1517" s="13" t="s">
        <v>874</v>
      </c>
      <c r="R1517" s="23" t="s">
        <v>404</v>
      </c>
      <c r="S1517" s="13" t="s">
        <v>820</v>
      </c>
      <c r="T1517" s="23">
        <v>1</v>
      </c>
      <c r="U1517" s="30" t="str">
        <f>VLOOKUP(T1517,[6]Key!$E$2:$F$9,2,FALSE)</f>
        <v>Home</v>
      </c>
      <c r="V1517" s="30" t="str">
        <f t="shared" si="92"/>
        <v>Work-Home</v>
      </c>
      <c r="W1517" s="41">
        <v>100000</v>
      </c>
      <c r="X1517" s="50">
        <v>120</v>
      </c>
      <c r="Y1517" s="50" t="str">
        <f t="shared" si="93"/>
        <v>100-200</v>
      </c>
      <c r="Z1517" s="50">
        <v>3</v>
      </c>
      <c r="AA1517" s="50" t="str">
        <f t="shared" si="94"/>
        <v>2.0-3.5</v>
      </c>
      <c r="AB1517" s="23">
        <v>10</v>
      </c>
      <c r="AC1517" s="30" t="str">
        <f>VLOOKUP(AB1517,[6]Key!$C$20:$D$29,2,FALSE)</f>
        <v>Other</v>
      </c>
      <c r="AD1517" s="23">
        <v>1</v>
      </c>
      <c r="AE1517" s="30" t="str">
        <f>VLOOKUP(AD1517,[6]Key!$E$20:$F$24,2,FALSE)</f>
        <v>&lt;300,000</v>
      </c>
      <c r="AF1517" s="23">
        <v>4</v>
      </c>
      <c r="AG1517" s="50">
        <v>5</v>
      </c>
      <c r="AH1517" s="50">
        <v>1</v>
      </c>
      <c r="AI1517" s="50">
        <v>2</v>
      </c>
      <c r="AJ1517" s="50">
        <v>3</v>
      </c>
      <c r="AK1517" s="46" t="s">
        <v>94</v>
      </c>
      <c r="AL1517" s="36"/>
      <c r="AM1517" t="str">
        <f t="shared" si="95"/>
        <v>0-1000</v>
      </c>
    </row>
    <row r="1518" spans="1:39" x14ac:dyDescent="0.2">
      <c r="A1518" s="44">
        <v>43759</v>
      </c>
      <c r="B1518" s="48">
        <v>0.64583333333333337</v>
      </c>
      <c r="C1518" s="48"/>
      <c r="D1518" s="48" t="s">
        <v>97</v>
      </c>
      <c r="E1518" s="13">
        <v>2</v>
      </c>
      <c r="F1518" s="38" t="str">
        <f>VLOOKUP(E1518,[6]Key!$A$17:$B$21,2,FALSE)</f>
        <v>Road Vehicle</v>
      </c>
      <c r="G1518" s="49">
        <v>4</v>
      </c>
      <c r="H1518" s="39" t="str">
        <f>VLOOKUP(G1518,[6]Key!$A$2:$B$14,2,FALSE)</f>
        <v>Minibus</v>
      </c>
      <c r="I1518" s="13" t="s">
        <v>109</v>
      </c>
      <c r="J1518" s="13">
        <v>3</v>
      </c>
      <c r="K1518" s="40" t="str">
        <f>VLOOKUP(J1518,[6]Key!$A$24:$B$29,2,FALSE)</f>
        <v>40-49</v>
      </c>
      <c r="L1518" s="55" t="s">
        <v>885</v>
      </c>
      <c r="M1518" s="23" t="s">
        <v>819</v>
      </c>
      <c r="N1518" s="13" t="s">
        <v>820</v>
      </c>
      <c r="O1518" s="46">
        <v>2</v>
      </c>
      <c r="P1518" s="30" t="str">
        <f>VLOOKUP(O1518,[6]Key!$E$2:$F$9,2,FALSE)</f>
        <v>Work</v>
      </c>
      <c r="Q1518" s="13" t="s">
        <v>821</v>
      </c>
      <c r="R1518" s="23" t="s">
        <v>819</v>
      </c>
      <c r="S1518" s="13" t="s">
        <v>820</v>
      </c>
      <c r="T1518" s="23">
        <v>1</v>
      </c>
      <c r="U1518" s="30" t="str">
        <f>VLOOKUP(T1518,[6]Key!$E$2:$F$9,2,FALSE)</f>
        <v>Home</v>
      </c>
      <c r="V1518" s="30" t="str">
        <f t="shared" si="92"/>
        <v>Work-Home</v>
      </c>
      <c r="W1518" s="41">
        <v>12000</v>
      </c>
      <c r="X1518" s="50">
        <v>2</v>
      </c>
      <c r="Y1518" s="50" t="str">
        <f t="shared" si="93"/>
        <v>0-10</v>
      </c>
      <c r="Z1518" s="50">
        <v>0.3</v>
      </c>
      <c r="AA1518" s="50" t="str">
        <f t="shared" si="94"/>
        <v>0-0.5</v>
      </c>
      <c r="AB1518" s="23">
        <v>10</v>
      </c>
      <c r="AC1518" s="30" t="str">
        <f>VLOOKUP(AB1518,[6]Key!$C$20:$D$29,2,FALSE)</f>
        <v>Other</v>
      </c>
      <c r="AD1518" s="23">
        <v>1</v>
      </c>
      <c r="AE1518" s="30" t="str">
        <f>VLOOKUP(AD1518,[6]Key!$E$20:$F$24,2,FALSE)</f>
        <v>&lt;300,000</v>
      </c>
      <c r="AF1518" s="23">
        <v>1</v>
      </c>
      <c r="AG1518" s="50">
        <v>5</v>
      </c>
      <c r="AH1518" s="50">
        <v>3</v>
      </c>
      <c r="AI1518" s="50">
        <v>4</v>
      </c>
      <c r="AJ1518" s="50">
        <v>2</v>
      </c>
      <c r="AK1518" s="46" t="s">
        <v>94</v>
      </c>
      <c r="AL1518" s="36">
        <v>1000</v>
      </c>
      <c r="AM1518" t="str">
        <f t="shared" si="95"/>
        <v>1000-2000</v>
      </c>
    </row>
    <row r="1519" spans="1:39" x14ac:dyDescent="0.2">
      <c r="A1519" s="44">
        <v>43759</v>
      </c>
      <c r="B1519" s="48">
        <v>0.78055555555555556</v>
      </c>
      <c r="C1519" s="48"/>
      <c r="D1519" s="48" t="s">
        <v>150</v>
      </c>
      <c r="E1519" s="13">
        <v>2</v>
      </c>
      <c r="F1519" s="38" t="str">
        <f>VLOOKUP(E1519,[6]Key!$A$17:$B$21,2,FALSE)</f>
        <v>Road Vehicle</v>
      </c>
      <c r="G1519" s="49">
        <v>4</v>
      </c>
      <c r="H1519" s="39" t="str">
        <f>VLOOKUP(G1519,[6]Key!$A$2:$B$14,2,FALSE)</f>
        <v>Minibus</v>
      </c>
      <c r="I1519" s="13" t="s">
        <v>109</v>
      </c>
      <c r="J1519" s="13">
        <v>3</v>
      </c>
      <c r="K1519" s="40" t="str">
        <f>VLOOKUP(J1519,[6]Key!$A$24:$B$29,2,FALSE)</f>
        <v>40-49</v>
      </c>
      <c r="L1519" s="55" t="s">
        <v>886</v>
      </c>
      <c r="M1519" s="23" t="s">
        <v>819</v>
      </c>
      <c r="N1519" s="13" t="s">
        <v>820</v>
      </c>
      <c r="O1519" s="46">
        <v>1</v>
      </c>
      <c r="P1519" s="30" t="str">
        <f>VLOOKUP(O1519,[6]Key!$E$2:$F$9,2,FALSE)</f>
        <v>Home</v>
      </c>
      <c r="Q1519" s="13" t="s">
        <v>819</v>
      </c>
      <c r="R1519" s="23" t="s">
        <v>819</v>
      </c>
      <c r="S1519" s="13" t="s">
        <v>820</v>
      </c>
      <c r="T1519" s="23">
        <v>2</v>
      </c>
      <c r="U1519" s="30" t="str">
        <f>VLOOKUP(T1519,[6]Key!$E$2:$F$9,2,FALSE)</f>
        <v>Work</v>
      </c>
      <c r="V1519" s="30" t="str">
        <f t="shared" si="92"/>
        <v>Home-Work</v>
      </c>
      <c r="W1519" s="41">
        <v>3000</v>
      </c>
      <c r="X1519" s="50">
        <v>5</v>
      </c>
      <c r="Y1519" s="50" t="str">
        <f t="shared" si="93"/>
        <v>0-10</v>
      </c>
      <c r="Z1519" s="50">
        <v>1</v>
      </c>
      <c r="AA1519" s="50" t="str">
        <f t="shared" si="94"/>
        <v>1.0-2.0</v>
      </c>
      <c r="AB1519" s="23">
        <v>2</v>
      </c>
      <c r="AC1519" s="30" t="str">
        <f>VLOOKUP(AB1519,[6]Key!$C$20:$D$29,2,FALSE)</f>
        <v>Manual Labour</v>
      </c>
      <c r="AD1519" s="23">
        <v>2</v>
      </c>
      <c r="AE1519" s="30" t="str">
        <f>VLOOKUP(AD1519,[6]Key!$E$20:$F$24,2,FALSE)</f>
        <v>300,000-500,000</v>
      </c>
      <c r="AF1519" s="23">
        <v>4</v>
      </c>
      <c r="AG1519" s="50">
        <v>2</v>
      </c>
      <c r="AH1519" s="50">
        <v>3</v>
      </c>
      <c r="AI1519" s="50">
        <v>1</v>
      </c>
      <c r="AJ1519" s="50">
        <v>5</v>
      </c>
      <c r="AK1519" s="46" t="s">
        <v>94</v>
      </c>
      <c r="AL1519" s="36">
        <v>1000</v>
      </c>
      <c r="AM1519" t="str">
        <f t="shared" si="95"/>
        <v>1000-2000</v>
      </c>
    </row>
    <row r="1520" spans="1:39" x14ac:dyDescent="0.2">
      <c r="A1520" s="44">
        <v>43759</v>
      </c>
      <c r="B1520" s="48"/>
      <c r="C1520" s="48"/>
      <c r="D1520" s="48" t="s">
        <v>97</v>
      </c>
      <c r="E1520" s="13">
        <v>2</v>
      </c>
      <c r="F1520" s="38" t="str">
        <f>VLOOKUP(E1520,[6]Key!$A$17:$B$21,2,FALSE)</f>
        <v>Road Vehicle</v>
      </c>
      <c r="G1520" s="49">
        <v>4</v>
      </c>
      <c r="H1520" s="39" t="str">
        <f>VLOOKUP(G1520,[6]Key!$A$2:$B$14,2,FALSE)</f>
        <v>Minibus</v>
      </c>
      <c r="I1520" s="13" t="s">
        <v>109</v>
      </c>
      <c r="J1520" s="13">
        <v>3</v>
      </c>
      <c r="K1520" s="40" t="str">
        <f>VLOOKUP(J1520,[6]Key!$A$24:$B$29,2,FALSE)</f>
        <v>40-49</v>
      </c>
      <c r="L1520" s="55" t="s">
        <v>819</v>
      </c>
      <c r="M1520" s="23" t="s">
        <v>819</v>
      </c>
      <c r="N1520" s="13" t="s">
        <v>820</v>
      </c>
      <c r="O1520" s="46">
        <v>1</v>
      </c>
      <c r="P1520" s="30" t="str">
        <f>VLOOKUP(O1520,[6]Key!$E$2:$F$9,2,FALSE)</f>
        <v>Home</v>
      </c>
      <c r="Q1520" s="13" t="s">
        <v>863</v>
      </c>
      <c r="R1520" s="23" t="s">
        <v>832</v>
      </c>
      <c r="S1520" s="13" t="s">
        <v>820</v>
      </c>
      <c r="T1520" s="23">
        <v>2</v>
      </c>
      <c r="U1520" s="30" t="str">
        <f>VLOOKUP(T1520,[6]Key!$E$2:$F$9,2,FALSE)</f>
        <v>Work</v>
      </c>
      <c r="V1520" s="30" t="str">
        <f t="shared" si="92"/>
        <v>Home-Work</v>
      </c>
      <c r="W1520" s="41">
        <v>90000</v>
      </c>
      <c r="X1520" s="50">
        <v>120</v>
      </c>
      <c r="Y1520" s="50" t="str">
        <f t="shared" si="93"/>
        <v>100-200</v>
      </c>
      <c r="Z1520" s="50">
        <v>2</v>
      </c>
      <c r="AA1520" s="50" t="str">
        <f t="shared" si="94"/>
        <v>2.0-3.5</v>
      </c>
      <c r="AB1520" s="23">
        <v>5</v>
      </c>
      <c r="AC1520" s="30" t="str">
        <f>VLOOKUP(AB1520,[6]Key!$C$20:$D$29,2,FALSE)</f>
        <v>Professional</v>
      </c>
      <c r="AD1520" s="23">
        <v>3</v>
      </c>
      <c r="AE1520" s="30" t="str">
        <f>VLOOKUP(AD1520,[6]Key!$E$20:$F$24,2,FALSE)</f>
        <v>500,000-750,000</v>
      </c>
      <c r="AF1520" s="23">
        <v>1</v>
      </c>
      <c r="AG1520" s="50">
        <v>3</v>
      </c>
      <c r="AH1520" s="50">
        <v>4</v>
      </c>
      <c r="AI1520" s="50">
        <v>2</v>
      </c>
      <c r="AJ1520" s="50">
        <v>5</v>
      </c>
      <c r="AK1520" s="46" t="s">
        <v>94</v>
      </c>
      <c r="AL1520" s="36">
        <v>4000</v>
      </c>
      <c r="AM1520" t="str">
        <f t="shared" si="95"/>
        <v>3000-5000</v>
      </c>
    </row>
    <row r="1521" spans="1:39" x14ac:dyDescent="0.2">
      <c r="A1521" s="44">
        <v>43760</v>
      </c>
      <c r="B1521" s="48">
        <v>0.56666666666666665</v>
      </c>
      <c r="C1521" s="48"/>
      <c r="D1521" s="48" t="s">
        <v>97</v>
      </c>
      <c r="E1521" s="13">
        <v>2</v>
      </c>
      <c r="F1521" s="38" t="str">
        <f>VLOOKUP(E1521,[6]Key!$A$17:$B$21,2,FALSE)</f>
        <v>Road Vehicle</v>
      </c>
      <c r="G1521" s="49">
        <v>4</v>
      </c>
      <c r="H1521" s="39" t="str">
        <f>VLOOKUP(G1521,[6]Key!$A$2:$B$14,2,FALSE)</f>
        <v>Minibus</v>
      </c>
      <c r="I1521" s="13" t="s">
        <v>109</v>
      </c>
      <c r="J1521" s="13">
        <v>3</v>
      </c>
      <c r="K1521" s="40" t="str">
        <f>VLOOKUP(J1521,[6]Key!$A$24:$B$29,2,FALSE)</f>
        <v>40-49</v>
      </c>
      <c r="L1521" s="55" t="s">
        <v>819</v>
      </c>
      <c r="M1521" s="23" t="s">
        <v>819</v>
      </c>
      <c r="N1521" s="13" t="s">
        <v>820</v>
      </c>
      <c r="O1521" s="46">
        <v>1</v>
      </c>
      <c r="P1521" s="30" t="str">
        <f>VLOOKUP(O1521,[6]Key!$E$2:$F$9,2,FALSE)</f>
        <v>Home</v>
      </c>
      <c r="Q1521" s="13" t="s">
        <v>887</v>
      </c>
      <c r="R1521" s="23" t="s">
        <v>404</v>
      </c>
      <c r="S1521" s="13" t="s">
        <v>820</v>
      </c>
      <c r="T1521" s="23">
        <v>2</v>
      </c>
      <c r="U1521" s="30" t="str">
        <f>VLOOKUP(T1521,[6]Key!$E$2:$F$9,2,FALSE)</f>
        <v>Work</v>
      </c>
      <c r="V1521" s="30" t="str">
        <f t="shared" si="92"/>
        <v>Home-Work</v>
      </c>
      <c r="W1521" s="41">
        <v>350000</v>
      </c>
      <c r="X1521" s="50">
        <v>360</v>
      </c>
      <c r="Y1521" s="50" t="str">
        <f t="shared" si="93"/>
        <v>Over 200</v>
      </c>
      <c r="Z1521" s="50">
        <v>9</v>
      </c>
      <c r="AA1521" s="50" t="str">
        <f t="shared" si="94"/>
        <v>Over 3.5</v>
      </c>
      <c r="AB1521" s="23">
        <v>10</v>
      </c>
      <c r="AC1521" s="30" t="str">
        <f>VLOOKUP(AB1521,[6]Key!$C$20:$D$29,2,FALSE)</f>
        <v>Other</v>
      </c>
      <c r="AD1521" s="23">
        <v>4</v>
      </c>
      <c r="AE1521" s="30" t="str">
        <f>VLOOKUP(AD1521,[6]Key!$E$20:$F$24,2,FALSE)</f>
        <v>750,000-1,000,000</v>
      </c>
      <c r="AF1521" s="23"/>
      <c r="AG1521" s="50"/>
      <c r="AH1521" s="50"/>
      <c r="AI1521" s="50"/>
      <c r="AJ1521" s="50"/>
      <c r="AK1521" s="46" t="s">
        <v>94</v>
      </c>
      <c r="AL1521" s="36">
        <v>100</v>
      </c>
      <c r="AM1521" t="str">
        <f t="shared" si="95"/>
        <v>0-1000</v>
      </c>
    </row>
    <row r="1522" spans="1:39" x14ac:dyDescent="0.2">
      <c r="A1522" s="44">
        <v>43760</v>
      </c>
      <c r="B1522" s="48">
        <v>0.55555555555555558</v>
      </c>
      <c r="C1522" s="48"/>
      <c r="D1522" s="48" t="s">
        <v>97</v>
      </c>
      <c r="E1522" s="13">
        <v>2</v>
      </c>
      <c r="F1522" s="38" t="str">
        <f>VLOOKUP(E1522,[6]Key!$A$17:$B$21,2,FALSE)</f>
        <v>Road Vehicle</v>
      </c>
      <c r="G1522" s="49">
        <v>4</v>
      </c>
      <c r="H1522" s="39" t="str">
        <f>VLOOKUP(G1522,[6]Key!$A$2:$B$14,2,FALSE)</f>
        <v>Minibus</v>
      </c>
      <c r="I1522" s="13" t="s">
        <v>109</v>
      </c>
      <c r="J1522" s="13">
        <v>3</v>
      </c>
      <c r="K1522" s="40" t="str">
        <f>VLOOKUP(J1522,[6]Key!$A$24:$B$29,2,FALSE)</f>
        <v>40-49</v>
      </c>
      <c r="L1522" s="55" t="s">
        <v>366</v>
      </c>
      <c r="M1522" s="23" t="s">
        <v>366</v>
      </c>
      <c r="N1522" s="13" t="s">
        <v>820</v>
      </c>
      <c r="O1522" s="46">
        <v>2</v>
      </c>
      <c r="P1522" s="30" t="str">
        <f>VLOOKUP(O1522,[6]Key!$E$2:$F$9,2,FALSE)</f>
        <v>Work</v>
      </c>
      <c r="Q1522" s="13" t="s">
        <v>819</v>
      </c>
      <c r="R1522" s="23" t="s">
        <v>819</v>
      </c>
      <c r="S1522" s="13" t="s">
        <v>820</v>
      </c>
      <c r="T1522" s="23">
        <v>1</v>
      </c>
      <c r="U1522" s="30" t="str">
        <f>VLOOKUP(T1522,[6]Key!$E$2:$F$9,2,FALSE)</f>
        <v>Home</v>
      </c>
      <c r="V1522" s="30" t="str">
        <f t="shared" si="92"/>
        <v>Work-Home</v>
      </c>
      <c r="W1522" s="41">
        <v>20000</v>
      </c>
      <c r="X1522" s="50">
        <v>44</v>
      </c>
      <c r="Y1522" s="50" t="str">
        <f t="shared" si="93"/>
        <v>40-70</v>
      </c>
      <c r="Z1522" s="50">
        <v>1</v>
      </c>
      <c r="AA1522" s="50" t="str">
        <f t="shared" si="94"/>
        <v>1.0-2.0</v>
      </c>
      <c r="AB1522" s="23">
        <v>10</v>
      </c>
      <c r="AC1522" s="30" t="str">
        <f>VLOOKUP(AB1522,[6]Key!$C$20:$D$29,2,FALSE)</f>
        <v>Other</v>
      </c>
      <c r="AD1522" s="23">
        <v>1</v>
      </c>
      <c r="AE1522" s="30" t="str">
        <f>VLOOKUP(AD1522,[6]Key!$E$20:$F$24,2,FALSE)</f>
        <v>&lt;300,000</v>
      </c>
      <c r="AF1522" s="23">
        <v>5</v>
      </c>
      <c r="AG1522" s="50">
        <v>3</v>
      </c>
      <c r="AH1522" s="50">
        <v>1</v>
      </c>
      <c r="AI1522" s="50">
        <v>2</v>
      </c>
      <c r="AJ1522" s="50">
        <v>4</v>
      </c>
      <c r="AK1522" s="46" t="s">
        <v>94</v>
      </c>
      <c r="AL1522" s="36"/>
      <c r="AM1522" t="str">
        <f t="shared" si="95"/>
        <v>0-1000</v>
      </c>
    </row>
    <row r="1523" spans="1:39" x14ac:dyDescent="0.2">
      <c r="A1523" s="44">
        <v>43760</v>
      </c>
      <c r="B1523" s="48">
        <v>0.4236111111111111</v>
      </c>
      <c r="C1523" s="48"/>
      <c r="D1523" s="48" t="s">
        <v>150</v>
      </c>
      <c r="E1523" s="13">
        <v>2</v>
      </c>
      <c r="F1523" s="38" t="str">
        <f>VLOOKUP(E1523,[6]Key!$A$17:$B$21,2,FALSE)</f>
        <v>Road Vehicle</v>
      </c>
      <c r="G1523" s="49">
        <v>4</v>
      </c>
      <c r="H1523" s="39" t="str">
        <f>VLOOKUP(G1523,[6]Key!$A$2:$B$14,2,FALSE)</f>
        <v>Minibus</v>
      </c>
      <c r="I1523" s="13" t="s">
        <v>109</v>
      </c>
      <c r="J1523" s="13">
        <v>3</v>
      </c>
      <c r="K1523" s="40" t="str">
        <f>VLOOKUP(J1523,[6]Key!$A$24:$B$29,2,FALSE)</f>
        <v>40-49</v>
      </c>
      <c r="L1523" s="55" t="s">
        <v>821</v>
      </c>
      <c r="M1523" s="23" t="s">
        <v>819</v>
      </c>
      <c r="N1523" s="13" t="s">
        <v>820</v>
      </c>
      <c r="O1523" s="46">
        <v>1</v>
      </c>
      <c r="P1523" s="30" t="str">
        <f>VLOOKUP(O1523,[6]Key!$E$2:$F$9,2,FALSE)</f>
        <v>Home</v>
      </c>
      <c r="Q1523" s="13" t="s">
        <v>825</v>
      </c>
      <c r="R1523" s="23" t="s">
        <v>819</v>
      </c>
      <c r="S1523" s="13" t="s">
        <v>820</v>
      </c>
      <c r="T1523" s="23">
        <v>2</v>
      </c>
      <c r="U1523" s="30" t="str">
        <f>VLOOKUP(T1523,[6]Key!$E$2:$F$9,2,FALSE)</f>
        <v>Work</v>
      </c>
      <c r="V1523" s="30" t="str">
        <f t="shared" si="92"/>
        <v>Home-Work</v>
      </c>
      <c r="W1523" s="41">
        <v>6000</v>
      </c>
      <c r="X1523" s="50">
        <v>3</v>
      </c>
      <c r="Y1523" s="50" t="str">
        <f t="shared" si="93"/>
        <v>0-10</v>
      </c>
      <c r="Z1523" s="50">
        <v>6</v>
      </c>
      <c r="AA1523" s="50" t="str">
        <f t="shared" si="94"/>
        <v>Over 3.5</v>
      </c>
      <c r="AB1523" s="23">
        <v>2</v>
      </c>
      <c r="AC1523" s="30" t="str">
        <f>VLOOKUP(AB1523,[6]Key!$C$20:$D$29,2,FALSE)</f>
        <v>Manual Labour</v>
      </c>
      <c r="AD1523" s="23">
        <v>1</v>
      </c>
      <c r="AE1523" s="30" t="str">
        <f>VLOOKUP(AD1523,[6]Key!$E$20:$F$24,2,FALSE)</f>
        <v>&lt;300,000</v>
      </c>
      <c r="AF1523" s="23">
        <v>3</v>
      </c>
      <c r="AG1523" s="50">
        <v>4</v>
      </c>
      <c r="AH1523" s="50">
        <v>5</v>
      </c>
      <c r="AI1523" s="50">
        <v>1</v>
      </c>
      <c r="AJ1523" s="50">
        <v>2</v>
      </c>
      <c r="AK1523" s="46" t="s">
        <v>94</v>
      </c>
      <c r="AL1523" s="36"/>
      <c r="AM1523" t="str">
        <f t="shared" si="95"/>
        <v>0-1000</v>
      </c>
    </row>
    <row r="1524" spans="1:39" x14ac:dyDescent="0.2">
      <c r="A1524" s="44">
        <v>43760</v>
      </c>
      <c r="B1524" s="48">
        <v>0.44166666666666665</v>
      </c>
      <c r="C1524" s="48"/>
      <c r="D1524" s="48" t="s">
        <v>150</v>
      </c>
      <c r="E1524" s="13">
        <v>2</v>
      </c>
      <c r="F1524" s="38" t="str">
        <f>VLOOKUP(E1524,[6]Key!$A$17:$B$21,2,FALSE)</f>
        <v>Road Vehicle</v>
      </c>
      <c r="G1524" s="49">
        <v>4</v>
      </c>
      <c r="H1524" s="39" t="str">
        <f>VLOOKUP(G1524,[6]Key!$A$2:$B$14,2,FALSE)</f>
        <v>Minibus</v>
      </c>
      <c r="I1524" s="13" t="s">
        <v>109</v>
      </c>
      <c r="J1524" s="13">
        <v>3</v>
      </c>
      <c r="K1524" s="40" t="str">
        <f>VLOOKUP(J1524,[6]Key!$A$24:$B$29,2,FALSE)</f>
        <v>40-49</v>
      </c>
      <c r="L1524" s="55" t="s">
        <v>888</v>
      </c>
      <c r="M1524" s="23" t="s">
        <v>819</v>
      </c>
      <c r="N1524" s="13" t="s">
        <v>820</v>
      </c>
      <c r="O1524" s="46">
        <v>1</v>
      </c>
      <c r="P1524" s="30" t="str">
        <f>VLOOKUP(O1524,[6]Key!$E$2:$F$9,2,FALSE)</f>
        <v>Home</v>
      </c>
      <c r="Q1524" s="13" t="s">
        <v>825</v>
      </c>
      <c r="R1524" s="23" t="s">
        <v>819</v>
      </c>
      <c r="S1524" s="13" t="s">
        <v>820</v>
      </c>
      <c r="T1524" s="23">
        <v>2</v>
      </c>
      <c r="U1524" s="30" t="str">
        <f>VLOOKUP(T1524,[6]Key!$E$2:$F$9,2,FALSE)</f>
        <v>Work</v>
      </c>
      <c r="V1524" s="30" t="str">
        <f t="shared" si="92"/>
        <v>Home-Work</v>
      </c>
      <c r="W1524" s="41">
        <v>4000</v>
      </c>
      <c r="X1524" s="50">
        <v>5</v>
      </c>
      <c r="Y1524" s="50" t="str">
        <f t="shared" si="93"/>
        <v>0-10</v>
      </c>
      <c r="Z1524" s="50">
        <v>0.1</v>
      </c>
      <c r="AA1524" s="50" t="str">
        <f t="shared" si="94"/>
        <v>0-0.5</v>
      </c>
      <c r="AB1524" s="23">
        <v>2</v>
      </c>
      <c r="AC1524" s="30" t="str">
        <f>VLOOKUP(AB1524,[6]Key!$C$20:$D$29,2,FALSE)</f>
        <v>Manual Labour</v>
      </c>
      <c r="AD1524" s="23">
        <v>1</v>
      </c>
      <c r="AE1524" s="30" t="str">
        <f>VLOOKUP(AD1524,[6]Key!$E$20:$F$24,2,FALSE)</f>
        <v>&lt;300,000</v>
      </c>
      <c r="AF1524" s="23">
        <v>1</v>
      </c>
      <c r="AG1524" s="50">
        <v>3</v>
      </c>
      <c r="AH1524" s="50">
        <v>4</v>
      </c>
      <c r="AI1524" s="50">
        <v>5</v>
      </c>
      <c r="AJ1524" s="50">
        <v>2</v>
      </c>
      <c r="AK1524" s="46" t="s">
        <v>94</v>
      </c>
      <c r="AL1524" s="36"/>
      <c r="AM1524" t="str">
        <f t="shared" si="95"/>
        <v>0-1000</v>
      </c>
    </row>
    <row r="1525" spans="1:39" x14ac:dyDescent="0.2">
      <c r="A1525" s="44">
        <v>43760</v>
      </c>
      <c r="B1525" s="48"/>
      <c r="C1525" s="48"/>
      <c r="D1525" s="48" t="s">
        <v>150</v>
      </c>
      <c r="E1525" s="13">
        <v>2</v>
      </c>
      <c r="F1525" s="38" t="str">
        <f>VLOOKUP(E1525,[6]Key!$A$17:$B$21,2,FALSE)</f>
        <v>Road Vehicle</v>
      </c>
      <c r="G1525" s="49">
        <v>4</v>
      </c>
      <c r="H1525" s="39" t="str">
        <f>VLOOKUP(G1525,[6]Key!$A$2:$B$14,2,FALSE)</f>
        <v>Minibus</v>
      </c>
      <c r="I1525" s="13" t="s">
        <v>109</v>
      </c>
      <c r="J1525" s="13">
        <v>3</v>
      </c>
      <c r="K1525" s="40" t="str">
        <f>VLOOKUP(J1525,[6]Key!$A$24:$B$29,2,FALSE)</f>
        <v>40-49</v>
      </c>
      <c r="L1525" s="55" t="s">
        <v>819</v>
      </c>
      <c r="M1525" s="23" t="s">
        <v>819</v>
      </c>
      <c r="N1525" s="13" t="s">
        <v>820</v>
      </c>
      <c r="O1525" s="46">
        <v>1</v>
      </c>
      <c r="P1525" s="30" t="str">
        <f>VLOOKUP(O1525,[6]Key!$E$2:$F$9,2,FALSE)</f>
        <v>Home</v>
      </c>
      <c r="Q1525" s="13" t="s">
        <v>404</v>
      </c>
      <c r="R1525" s="23" t="s">
        <v>404</v>
      </c>
      <c r="S1525" s="13" t="s">
        <v>820</v>
      </c>
      <c r="T1525" s="23">
        <v>4</v>
      </c>
      <c r="U1525" s="30" t="str">
        <f>VLOOKUP(T1525,[6]Key!$E$2:$F$9,2,FALSE)</f>
        <v>Commercial</v>
      </c>
      <c r="V1525" s="30" t="str">
        <f t="shared" si="92"/>
        <v>Home-Commercial</v>
      </c>
      <c r="W1525" s="41">
        <v>35000</v>
      </c>
      <c r="X1525" s="50"/>
      <c r="Y1525" s="50" t="str">
        <f t="shared" si="93"/>
        <v>0-10</v>
      </c>
      <c r="Z1525" s="50">
        <v>8</v>
      </c>
      <c r="AA1525" s="50" t="str">
        <f t="shared" si="94"/>
        <v>Over 3.5</v>
      </c>
      <c r="AB1525" s="23">
        <v>6</v>
      </c>
      <c r="AC1525" s="30" t="str">
        <f>VLOOKUP(AB1525,[6]Key!$C$20:$D$29,2,FALSE)</f>
        <v>Businessman</v>
      </c>
      <c r="AD1525" s="23">
        <v>2</v>
      </c>
      <c r="AE1525" s="30" t="str">
        <f>VLOOKUP(AD1525,[6]Key!$E$20:$F$24,2,FALSE)</f>
        <v>300,000-500,000</v>
      </c>
      <c r="AF1525" s="23">
        <v>2</v>
      </c>
      <c r="AG1525" s="50">
        <v>1</v>
      </c>
      <c r="AH1525" s="50">
        <v>3</v>
      </c>
      <c r="AI1525" s="50">
        <v>5</v>
      </c>
      <c r="AJ1525" s="50">
        <v>4</v>
      </c>
      <c r="AK1525" s="46" t="s">
        <v>94</v>
      </c>
      <c r="AL1525" s="36">
        <v>5000</v>
      </c>
      <c r="AM1525" t="str">
        <f t="shared" si="95"/>
        <v>5000-10000</v>
      </c>
    </row>
    <row r="1526" spans="1:39" x14ac:dyDescent="0.2">
      <c r="A1526" s="44">
        <v>43761</v>
      </c>
      <c r="B1526" s="48">
        <v>0.57916666666666672</v>
      </c>
      <c r="C1526" s="48"/>
      <c r="D1526" s="48" t="s">
        <v>97</v>
      </c>
      <c r="E1526" s="13">
        <v>2</v>
      </c>
      <c r="F1526" s="38" t="str">
        <f>VLOOKUP(E1526,[6]Key!$A$17:$B$21,2,FALSE)</f>
        <v>Road Vehicle</v>
      </c>
      <c r="G1526" s="49">
        <v>4</v>
      </c>
      <c r="H1526" s="39" t="str">
        <f>VLOOKUP(G1526,[6]Key!$A$2:$B$14,2,FALSE)</f>
        <v>Minibus</v>
      </c>
      <c r="I1526" s="13" t="s">
        <v>109</v>
      </c>
      <c r="J1526" s="13">
        <v>3</v>
      </c>
      <c r="K1526" s="40" t="str">
        <f>VLOOKUP(J1526,[6]Key!$A$24:$B$29,2,FALSE)</f>
        <v>40-49</v>
      </c>
      <c r="L1526" s="55" t="s">
        <v>819</v>
      </c>
      <c r="M1526" s="23" t="s">
        <v>819</v>
      </c>
      <c r="N1526" s="13" t="s">
        <v>820</v>
      </c>
      <c r="O1526" s="46">
        <v>1</v>
      </c>
      <c r="P1526" s="30" t="str">
        <f>VLOOKUP(O1526,[6]Key!$E$2:$F$9,2,FALSE)</f>
        <v>Home</v>
      </c>
      <c r="Q1526" s="13" t="s">
        <v>283</v>
      </c>
      <c r="R1526" s="23" t="s">
        <v>283</v>
      </c>
      <c r="S1526" s="13" t="s">
        <v>820</v>
      </c>
      <c r="T1526" s="23">
        <v>2</v>
      </c>
      <c r="U1526" s="30" t="str">
        <f>VLOOKUP(T1526,[6]Key!$E$2:$F$9,2,FALSE)</f>
        <v>Work</v>
      </c>
      <c r="V1526" s="30" t="str">
        <f t="shared" si="92"/>
        <v>Home-Work</v>
      </c>
      <c r="W1526" s="41">
        <v>600000</v>
      </c>
      <c r="X1526" s="50">
        <v>117</v>
      </c>
      <c r="Y1526" s="50" t="str">
        <f t="shared" si="93"/>
        <v>100-200</v>
      </c>
      <c r="Z1526" s="50">
        <v>4</v>
      </c>
      <c r="AA1526" s="50" t="str">
        <f t="shared" si="94"/>
        <v>Over 3.5</v>
      </c>
      <c r="AB1526" s="23">
        <v>10</v>
      </c>
      <c r="AC1526" s="30" t="str">
        <f>VLOOKUP(AB1526,[6]Key!$C$20:$D$29,2,FALSE)</f>
        <v>Other</v>
      </c>
      <c r="AD1526" s="23">
        <v>3</v>
      </c>
      <c r="AE1526" s="30" t="str">
        <f>VLOOKUP(AD1526,[6]Key!$E$20:$F$24,2,FALSE)</f>
        <v>500,000-750,000</v>
      </c>
      <c r="AF1526" s="23">
        <v>3</v>
      </c>
      <c r="AG1526" s="50">
        <v>5</v>
      </c>
      <c r="AH1526" s="50">
        <v>4</v>
      </c>
      <c r="AI1526" s="50">
        <v>1</v>
      </c>
      <c r="AJ1526" s="50">
        <v>2</v>
      </c>
      <c r="AK1526" s="46" t="s">
        <v>94</v>
      </c>
      <c r="AL1526" s="36"/>
      <c r="AM1526" t="str">
        <f t="shared" si="95"/>
        <v>0-1000</v>
      </c>
    </row>
    <row r="1527" spans="1:39" x14ac:dyDescent="0.2">
      <c r="A1527" s="44">
        <v>43761</v>
      </c>
      <c r="B1527" s="48">
        <v>0.56666666666666665</v>
      </c>
      <c r="C1527" s="48"/>
      <c r="D1527" s="48" t="s">
        <v>97</v>
      </c>
      <c r="E1527" s="13">
        <v>2</v>
      </c>
      <c r="F1527" s="38" t="str">
        <f>VLOOKUP(E1527,[6]Key!$A$17:$B$21,2,FALSE)</f>
        <v>Road Vehicle</v>
      </c>
      <c r="G1527" s="49">
        <v>4</v>
      </c>
      <c r="H1527" s="39" t="str">
        <f>VLOOKUP(G1527,[6]Key!$A$2:$B$14,2,FALSE)</f>
        <v>Minibus</v>
      </c>
      <c r="I1527" s="13" t="s">
        <v>109</v>
      </c>
      <c r="J1527" s="13">
        <v>3</v>
      </c>
      <c r="K1527" s="40" t="str">
        <f>VLOOKUP(J1527,[6]Key!$A$24:$B$29,2,FALSE)</f>
        <v>40-49</v>
      </c>
      <c r="L1527" s="55" t="s">
        <v>819</v>
      </c>
      <c r="M1527" s="23" t="s">
        <v>819</v>
      </c>
      <c r="N1527" s="13" t="s">
        <v>820</v>
      </c>
      <c r="O1527" s="46">
        <v>2</v>
      </c>
      <c r="P1527" s="30" t="str">
        <f>VLOOKUP(O1527,[6]Key!$E$2:$F$9,2,FALSE)</f>
        <v>Work</v>
      </c>
      <c r="Q1527" s="13" t="s">
        <v>404</v>
      </c>
      <c r="R1527" s="23" t="s">
        <v>404</v>
      </c>
      <c r="S1527" s="13" t="s">
        <v>820</v>
      </c>
      <c r="T1527" s="23">
        <v>1</v>
      </c>
      <c r="U1527" s="30" t="str">
        <f>VLOOKUP(T1527,[6]Key!$E$2:$F$9,2,FALSE)</f>
        <v>Home</v>
      </c>
      <c r="V1527" s="30" t="str">
        <f t="shared" si="92"/>
        <v>Work-Home</v>
      </c>
      <c r="W1527" s="41">
        <v>600000</v>
      </c>
      <c r="X1527" s="50">
        <v>390</v>
      </c>
      <c r="Y1527" s="50" t="str">
        <f t="shared" si="93"/>
        <v>Over 200</v>
      </c>
      <c r="Z1527" s="50">
        <v>8</v>
      </c>
      <c r="AA1527" s="50" t="str">
        <f t="shared" si="94"/>
        <v>Over 3.5</v>
      </c>
      <c r="AB1527" s="23">
        <v>5</v>
      </c>
      <c r="AC1527" s="30" t="str">
        <f>VLOOKUP(AB1527,[6]Key!$C$20:$D$29,2,FALSE)</f>
        <v>Professional</v>
      </c>
      <c r="AD1527" s="23">
        <v>4</v>
      </c>
      <c r="AE1527" s="30" t="str">
        <f>VLOOKUP(AD1527,[6]Key!$E$20:$F$24,2,FALSE)</f>
        <v>750,000-1,000,000</v>
      </c>
      <c r="AF1527" s="23">
        <v>2</v>
      </c>
      <c r="AG1527" s="50">
        <v>3</v>
      </c>
      <c r="AH1527" s="50">
        <v>1</v>
      </c>
      <c r="AI1527" s="50">
        <v>4</v>
      </c>
      <c r="AJ1527" s="50">
        <v>5</v>
      </c>
      <c r="AK1527" s="46" t="s">
        <v>94</v>
      </c>
      <c r="AL1527" s="36">
        <v>1000</v>
      </c>
      <c r="AM1527" t="str">
        <f t="shared" si="95"/>
        <v>1000-2000</v>
      </c>
    </row>
    <row r="1528" spans="1:39" x14ac:dyDescent="0.2">
      <c r="A1528" s="44">
        <v>43761</v>
      </c>
      <c r="B1528" s="48">
        <v>0.55833333333333335</v>
      </c>
      <c r="C1528" s="48"/>
      <c r="D1528" s="48" t="s">
        <v>97</v>
      </c>
      <c r="E1528" s="13">
        <v>2</v>
      </c>
      <c r="F1528" s="38" t="str">
        <f>VLOOKUP(E1528,[6]Key!$A$17:$B$21,2,FALSE)</f>
        <v>Road Vehicle</v>
      </c>
      <c r="G1528" s="49">
        <v>4</v>
      </c>
      <c r="H1528" s="39" t="str">
        <f>VLOOKUP(G1528,[6]Key!$A$2:$B$14,2,FALSE)</f>
        <v>Minibus</v>
      </c>
      <c r="I1528" s="13" t="s">
        <v>109</v>
      </c>
      <c r="J1528" s="13">
        <v>3</v>
      </c>
      <c r="K1528" s="40" t="str">
        <f>VLOOKUP(J1528,[6]Key!$A$24:$B$29,2,FALSE)</f>
        <v>40-49</v>
      </c>
      <c r="L1528" s="55" t="s">
        <v>819</v>
      </c>
      <c r="M1528" s="23" t="s">
        <v>819</v>
      </c>
      <c r="N1528" s="13" t="s">
        <v>820</v>
      </c>
      <c r="O1528" s="46">
        <v>2</v>
      </c>
      <c r="P1528" s="30" t="str">
        <f>VLOOKUP(O1528,[6]Key!$E$2:$F$9,2,FALSE)</f>
        <v>Work</v>
      </c>
      <c r="Q1528" s="13" t="s">
        <v>283</v>
      </c>
      <c r="R1528" s="23" t="s">
        <v>283</v>
      </c>
      <c r="S1528" s="13" t="s">
        <v>820</v>
      </c>
      <c r="T1528" s="23">
        <v>1</v>
      </c>
      <c r="U1528" s="30" t="str">
        <f>VLOOKUP(T1528,[6]Key!$E$2:$F$9,2,FALSE)</f>
        <v>Home</v>
      </c>
      <c r="V1528" s="30" t="str">
        <f t="shared" si="92"/>
        <v>Work-Home</v>
      </c>
      <c r="W1528" s="41">
        <v>200000</v>
      </c>
      <c r="X1528" s="50">
        <v>117</v>
      </c>
      <c r="Y1528" s="50" t="str">
        <f t="shared" si="93"/>
        <v>100-200</v>
      </c>
      <c r="Z1528" s="50">
        <v>4</v>
      </c>
      <c r="AA1528" s="50" t="str">
        <f t="shared" si="94"/>
        <v>Over 3.5</v>
      </c>
      <c r="AB1528" s="23">
        <v>5</v>
      </c>
      <c r="AC1528" s="30" t="str">
        <f>VLOOKUP(AB1528,[6]Key!$C$20:$D$29,2,FALSE)</f>
        <v>Professional</v>
      </c>
      <c r="AD1528" s="23">
        <v>3</v>
      </c>
      <c r="AE1528" s="30" t="str">
        <f>VLOOKUP(AD1528,[6]Key!$E$20:$F$24,2,FALSE)</f>
        <v>500,000-750,000</v>
      </c>
      <c r="AF1528" s="23">
        <v>2</v>
      </c>
      <c r="AG1528" s="50">
        <v>5</v>
      </c>
      <c r="AH1528" s="50">
        <v>3</v>
      </c>
      <c r="AI1528" s="50">
        <v>1</v>
      </c>
      <c r="AJ1528" s="50">
        <v>4</v>
      </c>
      <c r="AK1528" s="46" t="s">
        <v>94</v>
      </c>
      <c r="AL1528" s="36">
        <v>4000</v>
      </c>
      <c r="AM1528" t="str">
        <f t="shared" si="95"/>
        <v>3000-5000</v>
      </c>
    </row>
    <row r="1529" spans="1:39" x14ac:dyDescent="0.2">
      <c r="A1529" s="44">
        <v>43761</v>
      </c>
      <c r="B1529" s="48">
        <v>0.44791666666666669</v>
      </c>
      <c r="C1529" s="48"/>
      <c r="D1529" s="48" t="s">
        <v>97</v>
      </c>
      <c r="E1529" s="13">
        <v>2</v>
      </c>
      <c r="F1529" s="38" t="str">
        <f>VLOOKUP(E1529,[6]Key!$A$17:$B$21,2,FALSE)</f>
        <v>Road Vehicle</v>
      </c>
      <c r="G1529" s="49">
        <v>4</v>
      </c>
      <c r="H1529" s="39" t="str">
        <f>VLOOKUP(G1529,[6]Key!$A$2:$B$14,2,FALSE)</f>
        <v>Minibus</v>
      </c>
      <c r="I1529" s="13" t="s">
        <v>109</v>
      </c>
      <c r="J1529" s="13">
        <v>3</v>
      </c>
      <c r="K1529" s="40" t="str">
        <f>VLOOKUP(J1529,[6]Key!$A$24:$B$29,2,FALSE)</f>
        <v>40-49</v>
      </c>
      <c r="L1529" s="55" t="s">
        <v>856</v>
      </c>
      <c r="M1529" s="23" t="s">
        <v>832</v>
      </c>
      <c r="N1529" s="13" t="s">
        <v>820</v>
      </c>
      <c r="O1529" s="46">
        <v>4</v>
      </c>
      <c r="P1529" s="30" t="str">
        <f>VLOOKUP(O1529,[6]Key!$E$2:$F$9,2,FALSE)</f>
        <v>Commercial</v>
      </c>
      <c r="Q1529" s="13" t="s">
        <v>819</v>
      </c>
      <c r="R1529" s="23" t="s">
        <v>819</v>
      </c>
      <c r="S1529" s="13"/>
      <c r="T1529" s="23">
        <v>4</v>
      </c>
      <c r="U1529" s="30" t="str">
        <f>VLOOKUP(T1529,[6]Key!$E$2:$F$9,2,FALSE)</f>
        <v>Commercial</v>
      </c>
      <c r="V1529" s="30" t="str">
        <f t="shared" si="92"/>
        <v>Commercial-Commercial</v>
      </c>
      <c r="W1529" s="41">
        <v>160000</v>
      </c>
      <c r="X1529" s="50"/>
      <c r="Y1529" s="50" t="str">
        <f t="shared" si="93"/>
        <v>0-10</v>
      </c>
      <c r="Z1529" s="50">
        <v>5.5</v>
      </c>
      <c r="AA1529" s="50" t="str">
        <f t="shared" si="94"/>
        <v>Over 3.5</v>
      </c>
      <c r="AB1529" s="23">
        <v>10</v>
      </c>
      <c r="AC1529" s="30" t="str">
        <f>VLOOKUP(AB1529,[6]Key!$C$20:$D$29,2,FALSE)</f>
        <v>Other</v>
      </c>
      <c r="AD1529" s="23">
        <v>4</v>
      </c>
      <c r="AE1529" s="30" t="str">
        <f>VLOOKUP(AD1529,[6]Key!$E$20:$F$24,2,FALSE)</f>
        <v>750,000-1,000,000</v>
      </c>
      <c r="AF1529" s="23">
        <v>5</v>
      </c>
      <c r="AG1529" s="50">
        <v>1</v>
      </c>
      <c r="AH1529" s="50">
        <v>2</v>
      </c>
      <c r="AI1529" s="50">
        <v>3</v>
      </c>
      <c r="AJ1529" s="50">
        <v>4</v>
      </c>
      <c r="AK1529" s="46" t="s">
        <v>94</v>
      </c>
      <c r="AL1529" s="36"/>
      <c r="AM1529" t="str">
        <f t="shared" si="95"/>
        <v>0-1000</v>
      </c>
    </row>
    <row r="1530" spans="1:39" x14ac:dyDescent="0.2">
      <c r="A1530" s="44">
        <v>43760</v>
      </c>
      <c r="B1530" s="48"/>
      <c r="C1530" s="48"/>
      <c r="D1530" s="48" t="s">
        <v>150</v>
      </c>
      <c r="E1530" s="13">
        <v>2</v>
      </c>
      <c r="F1530" s="38" t="str">
        <f>VLOOKUP(E1530,[6]Key!$A$17:$B$21,2,FALSE)</f>
        <v>Road Vehicle</v>
      </c>
      <c r="G1530" s="49">
        <v>3</v>
      </c>
      <c r="H1530" s="39" t="str">
        <f>VLOOKUP(G1530,[6]Key!$A$2:$B$14,2,FALSE)</f>
        <v>Pickups</v>
      </c>
      <c r="I1530" s="13" t="s">
        <v>109</v>
      </c>
      <c r="J1530" s="13">
        <v>3</v>
      </c>
      <c r="K1530" s="40" t="str">
        <f>VLOOKUP(J1530,[6]Key!$A$24:$B$29,2,FALSE)</f>
        <v>40-49</v>
      </c>
      <c r="L1530" s="55" t="s">
        <v>819</v>
      </c>
      <c r="M1530" s="23" t="s">
        <v>819</v>
      </c>
      <c r="N1530" s="13" t="s">
        <v>820</v>
      </c>
      <c r="O1530" s="46">
        <v>1</v>
      </c>
      <c r="P1530" s="30" t="str">
        <f>VLOOKUP(O1530,[6]Key!$E$2:$F$9,2,FALSE)</f>
        <v>Home</v>
      </c>
      <c r="Q1530" s="13" t="s">
        <v>830</v>
      </c>
      <c r="R1530" s="23" t="s">
        <v>832</v>
      </c>
      <c r="S1530" s="13" t="s">
        <v>820</v>
      </c>
      <c r="T1530" s="23">
        <v>2</v>
      </c>
      <c r="U1530" s="30" t="str">
        <f>VLOOKUP(T1530,[6]Key!$E$2:$F$9,2,FALSE)</f>
        <v>Work</v>
      </c>
      <c r="V1530" s="30" t="str">
        <f t="shared" si="92"/>
        <v>Home-Work</v>
      </c>
      <c r="W1530" s="41">
        <v>10000</v>
      </c>
      <c r="X1530" s="50">
        <v>100</v>
      </c>
      <c r="Y1530" s="50" t="str">
        <f t="shared" si="93"/>
        <v>100-200</v>
      </c>
      <c r="Z1530" s="50">
        <v>3</v>
      </c>
      <c r="AA1530" s="50" t="str">
        <f t="shared" si="94"/>
        <v>2.0-3.5</v>
      </c>
      <c r="AB1530" s="23">
        <v>2</v>
      </c>
      <c r="AC1530" s="30" t="str">
        <f>VLOOKUP(AB1530,[6]Key!$C$20:$D$29,2,FALSE)</f>
        <v>Manual Labour</v>
      </c>
      <c r="AD1530" s="23">
        <v>2</v>
      </c>
      <c r="AE1530" s="30" t="str">
        <f>VLOOKUP(AD1530,[6]Key!$E$20:$F$24,2,FALSE)</f>
        <v>300,000-500,000</v>
      </c>
      <c r="AF1530" s="23">
        <v>3</v>
      </c>
      <c r="AG1530" s="50">
        <v>1</v>
      </c>
      <c r="AH1530" s="50">
        <v>2</v>
      </c>
      <c r="AI1530" s="50">
        <v>5</v>
      </c>
      <c r="AJ1530" s="50">
        <v>4</v>
      </c>
      <c r="AK1530" s="46" t="s">
        <v>94</v>
      </c>
      <c r="AL1530" s="36">
        <v>1000</v>
      </c>
      <c r="AM1530" t="str">
        <f t="shared" si="95"/>
        <v>1000-2000</v>
      </c>
    </row>
    <row r="1531" spans="1:39" x14ac:dyDescent="0.2">
      <c r="A1531" s="44">
        <v>43761</v>
      </c>
      <c r="B1531" s="48">
        <v>0.30486111111111108</v>
      </c>
      <c r="C1531" s="48"/>
      <c r="D1531" s="48" t="s">
        <v>150</v>
      </c>
      <c r="E1531" s="13">
        <v>2</v>
      </c>
      <c r="F1531" s="38" t="str">
        <f>VLOOKUP(E1531,[6]Key!$A$17:$B$21,2,FALSE)</f>
        <v>Road Vehicle</v>
      </c>
      <c r="G1531" s="49">
        <v>2</v>
      </c>
      <c r="H1531" s="39" t="str">
        <f>VLOOKUP(G1531,[6]Key!$A$2:$B$14,2,FALSE)</f>
        <v>Station Wagon</v>
      </c>
      <c r="I1531" s="13" t="s">
        <v>156</v>
      </c>
      <c r="J1531" s="13">
        <v>3</v>
      </c>
      <c r="K1531" s="40" t="str">
        <f>VLOOKUP(J1531,[6]Key!$A$24:$B$29,2,FALSE)</f>
        <v>40-49</v>
      </c>
      <c r="L1531" s="55" t="s">
        <v>819</v>
      </c>
      <c r="M1531" s="23" t="s">
        <v>819</v>
      </c>
      <c r="N1531" s="13" t="s">
        <v>820</v>
      </c>
      <c r="O1531" s="46">
        <v>1</v>
      </c>
      <c r="P1531" s="30" t="str">
        <f>VLOOKUP(O1531,[6]Key!$E$2:$F$9,2,FALSE)</f>
        <v>Home</v>
      </c>
      <c r="Q1531" s="13" t="s">
        <v>283</v>
      </c>
      <c r="R1531" s="23" t="s">
        <v>283</v>
      </c>
      <c r="S1531" s="13" t="s">
        <v>820</v>
      </c>
      <c r="T1531" s="23">
        <v>4</v>
      </c>
      <c r="U1531" s="30" t="str">
        <f>VLOOKUP(T1531,[6]Key!$E$2:$F$9,2,FALSE)</f>
        <v>Commercial</v>
      </c>
      <c r="V1531" s="30" t="str">
        <f t="shared" si="92"/>
        <v>Home-Commercial</v>
      </c>
      <c r="W1531" s="41">
        <v>15000</v>
      </c>
      <c r="X1531" s="50"/>
      <c r="Y1531" s="50" t="str">
        <f t="shared" si="93"/>
        <v>0-10</v>
      </c>
      <c r="Z1531" s="50">
        <v>1.5</v>
      </c>
      <c r="AA1531" s="50" t="str">
        <f t="shared" si="94"/>
        <v>1.0-2.0</v>
      </c>
      <c r="AB1531" s="23">
        <v>6</v>
      </c>
      <c r="AC1531" s="30" t="str">
        <f>VLOOKUP(AB1531,[6]Key!$C$20:$D$29,2,FALSE)</f>
        <v>Businessman</v>
      </c>
      <c r="AD1531" s="23">
        <v>5</v>
      </c>
      <c r="AE1531" s="30" t="str">
        <f>VLOOKUP(AD1531,[6]Key!$E$20:$F$24,2,FALSE)</f>
        <v>&gt;1,000,000</v>
      </c>
      <c r="AF1531" s="23">
        <v>5</v>
      </c>
      <c r="AG1531" s="50">
        <v>4</v>
      </c>
      <c r="AH1531" s="50">
        <v>1</v>
      </c>
      <c r="AI1531" s="50">
        <v>2</v>
      </c>
      <c r="AJ1531" s="50">
        <v>3</v>
      </c>
      <c r="AK1531" s="46" t="s">
        <v>94</v>
      </c>
      <c r="AL1531" s="36">
        <v>5000</v>
      </c>
      <c r="AM1531" t="str">
        <f t="shared" si="95"/>
        <v>5000-10000</v>
      </c>
    </row>
    <row r="1532" spans="1:39" x14ac:dyDescent="0.2">
      <c r="A1532" s="44">
        <v>43761</v>
      </c>
      <c r="B1532" s="48">
        <v>0.3263888888888889</v>
      </c>
      <c r="C1532" s="48"/>
      <c r="D1532" s="48" t="s">
        <v>150</v>
      </c>
      <c r="E1532" s="13">
        <v>2</v>
      </c>
      <c r="F1532" s="38" t="str">
        <f>VLOOKUP(E1532,[6]Key!$A$17:$B$21,2,FALSE)</f>
        <v>Road Vehicle</v>
      </c>
      <c r="G1532" s="49">
        <v>2</v>
      </c>
      <c r="H1532" s="39" t="str">
        <f>VLOOKUP(G1532,[6]Key!$A$2:$B$14,2,FALSE)</f>
        <v>Station Wagon</v>
      </c>
      <c r="I1532" s="13" t="s">
        <v>156</v>
      </c>
      <c r="J1532" s="13">
        <v>3</v>
      </c>
      <c r="K1532" s="40" t="str">
        <f>VLOOKUP(J1532,[6]Key!$A$24:$B$29,2,FALSE)</f>
        <v>40-49</v>
      </c>
      <c r="L1532" s="55" t="s">
        <v>819</v>
      </c>
      <c r="M1532" s="23" t="s">
        <v>819</v>
      </c>
      <c r="N1532" s="13" t="s">
        <v>820</v>
      </c>
      <c r="O1532" s="46">
        <v>1</v>
      </c>
      <c r="P1532" s="30" t="str">
        <f>VLOOKUP(O1532,[6]Key!$E$2:$F$9,2,FALSE)</f>
        <v>Home</v>
      </c>
      <c r="Q1532" s="13" t="s">
        <v>404</v>
      </c>
      <c r="R1532" s="23" t="s">
        <v>404</v>
      </c>
      <c r="S1532" s="13"/>
      <c r="T1532" s="23">
        <v>2</v>
      </c>
      <c r="U1532" s="30" t="str">
        <f>VLOOKUP(T1532,[6]Key!$E$2:$F$9,2,FALSE)</f>
        <v>Work</v>
      </c>
      <c r="V1532" s="30" t="str">
        <f t="shared" si="92"/>
        <v>Home-Work</v>
      </c>
      <c r="W1532" s="41">
        <v>25000</v>
      </c>
      <c r="X1532" s="50"/>
      <c r="Y1532" s="50" t="str">
        <f t="shared" si="93"/>
        <v>0-10</v>
      </c>
      <c r="Z1532" s="50">
        <v>9</v>
      </c>
      <c r="AA1532" s="50" t="str">
        <f t="shared" si="94"/>
        <v>Over 3.5</v>
      </c>
      <c r="AB1532" s="23">
        <v>5</v>
      </c>
      <c r="AC1532" s="30" t="str">
        <f>VLOOKUP(AB1532,[6]Key!$C$20:$D$29,2,FALSE)</f>
        <v>Professional</v>
      </c>
      <c r="AD1532" s="23">
        <v>4</v>
      </c>
      <c r="AE1532" s="30" t="str">
        <f>VLOOKUP(AD1532,[6]Key!$E$20:$F$24,2,FALSE)</f>
        <v>750,000-1,000,000</v>
      </c>
      <c r="AF1532" s="23">
        <v>1</v>
      </c>
      <c r="AG1532" s="50">
        <v>5</v>
      </c>
      <c r="AH1532" s="50">
        <v>2</v>
      </c>
      <c r="AI1532" s="50">
        <v>3</v>
      </c>
      <c r="AJ1532" s="50">
        <v>4</v>
      </c>
      <c r="AK1532" s="46" t="s">
        <v>94</v>
      </c>
      <c r="AL1532" s="36">
        <v>10000</v>
      </c>
      <c r="AM1532" t="str">
        <f t="shared" si="95"/>
        <v>Over 10000</v>
      </c>
    </row>
    <row r="1533" spans="1:39" x14ac:dyDescent="0.2">
      <c r="A1533" s="44">
        <v>43759</v>
      </c>
      <c r="B1533" s="48"/>
      <c r="C1533" s="48"/>
      <c r="D1533" s="48" t="s">
        <v>97</v>
      </c>
      <c r="E1533" s="13">
        <v>2</v>
      </c>
      <c r="F1533" s="38" t="str">
        <f>VLOOKUP(E1533,[6]Key!$A$17:$B$21,2,FALSE)</f>
        <v>Road Vehicle</v>
      </c>
      <c r="G1533" s="49">
        <v>2</v>
      </c>
      <c r="H1533" s="39" t="str">
        <f>VLOOKUP(G1533,[6]Key!$A$2:$B$14,2,FALSE)</f>
        <v>Station Wagon</v>
      </c>
      <c r="I1533" s="13" t="s">
        <v>156</v>
      </c>
      <c r="J1533" s="13">
        <v>3</v>
      </c>
      <c r="K1533" s="40" t="str">
        <f>VLOOKUP(J1533,[6]Key!$A$24:$B$29,2,FALSE)</f>
        <v>40-49</v>
      </c>
      <c r="L1533" s="55" t="s">
        <v>819</v>
      </c>
      <c r="M1533" s="23" t="s">
        <v>819</v>
      </c>
      <c r="N1533" s="13" t="s">
        <v>820</v>
      </c>
      <c r="O1533" s="46">
        <v>1</v>
      </c>
      <c r="P1533" s="30" t="str">
        <f>VLOOKUP(O1533,[6]Key!$E$2:$F$9,2,FALSE)</f>
        <v>Home</v>
      </c>
      <c r="Q1533" s="13" t="s">
        <v>838</v>
      </c>
      <c r="R1533" s="23" t="s">
        <v>832</v>
      </c>
      <c r="S1533" s="13" t="s">
        <v>820</v>
      </c>
      <c r="T1533" s="23">
        <v>2</v>
      </c>
      <c r="U1533" s="30" t="str">
        <f>VLOOKUP(T1533,[6]Key!$E$2:$F$9,2,FALSE)</f>
        <v>Work</v>
      </c>
      <c r="V1533" s="30" t="str">
        <f t="shared" si="92"/>
        <v>Home-Work</v>
      </c>
      <c r="W1533" s="41">
        <v>130000</v>
      </c>
      <c r="X1533" s="50">
        <v>80</v>
      </c>
      <c r="Y1533" s="50" t="str">
        <f t="shared" si="93"/>
        <v>70-100</v>
      </c>
      <c r="Z1533" s="50">
        <v>1.5</v>
      </c>
      <c r="AA1533" s="50" t="str">
        <f t="shared" si="94"/>
        <v>1.0-2.0</v>
      </c>
      <c r="AB1533" s="23">
        <v>2</v>
      </c>
      <c r="AC1533" s="30" t="str">
        <f>VLOOKUP(AB1533,[6]Key!$C$20:$D$29,2,FALSE)</f>
        <v>Manual Labour</v>
      </c>
      <c r="AD1533" s="23">
        <v>2</v>
      </c>
      <c r="AE1533" s="30" t="str">
        <f>VLOOKUP(AD1533,[6]Key!$E$20:$F$24,2,FALSE)</f>
        <v>300,000-500,000</v>
      </c>
      <c r="AF1533" s="23"/>
      <c r="AG1533" s="50"/>
      <c r="AH1533" s="50"/>
      <c r="AI1533" s="50"/>
      <c r="AJ1533" s="50"/>
      <c r="AK1533" s="46" t="s">
        <v>94</v>
      </c>
      <c r="AL1533" s="36"/>
      <c r="AM1533" t="str">
        <f t="shared" si="95"/>
        <v>0-1000</v>
      </c>
    </row>
    <row r="1534" spans="1:39" x14ac:dyDescent="0.2">
      <c r="A1534" s="44">
        <v>43761</v>
      </c>
      <c r="B1534" s="48">
        <v>0.30902777777777779</v>
      </c>
      <c r="C1534" s="48"/>
      <c r="D1534" s="48" t="s">
        <v>97</v>
      </c>
      <c r="E1534" s="13">
        <v>2</v>
      </c>
      <c r="F1534" s="38" t="str">
        <f>VLOOKUP(E1534,[6]Key!$A$17:$B$21,2,FALSE)</f>
        <v>Road Vehicle</v>
      </c>
      <c r="G1534" s="49">
        <v>2</v>
      </c>
      <c r="H1534" s="39" t="str">
        <f>VLOOKUP(G1534,[6]Key!$A$2:$B$14,2,FALSE)</f>
        <v>Station Wagon</v>
      </c>
      <c r="I1534" s="13" t="s">
        <v>156</v>
      </c>
      <c r="J1534" s="13">
        <v>3</v>
      </c>
      <c r="K1534" s="40" t="str">
        <f>VLOOKUP(J1534,[6]Key!$A$24:$B$29,2,FALSE)</f>
        <v>40-49</v>
      </c>
      <c r="L1534" s="55" t="s">
        <v>819</v>
      </c>
      <c r="M1534" s="23" t="s">
        <v>819</v>
      </c>
      <c r="N1534" s="13" t="s">
        <v>820</v>
      </c>
      <c r="O1534" s="46">
        <v>4</v>
      </c>
      <c r="P1534" s="30" t="str">
        <f>VLOOKUP(O1534,[6]Key!$E$2:$F$9,2,FALSE)</f>
        <v>Commercial</v>
      </c>
      <c r="Q1534" s="13" t="s">
        <v>404</v>
      </c>
      <c r="R1534" s="23" t="s">
        <v>404</v>
      </c>
      <c r="S1534" s="13" t="s">
        <v>820</v>
      </c>
      <c r="T1534" s="23">
        <v>4</v>
      </c>
      <c r="U1534" s="30" t="str">
        <f>VLOOKUP(T1534,[6]Key!$E$2:$F$9,2,FALSE)</f>
        <v>Commercial</v>
      </c>
      <c r="V1534" s="30" t="str">
        <f t="shared" si="92"/>
        <v>Commercial-Commercial</v>
      </c>
      <c r="W1534" s="41">
        <v>750000</v>
      </c>
      <c r="X1534" s="50"/>
      <c r="Y1534" s="50" t="str">
        <f t="shared" si="93"/>
        <v>0-10</v>
      </c>
      <c r="Z1534" s="50">
        <v>9</v>
      </c>
      <c r="AA1534" s="50" t="str">
        <f t="shared" si="94"/>
        <v>Over 3.5</v>
      </c>
      <c r="AB1534" s="23">
        <v>10</v>
      </c>
      <c r="AC1534" s="30" t="str">
        <f>VLOOKUP(AB1534,[6]Key!$C$20:$D$29,2,FALSE)</f>
        <v>Other</v>
      </c>
      <c r="AD1534" s="23">
        <v>5</v>
      </c>
      <c r="AE1534" s="30" t="str">
        <f>VLOOKUP(AD1534,[6]Key!$E$20:$F$24,2,FALSE)</f>
        <v>&gt;1,000,000</v>
      </c>
      <c r="AF1534" s="23">
        <v>3</v>
      </c>
      <c r="AG1534" s="50">
        <v>2</v>
      </c>
      <c r="AH1534" s="50">
        <v>1</v>
      </c>
      <c r="AI1534" s="50">
        <v>4</v>
      </c>
      <c r="AJ1534" s="50">
        <v>5</v>
      </c>
      <c r="AK1534" s="46" t="s">
        <v>94</v>
      </c>
      <c r="AL1534" s="36">
        <v>10000</v>
      </c>
      <c r="AM1534" t="str">
        <f t="shared" si="95"/>
        <v>Over 10000</v>
      </c>
    </row>
    <row r="1535" spans="1:39" x14ac:dyDescent="0.2">
      <c r="A1535" s="44">
        <v>43759</v>
      </c>
      <c r="B1535" s="48">
        <v>0.67708333333333337</v>
      </c>
      <c r="C1535" s="48"/>
      <c r="D1535" s="48" t="s">
        <v>97</v>
      </c>
      <c r="E1535" s="13">
        <v>2</v>
      </c>
      <c r="F1535" s="38" t="str">
        <f>VLOOKUP(E1535,[6]Key!$A$17:$B$21,2,FALSE)</f>
        <v>Road Vehicle</v>
      </c>
      <c r="G1535" s="49">
        <v>1</v>
      </c>
      <c r="H1535" s="39" t="str">
        <f>VLOOKUP(G1535,[6]Key!$A$2:$B$14,2,FALSE)</f>
        <v>Car</v>
      </c>
      <c r="I1535" s="13" t="s">
        <v>156</v>
      </c>
      <c r="J1535" s="13">
        <v>4</v>
      </c>
      <c r="K1535" s="40" t="str">
        <f>VLOOKUP(J1535,[6]Key!$A$24:$B$29,2,FALSE)</f>
        <v>50-59</v>
      </c>
      <c r="L1535" s="55" t="s">
        <v>889</v>
      </c>
      <c r="M1535" s="23"/>
      <c r="N1535" s="13" t="s">
        <v>820</v>
      </c>
      <c r="O1535" s="46">
        <v>2</v>
      </c>
      <c r="P1535" s="30" t="str">
        <f>VLOOKUP(O1535,[6]Key!$E$2:$F$9,2,FALSE)</f>
        <v>Work</v>
      </c>
      <c r="Q1535" s="13" t="s">
        <v>890</v>
      </c>
      <c r="R1535" s="23"/>
      <c r="S1535" s="13" t="s">
        <v>820</v>
      </c>
      <c r="T1535" s="23">
        <v>2</v>
      </c>
      <c r="U1535" s="30" t="str">
        <f>VLOOKUP(T1535,[6]Key!$E$2:$F$9,2,FALSE)</f>
        <v>Work</v>
      </c>
      <c r="V1535" s="30" t="str">
        <f t="shared" si="92"/>
        <v>Work-Work</v>
      </c>
      <c r="W1535" s="41">
        <v>10000</v>
      </c>
      <c r="X1535" s="50">
        <v>4</v>
      </c>
      <c r="Y1535" s="50" t="str">
        <f t="shared" si="93"/>
        <v>0-10</v>
      </c>
      <c r="Z1535" s="50">
        <v>2</v>
      </c>
      <c r="AA1535" s="50" t="str">
        <f t="shared" si="94"/>
        <v>2.0-3.5</v>
      </c>
      <c r="AB1535" s="23">
        <v>6</v>
      </c>
      <c r="AC1535" s="30" t="str">
        <f>VLOOKUP(AB1535,[6]Key!$C$20:$D$29,2,FALSE)</f>
        <v>Businessman</v>
      </c>
      <c r="AD1535" s="23">
        <v>1</v>
      </c>
      <c r="AE1535" s="30" t="str">
        <f>VLOOKUP(AD1535,[6]Key!$E$20:$F$24,2,FALSE)</f>
        <v>&lt;300,000</v>
      </c>
      <c r="AF1535" s="23"/>
      <c r="AG1535" s="50"/>
      <c r="AH1535" s="50"/>
      <c r="AI1535" s="50"/>
      <c r="AJ1535" s="50"/>
      <c r="AK1535" s="46" t="s">
        <v>94</v>
      </c>
      <c r="AL1535" s="36"/>
      <c r="AM1535" t="str">
        <f t="shared" si="95"/>
        <v>0-1000</v>
      </c>
    </row>
    <row r="1536" spans="1:39" x14ac:dyDescent="0.2">
      <c r="A1536" s="44">
        <v>43760</v>
      </c>
      <c r="B1536" s="48">
        <v>0.45555555555555555</v>
      </c>
      <c r="C1536" s="48"/>
      <c r="D1536" s="48" t="s">
        <v>150</v>
      </c>
      <c r="E1536" s="13">
        <v>2</v>
      </c>
      <c r="F1536" s="38" t="str">
        <f>VLOOKUP(E1536,[6]Key!$A$17:$B$21,2,FALSE)</f>
        <v>Road Vehicle</v>
      </c>
      <c r="G1536" s="49">
        <v>1</v>
      </c>
      <c r="H1536" s="39" t="str">
        <f>VLOOKUP(G1536,[6]Key!$A$2:$B$14,2,FALSE)</f>
        <v>Car</v>
      </c>
      <c r="I1536" s="13" t="s">
        <v>109</v>
      </c>
      <c r="J1536" s="13">
        <v>4</v>
      </c>
      <c r="K1536" s="40" t="str">
        <f>VLOOKUP(J1536,[6]Key!$A$24:$B$29,2,FALSE)</f>
        <v>50-59</v>
      </c>
      <c r="L1536" s="55" t="s">
        <v>860</v>
      </c>
      <c r="M1536" s="23" t="s">
        <v>819</v>
      </c>
      <c r="N1536" s="13" t="s">
        <v>820</v>
      </c>
      <c r="O1536" s="46">
        <v>1</v>
      </c>
      <c r="P1536" s="30" t="str">
        <f>VLOOKUP(O1536,[6]Key!$E$2:$F$9,2,FALSE)</f>
        <v>Home</v>
      </c>
      <c r="Q1536" s="13" t="s">
        <v>891</v>
      </c>
      <c r="R1536" s="23" t="s">
        <v>819</v>
      </c>
      <c r="S1536" s="13" t="s">
        <v>820</v>
      </c>
      <c r="T1536" s="23">
        <v>2</v>
      </c>
      <c r="U1536" s="30" t="str">
        <f>VLOOKUP(T1536,[6]Key!$E$2:$F$9,2,FALSE)</f>
        <v>Work</v>
      </c>
      <c r="V1536" s="30" t="str">
        <f t="shared" si="92"/>
        <v>Home-Work</v>
      </c>
      <c r="W1536" s="41">
        <v>2000</v>
      </c>
      <c r="X1536" s="50">
        <v>2</v>
      </c>
      <c r="Y1536" s="50" t="str">
        <f t="shared" si="93"/>
        <v>0-10</v>
      </c>
      <c r="Z1536" s="50">
        <v>0.3</v>
      </c>
      <c r="AA1536" s="50" t="str">
        <f t="shared" si="94"/>
        <v>0-0.5</v>
      </c>
      <c r="AB1536" s="23">
        <v>7</v>
      </c>
      <c r="AC1536" s="30" t="str">
        <f>VLOOKUP(AB1536,[6]Key!$C$20:$D$29,2,FALSE)</f>
        <v>Farmer</v>
      </c>
      <c r="AD1536" s="23">
        <v>1</v>
      </c>
      <c r="AE1536" s="30" t="str">
        <f>VLOOKUP(AD1536,[6]Key!$E$20:$F$24,2,FALSE)</f>
        <v>&lt;300,000</v>
      </c>
      <c r="AF1536" s="23">
        <v>1</v>
      </c>
      <c r="AG1536" s="50">
        <v>2</v>
      </c>
      <c r="AH1536" s="50">
        <v>3</v>
      </c>
      <c r="AI1536" s="50">
        <v>4</v>
      </c>
      <c r="AJ1536" s="50">
        <v>5</v>
      </c>
      <c r="AK1536" s="46" t="s">
        <v>94</v>
      </c>
      <c r="AL1536" s="36">
        <v>1000</v>
      </c>
      <c r="AM1536" t="str">
        <f t="shared" si="95"/>
        <v>1000-2000</v>
      </c>
    </row>
    <row r="1537" spans="1:39" x14ac:dyDescent="0.2">
      <c r="A1537" s="44">
        <v>43759</v>
      </c>
      <c r="B1537" s="48"/>
      <c r="C1537" s="48"/>
      <c r="D1537" s="48" t="s">
        <v>150</v>
      </c>
      <c r="E1537" s="13">
        <v>2</v>
      </c>
      <c r="F1537" s="38" t="str">
        <f>VLOOKUP(E1537,[6]Key!$A$17:$B$21,2,FALSE)</f>
        <v>Road Vehicle</v>
      </c>
      <c r="G1537" s="49">
        <v>6</v>
      </c>
      <c r="H1537" s="39" t="str">
        <f>VLOOKUP(G1537,[6]Key!$A$2:$B$14,2,FALSE)</f>
        <v>Large Bus</v>
      </c>
      <c r="I1537" s="13" t="s">
        <v>156</v>
      </c>
      <c r="J1537" s="13">
        <v>4</v>
      </c>
      <c r="K1537" s="40" t="str">
        <f>VLOOKUP(J1537,[6]Key!$A$24:$B$29,2,FALSE)</f>
        <v>50-59</v>
      </c>
      <c r="L1537" s="55" t="s">
        <v>819</v>
      </c>
      <c r="M1537" s="23" t="s">
        <v>819</v>
      </c>
      <c r="N1537" s="13" t="s">
        <v>820</v>
      </c>
      <c r="O1537" s="46">
        <v>1</v>
      </c>
      <c r="P1537" s="30" t="str">
        <f>VLOOKUP(O1537,[6]Key!$E$2:$F$9,2,FALSE)</f>
        <v>Home</v>
      </c>
      <c r="Q1537" s="13" t="s">
        <v>404</v>
      </c>
      <c r="R1537" s="23" t="s">
        <v>404</v>
      </c>
      <c r="S1537" s="13" t="s">
        <v>820</v>
      </c>
      <c r="T1537" s="23">
        <v>6</v>
      </c>
      <c r="U1537" s="30" t="str">
        <f>VLOOKUP(T1537,[6]Key!$E$2:$F$9,2,FALSE)</f>
        <v>Leisure/Social</v>
      </c>
      <c r="V1537" s="30" t="str">
        <f t="shared" si="92"/>
        <v>Home-Leisure/Social</v>
      </c>
      <c r="W1537" s="41">
        <v>20000</v>
      </c>
      <c r="X1537" s="50"/>
      <c r="Y1537" s="50" t="str">
        <f t="shared" si="93"/>
        <v>0-10</v>
      </c>
      <c r="Z1537" s="50">
        <v>8</v>
      </c>
      <c r="AA1537" s="50" t="str">
        <f t="shared" si="94"/>
        <v>Over 3.5</v>
      </c>
      <c r="AB1537" s="23">
        <v>6</v>
      </c>
      <c r="AC1537" s="30" t="str">
        <f>VLOOKUP(AB1537,[6]Key!$C$20:$D$29,2,FALSE)</f>
        <v>Businessman</v>
      </c>
      <c r="AD1537" s="23">
        <v>1</v>
      </c>
      <c r="AE1537" s="30" t="str">
        <f>VLOOKUP(AD1537,[6]Key!$E$20:$F$24,2,FALSE)</f>
        <v>&lt;300,000</v>
      </c>
      <c r="AF1537" s="23">
        <v>1</v>
      </c>
      <c r="AG1537" s="50">
        <v>3</v>
      </c>
      <c r="AH1537" s="50">
        <v>5</v>
      </c>
      <c r="AI1537" s="50">
        <v>4</v>
      </c>
      <c r="AJ1537" s="50">
        <v>2</v>
      </c>
      <c r="AK1537" s="46" t="s">
        <v>94</v>
      </c>
      <c r="AL1537" s="36">
        <v>2500</v>
      </c>
      <c r="AM1537" t="str">
        <f t="shared" si="95"/>
        <v>2000-3000</v>
      </c>
    </row>
    <row r="1538" spans="1:39" x14ac:dyDescent="0.2">
      <c r="A1538" s="44">
        <v>43759</v>
      </c>
      <c r="B1538" s="48"/>
      <c r="C1538" s="48"/>
      <c r="D1538" s="48" t="s">
        <v>150</v>
      </c>
      <c r="E1538" s="13">
        <v>2</v>
      </c>
      <c r="F1538" s="38" t="str">
        <f>VLOOKUP(E1538,[6]Key!$A$17:$B$21,2,FALSE)</f>
        <v>Road Vehicle</v>
      </c>
      <c r="G1538" s="49">
        <v>6</v>
      </c>
      <c r="H1538" s="39" t="str">
        <f>VLOOKUP(G1538,[6]Key!$A$2:$B$14,2,FALSE)</f>
        <v>Large Bus</v>
      </c>
      <c r="I1538" s="13" t="s">
        <v>109</v>
      </c>
      <c r="J1538" s="13">
        <v>4</v>
      </c>
      <c r="K1538" s="40" t="str">
        <f>VLOOKUP(J1538,[6]Key!$A$24:$B$29,2,FALSE)</f>
        <v>50-59</v>
      </c>
      <c r="L1538" s="55" t="s">
        <v>819</v>
      </c>
      <c r="M1538" s="23" t="s">
        <v>819</v>
      </c>
      <c r="N1538" s="13" t="s">
        <v>820</v>
      </c>
      <c r="O1538" s="46">
        <v>1</v>
      </c>
      <c r="P1538" s="30" t="str">
        <f>VLOOKUP(O1538,[6]Key!$E$2:$F$9,2,FALSE)</f>
        <v>Home</v>
      </c>
      <c r="Q1538" s="13" t="s">
        <v>283</v>
      </c>
      <c r="R1538" s="23" t="s">
        <v>283</v>
      </c>
      <c r="S1538" s="13" t="s">
        <v>820</v>
      </c>
      <c r="T1538" s="23">
        <v>2</v>
      </c>
      <c r="U1538" s="30" t="str">
        <f>VLOOKUP(T1538,[6]Key!$E$2:$F$9,2,FALSE)</f>
        <v>Work</v>
      </c>
      <c r="V1538" s="30" t="str">
        <f t="shared" ref="V1538:V1552" si="96">P1538&amp;"-"&amp;U1538</f>
        <v>Home-Work</v>
      </c>
      <c r="W1538" s="41">
        <v>10000</v>
      </c>
      <c r="X1538" s="50">
        <v>80</v>
      </c>
      <c r="Y1538" s="50" t="str">
        <f t="shared" si="93"/>
        <v>70-100</v>
      </c>
      <c r="Z1538" s="50">
        <v>2</v>
      </c>
      <c r="AA1538" s="50" t="str">
        <f t="shared" si="94"/>
        <v>2.0-3.5</v>
      </c>
      <c r="AB1538" s="23">
        <v>2</v>
      </c>
      <c r="AC1538" s="30" t="str">
        <f>VLOOKUP(AB1538,[6]Key!$C$20:$D$29,2,FALSE)</f>
        <v>Manual Labour</v>
      </c>
      <c r="AD1538" s="23">
        <v>1</v>
      </c>
      <c r="AE1538" s="30" t="str">
        <f>VLOOKUP(AD1538,[6]Key!$E$20:$F$24,2,FALSE)</f>
        <v>&lt;300,000</v>
      </c>
      <c r="AF1538" s="23"/>
      <c r="AG1538" s="50"/>
      <c r="AH1538" s="50"/>
      <c r="AI1538" s="50"/>
      <c r="AJ1538" s="50"/>
      <c r="AK1538" s="46" t="s">
        <v>94</v>
      </c>
      <c r="AL1538" s="36">
        <v>1000</v>
      </c>
      <c r="AM1538" t="str">
        <f t="shared" si="95"/>
        <v>1000-2000</v>
      </c>
    </row>
    <row r="1539" spans="1:39" x14ac:dyDescent="0.2">
      <c r="A1539" s="44">
        <v>43760</v>
      </c>
      <c r="B1539" s="48">
        <v>0.63194444444444442</v>
      </c>
      <c r="C1539" s="48"/>
      <c r="D1539" s="48" t="s">
        <v>150</v>
      </c>
      <c r="E1539" s="13">
        <v>2</v>
      </c>
      <c r="F1539" s="38" t="str">
        <f>VLOOKUP(E1539,[6]Key!$A$17:$B$21,2,FALSE)</f>
        <v>Road Vehicle</v>
      </c>
      <c r="G1539" s="49">
        <v>6</v>
      </c>
      <c r="H1539" s="39" t="str">
        <f>VLOOKUP(G1539,[6]Key!$A$2:$B$14,2,FALSE)</f>
        <v>Large Bus</v>
      </c>
      <c r="I1539" s="13" t="s">
        <v>109</v>
      </c>
      <c r="J1539" s="13">
        <v>4</v>
      </c>
      <c r="K1539" s="40" t="str">
        <f>VLOOKUP(J1539,[6]Key!$A$24:$B$29,2,FALSE)</f>
        <v>50-59</v>
      </c>
      <c r="L1539" s="55" t="s">
        <v>864</v>
      </c>
      <c r="M1539" s="23" t="s">
        <v>819</v>
      </c>
      <c r="N1539" s="13" t="s">
        <v>820</v>
      </c>
      <c r="O1539" s="46">
        <v>7</v>
      </c>
      <c r="P1539" s="30" t="str">
        <f>VLOOKUP(O1539,[6]Key!$E$2:$F$9,2,FALSE)</f>
        <v>Hospital</v>
      </c>
      <c r="Q1539" s="13" t="s">
        <v>404</v>
      </c>
      <c r="R1539" s="23" t="s">
        <v>404</v>
      </c>
      <c r="S1539" s="13" t="s">
        <v>820</v>
      </c>
      <c r="T1539" s="23">
        <v>1</v>
      </c>
      <c r="U1539" s="30" t="str">
        <f>VLOOKUP(T1539,[6]Key!$E$2:$F$9,2,FALSE)</f>
        <v>Home</v>
      </c>
      <c r="V1539" s="30" t="str">
        <f t="shared" si="96"/>
        <v>Hospital-Home</v>
      </c>
      <c r="W1539" s="41">
        <v>30000</v>
      </c>
      <c r="X1539" s="50">
        <v>405</v>
      </c>
      <c r="Y1539" s="50" t="str">
        <f t="shared" ref="Y1539:Y1552" si="97">IF(X1539&lt;10,"0-10",IF(X1539&lt;20,"10-20",IF(X1539&lt;40,"20-40",IF(X1539&lt;70,"40-70",IF(X1539&lt;100,"70-100",IF(X1539&lt;200,"100-200","Over 200"))))))</f>
        <v>Over 200</v>
      </c>
      <c r="Z1539" s="50">
        <v>7.5</v>
      </c>
      <c r="AA1539" s="50" t="str">
        <f t="shared" ref="AA1539:AA1552" si="98">IF(Z1539&lt;0.5,"0-0.5",IF(Z1539&lt;1,"0.5-1.0",IF(Z1539&lt;2,"1.0-2.0",IF(Z1539&lt;3.5,"2.0-3.5","Over 3.5"))))</f>
        <v>Over 3.5</v>
      </c>
      <c r="AB1539" s="23">
        <v>9</v>
      </c>
      <c r="AC1539" s="30" t="str">
        <f>VLOOKUP(AB1539,[6]Key!$C$20:$D$29,2,FALSE)</f>
        <v>Retired</v>
      </c>
      <c r="AD1539" s="23">
        <v>2</v>
      </c>
      <c r="AE1539" s="30" t="str">
        <f>VLOOKUP(AD1539,[6]Key!$E$20:$F$24,2,FALSE)</f>
        <v>300,000-500,000</v>
      </c>
      <c r="AF1539" s="23">
        <v>1</v>
      </c>
      <c r="AG1539" s="50">
        <v>2</v>
      </c>
      <c r="AH1539" s="50">
        <v>5</v>
      </c>
      <c r="AI1539" s="50">
        <v>3</v>
      </c>
      <c r="AJ1539" s="50">
        <v>4</v>
      </c>
      <c r="AK1539" s="46" t="s">
        <v>94</v>
      </c>
      <c r="AL1539" s="36"/>
      <c r="AM1539" t="str">
        <f t="shared" ref="AM1539:AM1552" si="99">IF(AL1539&lt;1000,"0-1000",IF(AL1539&lt;2000,"1000-2000",IF(AL1539&lt;3000,"2000-3000",IF(AL1539&lt;5000,"3000-5000",IF(AL1539&lt;10000,"5000-10000","Over 10000")))))</f>
        <v>0-1000</v>
      </c>
    </row>
    <row r="1540" spans="1:39" x14ac:dyDescent="0.2">
      <c r="A1540" s="44">
        <v>43760</v>
      </c>
      <c r="B1540" s="48"/>
      <c r="C1540" s="48"/>
      <c r="D1540" s="48" t="s">
        <v>97</v>
      </c>
      <c r="E1540" s="13">
        <v>2</v>
      </c>
      <c r="F1540" s="38" t="str">
        <f>VLOOKUP(E1540,[6]Key!$A$17:$B$21,2,FALSE)</f>
        <v>Road Vehicle</v>
      </c>
      <c r="G1540" s="49">
        <v>6</v>
      </c>
      <c r="H1540" s="39" t="str">
        <f>VLOOKUP(G1540,[6]Key!$A$2:$B$14,2,FALSE)</f>
        <v>Large Bus</v>
      </c>
      <c r="I1540" s="13" t="s">
        <v>109</v>
      </c>
      <c r="J1540" s="13">
        <v>4</v>
      </c>
      <c r="K1540" s="40" t="str">
        <f>VLOOKUP(J1540,[6]Key!$A$24:$B$29,2,FALSE)</f>
        <v>50-59</v>
      </c>
      <c r="L1540" s="55" t="s">
        <v>819</v>
      </c>
      <c r="M1540" s="23" t="s">
        <v>819</v>
      </c>
      <c r="N1540" s="13" t="s">
        <v>820</v>
      </c>
      <c r="O1540" s="46">
        <v>1</v>
      </c>
      <c r="P1540" s="30" t="str">
        <f>VLOOKUP(O1540,[6]Key!$E$2:$F$9,2,FALSE)</f>
        <v>Home</v>
      </c>
      <c r="Q1540" s="13" t="s">
        <v>404</v>
      </c>
      <c r="R1540" s="23" t="s">
        <v>404</v>
      </c>
      <c r="S1540" s="13" t="s">
        <v>820</v>
      </c>
      <c r="T1540" s="23">
        <v>2</v>
      </c>
      <c r="U1540" s="30" t="str">
        <f>VLOOKUP(T1540,[6]Key!$E$2:$F$9,2,FALSE)</f>
        <v>Work</v>
      </c>
      <c r="V1540" s="30" t="str">
        <f t="shared" si="96"/>
        <v>Home-Work</v>
      </c>
      <c r="W1540" s="41">
        <v>1200000</v>
      </c>
      <c r="X1540" s="50"/>
      <c r="Y1540" s="50" t="str">
        <f t="shared" si="97"/>
        <v>0-10</v>
      </c>
      <c r="Z1540" s="50">
        <v>8</v>
      </c>
      <c r="AA1540" s="50" t="str">
        <f t="shared" si="98"/>
        <v>Over 3.5</v>
      </c>
      <c r="AB1540" s="23">
        <v>2</v>
      </c>
      <c r="AC1540" s="30" t="str">
        <f>VLOOKUP(AB1540,[6]Key!$C$20:$D$29,2,FALSE)</f>
        <v>Manual Labour</v>
      </c>
      <c r="AD1540" s="23">
        <v>3</v>
      </c>
      <c r="AE1540" s="30" t="str">
        <f>VLOOKUP(AD1540,[6]Key!$E$20:$F$24,2,FALSE)</f>
        <v>500,000-750,000</v>
      </c>
      <c r="AF1540" s="23">
        <v>3</v>
      </c>
      <c r="AG1540" s="50">
        <v>4</v>
      </c>
      <c r="AH1540" s="50">
        <v>1</v>
      </c>
      <c r="AI1540" s="50">
        <v>5</v>
      </c>
      <c r="AJ1540" s="50">
        <v>4</v>
      </c>
      <c r="AK1540" s="46" t="s">
        <v>94</v>
      </c>
      <c r="AL1540" s="36">
        <v>5000</v>
      </c>
      <c r="AM1540" t="str">
        <f t="shared" si="99"/>
        <v>5000-10000</v>
      </c>
    </row>
    <row r="1541" spans="1:39" x14ac:dyDescent="0.2">
      <c r="A1541" s="44">
        <v>43761</v>
      </c>
      <c r="B1541" s="48">
        <v>0.61249999999999993</v>
      </c>
      <c r="C1541" s="48"/>
      <c r="D1541" s="48" t="s">
        <v>97</v>
      </c>
      <c r="E1541" s="13">
        <v>2</v>
      </c>
      <c r="F1541" s="38" t="str">
        <f>VLOOKUP(E1541,[6]Key!$A$17:$B$21,2,FALSE)</f>
        <v>Road Vehicle</v>
      </c>
      <c r="G1541" s="49">
        <v>6</v>
      </c>
      <c r="H1541" s="39" t="str">
        <f>VLOOKUP(G1541,[6]Key!$A$2:$B$14,2,FALSE)</f>
        <v>Large Bus</v>
      </c>
      <c r="I1541" s="13" t="s">
        <v>109</v>
      </c>
      <c r="J1541" s="13">
        <v>4</v>
      </c>
      <c r="K1541" s="40" t="str">
        <f>VLOOKUP(J1541,[6]Key!$A$24:$B$29,2,FALSE)</f>
        <v>50-59</v>
      </c>
      <c r="L1541" s="55" t="s">
        <v>882</v>
      </c>
      <c r="M1541" s="23" t="s">
        <v>819</v>
      </c>
      <c r="N1541" s="13" t="s">
        <v>820</v>
      </c>
      <c r="O1541" s="46">
        <v>1</v>
      </c>
      <c r="P1541" s="30" t="str">
        <f>VLOOKUP(O1541,[6]Key!$E$2:$F$9,2,FALSE)</f>
        <v>Home</v>
      </c>
      <c r="Q1541" s="13" t="s">
        <v>887</v>
      </c>
      <c r="R1541" s="23" t="s">
        <v>404</v>
      </c>
      <c r="S1541" s="13" t="s">
        <v>820</v>
      </c>
      <c r="T1541" s="23">
        <v>2</v>
      </c>
      <c r="U1541" s="30" t="str">
        <f>VLOOKUP(T1541,[6]Key!$E$2:$F$9,2,FALSE)</f>
        <v>Work</v>
      </c>
      <c r="V1541" s="30" t="str">
        <f t="shared" si="96"/>
        <v>Home-Work</v>
      </c>
      <c r="W1541" s="41">
        <v>600000</v>
      </c>
      <c r="X1541" s="50">
        <v>318</v>
      </c>
      <c r="Y1541" s="50" t="str">
        <f t="shared" si="97"/>
        <v>Over 200</v>
      </c>
      <c r="Z1541" s="50">
        <v>7</v>
      </c>
      <c r="AA1541" s="50" t="str">
        <f t="shared" si="98"/>
        <v>Over 3.5</v>
      </c>
      <c r="AB1541" s="23">
        <v>2</v>
      </c>
      <c r="AC1541" s="30" t="str">
        <f>VLOOKUP(AB1541,[6]Key!$C$20:$D$29,2,FALSE)</f>
        <v>Manual Labour</v>
      </c>
      <c r="AD1541" s="23">
        <v>4</v>
      </c>
      <c r="AE1541" s="30" t="str">
        <f>VLOOKUP(AD1541,[6]Key!$E$20:$F$24,2,FALSE)</f>
        <v>750,000-1,000,000</v>
      </c>
      <c r="AF1541" s="23">
        <v>2</v>
      </c>
      <c r="AG1541" s="50">
        <v>4</v>
      </c>
      <c r="AH1541" s="50">
        <v>3</v>
      </c>
      <c r="AI1541" s="50">
        <v>1</v>
      </c>
      <c r="AJ1541" s="50">
        <v>5</v>
      </c>
      <c r="AK1541" s="46" t="s">
        <v>94</v>
      </c>
      <c r="AL1541" s="36"/>
      <c r="AM1541" t="str">
        <f t="shared" si="99"/>
        <v>0-1000</v>
      </c>
    </row>
    <row r="1542" spans="1:39" x14ac:dyDescent="0.2">
      <c r="A1542" s="44">
        <v>43761</v>
      </c>
      <c r="B1542" s="48">
        <v>0.62083333333333335</v>
      </c>
      <c r="C1542" s="48"/>
      <c r="D1542" s="48" t="s">
        <v>97</v>
      </c>
      <c r="E1542" s="13">
        <v>2</v>
      </c>
      <c r="F1542" s="38" t="str">
        <f>VLOOKUP(E1542,[6]Key!$A$17:$B$21,2,FALSE)</f>
        <v>Road Vehicle</v>
      </c>
      <c r="G1542" s="49">
        <v>5</v>
      </c>
      <c r="H1542" s="39" t="str">
        <f>VLOOKUP(G1542,[6]Key!$A$2:$B$14,2,FALSE)</f>
        <v xml:space="preserve">Medium bus </v>
      </c>
      <c r="I1542" s="13" t="s">
        <v>109</v>
      </c>
      <c r="J1542" s="13">
        <v>4</v>
      </c>
      <c r="K1542" s="40" t="str">
        <f>VLOOKUP(J1542,[6]Key!$A$24:$B$29,2,FALSE)</f>
        <v>50-59</v>
      </c>
      <c r="L1542" s="55" t="s">
        <v>819</v>
      </c>
      <c r="M1542" s="23" t="s">
        <v>819</v>
      </c>
      <c r="N1542" s="13" t="s">
        <v>820</v>
      </c>
      <c r="O1542" s="46">
        <v>1</v>
      </c>
      <c r="P1542" s="30" t="str">
        <f>VLOOKUP(O1542,[6]Key!$E$2:$F$9,2,FALSE)</f>
        <v>Home</v>
      </c>
      <c r="Q1542" s="13" t="s">
        <v>404</v>
      </c>
      <c r="R1542" s="23" t="s">
        <v>404</v>
      </c>
      <c r="S1542" s="13" t="s">
        <v>820</v>
      </c>
      <c r="T1542" s="23">
        <v>2</v>
      </c>
      <c r="U1542" s="30" t="str">
        <f>VLOOKUP(T1542,[6]Key!$E$2:$F$9,2,FALSE)</f>
        <v>Work</v>
      </c>
      <c r="V1542" s="30" t="str">
        <f t="shared" si="96"/>
        <v>Home-Work</v>
      </c>
      <c r="W1542" s="41">
        <v>600000</v>
      </c>
      <c r="X1542" s="50">
        <v>380</v>
      </c>
      <c r="Y1542" s="50" t="str">
        <f t="shared" si="97"/>
        <v>Over 200</v>
      </c>
      <c r="Z1542" s="50">
        <v>8</v>
      </c>
      <c r="AA1542" s="50" t="str">
        <f t="shared" si="98"/>
        <v>Over 3.5</v>
      </c>
      <c r="AB1542" s="23">
        <v>5</v>
      </c>
      <c r="AC1542" s="30" t="str">
        <f>VLOOKUP(AB1542,[6]Key!$C$20:$D$29,2,FALSE)</f>
        <v>Professional</v>
      </c>
      <c r="AD1542" s="23">
        <v>4</v>
      </c>
      <c r="AE1542" s="30" t="str">
        <f>VLOOKUP(AD1542,[6]Key!$E$20:$F$24,2,FALSE)</f>
        <v>750,000-1,000,000</v>
      </c>
      <c r="AF1542" s="23">
        <v>3</v>
      </c>
      <c r="AG1542" s="50">
        <v>5</v>
      </c>
      <c r="AH1542" s="50">
        <v>4</v>
      </c>
      <c r="AI1542" s="50">
        <v>1</v>
      </c>
      <c r="AJ1542" s="50">
        <v>2</v>
      </c>
      <c r="AK1542" s="46" t="s">
        <v>94</v>
      </c>
      <c r="AL1542" s="36">
        <v>1000</v>
      </c>
      <c r="AM1542" t="str">
        <f t="shared" si="99"/>
        <v>1000-2000</v>
      </c>
    </row>
    <row r="1543" spans="1:39" x14ac:dyDescent="0.2">
      <c r="A1543" s="44">
        <v>43761</v>
      </c>
      <c r="B1543" s="48">
        <v>0.59305555555555556</v>
      </c>
      <c r="C1543" s="48"/>
      <c r="D1543" s="48" t="s">
        <v>97</v>
      </c>
      <c r="E1543" s="13">
        <v>2</v>
      </c>
      <c r="F1543" s="38" t="str">
        <f>VLOOKUP(E1543,[6]Key!$A$17:$B$21,2,FALSE)</f>
        <v>Road Vehicle</v>
      </c>
      <c r="G1543" s="49">
        <v>5</v>
      </c>
      <c r="H1543" s="39" t="str">
        <f>VLOOKUP(G1543,[6]Key!$A$2:$B$14,2,FALSE)</f>
        <v xml:space="preserve">Medium bus </v>
      </c>
      <c r="I1543" s="13" t="s">
        <v>109</v>
      </c>
      <c r="J1543" s="13">
        <v>4</v>
      </c>
      <c r="K1543" s="40" t="str">
        <f>VLOOKUP(J1543,[6]Key!$A$24:$B$29,2,FALSE)</f>
        <v>50-59</v>
      </c>
      <c r="L1543" s="55" t="s">
        <v>859</v>
      </c>
      <c r="M1543" s="23" t="s">
        <v>819</v>
      </c>
      <c r="N1543" s="13" t="s">
        <v>820</v>
      </c>
      <c r="O1543" s="46">
        <v>1</v>
      </c>
      <c r="P1543" s="30" t="str">
        <f>VLOOKUP(O1543,[6]Key!$E$2:$F$9,2,FALSE)</f>
        <v>Home</v>
      </c>
      <c r="Q1543" s="13" t="s">
        <v>855</v>
      </c>
      <c r="R1543" s="23" t="s">
        <v>283</v>
      </c>
      <c r="S1543" s="13" t="s">
        <v>820</v>
      </c>
      <c r="T1543" s="23">
        <v>6</v>
      </c>
      <c r="U1543" s="30" t="str">
        <f>VLOOKUP(T1543,[6]Key!$E$2:$F$9,2,FALSE)</f>
        <v>Leisure/Social</v>
      </c>
      <c r="V1543" s="30" t="str">
        <f t="shared" si="96"/>
        <v>Home-Leisure/Social</v>
      </c>
      <c r="W1543" s="41">
        <v>200000</v>
      </c>
      <c r="X1543" s="50">
        <v>120</v>
      </c>
      <c r="Y1543" s="50" t="str">
        <f t="shared" si="97"/>
        <v>100-200</v>
      </c>
      <c r="Z1543" s="50">
        <v>3.5</v>
      </c>
      <c r="AA1543" s="50" t="str">
        <f t="shared" si="98"/>
        <v>Over 3.5</v>
      </c>
      <c r="AB1543" s="23">
        <v>5</v>
      </c>
      <c r="AC1543" s="30" t="str">
        <f>VLOOKUP(AB1543,[6]Key!$C$20:$D$29,2,FALSE)</f>
        <v>Professional</v>
      </c>
      <c r="AD1543" s="23">
        <v>3</v>
      </c>
      <c r="AE1543" s="30" t="str">
        <f>VLOOKUP(AD1543,[6]Key!$E$20:$F$24,2,FALSE)</f>
        <v>500,000-750,000</v>
      </c>
      <c r="AF1543" s="23">
        <v>2</v>
      </c>
      <c r="AG1543" s="50">
        <v>1</v>
      </c>
      <c r="AH1543" s="50">
        <v>3</v>
      </c>
      <c r="AI1543" s="50">
        <v>5</v>
      </c>
      <c r="AJ1543" s="50">
        <v>4</v>
      </c>
      <c r="AK1543" s="46" t="s">
        <v>94</v>
      </c>
      <c r="AL1543" s="36">
        <v>5000</v>
      </c>
      <c r="AM1543" t="str">
        <f t="shared" si="99"/>
        <v>5000-10000</v>
      </c>
    </row>
    <row r="1544" spans="1:39" x14ac:dyDescent="0.2">
      <c r="A1544" s="44">
        <v>43759</v>
      </c>
      <c r="B1544" s="48">
        <v>0.62013888888888891</v>
      </c>
      <c r="C1544" s="48"/>
      <c r="D1544" s="48" t="s">
        <v>150</v>
      </c>
      <c r="E1544" s="13">
        <v>2</v>
      </c>
      <c r="F1544" s="38" t="str">
        <f>VLOOKUP(E1544,[6]Key!$A$17:$B$21,2,FALSE)</f>
        <v>Road Vehicle</v>
      </c>
      <c r="G1544" s="49">
        <v>4</v>
      </c>
      <c r="H1544" s="39" t="str">
        <f>VLOOKUP(G1544,[6]Key!$A$2:$B$14,2,FALSE)</f>
        <v>Minibus</v>
      </c>
      <c r="I1544" s="13" t="s">
        <v>109</v>
      </c>
      <c r="J1544" s="13">
        <v>4</v>
      </c>
      <c r="K1544" s="40" t="str">
        <f>VLOOKUP(J1544,[6]Key!$A$24:$B$29,2,FALSE)</f>
        <v>50-59</v>
      </c>
      <c r="L1544" s="55" t="s">
        <v>96</v>
      </c>
      <c r="M1544" s="23" t="s">
        <v>819</v>
      </c>
      <c r="N1544" s="13" t="s">
        <v>820</v>
      </c>
      <c r="O1544" s="46">
        <v>2</v>
      </c>
      <c r="P1544" s="30" t="str">
        <f>VLOOKUP(O1544,[6]Key!$E$2:$F$9,2,FALSE)</f>
        <v>Work</v>
      </c>
      <c r="Q1544" s="13" t="s">
        <v>851</v>
      </c>
      <c r="R1544" s="23" t="s">
        <v>819</v>
      </c>
      <c r="S1544" s="13" t="s">
        <v>820</v>
      </c>
      <c r="T1544" s="23">
        <v>2</v>
      </c>
      <c r="U1544" s="30" t="str">
        <f>VLOOKUP(T1544,[6]Key!$E$2:$F$9,2,FALSE)</f>
        <v>Work</v>
      </c>
      <c r="V1544" s="30" t="str">
        <f t="shared" si="96"/>
        <v>Work-Work</v>
      </c>
      <c r="W1544" s="41">
        <v>2000</v>
      </c>
      <c r="X1544" s="50">
        <v>7</v>
      </c>
      <c r="Y1544" s="50" t="str">
        <f t="shared" si="97"/>
        <v>0-10</v>
      </c>
      <c r="Z1544" s="50">
        <v>0.5</v>
      </c>
      <c r="AA1544" s="50" t="str">
        <f t="shared" si="98"/>
        <v>0.5-1.0</v>
      </c>
      <c r="AB1544" s="23">
        <v>6</v>
      </c>
      <c r="AC1544" s="30" t="str">
        <f>VLOOKUP(AB1544,[6]Key!$C$20:$D$29,2,FALSE)</f>
        <v>Businessman</v>
      </c>
      <c r="AD1544" s="23">
        <v>1</v>
      </c>
      <c r="AE1544" s="30" t="str">
        <f>VLOOKUP(AD1544,[6]Key!$E$20:$F$24,2,FALSE)</f>
        <v>&lt;300,000</v>
      </c>
      <c r="AF1544" s="23">
        <v>1</v>
      </c>
      <c r="AG1544" s="50">
        <v>2</v>
      </c>
      <c r="AH1544" s="50">
        <v>3</v>
      </c>
      <c r="AI1544" s="50">
        <v>4</v>
      </c>
      <c r="AJ1544" s="50">
        <v>5</v>
      </c>
      <c r="AK1544" s="46" t="s">
        <v>94</v>
      </c>
      <c r="AL1544" s="36"/>
      <c r="AM1544" t="str">
        <f t="shared" si="99"/>
        <v>0-1000</v>
      </c>
    </row>
    <row r="1545" spans="1:39" x14ac:dyDescent="0.2">
      <c r="A1545" s="44">
        <v>43759</v>
      </c>
      <c r="B1545" s="48">
        <v>0.7631944444444444</v>
      </c>
      <c r="C1545" s="48"/>
      <c r="D1545" s="48" t="s">
        <v>150</v>
      </c>
      <c r="E1545" s="13">
        <v>2</v>
      </c>
      <c r="F1545" s="38" t="str">
        <f>VLOOKUP(E1545,[6]Key!$A$17:$B$21,2,FALSE)</f>
        <v>Road Vehicle</v>
      </c>
      <c r="G1545" s="49">
        <v>4</v>
      </c>
      <c r="H1545" s="39" t="str">
        <f>VLOOKUP(G1545,[6]Key!$A$2:$B$14,2,FALSE)</f>
        <v>Minibus</v>
      </c>
      <c r="I1545" s="13" t="s">
        <v>109</v>
      </c>
      <c r="J1545" s="13">
        <v>4</v>
      </c>
      <c r="K1545" s="40" t="str">
        <f>VLOOKUP(J1545,[6]Key!$A$24:$B$29,2,FALSE)</f>
        <v>50-59</v>
      </c>
      <c r="L1545" s="55" t="s">
        <v>892</v>
      </c>
      <c r="M1545" s="23" t="s">
        <v>819</v>
      </c>
      <c r="N1545" s="13" t="s">
        <v>820</v>
      </c>
      <c r="O1545" s="46">
        <v>1</v>
      </c>
      <c r="P1545" s="30" t="str">
        <f>VLOOKUP(O1545,[6]Key!$E$2:$F$9,2,FALSE)</f>
        <v>Home</v>
      </c>
      <c r="Q1545" s="13" t="s">
        <v>819</v>
      </c>
      <c r="R1545" s="23" t="s">
        <v>819</v>
      </c>
      <c r="S1545" s="13" t="s">
        <v>820</v>
      </c>
      <c r="T1545" s="23">
        <v>2</v>
      </c>
      <c r="U1545" s="30" t="str">
        <f>VLOOKUP(T1545,[6]Key!$E$2:$F$9,2,FALSE)</f>
        <v>Work</v>
      </c>
      <c r="V1545" s="30" t="str">
        <f t="shared" si="96"/>
        <v>Home-Work</v>
      </c>
      <c r="W1545" s="41">
        <v>2000</v>
      </c>
      <c r="X1545" s="50">
        <v>2</v>
      </c>
      <c r="Y1545" s="50" t="str">
        <f t="shared" si="97"/>
        <v>0-10</v>
      </c>
      <c r="Z1545" s="50">
        <v>0.5</v>
      </c>
      <c r="AA1545" s="50" t="str">
        <f t="shared" si="98"/>
        <v>0.5-1.0</v>
      </c>
      <c r="AB1545" s="23">
        <v>4</v>
      </c>
      <c r="AC1545" s="30" t="str">
        <f>VLOOKUP(AB1545,[6]Key!$C$20:$D$29,2,FALSE)</f>
        <v>Office Worker</v>
      </c>
      <c r="AD1545" s="23">
        <v>2</v>
      </c>
      <c r="AE1545" s="30" t="str">
        <f>VLOOKUP(AD1545,[6]Key!$E$20:$F$24,2,FALSE)</f>
        <v>300,000-500,000</v>
      </c>
      <c r="AF1545" s="23">
        <v>5</v>
      </c>
      <c r="AG1545" s="50">
        <v>4</v>
      </c>
      <c r="AH1545" s="50">
        <v>2</v>
      </c>
      <c r="AI1545" s="50">
        <v>3</v>
      </c>
      <c r="AJ1545" s="50">
        <v>1</v>
      </c>
      <c r="AK1545" s="46" t="s">
        <v>94</v>
      </c>
      <c r="AL1545" s="36">
        <v>5000</v>
      </c>
      <c r="AM1545" t="str">
        <f t="shared" si="99"/>
        <v>5000-10000</v>
      </c>
    </row>
    <row r="1546" spans="1:39" x14ac:dyDescent="0.2">
      <c r="A1546" s="44">
        <v>43759</v>
      </c>
      <c r="B1546" s="48"/>
      <c r="C1546" s="48"/>
      <c r="D1546" s="48" t="s">
        <v>150</v>
      </c>
      <c r="E1546" s="13">
        <v>2</v>
      </c>
      <c r="F1546" s="38" t="str">
        <f>VLOOKUP(E1546,[6]Key!$A$17:$B$21,2,FALSE)</f>
        <v>Road Vehicle</v>
      </c>
      <c r="G1546" s="49">
        <v>4</v>
      </c>
      <c r="H1546" s="39" t="str">
        <f>VLOOKUP(G1546,[6]Key!$A$2:$B$14,2,FALSE)</f>
        <v>Minibus</v>
      </c>
      <c r="I1546" s="13" t="s">
        <v>109</v>
      </c>
      <c r="J1546" s="13">
        <v>4</v>
      </c>
      <c r="K1546" s="40" t="str">
        <f>VLOOKUP(J1546,[6]Key!$A$24:$B$29,2,FALSE)</f>
        <v>50-59</v>
      </c>
      <c r="L1546" s="55" t="s">
        <v>819</v>
      </c>
      <c r="M1546" s="23" t="s">
        <v>819</v>
      </c>
      <c r="N1546" s="13" t="s">
        <v>820</v>
      </c>
      <c r="O1546" s="46">
        <v>1</v>
      </c>
      <c r="P1546" s="30" t="str">
        <f>VLOOKUP(O1546,[6]Key!$E$2:$F$9,2,FALSE)</f>
        <v>Home</v>
      </c>
      <c r="Q1546" s="13" t="s">
        <v>366</v>
      </c>
      <c r="R1546" s="23" t="s">
        <v>366</v>
      </c>
      <c r="S1546" s="13" t="s">
        <v>820</v>
      </c>
      <c r="T1546" s="23">
        <v>6</v>
      </c>
      <c r="U1546" s="30" t="str">
        <f>VLOOKUP(T1546,[6]Key!$E$2:$F$9,2,FALSE)</f>
        <v>Leisure/Social</v>
      </c>
      <c r="V1546" s="30" t="str">
        <f t="shared" si="96"/>
        <v>Home-Leisure/Social</v>
      </c>
      <c r="W1546" s="41">
        <v>5000</v>
      </c>
      <c r="X1546" s="50"/>
      <c r="Y1546" s="50" t="str">
        <f t="shared" si="97"/>
        <v>0-10</v>
      </c>
      <c r="Z1546" s="50">
        <v>2</v>
      </c>
      <c r="AA1546" s="50" t="str">
        <f t="shared" si="98"/>
        <v>2.0-3.5</v>
      </c>
      <c r="AB1546" s="23">
        <v>5</v>
      </c>
      <c r="AC1546" s="30" t="str">
        <f>VLOOKUP(AB1546,[6]Key!$C$20:$D$29,2,FALSE)</f>
        <v>Professional</v>
      </c>
      <c r="AD1546" s="23">
        <v>2</v>
      </c>
      <c r="AE1546" s="30" t="str">
        <f>VLOOKUP(AD1546,[6]Key!$E$20:$F$24,2,FALSE)</f>
        <v>300,000-500,000</v>
      </c>
      <c r="AF1546" s="23">
        <v>1</v>
      </c>
      <c r="AG1546" s="50">
        <v>3</v>
      </c>
      <c r="AH1546" s="50">
        <v>5</v>
      </c>
      <c r="AI1546" s="50">
        <v>4</v>
      </c>
      <c r="AJ1546" s="50">
        <v>2</v>
      </c>
      <c r="AK1546" s="46" t="s">
        <v>94</v>
      </c>
      <c r="AL1546" s="36">
        <v>2000</v>
      </c>
      <c r="AM1546" t="str">
        <f t="shared" si="99"/>
        <v>2000-3000</v>
      </c>
    </row>
    <row r="1547" spans="1:39" x14ac:dyDescent="0.2">
      <c r="A1547" s="44">
        <v>43759</v>
      </c>
      <c r="B1547" s="48"/>
      <c r="C1547" s="48"/>
      <c r="D1547" s="48" t="s">
        <v>97</v>
      </c>
      <c r="E1547" s="13">
        <v>2</v>
      </c>
      <c r="F1547" s="38" t="str">
        <f>VLOOKUP(E1547,[6]Key!$A$17:$B$21,2,FALSE)</f>
        <v>Road Vehicle</v>
      </c>
      <c r="G1547" s="49">
        <v>4</v>
      </c>
      <c r="H1547" s="39" t="str">
        <f>VLOOKUP(G1547,[6]Key!$A$2:$B$14,2,FALSE)</f>
        <v>Minibus</v>
      </c>
      <c r="I1547" s="13" t="s">
        <v>109</v>
      </c>
      <c r="J1547" s="13">
        <v>4</v>
      </c>
      <c r="K1547" s="40" t="str">
        <f>VLOOKUP(J1547,[6]Key!$A$24:$B$29,2,FALSE)</f>
        <v>50-59</v>
      </c>
      <c r="L1547" s="55" t="s">
        <v>819</v>
      </c>
      <c r="M1547" s="23" t="s">
        <v>819</v>
      </c>
      <c r="N1547" s="13" t="s">
        <v>820</v>
      </c>
      <c r="O1547" s="46">
        <v>1</v>
      </c>
      <c r="P1547" s="30" t="str">
        <f>VLOOKUP(O1547,[6]Key!$E$2:$F$9,2,FALSE)</f>
        <v>Home</v>
      </c>
      <c r="Q1547" s="13" t="s">
        <v>283</v>
      </c>
      <c r="R1547" s="23" t="s">
        <v>283</v>
      </c>
      <c r="S1547" s="13" t="s">
        <v>820</v>
      </c>
      <c r="T1547" s="23">
        <v>2</v>
      </c>
      <c r="U1547" s="30" t="str">
        <f>VLOOKUP(T1547,[6]Key!$E$2:$F$9,2,FALSE)</f>
        <v>Work</v>
      </c>
      <c r="V1547" s="30" t="str">
        <f t="shared" si="96"/>
        <v>Home-Work</v>
      </c>
      <c r="W1547" s="41">
        <v>120000</v>
      </c>
      <c r="X1547" s="50"/>
      <c r="Y1547" s="50" t="str">
        <f t="shared" si="97"/>
        <v>0-10</v>
      </c>
      <c r="Z1547" s="50">
        <v>2</v>
      </c>
      <c r="AA1547" s="50" t="str">
        <f t="shared" si="98"/>
        <v>2.0-3.5</v>
      </c>
      <c r="AB1547" s="23">
        <v>5</v>
      </c>
      <c r="AC1547" s="30" t="str">
        <f>VLOOKUP(AB1547,[6]Key!$C$20:$D$29,2,FALSE)</f>
        <v>Professional</v>
      </c>
      <c r="AD1547" s="23">
        <v>3</v>
      </c>
      <c r="AE1547" s="30" t="str">
        <f>VLOOKUP(AD1547,[6]Key!$E$20:$F$24,2,FALSE)</f>
        <v>500,000-750,000</v>
      </c>
      <c r="AF1547" s="23"/>
      <c r="AG1547" s="50"/>
      <c r="AH1547" s="50"/>
      <c r="AI1547" s="50"/>
      <c r="AJ1547" s="50"/>
      <c r="AK1547" s="46" t="s">
        <v>94</v>
      </c>
      <c r="AL1547" s="36"/>
      <c r="AM1547" t="str">
        <f t="shared" si="99"/>
        <v>0-1000</v>
      </c>
    </row>
    <row r="1548" spans="1:39" x14ac:dyDescent="0.2">
      <c r="A1548" s="44">
        <v>43760</v>
      </c>
      <c r="B1548" s="48"/>
      <c r="C1548" s="48"/>
      <c r="D1548" s="48" t="s">
        <v>97</v>
      </c>
      <c r="E1548" s="13">
        <v>2</v>
      </c>
      <c r="F1548" s="38" t="str">
        <f>VLOOKUP(E1548,[6]Key!$A$17:$B$21,2,FALSE)</f>
        <v>Road Vehicle</v>
      </c>
      <c r="G1548" s="49">
        <v>4</v>
      </c>
      <c r="H1548" s="39" t="str">
        <f>VLOOKUP(G1548,[6]Key!$A$2:$B$14,2,FALSE)</f>
        <v>Minibus</v>
      </c>
      <c r="I1548" s="13" t="s">
        <v>109</v>
      </c>
      <c r="J1548" s="13">
        <v>4</v>
      </c>
      <c r="K1548" s="40" t="str">
        <f>VLOOKUP(J1548,[6]Key!$A$24:$B$29,2,FALSE)</f>
        <v>50-59</v>
      </c>
      <c r="L1548" s="55" t="s">
        <v>819</v>
      </c>
      <c r="M1548" s="23" t="s">
        <v>819</v>
      </c>
      <c r="N1548" s="13" t="s">
        <v>820</v>
      </c>
      <c r="O1548" s="46">
        <v>1</v>
      </c>
      <c r="P1548" s="30" t="str">
        <f>VLOOKUP(O1548,[6]Key!$E$2:$F$9,2,FALSE)</f>
        <v>Home</v>
      </c>
      <c r="Q1548" s="13" t="s">
        <v>830</v>
      </c>
      <c r="R1548" s="23" t="s">
        <v>832</v>
      </c>
      <c r="S1548" s="13" t="s">
        <v>820</v>
      </c>
      <c r="T1548" s="23">
        <v>2</v>
      </c>
      <c r="U1548" s="30" t="str">
        <f>VLOOKUP(T1548,[6]Key!$E$2:$F$9,2,FALSE)</f>
        <v>Work</v>
      </c>
      <c r="V1548" s="30" t="str">
        <f t="shared" si="96"/>
        <v>Home-Work</v>
      </c>
      <c r="W1548" s="41">
        <v>100000</v>
      </c>
      <c r="X1548" s="50">
        <v>120</v>
      </c>
      <c r="Y1548" s="50" t="str">
        <f t="shared" si="97"/>
        <v>100-200</v>
      </c>
      <c r="Z1548" s="50">
        <v>2.5</v>
      </c>
      <c r="AA1548" s="50" t="str">
        <f t="shared" si="98"/>
        <v>2.0-3.5</v>
      </c>
      <c r="AB1548" s="23">
        <v>2</v>
      </c>
      <c r="AC1548" s="30" t="str">
        <f>VLOOKUP(AB1548,[6]Key!$C$20:$D$29,2,FALSE)</f>
        <v>Manual Labour</v>
      </c>
      <c r="AD1548" s="23">
        <v>2</v>
      </c>
      <c r="AE1548" s="30" t="str">
        <f>VLOOKUP(AD1548,[6]Key!$E$20:$F$24,2,FALSE)</f>
        <v>300,000-500,000</v>
      </c>
      <c r="AF1548" s="23">
        <v>2</v>
      </c>
      <c r="AG1548" s="50">
        <v>3</v>
      </c>
      <c r="AH1548" s="50">
        <v>1</v>
      </c>
      <c r="AI1548" s="50">
        <v>5</v>
      </c>
      <c r="AJ1548" s="50">
        <v>4</v>
      </c>
      <c r="AK1548" s="46" t="s">
        <v>94</v>
      </c>
      <c r="AL1548" s="36">
        <v>5000</v>
      </c>
      <c r="AM1548" t="str">
        <f t="shared" si="99"/>
        <v>5000-10000</v>
      </c>
    </row>
    <row r="1549" spans="1:39" x14ac:dyDescent="0.2">
      <c r="A1549" s="44">
        <v>43760</v>
      </c>
      <c r="B1549" s="48"/>
      <c r="C1549" s="48"/>
      <c r="D1549" s="48" t="s">
        <v>97</v>
      </c>
      <c r="E1549" s="13">
        <v>2</v>
      </c>
      <c r="F1549" s="38" t="str">
        <f>VLOOKUP(E1549,[6]Key!$A$17:$B$21,2,FALSE)</f>
        <v>Road Vehicle</v>
      </c>
      <c r="G1549" s="49">
        <v>4</v>
      </c>
      <c r="H1549" s="39" t="str">
        <f>VLOOKUP(G1549,[6]Key!$A$2:$B$14,2,FALSE)</f>
        <v>Minibus</v>
      </c>
      <c r="I1549" s="13" t="s">
        <v>109</v>
      </c>
      <c r="J1549" s="13">
        <v>4</v>
      </c>
      <c r="K1549" s="40" t="str">
        <f>VLOOKUP(J1549,[6]Key!$A$24:$B$29,2,FALSE)</f>
        <v>50-59</v>
      </c>
      <c r="L1549" s="55" t="s">
        <v>819</v>
      </c>
      <c r="M1549" s="23" t="s">
        <v>819</v>
      </c>
      <c r="N1549" s="13" t="s">
        <v>820</v>
      </c>
      <c r="O1549" s="46">
        <v>1</v>
      </c>
      <c r="P1549" s="30" t="str">
        <f>VLOOKUP(O1549,[6]Key!$E$2:$F$9,2,FALSE)</f>
        <v>Home</v>
      </c>
      <c r="Q1549" s="13" t="s">
        <v>283</v>
      </c>
      <c r="R1549" s="23" t="s">
        <v>283</v>
      </c>
      <c r="S1549" s="13" t="s">
        <v>820</v>
      </c>
      <c r="T1549" s="23">
        <v>2</v>
      </c>
      <c r="U1549" s="30" t="str">
        <f>VLOOKUP(T1549,[6]Key!$E$2:$F$9,2,FALSE)</f>
        <v>Work</v>
      </c>
      <c r="V1549" s="30" t="str">
        <f t="shared" si="96"/>
        <v>Home-Work</v>
      </c>
      <c r="W1549" s="41">
        <v>150000</v>
      </c>
      <c r="X1549" s="50">
        <v>160</v>
      </c>
      <c r="Y1549" s="50" t="str">
        <f t="shared" si="97"/>
        <v>100-200</v>
      </c>
      <c r="Z1549" s="50">
        <v>2.5</v>
      </c>
      <c r="AA1549" s="50" t="str">
        <f t="shared" si="98"/>
        <v>2.0-3.5</v>
      </c>
      <c r="AB1549" s="23">
        <v>5</v>
      </c>
      <c r="AC1549" s="30" t="str">
        <f>VLOOKUP(AB1549,[6]Key!$C$20:$D$29,2,FALSE)</f>
        <v>Professional</v>
      </c>
      <c r="AD1549" s="23">
        <v>4</v>
      </c>
      <c r="AE1549" s="30" t="str">
        <f>VLOOKUP(AD1549,[6]Key!$E$20:$F$24,2,FALSE)</f>
        <v>750,000-1,000,000</v>
      </c>
      <c r="AF1549" s="23">
        <v>1</v>
      </c>
      <c r="AG1549" s="50">
        <v>3</v>
      </c>
      <c r="AH1549" s="50">
        <v>5</v>
      </c>
      <c r="AI1549" s="50">
        <v>2</v>
      </c>
      <c r="AJ1549" s="50">
        <v>4</v>
      </c>
      <c r="AK1549" s="46" t="s">
        <v>94</v>
      </c>
      <c r="AL1549" s="36">
        <v>3000</v>
      </c>
      <c r="AM1549" t="str">
        <f t="shared" si="99"/>
        <v>3000-5000</v>
      </c>
    </row>
    <row r="1550" spans="1:39" x14ac:dyDescent="0.2">
      <c r="A1550" s="44">
        <v>43761</v>
      </c>
      <c r="B1550" s="48">
        <v>0.57291666666666663</v>
      </c>
      <c r="C1550" s="48"/>
      <c r="D1550" s="48" t="s">
        <v>97</v>
      </c>
      <c r="E1550" s="13">
        <v>2</v>
      </c>
      <c r="F1550" s="38" t="str">
        <f>VLOOKUP(E1550,[6]Key!$A$17:$B$21,2,FALSE)</f>
        <v>Road Vehicle</v>
      </c>
      <c r="G1550" s="49">
        <v>4</v>
      </c>
      <c r="H1550" s="39" t="str">
        <f>VLOOKUP(G1550,[6]Key!$A$2:$B$14,2,FALSE)</f>
        <v>Minibus</v>
      </c>
      <c r="I1550" s="13" t="s">
        <v>109</v>
      </c>
      <c r="J1550" s="13">
        <v>4</v>
      </c>
      <c r="K1550" s="40" t="str">
        <f>VLOOKUP(J1550,[6]Key!$A$24:$B$29,2,FALSE)</f>
        <v>50-59</v>
      </c>
      <c r="L1550" s="55" t="s">
        <v>819</v>
      </c>
      <c r="M1550" s="23" t="s">
        <v>819</v>
      </c>
      <c r="N1550" s="13" t="s">
        <v>820</v>
      </c>
      <c r="O1550" s="46">
        <v>1</v>
      </c>
      <c r="P1550" s="30" t="str">
        <f>VLOOKUP(O1550,[6]Key!$E$2:$F$9,2,FALSE)</f>
        <v>Home</v>
      </c>
      <c r="Q1550" s="13" t="s">
        <v>404</v>
      </c>
      <c r="R1550" s="23" t="s">
        <v>404</v>
      </c>
      <c r="S1550" s="13" t="s">
        <v>820</v>
      </c>
      <c r="T1550" s="23">
        <v>2</v>
      </c>
      <c r="U1550" s="30" t="str">
        <f>VLOOKUP(T1550,[6]Key!$E$2:$F$9,2,FALSE)</f>
        <v>Work</v>
      </c>
      <c r="V1550" s="30" t="str">
        <f t="shared" si="96"/>
        <v>Home-Work</v>
      </c>
      <c r="W1550" s="41">
        <v>600000</v>
      </c>
      <c r="X1550" s="50">
        <v>400</v>
      </c>
      <c r="Y1550" s="50" t="str">
        <f t="shared" si="97"/>
        <v>Over 200</v>
      </c>
      <c r="Z1550" s="50">
        <v>8</v>
      </c>
      <c r="AA1550" s="50" t="str">
        <f t="shared" si="98"/>
        <v>Over 3.5</v>
      </c>
      <c r="AB1550" s="23">
        <v>5</v>
      </c>
      <c r="AC1550" s="30" t="str">
        <f>VLOOKUP(AB1550,[6]Key!$C$20:$D$29,2,FALSE)</f>
        <v>Professional</v>
      </c>
      <c r="AD1550" s="23">
        <v>3</v>
      </c>
      <c r="AE1550" s="30" t="str">
        <f>VLOOKUP(AD1550,[6]Key!$E$20:$F$24,2,FALSE)</f>
        <v>500,000-750,000</v>
      </c>
      <c r="AF1550" s="23">
        <v>3</v>
      </c>
      <c r="AG1550" s="50">
        <v>5</v>
      </c>
      <c r="AH1550" s="50">
        <v>4</v>
      </c>
      <c r="AI1550" s="50">
        <v>1</v>
      </c>
      <c r="AJ1550" s="50">
        <v>2</v>
      </c>
      <c r="AK1550" s="46" t="s">
        <v>94</v>
      </c>
      <c r="AL1550" s="36"/>
      <c r="AM1550" t="str">
        <f t="shared" si="99"/>
        <v>0-1000</v>
      </c>
    </row>
    <row r="1551" spans="1:39" x14ac:dyDescent="0.2">
      <c r="A1551" s="44">
        <v>43761</v>
      </c>
      <c r="B1551" s="48">
        <v>0.30208333333333331</v>
      </c>
      <c r="C1551" s="48"/>
      <c r="D1551" s="48" t="s">
        <v>150</v>
      </c>
      <c r="E1551" s="13">
        <v>2</v>
      </c>
      <c r="F1551" s="38" t="str">
        <f>VLOOKUP(E1551,[6]Key!$A$17:$B$21,2,FALSE)</f>
        <v>Road Vehicle</v>
      </c>
      <c r="G1551" s="49">
        <v>2</v>
      </c>
      <c r="H1551" s="39" t="str">
        <f>VLOOKUP(G1551,[6]Key!$A$2:$B$14,2,FALSE)</f>
        <v>Station Wagon</v>
      </c>
      <c r="I1551" s="13" t="s">
        <v>156</v>
      </c>
      <c r="J1551" s="13">
        <v>4</v>
      </c>
      <c r="K1551" s="40" t="str">
        <f>VLOOKUP(J1551,[6]Key!$A$24:$B$29,2,FALSE)</f>
        <v>50-59</v>
      </c>
      <c r="L1551" s="55" t="s">
        <v>819</v>
      </c>
      <c r="M1551" s="23" t="s">
        <v>819</v>
      </c>
      <c r="N1551" s="13" t="s">
        <v>820</v>
      </c>
      <c r="O1551" s="46">
        <v>1</v>
      </c>
      <c r="P1551" s="30" t="str">
        <f>VLOOKUP(O1551,[6]Key!$E$2:$F$9,2,FALSE)</f>
        <v>Home</v>
      </c>
      <c r="Q1551" s="13" t="s">
        <v>283</v>
      </c>
      <c r="R1551" s="23" t="s">
        <v>283</v>
      </c>
      <c r="S1551" s="13" t="s">
        <v>820</v>
      </c>
      <c r="T1551" s="23">
        <v>8</v>
      </c>
      <c r="U1551" s="30" t="str">
        <f>VLOOKUP(T1551,[6]Key!$E$2:$F$9,2,FALSE)</f>
        <v>Others</v>
      </c>
      <c r="V1551" s="30" t="str">
        <f t="shared" si="96"/>
        <v>Home-Others</v>
      </c>
      <c r="W1551" s="41">
        <v>15000</v>
      </c>
      <c r="X1551" s="50"/>
      <c r="Y1551" s="50" t="str">
        <f t="shared" si="97"/>
        <v>0-10</v>
      </c>
      <c r="Z1551" s="50">
        <v>1.5</v>
      </c>
      <c r="AA1551" s="50" t="str">
        <f t="shared" si="98"/>
        <v>1.0-2.0</v>
      </c>
      <c r="AB1551" s="23">
        <v>9</v>
      </c>
      <c r="AC1551" s="30" t="str">
        <f>VLOOKUP(AB1551,[6]Key!$C$20:$D$29,2,FALSE)</f>
        <v>Retired</v>
      </c>
      <c r="AD1551" s="23">
        <v>1</v>
      </c>
      <c r="AE1551" s="30" t="str">
        <f>VLOOKUP(AD1551,[6]Key!$E$20:$F$24,2,FALSE)</f>
        <v>&lt;300,000</v>
      </c>
      <c r="AF1551" s="23">
        <v>3</v>
      </c>
      <c r="AG1551" s="50">
        <v>1</v>
      </c>
      <c r="AH1551" s="50">
        <v>2</v>
      </c>
      <c r="AI1551" s="50">
        <v>4</v>
      </c>
      <c r="AJ1551" s="50">
        <v>5</v>
      </c>
      <c r="AK1551" s="46" t="s">
        <v>94</v>
      </c>
      <c r="AL1551" s="36"/>
      <c r="AM1551" t="str">
        <f t="shared" si="99"/>
        <v>0-1000</v>
      </c>
    </row>
    <row r="1552" spans="1:39" x14ac:dyDescent="0.2">
      <c r="A1552" s="44">
        <v>43759</v>
      </c>
      <c r="B1552" s="48">
        <v>0.66805555555555562</v>
      </c>
      <c r="C1552" s="48"/>
      <c r="D1552" s="48" t="s">
        <v>150</v>
      </c>
      <c r="E1552" s="13">
        <v>2</v>
      </c>
      <c r="F1552" s="38" t="str">
        <f>VLOOKUP(E1552,[6]Key!$A$17:$B$21,2,FALSE)</f>
        <v>Road Vehicle</v>
      </c>
      <c r="G1552" s="49">
        <v>6</v>
      </c>
      <c r="H1552" s="39" t="str">
        <f>VLOOKUP(G1552,[6]Key!$A$2:$B$14,2,FALSE)</f>
        <v>Large Bus</v>
      </c>
      <c r="I1552" s="13" t="s">
        <v>156</v>
      </c>
      <c r="J1552" s="13">
        <v>6</v>
      </c>
      <c r="K1552" s="40" t="str">
        <f>VLOOKUP(J1552,[6]Key!$A$24:$B$29,2,FALSE)</f>
        <v>70-</v>
      </c>
      <c r="L1552" s="55" t="s">
        <v>821</v>
      </c>
      <c r="M1552" s="23" t="s">
        <v>819</v>
      </c>
      <c r="N1552" s="13" t="s">
        <v>820</v>
      </c>
      <c r="O1552" s="46">
        <v>2</v>
      </c>
      <c r="P1552" s="30" t="str">
        <f>VLOOKUP(O1552,[6]Key!$E$2:$F$9,2,FALSE)</f>
        <v>Work</v>
      </c>
      <c r="Q1552" s="13" t="s">
        <v>893</v>
      </c>
      <c r="R1552" s="23" t="s">
        <v>404</v>
      </c>
      <c r="S1552" s="13" t="s">
        <v>820</v>
      </c>
      <c r="T1552" s="23">
        <v>1</v>
      </c>
      <c r="U1552" s="30" t="str">
        <f>VLOOKUP(T1552,[6]Key!$E$2:$F$9,2,FALSE)</f>
        <v>Home</v>
      </c>
      <c r="V1552" s="30" t="str">
        <f t="shared" si="96"/>
        <v>Work-Home</v>
      </c>
      <c r="W1552" s="41">
        <v>25000</v>
      </c>
      <c r="X1552" s="50">
        <v>380</v>
      </c>
      <c r="Y1552" s="50" t="str">
        <f t="shared" si="97"/>
        <v>Over 200</v>
      </c>
      <c r="Z1552" s="50">
        <v>7</v>
      </c>
      <c r="AA1552" s="50" t="str">
        <f t="shared" si="98"/>
        <v>Over 3.5</v>
      </c>
      <c r="AB1552" s="23">
        <v>6</v>
      </c>
      <c r="AC1552" s="30" t="str">
        <f>VLOOKUP(AB1552,[6]Key!$C$20:$D$29,2,FALSE)</f>
        <v>Businessman</v>
      </c>
      <c r="AD1552" s="23">
        <v>2</v>
      </c>
      <c r="AE1552" s="30" t="str">
        <f>VLOOKUP(AD1552,[6]Key!$E$20:$F$24,2,FALSE)</f>
        <v>300,000-500,000</v>
      </c>
      <c r="AF1552" s="23">
        <v>1</v>
      </c>
      <c r="AG1552" s="50">
        <v>5</v>
      </c>
      <c r="AH1552" s="50">
        <v>3</v>
      </c>
      <c r="AI1552" s="50">
        <v>4</v>
      </c>
      <c r="AJ1552" s="50">
        <v>2</v>
      </c>
      <c r="AK1552" s="46" t="s">
        <v>94</v>
      </c>
      <c r="AL1552" s="36">
        <v>500</v>
      </c>
      <c r="AM1552" t="str">
        <f t="shared" si="99"/>
        <v>0-1000</v>
      </c>
    </row>
  </sheetData>
  <sortState xmlns:xlrd2="http://schemas.microsoft.com/office/spreadsheetml/2017/richdata2" ref="A2:AT348">
    <sortCondition ref="K2:K348"/>
  </sortState>
  <pageMargins left="0.19685039370078741" right="0.19685039370078741" top="0.15748031496062992" bottom="0.15748031496062992" header="3.937007874015748E-2" footer="0.31496062992125984"/>
  <pageSetup paperSize="9" scale="3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4" t="s">
        <v>8</v>
      </c>
      <c r="C7" s="86" t="s">
        <v>9</v>
      </c>
      <c r="D7" s="86" t="s">
        <v>10</v>
      </c>
      <c r="E7" s="86" t="s">
        <v>11</v>
      </c>
      <c r="F7" s="86" t="s">
        <v>12</v>
      </c>
      <c r="G7" s="86"/>
      <c r="H7" s="86" t="s">
        <v>15</v>
      </c>
      <c r="I7" s="86" t="s">
        <v>16</v>
      </c>
      <c r="J7" s="86" t="s">
        <v>17</v>
      </c>
      <c r="K7" s="86"/>
      <c r="L7" s="86" t="s">
        <v>18</v>
      </c>
      <c r="M7" s="86" t="s">
        <v>19</v>
      </c>
      <c r="N7" s="86" t="s">
        <v>20</v>
      </c>
      <c r="O7" s="88" t="s">
        <v>21</v>
      </c>
      <c r="P7" s="79" t="s">
        <v>27</v>
      </c>
      <c r="Q7" s="80"/>
    </row>
    <row r="8" spans="2:25" ht="24.75" customHeight="1" thickBot="1" x14ac:dyDescent="0.25">
      <c r="B8" s="85"/>
      <c r="C8" s="87"/>
      <c r="D8" s="87"/>
      <c r="E8" s="87"/>
      <c r="F8" s="18" t="s">
        <v>13</v>
      </c>
      <c r="G8" s="18" t="s">
        <v>14</v>
      </c>
      <c r="H8" s="87"/>
      <c r="I8" s="87"/>
      <c r="J8" s="18" t="s">
        <v>13</v>
      </c>
      <c r="K8" s="18" t="s">
        <v>14</v>
      </c>
      <c r="L8" s="87"/>
      <c r="M8" s="87"/>
      <c r="N8" s="87"/>
      <c r="O8" s="89"/>
      <c r="P8" s="81"/>
      <c r="Q8" s="82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9"/>
  <sheetViews>
    <sheetView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27"/>
      <c r="B1" s="25" t="s">
        <v>33</v>
      </c>
      <c r="C1" s="25"/>
      <c r="D1" s="25" t="s">
        <v>46</v>
      </c>
      <c r="E1" s="25"/>
      <c r="F1" s="26" t="s">
        <v>63</v>
      </c>
      <c r="G1" s="27"/>
      <c r="H1" s="27" t="s">
        <v>71</v>
      </c>
      <c r="I1" s="27"/>
      <c r="J1" s="27" t="s">
        <v>78</v>
      </c>
      <c r="K1" s="27"/>
      <c r="L1" s="27"/>
      <c r="M1" s="27"/>
      <c r="N1" s="27"/>
      <c r="O1" s="27"/>
    </row>
    <row r="2" spans="1:15" x14ac:dyDescent="0.2">
      <c r="A2">
        <v>1</v>
      </c>
      <c r="B2" s="24" t="s">
        <v>35</v>
      </c>
      <c r="C2" s="10">
        <v>1</v>
      </c>
      <c r="D2" s="24" t="s">
        <v>47</v>
      </c>
      <c r="E2" s="10">
        <v>1</v>
      </c>
      <c r="F2" t="s">
        <v>64</v>
      </c>
      <c r="G2">
        <v>1</v>
      </c>
      <c r="H2" s="19" t="s">
        <v>72</v>
      </c>
      <c r="I2">
        <v>1</v>
      </c>
      <c r="J2" s="19" t="s">
        <v>79</v>
      </c>
    </row>
    <row r="3" spans="1:15" x14ac:dyDescent="0.2">
      <c r="A3">
        <v>2</v>
      </c>
      <c r="B3" s="24" t="s">
        <v>36</v>
      </c>
      <c r="C3" s="10">
        <v>2</v>
      </c>
      <c r="D3" s="24" t="s">
        <v>48</v>
      </c>
      <c r="E3" s="10">
        <v>2</v>
      </c>
      <c r="F3" t="s">
        <v>65</v>
      </c>
      <c r="G3">
        <v>2</v>
      </c>
      <c r="H3" s="19" t="s">
        <v>73</v>
      </c>
      <c r="I3">
        <v>2</v>
      </c>
      <c r="J3" s="19" t="s">
        <v>80</v>
      </c>
    </row>
    <row r="4" spans="1:15" x14ac:dyDescent="0.2">
      <c r="A4">
        <v>3</v>
      </c>
      <c r="B4" s="24" t="s">
        <v>37</v>
      </c>
      <c r="C4" s="10">
        <v>3</v>
      </c>
      <c r="D4" s="24" t="s">
        <v>49</v>
      </c>
      <c r="E4" s="10">
        <v>3</v>
      </c>
      <c r="F4" t="s">
        <v>66</v>
      </c>
      <c r="G4">
        <v>3</v>
      </c>
      <c r="H4" s="19" t="s">
        <v>74</v>
      </c>
      <c r="I4">
        <v>3</v>
      </c>
      <c r="J4" s="19" t="s">
        <v>81</v>
      </c>
    </row>
    <row r="5" spans="1:15" x14ac:dyDescent="0.2">
      <c r="A5">
        <v>4</v>
      </c>
      <c r="B5" s="24" t="s">
        <v>107</v>
      </c>
      <c r="C5" s="10">
        <v>4</v>
      </c>
      <c r="D5" s="24" t="s">
        <v>50</v>
      </c>
      <c r="E5" s="10">
        <v>4</v>
      </c>
      <c r="F5" t="s">
        <v>67</v>
      </c>
      <c r="G5">
        <v>4</v>
      </c>
      <c r="H5" s="19" t="s">
        <v>75</v>
      </c>
      <c r="I5">
        <v>4</v>
      </c>
      <c r="J5" s="28" t="s">
        <v>82</v>
      </c>
    </row>
    <row r="6" spans="1:15" x14ac:dyDescent="0.2">
      <c r="A6">
        <v>5</v>
      </c>
      <c r="B6" s="24" t="s">
        <v>38</v>
      </c>
      <c r="C6" s="10">
        <v>5</v>
      </c>
      <c r="D6" s="24" t="s">
        <v>51</v>
      </c>
      <c r="E6" s="10">
        <v>5</v>
      </c>
      <c r="F6" t="s">
        <v>68</v>
      </c>
      <c r="G6">
        <v>5</v>
      </c>
      <c r="H6" s="19" t="s">
        <v>76</v>
      </c>
      <c r="I6">
        <v>5</v>
      </c>
      <c r="J6" s="19" t="s">
        <v>83</v>
      </c>
    </row>
    <row r="7" spans="1:15" x14ac:dyDescent="0.2">
      <c r="A7">
        <v>6</v>
      </c>
      <c r="B7" s="24" t="s">
        <v>39</v>
      </c>
      <c r="C7" s="10">
        <v>6</v>
      </c>
      <c r="D7" s="24" t="s">
        <v>52</v>
      </c>
      <c r="E7" s="10">
        <v>6</v>
      </c>
      <c r="F7" t="s">
        <v>69</v>
      </c>
      <c r="G7">
        <v>6</v>
      </c>
      <c r="H7" s="19" t="s">
        <v>77</v>
      </c>
      <c r="I7">
        <v>6</v>
      </c>
      <c r="J7" s="19" t="s">
        <v>84</v>
      </c>
    </row>
    <row r="8" spans="1:15" x14ac:dyDescent="0.2">
      <c r="A8">
        <v>7</v>
      </c>
      <c r="B8" s="24" t="s">
        <v>40</v>
      </c>
      <c r="C8" s="10">
        <v>7</v>
      </c>
      <c r="D8" s="24" t="s">
        <v>53</v>
      </c>
      <c r="E8" s="10">
        <v>7</v>
      </c>
      <c r="F8" t="s">
        <v>51</v>
      </c>
      <c r="I8">
        <v>7</v>
      </c>
      <c r="J8" s="19" t="s">
        <v>85</v>
      </c>
    </row>
    <row r="9" spans="1:15" x14ac:dyDescent="0.2">
      <c r="A9">
        <v>8</v>
      </c>
      <c r="B9" s="24" t="s">
        <v>41</v>
      </c>
      <c r="C9" s="10">
        <v>8</v>
      </c>
      <c r="D9" s="24" t="s">
        <v>54</v>
      </c>
      <c r="E9" s="10">
        <v>8</v>
      </c>
      <c r="F9" t="s">
        <v>70</v>
      </c>
      <c r="I9">
        <v>8</v>
      </c>
      <c r="J9" s="19" t="s">
        <v>86</v>
      </c>
    </row>
    <row r="10" spans="1:15" x14ac:dyDescent="0.2">
      <c r="A10">
        <v>9</v>
      </c>
      <c r="B10" s="24" t="s">
        <v>42</v>
      </c>
      <c r="C10" s="10">
        <v>9</v>
      </c>
      <c r="D10" s="24" t="s">
        <v>55</v>
      </c>
      <c r="E10" s="10"/>
      <c r="I10">
        <v>9</v>
      </c>
      <c r="J10" s="19" t="s">
        <v>87</v>
      </c>
    </row>
    <row r="11" spans="1:15" x14ac:dyDescent="0.2">
      <c r="A11">
        <v>10</v>
      </c>
      <c r="B11" s="24" t="s">
        <v>43</v>
      </c>
      <c r="C11" s="10">
        <v>10</v>
      </c>
      <c r="D11" s="24" t="s">
        <v>56</v>
      </c>
      <c r="E11" s="10"/>
      <c r="I11">
        <v>10</v>
      </c>
      <c r="J11" s="28" t="s">
        <v>88</v>
      </c>
    </row>
    <row r="12" spans="1:15" x14ac:dyDescent="0.2">
      <c r="A12">
        <v>11</v>
      </c>
      <c r="B12" s="24" t="s">
        <v>45</v>
      </c>
      <c r="C12" s="10">
        <v>11</v>
      </c>
      <c r="D12" s="24" t="s">
        <v>57</v>
      </c>
      <c r="E12" s="10"/>
      <c r="I12">
        <v>11</v>
      </c>
      <c r="J12" s="19" t="s">
        <v>89</v>
      </c>
    </row>
    <row r="13" spans="1:15" x14ac:dyDescent="0.2">
      <c r="A13">
        <v>12</v>
      </c>
      <c r="B13" s="24" t="s">
        <v>44</v>
      </c>
      <c r="C13" s="10">
        <v>12</v>
      </c>
      <c r="D13" s="24" t="s">
        <v>58</v>
      </c>
      <c r="E13" s="10"/>
      <c r="I13">
        <v>12</v>
      </c>
      <c r="J13" s="19" t="s">
        <v>90</v>
      </c>
    </row>
    <row r="14" spans="1:15" x14ac:dyDescent="0.2">
      <c r="C14" s="10">
        <v>13</v>
      </c>
      <c r="D14" s="19" t="s">
        <v>59</v>
      </c>
    </row>
    <row r="15" spans="1:15" x14ac:dyDescent="0.2">
      <c r="B15" s="1"/>
      <c r="C15" s="10">
        <v>14</v>
      </c>
      <c r="D15" s="19" t="s">
        <v>60</v>
      </c>
    </row>
    <row r="16" spans="1:15" x14ac:dyDescent="0.2">
      <c r="A16" s="27"/>
      <c r="B16" s="25" t="s">
        <v>100</v>
      </c>
      <c r="C16" s="10">
        <v>15</v>
      </c>
      <c r="D16" s="19" t="s">
        <v>61</v>
      </c>
    </row>
    <row r="17" spans="1:6" x14ac:dyDescent="0.2">
      <c r="A17">
        <v>1</v>
      </c>
      <c r="B17" s="24" t="s">
        <v>101</v>
      </c>
      <c r="C17" s="10">
        <v>16</v>
      </c>
      <c r="D17" s="19" t="s">
        <v>62</v>
      </c>
    </row>
    <row r="18" spans="1:6" x14ac:dyDescent="0.2">
      <c r="A18">
        <v>2</v>
      </c>
      <c r="B18" s="24" t="s">
        <v>102</v>
      </c>
    </row>
    <row r="19" spans="1:6" x14ac:dyDescent="0.2">
      <c r="A19">
        <v>3</v>
      </c>
      <c r="B19" s="24" t="s">
        <v>103</v>
      </c>
      <c r="D19" s="1" t="s">
        <v>123</v>
      </c>
      <c r="F19" s="1" t="s">
        <v>136</v>
      </c>
    </row>
    <row r="20" spans="1:6" x14ac:dyDescent="0.2">
      <c r="A20">
        <v>4</v>
      </c>
      <c r="B20" s="24" t="s">
        <v>104</v>
      </c>
      <c r="C20">
        <v>1</v>
      </c>
      <c r="D20" s="19" t="s">
        <v>124</v>
      </c>
      <c r="E20">
        <v>1</v>
      </c>
      <c r="F20" s="19" t="s">
        <v>137</v>
      </c>
    </row>
    <row r="21" spans="1:6" x14ac:dyDescent="0.2">
      <c r="A21">
        <v>5</v>
      </c>
      <c r="B21" s="24" t="s">
        <v>105</v>
      </c>
      <c r="C21">
        <v>2</v>
      </c>
      <c r="D21" s="19" t="s">
        <v>125</v>
      </c>
      <c r="E21">
        <v>2</v>
      </c>
      <c r="F21" s="19" t="s">
        <v>138</v>
      </c>
    </row>
    <row r="22" spans="1:6" x14ac:dyDescent="0.2">
      <c r="C22">
        <v>3</v>
      </c>
      <c r="D22" s="19" t="s">
        <v>126</v>
      </c>
      <c r="E22">
        <v>3</v>
      </c>
      <c r="F22" s="19" t="s">
        <v>139</v>
      </c>
    </row>
    <row r="23" spans="1:6" x14ac:dyDescent="0.2">
      <c r="B23" s="25" t="s">
        <v>110</v>
      </c>
      <c r="C23">
        <v>4</v>
      </c>
      <c r="D23" s="19" t="s">
        <v>127</v>
      </c>
      <c r="E23">
        <v>4</v>
      </c>
      <c r="F23" s="19" t="s">
        <v>140</v>
      </c>
    </row>
    <row r="24" spans="1:6" x14ac:dyDescent="0.2">
      <c r="A24">
        <v>1</v>
      </c>
      <c r="B24" s="19" t="s">
        <v>112</v>
      </c>
      <c r="C24">
        <v>5</v>
      </c>
      <c r="D24" s="19" t="s">
        <v>128</v>
      </c>
      <c r="E24">
        <v>5</v>
      </c>
      <c r="F24" s="19" t="s">
        <v>141</v>
      </c>
    </row>
    <row r="25" spans="1:6" x14ac:dyDescent="0.2">
      <c r="A25">
        <v>2</v>
      </c>
      <c r="B25" s="19" t="s">
        <v>113</v>
      </c>
      <c r="C25">
        <v>6</v>
      </c>
      <c r="D25" s="19" t="s">
        <v>129</v>
      </c>
    </row>
    <row r="26" spans="1:6" x14ac:dyDescent="0.2">
      <c r="A26">
        <v>3</v>
      </c>
      <c r="B26" s="19" t="s">
        <v>114</v>
      </c>
      <c r="C26">
        <v>7</v>
      </c>
      <c r="D26" s="19" t="s">
        <v>130</v>
      </c>
    </row>
    <row r="27" spans="1:6" x14ac:dyDescent="0.2">
      <c r="A27">
        <v>4</v>
      </c>
      <c r="B27" s="19" t="s">
        <v>115</v>
      </c>
      <c r="C27">
        <v>8</v>
      </c>
      <c r="D27" s="19" t="s">
        <v>131</v>
      </c>
    </row>
    <row r="28" spans="1:6" x14ac:dyDescent="0.2">
      <c r="A28">
        <v>5</v>
      </c>
      <c r="B28" s="19" t="s">
        <v>116</v>
      </c>
      <c r="C28">
        <v>9</v>
      </c>
      <c r="D28" s="19" t="s">
        <v>132</v>
      </c>
    </row>
    <row r="29" spans="1:6" x14ac:dyDescent="0.2">
      <c r="A29">
        <v>6</v>
      </c>
      <c r="B29" s="19" t="s">
        <v>117</v>
      </c>
      <c r="C29">
        <v>10</v>
      </c>
      <c r="D29" s="1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Age</vt:lpstr>
      <vt:lpstr>Journey P</vt:lpstr>
      <vt:lpstr>Dist-Time</vt:lpstr>
      <vt:lpstr>Dist-Time Toll</vt:lpstr>
      <vt:lpstr>Income-Toll</vt:lpstr>
      <vt:lpstr>Veh-Toll</vt:lpstr>
      <vt:lpstr>WesternSP-Data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2020-03-20T09:34:59Z</cp:lastPrinted>
  <dcterms:created xsi:type="dcterms:W3CDTF">2010-10-20T14:55:17Z</dcterms:created>
  <dcterms:modified xsi:type="dcterms:W3CDTF">2020-03-23T08:17:55Z</dcterms:modified>
</cp:coreProperties>
</file>