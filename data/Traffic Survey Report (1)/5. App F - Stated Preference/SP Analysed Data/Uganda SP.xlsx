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7.xml" ContentType="application/vnd.openxmlformats-officedocument.spreadsheetml.pivotTab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8.xml" ContentType="application/vnd.openxmlformats-officedocument.spreadsheetml.pivotTab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ing Folder\EDMP\Analysed Data\SP-DATA_Analysed\"/>
    </mc:Choice>
  </mc:AlternateContent>
  <xr:revisionPtr revIDLastSave="0" documentId="13_ncr:1_{3E96AAA7-0FC8-4057-89A9-1DCED4DE16FE}" xr6:coauthVersionLast="45" xr6:coauthVersionMax="45" xr10:uidLastSave="{00000000-0000-0000-0000-000000000000}"/>
  <bookViews>
    <workbookView xWindow="-120" yWindow="-120" windowWidth="20730" windowHeight="11160" activeTab="3" xr2:uid="{1F1908A9-7E3F-455A-8643-BDD2B5A208BA}"/>
  </bookViews>
  <sheets>
    <sheet name="Age" sheetId="1" r:id="rId1"/>
    <sheet name="Journey P" sheetId="2" r:id="rId2"/>
    <sheet name="Dist-Time" sheetId="3" r:id="rId3"/>
    <sheet name="Dist-Time Toll" sheetId="4" r:id="rId4"/>
    <sheet name="Income-Toll" sheetId="5" r:id="rId5"/>
    <sheet name="Veh-Toll" sheetId="6" r:id="rId6"/>
  </sheets>
  <externalReferences>
    <externalReference r:id="rId7"/>
    <externalReference r:id="rId8"/>
    <externalReference r:id="rId9"/>
    <externalReference r:id="rId10"/>
  </externalReferences>
  <definedNames>
    <definedName name="zones">#REF!</definedName>
    <definedName name="Zones_Ndeke">#REF!</definedName>
  </definedNames>
  <calcPr calcId="191029"/>
  <pivotCaches>
    <pivotCache cacheId="270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A6" i="6" l="1"/>
  <c r="AA7" i="6"/>
  <c r="AA8" i="6"/>
  <c r="AA9" i="6"/>
  <c r="AA10" i="6"/>
  <c r="AA11" i="6"/>
  <c r="AA12" i="6"/>
  <c r="AA13" i="6"/>
  <c r="AA14" i="6"/>
  <c r="AA15" i="6"/>
  <c r="AA5" i="6"/>
  <c r="V15" i="6"/>
  <c r="W15" i="6"/>
  <c r="X15" i="6"/>
  <c r="Y15" i="6"/>
  <c r="Z15" i="6"/>
  <c r="U15" i="6"/>
  <c r="R6" i="6"/>
  <c r="R7" i="6"/>
  <c r="R8" i="6"/>
  <c r="R9" i="6"/>
  <c r="R10" i="6"/>
  <c r="R11" i="6"/>
  <c r="R12" i="6"/>
  <c r="R13" i="6"/>
  <c r="R14" i="6"/>
  <c r="R5" i="6"/>
  <c r="L6" i="6"/>
  <c r="M6" i="6"/>
  <c r="N6" i="6"/>
  <c r="O6" i="6"/>
  <c r="P6" i="6"/>
  <c r="Q6" i="6"/>
  <c r="L7" i="6"/>
  <c r="M7" i="6"/>
  <c r="N7" i="6"/>
  <c r="O7" i="6"/>
  <c r="P7" i="6"/>
  <c r="Q7" i="6"/>
  <c r="L8" i="6"/>
  <c r="M8" i="6"/>
  <c r="N8" i="6"/>
  <c r="O8" i="6"/>
  <c r="P8" i="6"/>
  <c r="Q8" i="6"/>
  <c r="L9" i="6"/>
  <c r="M9" i="6"/>
  <c r="N9" i="6"/>
  <c r="O9" i="6"/>
  <c r="P9" i="6"/>
  <c r="Q9" i="6"/>
  <c r="L10" i="6"/>
  <c r="M10" i="6"/>
  <c r="N10" i="6"/>
  <c r="O10" i="6"/>
  <c r="P10" i="6"/>
  <c r="Q10" i="6"/>
  <c r="L11" i="6"/>
  <c r="M11" i="6"/>
  <c r="N11" i="6"/>
  <c r="O11" i="6"/>
  <c r="P11" i="6"/>
  <c r="Q11" i="6"/>
  <c r="L12" i="6"/>
  <c r="M12" i="6"/>
  <c r="N12" i="6"/>
  <c r="O12" i="6"/>
  <c r="P12" i="6"/>
  <c r="Q12" i="6"/>
  <c r="L13" i="6"/>
  <c r="M13" i="6"/>
  <c r="N13" i="6"/>
  <c r="O13" i="6"/>
  <c r="P13" i="6"/>
  <c r="Q13" i="6"/>
  <c r="L14" i="6"/>
  <c r="M14" i="6"/>
  <c r="N14" i="6"/>
  <c r="O14" i="6"/>
  <c r="P14" i="6"/>
  <c r="Q14" i="6"/>
  <c r="M5" i="6"/>
  <c r="N5" i="6"/>
  <c r="O5" i="6"/>
  <c r="P5" i="6"/>
  <c r="Q5" i="6"/>
  <c r="L5" i="6"/>
  <c r="AA6" i="5" l="1"/>
  <c r="AA7" i="5"/>
  <c r="AA8" i="5"/>
  <c r="AA9" i="5"/>
  <c r="AA5" i="5"/>
  <c r="L12" i="5"/>
  <c r="M12" i="5"/>
  <c r="N12" i="5"/>
  <c r="O12" i="5"/>
  <c r="P12" i="5"/>
  <c r="Q12" i="5"/>
  <c r="R6" i="5"/>
  <c r="R7" i="5"/>
  <c r="R8" i="5"/>
  <c r="R9" i="5"/>
  <c r="R5" i="5"/>
  <c r="L6" i="5"/>
  <c r="M6" i="5"/>
  <c r="N6" i="5"/>
  <c r="O6" i="5"/>
  <c r="P6" i="5"/>
  <c r="Q6" i="5"/>
  <c r="L7" i="5"/>
  <c r="M7" i="5"/>
  <c r="N7" i="5"/>
  <c r="O7" i="5"/>
  <c r="P7" i="5"/>
  <c r="Q7" i="5"/>
  <c r="L8" i="5"/>
  <c r="M8" i="5"/>
  <c r="N8" i="5"/>
  <c r="O8" i="5"/>
  <c r="P8" i="5"/>
  <c r="Q8" i="5"/>
  <c r="L9" i="5"/>
  <c r="M9" i="5"/>
  <c r="N9" i="5"/>
  <c r="O9" i="5"/>
  <c r="P9" i="5"/>
  <c r="Q9" i="5"/>
  <c r="M5" i="5"/>
  <c r="N5" i="5"/>
  <c r="O5" i="5"/>
  <c r="P5" i="5"/>
  <c r="Q5" i="5"/>
  <c r="L5" i="5"/>
  <c r="W12" i="4"/>
  <c r="X12" i="4"/>
  <c r="Y12" i="4"/>
  <c r="Z12" i="4"/>
  <c r="AA12" i="4"/>
  <c r="V12" i="4"/>
  <c r="AB6" i="4"/>
  <c r="AB7" i="4"/>
  <c r="AB8" i="4"/>
  <c r="AB9" i="4"/>
  <c r="AB10" i="4"/>
  <c r="AB11" i="4"/>
  <c r="AB5" i="4"/>
  <c r="R6" i="4"/>
  <c r="R7" i="4"/>
  <c r="R8" i="4"/>
  <c r="R9" i="4"/>
  <c r="R10" i="4"/>
  <c r="R11" i="4"/>
  <c r="R5" i="4"/>
  <c r="L6" i="4"/>
  <c r="M6" i="4"/>
  <c r="N6" i="4"/>
  <c r="N13" i="4" s="1"/>
  <c r="O6" i="4"/>
  <c r="P6" i="4"/>
  <c r="Q6" i="4"/>
  <c r="L7" i="4"/>
  <c r="M7" i="4"/>
  <c r="N7" i="4"/>
  <c r="O7" i="4"/>
  <c r="P7" i="4"/>
  <c r="P13" i="4" s="1"/>
  <c r="Q7" i="4"/>
  <c r="L8" i="4"/>
  <c r="M8" i="4"/>
  <c r="N8" i="4"/>
  <c r="O8" i="4"/>
  <c r="P8" i="4"/>
  <c r="Q8" i="4"/>
  <c r="L9" i="4"/>
  <c r="M9" i="4"/>
  <c r="N9" i="4"/>
  <c r="O9" i="4"/>
  <c r="P9" i="4"/>
  <c r="Q9" i="4"/>
  <c r="L10" i="4"/>
  <c r="M10" i="4"/>
  <c r="N10" i="4"/>
  <c r="O10" i="4"/>
  <c r="P10" i="4"/>
  <c r="Q10" i="4"/>
  <c r="L11" i="4"/>
  <c r="M11" i="4"/>
  <c r="N11" i="4"/>
  <c r="O11" i="4"/>
  <c r="O13" i="4" s="1"/>
  <c r="P11" i="4"/>
  <c r="Q11" i="4"/>
  <c r="M5" i="4"/>
  <c r="N5" i="4"/>
  <c r="O5" i="4"/>
  <c r="P5" i="4"/>
  <c r="Q5" i="4"/>
  <c r="L5" i="4"/>
  <c r="G23" i="3"/>
  <c r="G24" i="3"/>
  <c r="G25" i="3"/>
  <c r="G26" i="3"/>
  <c r="G22" i="3"/>
  <c r="G27" i="3" s="1"/>
  <c r="H22" i="3" s="1"/>
  <c r="G5" i="3"/>
  <c r="G6" i="3"/>
  <c r="G7" i="3"/>
  <c r="G8" i="3"/>
  <c r="G9" i="3"/>
  <c r="G10" i="3"/>
  <c r="G4" i="3"/>
  <c r="M6" i="2"/>
  <c r="N6" i="2"/>
  <c r="M7" i="2"/>
  <c r="N7" i="2"/>
  <c r="M8" i="2"/>
  <c r="O8" i="2" s="1"/>
  <c r="N8" i="2"/>
  <c r="M9" i="2"/>
  <c r="N9" i="2"/>
  <c r="O9" i="2" s="1"/>
  <c r="M10" i="2"/>
  <c r="O10" i="2" s="1"/>
  <c r="N10" i="2"/>
  <c r="M11" i="2"/>
  <c r="N11" i="2"/>
  <c r="M12" i="2"/>
  <c r="O12" i="2" s="1"/>
  <c r="N12" i="2"/>
  <c r="N5" i="2"/>
  <c r="M5" i="2"/>
  <c r="O6" i="1"/>
  <c r="O7" i="1"/>
  <c r="O8" i="1"/>
  <c r="O9" i="1"/>
  <c r="O10" i="1"/>
  <c r="O5" i="1"/>
  <c r="J6" i="1"/>
  <c r="J7" i="1"/>
  <c r="J8" i="1"/>
  <c r="J9" i="1"/>
  <c r="J10" i="1"/>
  <c r="J5" i="1"/>
  <c r="H6" i="1"/>
  <c r="I6" i="1"/>
  <c r="H7" i="1"/>
  <c r="I7" i="1"/>
  <c r="H8" i="1"/>
  <c r="I8" i="1"/>
  <c r="H9" i="1"/>
  <c r="I9" i="1"/>
  <c r="H10" i="1"/>
  <c r="I10" i="1"/>
  <c r="I5" i="1"/>
  <c r="H5" i="1"/>
  <c r="R15" i="6"/>
  <c r="Z14" i="6" s="1"/>
  <c r="W14" i="6"/>
  <c r="V14" i="6"/>
  <c r="V13" i="6"/>
  <c r="U13" i="6"/>
  <c r="Z12" i="6"/>
  <c r="Y12" i="6"/>
  <c r="W12" i="6"/>
  <c r="Z11" i="6"/>
  <c r="Y11" i="6"/>
  <c r="X11" i="6"/>
  <c r="W11" i="6"/>
  <c r="U11" i="6"/>
  <c r="X10" i="6"/>
  <c r="W10" i="6"/>
  <c r="V10" i="6"/>
  <c r="U10" i="6"/>
  <c r="Y9" i="6"/>
  <c r="V9" i="6"/>
  <c r="U9" i="6"/>
  <c r="Z8" i="6"/>
  <c r="Y8" i="6"/>
  <c r="W8" i="6"/>
  <c r="Z7" i="6"/>
  <c r="Y7" i="6"/>
  <c r="X7" i="6"/>
  <c r="W7" i="6"/>
  <c r="U7" i="6"/>
  <c r="X6" i="6"/>
  <c r="W6" i="6"/>
  <c r="V6" i="6"/>
  <c r="U6" i="6"/>
  <c r="Y5" i="6"/>
  <c r="V5" i="6"/>
  <c r="U5" i="6"/>
  <c r="O7" i="2"/>
  <c r="W5" i="6" l="1"/>
  <c r="Y6" i="6"/>
  <c r="U8" i="6"/>
  <c r="W9" i="6"/>
  <c r="Y10" i="6"/>
  <c r="U12" i="6"/>
  <c r="X13" i="6"/>
  <c r="X5" i="6"/>
  <c r="Z6" i="6"/>
  <c r="V8" i="6"/>
  <c r="X9" i="6"/>
  <c r="Z10" i="6"/>
  <c r="V12" i="6"/>
  <c r="Y13" i="6"/>
  <c r="Z13" i="6"/>
  <c r="Z5" i="6"/>
  <c r="V7" i="6"/>
  <c r="X8" i="6"/>
  <c r="Z9" i="6"/>
  <c r="V11" i="6"/>
  <c r="X12" i="6"/>
  <c r="U14" i="6"/>
  <c r="X14" i="6"/>
  <c r="W13" i="6"/>
  <c r="Y14" i="6"/>
  <c r="R12" i="5"/>
  <c r="U6" i="5" s="1"/>
  <c r="Y8" i="5"/>
  <c r="Z8" i="5"/>
  <c r="V7" i="5"/>
  <c r="Z6" i="5"/>
  <c r="R13" i="4"/>
  <c r="AA8" i="4" s="1"/>
  <c r="Z10" i="4"/>
  <c r="V9" i="4"/>
  <c r="W10" i="4"/>
  <c r="Z11" i="4"/>
  <c r="L13" i="4"/>
  <c r="M13" i="4"/>
  <c r="Q13" i="4"/>
  <c r="G12" i="3"/>
  <c r="H4" i="3" s="1"/>
  <c r="O5" i="2"/>
  <c r="O11" i="1"/>
  <c r="N5" i="1" s="1"/>
  <c r="N7" i="1"/>
  <c r="H23" i="3"/>
  <c r="Y9" i="4"/>
  <c r="AA10" i="4"/>
  <c r="H24" i="3"/>
  <c r="V7" i="4"/>
  <c r="X8" i="4"/>
  <c r="O6" i="2"/>
  <c r="N10" i="1"/>
  <c r="H25" i="3"/>
  <c r="W7" i="4"/>
  <c r="Y8" i="4"/>
  <c r="H26" i="3"/>
  <c r="Z8" i="4"/>
  <c r="V10" i="4"/>
  <c r="X11" i="4"/>
  <c r="O11" i="2"/>
  <c r="Y10" i="4"/>
  <c r="AA11" i="4"/>
  <c r="U9" i="5"/>
  <c r="V8" i="4"/>
  <c r="X9" i="4"/>
  <c r="V9" i="5" l="1"/>
  <c r="X7" i="5"/>
  <c r="Y5" i="5"/>
  <c r="Z7" i="5"/>
  <c r="U5" i="5"/>
  <c r="U10" i="5" s="1"/>
  <c r="W9" i="5"/>
  <c r="Z9" i="5"/>
  <c r="W8" i="5"/>
  <c r="X9" i="5"/>
  <c r="Y7" i="5"/>
  <c r="Y9" i="5"/>
  <c r="W6" i="5"/>
  <c r="W7" i="5"/>
  <c r="X6" i="5"/>
  <c r="U8" i="5"/>
  <c r="V6" i="5"/>
  <c r="V10" i="5" s="1"/>
  <c r="Z5" i="5"/>
  <c r="V5" i="5"/>
  <c r="Y6" i="5"/>
  <c r="U7" i="5"/>
  <c r="X8" i="5"/>
  <c r="W5" i="5"/>
  <c r="V8" i="5"/>
  <c r="X5" i="5"/>
  <c r="Z10" i="5"/>
  <c r="Y10" i="5"/>
  <c r="W9" i="4"/>
  <c r="AA6" i="4"/>
  <c r="V5" i="4"/>
  <c r="X5" i="4"/>
  <c r="AA7" i="4"/>
  <c r="V6" i="4"/>
  <c r="Y5" i="4"/>
  <c r="W6" i="4"/>
  <c r="AA5" i="4"/>
  <c r="Z5" i="4"/>
  <c r="X10" i="4"/>
  <c r="Z6" i="4"/>
  <c r="X7" i="4"/>
  <c r="Y11" i="4"/>
  <c r="Y6" i="4"/>
  <c r="Y7" i="4"/>
  <c r="W8" i="4"/>
  <c r="W5" i="4"/>
  <c r="W11" i="4"/>
  <c r="V11" i="4"/>
  <c r="Z7" i="4"/>
  <c r="AA9" i="4"/>
  <c r="Z9" i="4"/>
  <c r="X6" i="4"/>
  <c r="H5" i="3"/>
  <c r="H10" i="3"/>
  <c r="H9" i="3"/>
  <c r="H7" i="3"/>
  <c r="H6" i="3"/>
  <c r="H8" i="3"/>
  <c r="O13" i="2"/>
  <c r="R9" i="2" s="1"/>
  <c r="M7" i="1"/>
  <c r="M9" i="1"/>
  <c r="N8" i="1"/>
  <c r="M6" i="1"/>
  <c r="M5" i="1"/>
  <c r="N9" i="1"/>
  <c r="N6" i="1"/>
  <c r="N11" i="1" s="1"/>
  <c r="M10" i="1"/>
  <c r="M11" i="1" s="1"/>
  <c r="M8" i="1"/>
  <c r="S8" i="2"/>
  <c r="R6" i="2"/>
  <c r="S11" i="2"/>
  <c r="W10" i="5"/>
  <c r="X10" i="5" l="1"/>
  <c r="R8" i="2"/>
  <c r="S6" i="2"/>
  <c r="S7" i="2"/>
  <c r="R5" i="2"/>
  <c r="R11" i="2"/>
  <c r="S5" i="2"/>
  <c r="S9" i="2"/>
  <c r="R10" i="2"/>
  <c r="R7" i="2"/>
  <c r="S12" i="2"/>
  <c r="S10" i="2"/>
  <c r="R12" i="2"/>
</calcChain>
</file>

<file path=xl/sharedStrings.xml><?xml version="1.0" encoding="utf-8"?>
<sst xmlns="http://schemas.openxmlformats.org/spreadsheetml/2006/main" count="372" uniqueCount="119">
  <si>
    <t>Count of Gender (M/F)</t>
  </si>
  <si>
    <t>Column Labels</t>
  </si>
  <si>
    <t>Row Labels</t>
  </si>
  <si>
    <t>F</t>
  </si>
  <si>
    <t>M</t>
  </si>
  <si>
    <t>Age</t>
  </si>
  <si>
    <t>Female</t>
  </si>
  <si>
    <t>Male</t>
  </si>
  <si>
    <t>Grand Total</t>
  </si>
  <si>
    <t>(blank)</t>
  </si>
  <si>
    <t>20-29</t>
  </si>
  <si>
    <t>30-39</t>
  </si>
  <si>
    <t>40-49</t>
  </si>
  <si>
    <t>50-59</t>
  </si>
  <si>
    <t>60-69</t>
  </si>
  <si>
    <t>70-</t>
  </si>
  <si>
    <t>Journey Purpose</t>
  </si>
  <si>
    <t>Commercial-Commercial</t>
  </si>
  <si>
    <t>Commercial</t>
  </si>
  <si>
    <t>Commercial-Home</t>
  </si>
  <si>
    <t>Work</t>
  </si>
  <si>
    <t>Commercial-Leisure/Social</t>
  </si>
  <si>
    <t>Home</t>
  </si>
  <si>
    <t>Commercial-Study</t>
  </si>
  <si>
    <t>Hospital</t>
  </si>
  <si>
    <t>Commercial-Work</t>
  </si>
  <si>
    <t>Leisure</t>
  </si>
  <si>
    <t>Home-Commercial</t>
  </si>
  <si>
    <t>Study</t>
  </si>
  <si>
    <t>Home-Home</t>
  </si>
  <si>
    <t>Tourism</t>
  </si>
  <si>
    <t>Home-Hospital</t>
  </si>
  <si>
    <t>Others</t>
  </si>
  <si>
    <t>Home-Leisure/Social</t>
  </si>
  <si>
    <t>Home-Others</t>
  </si>
  <si>
    <t>Home-Study</t>
  </si>
  <si>
    <t>Home-Tourism</t>
  </si>
  <si>
    <t>Home-Work</t>
  </si>
  <si>
    <t>Hospital-Home</t>
  </si>
  <si>
    <t>Leisure/Social-Commercial</t>
  </si>
  <si>
    <t>Leisure/Social-Home</t>
  </si>
  <si>
    <t>Leisure/Social-Leisure/Social</t>
  </si>
  <si>
    <t>Leisure/Social-Others</t>
  </si>
  <si>
    <t>Leisure/Social-Work</t>
  </si>
  <si>
    <t>Others-Home</t>
  </si>
  <si>
    <t>Others-Hospital</t>
  </si>
  <si>
    <t>Others-Leisure/Social</t>
  </si>
  <si>
    <t>Others-Others</t>
  </si>
  <si>
    <t>Others-Study</t>
  </si>
  <si>
    <t>Others-Work</t>
  </si>
  <si>
    <t>Study-Home</t>
  </si>
  <si>
    <t>Study-Study</t>
  </si>
  <si>
    <t>Study-Tourism</t>
  </si>
  <si>
    <t>Study-Work</t>
  </si>
  <si>
    <t>Tourism-Home</t>
  </si>
  <si>
    <t>Tourism-Tourism</t>
  </si>
  <si>
    <t>Tourism-Work</t>
  </si>
  <si>
    <t>Work-Commercial</t>
  </si>
  <si>
    <t>Work-Home</t>
  </si>
  <si>
    <t>Work-Hospital</t>
  </si>
  <si>
    <t>Work-Leisure/Social</t>
  </si>
  <si>
    <t>Work-Others</t>
  </si>
  <si>
    <t>Work-Study</t>
  </si>
  <si>
    <t>Work-Work</t>
  </si>
  <si>
    <t>#N/A</t>
  </si>
  <si>
    <t>Count of Dist Range</t>
  </si>
  <si>
    <t>Distance (Km)</t>
  </si>
  <si>
    <t>No. Responses</t>
  </si>
  <si>
    <t>%ge Responses</t>
  </si>
  <si>
    <t>0-10</t>
  </si>
  <si>
    <t>100-200</t>
  </si>
  <si>
    <t>10-20</t>
  </si>
  <si>
    <t>20-40</t>
  </si>
  <si>
    <t>40-70</t>
  </si>
  <si>
    <t>70-100</t>
  </si>
  <si>
    <t>Over 200</t>
  </si>
  <si>
    <t>Count of Time Range</t>
  </si>
  <si>
    <t>0.5-1.0</t>
  </si>
  <si>
    <t>0-0.5</t>
  </si>
  <si>
    <t>1.0-2.0</t>
  </si>
  <si>
    <t>2.0-3.5</t>
  </si>
  <si>
    <t>Over 3.5</t>
  </si>
  <si>
    <t>Journey Time (Hours)</t>
  </si>
  <si>
    <t>Count of Toll Charge</t>
  </si>
  <si>
    <t>Potential Expressway Toll Charge (UGX)</t>
  </si>
  <si>
    <t>0-1000</t>
  </si>
  <si>
    <t>1000-2000</t>
  </si>
  <si>
    <t>2000-3000</t>
  </si>
  <si>
    <t>3000-5000</t>
  </si>
  <si>
    <t>5000-10000</t>
  </si>
  <si>
    <t>Over 10000</t>
  </si>
  <si>
    <t>Journey Distance (Km)</t>
  </si>
  <si>
    <t>0-1,000</t>
  </si>
  <si>
    <t>1,000-2,000</t>
  </si>
  <si>
    <t>2,000-3,000</t>
  </si>
  <si>
    <t>3,000-5,000</t>
  </si>
  <si>
    <t>5,000-10,000</t>
  </si>
  <si>
    <t>Over 10,000</t>
  </si>
  <si>
    <t>Income (UGX)</t>
  </si>
  <si>
    <t>&lt;300,000</t>
  </si>
  <si>
    <t>&gt;1,000,000</t>
  </si>
  <si>
    <t>300,000-500,000</t>
  </si>
  <si>
    <t>500,000-750,000</t>
  </si>
  <si>
    <t>750,000-1,000,000</t>
  </si>
  <si>
    <t>Totals</t>
  </si>
  <si>
    <t>Vehicle Type</t>
  </si>
  <si>
    <t>Bicycle</t>
  </si>
  <si>
    <t>Car</t>
  </si>
  <si>
    <t>Bicycles</t>
  </si>
  <si>
    <t xml:space="preserve">Heavy truck </t>
  </si>
  <si>
    <t>Bicylces</t>
  </si>
  <si>
    <t>Large Bus</t>
  </si>
  <si>
    <t xml:space="preserve">Light Truck </t>
  </si>
  <si>
    <t xml:space="preserve">Medium bus </t>
  </si>
  <si>
    <t xml:space="preserve">Medium Truck </t>
  </si>
  <si>
    <t>Minibus</t>
  </si>
  <si>
    <t>Pickups</t>
  </si>
  <si>
    <t>Station Wagon</t>
  </si>
  <si>
    <t xml:space="preserve">Truck Trailer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</si>
</sst>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0"/>
      <name val="Arial"/>
      <family val="2"/>
    </font>
    <font>
      <sz val="10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color theme="0"/>
      <name val="Times New Roman"/>
      <family val="1"/>
    </font>
    <font>
      <b/>
      <sz val="10"/>
      <color theme="0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8"/>
      <name val="Arial"/>
      <family val="2"/>
    </font>
    <font>
      <b/>
      <sz val="11"/>
      <color theme="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1"/>
    <xf numFmtId="0" fontId="2" fillId="2" borderId="1" xfId="1" applyFont="1" applyFill="1" applyBorder="1"/>
    <xf numFmtId="0" fontId="2" fillId="2" borderId="0" xfId="1" applyFont="1" applyFill="1"/>
    <xf numFmtId="0" fontId="1" fillId="0" borderId="0" xfId="1" applyAlignment="1">
      <alignment horizontal="left"/>
    </xf>
    <xf numFmtId="164" fontId="0" fillId="0" borderId="0" xfId="2" applyNumberFormat="1" applyFont="1"/>
    <xf numFmtId="0" fontId="0" fillId="0" borderId="0" xfId="0" applyAlignment="1">
      <alignment horizontal="left"/>
    </xf>
    <xf numFmtId="0" fontId="3" fillId="3" borderId="2" xfId="1" applyFont="1" applyFill="1" applyBorder="1" applyAlignment="1">
      <alignment horizontal="center" vertical="center"/>
    </xf>
    <xf numFmtId="0" fontId="1" fillId="4" borderId="2" xfId="1" applyFill="1" applyBorder="1"/>
    <xf numFmtId="164" fontId="0" fillId="4" borderId="2" xfId="2" applyNumberFormat="1" applyFont="1" applyFill="1" applyBorder="1"/>
    <xf numFmtId="0" fontId="5" fillId="5" borderId="2" xfId="1" applyFont="1" applyFill="1" applyBorder="1" applyAlignment="1">
      <alignment horizontal="center" vertical="center" wrapText="1"/>
    </xf>
    <xf numFmtId="0" fontId="6" fillId="6" borderId="2" xfId="1" applyFont="1" applyFill="1" applyBorder="1" applyAlignment="1">
      <alignment horizontal="center"/>
    </xf>
    <xf numFmtId="164" fontId="6" fillId="6" borderId="2" xfId="2" applyNumberFormat="1" applyFont="1" applyFill="1" applyBorder="1" applyAlignment="1">
      <alignment horizontal="center"/>
    </xf>
    <xf numFmtId="0" fontId="6" fillId="6" borderId="2" xfId="1" applyFont="1" applyFill="1" applyBorder="1" applyAlignment="1">
      <alignment horizontal="left"/>
    </xf>
    <xf numFmtId="0" fontId="7" fillId="6" borderId="2" xfId="1" applyFont="1" applyFill="1" applyBorder="1" applyAlignment="1">
      <alignment horizontal="center"/>
    </xf>
    <xf numFmtId="0" fontId="4" fillId="5" borderId="3" xfId="1" applyFont="1" applyFill="1" applyBorder="1" applyAlignment="1">
      <alignment horizontal="center"/>
    </xf>
    <xf numFmtId="0" fontId="4" fillId="5" borderId="4" xfId="1" applyFont="1" applyFill="1" applyBorder="1" applyAlignment="1">
      <alignment horizontal="center"/>
    </xf>
    <xf numFmtId="164" fontId="7" fillId="6" borderId="2" xfId="2" applyNumberFormat="1" applyFont="1" applyFill="1" applyBorder="1" applyAlignment="1">
      <alignment horizontal="center"/>
    </xf>
    <xf numFmtId="0" fontId="7" fillId="6" borderId="2" xfId="1" applyFont="1" applyFill="1" applyBorder="1" applyAlignment="1">
      <alignment horizontal="left"/>
    </xf>
    <xf numFmtId="0" fontId="9" fillId="5" borderId="3" xfId="1" applyFont="1" applyFill="1" applyBorder="1" applyAlignment="1">
      <alignment horizontal="center" vertical="center"/>
    </xf>
    <xf numFmtId="0" fontId="9" fillId="5" borderId="4" xfId="1" applyFont="1" applyFill="1" applyBorder="1" applyAlignment="1">
      <alignment horizontal="center" vertical="center"/>
    </xf>
  </cellXfs>
  <cellStyles count="3">
    <cellStyle name="Normal" xfId="0" builtinId="0"/>
    <cellStyle name="Normal 3" xfId="1" xr:uid="{31AC25DA-8499-4124-8EB1-7B5B020E5808}"/>
    <cellStyle name="Percent 2" xfId="2" xr:uid="{6AA0C89E-F7BC-4EDC-823B-29C4C194980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b="1">
                <a:solidFill>
                  <a:sysClr val="windowText" lastClr="000000"/>
                </a:solidFill>
              </a:rPr>
              <a:t>Respondents (Male / Female)</a:t>
            </a:r>
          </a:p>
        </c:rich>
      </c:tx>
      <c:layout>
        <c:manualLayout>
          <c:xMode val="edge"/>
          <c:yMode val="edge"/>
          <c:x val="0.35737169392287499"/>
          <c:y val="2.83687943262411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6901716131637393"/>
          <c:y val="0.11378992160790374"/>
          <c:w val="0.80277771047849789"/>
          <c:h val="0.730118799088541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Age!$M$4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Age!$L$5:$L$10</c:f>
              <c:strCache>
                <c:ptCount val="6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</c:v>
                </c:pt>
              </c:strCache>
            </c:strRef>
          </c:cat>
          <c:val>
            <c:numRef>
              <c:f>Age!$M$5:$M$10</c:f>
              <c:numCache>
                <c:formatCode>0.0%</c:formatCode>
                <c:ptCount val="6"/>
                <c:pt idx="0">
                  <c:v>7.5268817204301078E-2</c:v>
                </c:pt>
                <c:pt idx="1">
                  <c:v>0.14612135176651306</c:v>
                </c:pt>
                <c:pt idx="2">
                  <c:v>4.2626728110599081E-2</c:v>
                </c:pt>
                <c:pt idx="3">
                  <c:v>7.1044546850998463E-3</c:v>
                </c:pt>
                <c:pt idx="4">
                  <c:v>2.304147465437788E-3</c:v>
                </c:pt>
                <c:pt idx="5">
                  <c:v>3.8402457757296467E-4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D1-4A57-A8D2-FA9B6F1431C8}"/>
            </c:ext>
          </c:extLst>
        </c:ser>
        <c:ser>
          <c:idx val="1"/>
          <c:order val="1"/>
          <c:tx>
            <c:strRef>
              <c:f>Age!$N$4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Age!$L$5:$L$10</c:f>
              <c:strCache>
                <c:ptCount val="6"/>
                <c:pt idx="0">
                  <c:v>20-29</c:v>
                </c:pt>
                <c:pt idx="1">
                  <c:v>30-39</c:v>
                </c:pt>
                <c:pt idx="2">
                  <c:v>40-49</c:v>
                </c:pt>
                <c:pt idx="3">
                  <c:v>50-59</c:v>
                </c:pt>
                <c:pt idx="4">
                  <c:v>60-69</c:v>
                </c:pt>
                <c:pt idx="5">
                  <c:v>70-</c:v>
                </c:pt>
              </c:strCache>
            </c:strRef>
          </c:cat>
          <c:val>
            <c:numRef>
              <c:f>Age!$N$5:$N$10</c:f>
              <c:numCache>
                <c:formatCode>0.0%</c:formatCode>
                <c:ptCount val="6"/>
                <c:pt idx="0">
                  <c:v>0.10099846390168971</c:v>
                </c:pt>
                <c:pt idx="1">
                  <c:v>0.35944700460829493</c:v>
                </c:pt>
                <c:pt idx="2">
                  <c:v>0.20372503840245776</c:v>
                </c:pt>
                <c:pt idx="3">
                  <c:v>5.4339477726574499E-2</c:v>
                </c:pt>
                <c:pt idx="4">
                  <c:v>7.1044546850998463E-3</c:v>
                </c:pt>
                <c:pt idx="5">
                  <c:v>5.76036866359447E-4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3D1-4A57-A8D2-FA9B6F1431C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67319496"/>
        <c:axId val="667323104"/>
      </c:barChart>
      <c:catAx>
        <c:axId val="667319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>
                    <a:solidFill>
                      <a:sysClr val="windowText" lastClr="000000"/>
                    </a:solidFill>
                  </a:rPr>
                  <a:t>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7323104"/>
        <c:crosses val="autoZero"/>
        <c:auto val="1"/>
        <c:lblAlgn val="ctr"/>
        <c:lblOffset val="100"/>
        <c:noMultiLvlLbl val="0"/>
      </c:catAx>
      <c:valAx>
        <c:axId val="66732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>
                    <a:solidFill>
                      <a:sysClr val="windowText" lastClr="000000"/>
                    </a:solidFill>
                  </a:rPr>
                  <a:t>Proportion of Respondents, %</a:t>
                </a:r>
              </a:p>
            </c:rich>
          </c:tx>
          <c:layout>
            <c:manualLayout>
              <c:xMode val="edge"/>
              <c:yMode val="edge"/>
              <c:x val="3.1816878659398348E-2"/>
              <c:y val="0.1845222538672027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67319496"/>
        <c:crosses val="autoZero"/>
        <c:crossBetween val="between"/>
      </c:valAx>
      <c:spPr>
        <a:solidFill>
          <a:schemeClr val="bg2">
            <a:lumMod val="75000"/>
          </a:schemeClr>
        </a:solidFill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7169977791237632"/>
          <c:y val="0.92904259308012027"/>
          <c:w val="0.20142749737757909"/>
          <c:h val="6.395884975835766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b="1"/>
              <a:t>Journey Purpose by Respondent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40"/>
      <c:rotY val="3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6731714785651794"/>
          <c:y val="3.2824074074074075E-2"/>
          <c:w val="0.74109208223972001"/>
          <c:h val="0.75504520268299802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'Journey P'!$R$4</c:f>
              <c:strCache>
                <c:ptCount val="1"/>
                <c:pt idx="0">
                  <c:v>Female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'Journey P'!$Q$5:$Q$12</c:f>
              <c:strCache>
                <c:ptCount val="8"/>
                <c:pt idx="0">
                  <c:v>Commercial</c:v>
                </c:pt>
                <c:pt idx="1">
                  <c:v>Work</c:v>
                </c:pt>
                <c:pt idx="2">
                  <c:v>Home</c:v>
                </c:pt>
                <c:pt idx="3">
                  <c:v>Hospital</c:v>
                </c:pt>
                <c:pt idx="4">
                  <c:v>Leisure</c:v>
                </c:pt>
                <c:pt idx="5">
                  <c:v>Study</c:v>
                </c:pt>
                <c:pt idx="6">
                  <c:v>Tourism</c:v>
                </c:pt>
                <c:pt idx="7">
                  <c:v>Others</c:v>
                </c:pt>
              </c:strCache>
            </c:strRef>
          </c:cat>
          <c:val>
            <c:numRef>
              <c:f>'Journey P'!$R$5:$R$12</c:f>
              <c:numCache>
                <c:formatCode>0.0%</c:formatCode>
                <c:ptCount val="8"/>
                <c:pt idx="0">
                  <c:v>2.19017094017094E-2</c:v>
                </c:pt>
                <c:pt idx="1">
                  <c:v>7.5320512820512817E-2</c:v>
                </c:pt>
                <c:pt idx="2">
                  <c:v>0.13425925925925927</c:v>
                </c:pt>
                <c:pt idx="3">
                  <c:v>2.3148148148148147E-3</c:v>
                </c:pt>
                <c:pt idx="4">
                  <c:v>1.1930199430199431E-2</c:v>
                </c:pt>
                <c:pt idx="5">
                  <c:v>9.9715099715099714E-3</c:v>
                </c:pt>
                <c:pt idx="6">
                  <c:v>1.4245014245014246E-3</c:v>
                </c:pt>
                <c:pt idx="7">
                  <c:v>6.41025641025641E-3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D-4B02-AB41-D3723E0993D9}"/>
            </c:ext>
          </c:extLst>
        </c:ser>
        <c:ser>
          <c:idx val="1"/>
          <c:order val="1"/>
          <c:tx>
            <c:strRef>
              <c:f>'Journey P'!$S$4</c:f>
              <c:strCache>
                <c:ptCount val="1"/>
                <c:pt idx="0">
                  <c:v>Male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'Journey P'!$Q$5:$Q$12</c:f>
              <c:strCache>
                <c:ptCount val="8"/>
                <c:pt idx="0">
                  <c:v>Commercial</c:v>
                </c:pt>
                <c:pt idx="1">
                  <c:v>Work</c:v>
                </c:pt>
                <c:pt idx="2">
                  <c:v>Home</c:v>
                </c:pt>
                <c:pt idx="3">
                  <c:v>Hospital</c:v>
                </c:pt>
                <c:pt idx="4">
                  <c:v>Leisure</c:v>
                </c:pt>
                <c:pt idx="5">
                  <c:v>Study</c:v>
                </c:pt>
                <c:pt idx="6">
                  <c:v>Tourism</c:v>
                </c:pt>
                <c:pt idx="7">
                  <c:v>Others</c:v>
                </c:pt>
              </c:strCache>
            </c:strRef>
          </c:cat>
          <c:val>
            <c:numRef>
              <c:f>'Journey P'!$S$5:$S$12</c:f>
              <c:numCache>
                <c:formatCode>0.0%</c:formatCode>
                <c:ptCount val="8"/>
                <c:pt idx="0">
                  <c:v>9.1702279202279205E-2</c:v>
                </c:pt>
                <c:pt idx="1">
                  <c:v>0.35986467236467234</c:v>
                </c:pt>
                <c:pt idx="2">
                  <c:v>0.24572649572649571</c:v>
                </c:pt>
                <c:pt idx="3">
                  <c:v>2.136752136752137E-3</c:v>
                </c:pt>
                <c:pt idx="4">
                  <c:v>1.9052706552706553E-2</c:v>
                </c:pt>
                <c:pt idx="5">
                  <c:v>8.0128205128205121E-3</c:v>
                </c:pt>
                <c:pt idx="6">
                  <c:v>2.4928774928774928E-3</c:v>
                </c:pt>
                <c:pt idx="7">
                  <c:v>7.478632478632479E-3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5D-4B02-AB41-D3723E0993D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73930536"/>
        <c:axId val="673924304"/>
        <c:axId val="740692640"/>
      </c:bar3DChart>
      <c:catAx>
        <c:axId val="673930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 b="1"/>
                  <a:t>Journey Purpose</a:t>
                </a:r>
              </a:p>
            </c:rich>
          </c:tx>
          <c:layout>
            <c:manualLayout>
              <c:xMode val="edge"/>
              <c:yMode val="edge"/>
              <c:x val="0.42197922134733151"/>
              <c:y val="0.8897553951589384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3924304"/>
        <c:crosses val="autoZero"/>
        <c:auto val="1"/>
        <c:lblAlgn val="ctr"/>
        <c:lblOffset val="100"/>
        <c:noMultiLvlLbl val="0"/>
      </c:catAx>
      <c:valAx>
        <c:axId val="67392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 b="1"/>
                  <a:t>Proportion of Respondents, %</a:t>
                </a:r>
              </a:p>
            </c:rich>
          </c:tx>
          <c:layout>
            <c:manualLayout>
              <c:xMode val="edge"/>
              <c:yMode val="edge"/>
              <c:x val="1.2784995625546807E-2"/>
              <c:y val="0.161147200349956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3930536"/>
        <c:crosses val="autoZero"/>
        <c:crossBetween val="between"/>
        <c:majorUnit val="0.1"/>
      </c:valAx>
      <c:serAx>
        <c:axId val="740692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73924304"/>
        <c:crosses val="autoZero"/>
      </c:ser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8336132983377083"/>
          <c:y val="0.92187445319335082"/>
          <c:w val="0.17568500272544466"/>
          <c:h val="5.43799634300211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b="1"/>
              <a:t>Journey</a:t>
            </a:r>
            <a:r>
              <a:rPr lang="en-US" sz="1200" b="1" baseline="0"/>
              <a:t> </a:t>
            </a:r>
            <a:r>
              <a:rPr lang="en-US" sz="1200" b="1"/>
              <a:t>Distances Travelled by Respondents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'Dist-Time'!$G$3</c:f>
              <c:strCache>
                <c:ptCount val="1"/>
                <c:pt idx="0">
                  <c:v>No. Responses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'Dist-Time'!$F$4:$F$10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100-200</c:v>
                </c:pt>
                <c:pt idx="6">
                  <c:v>Over 200</c:v>
                </c:pt>
              </c:strCache>
            </c:strRef>
          </c:cat>
          <c:val>
            <c:numRef>
              <c:f>'Dist-Time'!$G$4:$G$10</c:f>
              <c:numCache>
                <c:formatCode>General</c:formatCode>
                <c:ptCount val="7"/>
                <c:pt idx="0">
                  <c:v>1009</c:v>
                </c:pt>
                <c:pt idx="1">
                  <c:v>212</c:v>
                </c:pt>
                <c:pt idx="2">
                  <c:v>642</c:v>
                </c:pt>
                <c:pt idx="3">
                  <c:v>780</c:v>
                </c:pt>
                <c:pt idx="4">
                  <c:v>540</c:v>
                </c:pt>
                <c:pt idx="5">
                  <c:v>688</c:v>
                </c:pt>
                <c:pt idx="6">
                  <c:v>1052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3E-4BEA-8A05-2D511F026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9"/>
        <c:axId val="698163504"/>
        <c:axId val="698165472"/>
      </c:barChart>
      <c:lineChart>
        <c:grouping val="standard"/>
        <c:varyColors val="0"/>
        <c:ser>
          <c:idx val="1"/>
          <c:order val="1"/>
          <c:tx>
            <c:strRef>
              <c:f>'Dist-Time'!$H$3</c:f>
              <c:strCache>
                <c:ptCount val="1"/>
                <c:pt idx="0">
                  <c:v>%ge Responses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2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val>
            <c:numRef>
              <c:f>'Dist-Time'!$H$4:$H$10</c:f>
              <c:numCache>
                <c:formatCode>0.0%</c:formatCode>
                <c:ptCount val="7"/>
                <c:pt idx="0">
                  <c:v>0.2049563274426163</c:v>
                </c:pt>
                <c:pt idx="1">
                  <c:v>4.306317286207597E-2</c:v>
                </c:pt>
                <c:pt idx="2">
                  <c:v>0.13040828762949422</c:v>
                </c:pt>
                <c:pt idx="3">
                  <c:v>0.15843997562461914</c:v>
                </c:pt>
                <c:pt idx="4">
                  <c:v>0.10968921389396709</c:v>
                </c:pt>
                <c:pt idx="5">
                  <c:v>0.13975218362786918</c:v>
                </c:pt>
                <c:pt idx="6">
                  <c:v>0.21369083891935811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3E-4BEA-8A05-2D511F0267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01880"/>
        <c:axId val="698198928"/>
      </c:lineChart>
      <c:catAx>
        <c:axId val="69816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Distance (Km)</a:t>
                </a:r>
              </a:p>
            </c:rich>
          </c:tx>
          <c:layout>
            <c:manualLayout>
              <c:xMode val="edge"/>
              <c:yMode val="edge"/>
              <c:x val="0.33684383202099732"/>
              <c:y val="0.858124817731116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5472"/>
        <c:crosses val="autoZero"/>
        <c:auto val="1"/>
        <c:lblAlgn val="ctr"/>
        <c:lblOffset val="100"/>
        <c:noMultiLvlLbl val="0"/>
      </c:catAx>
      <c:valAx>
        <c:axId val="69816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No.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3504"/>
        <c:crosses val="autoZero"/>
        <c:crossBetween val="between"/>
      </c:valAx>
      <c:valAx>
        <c:axId val="698198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/>
                  <a:t>Proportion of Repsondents,</a:t>
                </a:r>
                <a:r>
                  <a:rPr lang="en-US" baseline="0"/>
                  <a:t> 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01880"/>
        <c:crosses val="max"/>
        <c:crossBetween val="between"/>
      </c:valAx>
      <c:catAx>
        <c:axId val="698201880"/>
        <c:scaling>
          <c:orientation val="minMax"/>
        </c:scaling>
        <c:delete val="1"/>
        <c:axPos val="b"/>
        <c:majorTickMark val="out"/>
        <c:minorTickMark val="none"/>
        <c:tickLblPos val="nextTo"/>
        <c:crossAx val="698198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b="1"/>
              <a:t>Typical Journey</a:t>
            </a:r>
            <a:r>
              <a:rPr lang="en-US" sz="1200" b="1" baseline="0"/>
              <a:t> Time </a:t>
            </a:r>
            <a:r>
              <a:rPr lang="en-US" sz="1200" b="1"/>
              <a:t>by Respondents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'Dist-Time'!$G$21</c:f>
              <c:strCache>
                <c:ptCount val="1"/>
                <c:pt idx="0">
                  <c:v>No. Responses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'Dist-Time'!$F$23:$F$26</c:f>
              <c:strCache>
                <c:ptCount val="4"/>
                <c:pt idx="0">
                  <c:v>0.5-1.0</c:v>
                </c:pt>
                <c:pt idx="1">
                  <c:v>1.0-2.0</c:v>
                </c:pt>
                <c:pt idx="2">
                  <c:v>2.0-3.5</c:v>
                </c:pt>
                <c:pt idx="3">
                  <c:v>Over 3.5</c:v>
                </c:pt>
              </c:strCache>
            </c:strRef>
          </c:cat>
          <c:val>
            <c:numRef>
              <c:f>'Dist-Time'!$G$23:$G$26</c:f>
              <c:numCache>
                <c:formatCode>General</c:formatCode>
                <c:ptCount val="4"/>
                <c:pt idx="0">
                  <c:v>366</c:v>
                </c:pt>
                <c:pt idx="1">
                  <c:v>984</c:v>
                </c:pt>
                <c:pt idx="2">
                  <c:v>1575</c:v>
                </c:pt>
                <c:pt idx="3">
                  <c:v>1449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5D-4728-B598-9BD48BDF7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9"/>
        <c:axId val="698163504"/>
        <c:axId val="698165472"/>
      </c:barChart>
      <c:lineChart>
        <c:grouping val="standard"/>
        <c:varyColors val="0"/>
        <c:ser>
          <c:idx val="1"/>
          <c:order val="1"/>
          <c:tx>
            <c:strRef>
              <c:f>'Dist-Time'!$H$21</c:f>
              <c:strCache>
                <c:ptCount val="1"/>
                <c:pt idx="0">
                  <c:v>%ge Responses</c:v>
                </c:pt>
              </c:strCache>
            </c:strRef>
          </c:tx>
          <c:spPr>
            <a:ln w="28575" cap="rnd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marker>
            <c:symbol val="diamond"/>
            <c:size val="5"/>
            <c:spPr>
              <a:solidFill>
                <a:schemeClr val="tx2">
                  <a:lumMod val="75000"/>
                </a:schemeClr>
              </a:solidFill>
              <a:ln w="9525">
                <a:solidFill>
                  <a:schemeClr val="accent1">
                    <a:lumMod val="75000"/>
                  </a:schemeClr>
                </a:solidFill>
              </a:ln>
              <a:effectLst/>
            </c:spPr>
          </c:marker>
          <c:cat>
            <c:strRef>
              <c:f>'Dist-Time'!$F$23:$F$26</c:f>
              <c:strCache>
                <c:ptCount val="4"/>
                <c:pt idx="0">
                  <c:v>0.5-1.0</c:v>
                </c:pt>
                <c:pt idx="1">
                  <c:v>1.0-2.0</c:v>
                </c:pt>
                <c:pt idx="2">
                  <c:v>2.0-3.5</c:v>
                </c:pt>
                <c:pt idx="3">
                  <c:v>Over 3.5</c:v>
                </c:pt>
              </c:strCache>
            </c:strRef>
          </c:cat>
          <c:val>
            <c:numRef>
              <c:f>'Dist-Time'!$H$23:$H$26</c:f>
              <c:numCache>
                <c:formatCode>0.0%</c:formatCode>
                <c:ptCount val="4"/>
                <c:pt idx="0">
                  <c:v>7.4344911639244365E-2</c:v>
                </c:pt>
                <c:pt idx="1">
                  <c:v>0.19987812309567338</c:v>
                </c:pt>
                <c:pt idx="2">
                  <c:v>0.31992687385740404</c:v>
                </c:pt>
                <c:pt idx="3">
                  <c:v>0.29433272394881171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A5D-4728-B598-9BD48BDF7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01880"/>
        <c:axId val="698198928"/>
      </c:lineChart>
      <c:catAx>
        <c:axId val="69816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Journey Time (Hrs)</a:t>
                </a:r>
              </a:p>
            </c:rich>
          </c:tx>
          <c:layout>
            <c:manualLayout>
              <c:xMode val="edge"/>
              <c:yMode val="edge"/>
              <c:x val="0.36739938757655294"/>
              <c:y val="0.8859025955088947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5472"/>
        <c:crosses val="autoZero"/>
        <c:auto val="1"/>
        <c:lblAlgn val="ctr"/>
        <c:lblOffset val="100"/>
        <c:noMultiLvlLbl val="0"/>
      </c:catAx>
      <c:valAx>
        <c:axId val="69816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 b="1"/>
                  <a:t>No.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163504"/>
        <c:crosses val="autoZero"/>
        <c:crossBetween val="between"/>
      </c:valAx>
      <c:valAx>
        <c:axId val="69819892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050"/>
                  <a:t>Proportion of Repsondents,</a:t>
                </a:r>
                <a:r>
                  <a:rPr lang="en-US" sz="1050" baseline="0"/>
                  <a:t> %</a:t>
                </a:r>
                <a:endParaRPr lang="en-US" sz="105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01880"/>
        <c:crosses val="max"/>
        <c:crossBetween val="between"/>
        <c:majorUnit val="0.1"/>
      </c:valAx>
      <c:catAx>
        <c:axId val="6982018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98198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200" b="1"/>
              <a:t>Willingness To Pay Toll Charges by Journey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16083573928258968"/>
          <c:y val="0.15648148148148147"/>
          <c:w val="0.80860870516185479"/>
          <c:h val="0.6015008019830855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'Dist-Time Toll'!$V$4</c:f>
              <c:strCache>
                <c:ptCount val="1"/>
                <c:pt idx="0">
                  <c:v>0-1,000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100-200</c:v>
                </c:pt>
                <c:pt idx="6">
                  <c:v>Over 200</c:v>
                </c:pt>
              </c:strCache>
            </c:strRef>
          </c:cat>
          <c:val>
            <c:numRef>
              <c:f>'Dist-Time Toll'!$V$5:$V$11</c:f>
              <c:numCache>
                <c:formatCode>0.0%</c:formatCode>
                <c:ptCount val="7"/>
                <c:pt idx="0">
                  <c:v>8.3079423115986192E-2</c:v>
                </c:pt>
                <c:pt idx="1">
                  <c:v>4.8141377209018892E-2</c:v>
                </c:pt>
                <c:pt idx="2">
                  <c:v>2.0109689213893969E-2</c:v>
                </c:pt>
                <c:pt idx="3">
                  <c:v>5.1188299817184646E-2</c:v>
                </c:pt>
                <c:pt idx="4">
                  <c:v>6.4594759293113951E-2</c:v>
                </c:pt>
                <c:pt idx="5">
                  <c:v>3.7578712167377612E-2</c:v>
                </c:pt>
                <c:pt idx="6">
                  <c:v>6.0329067641681902E-2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93-4D08-BD01-E71F8E73BABF}"/>
            </c:ext>
          </c:extLst>
        </c:ser>
        <c:ser>
          <c:idx val="1"/>
          <c:order val="1"/>
          <c:tx>
            <c:strRef>
              <c:f>'Dist-Time Toll'!$W$4</c:f>
              <c:strCache>
                <c:ptCount val="1"/>
                <c:pt idx="0">
                  <c:v>1,000-2,000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3.611111111111110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493-4D08-BD01-E71F8E73BA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100-200</c:v>
                </c:pt>
                <c:pt idx="6">
                  <c:v>Over 200</c:v>
                </c:pt>
              </c:strCache>
            </c:strRef>
          </c:cat>
          <c:val>
            <c:numRef>
              <c:f>'Dist-Time Toll'!$W$5:$W$11</c:f>
              <c:numCache>
                <c:formatCode>0.0%</c:formatCode>
                <c:ptCount val="7"/>
                <c:pt idx="0">
                  <c:v>5.078204346942921E-2</c:v>
                </c:pt>
                <c:pt idx="1">
                  <c:v>3.2703635994312412E-2</c:v>
                </c:pt>
                <c:pt idx="2">
                  <c:v>1.3406459475929311E-2</c:v>
                </c:pt>
                <c:pt idx="3">
                  <c:v>4.0016250253910216E-2</c:v>
                </c:pt>
                <c:pt idx="4">
                  <c:v>4.2656916514320534E-2</c:v>
                </c:pt>
                <c:pt idx="5">
                  <c:v>2.8437944342880356E-2</c:v>
                </c:pt>
                <c:pt idx="6">
                  <c:v>5.0985171643306924E-2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93-4D08-BD01-E71F8E73BABF}"/>
            </c:ext>
          </c:extLst>
        </c:ser>
        <c:ser>
          <c:idx val="2"/>
          <c:order val="2"/>
          <c:tx>
            <c:strRef>
              <c:f>'Dist-Time Toll'!$X$4</c:f>
              <c:strCache>
                <c:ptCount val="1"/>
                <c:pt idx="0">
                  <c:v>2,000-3,000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-3.3333333333333333E-2"/>
                  <c:y val="-4.62962962962962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493-4D08-BD01-E71F8E73BA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100-200</c:v>
                </c:pt>
                <c:pt idx="6">
                  <c:v>Over 200</c:v>
                </c:pt>
              </c:strCache>
            </c:strRef>
          </c:cat>
          <c:val>
            <c:numRef>
              <c:f>'Dist-Time Toll'!$X$5:$X$11</c:f>
              <c:numCache>
                <c:formatCode>0.0%</c:formatCode>
                <c:ptCount val="7"/>
                <c:pt idx="0">
                  <c:v>2.6609790777980907E-2</c:v>
                </c:pt>
                <c:pt idx="1">
                  <c:v>2.3969124517570588E-2</c:v>
                </c:pt>
                <c:pt idx="2">
                  <c:v>4.4688198253097708E-3</c:v>
                </c:pt>
                <c:pt idx="3">
                  <c:v>1.6656510257972781E-2</c:v>
                </c:pt>
                <c:pt idx="4">
                  <c:v>2.4172252691448303E-2</c:v>
                </c:pt>
                <c:pt idx="5">
                  <c:v>2.0719073735527116E-2</c:v>
                </c:pt>
                <c:pt idx="6">
                  <c:v>3.8188096689010763E-2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493-4D08-BD01-E71F8E73BABF}"/>
            </c:ext>
          </c:extLst>
        </c:ser>
        <c:ser>
          <c:idx val="3"/>
          <c:order val="3"/>
          <c:tx>
            <c:strRef>
              <c:f>'Dist-Time Toll'!$Y$4</c:f>
              <c:strCache>
                <c:ptCount val="1"/>
                <c:pt idx="0">
                  <c:v>3,000-5,000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100-200</c:v>
                </c:pt>
                <c:pt idx="6">
                  <c:v>Over 200</c:v>
                </c:pt>
              </c:strCache>
            </c:strRef>
          </c:cat>
          <c:val>
            <c:numRef>
              <c:f>'Dist-Time Toll'!$Y$5:$Y$11</c:f>
              <c:numCache>
                <c:formatCode>0.0%</c:formatCode>
                <c:ptCount val="7"/>
                <c:pt idx="0">
                  <c:v>1.6859638431850496E-2</c:v>
                </c:pt>
                <c:pt idx="1">
                  <c:v>1.5234613040828763E-2</c:v>
                </c:pt>
                <c:pt idx="2">
                  <c:v>1.8281535648994515E-3</c:v>
                </c:pt>
                <c:pt idx="3">
                  <c:v>9.140767824497258E-3</c:v>
                </c:pt>
                <c:pt idx="4">
                  <c:v>1.0562665041641276E-2</c:v>
                </c:pt>
                <c:pt idx="5">
                  <c:v>9.9532805200081252E-3</c:v>
                </c:pt>
                <c:pt idx="6">
                  <c:v>2.2344099126548854E-2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493-4D08-BD01-E71F8E73BABF}"/>
            </c:ext>
          </c:extLst>
        </c:ser>
        <c:ser>
          <c:idx val="4"/>
          <c:order val="4"/>
          <c:tx>
            <c:strRef>
              <c:f>'Dist-Time Toll'!$Z$4</c:f>
              <c:strCache>
                <c:ptCount val="1"/>
                <c:pt idx="0">
                  <c:v>5,000-10,000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100-200</c:v>
                </c:pt>
                <c:pt idx="6">
                  <c:v>Over 200</c:v>
                </c:pt>
              </c:strCache>
            </c:strRef>
          </c:cat>
          <c:val>
            <c:numRef>
              <c:f>'Dist-Time Toll'!$Z$5:$Z$11</c:f>
              <c:numCache>
                <c:formatCode>0.0%</c:formatCode>
                <c:ptCount val="7"/>
                <c:pt idx="0">
                  <c:v>1.6453382084095063E-2</c:v>
                </c:pt>
                <c:pt idx="1">
                  <c:v>1.5234613040828763E-2</c:v>
                </c:pt>
                <c:pt idx="2">
                  <c:v>2.4375380865326022E-3</c:v>
                </c:pt>
                <c:pt idx="3">
                  <c:v>1.1375177737152143E-2</c:v>
                </c:pt>
                <c:pt idx="4">
                  <c:v>1.3406459475929311E-2</c:v>
                </c:pt>
                <c:pt idx="5">
                  <c:v>9.9532805200081252E-3</c:v>
                </c:pt>
                <c:pt idx="6">
                  <c:v>3.0062969733902094E-2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493-4D08-BD01-E71F8E73BABF}"/>
            </c:ext>
          </c:extLst>
        </c:ser>
        <c:ser>
          <c:idx val="5"/>
          <c:order val="5"/>
          <c:tx>
            <c:strRef>
              <c:f>'Dist-Time Toll'!$AA$4</c:f>
              <c:strCache>
                <c:ptCount val="1"/>
                <c:pt idx="0">
                  <c:v>Over 10,000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'Dist-Time Toll'!$U$5:$U$11</c:f>
              <c:strCache>
                <c:ptCount val="7"/>
                <c:pt idx="0">
                  <c:v>0-10</c:v>
                </c:pt>
                <c:pt idx="1">
                  <c:v>10-20</c:v>
                </c:pt>
                <c:pt idx="2">
                  <c:v>20-40</c:v>
                </c:pt>
                <c:pt idx="3">
                  <c:v>40-70</c:v>
                </c:pt>
                <c:pt idx="4">
                  <c:v>70-100</c:v>
                </c:pt>
                <c:pt idx="5">
                  <c:v>100-200</c:v>
                </c:pt>
                <c:pt idx="6">
                  <c:v>Over 200</c:v>
                </c:pt>
              </c:strCache>
            </c:strRef>
          </c:cat>
          <c:val>
            <c:numRef>
              <c:f>'Dist-Time Toll'!$AA$5:$AA$11</c:f>
              <c:numCache>
                <c:formatCode>0.0%</c:formatCode>
                <c:ptCount val="7"/>
                <c:pt idx="0">
                  <c:v>1.1172049563274427E-2</c:v>
                </c:pt>
                <c:pt idx="1">
                  <c:v>4.4688198253097708E-3</c:v>
                </c:pt>
                <c:pt idx="2">
                  <c:v>8.1251269551086737E-4</c:v>
                </c:pt>
                <c:pt idx="3">
                  <c:v>2.0312817387771686E-3</c:v>
                </c:pt>
                <c:pt idx="4">
                  <c:v>3.0469226081657527E-3</c:v>
                </c:pt>
                <c:pt idx="5">
                  <c:v>3.0469226081657527E-3</c:v>
                </c:pt>
                <c:pt idx="6">
                  <c:v>1.1781434084907576E-2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493-4D08-BD01-E71F8E73BAB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98246160"/>
        <c:axId val="698236648"/>
      </c:barChart>
      <c:catAx>
        <c:axId val="6982461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Journey</a:t>
                </a:r>
                <a:r>
                  <a:rPr lang="en-US" b="1" baseline="0"/>
                  <a:t> Distance (Km)</a:t>
                </a:r>
                <a:endParaRPr lang="en-US" b="1"/>
              </a:p>
            </c:rich>
          </c:tx>
          <c:layout>
            <c:manualLayout>
              <c:xMode val="edge"/>
              <c:yMode val="edge"/>
              <c:x val="0.37998731408573932"/>
              <c:y val="0.835814012831729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6648"/>
        <c:crosses val="autoZero"/>
        <c:auto val="1"/>
        <c:lblAlgn val="ctr"/>
        <c:lblOffset val="100"/>
        <c:noMultiLvlLbl val="0"/>
      </c:catAx>
      <c:valAx>
        <c:axId val="698236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Proportion of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4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60" b="1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b="1"/>
              <a:t>Willingness To Pay Toll Charges by Income</a:t>
            </a:r>
            <a:endParaRPr lang="en-UG" b="1"/>
          </a:p>
        </c:rich>
      </c:tx>
      <c:layout>
        <c:manualLayout>
          <c:xMode val="edge"/>
          <c:yMode val="edge"/>
          <c:x val="0.24316033609006421"/>
          <c:y val="3.04568527918781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60" b="1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20"/>
      <c:rotY val="2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1">
            <a:lumMod val="75000"/>
          </a:schemeClr>
        </a:solidFill>
        <a:ln>
          <a:noFill/>
        </a:ln>
        <a:effectLst/>
        <a:sp3d/>
      </c:spPr>
    </c:backWall>
    <c:plotArea>
      <c:layout/>
      <c:bar3DChart>
        <c:barDir val="col"/>
        <c:grouping val="standard"/>
        <c:varyColors val="0"/>
        <c:ser>
          <c:idx val="0"/>
          <c:order val="0"/>
          <c:tx>
            <c:strRef>
              <c:f>'Income-Toll'!$T$5</c:f>
              <c:strCache>
                <c:ptCount val="1"/>
                <c:pt idx="0">
                  <c:v>&lt;300,000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'Income-Toll'!$U$5:$Z$5</c:f>
              <c:numCache>
                <c:formatCode>0.0%</c:formatCode>
                <c:ptCount val="6"/>
                <c:pt idx="0">
                  <c:v>0.19094061551798874</c:v>
                </c:pt>
                <c:pt idx="1">
                  <c:v>8.170784568703944E-2</c:v>
                </c:pt>
                <c:pt idx="2">
                  <c:v>2.904204594711747E-2</c:v>
                </c:pt>
                <c:pt idx="3">
                  <c:v>1.1703511053315995E-2</c:v>
                </c:pt>
                <c:pt idx="4">
                  <c:v>1.7555266579973992E-2</c:v>
                </c:pt>
                <c:pt idx="5">
                  <c:v>5.6350238404854792E-3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46-4443-97F7-F007FF7B3D71}"/>
            </c:ext>
          </c:extLst>
        </c:ser>
        <c:ser>
          <c:idx val="1"/>
          <c:order val="1"/>
          <c:tx>
            <c:strRef>
              <c:f>'Income-Toll'!$T$6</c:f>
              <c:strCache>
                <c:ptCount val="1"/>
                <c:pt idx="0">
                  <c:v>300,000-500,000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'Income-Toll'!$U$6:$Z$6</c:f>
              <c:numCache>
                <c:formatCode>0.0%</c:formatCode>
                <c:ptCount val="6"/>
                <c:pt idx="0">
                  <c:v>1.3870827915041179E-2</c:v>
                </c:pt>
                <c:pt idx="1">
                  <c:v>1.3003901170351105E-2</c:v>
                </c:pt>
                <c:pt idx="2">
                  <c:v>1.3654096228868661E-2</c:v>
                </c:pt>
                <c:pt idx="3">
                  <c:v>5.8517555266579977E-3</c:v>
                </c:pt>
                <c:pt idx="4">
                  <c:v>1.1270047680970958E-2</c:v>
                </c:pt>
                <c:pt idx="5">
                  <c:v>6.9354139575205894E-3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D46-4443-97F7-F007FF7B3D71}"/>
            </c:ext>
          </c:extLst>
        </c:ser>
        <c:ser>
          <c:idx val="2"/>
          <c:order val="2"/>
          <c:tx>
            <c:strRef>
              <c:f>'Income-Toll'!$T$7</c:f>
              <c:strCache>
                <c:ptCount val="1"/>
                <c:pt idx="0">
                  <c:v>500,000-750,000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'Income-Toll'!$U$7:$Z$7</c:f>
              <c:numCache>
                <c:formatCode>0.0%</c:formatCode>
                <c:ptCount val="6"/>
                <c:pt idx="0">
                  <c:v>9.8179453836150843E-2</c:v>
                </c:pt>
                <c:pt idx="1">
                  <c:v>9.5145210229735586E-2</c:v>
                </c:pt>
                <c:pt idx="2">
                  <c:v>5.808409189423494E-2</c:v>
                </c:pt>
                <c:pt idx="3">
                  <c:v>2.8608582574772431E-2</c:v>
                </c:pt>
                <c:pt idx="4">
                  <c:v>2.4490680537494581E-2</c:v>
                </c:pt>
                <c:pt idx="5">
                  <c:v>7.3688773298656264E-3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D46-4443-97F7-F007FF7B3D71}"/>
            </c:ext>
          </c:extLst>
        </c:ser>
        <c:ser>
          <c:idx val="3"/>
          <c:order val="3"/>
          <c:tx>
            <c:strRef>
              <c:f>'Income-Toll'!$T$8</c:f>
              <c:strCache>
                <c:ptCount val="1"/>
                <c:pt idx="0">
                  <c:v>750,000-1,000,000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'Income-Toll'!$U$8:$Z$8</c:f>
              <c:numCache>
                <c:formatCode>0.0%</c:formatCode>
                <c:ptCount val="6"/>
                <c:pt idx="0">
                  <c:v>5.2882531426094496E-2</c:v>
                </c:pt>
                <c:pt idx="1">
                  <c:v>5.0281751192024271E-2</c:v>
                </c:pt>
                <c:pt idx="2">
                  <c:v>3.7928045080190723E-2</c:v>
                </c:pt>
                <c:pt idx="3">
                  <c:v>2.2106631989596878E-2</c:v>
                </c:pt>
                <c:pt idx="4">
                  <c:v>3.0342436064152579E-2</c:v>
                </c:pt>
                <c:pt idx="5">
                  <c:v>8.4525357607282189E-3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D46-4443-97F7-F007FF7B3D71}"/>
            </c:ext>
          </c:extLst>
        </c:ser>
        <c:ser>
          <c:idx val="4"/>
          <c:order val="4"/>
          <c:tx>
            <c:strRef>
              <c:f>'Income-Toll'!$T$9</c:f>
              <c:strCache>
                <c:ptCount val="1"/>
                <c:pt idx="0">
                  <c:v>&gt;1,000,000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'Income-Toll'!$U$4:$Z$4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'Income-Toll'!$U$9:$Z$9</c:f>
              <c:numCache>
                <c:formatCode>0.0%</c:formatCode>
                <c:ptCount val="6"/>
                <c:pt idx="0">
                  <c:v>3.2726484612050279E-2</c:v>
                </c:pt>
                <c:pt idx="1">
                  <c:v>3.5760728218465543E-2</c:v>
                </c:pt>
                <c:pt idx="2">
                  <c:v>2.6224534026874729E-2</c:v>
                </c:pt>
                <c:pt idx="3">
                  <c:v>2.2756827048114433E-2</c:v>
                </c:pt>
                <c:pt idx="4">
                  <c:v>2.1673168617251843E-2</c:v>
                </c:pt>
                <c:pt idx="5">
                  <c:v>1.0403120936280884E-2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D46-4443-97F7-F007FF7B3D7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98233040"/>
        <c:axId val="698231728"/>
        <c:axId val="779051632"/>
      </c:bar3DChart>
      <c:catAx>
        <c:axId val="6982330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Potential Toll Charge (UGX)</a:t>
                </a:r>
              </a:p>
            </c:rich>
          </c:tx>
          <c:layout>
            <c:manualLayout>
              <c:xMode val="edge"/>
              <c:yMode val="edge"/>
              <c:x val="0.28017756504610741"/>
              <c:y val="0.941742593909027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1728"/>
        <c:crosses val="autoZero"/>
        <c:auto val="1"/>
        <c:lblAlgn val="ctr"/>
        <c:lblOffset val="100"/>
        <c:noMultiLvlLbl val="0"/>
      </c:catAx>
      <c:valAx>
        <c:axId val="69823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Proportion of Respondents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5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3040"/>
        <c:crosses val="autoZero"/>
        <c:crossBetween val="between"/>
      </c:valAx>
      <c:serAx>
        <c:axId val="77905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/>
                  <a:t>Income (UGX)</a:t>
                </a:r>
              </a:p>
            </c:rich>
          </c:tx>
          <c:layout>
            <c:manualLayout>
              <c:xMode val="edge"/>
              <c:yMode val="edge"/>
              <c:x val="0.93246564524809505"/>
              <c:y val="0.613748471727454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31728"/>
        <c:crosses val="autoZero"/>
      </c:ser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 i="0" baseline="0">
                <a:effectLst/>
              </a:rPr>
              <a:t>Willingness To Pay Toll Charges by Vehicle Type</a:t>
            </a:r>
            <a:endParaRPr lang="en-UG" sz="1400">
              <a:effectLst/>
            </a:endParaRPr>
          </a:p>
        </c:rich>
      </c:tx>
      <c:layout>
        <c:manualLayout>
          <c:xMode val="edge"/>
          <c:yMode val="edge"/>
          <c:x val="0.29959315278833842"/>
          <c:y val="1.84919692167091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G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solidFill>
          <a:schemeClr val="bg2">
            <a:lumMod val="75000"/>
          </a:schemeClr>
        </a:solidFill>
        <a:ln>
          <a:noFill/>
        </a:ln>
        <a:effectLst/>
        <a:sp3d/>
      </c:spPr>
    </c:floor>
    <c:sideWall>
      <c:thickness val="0"/>
      <c:spPr>
        <a:solidFill>
          <a:schemeClr val="bg1">
            <a:lumMod val="95000"/>
          </a:schemeClr>
        </a:solidFill>
        <a:ln>
          <a:noFill/>
        </a:ln>
        <a:effectLst/>
        <a:sp3d/>
      </c:spPr>
    </c:sideWall>
    <c:backWall>
      <c:thickness val="0"/>
      <c:spPr>
        <a:solidFill>
          <a:schemeClr val="bg1">
            <a:lumMod val="95000"/>
          </a:schemeClr>
        </a:solidFill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5.834865307108577E-2"/>
          <c:y val="6.7501406007373269E-2"/>
          <c:w val="0.83455229185594682"/>
          <c:h val="0.79006617022200443"/>
        </c:manualLayout>
      </c:layout>
      <c:bar3DChart>
        <c:barDir val="col"/>
        <c:grouping val="standard"/>
        <c:varyColors val="0"/>
        <c:ser>
          <c:idx val="0"/>
          <c:order val="0"/>
          <c:tx>
            <c:strRef>
              <c:f>'Veh-Toll'!$T$5</c:f>
              <c:strCache>
                <c:ptCount val="1"/>
                <c:pt idx="0">
                  <c:v>Car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'Veh-Toll'!$U$5:$Z$5</c:f>
              <c:numCache>
                <c:formatCode>0.0%</c:formatCode>
                <c:ptCount val="6"/>
                <c:pt idx="0">
                  <c:v>5.7024793388429751E-2</c:v>
                </c:pt>
                <c:pt idx="1">
                  <c:v>4.4834710743801652E-2</c:v>
                </c:pt>
                <c:pt idx="2">
                  <c:v>2.809917355371901E-2</c:v>
                </c:pt>
                <c:pt idx="3">
                  <c:v>1.0330578512396695E-2</c:v>
                </c:pt>
                <c:pt idx="4">
                  <c:v>1.3429752066115703E-2</c:v>
                </c:pt>
                <c:pt idx="5">
                  <c:v>4.9586776859504135E-3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F7-4111-A406-AC4A80A48679}"/>
            </c:ext>
          </c:extLst>
        </c:ser>
        <c:ser>
          <c:idx val="1"/>
          <c:order val="1"/>
          <c:tx>
            <c:strRef>
              <c:f>'Veh-Toll'!$T$6</c:f>
              <c:strCache>
                <c:ptCount val="1"/>
                <c:pt idx="0">
                  <c:v>Heavy truck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'Veh-Toll'!$U$6:$Z$6</c:f>
              <c:numCache>
                <c:formatCode>0.0%</c:formatCode>
                <c:ptCount val="6"/>
                <c:pt idx="0">
                  <c:v>1.652892561983471E-3</c:v>
                </c:pt>
                <c:pt idx="1">
                  <c:v>2.6859504132231405E-3</c:v>
                </c:pt>
                <c:pt idx="2">
                  <c:v>1.4462809917355371E-3</c:v>
                </c:pt>
                <c:pt idx="3">
                  <c:v>1.859504132231405E-3</c:v>
                </c:pt>
                <c:pt idx="4">
                  <c:v>3.7190082644628099E-3</c:v>
                </c:pt>
                <c:pt idx="5">
                  <c:v>8.2644628099173552E-4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F7-4111-A406-AC4A80A48679}"/>
            </c:ext>
          </c:extLst>
        </c:ser>
        <c:ser>
          <c:idx val="2"/>
          <c:order val="2"/>
          <c:tx>
            <c:strRef>
              <c:f>'Veh-Toll'!$T$7</c:f>
              <c:strCache>
                <c:ptCount val="1"/>
                <c:pt idx="0">
                  <c:v>Large Bus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'Veh-Toll'!$U$7:$Z$7</c:f>
              <c:numCache>
                <c:formatCode>0.0%</c:formatCode>
                <c:ptCount val="6"/>
                <c:pt idx="0">
                  <c:v>5.3305785123966942E-2</c:v>
                </c:pt>
                <c:pt idx="1">
                  <c:v>3.71900826446281E-2</c:v>
                </c:pt>
                <c:pt idx="2">
                  <c:v>3.0578512396694214E-2</c:v>
                </c:pt>
                <c:pt idx="3">
                  <c:v>1.5702479338842976E-2</c:v>
                </c:pt>
                <c:pt idx="4">
                  <c:v>2.3760330578512397E-2</c:v>
                </c:pt>
                <c:pt idx="5">
                  <c:v>1.1776859504132231E-2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F7-4111-A406-AC4A80A48679}"/>
            </c:ext>
          </c:extLst>
        </c:ser>
        <c:ser>
          <c:idx val="3"/>
          <c:order val="3"/>
          <c:tx>
            <c:strRef>
              <c:f>'Veh-Toll'!$T$8</c:f>
              <c:strCache>
                <c:ptCount val="1"/>
                <c:pt idx="0">
                  <c:v>Light Truck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'Veh-Toll'!$U$8:$Z$8</c:f>
              <c:numCache>
                <c:formatCode>0.0%</c:formatCode>
                <c:ptCount val="6"/>
                <c:pt idx="0">
                  <c:v>5.1652892561983473E-3</c:v>
                </c:pt>
                <c:pt idx="1">
                  <c:v>7.4380165289256199E-3</c:v>
                </c:pt>
                <c:pt idx="2">
                  <c:v>4.5454545454545452E-3</c:v>
                </c:pt>
                <c:pt idx="3">
                  <c:v>2.8925619834710742E-3</c:v>
                </c:pt>
                <c:pt idx="4">
                  <c:v>1.4462809917355371E-3</c:v>
                </c:pt>
                <c:pt idx="5">
                  <c:v>8.2644628099173552E-4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F7-4111-A406-AC4A80A48679}"/>
            </c:ext>
          </c:extLst>
        </c:ser>
        <c:ser>
          <c:idx val="4"/>
          <c:order val="4"/>
          <c:tx>
            <c:strRef>
              <c:f>'Veh-Toll'!$T$9</c:f>
              <c:strCache>
                <c:ptCount val="1"/>
                <c:pt idx="0">
                  <c:v>Medium bus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'Veh-Toll'!$U$9:$Z$9</c:f>
              <c:numCache>
                <c:formatCode>0.0%</c:formatCode>
                <c:ptCount val="6"/>
                <c:pt idx="0">
                  <c:v>7.0247933884297524E-3</c:v>
                </c:pt>
                <c:pt idx="1">
                  <c:v>7.2314049586776862E-3</c:v>
                </c:pt>
                <c:pt idx="2">
                  <c:v>5.5785123966942147E-3</c:v>
                </c:pt>
                <c:pt idx="3">
                  <c:v>4.1322314049586778E-3</c:v>
                </c:pt>
                <c:pt idx="4">
                  <c:v>3.0991735537190084E-3</c:v>
                </c:pt>
                <c:pt idx="5">
                  <c:v>6.1983471074380169E-4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F7-4111-A406-AC4A80A48679}"/>
            </c:ext>
          </c:extLst>
        </c:ser>
        <c:ser>
          <c:idx val="5"/>
          <c:order val="5"/>
          <c:tx>
            <c:strRef>
              <c:f>'Veh-Toll'!$T$10</c:f>
              <c:strCache>
                <c:ptCount val="1"/>
                <c:pt idx="0">
                  <c:v>Medium Truck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'Veh-Toll'!$U$10:$Z$10</c:f>
              <c:numCache>
                <c:formatCode>0.0%</c:formatCode>
                <c:ptCount val="6"/>
                <c:pt idx="0">
                  <c:v>2.2727272727272726E-3</c:v>
                </c:pt>
                <c:pt idx="1">
                  <c:v>3.9256198347107441E-3</c:v>
                </c:pt>
                <c:pt idx="2">
                  <c:v>8.2644628099173552E-4</c:v>
                </c:pt>
                <c:pt idx="3">
                  <c:v>3.0991735537190084E-3</c:v>
                </c:pt>
                <c:pt idx="4">
                  <c:v>2.8925619834710742E-3</c:v>
                </c:pt>
                <c:pt idx="5">
                  <c:v>2.0661157024793388E-4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F7-4111-A406-AC4A80A48679}"/>
            </c:ext>
          </c:extLst>
        </c:ser>
        <c:ser>
          <c:idx val="6"/>
          <c:order val="6"/>
          <c:tx>
            <c:strRef>
              <c:f>'Veh-Toll'!$T$11</c:f>
              <c:strCache>
                <c:ptCount val="1"/>
                <c:pt idx="0">
                  <c:v>Minibus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'Veh-Toll'!$U$11:$Z$11</c:f>
              <c:numCache>
                <c:formatCode>0.0%</c:formatCode>
                <c:ptCount val="6"/>
                <c:pt idx="0">
                  <c:v>0.21074380165289255</c:v>
                </c:pt>
                <c:pt idx="1">
                  <c:v>0.13140495867768595</c:v>
                </c:pt>
                <c:pt idx="2">
                  <c:v>6.9834710743801653E-2</c:v>
                </c:pt>
                <c:pt idx="3">
                  <c:v>4.2148760330578509E-2</c:v>
                </c:pt>
                <c:pt idx="4">
                  <c:v>3.9669421487603308E-2</c:v>
                </c:pt>
                <c:pt idx="5">
                  <c:v>1.0743801652892562E-2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EF7-4111-A406-AC4A80A48679}"/>
            </c:ext>
          </c:extLst>
        </c:ser>
        <c:ser>
          <c:idx val="7"/>
          <c:order val="7"/>
          <c:tx>
            <c:strRef>
              <c:f>'Veh-Toll'!$T$12</c:f>
              <c:strCache>
                <c:ptCount val="1"/>
                <c:pt idx="0">
                  <c:v>Pickups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'Veh-Toll'!$U$12:$Z$12</c:f>
              <c:numCache>
                <c:formatCode>0.0%</c:formatCode>
                <c:ptCount val="6"/>
                <c:pt idx="0">
                  <c:v>1.3223140495867768E-2</c:v>
                </c:pt>
                <c:pt idx="1">
                  <c:v>7.2314049586776862E-3</c:v>
                </c:pt>
                <c:pt idx="2">
                  <c:v>6.4049586776859504E-3</c:v>
                </c:pt>
                <c:pt idx="3">
                  <c:v>2.6859504132231405E-3</c:v>
                </c:pt>
                <c:pt idx="4">
                  <c:v>2.8925619834710742E-3</c:v>
                </c:pt>
                <c:pt idx="5">
                  <c:v>8.2644628099173552E-4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EF7-4111-A406-AC4A80A48679}"/>
            </c:ext>
          </c:extLst>
        </c:ser>
        <c:ser>
          <c:idx val="8"/>
          <c:order val="8"/>
          <c:tx>
            <c:strRef>
              <c:f>'Veh-Toll'!$T$13</c:f>
              <c:strCache>
                <c:ptCount val="1"/>
                <c:pt idx="0">
                  <c:v>Station Wagon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'Veh-Toll'!$U$13:$Z$13</c:f>
              <c:numCache>
                <c:formatCode>0.0%</c:formatCode>
                <c:ptCount val="6"/>
                <c:pt idx="0">
                  <c:v>1.1157024793388429E-2</c:v>
                </c:pt>
                <c:pt idx="1">
                  <c:v>1.4462809917355372E-2</c:v>
                </c:pt>
                <c:pt idx="2">
                  <c:v>8.2644628099173556E-3</c:v>
                </c:pt>
                <c:pt idx="3">
                  <c:v>4.1322314049586778E-3</c:v>
                </c:pt>
                <c:pt idx="4">
                  <c:v>8.2644628099173556E-3</c:v>
                </c:pt>
                <c:pt idx="5">
                  <c:v>5.5785123966942147E-3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EF7-4111-A406-AC4A80A48679}"/>
            </c:ext>
          </c:extLst>
        </c:ser>
        <c:ser>
          <c:idx val="9"/>
          <c:order val="9"/>
          <c:tx>
            <c:strRef>
              <c:f>'Veh-Toll'!$T$14</c:f>
              <c:strCache>
                <c:ptCount val="1"/>
                <c:pt idx="0">
                  <c:v>Truck Trailer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'Veh-Toll'!$U$4:$Z$4</c:f>
              <c:strCache>
                <c:ptCount val="6"/>
                <c:pt idx="0">
                  <c:v>0-1,000</c:v>
                </c:pt>
                <c:pt idx="1">
                  <c:v>1,000-2,000</c:v>
                </c:pt>
                <c:pt idx="2">
                  <c:v>2,000-3,000</c:v>
                </c:pt>
                <c:pt idx="3">
                  <c:v>3,000-5,000</c:v>
                </c:pt>
                <c:pt idx="4">
                  <c:v>5,000-10,000</c:v>
                </c:pt>
                <c:pt idx="5">
                  <c:v>Over 10,000</c:v>
                </c:pt>
              </c:strCache>
            </c:strRef>
          </c:cat>
          <c:val>
            <c:numRef>
              <c:f>'Veh-Toll'!$U$14:$Z$14</c:f>
              <c:numCache>
                <c:formatCode>0.0%</c:formatCode>
                <c:ptCount val="6"/>
                <c:pt idx="0">
                  <c:v>6.1983471074380169E-4</c:v>
                </c:pt>
                <c:pt idx="1">
                  <c:v>1.859504132231405E-3</c:v>
                </c:pt>
                <c:pt idx="2">
                  <c:v>2.0661157024793388E-4</c:v>
                </c:pt>
                <c:pt idx="3">
                  <c:v>2.0661157024793388E-4</c:v>
                </c:pt>
                <c:pt idx="4">
                  <c:v>8.2644628099173552E-4</c:v>
                </c:pt>
                <c:pt idx="5">
                  <c:v>2.0661157024793388E-4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EF7-4111-A406-AC4A80A4867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698274696"/>
        <c:axId val="698276664"/>
        <c:axId val="779010008"/>
      </c:bar3DChart>
      <c:catAx>
        <c:axId val="6982746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100" b="1" i="0" baseline="0">
                    <a:effectLst/>
                  </a:rPr>
                  <a:t>Potential Toll Charge (UGX)</a:t>
                </a:r>
                <a:endParaRPr lang="en-UG" sz="1100">
                  <a:effectLst/>
                </a:endParaRPr>
              </a:p>
            </c:rich>
          </c:tx>
          <c:layout>
            <c:manualLayout>
              <c:xMode val="edge"/>
              <c:yMode val="edge"/>
              <c:x val="0.31618450590308067"/>
              <c:y val="0.9573990454851450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76664"/>
        <c:crosses val="autoZero"/>
        <c:auto val="1"/>
        <c:lblAlgn val="ctr"/>
        <c:lblOffset val="100"/>
        <c:noMultiLvlLbl val="0"/>
      </c:catAx>
      <c:valAx>
        <c:axId val="698276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b="1"/>
                  <a:t>Proportion of Respondents, %</a:t>
                </a:r>
              </a:p>
            </c:rich>
          </c:tx>
          <c:layout>
            <c:manualLayout>
              <c:xMode val="edge"/>
              <c:yMode val="edge"/>
              <c:x val="4.4189640980620025E-2"/>
              <c:y val="0.320450923877764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G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74696"/>
        <c:crosses val="autoZero"/>
        <c:crossBetween val="between"/>
      </c:valAx>
      <c:serAx>
        <c:axId val="779010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G"/>
          </a:p>
        </c:txPr>
        <c:crossAx val="698276664"/>
        <c:crosses val="autoZero"/>
      </c:ser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>
        <a:lumMod val="95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609599</xdr:colOff>
      <xdr:row>11</xdr:row>
      <xdr:rowOff>104774</xdr:rowOff>
    </xdr:from>
    <xdr:to>
      <xdr:col>20</xdr:col>
      <xdr:colOff>66674</xdr:colOff>
      <xdr:row>33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ACBBAA-1FD1-493E-AD6B-4302894DFB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9524</xdr:colOff>
      <xdr:row>3</xdr:row>
      <xdr:rowOff>9524</xdr:rowOff>
    </xdr:from>
    <xdr:to>
      <xdr:col>27</xdr:col>
      <xdr:colOff>590549</xdr:colOff>
      <xdr:row>25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98BA7D-43D8-4627-8546-E911781CD3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19050</xdr:colOff>
      <xdr:row>2</xdr:row>
      <xdr:rowOff>9525</xdr:rowOff>
    </xdr:from>
    <xdr:to>
      <xdr:col>13</xdr:col>
      <xdr:colOff>352425</xdr:colOff>
      <xdr:row>19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48B8A1-83EE-4D2C-A29C-ECACA1466C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</xdr:colOff>
      <xdr:row>20</xdr:row>
      <xdr:rowOff>0</xdr:rowOff>
    </xdr:from>
    <xdr:to>
      <xdr:col>13</xdr:col>
      <xdr:colOff>342900</xdr:colOff>
      <xdr:row>36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4DAA82B-60D3-4AC9-B326-F077C83B88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57149</xdr:colOff>
      <xdr:row>2</xdr:row>
      <xdr:rowOff>9525</xdr:rowOff>
    </xdr:from>
    <xdr:to>
      <xdr:col>37</xdr:col>
      <xdr:colOff>38100</xdr:colOff>
      <xdr:row>21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A4D2E2-0D3C-47AF-9DD9-AD941F8839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119903</xdr:colOff>
      <xdr:row>1</xdr:row>
      <xdr:rowOff>155201</xdr:rowOff>
    </xdr:from>
    <xdr:to>
      <xdr:col>41</xdr:col>
      <xdr:colOff>110379</xdr:colOff>
      <xdr:row>34</xdr:row>
      <xdr:rowOff>145676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1FF2CD-95FF-499A-A184-421543066F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63875</xdr:colOff>
      <xdr:row>3</xdr:row>
      <xdr:rowOff>5040</xdr:rowOff>
    </xdr:from>
    <xdr:to>
      <xdr:col>41</xdr:col>
      <xdr:colOff>473448</xdr:colOff>
      <xdr:row>51</xdr:row>
      <xdr:rowOff>44823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38A959-CF2F-4E82-B69D-CC0E1ABCD6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Western%20SP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Eastern%20SP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Central%20SP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Northern%20SP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ge"/>
      <sheetName val="Journey P"/>
      <sheetName val="Dist-Time"/>
      <sheetName val="Dist-Time Toll"/>
      <sheetName val="Income-Toll"/>
      <sheetName val="Veh-Toll"/>
      <sheetName val="Western"/>
      <sheetName val="RSI FORM"/>
      <sheetName val="Key"/>
    </sheetNames>
    <sheetDataSet>
      <sheetData sheetId="0">
        <row r="4">
          <cell r="M4" t="str">
            <v>Female</v>
          </cell>
          <cell r="N4" t="str">
            <v>Male</v>
          </cell>
        </row>
        <row r="5">
          <cell r="H5">
            <v>151</v>
          </cell>
          <cell r="I5">
            <v>266</v>
          </cell>
          <cell r="L5" t="str">
            <v>20-29</v>
          </cell>
          <cell r="M5">
            <v>9.7356544165054806E-2</v>
          </cell>
          <cell r="N5">
            <v>0.17150225660863957</v>
          </cell>
        </row>
        <row r="6">
          <cell r="H6">
            <v>228</v>
          </cell>
          <cell r="I6">
            <v>475</v>
          </cell>
          <cell r="L6" t="str">
            <v>30-39</v>
          </cell>
          <cell r="M6">
            <v>0.14700193423597679</v>
          </cell>
          <cell r="N6">
            <v>0.30625402965828497</v>
          </cell>
        </row>
        <row r="7">
          <cell r="H7">
            <v>52</v>
          </cell>
          <cell r="I7">
            <v>277</v>
          </cell>
          <cell r="L7" t="str">
            <v>40-49</v>
          </cell>
          <cell r="M7">
            <v>3.3526756931012251E-2</v>
          </cell>
          <cell r="N7">
            <v>0.17859445519019987</v>
          </cell>
        </row>
        <row r="8">
          <cell r="H8">
            <v>14</v>
          </cell>
          <cell r="I8">
            <v>77</v>
          </cell>
          <cell r="L8" t="str">
            <v>50-59</v>
          </cell>
          <cell r="M8">
            <v>9.0264345583494516E-3</v>
          </cell>
          <cell r="N8">
            <v>4.9645390070921988E-2</v>
          </cell>
        </row>
        <row r="9">
          <cell r="H9">
            <v>3</v>
          </cell>
          <cell r="I9">
            <v>5</v>
          </cell>
          <cell r="L9" t="str">
            <v>60-69</v>
          </cell>
          <cell r="M9">
            <v>1.9342359767891683E-3</v>
          </cell>
          <cell r="N9">
            <v>3.2237266279819469E-3</v>
          </cell>
        </row>
        <row r="10">
          <cell r="H10">
            <v>2</v>
          </cell>
          <cell r="I10">
            <v>1</v>
          </cell>
          <cell r="L10" t="str">
            <v>70-</v>
          </cell>
          <cell r="M10">
            <v>1.2894906511927789E-3</v>
          </cell>
          <cell r="N10">
            <v>6.4474532559638943E-4</v>
          </cell>
        </row>
      </sheetData>
      <sheetData sheetId="1">
        <row r="4">
          <cell r="R4" t="str">
            <v>Female</v>
          </cell>
          <cell r="S4" t="str">
            <v>Male</v>
          </cell>
        </row>
        <row r="5">
          <cell r="M5">
            <v>37</v>
          </cell>
          <cell r="N5">
            <v>134</v>
          </cell>
          <cell r="Q5" t="str">
            <v>Commercial</v>
          </cell>
          <cell r="R5">
            <v>2.4088541666666668E-2</v>
          </cell>
          <cell r="S5">
            <v>8.7239583333333329E-2</v>
          </cell>
        </row>
        <row r="6">
          <cell r="M6">
            <v>100</v>
          </cell>
          <cell r="N6">
            <v>360</v>
          </cell>
          <cell r="Q6" t="str">
            <v>Work</v>
          </cell>
          <cell r="R6">
            <v>6.5104166666666671E-2</v>
          </cell>
          <cell r="S6">
            <v>0.234375</v>
          </cell>
        </row>
        <row r="7">
          <cell r="M7">
            <v>247</v>
          </cell>
          <cell r="N7">
            <v>516</v>
          </cell>
          <cell r="Q7" t="str">
            <v>Home</v>
          </cell>
          <cell r="R7">
            <v>0.16080729166666666</v>
          </cell>
          <cell r="S7">
            <v>0.3359375</v>
          </cell>
        </row>
        <row r="8">
          <cell r="M8">
            <v>1</v>
          </cell>
          <cell r="N8">
            <v>4</v>
          </cell>
          <cell r="Q8" t="str">
            <v>Hospital</v>
          </cell>
          <cell r="R8">
            <v>6.5104166666666663E-4</v>
          </cell>
          <cell r="S8">
            <v>2.6041666666666665E-3</v>
          </cell>
        </row>
        <row r="9">
          <cell r="M9">
            <v>18</v>
          </cell>
          <cell r="N9">
            <v>33</v>
          </cell>
          <cell r="Q9" t="str">
            <v>Leisure</v>
          </cell>
          <cell r="R9">
            <v>1.171875E-2</v>
          </cell>
          <cell r="S9">
            <v>2.1484375E-2</v>
          </cell>
        </row>
        <row r="10">
          <cell r="M10">
            <v>19</v>
          </cell>
          <cell r="N10">
            <v>22</v>
          </cell>
          <cell r="Q10" t="str">
            <v>Study</v>
          </cell>
          <cell r="R10">
            <v>1.2369791666666666E-2</v>
          </cell>
          <cell r="S10">
            <v>1.4322916666666666E-2</v>
          </cell>
        </row>
        <row r="11">
          <cell r="M11">
            <v>4</v>
          </cell>
          <cell r="N11">
            <v>6</v>
          </cell>
          <cell r="Q11" t="str">
            <v>Tourism</v>
          </cell>
          <cell r="R11">
            <v>2.6041666666666665E-3</v>
          </cell>
          <cell r="S11">
            <v>3.90625E-3</v>
          </cell>
        </row>
        <row r="12">
          <cell r="M12">
            <v>21</v>
          </cell>
          <cell r="N12">
            <v>14</v>
          </cell>
          <cell r="Q12" t="str">
            <v>Others</v>
          </cell>
          <cell r="R12">
            <v>1.3671875E-2</v>
          </cell>
          <cell r="S12">
            <v>9.1145833333333339E-3</v>
          </cell>
        </row>
      </sheetData>
      <sheetData sheetId="2">
        <row r="3">
          <cell r="G3" t="str">
            <v>No. Responses</v>
          </cell>
          <cell r="H3" t="str">
            <v>%ge Responses</v>
          </cell>
        </row>
        <row r="4">
          <cell r="F4" t="str">
            <v>0-10</v>
          </cell>
          <cell r="G4">
            <v>540</v>
          </cell>
          <cell r="H4">
            <v>0.34816247582205029</v>
          </cell>
        </row>
        <row r="5">
          <cell r="F5" t="str">
            <v>10-20</v>
          </cell>
          <cell r="G5">
            <v>62</v>
          </cell>
          <cell r="H5">
            <v>3.9974210186976146E-2</v>
          </cell>
        </row>
        <row r="6">
          <cell r="F6" t="str">
            <v>20-40</v>
          </cell>
          <cell r="G6">
            <v>92</v>
          </cell>
          <cell r="H6">
            <v>5.931656995486783E-2</v>
          </cell>
        </row>
        <row r="7">
          <cell r="F7" t="str">
            <v>40-70</v>
          </cell>
          <cell r="G7">
            <v>141</v>
          </cell>
          <cell r="H7">
            <v>9.0909090909090912E-2</v>
          </cell>
        </row>
        <row r="8">
          <cell r="F8" t="str">
            <v>70-100</v>
          </cell>
          <cell r="G8">
            <v>123</v>
          </cell>
          <cell r="H8">
            <v>7.9303675048355893E-2</v>
          </cell>
        </row>
        <row r="9">
          <cell r="F9" t="str">
            <v>100-200</v>
          </cell>
          <cell r="G9">
            <v>229</v>
          </cell>
          <cell r="H9">
            <v>0.14764667956157318</v>
          </cell>
        </row>
        <row r="10">
          <cell r="F10" t="str">
            <v>Over 200</v>
          </cell>
          <cell r="G10">
            <v>364</v>
          </cell>
          <cell r="H10">
            <v>0.23468729851708575</v>
          </cell>
        </row>
        <row r="21">
          <cell r="G21" t="str">
            <v>No. Responses</v>
          </cell>
          <cell r="H21" t="str">
            <v>%ge Responses</v>
          </cell>
        </row>
        <row r="22">
          <cell r="G22">
            <v>183</v>
          </cell>
        </row>
        <row r="23">
          <cell r="F23" t="str">
            <v>0.5-1.0</v>
          </cell>
          <cell r="G23">
            <v>123</v>
          </cell>
          <cell r="H23">
            <v>7.9303675048355893E-2</v>
          </cell>
        </row>
        <row r="24">
          <cell r="F24" t="str">
            <v>1.0-2.0</v>
          </cell>
          <cell r="G24">
            <v>223</v>
          </cell>
          <cell r="H24">
            <v>0.14377820760799484</v>
          </cell>
        </row>
        <row r="25">
          <cell r="F25" t="str">
            <v>2.0-3.5</v>
          </cell>
          <cell r="G25">
            <v>458</v>
          </cell>
          <cell r="H25">
            <v>0.29529335912314636</v>
          </cell>
        </row>
        <row r="26">
          <cell r="F26" t="str">
            <v>Over 3.5</v>
          </cell>
          <cell r="G26">
            <v>564</v>
          </cell>
          <cell r="H26">
            <v>0.36363636363636365</v>
          </cell>
        </row>
      </sheetData>
      <sheetData sheetId="3">
        <row r="4">
          <cell r="V4" t="str">
            <v>0-1,000</v>
          </cell>
          <cell r="W4" t="str">
            <v>1,000-2,000</v>
          </cell>
          <cell r="X4" t="str">
            <v>2,000-3,000</v>
          </cell>
          <cell r="Y4" t="str">
            <v>3,000-5,000</v>
          </cell>
          <cell r="Z4" t="str">
            <v>5,000-10,000</v>
          </cell>
          <cell r="AA4" t="str">
            <v>Over 10,000</v>
          </cell>
        </row>
        <row r="5">
          <cell r="L5">
            <v>231</v>
          </cell>
          <cell r="M5">
            <v>118</v>
          </cell>
          <cell r="N5">
            <v>61</v>
          </cell>
          <cell r="O5">
            <v>37</v>
          </cell>
          <cell r="P5">
            <v>49</v>
          </cell>
          <cell r="Q5">
            <v>44</v>
          </cell>
          <cell r="U5" t="str">
            <v>0-10</v>
          </cell>
          <cell r="V5">
            <v>0.14893617021276595</v>
          </cell>
          <cell r="W5">
            <v>7.6079948420373952E-2</v>
          </cell>
          <cell r="X5">
            <v>3.9329464861379754E-2</v>
          </cell>
          <cell r="Y5">
            <v>2.3855577047066409E-2</v>
          </cell>
          <cell r="Z5">
            <v>3.1592520954223081E-2</v>
          </cell>
          <cell r="AA5">
            <v>2.8368794326241134E-2</v>
          </cell>
        </row>
        <row r="6">
          <cell r="L6">
            <v>25</v>
          </cell>
          <cell r="M6">
            <v>20</v>
          </cell>
          <cell r="N6">
            <v>9</v>
          </cell>
          <cell r="O6">
            <v>3</v>
          </cell>
          <cell r="P6">
            <v>5</v>
          </cell>
          <cell r="U6" t="str">
            <v>10-20</v>
          </cell>
          <cell r="V6">
            <v>5.0934880722114766E-2</v>
          </cell>
          <cell r="W6">
            <v>3.4816247582205029E-2</v>
          </cell>
          <cell r="X6">
            <v>1.9342359767891684E-2</v>
          </cell>
          <cell r="Y6">
            <v>1.8052869116698903E-2</v>
          </cell>
          <cell r="Z6">
            <v>2.0631850419084462E-2</v>
          </cell>
          <cell r="AA6">
            <v>3.8684719535783366E-3</v>
          </cell>
        </row>
        <row r="7">
          <cell r="L7">
            <v>33</v>
          </cell>
          <cell r="M7">
            <v>22</v>
          </cell>
          <cell r="N7">
            <v>15</v>
          </cell>
          <cell r="O7">
            <v>7</v>
          </cell>
          <cell r="P7">
            <v>12</v>
          </cell>
          <cell r="Q7">
            <v>3</v>
          </cell>
          <cell r="U7" t="str">
            <v>20-40</v>
          </cell>
          <cell r="V7">
            <v>1.6118633139909737E-2</v>
          </cell>
          <cell r="W7">
            <v>1.2894906511927788E-2</v>
          </cell>
          <cell r="X7">
            <v>5.8027079303675051E-3</v>
          </cell>
          <cell r="Y7">
            <v>1.9342359767891683E-3</v>
          </cell>
          <cell r="Z7">
            <v>3.2237266279819469E-3</v>
          </cell>
          <cell r="AA7">
            <v>0</v>
          </cell>
        </row>
        <row r="8">
          <cell r="L8">
            <v>55</v>
          </cell>
          <cell r="M8">
            <v>36</v>
          </cell>
          <cell r="N8">
            <v>19</v>
          </cell>
          <cell r="O8">
            <v>9</v>
          </cell>
          <cell r="P8">
            <v>20</v>
          </cell>
          <cell r="Q8">
            <v>2</v>
          </cell>
          <cell r="U8" t="str">
            <v>40-70</v>
          </cell>
          <cell r="V8">
            <v>2.1276595744680851E-2</v>
          </cell>
          <cell r="W8">
            <v>1.4184397163120567E-2</v>
          </cell>
          <cell r="X8">
            <v>9.6711798839458421E-3</v>
          </cell>
          <cell r="Y8">
            <v>4.5132172791747258E-3</v>
          </cell>
          <cell r="Z8">
            <v>7.7369439071566732E-3</v>
          </cell>
          <cell r="AA8">
            <v>1.9342359767891683E-3</v>
          </cell>
        </row>
        <row r="9">
          <cell r="L9">
            <v>42</v>
          </cell>
          <cell r="M9">
            <v>31</v>
          </cell>
          <cell r="N9">
            <v>18</v>
          </cell>
          <cell r="O9">
            <v>11</v>
          </cell>
          <cell r="P9">
            <v>19</v>
          </cell>
          <cell r="Q9">
            <v>2</v>
          </cell>
          <cell r="U9" t="str">
            <v>70-100</v>
          </cell>
          <cell r="V9">
            <v>3.5460992907801421E-2</v>
          </cell>
          <cell r="W9">
            <v>2.321083172147002E-2</v>
          </cell>
          <cell r="X9">
            <v>1.2250161186331399E-2</v>
          </cell>
          <cell r="Y9">
            <v>5.8027079303675051E-3</v>
          </cell>
          <cell r="Z9">
            <v>1.2894906511927788E-2</v>
          </cell>
          <cell r="AA9">
            <v>1.2894906511927789E-3</v>
          </cell>
        </row>
        <row r="10">
          <cell r="L10">
            <v>79</v>
          </cell>
          <cell r="M10">
            <v>54</v>
          </cell>
          <cell r="N10">
            <v>30</v>
          </cell>
          <cell r="O10">
            <v>28</v>
          </cell>
          <cell r="P10">
            <v>32</v>
          </cell>
          <cell r="Q10">
            <v>6</v>
          </cell>
          <cell r="U10" t="str">
            <v>100-150</v>
          </cell>
          <cell r="V10">
            <v>2.7079303675048357E-2</v>
          </cell>
          <cell r="W10">
            <v>1.9987105093488073E-2</v>
          </cell>
          <cell r="X10">
            <v>1.160541586073501E-2</v>
          </cell>
          <cell r="Y10">
            <v>7.0921985815602835E-3</v>
          </cell>
          <cell r="Z10">
            <v>1.2250161186331399E-2</v>
          </cell>
          <cell r="AA10">
            <v>1.2894906511927789E-3</v>
          </cell>
        </row>
        <row r="11">
          <cell r="L11">
            <v>140</v>
          </cell>
          <cell r="M11">
            <v>60</v>
          </cell>
          <cell r="N11">
            <v>58</v>
          </cell>
          <cell r="O11">
            <v>47</v>
          </cell>
          <cell r="P11">
            <v>48</v>
          </cell>
          <cell r="Q11">
            <v>11</v>
          </cell>
          <cell r="U11" t="str">
            <v>Over 150</v>
          </cell>
          <cell r="V11">
            <v>9.0264345583494526E-2</v>
          </cell>
          <cell r="W11">
            <v>3.8684719535783368E-2</v>
          </cell>
          <cell r="X11">
            <v>3.7395228884590584E-2</v>
          </cell>
          <cell r="Y11">
            <v>3.0303030303030304E-2</v>
          </cell>
          <cell r="Z11">
            <v>3.0947775628626693E-2</v>
          </cell>
          <cell r="AA11">
            <v>7.0921985815602835E-3</v>
          </cell>
        </row>
      </sheetData>
      <sheetData sheetId="4">
        <row r="4">
          <cell r="U4" t="str">
            <v>0-1,000</v>
          </cell>
          <cell r="V4" t="str">
            <v>1,000-2,000</v>
          </cell>
          <cell r="W4" t="str">
            <v>2,000-3,000</v>
          </cell>
          <cell r="X4" t="str">
            <v>3,000-5,000</v>
          </cell>
          <cell r="Y4" t="str">
            <v>5,000-10,000</v>
          </cell>
          <cell r="Z4" t="str">
            <v>Over 10,000</v>
          </cell>
        </row>
        <row r="5">
          <cell r="L5">
            <v>294</v>
          </cell>
          <cell r="M5">
            <v>121</v>
          </cell>
          <cell r="N5">
            <v>35</v>
          </cell>
          <cell r="O5">
            <v>26</v>
          </cell>
          <cell r="P5">
            <v>39</v>
          </cell>
          <cell r="Q5">
            <v>13</v>
          </cell>
          <cell r="T5" t="str">
            <v>&lt;300,000</v>
          </cell>
          <cell r="U5">
            <v>0.20040899795501022</v>
          </cell>
          <cell r="V5">
            <v>8.2481254260395362E-2</v>
          </cell>
          <cell r="W5">
            <v>2.3858214042263123E-2</v>
          </cell>
          <cell r="X5">
            <v>1.7723244717109749E-2</v>
          </cell>
          <cell r="Y5">
            <v>2.6584867075664622E-2</v>
          </cell>
          <cell r="Z5">
            <v>8.8616223585548746E-3</v>
          </cell>
        </row>
        <row r="6">
          <cell r="L6">
            <v>154</v>
          </cell>
          <cell r="M6">
            <v>118</v>
          </cell>
          <cell r="N6">
            <v>91</v>
          </cell>
          <cell r="O6">
            <v>39</v>
          </cell>
          <cell r="P6">
            <v>41</v>
          </cell>
          <cell r="Q6">
            <v>10</v>
          </cell>
          <cell r="T6" t="str">
            <v>300,000-500,000</v>
          </cell>
          <cell r="U6">
            <v>1.5678254942058625E-2</v>
          </cell>
          <cell r="V6">
            <v>6.8166325835037492E-3</v>
          </cell>
          <cell r="W6">
            <v>6.1349693251533744E-3</v>
          </cell>
          <cell r="X6">
            <v>7.498295841854124E-3</v>
          </cell>
          <cell r="Y6">
            <v>1.1588275391956374E-2</v>
          </cell>
          <cell r="Z6">
            <v>9.5432856169052494E-3</v>
          </cell>
        </row>
        <row r="7">
          <cell r="L7">
            <v>75</v>
          </cell>
          <cell r="M7">
            <v>59</v>
          </cell>
          <cell r="N7">
            <v>51</v>
          </cell>
          <cell r="O7">
            <v>32</v>
          </cell>
          <cell r="P7">
            <v>49</v>
          </cell>
          <cell r="Q7">
            <v>14</v>
          </cell>
          <cell r="T7" t="str">
            <v>500,000-750,000</v>
          </cell>
          <cell r="U7">
            <v>0.10497614178595774</v>
          </cell>
          <cell r="V7">
            <v>8.0436264485344244E-2</v>
          </cell>
          <cell r="W7">
            <v>6.2031356509884117E-2</v>
          </cell>
          <cell r="X7">
            <v>2.6584867075664622E-2</v>
          </cell>
          <cell r="Y7">
            <v>2.7948193592365372E-2</v>
          </cell>
          <cell r="Z7">
            <v>6.8166325835037492E-3</v>
          </cell>
        </row>
        <row r="8">
          <cell r="L8">
            <v>59</v>
          </cell>
          <cell r="M8">
            <v>33</v>
          </cell>
          <cell r="N8">
            <v>24</v>
          </cell>
          <cell r="O8">
            <v>34</v>
          </cell>
          <cell r="P8">
            <v>39</v>
          </cell>
          <cell r="Q8">
            <v>17</v>
          </cell>
          <cell r="T8" t="str">
            <v>750,000-1,000,000</v>
          </cell>
          <cell r="U8">
            <v>5.112474437627812E-2</v>
          </cell>
          <cell r="V8">
            <v>4.0218132242672122E-2</v>
          </cell>
          <cell r="W8">
            <v>3.4764826175869123E-2</v>
          </cell>
          <cell r="X8">
            <v>2.1813224267211998E-2</v>
          </cell>
          <cell r="Y8">
            <v>3.3401499659168374E-2</v>
          </cell>
          <cell r="Z8">
            <v>9.5432856169052494E-3</v>
          </cell>
        </row>
        <row r="9">
          <cell r="L9">
            <v>23</v>
          </cell>
          <cell r="M9">
            <v>10</v>
          </cell>
          <cell r="N9">
            <v>9</v>
          </cell>
          <cell r="O9">
            <v>11</v>
          </cell>
          <cell r="P9">
            <v>17</v>
          </cell>
          <cell r="Q9">
            <v>14</v>
          </cell>
          <cell r="T9" t="str">
            <v>&gt;1,000,000</v>
          </cell>
          <cell r="U9">
            <v>4.0218132242672122E-2</v>
          </cell>
          <cell r="V9">
            <v>2.2494887525562373E-2</v>
          </cell>
          <cell r="W9">
            <v>1.6359918200408999E-2</v>
          </cell>
          <cell r="X9">
            <v>2.3176550783912748E-2</v>
          </cell>
          <cell r="Y9">
            <v>2.6584867075664622E-2</v>
          </cell>
          <cell r="Z9">
            <v>1.1588275391956374E-2</v>
          </cell>
        </row>
      </sheetData>
      <sheetData sheetId="5">
        <row r="4">
          <cell r="U4" t="str">
            <v>0-1,000</v>
          </cell>
          <cell r="V4" t="str">
            <v>1,000-2,000</v>
          </cell>
          <cell r="W4" t="str">
            <v>2,000-3,00</v>
          </cell>
          <cell r="X4" t="str">
            <v>3,000-5,000</v>
          </cell>
          <cell r="Y4" t="str">
            <v>5,000-10,000</v>
          </cell>
          <cell r="Z4" t="str">
            <v>Over 10,000</v>
          </cell>
        </row>
        <row r="5">
          <cell r="L5">
            <v>75</v>
          </cell>
          <cell r="M5">
            <v>54</v>
          </cell>
          <cell r="N5">
            <v>24</v>
          </cell>
          <cell r="O5">
            <v>8</v>
          </cell>
          <cell r="P5">
            <v>17</v>
          </cell>
          <cell r="Q5">
            <v>7</v>
          </cell>
          <cell r="T5" t="str">
            <v>Car</v>
          </cell>
          <cell r="U5">
            <v>5.1020408163265307E-2</v>
          </cell>
          <cell r="V5">
            <v>3.6734693877551024E-2</v>
          </cell>
          <cell r="W5">
            <v>1.6326530612244899E-2</v>
          </cell>
          <cell r="X5">
            <v>5.4421768707482989E-3</v>
          </cell>
          <cell r="Y5">
            <v>1.1564625850340135E-2</v>
          </cell>
          <cell r="Z5">
            <v>4.7619047619047623E-3</v>
          </cell>
        </row>
        <row r="6">
          <cell r="L6">
            <v>1</v>
          </cell>
          <cell r="N6">
            <v>1</v>
          </cell>
          <cell r="P6">
            <v>3</v>
          </cell>
          <cell r="Q6">
            <v>1</v>
          </cell>
          <cell r="T6" t="str">
            <v xml:space="preserve">Heavy truck </v>
          </cell>
          <cell r="U6">
            <v>6.8027210884353737E-4</v>
          </cell>
          <cell r="V6">
            <v>0</v>
          </cell>
          <cell r="W6">
            <v>6.8027210884353737E-4</v>
          </cell>
          <cell r="X6">
            <v>0</v>
          </cell>
          <cell r="Y6">
            <v>2.0408163265306124E-3</v>
          </cell>
          <cell r="Z6">
            <v>6.8027210884353737E-4</v>
          </cell>
        </row>
        <row r="7">
          <cell r="L7">
            <v>144</v>
          </cell>
          <cell r="M7">
            <v>68</v>
          </cell>
          <cell r="N7">
            <v>66</v>
          </cell>
          <cell r="O7">
            <v>43</v>
          </cell>
          <cell r="P7">
            <v>59</v>
          </cell>
          <cell r="Q7">
            <v>17</v>
          </cell>
          <cell r="T7" t="str">
            <v>Large Bus</v>
          </cell>
          <cell r="U7">
            <v>9.7959183673469383E-2</v>
          </cell>
          <cell r="V7">
            <v>4.6258503401360541E-2</v>
          </cell>
          <cell r="W7">
            <v>4.4897959183673466E-2</v>
          </cell>
          <cell r="X7">
            <v>2.9251700680272108E-2</v>
          </cell>
          <cell r="Y7">
            <v>4.0136054421768708E-2</v>
          </cell>
          <cell r="Z7">
            <v>1.1564625850340135E-2</v>
          </cell>
        </row>
        <row r="8">
          <cell r="L8">
            <v>1</v>
          </cell>
          <cell r="M8">
            <v>4</v>
          </cell>
          <cell r="N8">
            <v>2</v>
          </cell>
          <cell r="O8">
            <v>1</v>
          </cell>
          <cell r="P8">
            <v>2</v>
          </cell>
          <cell r="T8" t="str">
            <v xml:space="preserve">Light Truck </v>
          </cell>
          <cell r="U8">
            <v>6.8027210884353737E-4</v>
          </cell>
          <cell r="V8">
            <v>2.7210884353741495E-3</v>
          </cell>
          <cell r="W8">
            <v>1.3605442176870747E-3</v>
          </cell>
          <cell r="X8">
            <v>6.8027210884353737E-4</v>
          </cell>
          <cell r="Y8">
            <v>1.3605442176870747E-3</v>
          </cell>
          <cell r="Z8">
            <v>0</v>
          </cell>
        </row>
        <row r="9">
          <cell r="L9">
            <v>9</v>
          </cell>
          <cell r="M9">
            <v>4</v>
          </cell>
          <cell r="N9">
            <v>5</v>
          </cell>
          <cell r="O9">
            <v>6</v>
          </cell>
          <cell r="P9">
            <v>3</v>
          </cell>
          <cell r="Q9">
            <v>3</v>
          </cell>
          <cell r="T9" t="str">
            <v xml:space="preserve">Medium bus </v>
          </cell>
          <cell r="U9">
            <v>6.1224489795918364E-3</v>
          </cell>
          <cell r="V9">
            <v>2.7210884353741495E-3</v>
          </cell>
          <cell r="W9">
            <v>3.4013605442176869E-3</v>
          </cell>
          <cell r="X9">
            <v>4.0816326530612249E-3</v>
          </cell>
          <cell r="Y9">
            <v>2.0408163265306124E-3</v>
          </cell>
          <cell r="Z9">
            <v>2.0408163265306124E-3</v>
          </cell>
        </row>
        <row r="10">
          <cell r="L10">
            <v>1</v>
          </cell>
          <cell r="P10">
            <v>2</v>
          </cell>
          <cell r="T10" t="str">
            <v xml:space="preserve">Medium Truck </v>
          </cell>
          <cell r="U10">
            <v>6.8027210884353737E-4</v>
          </cell>
          <cell r="V10">
            <v>0</v>
          </cell>
          <cell r="W10">
            <v>0</v>
          </cell>
          <cell r="X10">
            <v>0</v>
          </cell>
          <cell r="Y10">
            <v>1.3605442176870747E-3</v>
          </cell>
          <cell r="Z10">
            <v>0</v>
          </cell>
        </row>
        <row r="11">
          <cell r="L11">
            <v>302</v>
          </cell>
          <cell r="M11">
            <v>164</v>
          </cell>
          <cell r="N11">
            <v>94</v>
          </cell>
          <cell r="O11">
            <v>81</v>
          </cell>
          <cell r="P11">
            <v>86</v>
          </cell>
          <cell r="Q11">
            <v>32</v>
          </cell>
          <cell r="T11" t="str">
            <v>Minibus</v>
          </cell>
          <cell r="U11">
            <v>0.20544217687074831</v>
          </cell>
          <cell r="V11">
            <v>0.11156462585034013</v>
          </cell>
          <cell r="W11">
            <v>6.3945578231292516E-2</v>
          </cell>
          <cell r="X11">
            <v>5.5102040816326532E-2</v>
          </cell>
          <cell r="Y11">
            <v>5.8503401360544216E-2</v>
          </cell>
          <cell r="Z11">
            <v>2.1768707482993196E-2</v>
          </cell>
        </row>
        <row r="12">
          <cell r="L12">
            <v>5</v>
          </cell>
          <cell r="M12">
            <v>5</v>
          </cell>
          <cell r="N12">
            <v>1</v>
          </cell>
          <cell r="P12">
            <v>3</v>
          </cell>
          <cell r="T12" t="str">
            <v>Pickups</v>
          </cell>
          <cell r="U12">
            <v>3.4013605442176869E-3</v>
          </cell>
          <cell r="V12">
            <v>3.4013605442176869E-3</v>
          </cell>
          <cell r="W12">
            <v>6.8027210884353737E-4</v>
          </cell>
          <cell r="X12">
            <v>0</v>
          </cell>
          <cell r="Y12">
            <v>2.0408163265306124E-3</v>
          </cell>
          <cell r="Z12">
            <v>0</v>
          </cell>
        </row>
        <row r="13">
          <cell r="L13">
            <v>23</v>
          </cell>
          <cell r="M13">
            <v>18</v>
          </cell>
          <cell r="N13">
            <v>10</v>
          </cell>
          <cell r="O13">
            <v>2</v>
          </cell>
          <cell r="P13">
            <v>7</v>
          </cell>
          <cell r="Q13">
            <v>6</v>
          </cell>
          <cell r="T13" t="str">
            <v>Station Wagon</v>
          </cell>
          <cell r="U13">
            <v>1.5646258503401362E-2</v>
          </cell>
          <cell r="V13">
            <v>1.2244897959183673E-2</v>
          </cell>
          <cell r="W13">
            <v>6.8027210884353739E-3</v>
          </cell>
          <cell r="X13">
            <v>1.3605442176870747E-3</v>
          </cell>
          <cell r="Y13">
            <v>4.7619047619047623E-3</v>
          </cell>
          <cell r="Z13">
            <v>4.0816326530612249E-3</v>
          </cell>
        </row>
        <row r="14">
          <cell r="T14" t="str">
            <v xml:space="preserve">Truck Trailer 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</row>
      </sheetData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ge"/>
      <sheetName val="Journey P"/>
      <sheetName val="Dist-Time"/>
      <sheetName val="Dist-Time Toll"/>
      <sheetName val="Income-Toll"/>
      <sheetName val="Veh-Toll"/>
      <sheetName val="Eastern"/>
      <sheetName val="Sheet2"/>
      <sheetName val="RSI FORM"/>
      <sheetName val="Key"/>
      <sheetName val="Jinja (2)"/>
    </sheetNames>
    <sheetDataSet>
      <sheetData sheetId="0">
        <row r="5">
          <cell r="H5">
            <v>29</v>
          </cell>
          <cell r="I5">
            <v>86</v>
          </cell>
        </row>
        <row r="6">
          <cell r="H6">
            <v>123</v>
          </cell>
          <cell r="I6">
            <v>539</v>
          </cell>
        </row>
        <row r="7">
          <cell r="H7">
            <v>29</v>
          </cell>
          <cell r="I7">
            <v>371</v>
          </cell>
        </row>
        <row r="8">
          <cell r="H8">
            <v>3</v>
          </cell>
          <cell r="I8">
            <v>63</v>
          </cell>
        </row>
        <row r="9">
          <cell r="I9">
            <v>10</v>
          </cell>
        </row>
      </sheetData>
      <sheetData sheetId="1">
        <row r="5">
          <cell r="M5">
            <v>7</v>
          </cell>
          <cell r="N5">
            <v>149</v>
          </cell>
        </row>
        <row r="6">
          <cell r="M6">
            <v>35</v>
          </cell>
          <cell r="N6">
            <v>594</v>
          </cell>
        </row>
        <row r="7">
          <cell r="M7">
            <v>115</v>
          </cell>
          <cell r="N7">
            <v>267</v>
          </cell>
        </row>
        <row r="8">
          <cell r="M8">
            <v>3</v>
          </cell>
          <cell r="N8">
            <v>2</v>
          </cell>
        </row>
        <row r="9">
          <cell r="M9">
            <v>18</v>
          </cell>
          <cell r="N9">
            <v>47</v>
          </cell>
        </row>
        <row r="10">
          <cell r="M10">
            <v>4</v>
          </cell>
          <cell r="N10">
            <v>1</v>
          </cell>
        </row>
        <row r="11">
          <cell r="M11">
            <v>1</v>
          </cell>
          <cell r="N11">
            <v>2</v>
          </cell>
        </row>
        <row r="12">
          <cell r="M12">
            <v>1</v>
          </cell>
          <cell r="N12">
            <v>7</v>
          </cell>
        </row>
      </sheetData>
      <sheetData sheetId="2">
        <row r="4">
          <cell r="G4">
            <v>106</v>
          </cell>
        </row>
        <row r="5">
          <cell r="G5">
            <v>47</v>
          </cell>
        </row>
        <row r="6">
          <cell r="G6">
            <v>179</v>
          </cell>
        </row>
        <row r="7">
          <cell r="G7">
            <v>232</v>
          </cell>
        </row>
        <row r="8">
          <cell r="G8">
            <v>184</v>
          </cell>
        </row>
        <row r="9">
          <cell r="G9">
            <v>92</v>
          </cell>
        </row>
        <row r="10">
          <cell r="G10">
            <v>128</v>
          </cell>
        </row>
        <row r="22">
          <cell r="G22">
            <v>73</v>
          </cell>
        </row>
        <row r="23">
          <cell r="G23">
            <v>41</v>
          </cell>
        </row>
        <row r="24">
          <cell r="G24">
            <v>234</v>
          </cell>
        </row>
        <row r="25">
          <cell r="G25">
            <v>444</v>
          </cell>
        </row>
        <row r="26">
          <cell r="G26">
            <v>176</v>
          </cell>
        </row>
      </sheetData>
      <sheetData sheetId="3">
        <row r="5">
          <cell r="L5">
            <v>47</v>
          </cell>
          <cell r="M5">
            <v>30</v>
          </cell>
          <cell r="N5">
            <v>12</v>
          </cell>
          <cell r="O5">
            <v>12</v>
          </cell>
          <cell r="P5">
            <v>3</v>
          </cell>
          <cell r="Q5">
            <v>2</v>
          </cell>
        </row>
        <row r="6">
          <cell r="L6">
            <v>25</v>
          </cell>
          <cell r="M6">
            <v>15</v>
          </cell>
          <cell r="N6">
            <v>4</v>
          </cell>
          <cell r="O6">
            <v>1</v>
          </cell>
          <cell r="P6">
            <v>2</v>
          </cell>
        </row>
        <row r="7">
          <cell r="L7">
            <v>83</v>
          </cell>
          <cell r="M7">
            <v>61</v>
          </cell>
          <cell r="N7">
            <v>21</v>
          </cell>
          <cell r="O7">
            <v>7</v>
          </cell>
          <cell r="P7">
            <v>4</v>
          </cell>
          <cell r="Q7">
            <v>3</v>
          </cell>
        </row>
        <row r="8">
          <cell r="L8">
            <v>105</v>
          </cell>
          <cell r="M8">
            <v>66</v>
          </cell>
          <cell r="N8">
            <v>34</v>
          </cell>
          <cell r="O8">
            <v>11</v>
          </cell>
          <cell r="P8">
            <v>13</v>
          </cell>
          <cell r="Q8">
            <v>3</v>
          </cell>
        </row>
        <row r="9">
          <cell r="L9">
            <v>53</v>
          </cell>
          <cell r="M9">
            <v>40</v>
          </cell>
          <cell r="N9">
            <v>48</v>
          </cell>
          <cell r="O9">
            <v>20</v>
          </cell>
          <cell r="P9">
            <v>13</v>
          </cell>
          <cell r="Q9">
            <v>10</v>
          </cell>
        </row>
        <row r="10">
          <cell r="L10">
            <v>34</v>
          </cell>
          <cell r="M10">
            <v>16</v>
          </cell>
          <cell r="N10">
            <v>28</v>
          </cell>
          <cell r="O10">
            <v>5</v>
          </cell>
          <cell r="P10">
            <v>6</v>
          </cell>
          <cell r="Q10">
            <v>3</v>
          </cell>
        </row>
        <row r="11">
          <cell r="L11">
            <v>40</v>
          </cell>
          <cell r="M11">
            <v>28</v>
          </cell>
          <cell r="N11">
            <v>28</v>
          </cell>
          <cell r="O11">
            <v>10</v>
          </cell>
          <cell r="P11">
            <v>14</v>
          </cell>
          <cell r="Q11">
            <v>8</v>
          </cell>
        </row>
      </sheetData>
      <sheetData sheetId="4">
        <row r="5">
          <cell r="L5">
            <v>156</v>
          </cell>
          <cell r="M5">
            <v>85</v>
          </cell>
          <cell r="N5">
            <v>21</v>
          </cell>
          <cell r="O5">
            <v>5</v>
          </cell>
          <cell r="P5">
            <v>1</v>
          </cell>
          <cell r="Q5">
            <v>3</v>
          </cell>
        </row>
        <row r="6">
          <cell r="L6">
            <v>120</v>
          </cell>
          <cell r="M6">
            <v>119</v>
          </cell>
          <cell r="N6">
            <v>65</v>
          </cell>
          <cell r="O6">
            <v>35</v>
          </cell>
          <cell r="P6">
            <v>23</v>
          </cell>
          <cell r="Q6">
            <v>8</v>
          </cell>
        </row>
        <row r="7">
          <cell r="L7">
            <v>58</v>
          </cell>
          <cell r="M7">
            <v>38</v>
          </cell>
          <cell r="N7">
            <v>37</v>
          </cell>
          <cell r="O7">
            <v>11</v>
          </cell>
          <cell r="P7">
            <v>11</v>
          </cell>
          <cell r="Q7">
            <v>2</v>
          </cell>
        </row>
        <row r="8">
          <cell r="L8">
            <v>37</v>
          </cell>
          <cell r="M8">
            <v>11</v>
          </cell>
          <cell r="N8">
            <v>31</v>
          </cell>
          <cell r="O8">
            <v>10</v>
          </cell>
          <cell r="P8">
            <v>7</v>
          </cell>
          <cell r="Q8">
            <v>5</v>
          </cell>
        </row>
        <row r="9">
          <cell r="L9">
            <v>15</v>
          </cell>
          <cell r="M9">
            <v>3</v>
          </cell>
          <cell r="N9">
            <v>20</v>
          </cell>
          <cell r="O9">
            <v>5</v>
          </cell>
          <cell r="P9">
            <v>13</v>
          </cell>
          <cell r="Q9">
            <v>11</v>
          </cell>
        </row>
      </sheetData>
      <sheetData sheetId="5">
        <row r="5">
          <cell r="L5">
            <v>87</v>
          </cell>
          <cell r="M5">
            <v>55</v>
          </cell>
          <cell r="N5">
            <v>50</v>
          </cell>
          <cell r="O5">
            <v>17</v>
          </cell>
          <cell r="P5">
            <v>21</v>
          </cell>
          <cell r="Q5">
            <v>5</v>
          </cell>
        </row>
        <row r="6">
          <cell r="L6">
            <v>4</v>
          </cell>
          <cell r="M6">
            <v>6</v>
          </cell>
          <cell r="N6">
            <v>3</v>
          </cell>
          <cell r="O6">
            <v>3</v>
          </cell>
          <cell r="P6">
            <v>5</v>
          </cell>
          <cell r="Q6">
            <v>3</v>
          </cell>
        </row>
        <row r="7">
          <cell r="L7">
            <v>24</v>
          </cell>
          <cell r="M7">
            <v>23</v>
          </cell>
          <cell r="N7">
            <v>7</v>
          </cell>
          <cell r="O7">
            <v>1</v>
          </cell>
          <cell r="P7">
            <v>2</v>
          </cell>
          <cell r="Q7">
            <v>1</v>
          </cell>
        </row>
        <row r="8">
          <cell r="L8">
            <v>11</v>
          </cell>
          <cell r="M8">
            <v>11</v>
          </cell>
          <cell r="N8">
            <v>11</v>
          </cell>
          <cell r="O8">
            <v>3</v>
          </cell>
          <cell r="P8">
            <v>1</v>
          </cell>
        </row>
        <row r="9">
          <cell r="L9">
            <v>7</v>
          </cell>
          <cell r="M9">
            <v>9</v>
          </cell>
          <cell r="N9">
            <v>7</v>
          </cell>
          <cell r="O9">
            <v>7</v>
          </cell>
          <cell r="P9">
            <v>2</v>
          </cell>
        </row>
        <row r="10">
          <cell r="L10">
            <v>3</v>
          </cell>
          <cell r="M10">
            <v>8</v>
          </cell>
          <cell r="O10">
            <v>3</v>
          </cell>
          <cell r="P10">
            <v>3</v>
          </cell>
        </row>
        <row r="11">
          <cell r="L11">
            <v>205</v>
          </cell>
          <cell r="M11">
            <v>122</v>
          </cell>
          <cell r="N11">
            <v>66</v>
          </cell>
          <cell r="O11">
            <v>26</v>
          </cell>
          <cell r="P11">
            <v>9</v>
          </cell>
          <cell r="Q11">
            <v>5</v>
          </cell>
        </row>
        <row r="12">
          <cell r="L12">
            <v>33</v>
          </cell>
          <cell r="M12">
            <v>14</v>
          </cell>
          <cell r="N12">
            <v>16</v>
          </cell>
          <cell r="O12">
            <v>2</v>
          </cell>
          <cell r="P12">
            <v>3</v>
          </cell>
          <cell r="Q12">
            <v>2</v>
          </cell>
        </row>
        <row r="13">
          <cell r="L13">
            <v>13</v>
          </cell>
          <cell r="M13">
            <v>8</v>
          </cell>
          <cell r="N13">
            <v>15</v>
          </cell>
          <cell r="O13">
            <v>4</v>
          </cell>
          <cell r="P13">
            <v>9</v>
          </cell>
          <cell r="Q13">
            <v>12</v>
          </cell>
        </row>
        <row r="14">
          <cell r="Q14">
            <v>1</v>
          </cell>
        </row>
      </sheetData>
      <sheetData sheetId="6"/>
      <sheetData sheetId="7"/>
      <sheetData sheetId="8"/>
      <sheetData sheetId="9"/>
      <sheetData sheetId="1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ge"/>
      <sheetName val="Journey P"/>
      <sheetName val="Dist-Time"/>
      <sheetName val="Dist-Time Toll"/>
      <sheetName val="Income-Toll"/>
      <sheetName val="Veh-Toll"/>
      <sheetName val="CentralSP"/>
      <sheetName val="RSI FORM"/>
      <sheetName val="Key"/>
    </sheetNames>
    <sheetDataSet>
      <sheetData sheetId="0">
        <row r="5">
          <cell r="H5">
            <v>181</v>
          </cell>
          <cell r="I5">
            <v>126</v>
          </cell>
        </row>
        <row r="6">
          <cell r="H6">
            <v>289</v>
          </cell>
          <cell r="I6">
            <v>530</v>
          </cell>
        </row>
        <row r="7">
          <cell r="H7">
            <v>95</v>
          </cell>
          <cell r="I7">
            <v>229</v>
          </cell>
        </row>
        <row r="8">
          <cell r="H8">
            <v>10</v>
          </cell>
          <cell r="I8">
            <v>103</v>
          </cell>
        </row>
        <row r="9">
          <cell r="H9">
            <v>9</v>
          </cell>
          <cell r="I9">
            <v>18</v>
          </cell>
        </row>
        <row r="10">
          <cell r="I10">
            <v>1</v>
          </cell>
        </row>
      </sheetData>
      <sheetData sheetId="1">
        <row r="5">
          <cell r="M5">
            <v>49</v>
          </cell>
          <cell r="N5">
            <v>125</v>
          </cell>
        </row>
        <row r="6">
          <cell r="M6">
            <v>222</v>
          </cell>
          <cell r="N6">
            <v>788</v>
          </cell>
        </row>
        <row r="7">
          <cell r="M7">
            <v>289</v>
          </cell>
          <cell r="N7">
            <v>398</v>
          </cell>
        </row>
        <row r="8">
          <cell r="M8">
            <v>6</v>
          </cell>
          <cell r="N8">
            <v>3</v>
          </cell>
        </row>
        <row r="9">
          <cell r="M9">
            <v>29</v>
          </cell>
          <cell r="N9">
            <v>22</v>
          </cell>
        </row>
        <row r="10">
          <cell r="M10">
            <v>31</v>
          </cell>
          <cell r="N10">
            <v>16</v>
          </cell>
        </row>
        <row r="11">
          <cell r="M11">
            <v>2</v>
          </cell>
          <cell r="N11">
            <v>2</v>
          </cell>
        </row>
        <row r="12">
          <cell r="M12">
            <v>13</v>
          </cell>
          <cell r="N12">
            <v>20</v>
          </cell>
        </row>
      </sheetData>
      <sheetData sheetId="2">
        <row r="4">
          <cell r="G4">
            <v>326</v>
          </cell>
        </row>
        <row r="5">
          <cell r="G5">
            <v>84</v>
          </cell>
        </row>
        <row r="6">
          <cell r="G6">
            <v>279</v>
          </cell>
        </row>
        <row r="7">
          <cell r="G7">
            <v>301</v>
          </cell>
        </row>
        <row r="8">
          <cell r="G8">
            <v>121</v>
          </cell>
        </row>
        <row r="9">
          <cell r="G9">
            <v>233</v>
          </cell>
        </row>
        <row r="10">
          <cell r="G10">
            <v>247</v>
          </cell>
        </row>
        <row r="22">
          <cell r="G22">
            <v>237</v>
          </cell>
        </row>
        <row r="23">
          <cell r="G23">
            <v>180</v>
          </cell>
        </row>
        <row r="24">
          <cell r="G24">
            <v>422</v>
          </cell>
        </row>
        <row r="25">
          <cell r="G25">
            <v>445</v>
          </cell>
        </row>
        <row r="26">
          <cell r="G26">
            <v>307</v>
          </cell>
        </row>
      </sheetData>
      <sheetData sheetId="3">
        <row r="5">
          <cell r="L5">
            <v>118</v>
          </cell>
          <cell r="M5">
            <v>93</v>
          </cell>
          <cell r="N5">
            <v>53</v>
          </cell>
          <cell r="O5">
            <v>33</v>
          </cell>
          <cell r="P5">
            <v>24</v>
          </cell>
          <cell r="Q5">
            <v>5</v>
          </cell>
        </row>
        <row r="6">
          <cell r="L6">
            <v>43</v>
          </cell>
          <cell r="M6">
            <v>24</v>
          </cell>
          <cell r="N6">
            <v>6</v>
          </cell>
          <cell r="O6">
            <v>4</v>
          </cell>
          <cell r="P6">
            <v>3</v>
          </cell>
          <cell r="Q6">
            <v>4</v>
          </cell>
        </row>
        <row r="7">
          <cell r="L7">
            <v>89</v>
          </cell>
          <cell r="M7">
            <v>87</v>
          </cell>
          <cell r="N7">
            <v>35</v>
          </cell>
          <cell r="O7">
            <v>31</v>
          </cell>
          <cell r="P7">
            <v>34</v>
          </cell>
          <cell r="Q7">
            <v>3</v>
          </cell>
        </row>
        <row r="8">
          <cell r="L8">
            <v>110</v>
          </cell>
          <cell r="M8">
            <v>80</v>
          </cell>
          <cell r="N8">
            <v>49</v>
          </cell>
          <cell r="O8">
            <v>27</v>
          </cell>
          <cell r="P8">
            <v>27</v>
          </cell>
          <cell r="Q8">
            <v>8</v>
          </cell>
        </row>
        <row r="9">
          <cell r="L9">
            <v>49</v>
          </cell>
          <cell r="M9">
            <v>33</v>
          </cell>
          <cell r="N9">
            <v>17</v>
          </cell>
          <cell r="O9">
            <v>9</v>
          </cell>
          <cell r="P9">
            <v>12</v>
          </cell>
          <cell r="Q9">
            <v>1</v>
          </cell>
        </row>
        <row r="10">
          <cell r="L10">
            <v>65</v>
          </cell>
          <cell r="M10">
            <v>52</v>
          </cell>
          <cell r="N10">
            <v>37</v>
          </cell>
          <cell r="O10">
            <v>39</v>
          </cell>
          <cell r="P10">
            <v>31</v>
          </cell>
          <cell r="Q10">
            <v>9</v>
          </cell>
        </row>
        <row r="11">
          <cell r="L11">
            <v>54</v>
          </cell>
          <cell r="M11">
            <v>58</v>
          </cell>
          <cell r="N11">
            <v>44</v>
          </cell>
          <cell r="O11">
            <v>31</v>
          </cell>
          <cell r="P11">
            <v>45</v>
          </cell>
          <cell r="Q11">
            <v>15</v>
          </cell>
        </row>
      </sheetData>
      <sheetData sheetId="4">
        <row r="5">
          <cell r="L5">
            <v>295</v>
          </cell>
          <cell r="M5">
            <v>134</v>
          </cell>
          <cell r="N5">
            <v>67</v>
          </cell>
          <cell r="O5">
            <v>18</v>
          </cell>
          <cell r="P5">
            <v>31</v>
          </cell>
          <cell r="Q5">
            <v>6</v>
          </cell>
        </row>
        <row r="6">
          <cell r="L6">
            <v>84</v>
          </cell>
          <cell r="M6">
            <v>110</v>
          </cell>
          <cell r="N6">
            <v>66</v>
          </cell>
          <cell r="O6">
            <v>45</v>
          </cell>
          <cell r="P6">
            <v>34</v>
          </cell>
          <cell r="Q6">
            <v>12</v>
          </cell>
        </row>
        <row r="7">
          <cell r="L7">
            <v>75</v>
          </cell>
          <cell r="M7">
            <v>91</v>
          </cell>
          <cell r="N7">
            <v>52</v>
          </cell>
          <cell r="O7">
            <v>47</v>
          </cell>
          <cell r="P7">
            <v>53</v>
          </cell>
          <cell r="Q7">
            <v>10</v>
          </cell>
        </row>
        <row r="8">
          <cell r="L8">
            <v>48</v>
          </cell>
          <cell r="M8">
            <v>68</v>
          </cell>
          <cell r="N8">
            <v>37</v>
          </cell>
          <cell r="O8">
            <v>50</v>
          </cell>
          <cell r="P8">
            <v>41</v>
          </cell>
          <cell r="Q8">
            <v>14</v>
          </cell>
        </row>
        <row r="9">
          <cell r="L9">
            <v>24</v>
          </cell>
          <cell r="M9">
            <v>22</v>
          </cell>
          <cell r="N9">
            <v>19</v>
          </cell>
          <cell r="O9">
            <v>11</v>
          </cell>
          <cell r="P9">
            <v>16</v>
          </cell>
          <cell r="Q9">
            <v>3</v>
          </cell>
        </row>
      </sheetData>
      <sheetData sheetId="5">
        <row r="5">
          <cell r="L5">
            <v>39</v>
          </cell>
          <cell r="M5">
            <v>49</v>
          </cell>
          <cell r="N5">
            <v>28</v>
          </cell>
          <cell r="O5">
            <v>17</v>
          </cell>
          <cell r="P5">
            <v>17</v>
          </cell>
          <cell r="Q5">
            <v>7</v>
          </cell>
        </row>
        <row r="6">
          <cell r="L6">
            <v>3</v>
          </cell>
          <cell r="M6">
            <v>2</v>
          </cell>
          <cell r="N6">
            <v>3</v>
          </cell>
          <cell r="O6">
            <v>6</v>
          </cell>
          <cell r="P6">
            <v>10</v>
          </cell>
        </row>
        <row r="7">
          <cell r="L7">
            <v>36</v>
          </cell>
          <cell r="M7">
            <v>23</v>
          </cell>
          <cell r="N7">
            <v>23</v>
          </cell>
          <cell r="O7">
            <v>14</v>
          </cell>
          <cell r="P7">
            <v>20</v>
          </cell>
          <cell r="Q7">
            <v>16</v>
          </cell>
        </row>
        <row r="8">
          <cell r="L8">
            <v>4</v>
          </cell>
          <cell r="M8">
            <v>15</v>
          </cell>
          <cell r="N8">
            <v>6</v>
          </cell>
          <cell r="O8">
            <v>9</v>
          </cell>
          <cell r="P8">
            <v>4</v>
          </cell>
          <cell r="Q8">
            <v>3</v>
          </cell>
        </row>
        <row r="9">
          <cell r="L9">
            <v>18</v>
          </cell>
          <cell r="M9">
            <v>9</v>
          </cell>
          <cell r="N9">
            <v>10</v>
          </cell>
          <cell r="O9">
            <v>6</v>
          </cell>
          <cell r="P9">
            <v>6</v>
          </cell>
        </row>
        <row r="10">
          <cell r="L10">
            <v>3</v>
          </cell>
          <cell r="M10">
            <v>10</v>
          </cell>
          <cell r="N10">
            <v>4</v>
          </cell>
          <cell r="O10">
            <v>12</v>
          </cell>
          <cell r="P10">
            <v>9</v>
          </cell>
          <cell r="Q10">
            <v>1</v>
          </cell>
        </row>
        <row r="11">
          <cell r="L11">
            <v>395</v>
          </cell>
          <cell r="M11">
            <v>277</v>
          </cell>
          <cell r="N11">
            <v>149</v>
          </cell>
          <cell r="O11">
            <v>93</v>
          </cell>
          <cell r="P11">
            <v>86</v>
          </cell>
          <cell r="Q11">
            <v>11</v>
          </cell>
        </row>
        <row r="12">
          <cell r="L12">
            <v>16</v>
          </cell>
          <cell r="M12">
            <v>9</v>
          </cell>
          <cell r="N12">
            <v>7</v>
          </cell>
          <cell r="O12">
            <v>7</v>
          </cell>
          <cell r="P12">
            <v>6</v>
          </cell>
        </row>
        <row r="13">
          <cell r="L13">
            <v>12</v>
          </cell>
          <cell r="M13">
            <v>27</v>
          </cell>
          <cell r="N13">
            <v>10</v>
          </cell>
          <cell r="O13">
            <v>9</v>
          </cell>
          <cell r="P13">
            <v>14</v>
          </cell>
          <cell r="Q13">
            <v>7</v>
          </cell>
        </row>
        <row r="14">
          <cell r="L14">
            <v>2</v>
          </cell>
          <cell r="M14">
            <v>6</v>
          </cell>
          <cell r="N14">
            <v>1</v>
          </cell>
          <cell r="O14">
            <v>1</v>
          </cell>
          <cell r="P14">
            <v>4</v>
          </cell>
        </row>
      </sheetData>
      <sheetData sheetId="6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ge"/>
      <sheetName val="Journey P"/>
      <sheetName val="Dist-Time"/>
      <sheetName val="Dist-Time Toll"/>
      <sheetName val="Income-Toll"/>
      <sheetName val="Veh-Toll"/>
      <sheetName val="Northern"/>
      <sheetName val="RSI FORM"/>
      <sheetName val="Key"/>
    </sheetNames>
    <sheetDataSet>
      <sheetData sheetId="0">
        <row r="5">
          <cell r="H5">
            <v>31</v>
          </cell>
          <cell r="I5">
            <v>48</v>
          </cell>
        </row>
        <row r="6">
          <cell r="H6">
            <v>121</v>
          </cell>
          <cell r="I6">
            <v>328</v>
          </cell>
        </row>
        <row r="7">
          <cell r="H7">
            <v>46</v>
          </cell>
          <cell r="I7">
            <v>184</v>
          </cell>
        </row>
        <row r="8">
          <cell r="H8">
            <v>10</v>
          </cell>
          <cell r="I8">
            <v>40</v>
          </cell>
        </row>
        <row r="9">
          <cell r="I9">
            <v>4</v>
          </cell>
        </row>
        <row r="10">
          <cell r="I10">
            <v>1</v>
          </cell>
        </row>
      </sheetData>
      <sheetData sheetId="1">
        <row r="5">
          <cell r="M5">
            <v>30</v>
          </cell>
          <cell r="N5">
            <v>107</v>
          </cell>
        </row>
        <row r="6">
          <cell r="M6">
            <v>66</v>
          </cell>
          <cell r="N6">
            <v>279</v>
          </cell>
        </row>
        <row r="7">
          <cell r="M7">
            <v>103</v>
          </cell>
          <cell r="N7">
            <v>199</v>
          </cell>
        </row>
        <row r="8">
          <cell r="M8">
            <v>3</v>
          </cell>
          <cell r="N8">
            <v>3</v>
          </cell>
        </row>
        <row r="9">
          <cell r="M9">
            <v>2</v>
          </cell>
          <cell r="N9">
            <v>5</v>
          </cell>
        </row>
        <row r="10">
          <cell r="M10">
            <v>2</v>
          </cell>
          <cell r="N10">
            <v>6</v>
          </cell>
        </row>
        <row r="11">
          <cell r="M11">
            <v>1</v>
          </cell>
          <cell r="N11">
            <v>4</v>
          </cell>
        </row>
        <row r="12">
          <cell r="M12">
            <v>1</v>
          </cell>
          <cell r="N12">
            <v>1</v>
          </cell>
        </row>
      </sheetData>
      <sheetData sheetId="2">
        <row r="4">
          <cell r="G4">
            <v>37</v>
          </cell>
        </row>
        <row r="5">
          <cell r="G5">
            <v>19</v>
          </cell>
        </row>
        <row r="6">
          <cell r="G6">
            <v>92</v>
          </cell>
        </row>
        <row r="7">
          <cell r="G7">
            <v>106</v>
          </cell>
        </row>
        <row r="8">
          <cell r="G8">
            <v>112</v>
          </cell>
        </row>
        <row r="9">
          <cell r="G9">
            <v>134</v>
          </cell>
        </row>
        <row r="10">
          <cell r="G10">
            <v>313</v>
          </cell>
        </row>
        <row r="22">
          <cell r="G22">
            <v>56</v>
          </cell>
        </row>
        <row r="23">
          <cell r="G23">
            <v>22</v>
          </cell>
        </row>
        <row r="24">
          <cell r="G24">
            <v>105</v>
          </cell>
        </row>
        <row r="25">
          <cell r="G25">
            <v>228</v>
          </cell>
        </row>
        <row r="26">
          <cell r="G26">
            <v>402</v>
          </cell>
        </row>
      </sheetData>
      <sheetData sheetId="3">
        <row r="5">
          <cell r="L5">
            <v>13</v>
          </cell>
          <cell r="M5">
            <v>9</v>
          </cell>
          <cell r="N5">
            <v>5</v>
          </cell>
          <cell r="O5">
            <v>1</v>
          </cell>
          <cell r="P5">
            <v>5</v>
          </cell>
          <cell r="Q5">
            <v>4</v>
          </cell>
        </row>
        <row r="6">
          <cell r="L6">
            <v>6</v>
          </cell>
          <cell r="M6">
            <v>7</v>
          </cell>
          <cell r="N6">
            <v>3</v>
          </cell>
          <cell r="O6">
            <v>1</v>
          </cell>
          <cell r="P6">
            <v>2</v>
          </cell>
        </row>
        <row r="7">
          <cell r="L7">
            <v>47</v>
          </cell>
          <cell r="M7">
            <v>27</v>
          </cell>
          <cell r="N7">
            <v>11</v>
          </cell>
          <cell r="P7">
            <v>6</v>
          </cell>
          <cell r="Q7">
            <v>1</v>
          </cell>
        </row>
        <row r="8">
          <cell r="L8">
            <v>48</v>
          </cell>
          <cell r="M8">
            <v>28</v>
          </cell>
          <cell r="N8">
            <v>17</v>
          </cell>
          <cell r="O8">
            <v>5</v>
          </cell>
          <cell r="P8">
            <v>6</v>
          </cell>
          <cell r="Q8">
            <v>2</v>
          </cell>
        </row>
        <row r="9">
          <cell r="L9">
            <v>41</v>
          </cell>
          <cell r="M9">
            <v>36</v>
          </cell>
          <cell r="N9">
            <v>19</v>
          </cell>
          <cell r="O9">
            <v>9</v>
          </cell>
          <cell r="P9">
            <v>5</v>
          </cell>
          <cell r="Q9">
            <v>2</v>
          </cell>
        </row>
        <row r="10">
          <cell r="L10">
            <v>59</v>
          </cell>
          <cell r="M10">
            <v>39</v>
          </cell>
          <cell r="N10">
            <v>23</v>
          </cell>
          <cell r="O10">
            <v>3</v>
          </cell>
          <cell r="P10">
            <v>6</v>
          </cell>
          <cell r="Q10">
            <v>4</v>
          </cell>
        </row>
        <row r="11">
          <cell r="L11">
            <v>63</v>
          </cell>
          <cell r="M11">
            <v>105</v>
          </cell>
          <cell r="N11">
            <v>58</v>
          </cell>
          <cell r="O11">
            <v>22</v>
          </cell>
          <cell r="P11">
            <v>41</v>
          </cell>
          <cell r="Q11">
            <v>24</v>
          </cell>
        </row>
      </sheetData>
      <sheetData sheetId="4">
        <row r="5">
          <cell r="L5">
            <v>136</v>
          </cell>
          <cell r="M5">
            <v>37</v>
          </cell>
          <cell r="N5">
            <v>11</v>
          </cell>
          <cell r="O5">
            <v>5</v>
          </cell>
          <cell r="P5">
            <v>10</v>
          </cell>
          <cell r="Q5">
            <v>4</v>
          </cell>
        </row>
        <row r="6">
          <cell r="L6">
            <v>95</v>
          </cell>
          <cell r="M6">
            <v>92</v>
          </cell>
          <cell r="N6">
            <v>46</v>
          </cell>
          <cell r="O6">
            <v>13</v>
          </cell>
          <cell r="P6">
            <v>15</v>
          </cell>
          <cell r="Q6">
            <v>4</v>
          </cell>
        </row>
        <row r="7">
          <cell r="L7">
            <v>36</v>
          </cell>
          <cell r="M7">
            <v>44</v>
          </cell>
          <cell r="N7">
            <v>35</v>
          </cell>
          <cell r="O7">
            <v>12</v>
          </cell>
          <cell r="P7">
            <v>27</v>
          </cell>
          <cell r="Q7">
            <v>13</v>
          </cell>
        </row>
        <row r="8">
          <cell r="L8">
            <v>7</v>
          </cell>
          <cell r="M8">
            <v>53</v>
          </cell>
          <cell r="N8">
            <v>29</v>
          </cell>
          <cell r="O8">
            <v>11</v>
          </cell>
          <cell r="P8">
            <v>13</v>
          </cell>
          <cell r="Q8">
            <v>12</v>
          </cell>
        </row>
        <row r="9">
          <cell r="L9">
            <v>2</v>
          </cell>
          <cell r="M9">
            <v>25</v>
          </cell>
          <cell r="N9">
            <v>15</v>
          </cell>
          <cell r="P9">
            <v>6</v>
          </cell>
          <cell r="Q9">
            <v>4</v>
          </cell>
        </row>
      </sheetData>
      <sheetData sheetId="5">
        <row r="5">
          <cell r="L5">
            <v>75</v>
          </cell>
          <cell r="M5">
            <v>59</v>
          </cell>
          <cell r="N5">
            <v>34</v>
          </cell>
          <cell r="O5">
            <v>8</v>
          </cell>
          <cell r="P5">
            <v>10</v>
          </cell>
          <cell r="Q5">
            <v>5</v>
          </cell>
        </row>
        <row r="6">
          <cell r="M6">
            <v>5</v>
          </cell>
        </row>
        <row r="7">
          <cell r="L7">
            <v>54</v>
          </cell>
          <cell r="M7">
            <v>66</v>
          </cell>
          <cell r="N7">
            <v>52</v>
          </cell>
          <cell r="O7">
            <v>18</v>
          </cell>
          <cell r="P7">
            <v>34</v>
          </cell>
          <cell r="Q7">
            <v>23</v>
          </cell>
        </row>
        <row r="8">
          <cell r="L8">
            <v>9</v>
          </cell>
          <cell r="M8">
            <v>6</v>
          </cell>
          <cell r="N8">
            <v>3</v>
          </cell>
          <cell r="O8">
            <v>1</v>
          </cell>
          <cell r="Q8">
            <v>1</v>
          </cell>
        </row>
        <row r="9">
          <cell r="M9">
            <v>13</v>
          </cell>
          <cell r="N9">
            <v>5</v>
          </cell>
          <cell r="O9">
            <v>1</v>
          </cell>
          <cell r="P9">
            <v>4</v>
          </cell>
        </row>
        <row r="10">
          <cell r="L10">
            <v>4</v>
          </cell>
          <cell r="M10">
            <v>1</v>
          </cell>
        </row>
        <row r="11">
          <cell r="L11">
            <v>118</v>
          </cell>
          <cell r="M11">
            <v>73</v>
          </cell>
          <cell r="N11">
            <v>29</v>
          </cell>
          <cell r="O11">
            <v>4</v>
          </cell>
          <cell r="P11">
            <v>11</v>
          </cell>
          <cell r="Q11">
            <v>4</v>
          </cell>
        </row>
        <row r="12">
          <cell r="L12">
            <v>10</v>
          </cell>
          <cell r="M12">
            <v>7</v>
          </cell>
          <cell r="N12">
            <v>7</v>
          </cell>
          <cell r="O12">
            <v>4</v>
          </cell>
          <cell r="P12">
            <v>2</v>
          </cell>
          <cell r="Q12">
            <v>2</v>
          </cell>
        </row>
        <row r="13">
          <cell r="L13">
            <v>6</v>
          </cell>
          <cell r="M13">
            <v>17</v>
          </cell>
          <cell r="N13">
            <v>5</v>
          </cell>
          <cell r="O13">
            <v>5</v>
          </cell>
          <cell r="P13">
            <v>10</v>
          </cell>
          <cell r="Q13">
            <v>2</v>
          </cell>
        </row>
        <row r="14">
          <cell r="L14">
            <v>1</v>
          </cell>
          <cell r="M14">
            <v>3</v>
          </cell>
        </row>
      </sheetData>
      <sheetData sheetId="6"/>
      <sheetData sheetId="7"/>
      <sheetData sheetId="8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Western%20SP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3907.554398148146" createdVersion="6" refreshedVersion="6" minRefreshableVersion="3" recordCount="1552" xr:uid="{48000036-868A-4E4F-88CA-5EA9A074CB35}">
  <cacheSource type="worksheet">
    <worksheetSource ref="A1:AM1048576" sheet="Western" r:id="rId2"/>
  </cacheSource>
  <cacheFields count="39">
    <cacheField name="Date" numFmtId="0">
      <sharedItems containsDate="1" containsBlank="1" containsMixedTypes="1" minDate="2019-10-18T00:00:00" maxDate="2091-10-24T00:00:00"/>
    </cacheField>
    <cacheField name="Time (24-h format)" numFmtId="0">
      <sharedItems containsDate="1" containsBlank="1" containsMixedTypes="1" minDate="1899-12-30T00:25:00" maxDate="1899-12-30T23:50:00"/>
    </cacheField>
    <cacheField name="Veh_Reg_No." numFmtId="0">
      <sharedItems containsBlank="1"/>
    </cacheField>
    <cacheField name="Driver or Passenger? D/P" numFmtId="0">
      <sharedItems containsBlank="1"/>
    </cacheField>
    <cacheField name="Mode No." numFmtId="0">
      <sharedItems containsString="0" containsBlank="1" containsNumber="1" containsInteger="1" minValue="1" maxValue="4"/>
    </cacheField>
    <cacheField name="Mode Description" numFmtId="0">
      <sharedItems containsBlank="1"/>
    </cacheField>
    <cacheField name="Veh_Type" numFmtId="0">
      <sharedItems containsString="0" containsBlank="1" containsNumber="1" containsInteger="1" minValue="1" maxValue="13"/>
    </cacheField>
    <cacheField name="Veh_Type Desc" numFmtId="0">
      <sharedItems containsBlank="1" count="13">
        <s v="Car"/>
        <s v="Large Bus"/>
        <s v="Medium bus "/>
        <s v="Minibus"/>
        <s v="Medium Truck "/>
        <s v="Bicycles"/>
        <s v="Station Wagon"/>
        <s v="Light Truck "/>
        <s v="Heavy truck "/>
        <s v="Pickups"/>
        <s v="Bicycle"/>
        <s v="Bicylces"/>
        <m/>
      </sharedItems>
    </cacheField>
    <cacheField name="Gender (M/F)" numFmtId="0">
      <sharedItems containsBlank="1" count="3">
        <s v="M"/>
        <s v="F"/>
        <m/>
      </sharedItems>
    </cacheField>
    <cacheField name="Age Bracket No." numFmtId="0">
      <sharedItems containsString="0" containsBlank="1" containsNumber="1" containsInteger="1" minValue="1" maxValue="6"/>
    </cacheField>
    <cacheField name="Age Bracket Desc." numFmtId="0">
      <sharedItems containsBlank="1" count="7">
        <s v="20-29"/>
        <s v="30-39"/>
        <s v="40-49"/>
        <s v="50-59"/>
        <s v="60-69"/>
        <s v="70-"/>
        <m/>
      </sharedItems>
    </cacheField>
    <cacheField name="Or Village" numFmtId="0">
      <sharedItems containsBlank="1"/>
    </cacheField>
    <cacheField name="Or District" numFmtId="0">
      <sharedItems containsBlank="1"/>
    </cacheField>
    <cacheField name="Or Country" numFmtId="0">
      <sharedItems containsBlank="1"/>
    </cacheField>
    <cacheField name="Origin_Purpose" numFmtId="0">
      <sharedItems containsString="0" containsBlank="1" containsNumber="1" containsInteger="1" minValue="1" maxValue="8"/>
    </cacheField>
    <cacheField name="Origin-Purpose Desc" numFmtId="0">
      <sharedItems containsBlank="1"/>
    </cacheField>
    <cacheField name="Dest Village" numFmtId="0">
      <sharedItems containsBlank="1"/>
    </cacheField>
    <cacheField name="Dest District" numFmtId="0">
      <sharedItems containsBlank="1"/>
    </cacheField>
    <cacheField name="Des Country" numFmtId="0">
      <sharedItems containsBlank="1"/>
    </cacheField>
    <cacheField name="Dest_Purpose" numFmtId="0">
      <sharedItems containsString="0" containsBlank="1" containsNumber="1" containsInteger="1" minValue="1" maxValue="8"/>
    </cacheField>
    <cacheField name="Dest_Purpose Desc" numFmtId="0">
      <sharedItems containsBlank="1"/>
    </cacheField>
    <cacheField name="Journey_Purpose" numFmtId="0">
      <sharedItems containsBlank="1" count="41">
        <s v="Home-Commercial"/>
        <s v="Home-Work"/>
        <s v="Work-Work"/>
        <s v="Commercial-Home"/>
        <s v="Work-Home"/>
        <s v="Work-Leisure/Social"/>
        <s v="Study-Tourism"/>
        <s v="Leisure/Social-Leisure/Social"/>
        <s v="Home-Leisure/Social"/>
        <s v="Study-Home"/>
        <s v="Leisure/Social-Home"/>
        <s v="Others-Study"/>
        <s v="Others-Home"/>
        <s v="Home-Others"/>
        <s v="Others-Work"/>
        <s v="Others-Others"/>
        <s v="Home-Home"/>
        <s v="Work-Commercial"/>
        <s v="Commercial-Commercial"/>
        <s v="Work-Others"/>
        <s v="Home-Tourism"/>
        <s v="Leisure/Social-Commercial"/>
        <s v="Study-Work"/>
        <s v="Work-Hospital"/>
        <s v="Commercial-Work"/>
        <s v="Home-Study"/>
        <s v="Commercial-Study"/>
        <s v="Hospital-Home"/>
        <s v="Tourism-Home"/>
        <s v="Leisure/Social-Work"/>
        <s v="Others-Hospital"/>
        <s v="Tourism-Tourism"/>
        <s v="Home-Hospital"/>
        <s v="Work-Study"/>
        <s v="Study-Study"/>
        <s v="Tourism-Work"/>
        <s v="Commercial-Leisure/Social"/>
        <s v="Others-Leisure/Social"/>
        <e v="#N/A"/>
        <s v="Leisure/Social-Others"/>
        <m/>
      </sharedItems>
    </cacheField>
    <cacheField name="Cost of Trip (UGX)" numFmtId="0">
      <sharedItems containsBlank="1" containsMixedTypes="1" containsNumber="1" containsInteger="1" minValue="500" maxValue="2400000"/>
    </cacheField>
    <cacheField name="Journey Dist (Km)" numFmtId="0">
      <sharedItems containsString="0" containsBlank="1" containsNumber="1" minValue="0.25" maxValue="4000"/>
    </cacheField>
    <cacheField name="Dist Range" numFmtId="0">
      <sharedItems containsBlank="1" count="8">
        <s v="0-10"/>
        <s v="70-100"/>
        <s v="100-200"/>
        <s v="Over 200"/>
        <s v="20-40"/>
        <s v="40-70"/>
        <s v="10-20"/>
        <m/>
      </sharedItems>
    </cacheField>
    <cacheField name="Journey Time (Hrs)" numFmtId="0">
      <sharedItems containsBlank="1" containsMixedTypes="1" containsNumber="1" minValue="0.05" maxValue="40"/>
    </cacheField>
    <cacheField name="Time Range" numFmtId="0">
      <sharedItems containsBlank="1" count="6">
        <s v="2.0-3.5"/>
        <s v="1.0-2.0"/>
        <s v="Over 3.5"/>
        <s v="0-0.5"/>
        <s v="0.5-1.0"/>
        <m/>
      </sharedItems>
    </cacheField>
    <cacheField name="Profession No." numFmtId="0">
      <sharedItems containsString="0" containsBlank="1" containsNumber="1" containsInteger="1" minValue="1" maxValue="10"/>
    </cacheField>
    <cacheField name="Profession Desc." numFmtId="0">
      <sharedItems containsBlank="1"/>
    </cacheField>
    <cacheField name="Monthly Income No." numFmtId="0">
      <sharedItems containsString="0" containsBlank="1" containsNumber="1" containsInteger="1" minValue="1" maxValue="5"/>
    </cacheField>
    <cacheField name="Monthly Income " numFmtId="0">
      <sharedItems containsBlank="1" count="6">
        <s v="750,000-1,000,000"/>
        <s v="500,000-750,000"/>
        <s v="&lt;300,000"/>
        <s v="300,000-500,000"/>
        <s v="&gt;1,000,000"/>
        <m/>
      </sharedItems>
    </cacheField>
    <cacheField name="Journey Time" numFmtId="0">
      <sharedItems containsString="0" containsBlank="1" containsNumber="1" containsInteger="1" minValue="1" maxValue="5"/>
    </cacheField>
    <cacheField name="Cost of Journey" numFmtId="0">
      <sharedItems containsString="0" containsBlank="1" containsNumber="1" containsInteger="1" minValue="1" maxValue="33"/>
    </cacheField>
    <cacheField name="Comfort" numFmtId="0">
      <sharedItems containsBlank="1" containsMixedTypes="1" containsNumber="1" containsInteger="1" minValue="1" maxValue="5"/>
    </cacheField>
    <cacheField name="Safety" numFmtId="0">
      <sharedItems containsString="0" containsBlank="1" containsNumber="1" containsInteger="1" minValue="1" maxValue="9"/>
    </cacheField>
    <cacheField name="Reliability" numFmtId="0">
      <sharedItems containsString="0" containsBlank="1" containsNumber="1" minValue="0.3" maxValue="7"/>
    </cacheField>
    <cacheField name="Would You Use Xpressways? Y/N" numFmtId="0">
      <sharedItems containsBlank="1"/>
    </cacheField>
    <cacheField name="Pay How Much? (UGX)" numFmtId="0">
      <sharedItems containsBlank="1" containsMixedTypes="1" containsNumber="1" containsInteger="1" minValue="0" maxValue="20000"/>
    </cacheField>
    <cacheField name="Toll Charge" numFmtId="0">
      <sharedItems containsBlank="1" count="7">
        <s v="3000-5000"/>
        <s v="2000-3000"/>
        <s v="5000-10000"/>
        <s v="0-1000"/>
        <s v="1000-2000"/>
        <s v="Over 1000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52">
  <r>
    <d v="2019-10-24T00:00:00"/>
    <d v="1899-12-30T17:38:00"/>
    <m/>
    <s v="P"/>
    <n v="2"/>
    <s v="Road Vehicle"/>
    <n v="1"/>
    <x v="0"/>
    <x v="0"/>
    <n v="1"/>
    <x v="0"/>
    <s v="NANSANA"/>
    <s v="WAKISO"/>
    <s v="UG"/>
    <n v="1"/>
    <s v="Home"/>
    <s v="HIOMA"/>
    <s v="HIOMA"/>
    <s v="UG"/>
    <n v="4"/>
    <s v="Commercial"/>
    <x v="0"/>
    <n v="13000"/>
    <m/>
    <x v="0"/>
    <n v="3"/>
    <x v="0"/>
    <n v="6"/>
    <s v="Businessman"/>
    <n v="4"/>
    <x v="0"/>
    <n v="2"/>
    <n v="3"/>
    <n v="4"/>
    <n v="1"/>
    <n v="5"/>
    <s v="Y"/>
    <n v="3000"/>
    <x v="0"/>
  </r>
  <r>
    <d v="2019-10-25T00:00:00"/>
    <d v="1899-12-30T16:36:00"/>
    <m/>
    <s v="D"/>
    <n v="2"/>
    <s v="Road Vehicle"/>
    <n v="1"/>
    <x v="0"/>
    <x v="0"/>
    <n v="1"/>
    <x v="0"/>
    <s v="HIOMA"/>
    <s v="HIOMA"/>
    <s v="UG"/>
    <n v="1"/>
    <s v="Home"/>
    <s v="BUKWIRI"/>
    <s v="KYANKWENZI"/>
    <s v="UG"/>
    <n v="2"/>
    <s v="Work"/>
    <x v="1"/>
    <n v="65000"/>
    <n v="75"/>
    <x v="1"/>
    <n v="1"/>
    <x v="1"/>
    <n v="5"/>
    <s v="Professional"/>
    <n v="3"/>
    <x v="1"/>
    <n v="2"/>
    <n v="1"/>
    <n v="1"/>
    <n v="1"/>
    <n v="2"/>
    <s v="Y"/>
    <n v="2000"/>
    <x v="1"/>
  </r>
  <r>
    <d v="2019-10-25T00:00:00"/>
    <d v="1899-12-30T12:42:00"/>
    <m/>
    <s v="D"/>
    <n v="2"/>
    <s v="Road Vehicle"/>
    <n v="1"/>
    <x v="0"/>
    <x v="0"/>
    <n v="1"/>
    <x v="0"/>
    <s v="HIOMA"/>
    <s v="HIOMA"/>
    <s v="UG"/>
    <n v="1"/>
    <s v="Home"/>
    <s v="KABAALE"/>
    <s v="HIOMA"/>
    <s v="UG"/>
    <n v="2"/>
    <s v="Work"/>
    <x v="1"/>
    <n v="50000"/>
    <m/>
    <x v="0"/>
    <n v="2"/>
    <x v="0"/>
    <n v="2"/>
    <s v="Manual Labour"/>
    <n v="1"/>
    <x v="2"/>
    <n v="3"/>
    <n v="4"/>
    <n v="5"/>
    <n v="1"/>
    <n v="2"/>
    <s v="Y"/>
    <n v="5000"/>
    <x v="2"/>
  </r>
  <r>
    <d v="2019-10-25T00:00:00"/>
    <d v="1899-12-30T13:54:00"/>
    <m/>
    <s v="D"/>
    <n v="2"/>
    <s v="Road Vehicle"/>
    <n v="1"/>
    <x v="0"/>
    <x v="0"/>
    <n v="1"/>
    <x v="0"/>
    <s v="HIOMA"/>
    <s v="HIOMA"/>
    <s v="UG"/>
    <n v="1"/>
    <s v="Home"/>
    <s v="BULIISA"/>
    <s v="BULIISA"/>
    <s v="UG"/>
    <n v="2"/>
    <s v="Work"/>
    <x v="1"/>
    <n v="80000"/>
    <n v="75"/>
    <x v="1"/>
    <n v="2"/>
    <x v="0"/>
    <n v="5"/>
    <s v="Professional"/>
    <n v="4"/>
    <x v="0"/>
    <n v="1"/>
    <n v="1"/>
    <n v="1"/>
    <n v="1"/>
    <n v="1"/>
    <s v="Y"/>
    <m/>
    <x v="3"/>
  </r>
  <r>
    <d v="2019-10-25T00:00:00"/>
    <d v="1899-12-30T08:01:00"/>
    <m/>
    <s v="D"/>
    <n v="2"/>
    <s v="Road Vehicle"/>
    <n v="1"/>
    <x v="0"/>
    <x v="0"/>
    <n v="1"/>
    <x v="0"/>
    <s v="HIOMA"/>
    <s v="HIOMA"/>
    <s v="UG"/>
    <n v="2"/>
    <s v="Work"/>
    <s v="KAMPALA"/>
    <s v="KAMPALA"/>
    <s v="UG"/>
    <n v="2"/>
    <s v="Work"/>
    <x v="2"/>
    <n v="100000"/>
    <n v="175"/>
    <x v="2"/>
    <n v="3"/>
    <x v="0"/>
    <n v="5"/>
    <s v="Professional"/>
    <n v="4"/>
    <x v="0"/>
    <n v="1"/>
    <n v="3"/>
    <n v="5"/>
    <n v="4"/>
    <n v="2"/>
    <s v="Y"/>
    <n v="5000"/>
    <x v="2"/>
  </r>
  <r>
    <d v="2019-10-25T00:00:00"/>
    <d v="1899-12-30T18:05:00"/>
    <m/>
    <s v="P"/>
    <n v="2"/>
    <s v="Road Vehicle"/>
    <n v="1"/>
    <x v="0"/>
    <x v="0"/>
    <n v="1"/>
    <x v="0"/>
    <s v="HIOMA"/>
    <s v="HIOMA"/>
    <s v="UG"/>
    <n v="4"/>
    <s v="Commercial"/>
    <s v="ARUA"/>
    <s v="ARUA"/>
    <s v="UG"/>
    <n v="1"/>
    <s v="Home"/>
    <x v="3"/>
    <n v="350000"/>
    <n v="390"/>
    <x v="3"/>
    <n v="8"/>
    <x v="2"/>
    <n v="5"/>
    <s v="Professional"/>
    <n v="3"/>
    <x v="1"/>
    <n v="3"/>
    <n v="2"/>
    <n v="1"/>
    <n v="5"/>
    <n v="4"/>
    <s v="Y"/>
    <n v="7000"/>
    <x v="2"/>
  </r>
  <r>
    <d v="2019-10-25T00:00:00"/>
    <d v="1899-12-30T15:53:00"/>
    <m/>
    <s v="D"/>
    <n v="2"/>
    <s v="Road Vehicle"/>
    <n v="1"/>
    <x v="0"/>
    <x v="0"/>
    <n v="1"/>
    <x v="0"/>
    <s v="HIOMA"/>
    <s v="HIOMA"/>
    <s v="UG"/>
    <n v="4"/>
    <s v="Commercial"/>
    <s v="KIBOGA"/>
    <s v="KIBOGA"/>
    <s v="UG"/>
    <n v="1"/>
    <s v="Home"/>
    <x v="3"/>
    <n v="70000"/>
    <n v="115"/>
    <x v="2"/>
    <n v="1"/>
    <x v="1"/>
    <n v="5"/>
    <s v="Professional"/>
    <n v="3"/>
    <x v="1"/>
    <n v="1"/>
    <n v="1"/>
    <n v="2"/>
    <n v="1"/>
    <n v="1"/>
    <s v="Y"/>
    <n v="2000"/>
    <x v="1"/>
  </r>
  <r>
    <d v="2019-10-24T00:00:00"/>
    <d v="1899-12-30T16:06:00"/>
    <m/>
    <s v="P"/>
    <n v="2"/>
    <s v="Road Vehicle"/>
    <n v="6"/>
    <x v="1"/>
    <x v="1"/>
    <n v="1"/>
    <x v="0"/>
    <s v="HIOMA"/>
    <s v="HIOMA"/>
    <s v="UG"/>
    <n v="2"/>
    <s v="Work"/>
    <s v="KAMPALA"/>
    <s v="KAMPALA"/>
    <s v="UG"/>
    <n v="1"/>
    <s v="Home"/>
    <x v="4"/>
    <n v="13000"/>
    <n v="200"/>
    <x v="3"/>
    <n v="4"/>
    <x v="2"/>
    <n v="4"/>
    <s v="Office Worker"/>
    <n v="3"/>
    <x v="1"/>
    <n v="1"/>
    <n v="2"/>
    <n v="3"/>
    <n v="4"/>
    <n v="5"/>
    <s v="Y"/>
    <n v="1000"/>
    <x v="4"/>
  </r>
  <r>
    <d v="2019-10-24T00:00:00"/>
    <d v="1899-12-30T14:39:00"/>
    <m/>
    <s v="P"/>
    <n v="2"/>
    <s v="Road Vehicle"/>
    <n v="6"/>
    <x v="1"/>
    <x v="0"/>
    <n v="1"/>
    <x v="0"/>
    <s v="HIOMA"/>
    <s v="HIOMA"/>
    <s v="UG"/>
    <n v="2"/>
    <s v="Work"/>
    <s v="KAMPALA"/>
    <s v="KAMPALA"/>
    <s v="UG"/>
    <n v="2"/>
    <s v="Work"/>
    <x v="2"/>
    <n v="13000"/>
    <n v="200"/>
    <x v="3"/>
    <n v="3"/>
    <x v="0"/>
    <n v="4"/>
    <s v="Office Worker"/>
    <n v="4"/>
    <x v="0"/>
    <n v="1"/>
    <n v="3"/>
    <n v="5"/>
    <n v="4"/>
    <n v="2"/>
    <s v="Y"/>
    <m/>
    <x v="3"/>
  </r>
  <r>
    <d v="2019-10-24T00:00:00"/>
    <d v="1899-12-30T14:24:00"/>
    <m/>
    <s v="P"/>
    <n v="2"/>
    <s v="Road Vehicle"/>
    <n v="6"/>
    <x v="1"/>
    <x v="0"/>
    <n v="1"/>
    <x v="0"/>
    <s v="HIOMA"/>
    <s v="HIOMA"/>
    <s v="UG"/>
    <n v="2"/>
    <s v="Work"/>
    <s v="KAMPALA"/>
    <s v="KAMPALA"/>
    <s v="UG"/>
    <n v="6"/>
    <s v="Leisure/Social"/>
    <x v="5"/>
    <n v="13000"/>
    <n v="195"/>
    <x v="2"/>
    <n v="3"/>
    <x v="0"/>
    <n v="1"/>
    <s v="Unemployed"/>
    <n v="1"/>
    <x v="2"/>
    <n v="2"/>
    <n v="1"/>
    <n v="5"/>
    <n v="4"/>
    <n v="3"/>
    <s v="Y"/>
    <n v="3000"/>
    <x v="0"/>
  </r>
  <r>
    <d v="2019-10-24T00:00:00"/>
    <d v="1899-12-30T14:10:00"/>
    <m/>
    <s v="P"/>
    <n v="2"/>
    <s v="Road Vehicle"/>
    <n v="6"/>
    <x v="1"/>
    <x v="0"/>
    <n v="1"/>
    <x v="0"/>
    <s v="HIOMA"/>
    <s v="HIOMA"/>
    <s v="UG"/>
    <n v="3"/>
    <s v="Study"/>
    <s v="KAMPALA"/>
    <s v="KAMPALA"/>
    <s v="UG"/>
    <n v="5"/>
    <s v="Tourism"/>
    <x v="6"/>
    <n v="13000"/>
    <n v="200"/>
    <x v="3"/>
    <n v="4"/>
    <x v="2"/>
    <n v="5"/>
    <s v="Professional"/>
    <n v="4"/>
    <x v="0"/>
    <n v="2"/>
    <n v="3"/>
    <n v="5"/>
    <n v="4"/>
    <n v="7"/>
    <s v="Y"/>
    <n v="2000"/>
    <x v="1"/>
  </r>
  <r>
    <d v="2019-10-25T00:00:00"/>
    <d v="1899-12-30T08:04:00"/>
    <m/>
    <s v="P"/>
    <n v="2"/>
    <s v="Road Vehicle"/>
    <n v="6"/>
    <x v="1"/>
    <x v="0"/>
    <n v="1"/>
    <x v="0"/>
    <s v="HIOMA"/>
    <s v="HIOMA"/>
    <s v="UG"/>
    <n v="6"/>
    <s v="Leisure/Social"/>
    <s v="KYANKWENZI"/>
    <s v="KIKUUBE"/>
    <s v="UG"/>
    <n v="6"/>
    <s v="Leisure/Social"/>
    <x v="7"/>
    <n v="10000"/>
    <n v="130"/>
    <x v="2"/>
    <n v="2"/>
    <x v="0"/>
    <n v="3"/>
    <s v="Artisan/Domestic"/>
    <n v="2"/>
    <x v="3"/>
    <n v="1"/>
    <n v="1"/>
    <n v="1"/>
    <n v="1"/>
    <n v="1"/>
    <s v="Y"/>
    <m/>
    <x v="3"/>
  </r>
  <r>
    <d v="2019-10-25T00:00:00"/>
    <d v="1899-12-30T08:04:00"/>
    <m/>
    <s v="P"/>
    <n v="2"/>
    <s v="Road Vehicle"/>
    <n v="6"/>
    <x v="1"/>
    <x v="0"/>
    <n v="1"/>
    <x v="0"/>
    <s v="HIOMA"/>
    <s v="HIOMA"/>
    <s v="UG"/>
    <n v="1"/>
    <s v="Home"/>
    <s v="KYANKWENZI"/>
    <s v="KIKUUBE"/>
    <s v="UG"/>
    <n v="6"/>
    <s v="Leisure/Social"/>
    <x v="8"/>
    <n v="10000"/>
    <n v="130"/>
    <x v="2"/>
    <n v="2"/>
    <x v="0"/>
    <n v="3"/>
    <s v="Artisan/Domestic"/>
    <n v="2"/>
    <x v="3"/>
    <n v="1"/>
    <n v="1"/>
    <n v="1"/>
    <n v="1"/>
    <n v="1"/>
    <s v="Y"/>
    <n v="1000"/>
    <x v="4"/>
  </r>
  <r>
    <d v="2019-10-25T00:00:00"/>
    <d v="1899-12-30T17:15:00"/>
    <m/>
    <s v="D"/>
    <n v="2"/>
    <s v="Road Vehicle"/>
    <n v="6"/>
    <x v="1"/>
    <x v="0"/>
    <n v="1"/>
    <x v="0"/>
    <s v="HIOMA"/>
    <s v="HIOMA"/>
    <s v="UG"/>
    <n v="2"/>
    <s v="Work"/>
    <s v="KIBUULE"/>
    <s v="KIBUULE"/>
    <s v="UG"/>
    <n v="1"/>
    <s v="Home"/>
    <x v="4"/>
    <n v="600000"/>
    <n v="80"/>
    <x v="1"/>
    <n v="3"/>
    <x v="0"/>
    <n v="10"/>
    <s v="Other"/>
    <n v="4"/>
    <x v="0"/>
    <n v="1"/>
    <n v="2"/>
    <n v="3"/>
    <n v="4"/>
    <n v="5"/>
    <s v="Y"/>
    <n v="3000"/>
    <x v="0"/>
  </r>
  <r>
    <d v="2019-10-25T00:00:00"/>
    <d v="1899-12-30T15:36:00"/>
    <m/>
    <s v="P"/>
    <n v="2"/>
    <s v="Road Vehicle"/>
    <n v="6"/>
    <x v="1"/>
    <x v="0"/>
    <n v="1"/>
    <x v="0"/>
    <s v="HIOMA"/>
    <s v="HIOMA"/>
    <s v="UG"/>
    <n v="3"/>
    <s v="Study"/>
    <s v="KAMPALA"/>
    <s v="KAMPALA"/>
    <s v="UG"/>
    <n v="1"/>
    <s v="Home"/>
    <x v="9"/>
    <n v="130000"/>
    <n v="190"/>
    <x v="2"/>
    <n v="4"/>
    <x v="2"/>
    <n v="4"/>
    <s v="Office Worker"/>
    <n v="4"/>
    <x v="0"/>
    <n v="5"/>
    <n v="4"/>
    <n v="3"/>
    <n v="2"/>
    <n v="1"/>
    <s v="Y"/>
    <m/>
    <x v="3"/>
  </r>
  <r>
    <d v="2019-10-25T00:00:00"/>
    <d v="1899-12-30T15:35:00"/>
    <m/>
    <s v="P"/>
    <n v="2"/>
    <s v="Road Vehicle"/>
    <n v="6"/>
    <x v="1"/>
    <x v="0"/>
    <n v="1"/>
    <x v="0"/>
    <s v="HIOMA"/>
    <s v="HIOMA"/>
    <s v="UG"/>
    <n v="1"/>
    <s v="Home"/>
    <s v="KAMPALA"/>
    <s v="KAMPALA"/>
    <s v="UG"/>
    <n v="2"/>
    <s v="Work"/>
    <x v="1"/>
    <n v="130000"/>
    <n v="190"/>
    <x v="2"/>
    <n v="4"/>
    <x v="2"/>
    <n v="10"/>
    <s v="Other"/>
    <n v="3"/>
    <x v="1"/>
    <n v="5"/>
    <n v="4"/>
    <n v="3"/>
    <n v="2"/>
    <n v="1"/>
    <s v="Y"/>
    <n v="5000"/>
    <x v="2"/>
  </r>
  <r>
    <d v="2019-10-25T00:00:00"/>
    <d v="1899-12-30T14:37:00"/>
    <m/>
    <s v="P"/>
    <n v="2"/>
    <s v="Road Vehicle"/>
    <n v="6"/>
    <x v="1"/>
    <x v="0"/>
    <n v="1"/>
    <x v="0"/>
    <s v="HIOMA"/>
    <s v="HIOMA"/>
    <s v="UG"/>
    <n v="2"/>
    <s v="Work"/>
    <s v="KAMPALA"/>
    <s v="KAMPALA"/>
    <s v="UG"/>
    <n v="1"/>
    <s v="Home"/>
    <x v="4"/>
    <n v="130000"/>
    <n v="194"/>
    <x v="2"/>
    <n v="4"/>
    <x v="2"/>
    <n v="6"/>
    <s v="Businessman"/>
    <n v="3"/>
    <x v="1"/>
    <n v="5"/>
    <n v="1"/>
    <n v="2"/>
    <n v="4"/>
    <n v="3"/>
    <s v="Y"/>
    <n v="1000"/>
    <x v="4"/>
  </r>
  <r>
    <d v="2019-10-25T00:00:00"/>
    <d v="1899-12-30T13:28:00"/>
    <m/>
    <s v="P"/>
    <n v="2"/>
    <s v="Road Vehicle"/>
    <n v="6"/>
    <x v="1"/>
    <x v="0"/>
    <n v="1"/>
    <x v="0"/>
    <s v="HIOMA"/>
    <s v="HIOMA"/>
    <s v="UG"/>
    <n v="4"/>
    <s v="Commercial"/>
    <s v="KAMPALA"/>
    <s v="KAMPALA"/>
    <s v="UG"/>
    <n v="1"/>
    <s v="Home"/>
    <x v="3"/>
    <n v="130000"/>
    <n v="200"/>
    <x v="3"/>
    <n v="4"/>
    <x v="2"/>
    <n v="6"/>
    <s v="Businessman"/>
    <n v="2"/>
    <x v="3"/>
    <n v="1"/>
    <n v="2"/>
    <n v="5"/>
    <n v="4"/>
    <n v="3"/>
    <s v="Y"/>
    <m/>
    <x v="3"/>
  </r>
  <r>
    <d v="2019-10-25T00:00:00"/>
    <d v="1899-12-30T12:50:00"/>
    <m/>
    <s v="P"/>
    <n v="2"/>
    <s v="Road Vehicle"/>
    <n v="6"/>
    <x v="1"/>
    <x v="0"/>
    <n v="1"/>
    <x v="0"/>
    <s v="HIOMA"/>
    <s v="HIOMA"/>
    <s v="UG"/>
    <n v="6"/>
    <s v="Leisure/Social"/>
    <s v="KAMPALA"/>
    <s v="KAMPALA"/>
    <s v="UG"/>
    <n v="1"/>
    <s v="Home"/>
    <x v="10"/>
    <n v="130000"/>
    <n v="220"/>
    <x v="3"/>
    <n v="5"/>
    <x v="2"/>
    <n v="3"/>
    <s v="Artisan/Domestic"/>
    <n v="3"/>
    <x v="1"/>
    <n v="5"/>
    <n v="2"/>
    <n v="1"/>
    <n v="4"/>
    <n v="5"/>
    <s v="Y"/>
    <n v="2000"/>
    <x v="1"/>
  </r>
  <r>
    <d v="2019-10-25T00:00:00"/>
    <d v="1899-12-30T12:14:00"/>
    <m/>
    <s v="P"/>
    <n v="2"/>
    <s v="Road Vehicle"/>
    <n v="6"/>
    <x v="1"/>
    <x v="0"/>
    <n v="1"/>
    <x v="0"/>
    <s v="HIOMA"/>
    <s v="HIOMA"/>
    <s v="UG"/>
    <n v="2"/>
    <s v="Work"/>
    <s v="BULIISA"/>
    <s v="BULIISA"/>
    <s v="UG"/>
    <n v="1"/>
    <s v="Home"/>
    <x v="4"/>
    <n v="15000"/>
    <n v="200"/>
    <x v="3"/>
    <n v="3"/>
    <x v="0"/>
    <n v="4"/>
    <s v="Office Worker"/>
    <n v="2"/>
    <x v="3"/>
    <n v="1"/>
    <n v="2"/>
    <n v="3"/>
    <n v="4"/>
    <n v="5"/>
    <s v="Y"/>
    <m/>
    <x v="3"/>
  </r>
  <r>
    <d v="2019-10-25T00:00:00"/>
    <d v="1899-12-30T14:31:00"/>
    <m/>
    <s v="P"/>
    <n v="2"/>
    <s v="Road Vehicle"/>
    <n v="5"/>
    <x v="2"/>
    <x v="0"/>
    <n v="1"/>
    <x v="0"/>
    <s v="HIOMA"/>
    <s v="HIOMA"/>
    <s v="UG"/>
    <n v="2"/>
    <s v="Work"/>
    <s v="KAMPALA"/>
    <s v="KAMPALA"/>
    <s v="UG"/>
    <n v="2"/>
    <s v="Work"/>
    <x v="2"/>
    <n v="650000"/>
    <n v="200"/>
    <x v="3"/>
    <n v="5"/>
    <x v="2"/>
    <n v="10"/>
    <s v="Other"/>
    <n v="5"/>
    <x v="4"/>
    <n v="1"/>
    <n v="2"/>
    <n v="3"/>
    <n v="5"/>
    <n v="4"/>
    <s v="Y"/>
    <n v="1000"/>
    <x v="4"/>
  </r>
  <r>
    <d v="2019-10-24T00:00:00"/>
    <d v="1899-12-30T18:24:00"/>
    <m/>
    <s v="P"/>
    <n v="2"/>
    <s v="Road Vehicle"/>
    <n v="4"/>
    <x v="3"/>
    <x v="1"/>
    <n v="1"/>
    <x v="0"/>
    <s v="HIOMA"/>
    <s v="HIOMA"/>
    <s v="UG"/>
    <n v="2"/>
    <s v="Work"/>
    <s v="KAMPALA"/>
    <s v="KAMPALA"/>
    <s v="UG"/>
    <n v="1"/>
    <s v="Home"/>
    <x v="4"/>
    <n v="15000"/>
    <n v="200"/>
    <x v="3"/>
    <n v="3"/>
    <x v="0"/>
    <n v="2"/>
    <s v="Manual Labour"/>
    <n v="2"/>
    <x v="3"/>
    <n v="1"/>
    <n v="3"/>
    <n v="2"/>
    <n v="5"/>
    <n v="4"/>
    <s v="Y"/>
    <n v="3000"/>
    <x v="0"/>
  </r>
  <r>
    <d v="2019-10-24T00:00:00"/>
    <d v="1899-12-30T17:24:00"/>
    <m/>
    <s v="P"/>
    <n v="2"/>
    <s v="Road Vehicle"/>
    <n v="4"/>
    <x v="3"/>
    <x v="1"/>
    <n v="1"/>
    <x v="0"/>
    <s v="HIOMA"/>
    <s v="HIOMA"/>
    <s v="UG"/>
    <n v="1"/>
    <s v="Home"/>
    <s v="KABAALE"/>
    <s v="KABAALE"/>
    <s v="UG"/>
    <n v="2"/>
    <s v="Work"/>
    <x v="1"/>
    <n v="5000"/>
    <n v="31"/>
    <x v="4"/>
    <n v="24"/>
    <x v="2"/>
    <n v="2"/>
    <s v="Manual Labour"/>
    <n v="1"/>
    <x v="2"/>
    <n v="5"/>
    <n v="3"/>
    <n v="1"/>
    <n v="2"/>
    <n v="4"/>
    <s v="Y"/>
    <m/>
    <x v="3"/>
  </r>
  <r>
    <d v="2019-10-24T00:00:00"/>
    <d v="1899-12-30T15:32:00"/>
    <m/>
    <s v="P"/>
    <n v="2"/>
    <s v="Road Vehicle"/>
    <n v="4"/>
    <x v="3"/>
    <x v="1"/>
    <n v="1"/>
    <x v="0"/>
    <s v="HIOMA"/>
    <s v="HIOMA"/>
    <s v="UG"/>
    <n v="2"/>
    <s v="Work"/>
    <s v="BUSUJJU"/>
    <s v="BUSUJJU"/>
    <s v="UG"/>
    <n v="2"/>
    <s v="Work"/>
    <x v="2"/>
    <n v="15000"/>
    <n v="117"/>
    <x v="2"/>
    <n v="2"/>
    <x v="0"/>
    <n v="4"/>
    <s v="Office Worker"/>
    <n v="3"/>
    <x v="1"/>
    <n v="1"/>
    <n v="2"/>
    <n v="3"/>
    <n v="5"/>
    <n v="4"/>
    <s v="Y"/>
    <m/>
    <x v="3"/>
  </r>
  <r>
    <d v="2019-10-24T00:00:00"/>
    <d v="1899-12-30T16:03:00"/>
    <m/>
    <s v="P"/>
    <n v="2"/>
    <s v="Road Vehicle"/>
    <n v="4"/>
    <x v="3"/>
    <x v="1"/>
    <n v="1"/>
    <x v="0"/>
    <s v="HIOMA"/>
    <s v="HIOMA"/>
    <s v="UG"/>
    <n v="8"/>
    <s v="Others"/>
    <s v="KAMPALA"/>
    <s v="KAMPALA"/>
    <s v="UG"/>
    <n v="3"/>
    <s v="Study"/>
    <x v="11"/>
    <n v="15000"/>
    <n v="200"/>
    <x v="3"/>
    <n v="3"/>
    <x v="0"/>
    <n v="8"/>
    <s v="Student"/>
    <n v="2"/>
    <x v="3"/>
    <n v="4"/>
    <n v="1"/>
    <n v="2"/>
    <n v="3"/>
    <n v="5"/>
    <s v="Y"/>
    <n v="1000"/>
    <x v="4"/>
  </r>
  <r>
    <d v="2019-10-24T00:00:00"/>
    <d v="1899-12-30T14:58:00"/>
    <m/>
    <s v="P"/>
    <n v="2"/>
    <s v="Road Vehicle"/>
    <n v="4"/>
    <x v="3"/>
    <x v="1"/>
    <n v="1"/>
    <x v="0"/>
    <s v="HIOMA"/>
    <s v="HIOMA"/>
    <s v="UG"/>
    <n v="2"/>
    <s v="Work"/>
    <s v="HIOMA"/>
    <s v="HIOMA"/>
    <s v="UG"/>
    <n v="2"/>
    <s v="Work"/>
    <x v="2"/>
    <n v="12000"/>
    <m/>
    <x v="0"/>
    <n v="3"/>
    <x v="0"/>
    <n v="2"/>
    <s v="Manual Labour"/>
    <n v="1"/>
    <x v="2"/>
    <n v="1"/>
    <n v="4"/>
    <n v="1"/>
    <n v="2"/>
    <n v="3"/>
    <s v="Y"/>
    <n v="3000"/>
    <x v="0"/>
  </r>
  <r>
    <d v="2019-10-24T00:00:00"/>
    <d v="1899-12-30T16:39:00"/>
    <m/>
    <s v="P"/>
    <n v="2"/>
    <s v="Road Vehicle"/>
    <n v="4"/>
    <x v="3"/>
    <x v="1"/>
    <n v="1"/>
    <x v="0"/>
    <s v="KIBOGA"/>
    <s v="KIBOGA"/>
    <s v="UG"/>
    <n v="8"/>
    <s v="Others"/>
    <s v="HIOMA"/>
    <s v="HIOMA"/>
    <s v="UG"/>
    <n v="1"/>
    <s v="Home"/>
    <x v="12"/>
    <n v="7000"/>
    <m/>
    <x v="0"/>
    <n v="2"/>
    <x v="0"/>
    <n v="3"/>
    <s v="Artisan/Domestic"/>
    <n v="1"/>
    <x v="2"/>
    <n v="4"/>
    <n v="1"/>
    <n v="2"/>
    <n v="5"/>
    <n v="2"/>
    <s v="Y"/>
    <m/>
    <x v="3"/>
  </r>
  <r>
    <d v="2019-10-24T00:00:00"/>
    <d v="1899-12-30T17:47:00"/>
    <m/>
    <s v="P"/>
    <n v="2"/>
    <s v="Road Vehicle"/>
    <n v="4"/>
    <x v="3"/>
    <x v="1"/>
    <n v="1"/>
    <x v="0"/>
    <s v="KASUBI"/>
    <s v="KAMPALA"/>
    <s v="UG"/>
    <n v="1"/>
    <s v="Home"/>
    <s v="HIOMA"/>
    <s v="HIOMA"/>
    <s v="UG"/>
    <n v="8"/>
    <s v="Others"/>
    <x v="13"/>
    <n v="15000"/>
    <m/>
    <x v="0"/>
    <n v="4"/>
    <x v="2"/>
    <n v="8"/>
    <s v="Student"/>
    <n v="4"/>
    <x v="0"/>
    <n v="2"/>
    <n v="1"/>
    <n v="3"/>
    <n v="5"/>
    <n v="4"/>
    <s v="Y"/>
    <n v="10000"/>
    <x v="5"/>
  </r>
  <r>
    <d v="2019-10-24T00:00:00"/>
    <d v="1899-12-30T15:00:00"/>
    <m/>
    <s v="D"/>
    <n v="2"/>
    <s v="Road Vehicle"/>
    <n v="4"/>
    <x v="3"/>
    <x v="0"/>
    <n v="1"/>
    <x v="0"/>
    <s v="HIOMA"/>
    <s v="HIOMA"/>
    <s v="UG"/>
    <n v="2"/>
    <s v="Work"/>
    <s v="KAMPALA"/>
    <s v="KAMPALA"/>
    <s v="UG"/>
    <n v="1"/>
    <s v="Home"/>
    <x v="4"/>
    <n v="180000"/>
    <n v="198"/>
    <x v="2"/>
    <n v="3"/>
    <x v="0"/>
    <n v="10"/>
    <s v="Other"/>
    <n v="4"/>
    <x v="0"/>
    <n v="4"/>
    <n v="2"/>
    <n v="1"/>
    <n v="3"/>
    <n v="5"/>
    <s v="Y"/>
    <n v="3000"/>
    <x v="0"/>
  </r>
  <r>
    <d v="2019-10-24T00:00:00"/>
    <d v="1899-12-30T16:09:00"/>
    <m/>
    <s v="P"/>
    <n v="2"/>
    <s v="Road Vehicle"/>
    <n v="4"/>
    <x v="3"/>
    <x v="0"/>
    <n v="1"/>
    <x v="0"/>
    <s v="HIOMA"/>
    <s v="HIOMA"/>
    <s v="UG"/>
    <n v="2"/>
    <s v="Work"/>
    <s v="HIOMA"/>
    <s v="BUKIYIRI"/>
    <s v="UG"/>
    <n v="1"/>
    <s v="Home"/>
    <x v="4"/>
    <n v="5000"/>
    <n v="160"/>
    <x v="2"/>
    <n v="1"/>
    <x v="1"/>
    <n v="2"/>
    <s v="Manual Labour"/>
    <n v="1"/>
    <x v="2"/>
    <n v="5"/>
    <n v="4"/>
    <n v="1"/>
    <n v="2"/>
    <n v="3"/>
    <s v="Y"/>
    <n v="1000"/>
    <x v="4"/>
  </r>
  <r>
    <d v="2019-10-24T00:00:00"/>
    <d v="1899-12-30T15:56:00"/>
    <m/>
    <s v="P"/>
    <n v="2"/>
    <s v="Road Vehicle"/>
    <n v="4"/>
    <x v="3"/>
    <x v="0"/>
    <n v="1"/>
    <x v="0"/>
    <s v="KIBOGA"/>
    <s v="KIBOGA"/>
    <s v="UG"/>
    <n v="8"/>
    <s v="Others"/>
    <s v="HIOMA"/>
    <s v="HIOMA"/>
    <s v="UG"/>
    <n v="2"/>
    <s v="Work"/>
    <x v="14"/>
    <n v="8000"/>
    <n v="87"/>
    <x v="1"/>
    <n v="3"/>
    <x v="0"/>
    <n v="2"/>
    <s v="Manual Labour"/>
    <n v="2"/>
    <x v="3"/>
    <n v="2"/>
    <n v="3"/>
    <n v="4"/>
    <n v="1"/>
    <n v="5"/>
    <s v="Y"/>
    <m/>
    <x v="3"/>
  </r>
  <r>
    <d v="2019-10-24T00:00:00"/>
    <d v="1899-12-30T15:40:00"/>
    <m/>
    <s v="P"/>
    <n v="2"/>
    <s v="Road Vehicle"/>
    <n v="4"/>
    <x v="3"/>
    <x v="0"/>
    <n v="1"/>
    <x v="0"/>
    <s v="HIOMA"/>
    <s v="HIOMA"/>
    <s v="UG"/>
    <n v="8"/>
    <s v="Others"/>
    <s v="KYANKWENZI"/>
    <s v="KYANKWENZI"/>
    <s v="UG"/>
    <n v="8"/>
    <s v="Others"/>
    <x v="15"/>
    <n v="5000"/>
    <m/>
    <x v="0"/>
    <n v="2"/>
    <x v="0"/>
    <n v="5"/>
    <s v="Professional"/>
    <n v="5"/>
    <x v="4"/>
    <n v="3"/>
    <n v="4"/>
    <n v="2"/>
    <n v="1"/>
    <n v="5"/>
    <s v="Y"/>
    <n v="1000"/>
    <x v="4"/>
  </r>
  <r>
    <d v="2019-10-24T00:00:00"/>
    <d v="1899-12-30T15:25:00"/>
    <m/>
    <s v="P"/>
    <n v="2"/>
    <s v="Road Vehicle"/>
    <n v="4"/>
    <x v="3"/>
    <x v="0"/>
    <n v="1"/>
    <x v="0"/>
    <s v="HIOMA"/>
    <s v="HIOMA"/>
    <s v="UG"/>
    <n v="1"/>
    <s v="Home"/>
    <s v="WAKISO"/>
    <s v="WAKISO"/>
    <s v="UG"/>
    <n v="2"/>
    <s v="Work"/>
    <x v="1"/>
    <n v="10000"/>
    <m/>
    <x v="0"/>
    <n v="3"/>
    <x v="0"/>
    <n v="4"/>
    <s v="Office Worker"/>
    <n v="2"/>
    <x v="3"/>
    <n v="4"/>
    <n v="5"/>
    <n v="3"/>
    <n v="2"/>
    <n v="1"/>
    <s v="Y"/>
    <n v="3000"/>
    <x v="0"/>
  </r>
  <r>
    <d v="2019-10-24T00:00:00"/>
    <d v="1899-12-30T15:21:00"/>
    <m/>
    <s v="P"/>
    <n v="2"/>
    <s v="Road Vehicle"/>
    <n v="4"/>
    <x v="3"/>
    <x v="0"/>
    <n v="1"/>
    <x v="0"/>
    <s v="NANSANA"/>
    <s v="WAKISO"/>
    <s v="UG"/>
    <n v="1"/>
    <s v="Home"/>
    <s v="BULIISA"/>
    <s v="HIOMA"/>
    <s v="UG"/>
    <n v="2"/>
    <s v="Work"/>
    <x v="1"/>
    <n v="19000"/>
    <m/>
    <x v="0"/>
    <n v="4"/>
    <x v="2"/>
    <n v="5"/>
    <s v="Professional"/>
    <n v="4"/>
    <x v="0"/>
    <n v="4"/>
    <n v="1"/>
    <n v="2"/>
    <n v="3"/>
    <n v="5"/>
    <s v="Y"/>
    <n v="5000"/>
    <x v="2"/>
  </r>
  <r>
    <d v="2019-10-24T00:00:00"/>
    <d v="1899-12-30T17:30:00"/>
    <m/>
    <s v="P"/>
    <n v="2"/>
    <s v="Road Vehicle"/>
    <n v="4"/>
    <x v="3"/>
    <x v="0"/>
    <n v="1"/>
    <x v="0"/>
    <s v="HIOMA"/>
    <s v="HIOMA"/>
    <s v="UG"/>
    <n v="1"/>
    <s v="Home"/>
    <s v="KAKIRI"/>
    <s v="WAKISO"/>
    <s v="UG"/>
    <n v="1"/>
    <s v="Home"/>
    <x v="16"/>
    <n v="13000"/>
    <m/>
    <x v="0"/>
    <n v="3"/>
    <x v="0"/>
    <n v="4"/>
    <s v="Office Worker"/>
    <n v="2"/>
    <x v="3"/>
    <n v="4"/>
    <n v="1"/>
    <n v="2"/>
    <n v="3"/>
    <n v="3"/>
    <s v="Y"/>
    <n v="2000"/>
    <x v="1"/>
  </r>
  <r>
    <d v="2019-10-24T00:00:00"/>
    <d v="1899-12-30T09:21:00"/>
    <m/>
    <s v="P"/>
    <n v="2"/>
    <s v="Road Vehicle"/>
    <n v="4"/>
    <x v="3"/>
    <x v="0"/>
    <n v="1"/>
    <x v="0"/>
    <s v="HIOMA"/>
    <s v="HIOMA"/>
    <s v="UG"/>
    <n v="1"/>
    <s v="Home"/>
    <s v="MUTANZIJO"/>
    <s v="KAKUMIRO"/>
    <s v="UG"/>
    <n v="4"/>
    <s v="Commercial"/>
    <x v="0"/>
    <n v="10000"/>
    <n v="140"/>
    <x v="2"/>
    <n v="3"/>
    <x v="0"/>
    <n v="7"/>
    <s v="Farmer"/>
    <n v="2"/>
    <x v="3"/>
    <n v="1"/>
    <n v="3"/>
    <n v="4"/>
    <n v="5"/>
    <n v="2"/>
    <s v="Y"/>
    <n v="1000"/>
    <x v="4"/>
  </r>
  <r>
    <d v="2019-10-25T00:00:00"/>
    <d v="1899-12-30T17:18:00"/>
    <m/>
    <s v="P"/>
    <n v="2"/>
    <s v="Road Vehicle"/>
    <n v="4"/>
    <x v="3"/>
    <x v="0"/>
    <n v="1"/>
    <x v="0"/>
    <s v="HIOMA"/>
    <s v="HIOMA"/>
    <s v="UG"/>
    <n v="1"/>
    <s v="Home"/>
    <s v="BUGEMBE"/>
    <s v="KIKUUBE"/>
    <s v="UG"/>
    <n v="6"/>
    <s v="Leisure/Social"/>
    <x v="8"/>
    <n v="7000"/>
    <n v="80"/>
    <x v="1"/>
    <n v="2"/>
    <x v="0"/>
    <n v="1"/>
    <s v="Unemployed"/>
    <n v="1"/>
    <x v="2"/>
    <n v="1"/>
    <n v="2"/>
    <m/>
    <n v="2"/>
    <n v="2"/>
    <s v="Y"/>
    <n v="3000"/>
    <x v="0"/>
  </r>
  <r>
    <d v="2019-10-25T00:00:00"/>
    <d v="1899-12-30T16:57:00"/>
    <m/>
    <s v="D"/>
    <n v="2"/>
    <s v="Road Vehicle"/>
    <n v="4"/>
    <x v="3"/>
    <x v="0"/>
    <n v="1"/>
    <x v="0"/>
    <s v="HIOMA"/>
    <s v="HIOMA"/>
    <s v="UG"/>
    <n v="1"/>
    <s v="Home"/>
    <s v="BUKWIRI"/>
    <s v="KYANKWENZI"/>
    <s v="UG"/>
    <n v="2"/>
    <s v="Work"/>
    <x v="1"/>
    <n v="65000"/>
    <n v="75"/>
    <x v="1"/>
    <n v="2"/>
    <x v="0"/>
    <n v="5"/>
    <s v="Professional"/>
    <n v="3"/>
    <x v="1"/>
    <n v="2"/>
    <n v="3"/>
    <n v="4"/>
    <n v="1"/>
    <n v="5"/>
    <s v="Y"/>
    <n v="2000"/>
    <x v="1"/>
  </r>
  <r>
    <d v="2019-10-25T00:00:00"/>
    <d v="1899-12-30T16:24:00"/>
    <m/>
    <s v="P"/>
    <n v="2"/>
    <s v="Road Vehicle"/>
    <n v="4"/>
    <x v="3"/>
    <x v="0"/>
    <n v="1"/>
    <x v="0"/>
    <s v="HIOMA"/>
    <s v="HIOMA"/>
    <s v="UG"/>
    <n v="1"/>
    <s v="Home"/>
    <s v="BUKWIRI"/>
    <s v="KYANKWENZI"/>
    <s v="UG"/>
    <n v="2"/>
    <s v="Work"/>
    <x v="1"/>
    <n v="8000"/>
    <n v="80"/>
    <x v="1"/>
    <n v="3"/>
    <x v="0"/>
    <n v="2"/>
    <s v="Manual Labour"/>
    <n v="2"/>
    <x v="3"/>
    <n v="2"/>
    <n v="3"/>
    <n v="2"/>
    <n v="4"/>
    <n v="5"/>
    <s v="Y"/>
    <n v="3000"/>
    <x v="0"/>
  </r>
  <r>
    <d v="2019-10-25T00:00:00"/>
    <d v="1899-12-30T09:07:00"/>
    <m/>
    <s v="P"/>
    <n v="2"/>
    <s v="Road Vehicle"/>
    <n v="4"/>
    <x v="3"/>
    <x v="0"/>
    <n v="1"/>
    <x v="0"/>
    <s v="HIOMA"/>
    <s v="HIOMA"/>
    <s v="UG"/>
    <n v="1"/>
    <s v="Home"/>
    <s v="MUTANZIJO"/>
    <s v="KAKUMIRO"/>
    <s v="UG"/>
    <n v="4"/>
    <s v="Commercial"/>
    <x v="0"/>
    <n v="1000"/>
    <n v="140"/>
    <x v="2"/>
    <n v="3"/>
    <x v="0"/>
    <n v="3"/>
    <s v="Artisan/Domestic"/>
    <n v="2"/>
    <x v="3"/>
    <n v="1"/>
    <n v="3"/>
    <n v="2"/>
    <n v="5"/>
    <n v="4"/>
    <s v="Y"/>
    <m/>
    <x v="3"/>
  </r>
  <r>
    <d v="2019-10-25T00:00:00"/>
    <d v="1899-12-30T09:15:00"/>
    <m/>
    <s v="P"/>
    <n v="2"/>
    <s v="Road Vehicle"/>
    <n v="4"/>
    <x v="3"/>
    <x v="0"/>
    <n v="1"/>
    <x v="0"/>
    <s v="HIOMA"/>
    <s v="HIOMA"/>
    <s v="UG"/>
    <n v="1"/>
    <s v="Home"/>
    <s v="KISOLOHYA"/>
    <s v="HIOMA"/>
    <s v="UG"/>
    <n v="2"/>
    <s v="Work"/>
    <x v="1"/>
    <n v="5000"/>
    <n v="30"/>
    <x v="4"/>
    <n v="1"/>
    <x v="1"/>
    <n v="2"/>
    <s v="Manual Labour"/>
    <n v="1"/>
    <x v="2"/>
    <n v="2"/>
    <n v="3"/>
    <n v="5"/>
    <n v="4"/>
    <n v="1"/>
    <s v="Y"/>
    <n v="5000"/>
    <x v="2"/>
  </r>
  <r>
    <d v="2019-10-25T00:00:00"/>
    <d v="1899-12-30T08:12:00"/>
    <m/>
    <s v="D"/>
    <n v="2"/>
    <s v="Road Vehicle"/>
    <n v="4"/>
    <x v="3"/>
    <x v="0"/>
    <n v="1"/>
    <x v="0"/>
    <s v="HIOMA"/>
    <s v="HIOMA"/>
    <s v="UG"/>
    <n v="1"/>
    <s v="Home"/>
    <s v="MASINDI"/>
    <s v="MASINDI"/>
    <s v="UG"/>
    <n v="2"/>
    <s v="Work"/>
    <x v="1"/>
    <n v="120000"/>
    <n v="45"/>
    <x v="5"/>
    <n v="2"/>
    <x v="0"/>
    <n v="2"/>
    <s v="Manual Labour"/>
    <n v="1"/>
    <x v="2"/>
    <n v="1"/>
    <n v="5"/>
    <n v="3"/>
    <n v="1"/>
    <n v="2"/>
    <s v="Y"/>
    <n v="3000"/>
    <x v="0"/>
  </r>
  <r>
    <d v="2019-10-25T00:00:00"/>
    <d v="1899-12-30T09:21:00"/>
    <m/>
    <s v="D"/>
    <n v="2"/>
    <s v="Road Vehicle"/>
    <n v="4"/>
    <x v="3"/>
    <x v="0"/>
    <n v="1"/>
    <x v="0"/>
    <s v="HIOMA"/>
    <s v="HIOMA"/>
    <s v="UG"/>
    <n v="1"/>
    <s v="Home"/>
    <s v="KIGOLOBYA"/>
    <s v="HIOMA"/>
    <s v="UG"/>
    <n v="2"/>
    <s v="Work"/>
    <x v="1"/>
    <n v="5000"/>
    <n v="15"/>
    <x v="6"/>
    <n v="1"/>
    <x v="1"/>
    <n v="4"/>
    <s v="Office Worker"/>
    <n v="1"/>
    <x v="2"/>
    <n v="1"/>
    <n v="2"/>
    <n v="5"/>
    <n v="4"/>
    <n v="2"/>
    <s v="Y"/>
    <n v="1000"/>
    <x v="4"/>
  </r>
  <r>
    <d v="2019-10-25T00:00:00"/>
    <d v="1899-12-30T09:32:00"/>
    <m/>
    <s v="P"/>
    <n v="2"/>
    <s v="Road Vehicle"/>
    <n v="4"/>
    <x v="3"/>
    <x v="0"/>
    <n v="1"/>
    <x v="0"/>
    <s v="HIOMA"/>
    <s v="HIOMA"/>
    <s v="UG"/>
    <n v="6"/>
    <s v="Leisure/Social"/>
    <s v="KIGOLOBYA"/>
    <s v="HIOMA"/>
    <s v="UG"/>
    <n v="1"/>
    <s v="Home"/>
    <x v="10"/>
    <n v="5000"/>
    <n v="15"/>
    <x v="6"/>
    <n v="2"/>
    <x v="0"/>
    <n v="7"/>
    <s v="Farmer"/>
    <n v="1"/>
    <x v="2"/>
    <n v="1"/>
    <n v="2"/>
    <n v="4"/>
    <n v="1"/>
    <n v="2"/>
    <s v="Y"/>
    <m/>
    <x v="3"/>
  </r>
  <r>
    <d v="2019-10-25T00:00:00"/>
    <d v="1899-12-30T09:36:00"/>
    <m/>
    <s v="P"/>
    <n v="2"/>
    <s v="Road Vehicle"/>
    <n v="4"/>
    <x v="3"/>
    <x v="0"/>
    <n v="1"/>
    <x v="0"/>
    <s v="HIOMA"/>
    <s v="HIOMA"/>
    <s v="UG"/>
    <n v="1"/>
    <s v="Home"/>
    <s v="KIGOLOBYA"/>
    <s v="HIOMA"/>
    <s v="UG"/>
    <n v="6"/>
    <s v="Leisure/Social"/>
    <x v="8"/>
    <n v="5000"/>
    <n v="8"/>
    <x v="0"/>
    <n v="1"/>
    <x v="1"/>
    <n v="6"/>
    <s v="Businessman"/>
    <n v="2"/>
    <x v="3"/>
    <n v="3"/>
    <n v="4"/>
    <n v="1"/>
    <n v="2"/>
    <n v="5"/>
    <s v="Y"/>
    <n v="3000"/>
    <x v="0"/>
  </r>
  <r>
    <d v="2019-10-25T00:00:00"/>
    <d v="1899-12-30T09:41:00"/>
    <m/>
    <s v="D"/>
    <n v="2"/>
    <s v="Road Vehicle"/>
    <n v="4"/>
    <x v="3"/>
    <x v="0"/>
    <n v="1"/>
    <x v="0"/>
    <s v="HIOMA"/>
    <s v="HIOMA"/>
    <s v="UG"/>
    <n v="1"/>
    <s v="Home"/>
    <s v="KYANKWENZI"/>
    <s v="KIKUUBE"/>
    <s v="UG"/>
    <n v="2"/>
    <s v="Work"/>
    <x v="1"/>
    <n v="70000"/>
    <m/>
    <x v="0"/>
    <n v="4"/>
    <x v="2"/>
    <n v="2"/>
    <s v="Manual Labour"/>
    <n v="2"/>
    <x v="3"/>
    <n v="1"/>
    <n v="1"/>
    <n v="4"/>
    <n v="1"/>
    <n v="2"/>
    <s v="Y"/>
    <n v="4000"/>
    <x v="0"/>
  </r>
  <r>
    <d v="2019-10-25T00:00:00"/>
    <d v="1899-12-30T09:43:00"/>
    <m/>
    <s v="P"/>
    <n v="2"/>
    <s v="Road Vehicle"/>
    <n v="4"/>
    <x v="3"/>
    <x v="0"/>
    <n v="1"/>
    <x v="0"/>
    <s v="HIOMA"/>
    <s v="HIOMA"/>
    <s v="UG"/>
    <n v="1"/>
    <s v="Home"/>
    <s v="HIOMA"/>
    <s v="HIOMA"/>
    <s v="UG"/>
    <n v="4"/>
    <s v="Commercial"/>
    <x v="0"/>
    <n v="10000"/>
    <n v="35"/>
    <x v="4"/>
    <n v="2"/>
    <x v="0"/>
    <n v="5"/>
    <s v="Professional"/>
    <n v="1"/>
    <x v="2"/>
    <n v="2"/>
    <n v="3"/>
    <n v="5"/>
    <n v="1"/>
    <n v="4"/>
    <s v="Y"/>
    <m/>
    <x v="3"/>
  </r>
  <r>
    <d v="2019-10-25T00:00:00"/>
    <d v="1899-12-30T10:30:00"/>
    <m/>
    <s v="D"/>
    <n v="2"/>
    <s v="Road Vehicle"/>
    <n v="4"/>
    <x v="3"/>
    <x v="0"/>
    <n v="1"/>
    <x v="0"/>
    <s v="HIOMA"/>
    <s v="HIOMA"/>
    <s v="UG"/>
    <n v="1"/>
    <s v="Home"/>
    <s v="KYANKWENZI"/>
    <s v="KIKUUBE"/>
    <s v="UG"/>
    <n v="2"/>
    <s v="Work"/>
    <x v="1"/>
    <n v="80000"/>
    <m/>
    <x v="0"/>
    <n v="2"/>
    <x v="0"/>
    <n v="5"/>
    <s v="Professional"/>
    <n v="3"/>
    <x v="1"/>
    <n v="2"/>
    <n v="1"/>
    <n v="4"/>
    <n v="5"/>
    <n v="1"/>
    <s v="Y"/>
    <n v="1000"/>
    <x v="4"/>
  </r>
  <r>
    <d v="2019-10-25T00:00:00"/>
    <d v="1899-12-30T10:51:00"/>
    <m/>
    <s v="P"/>
    <n v="2"/>
    <s v="Road Vehicle"/>
    <n v="4"/>
    <x v="3"/>
    <x v="0"/>
    <n v="1"/>
    <x v="0"/>
    <s v="HIOMA"/>
    <s v="HIOMA"/>
    <s v="UG"/>
    <n v="2"/>
    <s v="Work"/>
    <s v="MASINDI"/>
    <s v="MASINDI"/>
    <s v="UG"/>
    <n v="4"/>
    <s v="Commercial"/>
    <x v="17"/>
    <n v="10000"/>
    <n v="48"/>
    <x v="5"/>
    <n v="3"/>
    <x v="0"/>
    <n v="7"/>
    <s v="Farmer"/>
    <n v="3"/>
    <x v="1"/>
    <n v="1"/>
    <n v="5"/>
    <n v="4"/>
    <n v="2"/>
    <n v="1"/>
    <s v="Y"/>
    <n v="5000"/>
    <x v="2"/>
  </r>
  <r>
    <d v="2019-10-25T00:00:00"/>
    <d v="1899-12-30T18:41:00"/>
    <m/>
    <s v="D"/>
    <n v="2"/>
    <s v="Road Vehicle"/>
    <n v="4"/>
    <x v="3"/>
    <x v="0"/>
    <n v="1"/>
    <x v="0"/>
    <s v="HIOMA"/>
    <s v="HIOMA"/>
    <s v="UG"/>
    <n v="2"/>
    <s v="Work"/>
    <s v="KAMPALA"/>
    <s v="KAMPALA"/>
    <s v="UG"/>
    <n v="1"/>
    <s v="Home"/>
    <x v="4"/>
    <n v="150000"/>
    <n v="180"/>
    <x v="2"/>
    <n v="3"/>
    <x v="0"/>
    <n v="10"/>
    <s v="Other"/>
    <n v="4"/>
    <x v="0"/>
    <n v="2"/>
    <n v="3"/>
    <n v="5"/>
    <n v="4"/>
    <n v="1"/>
    <s v="Y"/>
    <n v="4000"/>
    <x v="0"/>
  </r>
  <r>
    <d v="2019-10-25T00:00:00"/>
    <d v="1899-12-30T18:32:00"/>
    <m/>
    <s v="D"/>
    <n v="2"/>
    <s v="Road Vehicle"/>
    <n v="4"/>
    <x v="3"/>
    <x v="0"/>
    <n v="1"/>
    <x v="0"/>
    <s v="HIOMA"/>
    <s v="HIOMA"/>
    <s v="UG"/>
    <n v="2"/>
    <s v="Work"/>
    <s v="KAMPALA"/>
    <s v="KAMPALA"/>
    <s v="UG"/>
    <n v="1"/>
    <s v="Home"/>
    <x v="4"/>
    <n v="200000"/>
    <n v="300"/>
    <x v="3"/>
    <n v="4"/>
    <x v="2"/>
    <n v="10"/>
    <s v="Other"/>
    <n v="3"/>
    <x v="1"/>
    <n v="3"/>
    <n v="2"/>
    <n v="4"/>
    <n v="5"/>
    <n v="1"/>
    <s v="Y"/>
    <n v="1000"/>
    <x v="4"/>
  </r>
  <r>
    <d v="2019-10-25T00:00:00"/>
    <d v="1899-12-30T18:20:00"/>
    <m/>
    <s v="D"/>
    <n v="2"/>
    <s v="Road Vehicle"/>
    <n v="4"/>
    <x v="3"/>
    <x v="0"/>
    <n v="1"/>
    <x v="0"/>
    <s v="HIOMA"/>
    <s v="HIOMA"/>
    <s v="UG"/>
    <n v="2"/>
    <s v="Work"/>
    <s v="KAMPALA"/>
    <s v="KAMPALA"/>
    <s v="UG"/>
    <n v="1"/>
    <s v="Home"/>
    <x v="4"/>
    <n v="180000"/>
    <n v="200"/>
    <x v="3"/>
    <n v="3"/>
    <x v="0"/>
    <n v="10"/>
    <s v="Other"/>
    <n v="4"/>
    <x v="0"/>
    <n v="2"/>
    <n v="3"/>
    <n v="5"/>
    <n v="4"/>
    <n v="1"/>
    <s v="Y"/>
    <m/>
    <x v="3"/>
  </r>
  <r>
    <d v="2019-10-25T00:00:00"/>
    <d v="1899-12-30T16:52:00"/>
    <m/>
    <s v="D"/>
    <n v="2"/>
    <s v="Road Vehicle"/>
    <n v="4"/>
    <x v="3"/>
    <x v="0"/>
    <n v="1"/>
    <x v="0"/>
    <s v="HIOMA"/>
    <s v="HIOMA"/>
    <s v="UG"/>
    <n v="2"/>
    <s v="Work"/>
    <s v="BULIISA"/>
    <s v="BULIISA"/>
    <s v="UG"/>
    <n v="1"/>
    <s v="Home"/>
    <x v="4"/>
    <n v="80000"/>
    <n v="75"/>
    <x v="1"/>
    <n v="2"/>
    <x v="0"/>
    <n v="10"/>
    <s v="Other"/>
    <n v="4"/>
    <x v="0"/>
    <n v="4"/>
    <n v="3"/>
    <m/>
    <n v="1"/>
    <n v="2"/>
    <s v="Y"/>
    <m/>
    <x v="3"/>
  </r>
  <r>
    <d v="2019-10-25T00:00:00"/>
    <d v="1899-12-30T16:42:00"/>
    <m/>
    <s v="P"/>
    <n v="2"/>
    <s v="Road Vehicle"/>
    <n v="4"/>
    <x v="3"/>
    <x v="0"/>
    <n v="1"/>
    <x v="0"/>
    <s v="HIOMA"/>
    <s v="HIOMA"/>
    <s v="UG"/>
    <n v="6"/>
    <s v="Leisure/Social"/>
    <s v="BULIISA"/>
    <s v="BULIISA"/>
    <s v="UG"/>
    <n v="1"/>
    <s v="Home"/>
    <x v="10"/>
    <n v="10000"/>
    <n v="77"/>
    <x v="1"/>
    <n v="2"/>
    <x v="0"/>
    <n v="5"/>
    <s v="Professional"/>
    <n v="5"/>
    <x v="4"/>
    <n v="1"/>
    <n v="2"/>
    <n v="5"/>
    <n v="4"/>
    <n v="3"/>
    <s v="Y"/>
    <n v="10000"/>
    <x v="5"/>
  </r>
  <r>
    <d v="2019-10-25T00:00:00"/>
    <d v="1899-12-30T16:34:00"/>
    <m/>
    <s v="P"/>
    <n v="2"/>
    <s v="Road Vehicle"/>
    <n v="4"/>
    <x v="3"/>
    <x v="0"/>
    <n v="1"/>
    <x v="0"/>
    <s v="HIOMA"/>
    <s v="HIOMA"/>
    <s v="UG"/>
    <n v="2"/>
    <s v="Work"/>
    <s v="KAGADI"/>
    <s v="KAGADI"/>
    <s v="UG"/>
    <n v="1"/>
    <s v="Home"/>
    <x v="4"/>
    <n v="150000"/>
    <n v="70"/>
    <x v="1"/>
    <n v="2"/>
    <x v="0"/>
    <n v="5"/>
    <s v="Professional"/>
    <n v="4"/>
    <x v="0"/>
    <n v="5"/>
    <n v="1"/>
    <n v="2"/>
    <n v="2"/>
    <n v="5"/>
    <s v="Y"/>
    <n v="8000"/>
    <x v="2"/>
  </r>
  <r>
    <d v="2019-10-25T00:00:00"/>
    <d v="1899-12-30T16:11:00"/>
    <m/>
    <s v="D"/>
    <n v="2"/>
    <s v="Road Vehicle"/>
    <n v="4"/>
    <x v="3"/>
    <x v="0"/>
    <n v="1"/>
    <x v="0"/>
    <s v="HIOMA"/>
    <s v="HIOMA"/>
    <s v="UG"/>
    <n v="2"/>
    <s v="Work"/>
    <s v="MASINDI"/>
    <s v="MASINDI"/>
    <s v="UG"/>
    <n v="1"/>
    <s v="Home"/>
    <x v="4"/>
    <n v="200000"/>
    <n v="115"/>
    <x v="2"/>
    <n v="3"/>
    <x v="0"/>
    <n v="10"/>
    <s v="Other"/>
    <n v="3"/>
    <x v="1"/>
    <n v="5"/>
    <n v="1"/>
    <n v="3"/>
    <n v="4"/>
    <n v="5"/>
    <s v="Y"/>
    <n v="2000"/>
    <x v="1"/>
  </r>
  <r>
    <d v="2019-10-25T00:00:00"/>
    <d v="1899-12-30T16:06:00"/>
    <m/>
    <s v="D"/>
    <n v="2"/>
    <s v="Road Vehicle"/>
    <n v="4"/>
    <x v="3"/>
    <x v="0"/>
    <n v="1"/>
    <x v="0"/>
    <s v="HIOMA"/>
    <s v="HIOMA"/>
    <s v="UG"/>
    <n v="2"/>
    <s v="Work"/>
    <s v="MASINDI"/>
    <s v="MASINDI"/>
    <s v="UG"/>
    <n v="1"/>
    <s v="Home"/>
    <x v="4"/>
    <n v="180000"/>
    <n v="100"/>
    <x v="2"/>
    <n v="2"/>
    <x v="0"/>
    <n v="10"/>
    <s v="Other"/>
    <n v="2"/>
    <x v="3"/>
    <n v="2"/>
    <n v="1"/>
    <n v="3"/>
    <n v="5"/>
    <n v="4"/>
    <s v="Y"/>
    <m/>
    <x v="3"/>
  </r>
  <r>
    <d v="2019-10-25T00:00:00"/>
    <d v="1899-12-30T13:46:00"/>
    <m/>
    <s v="P"/>
    <n v="2"/>
    <s v="Road Vehicle"/>
    <n v="4"/>
    <x v="3"/>
    <x v="0"/>
    <n v="1"/>
    <x v="0"/>
    <s v="KAISO"/>
    <s v="KAISO"/>
    <s v="UG"/>
    <n v="1"/>
    <s v="Home"/>
    <s v="HIOMA"/>
    <s v="HIOMA"/>
    <s v="UG"/>
    <n v="2"/>
    <s v="Work"/>
    <x v="1"/>
    <n v="15000"/>
    <n v="100"/>
    <x v="2"/>
    <n v="3"/>
    <x v="0"/>
    <n v="6"/>
    <s v="Businessman"/>
    <n v="4"/>
    <x v="0"/>
    <n v="5"/>
    <n v="3"/>
    <n v="4"/>
    <n v="5"/>
    <n v="2"/>
    <s v="Y"/>
    <n v="4000"/>
    <x v="0"/>
  </r>
  <r>
    <d v="2019-10-26T00:00:00"/>
    <d v="1899-12-30T07:48:00"/>
    <m/>
    <s v="P"/>
    <n v="2"/>
    <s v="Road Vehicle"/>
    <n v="4"/>
    <x v="3"/>
    <x v="0"/>
    <n v="1"/>
    <x v="0"/>
    <s v="HIOMA"/>
    <s v="HIOMA"/>
    <s v="UG"/>
    <n v="1"/>
    <s v="Home"/>
    <s v="KAMPALA"/>
    <s v="KAMPALA"/>
    <s v="UG"/>
    <n v="2"/>
    <s v="Work"/>
    <x v="1"/>
    <n v="13000"/>
    <m/>
    <x v="0"/>
    <n v="3"/>
    <x v="0"/>
    <n v="3"/>
    <s v="Artisan/Domestic"/>
    <n v="1"/>
    <x v="2"/>
    <n v="3"/>
    <n v="2"/>
    <n v="5"/>
    <n v="1"/>
    <n v="4"/>
    <s v="Y"/>
    <m/>
    <x v="3"/>
  </r>
  <r>
    <d v="2019-10-26T00:00:00"/>
    <d v="1899-12-30T15:54:00"/>
    <m/>
    <s v="P"/>
    <n v="2"/>
    <s v="Road Vehicle"/>
    <n v="4"/>
    <x v="3"/>
    <x v="0"/>
    <n v="1"/>
    <x v="0"/>
    <s v="HIOMA"/>
    <s v="HIOMA"/>
    <s v="UG"/>
    <n v="2"/>
    <s v="Work"/>
    <s v="BUSUNJJU"/>
    <s v="WAKISO"/>
    <s v="UG"/>
    <n v="4"/>
    <s v="Commercial"/>
    <x v="17"/>
    <n v="12000"/>
    <m/>
    <x v="0"/>
    <n v="3"/>
    <x v="0"/>
    <n v="4"/>
    <s v="Office Worker"/>
    <n v="2"/>
    <x v="3"/>
    <n v="4"/>
    <n v="2"/>
    <n v="1"/>
    <n v="3"/>
    <n v="5"/>
    <s v="Y"/>
    <m/>
    <x v="3"/>
  </r>
  <r>
    <d v="2019-10-26T00:00:00"/>
    <d v="1899-12-30T15:45:00"/>
    <m/>
    <s v="P"/>
    <n v="2"/>
    <s v="Road Vehicle"/>
    <n v="4"/>
    <x v="3"/>
    <x v="0"/>
    <n v="1"/>
    <x v="0"/>
    <s v="HIOMA"/>
    <s v="HIOMA"/>
    <s v="UG"/>
    <n v="1"/>
    <s v="Home"/>
    <s v="HIOMA"/>
    <s v="HIOMA"/>
    <s v="UG"/>
    <n v="4"/>
    <s v="Commercial"/>
    <x v="0"/>
    <n v="6000"/>
    <m/>
    <x v="0"/>
    <n v="2"/>
    <x v="0"/>
    <n v="6"/>
    <s v="Businessman"/>
    <n v="3"/>
    <x v="1"/>
    <n v="2"/>
    <n v="3"/>
    <n v="1"/>
    <n v="5"/>
    <n v="4"/>
    <s v="Y"/>
    <n v="1000"/>
    <x v="4"/>
  </r>
  <r>
    <d v="2019-10-26T00:00:00"/>
    <d v="1899-12-30T15:12:00"/>
    <m/>
    <s v="P"/>
    <n v="2"/>
    <s v="Road Vehicle"/>
    <n v="4"/>
    <x v="3"/>
    <x v="0"/>
    <n v="1"/>
    <x v="0"/>
    <s v="HIOMA"/>
    <s v="HIOMA"/>
    <s v="UG"/>
    <n v="1"/>
    <s v="Home"/>
    <s v="KABOGA"/>
    <s v="KIKUUBE"/>
    <s v="UG"/>
    <n v="2"/>
    <s v="Work"/>
    <x v="1"/>
    <n v="6000"/>
    <m/>
    <x v="0"/>
    <n v="1"/>
    <x v="1"/>
    <n v="10"/>
    <s v="Other"/>
    <n v="3"/>
    <x v="1"/>
    <n v="1"/>
    <n v="1"/>
    <n v="1"/>
    <n v="1"/>
    <n v="2"/>
    <s v="Y"/>
    <m/>
    <x v="3"/>
  </r>
  <r>
    <d v="2019-10-26T00:00:00"/>
    <d v="1899-12-30T15:12:00"/>
    <m/>
    <s v="P"/>
    <n v="2"/>
    <s v="Road Vehicle"/>
    <n v="4"/>
    <x v="3"/>
    <x v="0"/>
    <n v="1"/>
    <x v="0"/>
    <s v="HIOMA"/>
    <s v="HIOMA"/>
    <s v="UG"/>
    <n v="1"/>
    <s v="Home"/>
    <s v="KABOGA"/>
    <s v="KIKUUBE"/>
    <s v="UG"/>
    <n v="2"/>
    <s v="Work"/>
    <x v="1"/>
    <n v="6000"/>
    <m/>
    <x v="0"/>
    <n v="1"/>
    <x v="1"/>
    <n v="10"/>
    <s v="Other"/>
    <n v="2"/>
    <x v="3"/>
    <n v="1"/>
    <n v="2"/>
    <n v="1"/>
    <n v="1"/>
    <n v="1"/>
    <s v="Y"/>
    <m/>
    <x v="3"/>
  </r>
  <r>
    <d v="2019-10-26T00:00:00"/>
    <d v="1899-12-30T14:34:00"/>
    <m/>
    <s v="P"/>
    <n v="2"/>
    <s v="Road Vehicle"/>
    <n v="4"/>
    <x v="3"/>
    <x v="0"/>
    <n v="1"/>
    <x v="0"/>
    <s v="HIOMA"/>
    <s v="HIOMA"/>
    <s v="UG"/>
    <n v="8"/>
    <s v="Others"/>
    <s v="KAMPALA"/>
    <s v="KAMPALA"/>
    <s v="UG"/>
    <n v="2"/>
    <s v="Work"/>
    <x v="14"/>
    <n v="13000"/>
    <m/>
    <x v="0"/>
    <n v="5"/>
    <x v="2"/>
    <n v="3"/>
    <s v="Artisan/Domestic"/>
    <n v="1"/>
    <x v="2"/>
    <n v="3"/>
    <n v="4"/>
    <n v="2"/>
    <n v="1"/>
    <n v="5"/>
    <s v="Y"/>
    <m/>
    <x v="3"/>
  </r>
  <r>
    <d v="2019-10-26T00:00:00"/>
    <d v="1899-12-30T14:36:00"/>
    <m/>
    <s v="P"/>
    <n v="2"/>
    <s v="Road Vehicle"/>
    <n v="4"/>
    <x v="3"/>
    <x v="0"/>
    <n v="1"/>
    <x v="0"/>
    <s v="HIOMA"/>
    <s v="HIOMA"/>
    <s v="UG"/>
    <n v="4"/>
    <s v="Commercial"/>
    <s v="KAISO"/>
    <s v="KIKUUBE"/>
    <s v="UG"/>
    <n v="4"/>
    <s v="Commercial"/>
    <x v="18"/>
    <n v="8000"/>
    <m/>
    <x v="0"/>
    <n v="2"/>
    <x v="0"/>
    <n v="6"/>
    <s v="Businessman"/>
    <n v="4"/>
    <x v="0"/>
    <n v="2"/>
    <n v="3"/>
    <n v="5"/>
    <n v="1"/>
    <n v="4"/>
    <s v="Y"/>
    <m/>
    <x v="3"/>
  </r>
  <r>
    <d v="2019-10-26T00:00:00"/>
    <d v="1899-12-30T14:29:00"/>
    <m/>
    <s v="P"/>
    <n v="2"/>
    <s v="Road Vehicle"/>
    <n v="4"/>
    <x v="3"/>
    <x v="0"/>
    <n v="1"/>
    <x v="0"/>
    <s v="HIOMA"/>
    <s v="HIOMA"/>
    <s v="UG"/>
    <n v="1"/>
    <s v="Home"/>
    <s v="KASUBI"/>
    <s v="KAMPALA"/>
    <s v="UG"/>
    <n v="1"/>
    <s v="Home"/>
    <x v="16"/>
    <n v="13000"/>
    <m/>
    <x v="0"/>
    <n v="3"/>
    <x v="0"/>
    <n v="1"/>
    <s v="Unemployed"/>
    <n v="1"/>
    <x v="2"/>
    <n v="1"/>
    <n v="2"/>
    <n v="4"/>
    <n v="3"/>
    <n v="2"/>
    <s v="Y"/>
    <m/>
    <x v="3"/>
  </r>
  <r>
    <d v="2019-10-26T00:00:00"/>
    <d v="1899-12-30T13:46:00"/>
    <m/>
    <s v="P"/>
    <n v="2"/>
    <s v="Road Vehicle"/>
    <n v="4"/>
    <x v="3"/>
    <x v="0"/>
    <n v="1"/>
    <x v="0"/>
    <s v="KAMPALA"/>
    <s v="KAMPALA"/>
    <s v="UG"/>
    <n v="2"/>
    <s v="Work"/>
    <s v="HIOMA"/>
    <s v="HIOMA"/>
    <s v="UG"/>
    <n v="1"/>
    <s v="Home"/>
    <x v="4"/>
    <n v="13000"/>
    <m/>
    <x v="0"/>
    <n v="4"/>
    <x v="2"/>
    <n v="4"/>
    <s v="Office Worker"/>
    <n v="2"/>
    <x v="3"/>
    <n v="4"/>
    <n v="2"/>
    <n v="3"/>
    <n v="1"/>
    <n v="5"/>
    <s v="Y"/>
    <n v="2000"/>
    <x v="1"/>
  </r>
  <r>
    <d v="2019-10-26T00:00:00"/>
    <d v="1899-12-30T13:57:00"/>
    <m/>
    <s v="P"/>
    <n v="2"/>
    <s v="Road Vehicle"/>
    <n v="4"/>
    <x v="3"/>
    <x v="0"/>
    <n v="1"/>
    <x v="0"/>
    <s v="HIOMA"/>
    <s v="HIOMA"/>
    <s v="UG"/>
    <n v="8"/>
    <s v="Others"/>
    <s v="KAMPALA"/>
    <s v="KAMPALA"/>
    <s v="UG"/>
    <n v="2"/>
    <s v="Work"/>
    <x v="14"/>
    <n v="13000"/>
    <m/>
    <x v="0"/>
    <n v="4"/>
    <x v="2"/>
    <n v="4"/>
    <s v="Office Worker"/>
    <n v="3"/>
    <x v="1"/>
    <n v="1"/>
    <n v="2"/>
    <n v="3"/>
    <n v="5"/>
    <n v="4"/>
    <s v="Y"/>
    <m/>
    <x v="3"/>
  </r>
  <r>
    <d v="2019-10-26T00:00:00"/>
    <d v="1899-12-30T13:22:00"/>
    <m/>
    <s v="P"/>
    <n v="2"/>
    <s v="Road Vehicle"/>
    <n v="4"/>
    <x v="3"/>
    <x v="0"/>
    <n v="1"/>
    <x v="0"/>
    <s v="HIOMA"/>
    <s v="HIOMA"/>
    <s v="UG"/>
    <n v="1"/>
    <s v="Home"/>
    <s v="KAMPALA"/>
    <s v="KAMPALA"/>
    <s v="UG"/>
    <n v="2"/>
    <s v="Work"/>
    <x v="1"/>
    <n v="13000"/>
    <m/>
    <x v="0"/>
    <n v="5"/>
    <x v="2"/>
    <n v="4"/>
    <s v="Office Worker"/>
    <n v="3"/>
    <x v="1"/>
    <n v="2"/>
    <n v="4"/>
    <n v="1"/>
    <n v="5"/>
    <n v="0.3"/>
    <s v="Y"/>
    <n v="2000"/>
    <x v="1"/>
  </r>
  <r>
    <d v="2019-10-26T00:00:00"/>
    <d v="1899-12-30T11:43:00"/>
    <m/>
    <s v="P"/>
    <n v="2"/>
    <s v="Road Vehicle"/>
    <n v="4"/>
    <x v="3"/>
    <x v="0"/>
    <n v="1"/>
    <x v="0"/>
    <s v="HIOMA"/>
    <s v="HIOMA"/>
    <s v="UG"/>
    <n v="1"/>
    <s v="Home"/>
    <s v="WAKISO"/>
    <s v="WAKISO"/>
    <s v="UG"/>
    <n v="2"/>
    <s v="Work"/>
    <x v="1"/>
    <n v="13000"/>
    <m/>
    <x v="0"/>
    <n v="3"/>
    <x v="0"/>
    <n v="2"/>
    <s v="Manual Labour"/>
    <n v="3"/>
    <x v="1"/>
    <n v="2"/>
    <n v="1"/>
    <n v="1"/>
    <n v="5"/>
    <n v="2"/>
    <s v="Y"/>
    <m/>
    <x v="3"/>
  </r>
  <r>
    <d v="2019-10-26T00:00:00"/>
    <d v="1899-12-30T11:43:00"/>
    <m/>
    <s v="P"/>
    <n v="2"/>
    <s v="Road Vehicle"/>
    <n v="4"/>
    <x v="3"/>
    <x v="0"/>
    <n v="1"/>
    <x v="0"/>
    <s v="HIOMA"/>
    <s v="HIOMA"/>
    <s v="UG"/>
    <n v="8"/>
    <s v="Others"/>
    <s v="KAMPALA"/>
    <s v="KAMPALA"/>
    <s v="UG"/>
    <n v="2"/>
    <s v="Work"/>
    <x v="14"/>
    <n v="13000"/>
    <m/>
    <x v="0"/>
    <n v="4"/>
    <x v="2"/>
    <n v="4"/>
    <s v="Office Worker"/>
    <n v="3"/>
    <x v="1"/>
    <n v="5"/>
    <n v="5"/>
    <n v="4"/>
    <n v="1"/>
    <n v="2"/>
    <s v="Y"/>
    <n v="2000"/>
    <x v="1"/>
  </r>
  <r>
    <d v="2019-10-26T00:00:00"/>
    <d v="1899-12-30T11:38:00"/>
    <m/>
    <s v="P"/>
    <n v="2"/>
    <s v="Road Vehicle"/>
    <n v="4"/>
    <x v="3"/>
    <x v="0"/>
    <n v="1"/>
    <x v="0"/>
    <s v="HIOMA"/>
    <s v="HIOMA"/>
    <s v="UG"/>
    <n v="1"/>
    <s v="Home"/>
    <s v="KAMPALA"/>
    <s v="KAMPALA"/>
    <s v="UG"/>
    <n v="2"/>
    <s v="Work"/>
    <x v="1"/>
    <n v="13000"/>
    <m/>
    <x v="0"/>
    <n v="4"/>
    <x v="2"/>
    <n v="2"/>
    <s v="Manual Labour"/>
    <n v="1"/>
    <x v="2"/>
    <n v="5"/>
    <n v="2"/>
    <n v="1"/>
    <n v="3"/>
    <n v="4"/>
    <s v="Y"/>
    <m/>
    <x v="3"/>
  </r>
  <r>
    <d v="2019-10-26T00:00:00"/>
    <d v="1899-12-30T11:03:00"/>
    <m/>
    <s v="P"/>
    <n v="2"/>
    <s v="Road Vehicle"/>
    <n v="4"/>
    <x v="3"/>
    <x v="0"/>
    <n v="1"/>
    <x v="0"/>
    <s v="HIOMA"/>
    <s v="HIOMA"/>
    <s v="UG"/>
    <n v="2"/>
    <s v="Work"/>
    <s v="KIKUUBE"/>
    <s v="KIKUUBE"/>
    <s v="UG"/>
    <n v="8"/>
    <s v="Others"/>
    <x v="19"/>
    <n v="5000"/>
    <m/>
    <x v="0"/>
    <n v="1"/>
    <x v="1"/>
    <n v="2"/>
    <s v="Manual Labour"/>
    <n v="1"/>
    <x v="2"/>
    <n v="2"/>
    <n v="4"/>
    <n v="5"/>
    <n v="1"/>
    <n v="3"/>
    <s v="Y"/>
    <m/>
    <x v="3"/>
  </r>
  <r>
    <d v="2019-10-26T00:00:00"/>
    <d v="1899-12-30T10:56:00"/>
    <m/>
    <s v="P"/>
    <n v="2"/>
    <s v="Road Vehicle"/>
    <n v="4"/>
    <x v="3"/>
    <x v="0"/>
    <n v="1"/>
    <x v="0"/>
    <s v="HIOMA"/>
    <s v="HIOMA"/>
    <s v="UG"/>
    <n v="1"/>
    <s v="Home"/>
    <s v="KAMPALA"/>
    <s v="KAMPALA"/>
    <s v="UG"/>
    <n v="2"/>
    <s v="Work"/>
    <x v="1"/>
    <n v="13000"/>
    <m/>
    <x v="0"/>
    <n v="3"/>
    <x v="0"/>
    <n v="3"/>
    <s v="Artisan/Domestic"/>
    <n v="1"/>
    <x v="2"/>
    <n v="2"/>
    <n v="4"/>
    <n v="3"/>
    <n v="1"/>
    <n v="5"/>
    <s v="Y"/>
    <n v="1000"/>
    <x v="4"/>
  </r>
  <r>
    <d v="2019-10-26T00:00:00"/>
    <d v="1899-12-30T11:25:00"/>
    <m/>
    <s v="P"/>
    <n v="2"/>
    <s v="Road Vehicle"/>
    <n v="4"/>
    <x v="3"/>
    <x v="0"/>
    <n v="1"/>
    <x v="0"/>
    <s v="HIOMA"/>
    <s v="HIOMA"/>
    <s v="UG"/>
    <n v="1"/>
    <s v="Home"/>
    <s v="KAISO"/>
    <s v="KIKUUBE"/>
    <s v="UG"/>
    <n v="2"/>
    <s v="Work"/>
    <x v="1"/>
    <n v="8000"/>
    <m/>
    <x v="0"/>
    <n v="2"/>
    <x v="0"/>
    <n v="4"/>
    <s v="Office Worker"/>
    <n v="3"/>
    <x v="1"/>
    <n v="1"/>
    <n v="2"/>
    <n v="5"/>
    <n v="4"/>
    <n v="3"/>
    <s v="Y"/>
    <n v="1000"/>
    <x v="4"/>
  </r>
  <r>
    <d v="2019-10-26T00:00:00"/>
    <d v="1899-12-30T15:17:00"/>
    <m/>
    <s v="D"/>
    <n v="2"/>
    <s v="Road Vehicle"/>
    <n v="4"/>
    <x v="3"/>
    <x v="0"/>
    <n v="1"/>
    <x v="0"/>
    <s v="HIOMA"/>
    <s v="HIOMA"/>
    <s v="UG"/>
    <n v="2"/>
    <s v="Work"/>
    <s v="KIGOLOBYA"/>
    <s v="HIOMA"/>
    <s v="UG"/>
    <n v="1"/>
    <s v="Home"/>
    <x v="4"/>
    <n v="5000"/>
    <n v="30"/>
    <x v="4"/>
    <n v="1"/>
    <x v="1"/>
    <n v="8"/>
    <s v="Student"/>
    <n v="1"/>
    <x v="2"/>
    <n v="1"/>
    <n v="1"/>
    <n v="1"/>
    <n v="1"/>
    <n v="1"/>
    <s v="Y"/>
    <n v="5000"/>
    <x v="2"/>
  </r>
  <r>
    <d v="2019-10-26T00:00:00"/>
    <d v="1899-12-30T14:56:00"/>
    <m/>
    <s v="D"/>
    <n v="2"/>
    <s v="Road Vehicle"/>
    <n v="4"/>
    <x v="3"/>
    <x v="0"/>
    <n v="1"/>
    <x v="0"/>
    <s v="HIOMA"/>
    <s v="HIOMA"/>
    <s v="UG"/>
    <n v="1"/>
    <s v="Home"/>
    <s v="MUTYABA"/>
    <s v="KAKUMIRO"/>
    <s v="UG"/>
    <n v="6"/>
    <s v="Leisure/Social"/>
    <x v="8"/>
    <n v="10000"/>
    <n v="150"/>
    <x v="2"/>
    <n v="4"/>
    <x v="2"/>
    <n v="2"/>
    <s v="Manual Labour"/>
    <n v="1"/>
    <x v="2"/>
    <n v="4"/>
    <n v="3"/>
    <n v="5"/>
    <n v="1"/>
    <n v="4"/>
    <s v="Y"/>
    <n v="7000"/>
    <x v="2"/>
  </r>
  <r>
    <d v="2019-10-26T00:00:00"/>
    <d v="1899-12-30T13:19:00"/>
    <m/>
    <s v="D"/>
    <n v="2"/>
    <s v="Road Vehicle"/>
    <n v="4"/>
    <x v="3"/>
    <x v="0"/>
    <n v="1"/>
    <x v="0"/>
    <s v="HIOMA"/>
    <s v="HIOMA"/>
    <s v="UG"/>
    <n v="1"/>
    <s v="Home"/>
    <s v="BUSIA"/>
    <s v="BUSIA"/>
    <s v="UG"/>
    <n v="6"/>
    <s v="Leisure/Social"/>
    <x v="8"/>
    <n v="15000"/>
    <n v="150"/>
    <x v="2"/>
    <n v="3"/>
    <x v="0"/>
    <n v="2"/>
    <s v="Manual Labour"/>
    <n v="2"/>
    <x v="3"/>
    <n v="3"/>
    <n v="4"/>
    <n v="1"/>
    <n v="2"/>
    <n v="1"/>
    <s v="Y"/>
    <n v="1000"/>
    <x v="4"/>
  </r>
  <r>
    <d v="2019-10-26T00:00:00"/>
    <d v="1899-12-30T14:36:00"/>
    <m/>
    <s v="D"/>
    <n v="2"/>
    <s v="Road Vehicle"/>
    <n v="4"/>
    <x v="3"/>
    <x v="0"/>
    <n v="1"/>
    <x v="0"/>
    <s v="HIOMA"/>
    <s v="HIOMA"/>
    <s v="UG"/>
    <n v="1"/>
    <s v="Home"/>
    <s v="MASINDI"/>
    <s v="MASINDI"/>
    <s v="UG"/>
    <n v="4"/>
    <s v="Commercial"/>
    <x v="0"/>
    <n v="10000"/>
    <n v="70"/>
    <x v="1"/>
    <n v="2"/>
    <x v="0"/>
    <n v="2"/>
    <s v="Manual Labour"/>
    <n v="2"/>
    <x v="3"/>
    <n v="1"/>
    <n v="4"/>
    <n v="3"/>
    <n v="2"/>
    <n v="5"/>
    <s v="Y"/>
    <n v="1000"/>
    <x v="4"/>
  </r>
  <r>
    <d v="2019-10-26T00:00:00"/>
    <d v="1899-12-30T14:50:00"/>
    <m/>
    <s v="D"/>
    <n v="2"/>
    <s v="Road Vehicle"/>
    <n v="4"/>
    <x v="3"/>
    <x v="0"/>
    <n v="1"/>
    <x v="0"/>
    <s v="HIOMA"/>
    <s v="HIOMA"/>
    <s v="UG"/>
    <n v="4"/>
    <s v="Commercial"/>
    <s v="KIGOLOBYA"/>
    <s v="HIOMA"/>
    <s v="UG"/>
    <n v="1"/>
    <s v="Home"/>
    <x v="3"/>
    <n v="5000"/>
    <n v="30"/>
    <x v="4"/>
    <n v="1"/>
    <x v="1"/>
    <n v="10"/>
    <s v="Other"/>
    <n v="2"/>
    <x v="3"/>
    <n v="3"/>
    <n v="4"/>
    <n v="1"/>
    <n v="5"/>
    <n v="2"/>
    <s v="Y"/>
    <n v="1000"/>
    <x v="4"/>
  </r>
  <r>
    <d v="2019-10-26T00:00:00"/>
    <d v="1899-12-30T15:31:00"/>
    <m/>
    <s v="P"/>
    <n v="2"/>
    <s v="Road Vehicle"/>
    <n v="4"/>
    <x v="3"/>
    <x v="0"/>
    <n v="1"/>
    <x v="0"/>
    <s v="HIOMA"/>
    <s v="HIOMA"/>
    <s v="UG"/>
    <n v="1"/>
    <s v="Home"/>
    <s v="BUGAMBE"/>
    <s v="KIGUBE"/>
    <s v="UG"/>
    <n v="6"/>
    <s v="Leisure/Social"/>
    <x v="8"/>
    <n v="7000"/>
    <n v="80"/>
    <x v="1"/>
    <n v="2"/>
    <x v="0"/>
    <n v="3"/>
    <s v="Artisan/Domestic"/>
    <n v="2"/>
    <x v="3"/>
    <n v="3"/>
    <n v="4"/>
    <n v="1"/>
    <n v="5"/>
    <n v="2"/>
    <s v="Y"/>
    <n v="5000"/>
    <x v="2"/>
  </r>
  <r>
    <d v="2019-10-26T00:00:00"/>
    <d v="1899-12-30T15:00:00"/>
    <m/>
    <s v="D"/>
    <n v="2"/>
    <s v="Road Vehicle"/>
    <n v="4"/>
    <x v="3"/>
    <x v="0"/>
    <n v="1"/>
    <x v="0"/>
    <s v="HIOMA"/>
    <s v="HIOMA"/>
    <s v="UG"/>
    <n v="1"/>
    <s v="Home"/>
    <s v="BUKWIRI"/>
    <s v="KYANKWANZI"/>
    <s v="UG"/>
    <n v="5"/>
    <s v="Tourism"/>
    <x v="20"/>
    <n v="8000"/>
    <n v="80"/>
    <x v="1"/>
    <n v="3"/>
    <x v="0"/>
    <n v="3"/>
    <s v="Artisan/Domestic"/>
    <n v="2"/>
    <x v="3"/>
    <n v="3"/>
    <n v="1"/>
    <n v="2"/>
    <n v="5"/>
    <n v="4"/>
    <s v="Y"/>
    <n v="3000"/>
    <x v="0"/>
  </r>
  <r>
    <d v="2019-10-26T00:00:00"/>
    <d v="1899-12-30T19:24:00"/>
    <m/>
    <s v="P"/>
    <n v="2"/>
    <s v="Road Vehicle"/>
    <n v="4"/>
    <x v="3"/>
    <x v="0"/>
    <n v="1"/>
    <x v="0"/>
    <s v="HIOMA"/>
    <s v="HIOMA"/>
    <s v="UG"/>
    <n v="1"/>
    <s v="Home"/>
    <s v="BULIISA"/>
    <s v="BULIISA"/>
    <s v="UG"/>
    <n v="5"/>
    <s v="Tourism"/>
    <x v="20"/>
    <n v="15000"/>
    <n v="160"/>
    <x v="2"/>
    <n v="3"/>
    <x v="0"/>
    <n v="2"/>
    <s v="Manual Labour"/>
    <n v="2"/>
    <x v="3"/>
    <n v="1"/>
    <n v="2"/>
    <n v="3"/>
    <n v="5"/>
    <n v="4"/>
    <s v="Y"/>
    <n v="5000"/>
    <x v="2"/>
  </r>
  <r>
    <d v="2019-10-26T00:00:00"/>
    <d v="1899-12-30T14:55:00"/>
    <m/>
    <s v="P"/>
    <n v="2"/>
    <s v="Road Vehicle"/>
    <n v="4"/>
    <x v="3"/>
    <x v="0"/>
    <n v="1"/>
    <x v="0"/>
    <s v="HIOMA"/>
    <s v="HIOMA"/>
    <s v="UG"/>
    <n v="4"/>
    <s v="Commercial"/>
    <s v="BULIMA"/>
    <s v="BULIMA"/>
    <s v="UG"/>
    <n v="1"/>
    <s v="Home"/>
    <x v="3"/>
    <n v="5000"/>
    <n v="20"/>
    <x v="4"/>
    <n v="1"/>
    <x v="1"/>
    <n v="4"/>
    <s v="Office Worker"/>
    <n v="3"/>
    <x v="1"/>
    <n v="2"/>
    <n v="3"/>
    <n v="4"/>
    <n v="5"/>
    <n v="1"/>
    <s v="Y"/>
    <n v="1000"/>
    <x v="4"/>
  </r>
  <r>
    <d v="2019-10-26T00:00:00"/>
    <d v="1899-12-30T14:25:00"/>
    <m/>
    <s v="D"/>
    <n v="2"/>
    <s v="Road Vehicle"/>
    <n v="4"/>
    <x v="3"/>
    <x v="0"/>
    <n v="1"/>
    <x v="0"/>
    <s v="HIOMA"/>
    <s v="HIOMA"/>
    <s v="UG"/>
    <n v="2"/>
    <s v="Work"/>
    <s v="KAGADI"/>
    <s v="KAGADI"/>
    <s v="UG"/>
    <n v="1"/>
    <s v="Home"/>
    <x v="4"/>
    <n v="180000"/>
    <n v="190"/>
    <x v="2"/>
    <n v="3"/>
    <x v="0"/>
    <n v="10"/>
    <s v="Other"/>
    <n v="3"/>
    <x v="1"/>
    <n v="1"/>
    <n v="3"/>
    <n v="2"/>
    <n v="4"/>
    <n v="5"/>
    <s v="Y"/>
    <m/>
    <x v="3"/>
  </r>
  <r>
    <d v="2019-10-26T00:00:00"/>
    <d v="1899-12-30T15:51:00"/>
    <m/>
    <s v="P"/>
    <n v="2"/>
    <s v="Road Vehicle"/>
    <n v="4"/>
    <x v="3"/>
    <x v="0"/>
    <n v="1"/>
    <x v="0"/>
    <s v="HIOMA"/>
    <s v="HIOMA"/>
    <s v="UG"/>
    <n v="2"/>
    <s v="Work"/>
    <s v="KAMPALA"/>
    <s v="KAMPALA"/>
    <s v="UG"/>
    <n v="1"/>
    <s v="Home"/>
    <x v="4"/>
    <n v="150000"/>
    <n v="201"/>
    <x v="3"/>
    <n v="4"/>
    <x v="2"/>
    <n v="6"/>
    <s v="Businessman"/>
    <n v="4"/>
    <x v="0"/>
    <n v="2"/>
    <n v="1"/>
    <n v="3"/>
    <n v="4"/>
    <n v="5"/>
    <s v="Y"/>
    <n v="3000"/>
    <x v="0"/>
  </r>
  <r>
    <d v="2019-10-26T00:00:00"/>
    <d v="1899-12-30T12:49:00"/>
    <m/>
    <s v="D"/>
    <n v="2"/>
    <s v="Road Vehicle"/>
    <n v="4"/>
    <x v="3"/>
    <x v="0"/>
    <n v="1"/>
    <x v="0"/>
    <s v="HIOMA"/>
    <s v="HIOMA"/>
    <s v="UG"/>
    <n v="2"/>
    <s v="Work"/>
    <s v="KAISO"/>
    <s v="KAISO"/>
    <s v="UG"/>
    <n v="4"/>
    <s v="Commercial"/>
    <x v="17"/>
    <n v="15000"/>
    <n v="190"/>
    <x v="2"/>
    <n v="3"/>
    <x v="0"/>
    <n v="5"/>
    <s v="Professional"/>
    <n v="5"/>
    <x v="4"/>
    <n v="2"/>
    <n v="5"/>
    <n v="3"/>
    <n v="1"/>
    <n v="4"/>
    <s v="Y"/>
    <n v="2000"/>
    <x v="1"/>
  </r>
  <r>
    <d v="2019-10-26T00:00:00"/>
    <d v="1899-12-30T07:14:00"/>
    <m/>
    <s v="D"/>
    <n v="2"/>
    <s v="Road Vehicle"/>
    <n v="4"/>
    <x v="3"/>
    <x v="0"/>
    <n v="1"/>
    <x v="0"/>
    <s v="HIOMA"/>
    <s v="HIOMA"/>
    <s v="UG"/>
    <n v="2"/>
    <s v="Work"/>
    <s v="MASINDI"/>
    <s v="MASINDI"/>
    <s v="UG"/>
    <n v="1"/>
    <s v="Home"/>
    <x v="4"/>
    <n v="1500"/>
    <n v="190"/>
    <x v="2"/>
    <n v="3"/>
    <x v="0"/>
    <n v="5"/>
    <s v="Professional"/>
    <n v="2"/>
    <x v="3"/>
    <n v="5"/>
    <n v="2"/>
    <n v="3"/>
    <n v="4"/>
    <n v="1"/>
    <s v="Y"/>
    <m/>
    <x v="3"/>
  </r>
  <r>
    <d v="2019-10-26T00:00:00"/>
    <d v="1899-12-30T09:20:00"/>
    <m/>
    <s v="D"/>
    <n v="2"/>
    <s v="Road Vehicle"/>
    <n v="4"/>
    <x v="3"/>
    <x v="0"/>
    <n v="1"/>
    <x v="0"/>
    <s v="HIOMA"/>
    <s v="HIOMA"/>
    <s v="UG"/>
    <n v="2"/>
    <s v="Work"/>
    <s v="BUSUNJJU"/>
    <s v="BUSUJJU"/>
    <s v="UG"/>
    <n v="2"/>
    <s v="Work"/>
    <x v="2"/>
    <n v="150000"/>
    <n v="190"/>
    <x v="2"/>
    <n v="2"/>
    <x v="0"/>
    <n v="10"/>
    <s v="Other"/>
    <n v="1"/>
    <x v="2"/>
    <n v="4"/>
    <n v="3"/>
    <n v="5"/>
    <n v="2"/>
    <n v="1"/>
    <s v="Y"/>
    <m/>
    <x v="3"/>
  </r>
  <r>
    <d v="2019-10-26T00:00:00"/>
    <d v="1899-12-30T07:22:00"/>
    <m/>
    <s v="D"/>
    <n v="2"/>
    <s v="Road Vehicle"/>
    <n v="4"/>
    <x v="3"/>
    <x v="0"/>
    <n v="1"/>
    <x v="0"/>
    <s v="HIOMA"/>
    <s v="HIOMA"/>
    <s v="UG"/>
    <n v="2"/>
    <s v="Work"/>
    <s v="KAMPALA"/>
    <s v="KAMPALA"/>
    <s v="UG"/>
    <n v="4"/>
    <s v="Commercial"/>
    <x v="17"/>
    <n v="15000"/>
    <n v="170"/>
    <x v="2"/>
    <n v="2"/>
    <x v="0"/>
    <n v="6"/>
    <s v="Businessman"/>
    <n v="3"/>
    <x v="1"/>
    <n v="3"/>
    <n v="5"/>
    <n v="4"/>
    <n v="1"/>
    <n v="2"/>
    <s v="Y"/>
    <n v="1000"/>
    <x v="4"/>
  </r>
  <r>
    <d v="2019-10-26T00:00:00"/>
    <d v="1899-12-30T10:26:00"/>
    <m/>
    <s v="D"/>
    <n v="2"/>
    <s v="Road Vehicle"/>
    <n v="4"/>
    <x v="3"/>
    <x v="0"/>
    <n v="1"/>
    <x v="0"/>
    <s v="HIOMA"/>
    <s v="HIOMA"/>
    <s v="UG"/>
    <n v="4"/>
    <s v="Commercial"/>
    <s v="HIOMA"/>
    <s v="HIOMA"/>
    <s v="UG"/>
    <n v="1"/>
    <s v="Home"/>
    <x v="3"/>
    <n v="350000"/>
    <n v="400"/>
    <x v="3"/>
    <n v="8"/>
    <x v="2"/>
    <n v="8"/>
    <s v="Student"/>
    <n v="3"/>
    <x v="1"/>
    <n v="5"/>
    <n v="1"/>
    <n v="3"/>
    <n v="2"/>
    <n v="4"/>
    <s v="Y"/>
    <n v="2000"/>
    <x v="1"/>
  </r>
  <r>
    <d v="2019-10-26T00:00:00"/>
    <d v="1899-12-30T09:20:00"/>
    <m/>
    <s v="P"/>
    <n v="2"/>
    <s v="Road Vehicle"/>
    <n v="4"/>
    <x v="3"/>
    <x v="0"/>
    <n v="1"/>
    <x v="0"/>
    <s v="HIOMA"/>
    <s v="HIOMA"/>
    <s v="UG"/>
    <n v="1"/>
    <s v="Home"/>
    <s v="KAMPALA"/>
    <s v="KAMPALA"/>
    <s v="UG"/>
    <n v="2"/>
    <s v="Work"/>
    <x v="1"/>
    <n v="5000"/>
    <n v="30"/>
    <x v="4"/>
    <n v="1"/>
    <x v="1"/>
    <n v="4"/>
    <s v="Office Worker"/>
    <n v="3"/>
    <x v="1"/>
    <n v="2"/>
    <n v="1"/>
    <n v="4"/>
    <n v="3"/>
    <n v="5"/>
    <s v="Y"/>
    <n v="3000"/>
    <x v="0"/>
  </r>
  <r>
    <d v="2019-10-26T00:00:00"/>
    <d v="1899-12-30T08:42:00"/>
    <m/>
    <s v="D"/>
    <n v="2"/>
    <s v="Road Vehicle"/>
    <n v="4"/>
    <x v="3"/>
    <x v="0"/>
    <n v="1"/>
    <x v="0"/>
    <s v="HIOMA"/>
    <s v="HIOMA"/>
    <s v="UG"/>
    <n v="1"/>
    <s v="Home"/>
    <s v="KAMPALA"/>
    <s v="KAMPALA"/>
    <s v="UG"/>
    <n v="2"/>
    <s v="Work"/>
    <x v="1"/>
    <n v="170000"/>
    <n v="192"/>
    <x v="2"/>
    <n v="3"/>
    <x v="0"/>
    <n v="10"/>
    <s v="Other"/>
    <n v="2"/>
    <x v="3"/>
    <n v="1"/>
    <n v="2"/>
    <n v="5"/>
    <n v="4"/>
    <n v="5"/>
    <s v="Y"/>
    <m/>
    <x v="3"/>
  </r>
  <r>
    <d v="2019-10-24T00:00:00"/>
    <d v="1899-12-30T17:43:00"/>
    <m/>
    <s v="P"/>
    <n v="2"/>
    <s v="Road Vehicle"/>
    <n v="1"/>
    <x v="0"/>
    <x v="0"/>
    <n v="2"/>
    <x v="1"/>
    <s v="HIOMA"/>
    <s v="HIOMA"/>
    <s v="UG"/>
    <n v="2"/>
    <s v="Work"/>
    <s v="KARANGWALI"/>
    <s v="KIKUUBE"/>
    <s v="UG"/>
    <n v="8"/>
    <s v="Others"/>
    <x v="19"/>
    <n v="15000"/>
    <m/>
    <x v="0"/>
    <n v="2"/>
    <x v="0"/>
    <n v="4"/>
    <s v="Office Worker"/>
    <n v="2"/>
    <x v="3"/>
    <n v="5"/>
    <n v="4"/>
    <n v="1"/>
    <n v="2"/>
    <n v="3"/>
    <s v="Y"/>
    <n v="5000"/>
    <x v="2"/>
  </r>
  <r>
    <d v="2019-10-24T00:00:00"/>
    <d v="1899-12-30T08:13:00"/>
    <m/>
    <s v="D"/>
    <n v="2"/>
    <s v="Road Vehicle"/>
    <n v="1"/>
    <x v="0"/>
    <x v="0"/>
    <n v="2"/>
    <x v="1"/>
    <s v="HIOMA"/>
    <s v="HIOMA"/>
    <s v="UG"/>
    <n v="1"/>
    <s v="Home"/>
    <s v="BULIISA"/>
    <s v="BULIISA"/>
    <s v="UG"/>
    <n v="2"/>
    <s v="Work"/>
    <x v="1"/>
    <n v="80000"/>
    <n v="76"/>
    <x v="1"/>
    <n v="2"/>
    <x v="0"/>
    <n v="5"/>
    <s v="Professional"/>
    <n v="3"/>
    <x v="1"/>
    <n v="2"/>
    <n v="3"/>
    <n v="5"/>
    <n v="1"/>
    <n v="4"/>
    <s v="Y"/>
    <n v="1000"/>
    <x v="4"/>
  </r>
  <r>
    <d v="2019-10-25T00:00:00"/>
    <d v="1899-12-30T13:59:00"/>
    <m/>
    <s v="D"/>
    <n v="2"/>
    <s v="Road Vehicle"/>
    <n v="1"/>
    <x v="0"/>
    <x v="0"/>
    <n v="2"/>
    <x v="1"/>
    <s v="HIOMA"/>
    <s v="HIOMA"/>
    <s v="UG"/>
    <n v="1"/>
    <s v="Home"/>
    <s v="BULIISA"/>
    <s v="BULIISA"/>
    <s v="UG"/>
    <n v="2"/>
    <s v="Work"/>
    <x v="1"/>
    <n v="80000"/>
    <n v="79"/>
    <x v="1"/>
    <n v="2"/>
    <x v="0"/>
    <n v="5"/>
    <s v="Professional"/>
    <n v="3"/>
    <x v="1"/>
    <n v="2"/>
    <n v="3"/>
    <n v="1"/>
    <n v="4"/>
    <n v="5"/>
    <s v="Y"/>
    <n v="5000"/>
    <x v="2"/>
  </r>
  <r>
    <d v="2019-10-25T00:00:00"/>
    <d v="1899-12-30T17:48:00"/>
    <m/>
    <s v="D"/>
    <n v="2"/>
    <s v="Road Vehicle"/>
    <n v="1"/>
    <x v="0"/>
    <x v="0"/>
    <n v="2"/>
    <x v="1"/>
    <s v="HIOMA"/>
    <s v="HIOMA"/>
    <s v="UG"/>
    <n v="1"/>
    <s v="Home"/>
    <s v="KAMPALA"/>
    <s v="KAMPALA"/>
    <s v="UG"/>
    <n v="2"/>
    <s v="Work"/>
    <x v="1"/>
    <n v="90000"/>
    <n v="175"/>
    <x v="2"/>
    <n v="3"/>
    <x v="0"/>
    <n v="2"/>
    <s v="Manual Labour"/>
    <n v="2"/>
    <x v="3"/>
    <n v="2"/>
    <n v="4"/>
    <n v="1"/>
    <n v="2"/>
    <n v="2"/>
    <s v="Y"/>
    <n v="5000"/>
    <x v="2"/>
  </r>
  <r>
    <d v="2019-10-25T00:00:00"/>
    <d v="1899-12-30T08:50:00"/>
    <m/>
    <s v="P"/>
    <n v="2"/>
    <s v="Road Vehicle"/>
    <n v="1"/>
    <x v="0"/>
    <x v="0"/>
    <n v="2"/>
    <x v="1"/>
    <s v="HIOMA"/>
    <s v="HIOMA"/>
    <s v="UG"/>
    <n v="1"/>
    <s v="Home"/>
    <s v="KABWOGA"/>
    <s v="KIKUUBE"/>
    <s v="UG"/>
    <n v="2"/>
    <s v="Work"/>
    <x v="1"/>
    <n v="7000"/>
    <n v="32"/>
    <x v="4"/>
    <n v="1"/>
    <x v="1"/>
    <n v="2"/>
    <s v="Manual Labour"/>
    <n v="2"/>
    <x v="3"/>
    <n v="2"/>
    <n v="3"/>
    <n v="5"/>
    <n v="1"/>
    <n v="4"/>
    <s v="Y"/>
    <n v="2000"/>
    <x v="1"/>
  </r>
  <r>
    <d v="2019-10-25T00:00:00"/>
    <d v="1899-12-30T08:15:00"/>
    <m/>
    <s v="P"/>
    <n v="2"/>
    <s v="Road Vehicle"/>
    <n v="1"/>
    <x v="0"/>
    <x v="0"/>
    <n v="2"/>
    <x v="1"/>
    <s v="HIOMA"/>
    <s v="HIOMA"/>
    <s v="UG"/>
    <n v="1"/>
    <s v="Home"/>
    <s v="KIBOGA"/>
    <s v="KIBOGA"/>
    <s v="UG"/>
    <n v="2"/>
    <s v="Work"/>
    <x v="1"/>
    <n v="70000"/>
    <m/>
    <x v="0"/>
    <n v="1"/>
    <x v="1"/>
    <n v="5"/>
    <s v="Professional"/>
    <n v="3"/>
    <x v="1"/>
    <n v="2"/>
    <n v="2"/>
    <n v="1"/>
    <n v="4"/>
    <n v="4"/>
    <s v="Y"/>
    <n v="1000"/>
    <x v="4"/>
  </r>
  <r>
    <d v="2019-10-25T00:00:00"/>
    <d v="1899-12-30T09:50:00"/>
    <m/>
    <s v="D"/>
    <n v="2"/>
    <s v="Road Vehicle"/>
    <n v="1"/>
    <x v="0"/>
    <x v="0"/>
    <n v="2"/>
    <x v="1"/>
    <s v="HIOMA"/>
    <s v="HIOMA"/>
    <s v="UG"/>
    <n v="1"/>
    <s v="Home"/>
    <s v="MASINDI"/>
    <s v="MASINDI"/>
    <s v="UG"/>
    <n v="2"/>
    <s v="Work"/>
    <x v="1"/>
    <n v="40000"/>
    <n v="35"/>
    <x v="4"/>
    <n v="2"/>
    <x v="0"/>
    <n v="5"/>
    <s v="Professional"/>
    <n v="2"/>
    <x v="3"/>
    <n v="3"/>
    <n v="4"/>
    <n v="2"/>
    <n v="1"/>
    <n v="5"/>
    <s v="Y"/>
    <n v="5000"/>
    <x v="2"/>
  </r>
  <r>
    <d v="2019-10-25T00:00:00"/>
    <d v="1899-12-30T10:15:00"/>
    <m/>
    <s v="D"/>
    <n v="2"/>
    <s v="Road Vehicle"/>
    <n v="1"/>
    <x v="0"/>
    <x v="0"/>
    <n v="2"/>
    <x v="1"/>
    <s v="HIOMA"/>
    <s v="HIOMA"/>
    <s v="UG"/>
    <n v="1"/>
    <s v="Home"/>
    <s v="MASINDI"/>
    <s v="MASINDI"/>
    <s v="UG"/>
    <n v="2"/>
    <s v="Work"/>
    <x v="1"/>
    <n v="5000"/>
    <n v="40"/>
    <x v="5"/>
    <n v="2"/>
    <x v="0"/>
    <n v="5"/>
    <s v="Professional"/>
    <n v="4"/>
    <x v="0"/>
    <n v="4"/>
    <n v="2"/>
    <n v="1"/>
    <n v="4"/>
    <n v="5"/>
    <s v="Y"/>
    <n v="5000"/>
    <x v="2"/>
  </r>
  <r>
    <d v="2019-10-25T00:00:00"/>
    <d v="1899-12-30T11:41:00"/>
    <m/>
    <s v="D"/>
    <n v="2"/>
    <s v="Road Vehicle"/>
    <n v="1"/>
    <x v="0"/>
    <x v="0"/>
    <n v="2"/>
    <x v="1"/>
    <s v="HIOMA"/>
    <s v="HIOMA"/>
    <s v="UG"/>
    <n v="1"/>
    <s v="Home"/>
    <s v="KABAALE"/>
    <s v="HIOMA"/>
    <s v="UG"/>
    <n v="2"/>
    <s v="Work"/>
    <x v="1"/>
    <n v="30000"/>
    <n v="45"/>
    <x v="5"/>
    <n v="1"/>
    <x v="1"/>
    <n v="5"/>
    <s v="Professional"/>
    <n v="2"/>
    <x v="3"/>
    <n v="3"/>
    <n v="5"/>
    <n v="4"/>
    <n v="2"/>
    <n v="1"/>
    <s v="Y"/>
    <n v="1000"/>
    <x v="4"/>
  </r>
  <r>
    <d v="2019-10-25T00:00:00"/>
    <d v="1899-12-30T16:48:00"/>
    <m/>
    <s v="P"/>
    <n v="2"/>
    <s v="Road Vehicle"/>
    <n v="1"/>
    <x v="0"/>
    <x v="0"/>
    <n v="2"/>
    <x v="1"/>
    <s v="HIOMA"/>
    <s v="HIOMA"/>
    <s v="UG"/>
    <n v="1"/>
    <s v="Home"/>
    <s v="KABWOGA"/>
    <s v="KIKUUBE"/>
    <s v="UG"/>
    <n v="2"/>
    <s v="Work"/>
    <x v="1"/>
    <n v="7000"/>
    <n v="25"/>
    <x v="4"/>
    <n v="1"/>
    <x v="1"/>
    <n v="6"/>
    <s v="Businessman"/>
    <n v="3"/>
    <x v="1"/>
    <n v="1"/>
    <n v="2"/>
    <n v="4"/>
    <n v="5"/>
    <n v="3"/>
    <s v="Y"/>
    <n v="3000"/>
    <x v="0"/>
  </r>
  <r>
    <d v="2019-10-25T00:00:00"/>
    <d v="1899-12-30T09:00:00"/>
    <m/>
    <s v="P"/>
    <n v="2"/>
    <s v="Road Vehicle"/>
    <n v="1"/>
    <x v="0"/>
    <x v="0"/>
    <n v="2"/>
    <x v="1"/>
    <s v="HIOMA"/>
    <s v="HIOMA"/>
    <s v="UG"/>
    <n v="1"/>
    <s v="Home"/>
    <s v="HIOMA"/>
    <s v="KIKUUBE"/>
    <s v="UG"/>
    <n v="2"/>
    <s v="Work"/>
    <x v="1"/>
    <n v="7000"/>
    <n v="30"/>
    <x v="4"/>
    <n v="1"/>
    <x v="1"/>
    <n v="5"/>
    <s v="Professional"/>
    <n v="1"/>
    <x v="2"/>
    <n v="2"/>
    <n v="3"/>
    <n v="5"/>
    <n v="1"/>
    <n v="4"/>
    <s v="Y"/>
    <n v="1000"/>
    <x v="4"/>
  </r>
  <r>
    <d v="2019-10-24T00:00:00"/>
    <d v="1899-12-30T18:09:00"/>
    <m/>
    <s v="P"/>
    <n v="2"/>
    <s v="Road Vehicle"/>
    <n v="6"/>
    <x v="1"/>
    <x v="1"/>
    <n v="2"/>
    <x v="1"/>
    <s v="HIOMA"/>
    <s v="HIOMA"/>
    <s v="UG"/>
    <n v="8"/>
    <s v="Others"/>
    <s v="KAISO"/>
    <s v="KAISO"/>
    <s v="UG"/>
    <n v="1"/>
    <s v="Home"/>
    <x v="12"/>
    <n v="9000"/>
    <n v="120"/>
    <x v="2"/>
    <n v="2"/>
    <x v="0"/>
    <n v="7"/>
    <s v="Farmer"/>
    <n v="3"/>
    <x v="1"/>
    <n v="1"/>
    <n v="2"/>
    <n v="3"/>
    <n v="4"/>
    <n v="5"/>
    <s v="Y"/>
    <m/>
    <x v="3"/>
  </r>
  <r>
    <d v="2019-10-24T00:00:00"/>
    <d v="1899-12-30T15:49:00"/>
    <m/>
    <s v="P"/>
    <n v="2"/>
    <s v="Road Vehicle"/>
    <n v="6"/>
    <x v="1"/>
    <x v="1"/>
    <n v="2"/>
    <x v="1"/>
    <s v="HIOMA"/>
    <s v="HIOMA"/>
    <s v="UG"/>
    <n v="2"/>
    <s v="Work"/>
    <s v="KAMPALA"/>
    <s v="KAMPALA"/>
    <s v="UG"/>
    <n v="6"/>
    <s v="Leisure/Social"/>
    <x v="5"/>
    <n v="13000"/>
    <n v="190"/>
    <x v="2"/>
    <n v="3"/>
    <x v="0"/>
    <n v="6"/>
    <s v="Businessman"/>
    <n v="3"/>
    <x v="1"/>
    <n v="3"/>
    <n v="4"/>
    <n v="5"/>
    <n v="2"/>
    <n v="1"/>
    <s v="Y"/>
    <m/>
    <x v="3"/>
  </r>
  <r>
    <d v="2019-10-24T00:00:00"/>
    <d v="1899-12-30T15:40:00"/>
    <m/>
    <s v="P"/>
    <n v="2"/>
    <s v="Road Vehicle"/>
    <n v="6"/>
    <x v="1"/>
    <x v="1"/>
    <n v="2"/>
    <x v="1"/>
    <s v="HIOMA"/>
    <s v="HIOMA"/>
    <s v="UG"/>
    <n v="6"/>
    <s v="Leisure/Social"/>
    <s v="KIRONDE"/>
    <s v="BUSUJJU"/>
    <s v="UG"/>
    <n v="4"/>
    <s v="Commercial"/>
    <x v="21"/>
    <n v="12000"/>
    <n v="190"/>
    <x v="2"/>
    <n v="1"/>
    <x v="1"/>
    <n v="2"/>
    <s v="Manual Labour"/>
    <n v="4"/>
    <x v="0"/>
    <n v="2"/>
    <n v="1"/>
    <n v="3"/>
    <n v="5"/>
    <n v="4"/>
    <s v="Y"/>
    <m/>
    <x v="3"/>
  </r>
  <r>
    <d v="2019-10-24T00:00:00"/>
    <d v="1899-12-30T15:02:00"/>
    <m/>
    <s v="P"/>
    <n v="2"/>
    <s v="Road Vehicle"/>
    <n v="6"/>
    <x v="1"/>
    <x v="1"/>
    <n v="2"/>
    <x v="1"/>
    <s v="HIOMA"/>
    <s v="HIOMA"/>
    <s v="UG"/>
    <n v="2"/>
    <s v="Work"/>
    <s v="KAMPALA"/>
    <s v="KAMPALA"/>
    <s v="UG"/>
    <n v="1"/>
    <s v="Home"/>
    <x v="4"/>
    <n v="13000"/>
    <n v="200"/>
    <x v="3"/>
    <n v="4"/>
    <x v="2"/>
    <n v="7"/>
    <s v="Farmer"/>
    <n v="3"/>
    <x v="1"/>
    <n v="1"/>
    <n v="3"/>
    <n v="2"/>
    <n v="4"/>
    <n v="5"/>
    <s v="Y"/>
    <n v="2000"/>
    <x v="1"/>
  </r>
  <r>
    <d v="2019-10-24T00:00:00"/>
    <d v="1899-12-30T14:13:00"/>
    <m/>
    <s v="P"/>
    <n v="2"/>
    <s v="Road Vehicle"/>
    <n v="6"/>
    <x v="1"/>
    <x v="1"/>
    <n v="2"/>
    <x v="1"/>
    <s v="HIOMA"/>
    <s v="HIOMA"/>
    <s v="UG"/>
    <n v="2"/>
    <s v="Work"/>
    <s v="KAMPALA"/>
    <s v="KAMPALA"/>
    <s v="UG"/>
    <n v="1"/>
    <s v="Home"/>
    <x v="4"/>
    <n v="13000"/>
    <n v="200"/>
    <x v="3"/>
    <n v="3"/>
    <x v="0"/>
    <n v="5"/>
    <s v="Professional"/>
    <n v="2"/>
    <x v="3"/>
    <n v="5"/>
    <n v="2"/>
    <n v="1"/>
    <n v="3"/>
    <n v="4"/>
    <s v="Y"/>
    <n v="1000"/>
    <x v="4"/>
  </r>
  <r>
    <d v="2019-10-24T00:00:00"/>
    <d v="1899-12-30T23:44:00"/>
    <m/>
    <s v="P"/>
    <n v="2"/>
    <s v="Road Vehicle"/>
    <n v="6"/>
    <x v="1"/>
    <x v="1"/>
    <n v="2"/>
    <x v="1"/>
    <s v="HIOMA"/>
    <s v="HIOMA"/>
    <s v="UG"/>
    <n v="2"/>
    <s v="Work"/>
    <s v="KAMPALA"/>
    <s v="KAMPALA"/>
    <s v="UG"/>
    <n v="1"/>
    <s v="Home"/>
    <x v="4"/>
    <n v="130000"/>
    <n v="190"/>
    <x v="2"/>
    <n v="3"/>
    <x v="0"/>
    <n v="3"/>
    <s v="Artisan/Domestic"/>
    <n v="4"/>
    <x v="0"/>
    <n v="1"/>
    <n v="2"/>
    <n v="3"/>
    <n v="2"/>
    <n v="4"/>
    <s v="Y"/>
    <n v="1000"/>
    <x v="4"/>
  </r>
  <r>
    <d v="2019-10-24T00:00:00"/>
    <d v="1899-12-30T18:42:00"/>
    <m/>
    <s v="P"/>
    <n v="2"/>
    <s v="Road Vehicle"/>
    <n v="6"/>
    <x v="1"/>
    <x v="0"/>
    <n v="2"/>
    <x v="1"/>
    <s v="HIOMA"/>
    <s v="HIOMA"/>
    <s v="UG"/>
    <n v="3"/>
    <s v="Study"/>
    <s v="KAISO"/>
    <s v="KAISO"/>
    <s v="UG"/>
    <n v="2"/>
    <s v="Work"/>
    <x v="22"/>
    <n v="8000"/>
    <n v="120"/>
    <x v="2"/>
    <n v="2"/>
    <x v="0"/>
    <n v="6"/>
    <s v="Businessman"/>
    <n v="3"/>
    <x v="1"/>
    <n v="1"/>
    <n v="2"/>
    <n v="4"/>
    <n v="3"/>
    <n v="5"/>
    <s v="Y"/>
    <m/>
    <x v="3"/>
  </r>
  <r>
    <d v="2019-10-24T00:00:00"/>
    <d v="1899-12-30T16:46:00"/>
    <m/>
    <s v="D"/>
    <n v="2"/>
    <s v="Road Vehicle"/>
    <n v="6"/>
    <x v="1"/>
    <x v="0"/>
    <n v="2"/>
    <x v="1"/>
    <s v="HIOMA"/>
    <s v="HIOMA"/>
    <s v="UG"/>
    <n v="1"/>
    <s v="Home"/>
    <s v="MASINDI"/>
    <s v="MASINDI"/>
    <s v="UG"/>
    <n v="2"/>
    <s v="Work"/>
    <x v="1"/>
    <n v="650000"/>
    <n v="130"/>
    <x v="2"/>
    <n v="2"/>
    <x v="0"/>
    <n v="10"/>
    <s v="Other"/>
    <n v="4"/>
    <x v="0"/>
    <n v="1"/>
    <n v="3"/>
    <n v="2"/>
    <n v="5"/>
    <n v="4"/>
    <s v="Y"/>
    <n v="1000"/>
    <x v="4"/>
  </r>
  <r>
    <d v="2019-10-24T00:00:00"/>
    <d v="1899-12-30T12:36:00"/>
    <m/>
    <s v="D"/>
    <n v="2"/>
    <s v="Road Vehicle"/>
    <n v="6"/>
    <x v="1"/>
    <x v="0"/>
    <n v="2"/>
    <x v="1"/>
    <s v="HIOMA"/>
    <s v="HIOMA"/>
    <s v="UG"/>
    <n v="2"/>
    <s v="Work"/>
    <s v="ARUA"/>
    <s v="ARUA"/>
    <s v="UG"/>
    <n v="1"/>
    <s v="Home"/>
    <x v="4"/>
    <n v="700000"/>
    <n v="390"/>
    <x v="3"/>
    <n v="8"/>
    <x v="2"/>
    <n v="10"/>
    <s v="Other"/>
    <n v="3"/>
    <x v="1"/>
    <n v="2"/>
    <n v="5"/>
    <n v="3"/>
    <n v="1"/>
    <n v="4"/>
    <s v="Y"/>
    <m/>
    <x v="3"/>
  </r>
  <r>
    <d v="2019-10-24T00:00:00"/>
    <d v="1899-12-30T15:50:00"/>
    <m/>
    <s v="P"/>
    <n v="2"/>
    <s v="Road Vehicle"/>
    <n v="6"/>
    <x v="1"/>
    <x v="0"/>
    <n v="2"/>
    <x v="1"/>
    <s v="HIOMA"/>
    <s v="HIOMA"/>
    <s v="UG"/>
    <n v="8"/>
    <s v="Others"/>
    <s v="KAMPALA"/>
    <s v="KAMPALA"/>
    <s v="UG"/>
    <n v="2"/>
    <s v="Work"/>
    <x v="14"/>
    <n v="13000"/>
    <m/>
    <x v="0"/>
    <n v="3"/>
    <x v="0"/>
    <n v="5"/>
    <s v="Professional"/>
    <n v="3"/>
    <x v="1"/>
    <n v="4"/>
    <n v="5"/>
    <n v="1"/>
    <n v="2"/>
    <n v="3"/>
    <s v="Y"/>
    <n v="2000"/>
    <x v="1"/>
  </r>
  <r>
    <d v="2019-10-25T00:00:00"/>
    <d v="1899-12-30T08:08:00"/>
    <m/>
    <s v="P"/>
    <n v="2"/>
    <s v="Road Vehicle"/>
    <n v="6"/>
    <x v="1"/>
    <x v="0"/>
    <n v="2"/>
    <x v="1"/>
    <s v="HIOMA"/>
    <s v="HIOMA"/>
    <s v="UG"/>
    <n v="1"/>
    <s v="Home"/>
    <s v="KYANKWENZI"/>
    <s v="KIKUUBE"/>
    <s v="UG"/>
    <n v="2"/>
    <s v="Work"/>
    <x v="1"/>
    <n v="10000"/>
    <n v="135"/>
    <x v="2"/>
    <n v="2"/>
    <x v="0"/>
    <n v="4"/>
    <s v="Office Worker"/>
    <n v="4"/>
    <x v="0"/>
    <n v="2"/>
    <n v="3"/>
    <n v="5"/>
    <n v="4"/>
    <n v="1"/>
    <s v="Y"/>
    <n v="2000"/>
    <x v="1"/>
  </r>
  <r>
    <d v="2019-10-25T00:00:00"/>
    <d v="1899-12-30T08:08:00"/>
    <m/>
    <s v="P"/>
    <n v="2"/>
    <s v="Road Vehicle"/>
    <n v="6"/>
    <x v="1"/>
    <x v="0"/>
    <n v="2"/>
    <x v="1"/>
    <s v="HIOMA"/>
    <s v="HIOMA"/>
    <s v="UG"/>
    <n v="1"/>
    <s v="Home"/>
    <s v="KYANKWENZI"/>
    <s v="KIKUUBE"/>
    <s v="UG"/>
    <n v="2"/>
    <s v="Work"/>
    <x v="1"/>
    <n v="10000"/>
    <n v="135"/>
    <x v="2"/>
    <n v="2"/>
    <x v="0"/>
    <n v="6"/>
    <s v="Businessman"/>
    <n v="4"/>
    <x v="0"/>
    <n v="2"/>
    <n v="3"/>
    <n v="4"/>
    <n v="1"/>
    <n v="5"/>
    <s v="Y"/>
    <n v="1000"/>
    <x v="4"/>
  </r>
  <r>
    <d v="2019-10-25T00:00:00"/>
    <d v="1899-12-30T18:12:00"/>
    <m/>
    <s v="P"/>
    <n v="2"/>
    <s v="Road Vehicle"/>
    <n v="6"/>
    <x v="1"/>
    <x v="0"/>
    <n v="2"/>
    <x v="1"/>
    <s v="HIOMA"/>
    <s v="HIOMA"/>
    <s v="UG"/>
    <n v="2"/>
    <s v="Work"/>
    <s v="ARUA"/>
    <s v="ARUA"/>
    <s v="UG"/>
    <n v="1"/>
    <s v="Home"/>
    <x v="4"/>
    <n v="35000"/>
    <n v="400"/>
    <x v="3"/>
    <n v="8"/>
    <x v="2"/>
    <n v="6"/>
    <s v="Businessman"/>
    <n v="4"/>
    <x v="0"/>
    <n v="2"/>
    <n v="1"/>
    <n v="5"/>
    <n v="4"/>
    <n v="3"/>
    <s v="Y"/>
    <m/>
    <x v="3"/>
  </r>
  <r>
    <d v="2019-10-25T00:00:00"/>
    <d v="1899-12-30T17:23:00"/>
    <m/>
    <s v="D"/>
    <n v="2"/>
    <s v="Road Vehicle"/>
    <n v="6"/>
    <x v="1"/>
    <x v="0"/>
    <n v="2"/>
    <x v="1"/>
    <s v="HIOMA"/>
    <s v="HIOMA"/>
    <s v="UG"/>
    <n v="2"/>
    <s v="Work"/>
    <s v="ARUA"/>
    <s v="ARUA"/>
    <s v="UG"/>
    <n v="1"/>
    <s v="Home"/>
    <x v="4"/>
    <n v="750000"/>
    <n v="390"/>
    <x v="3"/>
    <n v="7"/>
    <x v="2"/>
    <n v="10"/>
    <s v="Other"/>
    <n v="4"/>
    <x v="0"/>
    <n v="4"/>
    <n v="1"/>
    <n v="2"/>
    <n v="4"/>
    <n v="5"/>
    <s v="Y"/>
    <m/>
    <x v="3"/>
  </r>
  <r>
    <d v="2019-10-25T00:00:00"/>
    <d v="1899-12-30T17:07:00"/>
    <m/>
    <s v="D"/>
    <n v="2"/>
    <s v="Road Vehicle"/>
    <n v="6"/>
    <x v="1"/>
    <x v="0"/>
    <n v="2"/>
    <x v="1"/>
    <s v="HIOMA"/>
    <s v="HIOMA"/>
    <s v="UG"/>
    <n v="2"/>
    <s v="Work"/>
    <s v="KIBUULE"/>
    <s v="KIBUULE"/>
    <s v="UG"/>
    <n v="1"/>
    <s v="Home"/>
    <x v="4"/>
    <n v="15000"/>
    <n v="75"/>
    <x v="1"/>
    <n v="1"/>
    <x v="1"/>
    <n v="4"/>
    <s v="Office Worker"/>
    <n v="3"/>
    <x v="1"/>
    <n v="2"/>
    <n v="1"/>
    <n v="3"/>
    <n v="4"/>
    <n v="5"/>
    <s v="Y"/>
    <n v="6000"/>
    <x v="2"/>
  </r>
  <r>
    <d v="2019-10-25T00:00:00"/>
    <d v="1899-12-30T15:42:00"/>
    <m/>
    <s v="P"/>
    <n v="2"/>
    <s v="Road Vehicle"/>
    <n v="6"/>
    <x v="1"/>
    <x v="0"/>
    <n v="2"/>
    <x v="1"/>
    <s v="HIOMA"/>
    <s v="HIOMA"/>
    <s v="UG"/>
    <n v="2"/>
    <s v="Work"/>
    <s v="KAMPALA"/>
    <s v="KAMPALA"/>
    <s v="UG"/>
    <n v="1"/>
    <s v="Home"/>
    <x v="4"/>
    <n v="130000"/>
    <n v="200"/>
    <x v="3"/>
    <n v="4"/>
    <x v="2"/>
    <n v="4"/>
    <s v="Office Worker"/>
    <n v="3"/>
    <x v="1"/>
    <n v="2"/>
    <n v="1"/>
    <m/>
    <n v="5"/>
    <n v="4"/>
    <s v="Y"/>
    <n v="3000"/>
    <x v="0"/>
  </r>
  <r>
    <d v="2019-10-25T00:00:00"/>
    <d v="1899-12-30T13:00:00"/>
    <m/>
    <s v="D"/>
    <n v="2"/>
    <s v="Road Vehicle"/>
    <n v="6"/>
    <x v="1"/>
    <x v="0"/>
    <n v="2"/>
    <x v="1"/>
    <s v="HIOMA"/>
    <s v="HIOMA"/>
    <s v="UG"/>
    <n v="2"/>
    <s v="Work"/>
    <s v="KAMPALA"/>
    <s v="KAMPALA"/>
    <s v="UG"/>
    <n v="1"/>
    <s v="Home"/>
    <x v="4"/>
    <n v="150000"/>
    <n v="230"/>
    <x v="3"/>
    <n v="5"/>
    <x v="2"/>
    <n v="8"/>
    <s v="Student"/>
    <n v="1"/>
    <x v="2"/>
    <n v="1"/>
    <n v="2"/>
    <n v="3"/>
    <n v="4"/>
    <n v="5"/>
    <s v="Y"/>
    <n v="500"/>
    <x v="3"/>
  </r>
  <r>
    <d v="2019-10-25T00:00:00"/>
    <d v="1899-12-30T12:34:00"/>
    <m/>
    <s v="P"/>
    <n v="2"/>
    <s v="Road Vehicle"/>
    <n v="6"/>
    <x v="1"/>
    <x v="0"/>
    <n v="2"/>
    <x v="1"/>
    <s v="HIOMA"/>
    <s v="HIOMA"/>
    <s v="UG"/>
    <n v="6"/>
    <s v="Leisure/Social"/>
    <s v="KAMPALA"/>
    <s v="KAMPALA"/>
    <s v="UG"/>
    <n v="1"/>
    <s v="Home"/>
    <x v="10"/>
    <n v="120000"/>
    <n v="195"/>
    <x v="2"/>
    <n v="4"/>
    <x v="2"/>
    <n v="8"/>
    <s v="Student"/>
    <n v="1"/>
    <x v="2"/>
    <n v="2"/>
    <n v="1"/>
    <n v="5"/>
    <n v="4"/>
    <n v="3"/>
    <s v="Y"/>
    <n v="1000"/>
    <x v="4"/>
  </r>
  <r>
    <d v="2019-10-25T00:00:00"/>
    <d v="1899-12-30T12:22:00"/>
    <m/>
    <s v="P"/>
    <n v="2"/>
    <s v="Road Vehicle"/>
    <n v="6"/>
    <x v="1"/>
    <x v="0"/>
    <n v="2"/>
    <x v="1"/>
    <s v="HIOMA"/>
    <s v="HIOMA"/>
    <s v="UG"/>
    <n v="1"/>
    <s v="Home"/>
    <s v="KIZIRAFUMBI"/>
    <s v="HIOMA"/>
    <s v="UG"/>
    <n v="2"/>
    <s v="Work"/>
    <x v="1"/>
    <n v="5000"/>
    <n v="70"/>
    <x v="1"/>
    <n v="1"/>
    <x v="1"/>
    <n v="4"/>
    <s v="Office Worker"/>
    <n v="4"/>
    <x v="0"/>
    <n v="2"/>
    <n v="33"/>
    <n v="1"/>
    <n v="4"/>
    <n v="5"/>
    <s v="Y"/>
    <n v="5000"/>
    <x v="2"/>
  </r>
  <r>
    <d v="2019-10-25T00:00:00"/>
    <d v="1899-12-30T12:05:00"/>
    <m/>
    <s v="P"/>
    <n v="2"/>
    <s v="Road Vehicle"/>
    <n v="6"/>
    <x v="1"/>
    <x v="0"/>
    <n v="2"/>
    <x v="1"/>
    <s v="HIOMA"/>
    <s v="HIOMA"/>
    <s v="UG"/>
    <n v="4"/>
    <s v="Commercial"/>
    <s v="BULIISA"/>
    <s v="BULIISA"/>
    <s v="UG"/>
    <n v="1"/>
    <s v="Home"/>
    <x v="3"/>
    <n v="15000"/>
    <n v="120"/>
    <x v="2"/>
    <n v="2"/>
    <x v="0"/>
    <n v="6"/>
    <s v="Businessman"/>
    <n v="4"/>
    <x v="0"/>
    <n v="5"/>
    <n v="21"/>
    <n v="2"/>
    <n v="3"/>
    <n v="4"/>
    <s v="Y"/>
    <n v="1000"/>
    <x v="4"/>
  </r>
  <r>
    <d v="2019-10-25T00:00:00"/>
    <d v="1899-12-30T19:04:00"/>
    <m/>
    <s v="P"/>
    <n v="2"/>
    <s v="Road Vehicle"/>
    <n v="6"/>
    <x v="1"/>
    <x v="0"/>
    <n v="2"/>
    <x v="1"/>
    <s v="HIOMA"/>
    <s v="HIOMA"/>
    <s v="UG"/>
    <n v="1"/>
    <s v="Home"/>
    <s v="KAISO"/>
    <s v="KIBUULE"/>
    <s v="UG"/>
    <n v="2"/>
    <s v="Work"/>
    <x v="1"/>
    <n v="150000"/>
    <n v="150"/>
    <x v="2"/>
    <n v="2"/>
    <x v="0"/>
    <n v="2"/>
    <s v="Manual Labour"/>
    <n v="1"/>
    <x v="2"/>
    <n v="5"/>
    <n v="4"/>
    <n v="1"/>
    <n v="2"/>
    <n v="3"/>
    <s v="Y"/>
    <n v="2000"/>
    <x v="1"/>
  </r>
  <r>
    <d v="2019-10-25T00:00:00"/>
    <d v="1899-12-30T11:35:00"/>
    <m/>
    <s v="D"/>
    <n v="2"/>
    <s v="Road Vehicle"/>
    <n v="6"/>
    <x v="1"/>
    <x v="0"/>
    <n v="2"/>
    <x v="1"/>
    <s v="HIOMA"/>
    <s v="HIOMA"/>
    <s v="UG"/>
    <n v="2"/>
    <s v="Work"/>
    <s v="KAMPALA"/>
    <s v="KAMPALA"/>
    <s v="UG"/>
    <n v="1"/>
    <s v="Home"/>
    <x v="4"/>
    <n v="650000"/>
    <n v="190"/>
    <x v="2"/>
    <n v="4"/>
    <x v="2"/>
    <n v="10"/>
    <s v="Other"/>
    <n v="4"/>
    <x v="0"/>
    <n v="3"/>
    <n v="1"/>
    <n v="2"/>
    <n v="5"/>
    <n v="4"/>
    <s v="Y"/>
    <n v="3000"/>
    <x v="0"/>
  </r>
  <r>
    <d v="2019-10-24T00:00:00"/>
    <d v="1899-12-30T17:16:00"/>
    <m/>
    <s v="P"/>
    <n v="2"/>
    <s v="Road Vehicle"/>
    <n v="4"/>
    <x v="3"/>
    <x v="1"/>
    <n v="2"/>
    <x v="1"/>
    <s v="HIOMA"/>
    <s v="HIOMA"/>
    <s v="UG"/>
    <n v="2"/>
    <s v="Work"/>
    <s v="KYENJOJO"/>
    <s v="HIOMA"/>
    <s v="UG"/>
    <n v="6"/>
    <s v="Leisure/Social"/>
    <x v="5"/>
    <n v="6000"/>
    <n v="30"/>
    <x v="4"/>
    <n v="35"/>
    <x v="2"/>
    <n v="1"/>
    <s v="Unemployed"/>
    <n v="1"/>
    <x v="2"/>
    <n v="1"/>
    <n v="3"/>
    <n v="2"/>
    <n v="5"/>
    <n v="4"/>
    <s v="Y"/>
    <n v="500"/>
    <x v="3"/>
  </r>
  <r>
    <d v="2019-10-24T00:00:00"/>
    <d v="1899-12-30T17:08:00"/>
    <m/>
    <s v="P"/>
    <n v="2"/>
    <s v="Road Vehicle"/>
    <n v="4"/>
    <x v="3"/>
    <x v="1"/>
    <n v="2"/>
    <x v="1"/>
    <s v="HIOMA"/>
    <s v="HIOMA"/>
    <s v="UG"/>
    <n v="2"/>
    <s v="Work"/>
    <s v="KAMPALA"/>
    <s v="KAMPALA"/>
    <s v="UG"/>
    <n v="4"/>
    <s v="Commercial"/>
    <x v="17"/>
    <n v="15000"/>
    <n v="185"/>
    <x v="2"/>
    <n v="4"/>
    <x v="2"/>
    <n v="5"/>
    <s v="Professional"/>
    <n v="3"/>
    <x v="1"/>
    <n v="2"/>
    <n v="1"/>
    <n v="5"/>
    <n v="4"/>
    <n v="3"/>
    <s v="Y"/>
    <n v="2000"/>
    <x v="1"/>
  </r>
  <r>
    <d v="2019-10-24T00:00:00"/>
    <d v="1899-12-30T15:32:00"/>
    <m/>
    <s v="P"/>
    <n v="2"/>
    <s v="Road Vehicle"/>
    <n v="4"/>
    <x v="3"/>
    <x v="1"/>
    <n v="2"/>
    <x v="1"/>
    <s v="HIOMA"/>
    <s v="HIOMA"/>
    <s v="UG"/>
    <n v="2"/>
    <s v="Work"/>
    <s v="KAMPALA"/>
    <s v="KAMPALA"/>
    <s v="UG"/>
    <n v="8"/>
    <s v="Others"/>
    <x v="19"/>
    <n v="15000"/>
    <m/>
    <x v="0"/>
    <n v="4"/>
    <x v="2"/>
    <n v="6"/>
    <s v="Businessman"/>
    <n v="4"/>
    <x v="0"/>
    <n v="2"/>
    <n v="3"/>
    <n v="5"/>
    <n v="4"/>
    <n v="1"/>
    <s v="Y"/>
    <m/>
    <x v="3"/>
  </r>
  <r>
    <d v="2019-10-24T00:00:00"/>
    <s v=" 15:44"/>
    <m/>
    <s v="P"/>
    <n v="2"/>
    <s v="Road Vehicle"/>
    <n v="4"/>
    <x v="3"/>
    <x v="1"/>
    <n v="2"/>
    <x v="1"/>
    <s v="HIOMA"/>
    <s v="HIOMA"/>
    <s v="UG"/>
    <n v="4"/>
    <s v="Commercial"/>
    <s v="KAKIRI"/>
    <s v="WAKISO"/>
    <s v="UG"/>
    <n v="4"/>
    <s v="Commercial"/>
    <x v="18"/>
    <n v="13000"/>
    <m/>
    <x v="0"/>
    <n v="3"/>
    <x v="0"/>
    <n v="6"/>
    <s v="Businessman"/>
    <n v="5"/>
    <x v="4"/>
    <n v="2"/>
    <n v="3"/>
    <n v="1"/>
    <n v="4"/>
    <n v="5"/>
    <s v="Y"/>
    <n v="3000"/>
    <x v="0"/>
  </r>
  <r>
    <d v="2019-10-24T00:00:00"/>
    <d v="1899-12-30T17:57:00"/>
    <m/>
    <s v="P"/>
    <n v="2"/>
    <s v="Road Vehicle"/>
    <n v="4"/>
    <x v="3"/>
    <x v="1"/>
    <n v="2"/>
    <x v="1"/>
    <s v="HIOMA"/>
    <s v="HIOMA"/>
    <s v="UG"/>
    <n v="8"/>
    <s v="Others"/>
    <s v="HIOMA"/>
    <s v="HIOMA"/>
    <s v="UG"/>
    <n v="1"/>
    <s v="Home"/>
    <x v="12"/>
    <n v="5000"/>
    <m/>
    <x v="0"/>
    <n v="1"/>
    <x v="1"/>
    <n v="4"/>
    <s v="Office Worker"/>
    <n v="3"/>
    <x v="1"/>
    <n v="4"/>
    <n v="5"/>
    <n v="3"/>
    <n v="1"/>
    <n v="2"/>
    <s v="Y"/>
    <n v="4000"/>
    <x v="0"/>
  </r>
  <r>
    <d v="2019-10-24T00:00:00"/>
    <d v="1899-12-30T19:02:00"/>
    <m/>
    <s v="P"/>
    <n v="2"/>
    <s v="Road Vehicle"/>
    <n v="4"/>
    <x v="3"/>
    <x v="0"/>
    <n v="2"/>
    <x v="1"/>
    <s v="HIOMA"/>
    <s v="HIOMA"/>
    <s v="UG"/>
    <n v="4"/>
    <s v="Commercial"/>
    <s v="KAMPALA"/>
    <s v="KAMPALA"/>
    <s v="UG"/>
    <n v="1"/>
    <s v="Home"/>
    <x v="3"/>
    <n v="150000"/>
    <n v="200"/>
    <x v="3"/>
    <n v="3"/>
    <x v="0"/>
    <n v="4"/>
    <s v="Office Worker"/>
    <n v="3"/>
    <x v="1"/>
    <n v="2"/>
    <n v="1"/>
    <n v="3"/>
    <n v="5"/>
    <n v="4"/>
    <s v="Y"/>
    <n v="2000"/>
    <x v="1"/>
  </r>
  <r>
    <d v="2019-10-24T00:00:00"/>
    <d v="1899-12-30T18:50:00"/>
    <m/>
    <s v="D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60000"/>
    <n v="200"/>
    <x v="3"/>
    <n v="3"/>
    <x v="0"/>
    <n v="10"/>
    <s v="Other"/>
    <n v="3"/>
    <x v="1"/>
    <n v="2"/>
    <n v="5"/>
    <n v="4"/>
    <n v="3"/>
    <n v="1"/>
    <s v="Y"/>
    <m/>
    <x v="3"/>
  </r>
  <r>
    <d v="2019-10-24T00:00:00"/>
    <d v="1899-12-30T18:18:00"/>
    <m/>
    <s v="D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80000"/>
    <n v="196"/>
    <x v="2"/>
    <n v="3"/>
    <x v="0"/>
    <n v="10"/>
    <s v="Other"/>
    <n v="4"/>
    <x v="0"/>
    <n v="5"/>
    <n v="4"/>
    <n v="3"/>
    <n v="2"/>
    <n v="1"/>
    <s v="Y"/>
    <n v="1000"/>
    <x v="4"/>
  </r>
  <r>
    <d v="2019-10-24T00:00:00"/>
    <d v="1899-12-30T17:42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1"/>
    <s v="Home"/>
    <x v="4"/>
    <n v="160000"/>
    <n v="190"/>
    <x v="2"/>
    <n v="3"/>
    <x v="0"/>
    <n v="10"/>
    <s v="Other"/>
    <n v="3"/>
    <x v="1"/>
    <n v="3"/>
    <n v="5"/>
    <n v="4"/>
    <n v="1"/>
    <n v="2"/>
    <s v="Y"/>
    <m/>
    <x v="3"/>
  </r>
  <r>
    <d v="2019-10-24T00:00:00"/>
    <d v="1899-12-30T17:32:00"/>
    <m/>
    <s v="P"/>
    <n v="2"/>
    <s v="Road Vehicle"/>
    <n v="4"/>
    <x v="3"/>
    <x v="0"/>
    <n v="2"/>
    <x v="1"/>
    <s v="HIOMA"/>
    <s v="HIOMA"/>
    <s v="UG"/>
    <n v="3"/>
    <s v="Study"/>
    <s v="KAMPALA"/>
    <s v="KAMPALA"/>
    <s v="UG"/>
    <n v="2"/>
    <s v="Work"/>
    <x v="22"/>
    <n v="150000"/>
    <n v="200"/>
    <x v="3"/>
    <n v="3"/>
    <x v="0"/>
    <n v="4"/>
    <s v="Office Worker"/>
    <n v="3"/>
    <x v="1"/>
    <n v="2"/>
    <n v="1"/>
    <n v="5"/>
    <n v="3"/>
    <n v="4"/>
    <s v="Y"/>
    <n v="5000"/>
    <x v="2"/>
  </r>
  <r>
    <d v="2019-10-24T00:00:00"/>
    <d v="1899-12-30T16:55:00"/>
    <m/>
    <s v="P"/>
    <n v="2"/>
    <s v="Road Vehicle"/>
    <n v="4"/>
    <x v="3"/>
    <x v="0"/>
    <n v="2"/>
    <x v="1"/>
    <s v="HIOMA"/>
    <s v="HIOMA"/>
    <s v="UG"/>
    <n v="2"/>
    <s v="Work"/>
    <s v="KAMPALA"/>
    <s v="KAMPALA"/>
    <s v="UG"/>
    <n v="7"/>
    <s v="Hospital"/>
    <x v="23"/>
    <n v="200000"/>
    <n v="190"/>
    <x v="2"/>
    <n v="3"/>
    <x v="0"/>
    <n v="7"/>
    <s v="Farmer"/>
    <n v="2"/>
    <x v="3"/>
    <n v="5"/>
    <n v="4"/>
    <n v="2"/>
    <n v="3"/>
    <n v="1"/>
    <s v="Y"/>
    <n v="1000"/>
    <x v="4"/>
  </r>
  <r>
    <d v="2019-10-24T00:00:00"/>
    <d v="1899-12-30T16:37:00"/>
    <m/>
    <s v="D"/>
    <n v="2"/>
    <s v="Road Vehicle"/>
    <n v="4"/>
    <x v="3"/>
    <x v="0"/>
    <n v="2"/>
    <x v="1"/>
    <s v="HIOMA"/>
    <s v="HIOMA"/>
    <s v="UG"/>
    <n v="1"/>
    <s v="Home"/>
    <s v="KAISO"/>
    <s v="KAISO"/>
    <s v="UG"/>
    <n v="2"/>
    <s v="Work"/>
    <x v="1"/>
    <n v="300000"/>
    <n v="120"/>
    <x v="2"/>
    <n v="2"/>
    <x v="0"/>
    <n v="10"/>
    <s v="Other"/>
    <n v="4"/>
    <x v="0"/>
    <n v="2"/>
    <n v="1"/>
    <n v="3"/>
    <n v="5"/>
    <n v="4"/>
    <s v="Y"/>
    <n v="3000"/>
    <x v="0"/>
  </r>
  <r>
    <d v="2019-10-24T00:00:00"/>
    <d v="1899-12-30T13:22:00"/>
    <m/>
    <s v="P"/>
    <n v="2"/>
    <s v="Road Vehicle"/>
    <n v="4"/>
    <x v="3"/>
    <x v="0"/>
    <n v="2"/>
    <x v="1"/>
    <s v="HIOMA"/>
    <s v="HIOMA"/>
    <s v="UG"/>
    <n v="4"/>
    <s v="Commercial"/>
    <s v="KAMPALA"/>
    <s v="KAMPALA"/>
    <s v="UG"/>
    <n v="2"/>
    <s v="Work"/>
    <x v="24"/>
    <n v="15000"/>
    <n v="210"/>
    <x v="3"/>
    <n v="4"/>
    <x v="2"/>
    <n v="4"/>
    <s v="Office Worker"/>
    <n v="4"/>
    <x v="0"/>
    <n v="2"/>
    <n v="1"/>
    <n v="3"/>
    <n v="4"/>
    <n v="5"/>
    <s v="Y"/>
    <m/>
    <x v="3"/>
  </r>
  <r>
    <d v="2019-10-24T00:00:00"/>
    <d v="1899-12-30T12:23:00"/>
    <m/>
    <s v="D"/>
    <n v="2"/>
    <s v="Road Vehicle"/>
    <n v="4"/>
    <x v="3"/>
    <x v="0"/>
    <n v="2"/>
    <x v="1"/>
    <s v="HIOMA"/>
    <s v="HIOMA"/>
    <s v="UG"/>
    <n v="1"/>
    <s v="Home"/>
    <s v="KAMPALA"/>
    <s v="KAMPALA"/>
    <s v="UG"/>
    <n v="1"/>
    <s v="Home"/>
    <x v="16"/>
    <n v="180000"/>
    <n v="200"/>
    <x v="3"/>
    <n v="3"/>
    <x v="0"/>
    <n v="10"/>
    <s v="Other"/>
    <n v="4"/>
    <x v="0"/>
    <n v="5"/>
    <n v="3"/>
    <n v="4"/>
    <n v="1"/>
    <n v="2"/>
    <s v="Y"/>
    <n v="3000"/>
    <x v="0"/>
  </r>
  <r>
    <d v="2019-10-24T00:00:00"/>
    <d v="1899-12-30T16:19:00"/>
    <m/>
    <s v="P"/>
    <n v="2"/>
    <s v="Road Vehicle"/>
    <n v="4"/>
    <x v="3"/>
    <x v="0"/>
    <n v="2"/>
    <x v="1"/>
    <s v="HIOMA"/>
    <s v="HIOMA"/>
    <s v="UG"/>
    <n v="2"/>
    <s v="Work"/>
    <s v="MASINDI"/>
    <s v="MASINDI"/>
    <s v="UG"/>
    <n v="8"/>
    <s v="Others"/>
    <x v="19"/>
    <n v="70000"/>
    <n v="190"/>
    <x v="2"/>
    <n v="2"/>
    <x v="0"/>
    <n v="4"/>
    <s v="Office Worker"/>
    <n v="2"/>
    <x v="3"/>
    <n v="3"/>
    <n v="5"/>
    <n v="1"/>
    <n v="2"/>
    <n v="4"/>
    <s v="Y"/>
    <m/>
    <x v="3"/>
  </r>
  <r>
    <d v="2019-10-24T00:00:00"/>
    <d v="1899-12-30T16:30:00"/>
    <m/>
    <s v="P"/>
    <n v="2"/>
    <s v="Road Vehicle"/>
    <n v="4"/>
    <x v="3"/>
    <x v="0"/>
    <n v="2"/>
    <x v="1"/>
    <s v="HIOMA"/>
    <s v="HIOMA"/>
    <s v="UG"/>
    <n v="1"/>
    <s v="Home"/>
    <s v="HIOMA"/>
    <s v="HIOMA"/>
    <s v="UG"/>
    <n v="2"/>
    <s v="Work"/>
    <x v="1"/>
    <n v="15000"/>
    <n v="196"/>
    <x v="2"/>
    <n v="3"/>
    <x v="0"/>
    <n v="5"/>
    <s v="Professional"/>
    <n v="3"/>
    <x v="1"/>
    <n v="2"/>
    <n v="2"/>
    <n v="1"/>
    <n v="1"/>
    <n v="5"/>
    <s v="Y"/>
    <n v="10000"/>
    <x v="5"/>
  </r>
  <r>
    <d v="2019-10-24T00:00:00"/>
    <d v="1899-12-30T16:15:00"/>
    <m/>
    <s v="P"/>
    <n v="2"/>
    <s v="Road Vehicle"/>
    <n v="4"/>
    <x v="3"/>
    <x v="0"/>
    <n v="2"/>
    <x v="1"/>
    <s v="HIOMA"/>
    <s v="HIOMA"/>
    <s v="UG"/>
    <n v="4"/>
    <s v="Commercial"/>
    <s v="BULIISA"/>
    <s v="BULIISA"/>
    <s v="UG"/>
    <n v="1"/>
    <s v="Home"/>
    <x v="3"/>
    <n v="15000"/>
    <n v="100"/>
    <x v="2"/>
    <n v="3"/>
    <x v="0"/>
    <n v="6"/>
    <s v="Businessman"/>
    <n v="4"/>
    <x v="0"/>
    <n v="3"/>
    <n v="1"/>
    <n v="2"/>
    <n v="4"/>
    <n v="5"/>
    <s v="Y"/>
    <n v="5000"/>
    <x v="2"/>
  </r>
  <r>
    <d v="2019-10-24T00:00:00"/>
    <d v="1899-12-30T15:15:00"/>
    <m/>
    <s v="P"/>
    <n v="2"/>
    <s v="Road Vehicle"/>
    <n v="4"/>
    <x v="3"/>
    <x v="0"/>
    <n v="2"/>
    <x v="1"/>
    <s v="NANSANA"/>
    <s v="WAKISO"/>
    <s v="UG"/>
    <n v="1"/>
    <s v="Home"/>
    <s v="HIOMA"/>
    <s v="HIOMA"/>
    <s v="UG"/>
    <n v="2"/>
    <s v="Work"/>
    <x v="1"/>
    <n v="13000"/>
    <m/>
    <x v="0"/>
    <n v="4"/>
    <x v="2"/>
    <n v="4"/>
    <s v="Office Worker"/>
    <n v="2"/>
    <x v="3"/>
    <n v="3"/>
    <n v="5"/>
    <n v="1"/>
    <n v="2"/>
    <n v="4"/>
    <s v="Y"/>
    <m/>
    <x v="3"/>
  </r>
  <r>
    <d v="2019-10-24T00:00:00"/>
    <d v="1899-12-30T17:07:00"/>
    <m/>
    <s v="P"/>
    <n v="2"/>
    <s v="Road Vehicle"/>
    <n v="4"/>
    <x v="3"/>
    <x v="0"/>
    <n v="2"/>
    <x v="1"/>
    <s v="MASINDI"/>
    <s v="MASINDI"/>
    <s v="UG"/>
    <n v="4"/>
    <s v="Commercial"/>
    <s v="HIOMA"/>
    <s v="HIOMA"/>
    <s v="UG"/>
    <n v="4"/>
    <s v="Commercial"/>
    <x v="18"/>
    <n v="50000"/>
    <m/>
    <x v="0"/>
    <n v="2"/>
    <x v="0"/>
    <n v="10"/>
    <s v="Other"/>
    <n v="4"/>
    <x v="0"/>
    <n v="4"/>
    <n v="4"/>
    <n v="3"/>
    <n v="1"/>
    <n v="2"/>
    <s v="Y"/>
    <n v="2000"/>
    <x v="1"/>
  </r>
  <r>
    <d v="2019-10-24T00:00:00"/>
    <d v="1899-12-30T17:15:00"/>
    <m/>
    <s v="P"/>
    <n v="2"/>
    <s v="Road Vehicle"/>
    <n v="4"/>
    <x v="3"/>
    <x v="0"/>
    <n v="2"/>
    <x v="1"/>
    <s v="KAMPALA"/>
    <s v="KAMPALA"/>
    <s v="UG"/>
    <n v="4"/>
    <s v="Commercial"/>
    <s v="HIOMA"/>
    <s v="HIOMA"/>
    <s v="UG"/>
    <n v="4"/>
    <s v="Commercial"/>
    <x v="18"/>
    <n v="200000"/>
    <m/>
    <x v="0"/>
    <n v="3"/>
    <x v="0"/>
    <n v="10"/>
    <s v="Other"/>
    <n v="5"/>
    <x v="4"/>
    <n v="1"/>
    <n v="1"/>
    <n v="3"/>
    <n v="4"/>
    <n v="5"/>
    <s v="Y"/>
    <m/>
    <x v="3"/>
  </r>
  <r>
    <d v="2019-10-24T00:00:00"/>
    <d v="1899-12-30T17:21:00"/>
    <m/>
    <s v="D"/>
    <n v="2"/>
    <s v="Road Vehicle"/>
    <n v="4"/>
    <x v="3"/>
    <x v="0"/>
    <n v="2"/>
    <x v="1"/>
    <s v="KAMPALA"/>
    <s v="KAMPALA"/>
    <s v="UG"/>
    <n v="4"/>
    <s v="Commercial"/>
    <s v="BULIISA"/>
    <s v="BULIISA"/>
    <s v="UG"/>
    <n v="1"/>
    <s v="Home"/>
    <x v="3"/>
    <n v="350000"/>
    <m/>
    <x v="0"/>
    <n v="6"/>
    <x v="2"/>
    <n v="6"/>
    <s v="Businessman"/>
    <n v="5"/>
    <x v="4"/>
    <n v="5"/>
    <n v="1"/>
    <n v="2"/>
    <n v="3"/>
    <n v="4"/>
    <s v="Y"/>
    <n v="3000"/>
    <x v="0"/>
  </r>
  <r>
    <d v="2019-10-24T00:00:00"/>
    <d v="1899-12-30T17:34:00"/>
    <m/>
    <s v="P"/>
    <n v="2"/>
    <s v="Road Vehicle"/>
    <n v="4"/>
    <x v="3"/>
    <x v="0"/>
    <n v="2"/>
    <x v="1"/>
    <s v="MITYANA"/>
    <s v="MITYANA"/>
    <s v="UG"/>
    <n v="1"/>
    <s v="Home"/>
    <s v="HIOMA"/>
    <s v="HIOMA"/>
    <s v="UG"/>
    <n v="4"/>
    <s v="Commercial"/>
    <x v="0"/>
    <n v="18000"/>
    <m/>
    <x v="0"/>
    <n v="3"/>
    <x v="0"/>
    <n v="6"/>
    <s v="Businessman"/>
    <n v="4"/>
    <x v="0"/>
    <n v="1"/>
    <n v="1"/>
    <n v="2"/>
    <n v="5"/>
    <n v="4"/>
    <s v="Y"/>
    <n v="10000"/>
    <x v="5"/>
  </r>
  <r>
    <d v="2019-10-24T00:00:00"/>
    <d v="1899-12-30T17:41:00"/>
    <m/>
    <s v="D"/>
    <n v="2"/>
    <s v="Road Vehicle"/>
    <n v="4"/>
    <x v="3"/>
    <x v="0"/>
    <n v="2"/>
    <x v="1"/>
    <s v="MASAKA"/>
    <s v="MASAKA"/>
    <s v="UG"/>
    <n v="2"/>
    <s v="Work"/>
    <s v="HIOMA"/>
    <s v="HIOMA"/>
    <s v="UG"/>
    <n v="2"/>
    <s v="Work"/>
    <x v="2"/>
    <n v="120000"/>
    <m/>
    <x v="0"/>
    <n v="4"/>
    <x v="2"/>
    <n v="10"/>
    <s v="Other"/>
    <n v="3"/>
    <x v="1"/>
    <n v="3"/>
    <n v="4"/>
    <n v="5"/>
    <n v="1"/>
    <n v="2"/>
    <s v="Y"/>
    <n v="3000"/>
    <x v="0"/>
  </r>
  <r>
    <d v="2019-10-24T00:00:00"/>
    <d v="1899-12-30T17:52:00"/>
    <m/>
    <s v="D"/>
    <n v="2"/>
    <s v="Road Vehicle"/>
    <n v="4"/>
    <x v="3"/>
    <x v="0"/>
    <n v="2"/>
    <x v="1"/>
    <s v="HIOMA"/>
    <s v="HIOMA"/>
    <s v="UG"/>
    <n v="4"/>
    <s v="Commercial"/>
    <s v="KAMPALA"/>
    <s v="KAMPALA"/>
    <s v="UG"/>
    <n v="4"/>
    <s v="Commercial"/>
    <x v="18"/>
    <n v="310000"/>
    <m/>
    <x v="0"/>
    <n v="4"/>
    <x v="2"/>
    <n v="10"/>
    <s v="Other"/>
    <n v="4"/>
    <x v="0"/>
    <n v="5"/>
    <n v="2"/>
    <n v="1"/>
    <n v="3"/>
    <n v="4"/>
    <s v="Y"/>
    <m/>
    <x v="3"/>
  </r>
  <r>
    <d v="2019-10-24T00:00:00"/>
    <d v="1899-12-30T08:23:00"/>
    <m/>
    <s v="D"/>
    <n v="2"/>
    <s v="Road Vehicle"/>
    <n v="4"/>
    <x v="3"/>
    <x v="0"/>
    <n v="2"/>
    <x v="1"/>
    <s v="HIOMA"/>
    <s v="HIOMA"/>
    <s v="UG"/>
    <n v="1"/>
    <s v="Home"/>
    <s v="MASINDI"/>
    <s v="MASINDI"/>
    <s v="UG"/>
    <n v="3"/>
    <s v="Study"/>
    <x v="25"/>
    <n v="100000"/>
    <n v="45"/>
    <x v="5"/>
    <n v="2"/>
    <x v="0"/>
    <n v="6"/>
    <s v="Businessman"/>
    <n v="4"/>
    <x v="0"/>
    <n v="5"/>
    <n v="2"/>
    <n v="3"/>
    <n v="1"/>
    <n v="4"/>
    <s v="Y"/>
    <m/>
    <x v="3"/>
  </r>
  <r>
    <d v="2019-10-24T00:00:00"/>
    <d v="1899-12-30T08:41:00"/>
    <m/>
    <s v="P"/>
    <n v="2"/>
    <s v="Road Vehicle"/>
    <n v="4"/>
    <x v="3"/>
    <x v="0"/>
    <n v="2"/>
    <x v="1"/>
    <s v="HIOMA"/>
    <s v="HIOMA"/>
    <s v="UG"/>
    <n v="1"/>
    <s v="Home"/>
    <s v="MUTANZIJO"/>
    <s v="KAKUMIRO"/>
    <s v="UG"/>
    <n v="4"/>
    <s v="Commercial"/>
    <x v="0"/>
    <n v="10000"/>
    <m/>
    <x v="0"/>
    <n v="3"/>
    <x v="0"/>
    <n v="7"/>
    <s v="Farmer"/>
    <n v="2"/>
    <x v="3"/>
    <n v="2"/>
    <n v="1"/>
    <n v="3"/>
    <n v="5"/>
    <n v="4"/>
    <s v="Y"/>
    <n v="1000"/>
    <x v="4"/>
  </r>
  <r>
    <d v="2019-10-24T00:00:00"/>
    <d v="1899-12-30T09:21:00"/>
    <m/>
    <s v="D"/>
    <n v="2"/>
    <s v="Road Vehicle"/>
    <n v="4"/>
    <x v="3"/>
    <x v="0"/>
    <n v="2"/>
    <x v="1"/>
    <s v="HIOMA"/>
    <s v="HIOMA"/>
    <s v="UG"/>
    <n v="1"/>
    <s v="Home"/>
    <s v="BULIISA"/>
    <s v="WAKISO"/>
    <s v="UG"/>
    <n v="2"/>
    <s v="Work"/>
    <x v="1"/>
    <n v="10000"/>
    <n v="90"/>
    <x v="1"/>
    <n v="2"/>
    <x v="0"/>
    <n v="5"/>
    <s v="Professional"/>
    <n v="2"/>
    <x v="3"/>
    <n v="2"/>
    <n v="3"/>
    <n v="1"/>
    <n v="4"/>
    <n v="2"/>
    <s v="Y"/>
    <n v="5000"/>
    <x v="2"/>
  </r>
  <r>
    <d v="2019-10-25T00:00:00"/>
    <d v="1899-12-30T08:20:00"/>
    <m/>
    <s v="D"/>
    <n v="2"/>
    <s v="Road Vehicle"/>
    <n v="4"/>
    <x v="3"/>
    <x v="0"/>
    <n v="2"/>
    <x v="1"/>
    <s v="HIOMA"/>
    <s v="HIOMA"/>
    <s v="UG"/>
    <n v="2"/>
    <s v="Work"/>
    <s v="MASINDI"/>
    <s v="MASINDI"/>
    <s v="UG"/>
    <n v="2"/>
    <s v="Work"/>
    <x v="2"/>
    <n v="100000"/>
    <n v="45"/>
    <x v="5"/>
    <n v="2"/>
    <x v="0"/>
    <n v="2"/>
    <s v="Manual Labour"/>
    <n v="4"/>
    <x v="0"/>
    <n v="2"/>
    <n v="3"/>
    <n v="5"/>
    <n v="1"/>
    <n v="4"/>
    <s v="Y"/>
    <n v="5000"/>
    <x v="2"/>
  </r>
  <r>
    <d v="2019-10-25T00:00:00"/>
    <d v="1899-12-30T08:23:00"/>
    <m/>
    <s v="D"/>
    <n v="2"/>
    <s v="Road Vehicle"/>
    <n v="4"/>
    <x v="3"/>
    <x v="0"/>
    <n v="2"/>
    <x v="1"/>
    <s v="HIOMA"/>
    <s v="HIOMA"/>
    <s v="UG"/>
    <n v="1"/>
    <s v="Home"/>
    <s v="MASINDI"/>
    <s v="MASINDI"/>
    <s v="UG"/>
    <n v="2"/>
    <s v="Work"/>
    <x v="1"/>
    <n v="100000"/>
    <n v="45"/>
    <x v="5"/>
    <n v="2"/>
    <x v="0"/>
    <n v="5"/>
    <s v="Professional"/>
    <n v="4"/>
    <x v="0"/>
    <n v="2"/>
    <n v="3"/>
    <n v="4"/>
    <n v="5"/>
    <n v="1"/>
    <s v="Y"/>
    <m/>
    <x v="3"/>
  </r>
  <r>
    <d v="2019-10-25T00:00:00"/>
    <d v="1899-12-30T08:41:00"/>
    <m/>
    <s v="P"/>
    <n v="2"/>
    <s v="Road Vehicle"/>
    <n v="4"/>
    <x v="3"/>
    <x v="0"/>
    <n v="2"/>
    <x v="1"/>
    <s v="MUNTANZIGE"/>
    <s v="KAKUMIRO"/>
    <s v="UG"/>
    <n v="1"/>
    <s v="Home"/>
    <s v="HIOMA"/>
    <s v="HIOMA"/>
    <s v="UG"/>
    <n v="1"/>
    <s v="Home"/>
    <x v="16"/>
    <n v="10000"/>
    <m/>
    <x v="0"/>
    <n v="4"/>
    <x v="2"/>
    <n v="6"/>
    <s v="Businessman"/>
    <n v="2"/>
    <x v="3"/>
    <n v="3"/>
    <n v="2"/>
    <n v="5"/>
    <n v="4"/>
    <n v="1"/>
    <s v="Y"/>
    <m/>
    <x v="3"/>
  </r>
  <r>
    <d v="2019-10-25T00:00:00"/>
    <d v="1899-12-30T08:32:00"/>
    <m/>
    <s v="D"/>
    <n v="2"/>
    <s v="Road Vehicle"/>
    <n v="4"/>
    <x v="3"/>
    <x v="0"/>
    <n v="2"/>
    <x v="1"/>
    <s v="KISITIA"/>
    <s v="KAKUMIRO"/>
    <s v="UG"/>
    <n v="2"/>
    <s v="Work"/>
    <s v="HIOMA"/>
    <s v="HIOMA"/>
    <s v="UG"/>
    <n v="1"/>
    <s v="Home"/>
    <x v="4"/>
    <n v="100000"/>
    <n v="12"/>
    <x v="6"/>
    <n v="2"/>
    <x v="0"/>
    <n v="5"/>
    <s v="Professional"/>
    <n v="2"/>
    <x v="3"/>
    <n v="1"/>
    <n v="3"/>
    <n v="2"/>
    <n v="5"/>
    <n v="4"/>
    <s v="Y"/>
    <n v="3000"/>
    <x v="0"/>
  </r>
  <r>
    <d v="2019-10-25T00:00:00"/>
    <d v="1899-12-30T14:09:00"/>
    <m/>
    <s v="D"/>
    <n v="2"/>
    <s v="Road Vehicle"/>
    <n v="4"/>
    <x v="3"/>
    <x v="0"/>
    <n v="2"/>
    <x v="1"/>
    <s v="HIOMA"/>
    <s v="HIOMA"/>
    <s v="UG"/>
    <n v="1"/>
    <s v="Home"/>
    <s v="KAGADI"/>
    <s v="KAGADI"/>
    <s v="UG"/>
    <n v="2"/>
    <s v="Work"/>
    <x v="1"/>
    <n v="100000"/>
    <n v="65"/>
    <x v="5"/>
    <n v="3"/>
    <x v="0"/>
    <n v="5"/>
    <s v="Professional"/>
    <n v="2"/>
    <x v="3"/>
    <n v="2"/>
    <n v="1"/>
    <n v="2"/>
    <n v="3"/>
    <n v="5"/>
    <s v="Y"/>
    <n v="5000"/>
    <x v="2"/>
  </r>
  <r>
    <d v="2019-10-25T00:00:00"/>
    <d v="1899-12-30T17:17:00"/>
    <m/>
    <s v="D"/>
    <n v="2"/>
    <s v="Road Vehicle"/>
    <n v="4"/>
    <x v="3"/>
    <x v="0"/>
    <n v="2"/>
    <x v="1"/>
    <s v="HIOMA"/>
    <s v="HIOMA"/>
    <s v="UG"/>
    <n v="1"/>
    <s v="Home"/>
    <s v="KAKUMIRO"/>
    <s v="KAKUMIRO"/>
    <s v="UG"/>
    <n v="2"/>
    <s v="Work"/>
    <x v="1"/>
    <n v="120000"/>
    <n v="63"/>
    <x v="5"/>
    <n v="3"/>
    <x v="0"/>
    <n v="5"/>
    <s v="Professional"/>
    <n v="3"/>
    <x v="1"/>
    <n v="2"/>
    <n v="4"/>
    <n v="1"/>
    <n v="5"/>
    <n v="2"/>
    <s v="Y"/>
    <n v="3000"/>
    <x v="0"/>
  </r>
  <r>
    <d v="2019-10-25T00:00:00"/>
    <d v="1899-12-30T17:09:00"/>
    <m/>
    <s v="D"/>
    <n v="2"/>
    <s v="Road Vehicle"/>
    <n v="4"/>
    <x v="3"/>
    <x v="0"/>
    <n v="2"/>
    <x v="1"/>
    <s v="HIOMA"/>
    <s v="HIOMA"/>
    <s v="UG"/>
    <n v="1"/>
    <s v="Home"/>
    <s v="KAKUMIRO"/>
    <s v="KAKUMIRO"/>
    <s v="UG"/>
    <n v="2"/>
    <s v="Work"/>
    <x v="1"/>
    <n v="120000"/>
    <n v="63"/>
    <x v="5"/>
    <n v="3"/>
    <x v="0"/>
    <n v="5"/>
    <s v="Professional"/>
    <n v="4"/>
    <x v="0"/>
    <n v="3"/>
    <n v="4"/>
    <n v="5"/>
    <n v="2"/>
    <n v="1"/>
    <s v="Y"/>
    <n v="3000"/>
    <x v="0"/>
  </r>
  <r>
    <d v="2019-10-25T00:00:00"/>
    <d v="1899-12-30T16:48:00"/>
    <m/>
    <s v="D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5000"/>
    <n v="200"/>
    <x v="3"/>
    <n v="3"/>
    <x v="0"/>
    <n v="6"/>
    <s v="Businessman"/>
    <n v="2"/>
    <x v="3"/>
    <n v="2"/>
    <n v="1"/>
    <n v="1"/>
    <n v="1"/>
    <n v="1"/>
    <s v="Y"/>
    <n v="2000"/>
    <x v="1"/>
  </r>
  <r>
    <d v="2019-10-25T00:00:00"/>
    <d v="1899-12-30T16:05:00"/>
    <m/>
    <s v="P"/>
    <n v="2"/>
    <s v="Road Vehicle"/>
    <n v="4"/>
    <x v="3"/>
    <x v="0"/>
    <n v="2"/>
    <x v="1"/>
    <s v="HIOMA"/>
    <s v="HIOMA"/>
    <s v="UG"/>
    <n v="1"/>
    <s v="Home"/>
    <s v="HIOMA"/>
    <s v="HIOMA"/>
    <s v="UG"/>
    <n v="2"/>
    <s v="Work"/>
    <x v="1"/>
    <n v="7000"/>
    <n v="70"/>
    <x v="1"/>
    <n v="2"/>
    <x v="0"/>
    <n v="7"/>
    <s v="Farmer"/>
    <n v="2"/>
    <x v="3"/>
    <n v="2"/>
    <n v="1"/>
    <n v="4"/>
    <n v="5"/>
    <n v="2"/>
    <s v="Y"/>
    <n v="5000"/>
    <x v="2"/>
  </r>
  <r>
    <d v="2019-10-25T00:00:00"/>
    <d v="1899-12-30T15:54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5000"/>
    <n v="201"/>
    <x v="3"/>
    <n v="3"/>
    <x v="0"/>
    <n v="6"/>
    <s v="Businessman"/>
    <n v="2"/>
    <x v="3"/>
    <n v="3"/>
    <n v="4"/>
    <n v="1"/>
    <n v="2"/>
    <n v="5"/>
    <s v="Y"/>
    <n v="7000"/>
    <x v="2"/>
  </r>
  <r>
    <d v="2019-10-25T00:00:00"/>
    <d v="1899-12-30T14:32:00"/>
    <m/>
    <s v="P"/>
    <n v="2"/>
    <s v="Road Vehicle"/>
    <n v="4"/>
    <x v="3"/>
    <x v="0"/>
    <n v="2"/>
    <x v="1"/>
    <s v="HIOMA"/>
    <s v="HIOMA"/>
    <s v="UG"/>
    <n v="1"/>
    <s v="Home"/>
    <s v="WANSOKO"/>
    <s v="BULIISA"/>
    <s v="UG"/>
    <n v="6"/>
    <s v="Leisure/Social"/>
    <x v="8"/>
    <n v="15000"/>
    <m/>
    <x v="0"/>
    <m/>
    <x v="3"/>
    <n v="2"/>
    <s v="Manual Labour"/>
    <n v="2"/>
    <x v="3"/>
    <n v="2"/>
    <n v="3"/>
    <n v="4"/>
    <n v="1"/>
    <n v="5"/>
    <s v="Y"/>
    <m/>
    <x v="3"/>
  </r>
  <r>
    <d v="2019-10-25T00:00:00"/>
    <d v="1899-12-30T08:52:00"/>
    <m/>
    <s v="P"/>
    <n v="2"/>
    <s v="Road Vehicle"/>
    <n v="4"/>
    <x v="3"/>
    <x v="0"/>
    <n v="2"/>
    <x v="1"/>
    <s v="MUNTANZIGE"/>
    <s v="KAKUMIRO"/>
    <s v="UG"/>
    <n v="1"/>
    <s v="Home"/>
    <s v="HIOMA"/>
    <s v="HIOMA"/>
    <s v="UG"/>
    <n v="4"/>
    <s v="Commercial"/>
    <x v="0"/>
    <n v="10000"/>
    <m/>
    <x v="0"/>
    <n v="4"/>
    <x v="2"/>
    <n v="2"/>
    <s v="Manual Labour"/>
    <n v="2"/>
    <x v="3"/>
    <n v="1"/>
    <n v="3"/>
    <n v="5"/>
    <n v="4"/>
    <n v="2"/>
    <s v="Y"/>
    <m/>
    <x v="3"/>
  </r>
  <r>
    <d v="2019-10-25T00:00:00"/>
    <d v="1899-12-30T09:04:00"/>
    <m/>
    <s v="P"/>
    <n v="2"/>
    <s v="Road Vehicle"/>
    <n v="4"/>
    <x v="3"/>
    <x v="0"/>
    <n v="2"/>
    <x v="1"/>
    <s v="HIOMA"/>
    <s v="HIOMA"/>
    <s v="UG"/>
    <n v="1"/>
    <s v="Home"/>
    <s v="KISIITA"/>
    <s v="KAKUMIRO"/>
    <s v="UG"/>
    <n v="2"/>
    <s v="Work"/>
    <x v="1"/>
    <n v="10000"/>
    <n v="17"/>
    <x v="6"/>
    <n v="2"/>
    <x v="0"/>
    <n v="6"/>
    <s v="Businessman"/>
    <n v="2"/>
    <x v="3"/>
    <n v="3"/>
    <n v="4"/>
    <n v="5"/>
    <n v="1"/>
    <n v="2"/>
    <s v="Y"/>
    <m/>
    <x v="3"/>
  </r>
  <r>
    <d v="2019-10-25T00:00:00"/>
    <d v="1899-12-30T09:11:00"/>
    <m/>
    <s v="P"/>
    <n v="2"/>
    <s v="Road Vehicle"/>
    <n v="4"/>
    <x v="3"/>
    <x v="0"/>
    <n v="2"/>
    <x v="1"/>
    <s v="MUNTANZIGE"/>
    <s v="KAKUMIRO"/>
    <s v="UG"/>
    <n v="1"/>
    <s v="Home"/>
    <s v="HIOMA"/>
    <s v="HIOMA"/>
    <s v="UG"/>
    <n v="5"/>
    <s v="Tourism"/>
    <x v="20"/>
    <n v="10000"/>
    <n v="150"/>
    <x v="2"/>
    <n v="5"/>
    <x v="2"/>
    <n v="2"/>
    <s v="Manual Labour"/>
    <n v="2"/>
    <x v="3"/>
    <n v="2"/>
    <n v="1"/>
    <n v="4"/>
    <n v="5"/>
    <n v="3"/>
    <s v="Y"/>
    <n v="1000"/>
    <x v="4"/>
  </r>
  <r>
    <d v="2019-10-25T00:00:00"/>
    <d v="1899-12-30T09:21:00"/>
    <m/>
    <s v="P"/>
    <n v="2"/>
    <s v="Road Vehicle"/>
    <n v="4"/>
    <x v="3"/>
    <x v="0"/>
    <n v="2"/>
    <x v="1"/>
    <s v="HIOMA"/>
    <s v="HIOMA"/>
    <s v="UG"/>
    <n v="1"/>
    <s v="Home"/>
    <s v="KISGOLOBYA"/>
    <s v="HIOMA"/>
    <s v="UG"/>
    <n v="5"/>
    <s v="Tourism"/>
    <x v="20"/>
    <m/>
    <n v="10"/>
    <x v="6"/>
    <n v="1"/>
    <x v="1"/>
    <n v="8"/>
    <s v="Student"/>
    <n v="2"/>
    <x v="3"/>
    <n v="2"/>
    <n v="3"/>
    <n v="5"/>
    <n v="4"/>
    <n v="1"/>
    <s v="Y"/>
    <n v="2000"/>
    <x v="1"/>
  </r>
  <r>
    <d v="2019-10-25T00:00:00"/>
    <d v="1899-12-30T10:37:00"/>
    <m/>
    <s v="P"/>
    <n v="2"/>
    <s v="Road Vehicle"/>
    <n v="4"/>
    <x v="3"/>
    <x v="0"/>
    <n v="2"/>
    <x v="1"/>
    <s v="HIOMA"/>
    <s v="HIOMA"/>
    <s v="UG"/>
    <n v="1"/>
    <s v="Home"/>
    <s v="MASINDI"/>
    <s v="MASINDI"/>
    <s v="UG"/>
    <n v="2"/>
    <s v="Work"/>
    <x v="1"/>
    <n v="10000"/>
    <n v="30"/>
    <x v="4"/>
    <n v="2"/>
    <x v="0"/>
    <n v="2"/>
    <s v="Manual Labour"/>
    <n v="4"/>
    <x v="0"/>
    <n v="3"/>
    <n v="5"/>
    <n v="1"/>
    <n v="4"/>
    <n v="1"/>
    <s v="Y"/>
    <n v="5000"/>
    <x v="2"/>
  </r>
  <r>
    <d v="2019-10-25T00:00:00"/>
    <d v="1899-12-30T10:42:00"/>
    <m/>
    <s v="P"/>
    <n v="2"/>
    <s v="Road Vehicle"/>
    <n v="4"/>
    <x v="3"/>
    <x v="0"/>
    <n v="2"/>
    <x v="1"/>
    <s v="HIOMA"/>
    <s v="HIOMA"/>
    <s v="UG"/>
    <n v="1"/>
    <s v="Home"/>
    <s v="MASINDI"/>
    <s v="MASINDI"/>
    <s v="UG"/>
    <n v="2"/>
    <s v="Work"/>
    <x v="1"/>
    <n v="10000"/>
    <n v="33"/>
    <x v="4"/>
    <n v="2"/>
    <x v="0"/>
    <n v="2"/>
    <s v="Manual Labour"/>
    <n v="2"/>
    <x v="3"/>
    <n v="1"/>
    <n v="3"/>
    <n v="5"/>
    <n v="4"/>
    <n v="2"/>
    <s v="Y"/>
    <n v="3000"/>
    <x v="0"/>
  </r>
  <r>
    <d v="2019-10-25T00:00:00"/>
    <d v="1899-12-30T10:46:00"/>
    <m/>
    <s v="P"/>
    <n v="2"/>
    <s v="Road Vehicle"/>
    <n v="4"/>
    <x v="3"/>
    <x v="0"/>
    <n v="2"/>
    <x v="1"/>
    <s v="HIOMA"/>
    <s v="HIOMA"/>
    <s v="UG"/>
    <n v="1"/>
    <s v="Home"/>
    <s v="MASINDI"/>
    <s v="MASINDI"/>
    <s v="UG"/>
    <n v="2"/>
    <s v="Work"/>
    <x v="1"/>
    <m/>
    <m/>
    <x v="0"/>
    <m/>
    <x v="3"/>
    <n v="3"/>
    <s v="Artisan/Domestic"/>
    <n v="2"/>
    <x v="3"/>
    <n v="3"/>
    <n v="5"/>
    <n v="4"/>
    <n v="1"/>
    <n v="2"/>
    <s v="Y"/>
    <m/>
    <x v="3"/>
  </r>
  <r>
    <d v="2019-10-25T00:00:00"/>
    <d v="1899-12-30T11:00:00"/>
    <m/>
    <s v="P"/>
    <n v="2"/>
    <s v="Road Vehicle"/>
    <n v="4"/>
    <x v="3"/>
    <x v="0"/>
    <n v="2"/>
    <x v="1"/>
    <s v="HIOMA"/>
    <s v="HIOMA"/>
    <s v="UG"/>
    <n v="1"/>
    <s v="Home"/>
    <s v="MASINDI"/>
    <s v="MASINDI"/>
    <s v="UG"/>
    <n v="5"/>
    <s v="Tourism"/>
    <x v="20"/>
    <n v="1000"/>
    <n v="48"/>
    <x v="5"/>
    <n v="3"/>
    <x v="0"/>
    <n v="6"/>
    <s v="Businessman"/>
    <n v="2"/>
    <x v="3"/>
    <n v="2"/>
    <n v="3"/>
    <n v="1"/>
    <n v="4"/>
    <n v="5"/>
    <s v="Y"/>
    <m/>
    <x v="3"/>
  </r>
  <r>
    <d v="2019-10-25T00:00:00"/>
    <d v="1899-12-30T11:57:00"/>
    <m/>
    <s v="D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20000"/>
    <n v="125"/>
    <x v="2"/>
    <n v="3"/>
    <x v="0"/>
    <n v="5"/>
    <s v="Professional"/>
    <n v="3"/>
    <x v="1"/>
    <n v="3"/>
    <n v="1"/>
    <n v="2"/>
    <n v="5"/>
    <n v="4"/>
    <s v="Y"/>
    <n v="10000"/>
    <x v="5"/>
  </r>
  <r>
    <d v="2019-10-25T00:00:00"/>
    <d v="1899-12-30T10:59:00"/>
    <m/>
    <s v="D"/>
    <n v="2"/>
    <s v="Road Vehicle"/>
    <n v="4"/>
    <x v="3"/>
    <x v="0"/>
    <n v="2"/>
    <x v="1"/>
    <s v="HIOMA"/>
    <s v="HIOMA"/>
    <s v="UG"/>
    <n v="2"/>
    <s v="Work"/>
    <s v="MASINDI"/>
    <s v="MASINDI"/>
    <s v="UG"/>
    <n v="2"/>
    <s v="Work"/>
    <x v="2"/>
    <n v="20000"/>
    <n v="125"/>
    <x v="2"/>
    <n v="3"/>
    <x v="0"/>
    <n v="5"/>
    <s v="Professional"/>
    <n v="2"/>
    <x v="3"/>
    <n v="3"/>
    <n v="4"/>
    <n v="1"/>
    <n v="2"/>
    <n v="5"/>
    <s v="Y"/>
    <n v="10000"/>
    <x v="5"/>
  </r>
  <r>
    <d v="2019-10-25T00:00:00"/>
    <d v="1899-12-30T10:57:00"/>
    <m/>
    <s v="P"/>
    <n v="2"/>
    <s v="Road Vehicle"/>
    <n v="4"/>
    <x v="3"/>
    <x v="0"/>
    <n v="2"/>
    <x v="1"/>
    <s v="HIOMA"/>
    <s v="HIOMA"/>
    <s v="UG"/>
    <n v="1"/>
    <s v="Home"/>
    <s v="MASINDI"/>
    <s v="MASINDI"/>
    <s v="UG"/>
    <n v="2"/>
    <s v="Work"/>
    <x v="1"/>
    <n v="10000"/>
    <n v="48"/>
    <x v="5"/>
    <n v="3"/>
    <x v="0"/>
    <n v="2"/>
    <s v="Manual Labour"/>
    <n v="1"/>
    <x v="2"/>
    <n v="3"/>
    <n v="4"/>
    <n v="1"/>
    <n v="2"/>
    <n v="5"/>
    <s v="Y"/>
    <n v="5000"/>
    <x v="2"/>
  </r>
  <r>
    <d v="2019-10-25T00:00:00"/>
    <d v="1899-12-30T08:44:00"/>
    <m/>
    <s v="D"/>
    <n v="2"/>
    <s v="Road Vehicle"/>
    <n v="4"/>
    <x v="3"/>
    <x v="0"/>
    <n v="2"/>
    <x v="1"/>
    <s v="HIOMA"/>
    <s v="HIOMA"/>
    <s v="UG"/>
    <n v="1"/>
    <s v="Home"/>
    <s v="KISIITA"/>
    <s v="KAKUMIRO"/>
    <s v="UG"/>
    <n v="2"/>
    <s v="Work"/>
    <x v="1"/>
    <n v="100000"/>
    <n v="15"/>
    <x v="6"/>
    <n v="2"/>
    <x v="0"/>
    <n v="5"/>
    <s v="Professional"/>
    <n v="4"/>
    <x v="0"/>
    <n v="3"/>
    <n v="5"/>
    <n v="4"/>
    <n v="2"/>
    <n v="1"/>
    <s v="Y"/>
    <n v="2000"/>
    <x v="1"/>
  </r>
  <r>
    <d v="2019-10-25T00:00:00"/>
    <d v="1899-12-30T08:57:00"/>
    <m/>
    <s v="D"/>
    <n v="2"/>
    <s v="Road Vehicle"/>
    <n v="4"/>
    <x v="3"/>
    <x v="0"/>
    <n v="2"/>
    <x v="1"/>
    <s v="KISITIA"/>
    <s v="KAKUMIRO"/>
    <s v="UG"/>
    <n v="2"/>
    <s v="Work"/>
    <s v="HIOMA"/>
    <s v="HIOMA"/>
    <s v="UG"/>
    <n v="1"/>
    <s v="Home"/>
    <x v="4"/>
    <n v="8000"/>
    <n v="15"/>
    <x v="6"/>
    <n v="2"/>
    <x v="0"/>
    <n v="5"/>
    <s v="Professional"/>
    <n v="4"/>
    <x v="0"/>
    <n v="3"/>
    <n v="5"/>
    <n v="4"/>
    <n v="2"/>
    <n v="1"/>
    <s v="Y"/>
    <n v="5000"/>
    <x v="2"/>
  </r>
  <r>
    <d v="2019-10-25T00:00:00"/>
    <d v="1899-12-30T16:22:00"/>
    <m/>
    <s v="P"/>
    <n v="2"/>
    <s v="Road Vehicle"/>
    <n v="4"/>
    <x v="3"/>
    <x v="0"/>
    <n v="2"/>
    <x v="1"/>
    <s v="HIOMA"/>
    <s v="HIOMA"/>
    <s v="UG"/>
    <n v="2"/>
    <s v="Work"/>
    <s v="KAGADI"/>
    <s v="KAGADI"/>
    <s v="UG"/>
    <n v="1"/>
    <s v="Home"/>
    <x v="4"/>
    <n v="100000"/>
    <n v="65"/>
    <x v="5"/>
    <n v="2"/>
    <x v="0"/>
    <n v="4"/>
    <s v="Office Worker"/>
    <n v="3"/>
    <x v="1"/>
    <n v="2"/>
    <n v="1"/>
    <n v="3"/>
    <n v="4"/>
    <n v="5"/>
    <s v="Y"/>
    <n v="2000"/>
    <x v="1"/>
  </r>
  <r>
    <d v="2019-10-25T00:00:00"/>
    <d v="1899-12-30T13:32:00"/>
    <m/>
    <s v="D"/>
    <n v="2"/>
    <s v="Road Vehicle"/>
    <n v="4"/>
    <x v="3"/>
    <x v="0"/>
    <n v="2"/>
    <x v="1"/>
    <s v="HIOMA"/>
    <s v="HIOMA"/>
    <s v="UG"/>
    <n v="2"/>
    <s v="Work"/>
    <s v="HIOMA"/>
    <s v="HIOMA"/>
    <s v="UG"/>
    <n v="2"/>
    <s v="Work"/>
    <x v="2"/>
    <n v="120000"/>
    <n v="150"/>
    <x v="2"/>
    <n v="3"/>
    <x v="0"/>
    <n v="10"/>
    <s v="Other"/>
    <n v="2"/>
    <x v="3"/>
    <n v="1"/>
    <n v="2"/>
    <n v="5"/>
    <n v="4"/>
    <n v="3"/>
    <s v="Y"/>
    <n v="1000"/>
    <x v="4"/>
  </r>
  <r>
    <d v="2019-10-25T00:00:00"/>
    <d v="1899-12-30T19:14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1"/>
    <s v="Home"/>
    <x v="4"/>
    <n v="180000"/>
    <n v="210"/>
    <x v="3"/>
    <n v="4"/>
    <x v="2"/>
    <n v="10"/>
    <s v="Other"/>
    <n v="2"/>
    <x v="3"/>
    <n v="3"/>
    <n v="4"/>
    <n v="5"/>
    <n v="2"/>
    <n v="1"/>
    <s v="Y"/>
    <n v="8000"/>
    <x v="2"/>
  </r>
  <r>
    <d v="2019-10-26T00:00:00"/>
    <d v="1899-12-30T07:05:00"/>
    <m/>
    <s v="P"/>
    <n v="2"/>
    <s v="Road Vehicle"/>
    <n v="4"/>
    <x v="3"/>
    <x v="0"/>
    <n v="2"/>
    <x v="1"/>
    <s v="HIOMA"/>
    <s v="HIOMA"/>
    <s v="UG"/>
    <n v="4"/>
    <s v="Commercial"/>
    <s v="ARUA"/>
    <s v="ARUA"/>
    <s v="UG"/>
    <n v="1"/>
    <s v="Home"/>
    <x v="3"/>
    <n v="35000"/>
    <m/>
    <x v="0"/>
    <n v="9"/>
    <x v="2"/>
    <n v="6"/>
    <s v="Businessman"/>
    <n v="5"/>
    <x v="4"/>
    <n v="1"/>
    <n v="4"/>
    <n v="2"/>
    <n v="4"/>
    <n v="5"/>
    <s v="Y"/>
    <n v="10000"/>
    <x v="5"/>
  </r>
  <r>
    <d v="2019-10-26T00:00:00"/>
    <d v="1899-12-30T08:15:00"/>
    <m/>
    <s v="P"/>
    <n v="2"/>
    <s v="Road Vehicle"/>
    <n v="4"/>
    <x v="3"/>
    <x v="0"/>
    <n v="2"/>
    <x v="1"/>
    <s v="HIOMA"/>
    <s v="HIOMA"/>
    <s v="UG"/>
    <n v="8"/>
    <s v="Others"/>
    <s v="KAMPALA"/>
    <s v="KAMPALA"/>
    <s v="UG"/>
    <n v="2"/>
    <s v="Work"/>
    <x v="14"/>
    <n v="13000"/>
    <m/>
    <x v="0"/>
    <n v="3"/>
    <x v="0"/>
    <n v="4"/>
    <s v="Office Worker"/>
    <n v="3"/>
    <x v="1"/>
    <n v="5"/>
    <n v="2"/>
    <n v="1"/>
    <n v="3"/>
    <n v="4"/>
    <s v="Y"/>
    <n v="3000"/>
    <x v="0"/>
  </r>
  <r>
    <d v="2019-10-26T00:00:00"/>
    <d v="1899-12-30T08:19:00"/>
    <m/>
    <s v="P"/>
    <n v="2"/>
    <s v="Road Vehicle"/>
    <n v="4"/>
    <x v="3"/>
    <x v="0"/>
    <n v="2"/>
    <x v="1"/>
    <s v="HIOMA"/>
    <s v="HIOMA"/>
    <s v="UG"/>
    <n v="1"/>
    <s v="Home"/>
    <s v="ARUA"/>
    <s v="ARUA"/>
    <s v="UG"/>
    <n v="8"/>
    <s v="Others"/>
    <x v="13"/>
    <n v="30000"/>
    <m/>
    <x v="0"/>
    <n v="8"/>
    <x v="2"/>
    <n v="5"/>
    <s v="Professional"/>
    <n v="5"/>
    <x v="4"/>
    <n v="1"/>
    <n v="5"/>
    <n v="4"/>
    <n v="2"/>
    <n v="3"/>
    <s v="Y"/>
    <n v="5000"/>
    <x v="2"/>
  </r>
  <r>
    <d v="2019-10-26T00:00:00"/>
    <d v="1899-12-30T07:30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3000"/>
    <m/>
    <x v="0"/>
    <n v="3"/>
    <x v="0"/>
    <n v="4"/>
    <s v="Office Worker"/>
    <n v="2"/>
    <x v="3"/>
    <n v="3"/>
    <n v="1"/>
    <n v="2"/>
    <n v="4"/>
    <n v="5"/>
    <s v="Y"/>
    <n v="1000"/>
    <x v="4"/>
  </r>
  <r>
    <d v="2019-10-26T00:00:00"/>
    <d v="1899-12-30T15:49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8"/>
    <s v="Others"/>
    <x v="13"/>
    <n v="13000"/>
    <m/>
    <x v="0"/>
    <n v="4"/>
    <x v="2"/>
    <n v="5"/>
    <s v="Professional"/>
    <n v="4"/>
    <x v="0"/>
    <n v="2"/>
    <n v="5"/>
    <n v="3"/>
    <n v="1"/>
    <n v="4"/>
    <s v="Y"/>
    <n v="1000"/>
    <x v="4"/>
  </r>
  <r>
    <d v="2019-10-26T00:00:00"/>
    <d v="1899-12-30T15:37:00"/>
    <m/>
    <s v="P"/>
    <n v="2"/>
    <s v="Road Vehicle"/>
    <n v="4"/>
    <x v="3"/>
    <x v="0"/>
    <n v="2"/>
    <x v="1"/>
    <s v="HIOMA"/>
    <s v="HIOMA"/>
    <s v="UG"/>
    <n v="4"/>
    <s v="Commercial"/>
    <s v="KAISO"/>
    <s v="KIKUUBE"/>
    <s v="UG"/>
    <n v="4"/>
    <s v="Commercial"/>
    <x v="18"/>
    <n v="8000"/>
    <m/>
    <x v="0"/>
    <n v="2"/>
    <x v="0"/>
    <n v="6"/>
    <s v="Businessman"/>
    <n v="4"/>
    <x v="0"/>
    <n v="3"/>
    <n v="4"/>
    <n v="5"/>
    <n v="1"/>
    <n v="2"/>
    <s v="Y"/>
    <n v="2000"/>
    <x v="1"/>
  </r>
  <r>
    <d v="2019-10-26T00:00:00"/>
    <d v="1899-12-30T15:34:00"/>
    <m/>
    <s v="P"/>
    <n v="2"/>
    <s v="Road Vehicle"/>
    <n v="4"/>
    <x v="3"/>
    <x v="0"/>
    <n v="2"/>
    <x v="1"/>
    <s v="HIOMA"/>
    <s v="HIOMA"/>
    <s v="UG"/>
    <n v="1"/>
    <s v="Home"/>
    <s v="HIOMA"/>
    <s v="HIOMA"/>
    <s v="UG"/>
    <n v="1"/>
    <s v="Home"/>
    <x v="16"/>
    <n v="6000"/>
    <m/>
    <x v="0"/>
    <n v="1"/>
    <x v="1"/>
    <n v="1"/>
    <s v="Unemployed"/>
    <n v="2"/>
    <x v="3"/>
    <n v="4"/>
    <n v="3"/>
    <n v="5"/>
    <n v="1"/>
    <n v="2"/>
    <s v="Y"/>
    <m/>
    <x v="3"/>
  </r>
  <r>
    <d v="2019-10-26T00:00:00"/>
    <d v="1899-12-30T15:26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3000"/>
    <m/>
    <x v="0"/>
    <n v="4"/>
    <x v="2"/>
    <n v="4"/>
    <s v="Office Worker"/>
    <n v="2"/>
    <x v="3"/>
    <n v="2"/>
    <n v="1"/>
    <n v="5"/>
    <n v="4"/>
    <n v="3"/>
    <s v="Y"/>
    <m/>
    <x v="3"/>
  </r>
  <r>
    <d v="2019-10-26T00:00:00"/>
    <d v="1899-12-30T15:26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3000"/>
    <m/>
    <x v="0"/>
    <n v="4"/>
    <x v="2"/>
    <n v="4"/>
    <s v="Office Worker"/>
    <n v="2"/>
    <x v="3"/>
    <n v="2"/>
    <n v="1"/>
    <n v="5"/>
    <n v="4"/>
    <n v="3"/>
    <s v="Y"/>
    <m/>
    <x v="3"/>
  </r>
  <r>
    <d v="2019-10-26T00:00:00"/>
    <d v="1899-12-30T14:22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3000"/>
    <m/>
    <x v="0"/>
    <n v="4"/>
    <x v="2"/>
    <n v="4"/>
    <s v="Office Worker"/>
    <n v="2"/>
    <x v="3"/>
    <n v="5"/>
    <n v="2"/>
    <n v="3"/>
    <n v="1"/>
    <n v="4"/>
    <s v="Y"/>
    <m/>
    <x v="3"/>
  </r>
  <r>
    <d v="2019-10-26T00:00:00"/>
    <d v="1899-12-30T14:24:00"/>
    <m/>
    <s v="P"/>
    <n v="2"/>
    <s v="Road Vehicle"/>
    <n v="4"/>
    <x v="3"/>
    <x v="0"/>
    <n v="2"/>
    <x v="1"/>
    <s v="HIOMA"/>
    <s v="HIOMA"/>
    <s v="UG"/>
    <n v="4"/>
    <s v="Commercial"/>
    <s v="KAMPALA"/>
    <s v="KAMPALA"/>
    <s v="UG"/>
    <n v="1"/>
    <s v="Home"/>
    <x v="3"/>
    <n v="13000"/>
    <m/>
    <x v="0"/>
    <n v="4"/>
    <x v="2"/>
    <n v="6"/>
    <s v="Businessman"/>
    <n v="5"/>
    <x v="4"/>
    <n v="1"/>
    <n v="4"/>
    <n v="2"/>
    <n v="5"/>
    <n v="3"/>
    <s v="Y"/>
    <m/>
    <x v="3"/>
  </r>
  <r>
    <d v="2019-10-26T00:00:00"/>
    <d v="1899-12-30T14:27:00"/>
    <m/>
    <s v="P"/>
    <n v="2"/>
    <s v="Road Vehicle"/>
    <n v="4"/>
    <x v="3"/>
    <x v="0"/>
    <n v="2"/>
    <x v="1"/>
    <s v="HIOMA"/>
    <s v="HIOMA"/>
    <s v="UG"/>
    <n v="2"/>
    <s v="Work"/>
    <s v="ENTEBBE"/>
    <s v="WAKISO"/>
    <s v="UG"/>
    <n v="1"/>
    <s v="Home"/>
    <x v="4"/>
    <n v="17000"/>
    <m/>
    <x v="0"/>
    <n v="7"/>
    <x v="2"/>
    <n v="5"/>
    <s v="Professional"/>
    <n v="5"/>
    <x v="4"/>
    <n v="1"/>
    <n v="2"/>
    <n v="3"/>
    <n v="4"/>
    <n v="5"/>
    <s v="Y"/>
    <m/>
    <x v="3"/>
  </r>
  <r>
    <d v="2019-10-26T00:00:00"/>
    <d v="1899-12-30T14:18:00"/>
    <m/>
    <s v="P"/>
    <n v="2"/>
    <s v="Road Vehicle"/>
    <n v="4"/>
    <x v="3"/>
    <x v="0"/>
    <n v="2"/>
    <x v="1"/>
    <s v="HIOMA"/>
    <s v="HIOMA"/>
    <s v="UG"/>
    <n v="1"/>
    <s v="Home"/>
    <s v="KAKIRI"/>
    <s v="WAKISO"/>
    <s v="UG"/>
    <n v="2"/>
    <s v="Work"/>
    <x v="1"/>
    <n v="10000"/>
    <m/>
    <x v="0"/>
    <n v="2"/>
    <x v="0"/>
    <n v="6"/>
    <s v="Businessman"/>
    <n v="4"/>
    <x v="0"/>
    <n v="2"/>
    <n v="4"/>
    <n v="5"/>
    <n v="1"/>
    <n v="3"/>
    <s v="Y"/>
    <n v="10000"/>
    <x v="5"/>
  </r>
  <r>
    <d v="2019-10-26T00:00:00"/>
    <d v="1899-12-30T14:15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1"/>
    <s v="Home"/>
    <x v="16"/>
    <n v="13000"/>
    <m/>
    <x v="0"/>
    <n v="5"/>
    <x v="2"/>
    <n v="1"/>
    <s v="Unemployed"/>
    <n v="1"/>
    <x v="2"/>
    <n v="1"/>
    <n v="5"/>
    <n v="4"/>
    <n v="3"/>
    <n v="2"/>
    <s v="Y"/>
    <n v="2000"/>
    <x v="1"/>
  </r>
  <r>
    <d v="2019-10-26T00:00:00"/>
    <d v="1899-12-30T13:40:00"/>
    <m/>
    <s v="P"/>
    <n v="2"/>
    <s v="Road Vehicle"/>
    <n v="4"/>
    <x v="3"/>
    <x v="0"/>
    <n v="2"/>
    <x v="1"/>
    <s v="HIOMA"/>
    <s v="HIOMA"/>
    <s v="UG"/>
    <n v="2"/>
    <s v="Work"/>
    <s v="KAMPALA"/>
    <s v="KAMPALA"/>
    <s v="UG"/>
    <n v="1"/>
    <s v="Home"/>
    <x v="4"/>
    <n v="13000"/>
    <m/>
    <x v="0"/>
    <n v="4"/>
    <x v="2"/>
    <n v="2"/>
    <s v="Manual Labour"/>
    <n v="1"/>
    <x v="2"/>
    <n v="1"/>
    <n v="2"/>
    <n v="4"/>
    <n v="2"/>
    <n v="3"/>
    <s v="Y"/>
    <m/>
    <x v="3"/>
  </r>
  <r>
    <d v="2019-10-26T00:00:00"/>
    <d v="1899-12-30T13:54:00"/>
    <m/>
    <s v="P"/>
    <n v="2"/>
    <s v="Road Vehicle"/>
    <n v="4"/>
    <x v="3"/>
    <x v="0"/>
    <n v="2"/>
    <x v="1"/>
    <s v="HIOMA"/>
    <s v="HIOMA"/>
    <s v="UG"/>
    <n v="4"/>
    <s v="Commercial"/>
    <s v="BUSUNJJU"/>
    <s v="WAKISO"/>
    <s v="UG"/>
    <n v="4"/>
    <s v="Commercial"/>
    <x v="18"/>
    <n v="10000"/>
    <m/>
    <x v="0"/>
    <n v="3"/>
    <x v="0"/>
    <n v="6"/>
    <s v="Businessman"/>
    <n v="5"/>
    <x v="4"/>
    <n v="3"/>
    <n v="1"/>
    <n v="2"/>
    <n v="4"/>
    <n v="5"/>
    <s v="Y"/>
    <n v="5000"/>
    <x v="2"/>
  </r>
  <r>
    <d v="2019-10-26T00:00:00"/>
    <d v="1899-12-30T13:49:00"/>
    <m/>
    <s v="P"/>
    <n v="2"/>
    <s v="Road Vehicle"/>
    <n v="4"/>
    <x v="3"/>
    <x v="0"/>
    <n v="2"/>
    <x v="1"/>
    <s v="NANSANA"/>
    <s v="WAKISO"/>
    <s v="UG"/>
    <n v="2"/>
    <s v="Work"/>
    <s v="HIOMA"/>
    <s v="HIOMA"/>
    <s v="UG"/>
    <n v="2"/>
    <s v="Work"/>
    <x v="2"/>
    <n v="13000"/>
    <m/>
    <x v="0"/>
    <n v="4"/>
    <x v="2"/>
    <n v="4"/>
    <s v="Office Worker"/>
    <n v="3"/>
    <x v="1"/>
    <n v="3"/>
    <n v="2"/>
    <n v="1"/>
    <n v="5"/>
    <n v="4"/>
    <s v="Y"/>
    <n v="5000"/>
    <x v="2"/>
  </r>
  <r>
    <d v="2019-10-26T00:00:00"/>
    <d v="1899-12-30T13:34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8"/>
    <s v="Others"/>
    <x v="13"/>
    <n v="13000"/>
    <m/>
    <x v="0"/>
    <n v="2"/>
    <x v="0"/>
    <n v="5"/>
    <s v="Professional"/>
    <n v="2"/>
    <x v="3"/>
    <n v="1"/>
    <n v="5"/>
    <n v="2"/>
    <n v="3"/>
    <n v="4"/>
    <s v="Y"/>
    <m/>
    <x v="3"/>
  </r>
  <r>
    <d v="2019-10-26T00:00:00"/>
    <d v="1899-12-30T14:07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1"/>
    <s v="Home"/>
    <x v="16"/>
    <n v="13000"/>
    <m/>
    <x v="0"/>
    <n v="4"/>
    <x v="2"/>
    <n v="2"/>
    <s v="Manual Labour"/>
    <n v="1"/>
    <x v="2"/>
    <n v="1"/>
    <n v="2"/>
    <n v="5"/>
    <n v="4"/>
    <n v="3"/>
    <s v="Y"/>
    <n v="5000"/>
    <x v="2"/>
  </r>
  <r>
    <d v="2019-10-26T00:00:00"/>
    <d v="1899-12-30T14:04:00"/>
    <m/>
    <s v="P"/>
    <n v="2"/>
    <s v="Road Vehicle"/>
    <n v="4"/>
    <x v="3"/>
    <x v="0"/>
    <n v="2"/>
    <x v="1"/>
    <s v="HIOMA"/>
    <s v="HIOMA"/>
    <s v="UG"/>
    <n v="2"/>
    <s v="Work"/>
    <s v="KAMPALA"/>
    <s v="KAMPALA"/>
    <s v="UG"/>
    <n v="4"/>
    <s v="Commercial"/>
    <x v="17"/>
    <n v="13000"/>
    <m/>
    <x v="0"/>
    <n v="4"/>
    <x v="2"/>
    <n v="3"/>
    <s v="Artisan/Domestic"/>
    <n v="1"/>
    <x v="2"/>
    <n v="5"/>
    <n v="1"/>
    <n v="3"/>
    <n v="2"/>
    <n v="4"/>
    <s v="Y"/>
    <m/>
    <x v="3"/>
  </r>
  <r>
    <d v="2019-10-26T00:00:00"/>
    <d v="1899-12-30T13:31:00"/>
    <m/>
    <s v="P"/>
    <n v="2"/>
    <s v="Road Vehicle"/>
    <n v="4"/>
    <x v="3"/>
    <x v="0"/>
    <n v="2"/>
    <x v="1"/>
    <s v="HIOMA"/>
    <s v="HIOMA"/>
    <s v="UG"/>
    <n v="2"/>
    <s v="Work"/>
    <s v="KAMPALA"/>
    <s v="KAMPALA"/>
    <s v="UG"/>
    <n v="8"/>
    <s v="Others"/>
    <x v="19"/>
    <n v="13000"/>
    <m/>
    <x v="0"/>
    <n v="4"/>
    <x v="2"/>
    <n v="5"/>
    <s v="Professional"/>
    <n v="4"/>
    <x v="0"/>
    <n v="1"/>
    <n v="4"/>
    <n v="5"/>
    <n v="3"/>
    <n v="2"/>
    <s v="Y"/>
    <n v="4000"/>
    <x v="0"/>
  </r>
  <r>
    <d v="2019-10-26T00:00:00"/>
    <d v="1899-12-30T11:30:00"/>
    <m/>
    <s v="P"/>
    <n v="2"/>
    <s v="Road Vehicle"/>
    <n v="4"/>
    <x v="3"/>
    <x v="0"/>
    <n v="2"/>
    <x v="1"/>
    <s v="HIOMA"/>
    <s v="HIOMA"/>
    <s v="UG"/>
    <n v="2"/>
    <s v="Work"/>
    <s v="KAISO"/>
    <s v="KIKUUBE"/>
    <s v="UG"/>
    <n v="8"/>
    <s v="Others"/>
    <x v="19"/>
    <n v="8000"/>
    <m/>
    <x v="0"/>
    <n v="2"/>
    <x v="0"/>
    <n v="5"/>
    <s v="Professional"/>
    <n v="4"/>
    <x v="0"/>
    <n v="3"/>
    <n v="1"/>
    <n v="4"/>
    <n v="5"/>
    <n v="2"/>
    <s v="Y"/>
    <n v="2000"/>
    <x v="1"/>
  </r>
  <r>
    <d v="2019-10-26T00:00:00"/>
    <d v="1899-12-30T11:29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3000"/>
    <m/>
    <x v="0"/>
    <n v="3"/>
    <x v="0"/>
    <n v="5"/>
    <s v="Professional"/>
    <n v="4"/>
    <x v="0"/>
    <n v="5"/>
    <n v="1"/>
    <n v="4"/>
    <n v="2"/>
    <n v="3"/>
    <s v="Y"/>
    <n v="5000"/>
    <x v="2"/>
  </r>
  <r>
    <d v="2019-10-26T00:00:00"/>
    <d v="1899-12-30T11:08:00"/>
    <m/>
    <s v="P"/>
    <n v="2"/>
    <s v="Road Vehicle"/>
    <n v="4"/>
    <x v="3"/>
    <x v="0"/>
    <n v="2"/>
    <x v="1"/>
    <s v="HIOMA"/>
    <s v="HIOMA"/>
    <s v="UG"/>
    <n v="2"/>
    <s v="Work"/>
    <s v="HIOMA"/>
    <s v="HIOMA"/>
    <s v="UG"/>
    <n v="4"/>
    <s v="Commercial"/>
    <x v="17"/>
    <n v="13000"/>
    <m/>
    <x v="0"/>
    <n v="4"/>
    <x v="2"/>
    <n v="5"/>
    <s v="Professional"/>
    <n v="5"/>
    <x v="4"/>
    <n v="2"/>
    <n v="4"/>
    <n v="5"/>
    <n v="1"/>
    <n v="3"/>
    <s v="Y"/>
    <m/>
    <x v="3"/>
  </r>
  <r>
    <d v="2019-10-26T00:00:00"/>
    <d v="1899-12-30T12:03:00"/>
    <m/>
    <s v="P"/>
    <n v="2"/>
    <s v="Road Vehicle"/>
    <n v="4"/>
    <x v="3"/>
    <x v="0"/>
    <n v="2"/>
    <x v="1"/>
    <s v="HIOMA"/>
    <s v="HIOMA"/>
    <s v="UG"/>
    <n v="2"/>
    <s v="Work"/>
    <s v="HIOMA"/>
    <s v="HIOMA"/>
    <s v="UG"/>
    <n v="8"/>
    <s v="Others"/>
    <x v="19"/>
    <n v="13000"/>
    <m/>
    <x v="0"/>
    <n v="4"/>
    <x v="2"/>
    <n v="5"/>
    <s v="Professional"/>
    <n v="5"/>
    <x v="4"/>
    <n v="3"/>
    <n v="5"/>
    <n v="4"/>
    <n v="1"/>
    <n v="2"/>
    <s v="Y"/>
    <m/>
    <x v="3"/>
  </r>
  <r>
    <d v="2019-10-26T00:00:00"/>
    <d v="1899-12-30T11:08:00"/>
    <m/>
    <s v="P"/>
    <n v="2"/>
    <s v="Road Vehicle"/>
    <n v="4"/>
    <x v="3"/>
    <x v="0"/>
    <n v="2"/>
    <x v="1"/>
    <s v="HIOMA"/>
    <s v="HIOMA"/>
    <s v="UG"/>
    <n v="1"/>
    <s v="Home"/>
    <s v="KAISO"/>
    <s v="KIKUUBE"/>
    <s v="UG"/>
    <n v="2"/>
    <s v="Work"/>
    <x v="1"/>
    <n v="8000"/>
    <m/>
    <x v="0"/>
    <n v="2"/>
    <x v="0"/>
    <n v="4"/>
    <s v="Office Worker"/>
    <n v="2"/>
    <x v="3"/>
    <n v="3"/>
    <n v="5"/>
    <n v="4"/>
    <n v="1"/>
    <n v="2"/>
    <s v="Y"/>
    <n v="1000"/>
    <x v="4"/>
  </r>
  <r>
    <d v="2019-10-26T00:00:00"/>
    <d v="1899-12-30T10:50:00"/>
    <m/>
    <s v="P"/>
    <n v="2"/>
    <s v="Road Vehicle"/>
    <n v="4"/>
    <x v="3"/>
    <x v="0"/>
    <n v="2"/>
    <x v="1"/>
    <s v="HIOMA"/>
    <s v="HIOMA"/>
    <s v="UG"/>
    <n v="1"/>
    <s v="Home"/>
    <s v="MUTYABA"/>
    <s v="BULIISA"/>
    <s v="UG"/>
    <n v="8"/>
    <s v="Others"/>
    <x v="13"/>
    <n v="15000"/>
    <m/>
    <x v="0"/>
    <n v="3"/>
    <x v="0"/>
    <n v="7"/>
    <s v="Farmer"/>
    <n v="4"/>
    <x v="0"/>
    <n v="3"/>
    <n v="2"/>
    <n v="1"/>
    <n v="5"/>
    <n v="4"/>
    <s v="Y"/>
    <m/>
    <x v="3"/>
  </r>
  <r>
    <d v="2019-10-26T00:00:00"/>
    <d v="1899-12-30T11:24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3000"/>
    <m/>
    <x v="0"/>
    <n v="3"/>
    <x v="0"/>
    <n v="5"/>
    <s v="Professional"/>
    <n v="2"/>
    <x v="3"/>
    <n v="3"/>
    <n v="1"/>
    <n v="2"/>
    <n v="5"/>
    <n v="4"/>
    <s v="Y"/>
    <m/>
    <x v="3"/>
  </r>
  <r>
    <d v="2019-10-26T00:00:00"/>
    <d v="1899-12-30T11:57:00"/>
    <m/>
    <s v="P"/>
    <n v="2"/>
    <s v="Road Vehicle"/>
    <n v="4"/>
    <x v="3"/>
    <x v="0"/>
    <n v="2"/>
    <x v="1"/>
    <s v="HIOMA"/>
    <s v="HIOMA"/>
    <s v="UG"/>
    <n v="4"/>
    <s v="Commercial"/>
    <s v="KAMPALA"/>
    <s v="KAMPALA"/>
    <s v="UG"/>
    <n v="4"/>
    <s v="Commercial"/>
    <x v="18"/>
    <n v="700000"/>
    <m/>
    <x v="0"/>
    <n v="3"/>
    <x v="0"/>
    <n v="10"/>
    <s v="Other"/>
    <n v="5"/>
    <x v="4"/>
    <n v="2"/>
    <n v="5"/>
    <n v="3"/>
    <n v="4"/>
    <n v="1"/>
    <s v="Y"/>
    <n v="3000"/>
    <x v="0"/>
  </r>
  <r>
    <d v="2019-10-26T00:00:00"/>
    <d v="1899-12-30T12:57:00"/>
    <m/>
    <s v="D"/>
    <n v="2"/>
    <s v="Road Vehicle"/>
    <n v="4"/>
    <x v="3"/>
    <x v="0"/>
    <n v="2"/>
    <x v="1"/>
    <s v="HIOMA"/>
    <s v="HIOMA"/>
    <s v="UG"/>
    <n v="1"/>
    <s v="Home"/>
    <s v="BULIISA"/>
    <s v="BULIISA"/>
    <s v="UG"/>
    <n v="5"/>
    <s v="Tourism"/>
    <x v="20"/>
    <n v="15000"/>
    <n v="160"/>
    <x v="2"/>
    <n v="3"/>
    <x v="0"/>
    <n v="6"/>
    <s v="Businessman"/>
    <n v="4"/>
    <x v="0"/>
    <n v="2"/>
    <n v="5"/>
    <n v="3"/>
    <n v="4"/>
    <n v="1"/>
    <s v="Y"/>
    <n v="1000"/>
    <x v="4"/>
  </r>
  <r>
    <d v="2019-10-26T00:00:00"/>
    <d v="1899-12-30T12:34:00"/>
    <m/>
    <s v="D"/>
    <n v="2"/>
    <s v="Road Vehicle"/>
    <n v="4"/>
    <x v="3"/>
    <x v="0"/>
    <n v="2"/>
    <x v="1"/>
    <s v="HIOMA"/>
    <s v="HIOMA"/>
    <s v="UG"/>
    <n v="1"/>
    <s v="Home"/>
    <s v="KISIITA"/>
    <s v="KAKUMIRO"/>
    <s v="UG"/>
    <n v="2"/>
    <s v="Work"/>
    <x v="1"/>
    <n v="10000"/>
    <n v="15"/>
    <x v="6"/>
    <n v="2"/>
    <x v="0"/>
    <n v="5"/>
    <s v="Professional"/>
    <n v="3"/>
    <x v="1"/>
    <n v="1"/>
    <n v="4"/>
    <n v="5"/>
    <n v="1"/>
    <n v="2"/>
    <s v="Y"/>
    <n v="200"/>
    <x v="3"/>
  </r>
  <r>
    <d v="2019-10-26T00:00:00"/>
    <d v="1899-12-30T12:03:00"/>
    <m/>
    <s v="D"/>
    <n v="2"/>
    <s v="Road Vehicle"/>
    <n v="4"/>
    <x v="3"/>
    <x v="0"/>
    <n v="2"/>
    <x v="1"/>
    <s v="HIOMA"/>
    <s v="HIOMA"/>
    <s v="UG"/>
    <n v="1"/>
    <s v="Home"/>
    <s v="MASINDI"/>
    <s v="MASINDI"/>
    <s v="UG"/>
    <n v="2"/>
    <s v="Work"/>
    <x v="1"/>
    <n v="100000"/>
    <n v="50"/>
    <x v="5"/>
    <n v="2"/>
    <x v="0"/>
    <n v="5"/>
    <s v="Professional"/>
    <n v="5"/>
    <x v="4"/>
    <n v="2"/>
    <n v="1"/>
    <n v="4"/>
    <n v="5"/>
    <n v="3"/>
    <s v="Y"/>
    <m/>
    <x v="3"/>
  </r>
  <r>
    <d v="2019-10-26T00:00:00"/>
    <d v="1899-12-30T11:55:00"/>
    <m/>
    <s v="D"/>
    <n v="2"/>
    <s v="Road Vehicle"/>
    <n v="4"/>
    <x v="3"/>
    <x v="0"/>
    <n v="2"/>
    <x v="1"/>
    <s v="HIOMA"/>
    <s v="HIOMA"/>
    <s v="UG"/>
    <n v="1"/>
    <s v="Home"/>
    <s v="MASINDI"/>
    <s v="MASINDI"/>
    <s v="UG"/>
    <n v="2"/>
    <s v="Work"/>
    <x v="1"/>
    <n v="100000"/>
    <n v="45"/>
    <x v="5"/>
    <n v="3"/>
    <x v="0"/>
    <n v="5"/>
    <s v="Professional"/>
    <n v="4"/>
    <x v="0"/>
    <n v="3"/>
    <n v="1"/>
    <n v="2"/>
    <n v="5"/>
    <n v="4"/>
    <s v="Y"/>
    <m/>
    <x v="3"/>
  </r>
  <r>
    <d v="2019-10-26T00:00:00"/>
    <d v="1899-12-30T11:32:00"/>
    <m/>
    <s v="D"/>
    <n v="2"/>
    <s v="Road Vehicle"/>
    <n v="4"/>
    <x v="3"/>
    <x v="0"/>
    <n v="2"/>
    <x v="1"/>
    <s v="HIOMA"/>
    <s v="HIOMA"/>
    <s v="UG"/>
    <n v="1"/>
    <s v="Home"/>
    <s v="BULIISA"/>
    <s v="BULIISA"/>
    <s v="UG"/>
    <n v="2"/>
    <s v="Work"/>
    <x v="1"/>
    <n v="10000"/>
    <n v="175"/>
    <x v="2"/>
    <n v="3"/>
    <x v="0"/>
    <n v="6"/>
    <s v="Businessman"/>
    <n v="3"/>
    <x v="1"/>
    <n v="2"/>
    <n v="3"/>
    <n v="5"/>
    <n v="1"/>
    <n v="4"/>
    <s v="Y"/>
    <n v="1000"/>
    <x v="4"/>
  </r>
  <r>
    <d v="2019-10-26T00:00:00"/>
    <d v="1899-12-30T11:46:00"/>
    <m/>
    <s v="D"/>
    <n v="2"/>
    <s v="Road Vehicle"/>
    <n v="4"/>
    <x v="3"/>
    <x v="0"/>
    <n v="2"/>
    <x v="1"/>
    <s v="HIOMA"/>
    <s v="HIOMA"/>
    <s v="UG"/>
    <n v="1"/>
    <s v="Home"/>
    <s v="KIBOGA"/>
    <s v="KIBOGA"/>
    <s v="UG"/>
    <n v="2"/>
    <s v="Work"/>
    <x v="1"/>
    <n v="90000"/>
    <m/>
    <x v="0"/>
    <n v="1"/>
    <x v="1"/>
    <n v="5"/>
    <s v="Professional"/>
    <n v="3"/>
    <x v="1"/>
    <n v="2"/>
    <n v="3"/>
    <n v="1"/>
    <n v="5"/>
    <n v="4"/>
    <s v="Y"/>
    <n v="2000"/>
    <x v="1"/>
  </r>
  <r>
    <d v="2019-10-26T00:00:00"/>
    <d v="1899-12-30T14:24:00"/>
    <m/>
    <s v="D"/>
    <n v="2"/>
    <s v="Road Vehicle"/>
    <n v="4"/>
    <x v="3"/>
    <x v="0"/>
    <n v="2"/>
    <x v="1"/>
    <s v="HIOMA"/>
    <s v="HIOMA"/>
    <s v="UG"/>
    <n v="1"/>
    <s v="Home"/>
    <s v="HIOMA"/>
    <s v="HIOMA"/>
    <s v="UG"/>
    <n v="6"/>
    <s v="Leisure/Social"/>
    <x v="8"/>
    <n v="5000"/>
    <n v="30"/>
    <x v="4"/>
    <n v="1"/>
    <x v="1"/>
    <n v="8"/>
    <s v="Student"/>
    <n v="2"/>
    <x v="3"/>
    <n v="3"/>
    <n v="5"/>
    <n v="1"/>
    <n v="4"/>
    <n v="2"/>
    <s v="Y"/>
    <m/>
    <x v="3"/>
  </r>
  <r>
    <d v="2019-10-26T00:00:00"/>
    <d v="1899-12-30T15:24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5"/>
    <s v="Tourism"/>
    <x v="20"/>
    <n v="15000"/>
    <n v="200"/>
    <x v="3"/>
    <n v="3"/>
    <x v="0"/>
    <n v="2"/>
    <s v="Manual Labour"/>
    <n v="2"/>
    <x v="3"/>
    <n v="3"/>
    <n v="4"/>
    <n v="1"/>
    <n v="5"/>
    <n v="3"/>
    <s v="Y"/>
    <m/>
    <x v="3"/>
  </r>
  <r>
    <d v="2019-10-26T00:00:00"/>
    <d v="1899-12-30T15:37:00"/>
    <m/>
    <s v="P"/>
    <n v="2"/>
    <s v="Road Vehicle"/>
    <n v="4"/>
    <x v="3"/>
    <x v="0"/>
    <n v="2"/>
    <x v="1"/>
    <s v="HIOMA"/>
    <s v="HIOMA"/>
    <s v="UG"/>
    <n v="4"/>
    <s v="Commercial"/>
    <s v="KAMPALA"/>
    <s v="KAMPALA"/>
    <s v="UG"/>
    <n v="1"/>
    <s v="Home"/>
    <x v="3"/>
    <n v="15000"/>
    <n v="200"/>
    <x v="3"/>
    <n v="4"/>
    <x v="2"/>
    <n v="2"/>
    <s v="Manual Labour"/>
    <n v="3"/>
    <x v="1"/>
    <n v="3"/>
    <n v="1"/>
    <n v="2"/>
    <n v="5"/>
    <n v="4"/>
    <s v="Y"/>
    <n v="5000"/>
    <x v="2"/>
  </r>
  <r>
    <d v="2019-10-26T00:00:00"/>
    <d v="1899-12-30T14:43:00"/>
    <m/>
    <s v="D"/>
    <n v="2"/>
    <s v="Road Vehicle"/>
    <n v="4"/>
    <x v="3"/>
    <x v="0"/>
    <n v="2"/>
    <x v="1"/>
    <s v="HIOMA"/>
    <s v="HIOMA"/>
    <s v="UG"/>
    <n v="2"/>
    <s v="Work"/>
    <s v="BULIMA"/>
    <s v="BULIMA"/>
    <s v="UG"/>
    <n v="2"/>
    <s v="Work"/>
    <x v="2"/>
    <n v="10000"/>
    <n v="20"/>
    <x v="4"/>
    <n v="40"/>
    <x v="2"/>
    <n v="2"/>
    <s v="Manual Labour"/>
    <n v="3"/>
    <x v="1"/>
    <n v="5"/>
    <n v="4"/>
    <n v="3"/>
    <n v="2"/>
    <n v="1"/>
    <s v="Y"/>
    <n v="2000"/>
    <x v="1"/>
  </r>
  <r>
    <d v="2019-10-26T00:00:00"/>
    <d v="1899-12-30T14:16:00"/>
    <m/>
    <s v="D"/>
    <n v="2"/>
    <s v="Road Vehicle"/>
    <n v="4"/>
    <x v="3"/>
    <x v="0"/>
    <n v="2"/>
    <x v="1"/>
    <s v="HIOMA"/>
    <s v="HIOMA"/>
    <s v="UG"/>
    <n v="2"/>
    <s v="Work"/>
    <s v="BULIISA"/>
    <s v="BULIISA"/>
    <s v="UG"/>
    <n v="1"/>
    <s v="Home"/>
    <x v="4"/>
    <n v="200000"/>
    <n v="72"/>
    <x v="1"/>
    <n v="1"/>
    <x v="1"/>
    <n v="5"/>
    <s v="Professional"/>
    <n v="3"/>
    <x v="1"/>
    <n v="2"/>
    <n v="1"/>
    <n v="3"/>
    <n v="4"/>
    <n v="5"/>
    <s v="Y"/>
    <n v="4000"/>
    <x v="0"/>
  </r>
  <r>
    <d v="2019-10-26T00:00:00"/>
    <d v="1899-12-30T14:08:00"/>
    <m/>
    <s v="D"/>
    <n v="2"/>
    <s v="Road Vehicle"/>
    <n v="4"/>
    <x v="3"/>
    <x v="0"/>
    <n v="2"/>
    <x v="1"/>
    <s v="HIOMA"/>
    <s v="HIOMA"/>
    <s v="UG"/>
    <n v="1"/>
    <s v="Home"/>
    <s v="KAMPALA"/>
    <s v="KAMPALA"/>
    <s v="UG"/>
    <n v="2"/>
    <s v="Work"/>
    <x v="1"/>
    <n v="1750000"/>
    <n v="190"/>
    <x v="2"/>
    <n v="3"/>
    <x v="0"/>
    <n v="10"/>
    <s v="Other"/>
    <n v="2"/>
    <x v="3"/>
    <n v="3"/>
    <n v="5"/>
    <n v="4"/>
    <n v="2"/>
    <n v="1"/>
    <s v="Y"/>
    <m/>
    <x v="3"/>
  </r>
  <r>
    <d v="2019-10-26T00:00:00"/>
    <d v="1899-12-30T15:42:00"/>
    <m/>
    <s v="D"/>
    <n v="2"/>
    <s v="Road Vehicle"/>
    <n v="4"/>
    <x v="3"/>
    <x v="0"/>
    <n v="2"/>
    <x v="1"/>
    <s v="HIOMA"/>
    <s v="HIOMA"/>
    <s v="UG"/>
    <n v="2"/>
    <s v="Work"/>
    <s v="BUSUNJJU"/>
    <s v="BUSUJJU"/>
    <s v="UG"/>
    <n v="2"/>
    <s v="Work"/>
    <x v="2"/>
    <n v="120000"/>
    <n v="111"/>
    <x v="2"/>
    <n v="3"/>
    <x v="0"/>
    <n v="6"/>
    <s v="Businessman"/>
    <n v="4"/>
    <x v="0"/>
    <n v="5"/>
    <n v="4"/>
    <n v="3"/>
    <n v="2"/>
    <n v="5"/>
    <s v="Y"/>
    <n v="1000"/>
    <x v="4"/>
  </r>
  <r>
    <d v="2019-10-26T00:00:00"/>
    <d v="1899-12-30T12:39:00"/>
    <m/>
    <s v="P"/>
    <n v="2"/>
    <s v="Road Vehicle"/>
    <n v="4"/>
    <x v="3"/>
    <x v="0"/>
    <n v="2"/>
    <x v="1"/>
    <s v="HIOMA"/>
    <s v="HIOMA"/>
    <s v="UG"/>
    <n v="4"/>
    <s v="Commercial"/>
    <s v="KAMPALA"/>
    <s v="KAMPALA"/>
    <s v="UG"/>
    <n v="1"/>
    <s v="Home"/>
    <x v="3"/>
    <n v="13000"/>
    <n v="190"/>
    <x v="2"/>
    <n v="3"/>
    <x v="0"/>
    <n v="5"/>
    <s v="Professional"/>
    <n v="3"/>
    <x v="1"/>
    <n v="2"/>
    <n v="1"/>
    <n v="3"/>
    <n v="5"/>
    <n v="4"/>
    <s v="Y"/>
    <n v="10000"/>
    <x v="5"/>
  </r>
  <r>
    <d v="2019-10-26T00:00:00"/>
    <d v="1899-12-30T12:20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2"/>
    <s v="Work"/>
    <x v="2"/>
    <n v="700000"/>
    <n v="195"/>
    <x v="2"/>
    <n v="3"/>
    <x v="0"/>
    <n v="2"/>
    <s v="Manual Labour"/>
    <n v="4"/>
    <x v="0"/>
    <n v="1"/>
    <n v="2"/>
    <n v="5"/>
    <n v="3"/>
    <n v="4"/>
    <s v="Y"/>
    <n v="1000"/>
    <x v="4"/>
  </r>
  <r>
    <d v="2019-10-26T00:00:00"/>
    <d v="1899-12-30T13:58:00"/>
    <m/>
    <s v="D"/>
    <n v="2"/>
    <s v="Road Vehicle"/>
    <n v="4"/>
    <x v="3"/>
    <x v="0"/>
    <n v="2"/>
    <x v="1"/>
    <s v="HIOMA"/>
    <s v="HIOMA"/>
    <s v="UG"/>
    <n v="4"/>
    <s v="Commercial"/>
    <s v="KAISO"/>
    <s v="KIBUULE"/>
    <s v="UG"/>
    <n v="2"/>
    <s v="Work"/>
    <x v="24"/>
    <n v="70000"/>
    <n v="200"/>
    <x v="3"/>
    <n v="3"/>
    <x v="0"/>
    <n v="10"/>
    <s v="Other"/>
    <n v="4"/>
    <x v="0"/>
    <n v="5"/>
    <n v="4"/>
    <n v="3"/>
    <n v="2"/>
    <n v="1"/>
    <s v="Y"/>
    <n v="2000"/>
    <x v="1"/>
  </r>
  <r>
    <d v="2019-10-26T00:00:00"/>
    <d v="1899-12-30T07:08:00"/>
    <m/>
    <s v="P"/>
    <n v="2"/>
    <s v="Road Vehicle"/>
    <n v="4"/>
    <x v="3"/>
    <x v="0"/>
    <n v="2"/>
    <x v="1"/>
    <s v="HIOMA"/>
    <s v="HIOMA"/>
    <s v="UG"/>
    <n v="1"/>
    <s v="Home"/>
    <s v="KAMPALA"/>
    <s v="KAMPALA"/>
    <s v="UG"/>
    <n v="3"/>
    <s v="Study"/>
    <x v="25"/>
    <n v="15000"/>
    <n v="450"/>
    <x v="3"/>
    <n v="3"/>
    <x v="0"/>
    <n v="6"/>
    <s v="Businessman"/>
    <n v="4"/>
    <x v="0"/>
    <n v="1"/>
    <n v="2"/>
    <n v="5"/>
    <n v="3"/>
    <n v="4"/>
    <s v="Y"/>
    <n v="1000"/>
    <x v="4"/>
  </r>
  <r>
    <d v="2019-10-26T00:00:00"/>
    <d v="1899-12-30T15:13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1"/>
    <s v="Home"/>
    <x v="4"/>
    <n v="13000"/>
    <n v="195"/>
    <x v="2"/>
    <n v="2"/>
    <x v="0"/>
    <n v="3"/>
    <s v="Artisan/Domestic"/>
    <n v="4"/>
    <x v="0"/>
    <n v="2"/>
    <n v="1"/>
    <n v="5"/>
    <n v="3"/>
    <n v="4"/>
    <s v="Y"/>
    <n v="4000"/>
    <x v="0"/>
  </r>
  <r>
    <d v="2019-10-26T00:00:00"/>
    <d v="1899-12-30T07:36:00"/>
    <m/>
    <s v="P"/>
    <n v="2"/>
    <s v="Road Vehicle"/>
    <n v="4"/>
    <x v="3"/>
    <x v="0"/>
    <n v="2"/>
    <x v="1"/>
    <s v="HIOMA"/>
    <s v="HIOMA"/>
    <s v="UG"/>
    <n v="2"/>
    <s v="Work"/>
    <s v="BUSUNJJU"/>
    <s v="BUSUJJU"/>
    <s v="UG"/>
    <n v="1"/>
    <s v="Home"/>
    <x v="4"/>
    <n v="15000"/>
    <n v="160"/>
    <x v="2"/>
    <n v="2"/>
    <x v="0"/>
    <n v="7"/>
    <s v="Farmer"/>
    <n v="2"/>
    <x v="3"/>
    <n v="4"/>
    <n v="3"/>
    <n v="2"/>
    <n v="1"/>
    <n v="5"/>
    <s v="Y"/>
    <m/>
    <x v="3"/>
  </r>
  <r>
    <d v="2019-10-26T00:00:00"/>
    <d v="1899-12-30T08:36:00"/>
    <m/>
    <s v="D"/>
    <n v="2"/>
    <s v="Road Vehicle"/>
    <n v="4"/>
    <x v="3"/>
    <x v="0"/>
    <n v="2"/>
    <x v="1"/>
    <s v="HIOMA"/>
    <s v="HIOMA"/>
    <s v="UG"/>
    <n v="2"/>
    <s v="Work"/>
    <s v="KAISO"/>
    <s v="KIBUULE"/>
    <s v="UG"/>
    <n v="1"/>
    <s v="Home"/>
    <x v="4"/>
    <n v="250000"/>
    <n v="114"/>
    <x v="2"/>
    <n v="3"/>
    <x v="0"/>
    <n v="10"/>
    <s v="Other"/>
    <n v="3"/>
    <x v="1"/>
    <n v="1"/>
    <n v="2"/>
    <n v="3"/>
    <n v="4"/>
    <n v="2"/>
    <s v="Y"/>
    <n v="1000"/>
    <x v="4"/>
  </r>
  <r>
    <d v="2019-10-26T00:00:00"/>
    <d v="1899-12-30T08:29:00"/>
    <m/>
    <s v="P"/>
    <n v="2"/>
    <s v="Road Vehicle"/>
    <n v="4"/>
    <x v="3"/>
    <x v="0"/>
    <n v="2"/>
    <x v="1"/>
    <s v="HIOMA"/>
    <s v="HIOMA"/>
    <s v="UG"/>
    <n v="3"/>
    <s v="Study"/>
    <s v="KAISO"/>
    <s v="KIBUULE"/>
    <s v="UG"/>
    <n v="1"/>
    <s v="Home"/>
    <x v="9"/>
    <n v="150000"/>
    <n v="110"/>
    <x v="2"/>
    <n v="2"/>
    <x v="0"/>
    <n v="6"/>
    <s v="Businessman"/>
    <n v="2"/>
    <x v="3"/>
    <n v="1"/>
    <n v="2"/>
    <n v="5"/>
    <n v="1"/>
    <n v="3"/>
    <s v="Y"/>
    <m/>
    <x v="3"/>
  </r>
  <r>
    <d v="2019-10-26T00:00:00"/>
    <d v="1899-12-30T17:16:00"/>
    <m/>
    <s v="P"/>
    <n v="2"/>
    <s v="Road Vehicle"/>
    <n v="4"/>
    <x v="3"/>
    <x v="0"/>
    <n v="2"/>
    <x v="1"/>
    <s v="HIOMA"/>
    <s v="HIOMA"/>
    <s v="UG"/>
    <n v="4"/>
    <s v="Commercial"/>
    <s v="KAMPALA"/>
    <s v="KAMPALA"/>
    <s v="UG"/>
    <n v="1"/>
    <s v="Home"/>
    <x v="3"/>
    <n v="150000"/>
    <n v="210"/>
    <x v="3"/>
    <n v="4"/>
    <x v="2"/>
    <n v="6"/>
    <s v="Businessman"/>
    <n v="1"/>
    <x v="2"/>
    <n v="1"/>
    <n v="1"/>
    <n v="1"/>
    <n v="1"/>
    <n v="1"/>
    <s v="Y"/>
    <n v="2500"/>
    <x v="1"/>
  </r>
  <r>
    <d v="2019-10-26T00:00:00"/>
    <d v="1899-12-30T16:10:00"/>
    <m/>
    <s v="D"/>
    <n v="2"/>
    <s v="Road Vehicle"/>
    <n v="4"/>
    <x v="3"/>
    <x v="0"/>
    <n v="2"/>
    <x v="1"/>
    <s v="HIOMA"/>
    <s v="HIOMA"/>
    <s v="UG"/>
    <n v="8"/>
    <s v="Others"/>
    <s v="KAMPALA"/>
    <s v="KAMPALA"/>
    <s v="UG"/>
    <n v="2"/>
    <s v="Work"/>
    <x v="14"/>
    <n v="150000"/>
    <n v="180"/>
    <x v="2"/>
    <n v="4"/>
    <x v="2"/>
    <n v="5"/>
    <s v="Professional"/>
    <n v="4"/>
    <x v="0"/>
    <n v="2"/>
    <n v="5"/>
    <n v="1"/>
    <n v="3"/>
    <n v="4"/>
    <s v="Y"/>
    <n v="3000"/>
    <x v="0"/>
  </r>
  <r>
    <d v="2019-10-26T00:00:00"/>
    <d v="1899-12-30T16:00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2"/>
    <s v="Work"/>
    <x v="2"/>
    <n v="250000"/>
    <n v="210"/>
    <x v="3"/>
    <n v="3"/>
    <x v="0"/>
    <n v="10"/>
    <s v="Other"/>
    <n v="2"/>
    <x v="3"/>
    <n v="3"/>
    <n v="1"/>
    <n v="5"/>
    <n v="4"/>
    <n v="3"/>
    <s v="Y"/>
    <n v="4000"/>
    <x v="0"/>
  </r>
  <r>
    <d v="2019-10-26T00:00:00"/>
    <d v="1899-12-30T10:17:00"/>
    <m/>
    <s v="P"/>
    <n v="2"/>
    <s v="Road Vehicle"/>
    <n v="4"/>
    <x v="3"/>
    <x v="0"/>
    <n v="2"/>
    <x v="1"/>
    <s v="HIOMA"/>
    <s v="HIOMA"/>
    <s v="UG"/>
    <n v="2"/>
    <s v="Work"/>
    <s v="ARUA"/>
    <s v="ARUA"/>
    <s v="UG"/>
    <n v="1"/>
    <s v="Home"/>
    <x v="4"/>
    <n v="350000"/>
    <n v="390"/>
    <x v="3"/>
    <n v="8"/>
    <x v="2"/>
    <n v="4"/>
    <s v="Office Worker"/>
    <n v="3"/>
    <x v="1"/>
    <n v="3"/>
    <n v="4"/>
    <n v="5"/>
    <n v="2"/>
    <n v="1"/>
    <s v="Y"/>
    <n v="3000"/>
    <x v="0"/>
  </r>
  <r>
    <d v="2019-10-26T00:00:00"/>
    <d v="1899-12-30T10:08:00"/>
    <m/>
    <s v="D"/>
    <n v="2"/>
    <s v="Road Vehicle"/>
    <n v="4"/>
    <x v="3"/>
    <x v="0"/>
    <n v="2"/>
    <x v="1"/>
    <s v="HIOMA"/>
    <s v="HIOMA"/>
    <s v="UG"/>
    <n v="4"/>
    <s v="Commercial"/>
    <s v="ARUA"/>
    <s v="ARUA"/>
    <s v="UG"/>
    <n v="1"/>
    <s v="Home"/>
    <x v="3"/>
    <n v="700000"/>
    <n v="390"/>
    <x v="3"/>
    <n v="8"/>
    <x v="2"/>
    <n v="10"/>
    <s v="Other"/>
    <n v="4"/>
    <x v="0"/>
    <n v="2"/>
    <n v="1"/>
    <n v="5"/>
    <n v="4"/>
    <n v="3"/>
    <s v="Y"/>
    <n v="5000"/>
    <x v="2"/>
  </r>
  <r>
    <d v="2019-10-26T00:00:00"/>
    <d v="1899-12-30T09:53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1"/>
    <s v="Home"/>
    <x v="4"/>
    <n v="200000"/>
    <n v="200"/>
    <x v="3"/>
    <n v="4"/>
    <x v="2"/>
    <n v="10"/>
    <s v="Other"/>
    <n v="3"/>
    <x v="1"/>
    <n v="5"/>
    <n v="1"/>
    <n v="2"/>
    <n v="4"/>
    <n v="3"/>
    <s v="Y"/>
    <n v="1000"/>
    <x v="4"/>
  </r>
  <r>
    <d v="2019-10-26T00:00:00"/>
    <d v="1899-12-30T09:43:00"/>
    <m/>
    <s v="D"/>
    <n v="2"/>
    <s v="Road Vehicle"/>
    <n v="4"/>
    <x v="3"/>
    <x v="0"/>
    <n v="2"/>
    <x v="1"/>
    <s v="HIOMA"/>
    <s v="HIOMA"/>
    <s v="UG"/>
    <n v="2"/>
    <s v="Work"/>
    <s v="BUSUNJJU"/>
    <s v="BUSUJJU"/>
    <s v="UG"/>
    <n v="2"/>
    <s v="Work"/>
    <x v="2"/>
    <n v="200000"/>
    <n v="80"/>
    <x v="1"/>
    <n v="3"/>
    <x v="0"/>
    <n v="10"/>
    <s v="Other"/>
    <n v="2"/>
    <x v="3"/>
    <n v="1"/>
    <n v="2"/>
    <n v="5"/>
    <n v="4"/>
    <n v="3"/>
    <s v="Y"/>
    <n v="2000"/>
    <x v="1"/>
  </r>
  <r>
    <d v="2019-10-26T00:00:00"/>
    <d v="1899-12-30T09:28:00"/>
    <m/>
    <s v="D"/>
    <n v="2"/>
    <s v="Road Vehicle"/>
    <n v="4"/>
    <x v="3"/>
    <x v="0"/>
    <n v="2"/>
    <x v="1"/>
    <s v="HIOMA"/>
    <s v="HIOMA"/>
    <s v="UG"/>
    <n v="1"/>
    <s v="Home"/>
    <s v="BIISO"/>
    <s v="MASINDI"/>
    <s v="UG"/>
    <n v="2"/>
    <s v="Work"/>
    <x v="1"/>
    <n v="190000"/>
    <n v="73"/>
    <x v="1"/>
    <n v="2"/>
    <x v="0"/>
    <n v="10"/>
    <s v="Other"/>
    <n v="3"/>
    <x v="1"/>
    <n v="5"/>
    <n v="1"/>
    <n v="2"/>
    <n v="3"/>
    <n v="2"/>
    <s v="Y"/>
    <m/>
    <x v="3"/>
  </r>
  <r>
    <d v="2019-10-26T00:00:00"/>
    <d v="1899-12-30T09:30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2"/>
    <s v="Work"/>
    <x v="2"/>
    <n v="13000"/>
    <n v="190"/>
    <x v="2"/>
    <n v="3"/>
    <x v="0"/>
    <n v="5"/>
    <s v="Professional"/>
    <n v="4"/>
    <x v="0"/>
    <n v="1"/>
    <n v="2"/>
    <n v="3"/>
    <n v="5"/>
    <n v="4"/>
    <s v="Y"/>
    <n v="5000"/>
    <x v="2"/>
  </r>
  <r>
    <d v="2019-10-26T00:00:00"/>
    <d v="1899-12-30T13:28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1"/>
    <s v="Home"/>
    <x v="4"/>
    <n v="700000"/>
    <n v="190"/>
    <x v="2"/>
    <n v="4"/>
    <x v="2"/>
    <n v="10"/>
    <s v="Other"/>
    <n v="4"/>
    <x v="0"/>
    <n v="2"/>
    <n v="1"/>
    <n v="3"/>
    <n v="5"/>
    <n v="4"/>
    <s v="Y"/>
    <n v="1000"/>
    <x v="4"/>
  </r>
  <r>
    <d v="2019-10-26T00:00:00"/>
    <d v="1899-12-30T09:01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1"/>
    <s v="Home"/>
    <x v="4"/>
    <n v="180000"/>
    <n v="190"/>
    <x v="2"/>
    <n v="4"/>
    <x v="2"/>
    <n v="10"/>
    <s v="Other"/>
    <n v="3"/>
    <x v="1"/>
    <n v="3"/>
    <n v="1"/>
    <n v="2"/>
    <n v="4"/>
    <n v="3"/>
    <s v="Y"/>
    <n v="3000"/>
    <x v="0"/>
  </r>
  <r>
    <d v="2019-10-26T00:00:00"/>
    <d v="1899-12-30T07:59:00"/>
    <m/>
    <s v="D"/>
    <n v="2"/>
    <s v="Road Vehicle"/>
    <n v="4"/>
    <x v="3"/>
    <x v="0"/>
    <n v="2"/>
    <x v="1"/>
    <s v="HIOMA"/>
    <s v="HIOMA"/>
    <s v="UG"/>
    <n v="2"/>
    <s v="Work"/>
    <s v="KAMPALA"/>
    <s v="KAMPALA"/>
    <s v="UG"/>
    <n v="1"/>
    <s v="Home"/>
    <x v="4"/>
    <n v="200000"/>
    <n v="220"/>
    <x v="3"/>
    <n v="3"/>
    <x v="0"/>
    <n v="10"/>
    <s v="Other"/>
    <n v="4"/>
    <x v="0"/>
    <n v="1"/>
    <n v="2"/>
    <n v="5"/>
    <n v="4"/>
    <n v="3"/>
    <s v="Y"/>
    <m/>
    <x v="3"/>
  </r>
  <r>
    <d v="2019-10-26T00:00:00"/>
    <d v="1899-12-30T07:53:00"/>
    <m/>
    <s v="D"/>
    <n v="2"/>
    <s v="Road Vehicle"/>
    <n v="4"/>
    <x v="3"/>
    <x v="0"/>
    <n v="2"/>
    <x v="1"/>
    <s v="HIOMA"/>
    <s v="HIOMA"/>
    <s v="UG"/>
    <n v="2"/>
    <s v="Work"/>
    <s v="KAGADI"/>
    <s v="KAGADI"/>
    <s v="UG"/>
    <n v="1"/>
    <s v="Home"/>
    <x v="4"/>
    <n v="180000"/>
    <n v="115"/>
    <x v="2"/>
    <n v="3"/>
    <x v="0"/>
    <n v="10"/>
    <s v="Other"/>
    <n v="2"/>
    <x v="3"/>
    <n v="2"/>
    <n v="3"/>
    <n v="1"/>
    <n v="4"/>
    <n v="5"/>
    <s v="Y"/>
    <m/>
    <x v="3"/>
  </r>
  <r>
    <d v="2019-10-24T00:00:00"/>
    <d v="1899-12-30T08:54:00"/>
    <m/>
    <s v="P"/>
    <n v="2"/>
    <s v="Road Vehicle"/>
    <n v="1"/>
    <x v="0"/>
    <x v="0"/>
    <n v="3"/>
    <x v="2"/>
    <s v="HIOMA"/>
    <s v="HIOMA"/>
    <s v="UG"/>
    <n v="1"/>
    <s v="Home"/>
    <s v="KIBUROYA"/>
    <s v="KIKUUBE"/>
    <s v="UG"/>
    <n v="2"/>
    <s v="Work"/>
    <x v="1"/>
    <n v="7000"/>
    <n v="30"/>
    <x v="4"/>
    <n v="1"/>
    <x v="1"/>
    <n v="4"/>
    <s v="Office Worker"/>
    <n v="4"/>
    <x v="0"/>
    <n v="3"/>
    <n v="5"/>
    <n v="2"/>
    <n v="1"/>
    <n v="4"/>
    <s v="Y"/>
    <n v="1000"/>
    <x v="4"/>
  </r>
  <r>
    <d v="2019-10-25T00:00:00"/>
    <d v="1899-12-30T10:00:00"/>
    <m/>
    <s v="D"/>
    <n v="2"/>
    <s v="Road Vehicle"/>
    <n v="1"/>
    <x v="0"/>
    <x v="0"/>
    <n v="3"/>
    <x v="2"/>
    <s v="HIOMA"/>
    <s v="HIOMA"/>
    <s v="UG"/>
    <n v="2"/>
    <s v="Work"/>
    <s v="MASINDI"/>
    <s v="MASINDI"/>
    <s v="UG"/>
    <n v="1"/>
    <s v="Home"/>
    <x v="4"/>
    <n v="5000"/>
    <n v="40"/>
    <x v="5"/>
    <n v="3"/>
    <x v="0"/>
    <n v="5"/>
    <s v="Professional"/>
    <n v="3"/>
    <x v="1"/>
    <n v="2"/>
    <n v="3"/>
    <n v="5"/>
    <n v="4"/>
    <n v="1"/>
    <s v="Y"/>
    <m/>
    <x v="3"/>
  </r>
  <r>
    <d v="2019-10-25T00:00:00"/>
    <d v="1899-12-30T10:07:00"/>
    <m/>
    <s v="D"/>
    <n v="2"/>
    <s v="Road Vehicle"/>
    <n v="1"/>
    <x v="0"/>
    <x v="0"/>
    <n v="3"/>
    <x v="2"/>
    <s v="HIOMA"/>
    <s v="HIOMA"/>
    <s v="UG"/>
    <n v="1"/>
    <s v="Home"/>
    <s v="MASINDI"/>
    <s v="MASINDI"/>
    <s v="UG"/>
    <n v="2"/>
    <s v="Work"/>
    <x v="1"/>
    <n v="50000"/>
    <n v="40"/>
    <x v="5"/>
    <n v="2"/>
    <x v="0"/>
    <n v="6"/>
    <s v="Businessman"/>
    <n v="3"/>
    <x v="1"/>
    <n v="3"/>
    <n v="4"/>
    <n v="5"/>
    <n v="1"/>
    <n v="2"/>
    <s v="Y"/>
    <n v="1000"/>
    <x v="4"/>
  </r>
  <r>
    <d v="2019-10-24T00:00:00"/>
    <d v="1899-12-30T15:21:00"/>
    <m/>
    <s v="P"/>
    <n v="2"/>
    <s v="Road Vehicle"/>
    <n v="6"/>
    <x v="1"/>
    <x v="1"/>
    <n v="3"/>
    <x v="2"/>
    <s v="HIOMA"/>
    <s v="HIOMA"/>
    <s v="UG"/>
    <n v="2"/>
    <s v="Work"/>
    <s v="ARUA"/>
    <s v="ARUA"/>
    <s v="UG"/>
    <n v="2"/>
    <s v="Work"/>
    <x v="2"/>
    <n v="35000"/>
    <n v="200"/>
    <x v="3"/>
    <n v="8"/>
    <x v="2"/>
    <n v="10"/>
    <s v="Other"/>
    <n v="3"/>
    <x v="1"/>
    <n v="2"/>
    <n v="1"/>
    <n v="3"/>
    <n v="4"/>
    <n v="5"/>
    <s v="Y"/>
    <n v="2000"/>
    <x v="1"/>
  </r>
  <r>
    <d v="2019-10-24T00:00:00"/>
    <s v="18;33"/>
    <m/>
    <s v="D"/>
    <n v="2"/>
    <s v="Road Vehicle"/>
    <n v="6"/>
    <x v="1"/>
    <x v="0"/>
    <n v="3"/>
    <x v="2"/>
    <s v="HIOMA"/>
    <s v="HIOMA"/>
    <s v="UG"/>
    <n v="1"/>
    <s v="Home"/>
    <s v="KAISO"/>
    <s v="KAISO"/>
    <s v="UG"/>
    <n v="2"/>
    <s v="Work"/>
    <x v="1"/>
    <n v="600000"/>
    <n v="120"/>
    <x v="2"/>
    <n v="2"/>
    <x v="0"/>
    <n v="10"/>
    <s v="Other"/>
    <n v="3"/>
    <x v="1"/>
    <n v="2"/>
    <n v="3"/>
    <n v="1"/>
    <n v="5"/>
    <n v="4"/>
    <s v="Y"/>
    <m/>
    <x v="3"/>
  </r>
  <r>
    <d v="2019-10-24T00:00:00"/>
    <d v="1899-12-30T17:52:00"/>
    <m/>
    <s v="D"/>
    <n v="2"/>
    <s v="Road Vehicle"/>
    <n v="6"/>
    <x v="1"/>
    <x v="0"/>
    <n v="3"/>
    <x v="2"/>
    <s v="HIOMA"/>
    <s v="HIOMA"/>
    <s v="UG"/>
    <n v="2"/>
    <s v="Work"/>
    <s v="KIBUULE"/>
    <s v="KIBUULE"/>
    <s v="UG"/>
    <n v="1"/>
    <s v="Home"/>
    <x v="4"/>
    <n v="700000"/>
    <n v="120"/>
    <x v="2"/>
    <n v="2"/>
    <x v="0"/>
    <n v="10"/>
    <s v="Other"/>
    <n v="4"/>
    <x v="0"/>
    <n v="2"/>
    <n v="1"/>
    <n v="3"/>
    <n v="4"/>
    <n v="5"/>
    <s v="Y"/>
    <n v="2000"/>
    <x v="1"/>
  </r>
  <r>
    <d v="2019-10-24T00:00:00"/>
    <d v="1899-12-30T16:25:00"/>
    <m/>
    <s v="D"/>
    <n v="2"/>
    <s v="Road Vehicle"/>
    <n v="6"/>
    <x v="1"/>
    <x v="0"/>
    <n v="3"/>
    <x v="2"/>
    <s v="HIOMA"/>
    <s v="HIOMA"/>
    <s v="UG"/>
    <n v="1"/>
    <s v="Home"/>
    <s v="KAMPALA"/>
    <s v="KAMPALA"/>
    <s v="UG"/>
    <n v="2"/>
    <s v="Work"/>
    <x v="1"/>
    <n v="700000"/>
    <n v="200"/>
    <x v="3"/>
    <n v="4"/>
    <x v="2"/>
    <n v="10"/>
    <s v="Other"/>
    <n v="2"/>
    <x v="3"/>
    <n v="2"/>
    <n v="1"/>
    <n v="3"/>
    <n v="4"/>
    <n v="5"/>
    <s v="Y"/>
    <n v="1000"/>
    <x v="4"/>
  </r>
  <r>
    <d v="2019-10-24T00:00:00"/>
    <d v="1899-12-30T16:15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200"/>
    <x v="3"/>
    <n v="4"/>
    <x v="2"/>
    <n v="10"/>
    <s v="Other"/>
    <n v="4"/>
    <x v="0"/>
    <n v="1"/>
    <n v="5"/>
    <n v="4"/>
    <n v="3"/>
    <n v="2"/>
    <s v="Y"/>
    <m/>
    <x v="3"/>
  </r>
  <r>
    <d v="2019-10-24T00:00:00"/>
    <d v="1899-12-30T15:13:00"/>
    <m/>
    <s v="D"/>
    <n v="2"/>
    <s v="Road Vehicle"/>
    <n v="6"/>
    <x v="1"/>
    <x v="0"/>
    <n v="3"/>
    <x v="2"/>
    <s v="HIOMA"/>
    <s v="HIOMA"/>
    <s v="UG"/>
    <n v="2"/>
    <s v="Work"/>
    <s v="ARUA"/>
    <s v="ARUA"/>
    <s v="UG"/>
    <n v="1"/>
    <s v="Home"/>
    <x v="4"/>
    <n v="700000"/>
    <n v="190"/>
    <x v="2"/>
    <n v="3"/>
    <x v="0"/>
    <n v="10"/>
    <s v="Other"/>
    <n v="4"/>
    <x v="0"/>
    <n v="1"/>
    <n v="1"/>
    <n v="5"/>
    <n v="2"/>
    <n v="4"/>
    <s v="Y"/>
    <n v="1000"/>
    <x v="4"/>
  </r>
  <r>
    <d v="2019-10-24T00:00:00"/>
    <d v="1899-12-30T14:55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2"/>
    <s v="Work"/>
    <x v="2"/>
    <n v="700000"/>
    <n v="190"/>
    <x v="2"/>
    <n v="3"/>
    <x v="0"/>
    <n v="10"/>
    <s v="Other"/>
    <n v="4"/>
    <x v="0"/>
    <n v="3"/>
    <n v="2"/>
    <n v="1"/>
    <n v="5"/>
    <n v="4"/>
    <s v="Y"/>
    <m/>
    <x v="3"/>
  </r>
  <r>
    <d v="2019-10-24T00:00:00"/>
    <d v="1899-12-30T14:31:00"/>
    <m/>
    <s v="P"/>
    <n v="2"/>
    <s v="Road Vehicle"/>
    <n v="6"/>
    <x v="1"/>
    <x v="0"/>
    <n v="3"/>
    <x v="2"/>
    <s v="HIOMA"/>
    <s v="HIOMA"/>
    <s v="UG"/>
    <n v="4"/>
    <s v="Commercial"/>
    <s v="KAMPALA"/>
    <s v="KAMPALA"/>
    <s v="UG"/>
    <n v="3"/>
    <s v="Study"/>
    <x v="26"/>
    <n v="13000"/>
    <n v="190"/>
    <x v="2"/>
    <n v="3"/>
    <x v="0"/>
    <n v="2"/>
    <s v="Manual Labour"/>
    <n v="1"/>
    <x v="2"/>
    <n v="3"/>
    <n v="2"/>
    <n v="1"/>
    <n v="5"/>
    <n v="4"/>
    <s v="Y"/>
    <n v="5000"/>
    <x v="2"/>
  </r>
  <r>
    <d v="2019-10-24T00:00:00"/>
    <d v="1899-12-30T23:50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200"/>
    <x v="3"/>
    <n v="4"/>
    <x v="2"/>
    <n v="10"/>
    <s v="Other"/>
    <n v="4"/>
    <x v="0"/>
    <n v="1"/>
    <n v="2"/>
    <n v="3"/>
    <n v="4"/>
    <n v="5"/>
    <s v="Y"/>
    <m/>
    <x v="3"/>
  </r>
  <r>
    <d v="2019-10-24T00:00:00"/>
    <d v="1899-12-30T13:35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195"/>
    <x v="2"/>
    <n v="4"/>
    <x v="2"/>
    <n v="10"/>
    <s v="Other"/>
    <n v="4"/>
    <x v="0"/>
    <n v="4"/>
    <n v="2"/>
    <n v="1"/>
    <n v="3"/>
    <n v="5"/>
    <s v="Y"/>
    <n v="1000"/>
    <x v="4"/>
  </r>
  <r>
    <d v="2019-10-24T00:00:00"/>
    <d v="1899-12-30T12:52:00"/>
    <m/>
    <s v="D"/>
    <n v="2"/>
    <s v="Road Vehicle"/>
    <n v="6"/>
    <x v="1"/>
    <x v="0"/>
    <n v="3"/>
    <x v="2"/>
    <s v="HIOMA"/>
    <s v="HIOMA"/>
    <s v="UG"/>
    <n v="1"/>
    <s v="Home"/>
    <s v="KAISO"/>
    <s v="KAISO"/>
    <s v="UG"/>
    <n v="2"/>
    <s v="Work"/>
    <x v="1"/>
    <n v="600000"/>
    <n v="150"/>
    <x v="2"/>
    <n v="2"/>
    <x v="0"/>
    <n v="10"/>
    <s v="Other"/>
    <n v="3"/>
    <x v="1"/>
    <n v="2"/>
    <n v="3"/>
    <n v="1"/>
    <n v="9"/>
    <n v="5"/>
    <s v="Y"/>
    <n v="2000"/>
    <x v="1"/>
  </r>
  <r>
    <d v="2019-10-24T00:00:00"/>
    <d v="1899-12-30T12:47:00"/>
    <m/>
    <s v="D"/>
    <n v="2"/>
    <s v="Road Vehicle"/>
    <n v="6"/>
    <x v="1"/>
    <x v="0"/>
    <n v="3"/>
    <x v="2"/>
    <s v="HIOMA"/>
    <s v="HIOMA"/>
    <s v="UG"/>
    <n v="1"/>
    <s v="Home"/>
    <s v="KAMPALA"/>
    <s v="KAMPALA"/>
    <s v="UG"/>
    <n v="2"/>
    <s v="Work"/>
    <x v="1"/>
    <n v="650000"/>
    <n v="198"/>
    <x v="2"/>
    <n v="4"/>
    <x v="2"/>
    <n v="10"/>
    <s v="Other"/>
    <n v="3"/>
    <x v="1"/>
    <n v="2"/>
    <n v="3"/>
    <n v="1"/>
    <n v="5"/>
    <n v="4"/>
    <s v="Y"/>
    <n v="1000"/>
    <x v="4"/>
  </r>
  <r>
    <d v="2019-10-25T00:00:00"/>
    <d v="1899-12-30T18:09:00"/>
    <m/>
    <s v="D"/>
    <n v="2"/>
    <s v="Road Vehicle"/>
    <n v="6"/>
    <x v="1"/>
    <x v="0"/>
    <n v="3"/>
    <x v="2"/>
    <s v="HIOMA"/>
    <s v="HIOMA"/>
    <s v="UG"/>
    <n v="1"/>
    <s v="Home"/>
    <s v="HIOMA"/>
    <s v="HIOMA"/>
    <s v="UG"/>
    <n v="2"/>
    <s v="Work"/>
    <x v="1"/>
    <n v="10000"/>
    <n v="130"/>
    <x v="2"/>
    <n v="3"/>
    <x v="0"/>
    <n v="10"/>
    <s v="Other"/>
    <n v="5"/>
    <x v="4"/>
    <n v="2"/>
    <n v="1"/>
    <n v="3"/>
    <n v="4"/>
    <n v="5"/>
    <s v="Y"/>
    <n v="3000"/>
    <x v="0"/>
  </r>
  <r>
    <d v="2019-10-25T00:00:00"/>
    <d v="1899-12-30T17:53:00"/>
    <m/>
    <s v="D"/>
    <n v="2"/>
    <s v="Road Vehicle"/>
    <n v="6"/>
    <x v="1"/>
    <x v="0"/>
    <n v="3"/>
    <x v="2"/>
    <s v="HIOMA"/>
    <s v="HIOMA"/>
    <s v="UG"/>
    <n v="2"/>
    <s v="Work"/>
    <s v="ARUA"/>
    <s v="ARUA"/>
    <s v="UG"/>
    <n v="1"/>
    <s v="Home"/>
    <x v="4"/>
    <n v="750000"/>
    <n v="400"/>
    <x v="3"/>
    <n v="8"/>
    <x v="2"/>
    <n v="10"/>
    <s v="Other"/>
    <n v="5"/>
    <x v="4"/>
    <n v="1"/>
    <n v="2"/>
    <n v="5"/>
    <n v="3"/>
    <n v="4"/>
    <s v="Y"/>
    <n v="3000"/>
    <x v="0"/>
  </r>
  <r>
    <d v="2019-10-25T00:00:00"/>
    <d v="1899-12-30T17:45:00"/>
    <m/>
    <s v="D"/>
    <n v="2"/>
    <s v="Road Vehicle"/>
    <n v="6"/>
    <x v="1"/>
    <x v="0"/>
    <n v="3"/>
    <x v="2"/>
    <s v="HIOMA"/>
    <s v="HIOMA"/>
    <s v="UG"/>
    <n v="2"/>
    <s v="Work"/>
    <s v="KAISO"/>
    <s v="KAISO"/>
    <s v="UG"/>
    <n v="1"/>
    <s v="Home"/>
    <x v="4"/>
    <n v="500000"/>
    <n v="75"/>
    <x v="1"/>
    <n v="2"/>
    <x v="0"/>
    <n v="10"/>
    <s v="Other"/>
    <n v="4"/>
    <x v="0"/>
    <n v="2"/>
    <n v="1"/>
    <n v="5"/>
    <n v="2"/>
    <n v="4"/>
    <s v="Y"/>
    <n v="1000"/>
    <x v="4"/>
  </r>
  <r>
    <d v="2019-10-25T00:00:00"/>
    <d v="1899-12-30T17:32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190"/>
    <x v="2"/>
    <n v="4"/>
    <x v="2"/>
    <n v="10"/>
    <s v="Other"/>
    <n v="3"/>
    <x v="1"/>
    <n v="2"/>
    <n v="1"/>
    <n v="3"/>
    <n v="2"/>
    <n v="1"/>
    <s v="Y"/>
    <m/>
    <x v="3"/>
  </r>
  <r>
    <d v="2019-10-25T00:00:00"/>
    <d v="1899-12-30T15:20:00"/>
    <m/>
    <s v="P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130000"/>
    <n v="200"/>
    <x v="3"/>
    <n v="5"/>
    <x v="2"/>
    <n v="5"/>
    <s v="Professional"/>
    <n v="4"/>
    <x v="0"/>
    <n v="2"/>
    <n v="2"/>
    <n v="4"/>
    <n v="2"/>
    <n v="5"/>
    <s v="Y"/>
    <m/>
    <x v="3"/>
  </r>
  <r>
    <d v="2019-10-25T00:00:00"/>
    <d v="1899-12-30T15:06:00"/>
    <m/>
    <s v="P"/>
    <n v="2"/>
    <s v="Road Vehicle"/>
    <n v="6"/>
    <x v="1"/>
    <x v="0"/>
    <n v="3"/>
    <x v="2"/>
    <s v="HIOMA"/>
    <s v="HIOMA"/>
    <s v="UG"/>
    <n v="4"/>
    <s v="Commercial"/>
    <s v="KAMPALA"/>
    <s v="KAMPALA"/>
    <s v="UG"/>
    <n v="2"/>
    <s v="Work"/>
    <x v="24"/>
    <n v="130000"/>
    <n v="190"/>
    <x v="2"/>
    <n v="4"/>
    <x v="2"/>
    <n v="6"/>
    <s v="Businessman"/>
    <n v="3"/>
    <x v="1"/>
    <n v="1"/>
    <n v="2"/>
    <n v="3"/>
    <n v="1"/>
    <n v="2"/>
    <s v="Y"/>
    <n v="3000"/>
    <x v="0"/>
  </r>
  <r>
    <d v="2019-10-25T00:00:00"/>
    <d v="1899-12-30T14:22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190"/>
    <x v="2"/>
    <n v="4"/>
    <x v="2"/>
    <n v="10"/>
    <s v="Other"/>
    <n v="2"/>
    <x v="3"/>
    <n v="1"/>
    <n v="3"/>
    <n v="2"/>
    <n v="4"/>
    <n v="5"/>
    <s v="Y"/>
    <n v="1000"/>
    <x v="4"/>
  </r>
  <r>
    <d v="2019-10-25T00:00:00"/>
    <d v="1899-12-30T14:16:00"/>
    <m/>
    <s v="D"/>
    <n v="2"/>
    <s v="Road Vehicle"/>
    <n v="6"/>
    <x v="1"/>
    <x v="0"/>
    <n v="3"/>
    <x v="2"/>
    <s v="HIOMA"/>
    <s v="HIOMA"/>
    <s v="UG"/>
    <n v="1"/>
    <s v="Home"/>
    <s v="KAMPALA"/>
    <s v="KAMPALA"/>
    <s v="UG"/>
    <n v="2"/>
    <s v="Work"/>
    <x v="1"/>
    <n v="400000"/>
    <n v="200"/>
    <x v="3"/>
    <n v="4"/>
    <x v="2"/>
    <n v="10"/>
    <s v="Other"/>
    <n v="4"/>
    <x v="0"/>
    <n v="1"/>
    <n v="5"/>
    <n v="4"/>
    <n v="2"/>
    <n v="3"/>
    <s v="Y"/>
    <n v="1000"/>
    <x v="4"/>
  </r>
  <r>
    <d v="2019-10-25T00:00:00"/>
    <d v="1899-12-30T14:02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225"/>
    <x v="3"/>
    <n v="5"/>
    <x v="2"/>
    <n v="10"/>
    <s v="Other"/>
    <n v="3"/>
    <x v="1"/>
    <n v="1"/>
    <n v="2"/>
    <n v="3"/>
    <n v="5"/>
    <n v="4"/>
    <s v="Y"/>
    <n v="5000"/>
    <x v="2"/>
  </r>
  <r>
    <d v="2019-10-25T00:00:00"/>
    <d v="1899-12-30T13:58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600000"/>
    <n v="200"/>
    <x v="3"/>
    <n v="4"/>
    <x v="2"/>
    <n v="10"/>
    <s v="Other"/>
    <n v="4"/>
    <x v="0"/>
    <n v="1"/>
    <n v="3"/>
    <n v="2"/>
    <n v="5"/>
    <n v="4"/>
    <s v="Y"/>
    <n v="10000"/>
    <x v="5"/>
  </r>
  <r>
    <d v="2019-10-25T00:00:00"/>
    <d v="1899-12-30T13:51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220"/>
    <x v="3"/>
    <n v="4"/>
    <x v="2"/>
    <n v="10"/>
    <s v="Other"/>
    <n v="4"/>
    <x v="0"/>
    <n v="4"/>
    <n v="1"/>
    <n v="2"/>
    <n v="3"/>
    <n v="5"/>
    <s v="Y"/>
    <n v="5000"/>
    <x v="2"/>
  </r>
  <r>
    <d v="2019-10-25T00:00:00"/>
    <d v="1899-12-30T13:23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215"/>
    <x v="3"/>
    <n v="1"/>
    <x v="1"/>
    <n v="10"/>
    <s v="Other"/>
    <n v="2"/>
    <x v="3"/>
    <n v="2"/>
    <n v="3"/>
    <n v="4"/>
    <n v="5"/>
    <n v="1"/>
    <s v="Y"/>
    <n v="1000"/>
    <x v="4"/>
  </r>
  <r>
    <d v="2019-10-25T00:00:00"/>
    <d v="1899-12-30T13:11:00"/>
    <m/>
    <s v="D"/>
    <n v="2"/>
    <s v="Road Vehicle"/>
    <n v="6"/>
    <x v="1"/>
    <x v="0"/>
    <n v="3"/>
    <x v="2"/>
    <s v="HIOMA"/>
    <s v="HIOMA"/>
    <s v="UG"/>
    <n v="2"/>
    <s v="Work"/>
    <s v="LWEZA "/>
    <s v="KAMPALA"/>
    <s v="UG"/>
    <n v="2"/>
    <s v="Work"/>
    <x v="2"/>
    <n v="400000"/>
    <n v="200"/>
    <x v="3"/>
    <n v="4"/>
    <x v="2"/>
    <n v="10"/>
    <s v="Other"/>
    <n v="4"/>
    <x v="0"/>
    <n v="2"/>
    <n v="3"/>
    <n v="5"/>
    <n v="4"/>
    <n v="1"/>
    <s v="Y"/>
    <n v="2000"/>
    <x v="1"/>
  </r>
  <r>
    <d v="2019-10-25T00:00:00"/>
    <d v="1899-12-30T23:06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190"/>
    <x v="2"/>
    <n v="4"/>
    <x v="2"/>
    <n v="10"/>
    <s v="Other"/>
    <n v="3"/>
    <x v="1"/>
    <n v="4"/>
    <n v="2"/>
    <n v="3"/>
    <n v="1"/>
    <n v="5"/>
    <s v="Y"/>
    <n v="5000"/>
    <x v="2"/>
  </r>
  <r>
    <d v="2019-10-25T00:00:00"/>
    <d v="1899-12-30T23:06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190"/>
    <x v="2"/>
    <n v="4"/>
    <x v="2"/>
    <n v="10"/>
    <s v="Other"/>
    <n v="4"/>
    <x v="0"/>
    <n v="5"/>
    <n v="2"/>
    <n v="1"/>
    <n v="3"/>
    <n v="4"/>
    <s v="Y"/>
    <n v="2000"/>
    <x v="1"/>
  </r>
  <r>
    <d v="2019-10-25T00:00:00"/>
    <d v="1899-12-30T22:57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190"/>
    <x v="2"/>
    <n v="4"/>
    <x v="2"/>
    <n v="10"/>
    <s v="Other"/>
    <n v="4"/>
    <x v="0"/>
    <n v="3"/>
    <n v="4"/>
    <n v="1"/>
    <n v="2"/>
    <n v="3"/>
    <s v="Y"/>
    <n v="1000"/>
    <x v="4"/>
  </r>
  <r>
    <d v="2019-10-25T00:00:00"/>
    <d v="1899-12-30T22:49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160"/>
    <x v="2"/>
    <n v="4"/>
    <x v="2"/>
    <n v="10"/>
    <s v="Other"/>
    <n v="4"/>
    <x v="0"/>
    <n v="1"/>
    <n v="2"/>
    <n v="3"/>
    <n v="5"/>
    <n v="4"/>
    <s v="Y"/>
    <n v="6000"/>
    <x v="2"/>
  </r>
  <r>
    <d v="2019-10-25T00:00:00"/>
    <d v="1899-12-30T22:42:00"/>
    <m/>
    <s v="D"/>
    <n v="2"/>
    <s v="Road Vehicle"/>
    <n v="6"/>
    <x v="1"/>
    <x v="0"/>
    <n v="3"/>
    <x v="2"/>
    <s v="HIOMA"/>
    <s v="HIOMA"/>
    <s v="UG"/>
    <n v="2"/>
    <s v="Work"/>
    <s v="KISENYI"/>
    <s v="KAMPALA"/>
    <s v="UG"/>
    <n v="2"/>
    <s v="Work"/>
    <x v="2"/>
    <n v="650000"/>
    <n v="190"/>
    <x v="2"/>
    <n v="4"/>
    <x v="2"/>
    <n v="10"/>
    <s v="Other"/>
    <n v="4"/>
    <x v="0"/>
    <n v="1"/>
    <n v="2"/>
    <n v="5"/>
    <n v="3"/>
    <n v="4"/>
    <s v="Y"/>
    <n v="3000"/>
    <x v="0"/>
  </r>
  <r>
    <d v="2019-10-25T00:00:00"/>
    <d v="1899-12-30T22:31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50000"/>
    <n v="195"/>
    <x v="2"/>
    <n v="5"/>
    <x v="2"/>
    <n v="10"/>
    <s v="Other"/>
    <n v="4"/>
    <x v="0"/>
    <n v="1"/>
    <n v="2"/>
    <n v="3"/>
    <n v="4"/>
    <n v="5"/>
    <s v="Y"/>
    <n v="1000"/>
    <x v="4"/>
  </r>
  <r>
    <d v="2019-10-25T00:00:00"/>
    <d v="1899-12-30T22:00:00"/>
    <m/>
    <s v="D"/>
    <n v="2"/>
    <s v="Road Vehicle"/>
    <n v="6"/>
    <x v="1"/>
    <x v="0"/>
    <n v="3"/>
    <x v="2"/>
    <s v="HIOMA"/>
    <s v="HIOMA"/>
    <s v="UG"/>
    <n v="2"/>
    <s v="Work"/>
    <s v="NAMUGONA"/>
    <s v="KAMPALA"/>
    <s v="UG"/>
    <n v="2"/>
    <s v="Work"/>
    <x v="2"/>
    <n v="700000"/>
    <n v="190"/>
    <x v="2"/>
    <n v="4"/>
    <x v="2"/>
    <n v="10"/>
    <s v="Other"/>
    <n v="3"/>
    <x v="1"/>
    <n v="1"/>
    <n v="3"/>
    <n v="2"/>
    <n v="4"/>
    <n v="5"/>
    <s v="Y"/>
    <n v="5000"/>
    <x v="2"/>
  </r>
  <r>
    <d v="2019-10-25T00:00:00"/>
    <d v="1899-12-30T22:22:00"/>
    <m/>
    <s v="D"/>
    <n v="2"/>
    <s v="Road Vehicle"/>
    <n v="6"/>
    <x v="1"/>
    <x v="0"/>
    <n v="3"/>
    <x v="2"/>
    <s v="HIOMA"/>
    <s v="HIOMA"/>
    <s v="UG"/>
    <n v="2"/>
    <s v="Work"/>
    <s v="KAMPALA"/>
    <s v="KAMPALA"/>
    <s v="UG"/>
    <n v="1"/>
    <s v="Home"/>
    <x v="4"/>
    <n v="700000"/>
    <n v="200"/>
    <x v="3"/>
    <n v="4"/>
    <x v="2"/>
    <n v="10"/>
    <s v="Other"/>
    <n v="3"/>
    <x v="1"/>
    <n v="2"/>
    <n v="1"/>
    <n v="1"/>
    <n v="1"/>
    <n v="2"/>
    <s v="Y"/>
    <n v="1000"/>
    <x v="4"/>
  </r>
  <r>
    <d v="2019-10-25T00:00:00"/>
    <d v="1899-12-30T11:49:00"/>
    <m/>
    <s v="D"/>
    <n v="2"/>
    <s v="Road Vehicle"/>
    <n v="6"/>
    <x v="1"/>
    <x v="0"/>
    <n v="3"/>
    <x v="2"/>
    <s v="HIOMA"/>
    <s v="HIOMA"/>
    <s v="UG"/>
    <n v="2"/>
    <s v="Work"/>
    <s v="BULIISA"/>
    <s v="BULIISA"/>
    <s v="UG"/>
    <n v="1"/>
    <s v="Home"/>
    <x v="4"/>
    <n v="700000"/>
    <n v="200"/>
    <x v="3"/>
    <n v="2"/>
    <x v="0"/>
    <n v="10"/>
    <s v="Other"/>
    <n v="4"/>
    <x v="0"/>
    <n v="3"/>
    <n v="2"/>
    <n v="1"/>
    <n v="4"/>
    <n v="5"/>
    <s v="Y"/>
    <m/>
    <x v="3"/>
  </r>
  <r>
    <d v="2019-10-25T00:00:00"/>
    <d v="1899-12-30T11:42:00"/>
    <m/>
    <s v="D"/>
    <n v="2"/>
    <s v="Road Vehicle"/>
    <n v="6"/>
    <x v="1"/>
    <x v="0"/>
    <n v="3"/>
    <x v="2"/>
    <s v="HIOMA"/>
    <s v="HIOMA"/>
    <s v="UG"/>
    <n v="2"/>
    <s v="Work"/>
    <s v="BULIISA"/>
    <s v="BULIISA"/>
    <s v="UG"/>
    <n v="1"/>
    <s v="Home"/>
    <x v="4"/>
    <n v="650000"/>
    <n v="210"/>
    <x v="3"/>
    <n v="2"/>
    <x v="0"/>
    <n v="10"/>
    <s v="Other"/>
    <n v="3"/>
    <x v="1"/>
    <n v="1"/>
    <n v="2"/>
    <n v="3"/>
    <n v="4"/>
    <n v="5"/>
    <s v="Y"/>
    <n v="10000"/>
    <x v="5"/>
  </r>
  <r>
    <d v="2019-10-25T00:00:00"/>
    <d v="1899-12-30T08:30:00"/>
    <m/>
    <s v="D"/>
    <n v="2"/>
    <s v="Road Vehicle"/>
    <n v="8"/>
    <x v="4"/>
    <x v="0"/>
    <n v="3"/>
    <x v="2"/>
    <s v="HIOMA"/>
    <s v="HIOMA"/>
    <s v="UG"/>
    <n v="1"/>
    <s v="Home"/>
    <s v="MASINDI"/>
    <s v="MASINDI"/>
    <s v="UG"/>
    <n v="2"/>
    <s v="Work"/>
    <x v="1"/>
    <n v="15000"/>
    <n v="45"/>
    <x v="5"/>
    <n v="2"/>
    <x v="0"/>
    <n v="2"/>
    <s v="Manual Labour"/>
    <n v="3"/>
    <x v="1"/>
    <n v="1"/>
    <n v="3"/>
    <n v="5"/>
    <n v="4"/>
    <n v="2"/>
    <s v="Y"/>
    <n v="5000"/>
    <x v="2"/>
  </r>
  <r>
    <d v="2019-10-24T00:00:00"/>
    <d v="1899-12-30T13:03:00"/>
    <m/>
    <s v="D"/>
    <n v="2"/>
    <s v="Road Vehicle"/>
    <n v="4"/>
    <x v="3"/>
    <x v="0"/>
    <n v="3"/>
    <x v="2"/>
    <s v="HIOMA"/>
    <s v="HIOMA"/>
    <s v="UG"/>
    <n v="2"/>
    <s v="Work"/>
    <s v="MASINDI"/>
    <s v="MASINDI"/>
    <s v="UG"/>
    <n v="1"/>
    <s v="Home"/>
    <x v="4"/>
    <n v="160000"/>
    <n v="115"/>
    <x v="2"/>
    <n v="2"/>
    <x v="0"/>
    <n v="6"/>
    <s v="Businessman"/>
    <n v="3"/>
    <x v="1"/>
    <n v="1"/>
    <n v="3"/>
    <n v="2"/>
    <n v="4"/>
    <n v="2"/>
    <s v="Y"/>
    <m/>
    <x v="3"/>
  </r>
  <r>
    <d v="2019-10-24T00:00:00"/>
    <d v="1899-12-30T16:34:00"/>
    <m/>
    <s v="P"/>
    <n v="2"/>
    <s v="Road Vehicle"/>
    <n v="4"/>
    <x v="3"/>
    <x v="0"/>
    <n v="3"/>
    <x v="2"/>
    <s v="HIOMA"/>
    <s v="HIOMA"/>
    <s v="UG"/>
    <n v="4"/>
    <s v="Commercial"/>
    <s v="KAGADE"/>
    <s v="KIBAALE"/>
    <s v="UG"/>
    <n v="4"/>
    <s v="Commercial"/>
    <x v="18"/>
    <n v="80000"/>
    <m/>
    <x v="0"/>
    <n v="4"/>
    <x v="2"/>
    <n v="10"/>
    <s v="Other"/>
    <n v="4"/>
    <x v="0"/>
    <n v="3"/>
    <n v="1"/>
    <n v="2"/>
    <n v="5"/>
    <n v="4"/>
    <s v="Y"/>
    <n v="2000"/>
    <x v="1"/>
  </r>
  <r>
    <d v="2019-10-24T00:00:00"/>
    <d v="1899-12-30T16:56:00"/>
    <m/>
    <s v="P"/>
    <n v="2"/>
    <s v="Road Vehicle"/>
    <n v="4"/>
    <x v="3"/>
    <x v="0"/>
    <n v="3"/>
    <x v="2"/>
    <s v="HIOMA"/>
    <s v="HIOMA"/>
    <s v="UG"/>
    <n v="1"/>
    <s v="Home"/>
    <s v="HIOMA"/>
    <s v="HIOMA"/>
    <s v="UG"/>
    <n v="4"/>
    <s v="Commercial"/>
    <x v="0"/>
    <n v="12000"/>
    <m/>
    <x v="0"/>
    <n v="4"/>
    <x v="2"/>
    <n v="7"/>
    <s v="Farmer"/>
    <n v="3"/>
    <x v="1"/>
    <n v="4"/>
    <n v="3"/>
    <n v="1"/>
    <n v="2"/>
    <n v="5"/>
    <s v="Y"/>
    <n v="10000"/>
    <x v="5"/>
  </r>
  <r>
    <d v="2019-10-24T00:00:00"/>
    <d v="1899-12-30T08:48:00"/>
    <m/>
    <s v="D"/>
    <n v="2"/>
    <s v="Road Vehicle"/>
    <n v="4"/>
    <x v="3"/>
    <x v="0"/>
    <n v="3"/>
    <x v="2"/>
    <s v="HIOMA"/>
    <s v="HIOMA"/>
    <s v="UG"/>
    <n v="1"/>
    <s v="Home"/>
    <s v="KISIITA"/>
    <s v="KAKUMIRO"/>
    <s v="UG"/>
    <n v="2"/>
    <s v="Work"/>
    <x v="1"/>
    <n v="100000"/>
    <n v="15"/>
    <x v="6"/>
    <n v="2"/>
    <x v="0"/>
    <n v="2"/>
    <s v="Manual Labour"/>
    <n v="3"/>
    <x v="1"/>
    <n v="1"/>
    <n v="3"/>
    <n v="4"/>
    <n v="2"/>
    <n v="1"/>
    <s v="Y"/>
    <n v="2000"/>
    <x v="1"/>
  </r>
  <r>
    <d v="2019-10-25T00:00:00"/>
    <d v="1899-12-30T08:27:00"/>
    <m/>
    <s v="D"/>
    <n v="2"/>
    <s v="Road Vehicle"/>
    <n v="4"/>
    <x v="3"/>
    <x v="0"/>
    <n v="3"/>
    <x v="2"/>
    <s v="HIOMA"/>
    <s v="HIOMA"/>
    <s v="UG"/>
    <n v="1"/>
    <s v="Home"/>
    <s v="MASINDI"/>
    <s v="MASINDI"/>
    <s v="UG"/>
    <n v="2"/>
    <s v="Work"/>
    <x v="1"/>
    <n v="100000"/>
    <n v="45"/>
    <x v="5"/>
    <n v="2"/>
    <x v="0"/>
    <n v="5"/>
    <s v="Professional"/>
    <n v="3"/>
    <x v="1"/>
    <n v="2"/>
    <n v="1"/>
    <n v="4"/>
    <n v="5"/>
    <n v="3"/>
    <s v="Y"/>
    <m/>
    <x v="3"/>
  </r>
  <r>
    <d v="2019-10-25T00:00:00"/>
    <d v="1899-12-30T15:48:00"/>
    <m/>
    <s v="P"/>
    <n v="2"/>
    <s v="Road Vehicle"/>
    <n v="4"/>
    <x v="3"/>
    <x v="0"/>
    <n v="3"/>
    <x v="2"/>
    <s v="HIOMA"/>
    <s v="HIOMA"/>
    <s v="UG"/>
    <n v="1"/>
    <s v="Home"/>
    <s v="HIOMA"/>
    <s v="HIOMA"/>
    <s v="UG"/>
    <n v="6"/>
    <s v="Leisure/Social"/>
    <x v="8"/>
    <n v="7000"/>
    <n v="75"/>
    <x v="1"/>
    <n v="4"/>
    <x v="2"/>
    <n v="3"/>
    <s v="Artisan/Domestic"/>
    <n v="1"/>
    <x v="2"/>
    <n v="1"/>
    <n v="3"/>
    <n v="5"/>
    <n v="2"/>
    <n v="4"/>
    <s v="Y"/>
    <m/>
    <x v="3"/>
  </r>
  <r>
    <d v="2019-10-25T00:00:00"/>
    <d v="1899-12-30T15:36:00"/>
    <m/>
    <s v="D"/>
    <n v="2"/>
    <s v="Road Vehicle"/>
    <n v="4"/>
    <x v="3"/>
    <x v="0"/>
    <n v="3"/>
    <x v="2"/>
    <s v="HIOMA"/>
    <s v="HIOMA"/>
    <s v="UG"/>
    <n v="1"/>
    <s v="Home"/>
    <s v="BULIISA"/>
    <s v="WAKISO"/>
    <s v="UG"/>
    <n v="2"/>
    <s v="Work"/>
    <x v="1"/>
    <n v="10000"/>
    <n v="90"/>
    <x v="1"/>
    <n v="2"/>
    <x v="0"/>
    <n v="5"/>
    <s v="Professional"/>
    <n v="2"/>
    <x v="3"/>
    <n v="3"/>
    <n v="2"/>
    <n v="5"/>
    <n v="1"/>
    <n v="4"/>
    <s v="Y"/>
    <m/>
    <x v="3"/>
  </r>
  <r>
    <d v="2019-10-25T00:00:00"/>
    <d v="1899-12-30T14:24:00"/>
    <m/>
    <s v="D"/>
    <n v="2"/>
    <s v="Road Vehicle"/>
    <n v="4"/>
    <x v="3"/>
    <x v="0"/>
    <n v="3"/>
    <x v="2"/>
    <s v="HIOMA"/>
    <s v="HIOMA"/>
    <s v="UG"/>
    <n v="1"/>
    <s v="Home"/>
    <s v="WANSOKO"/>
    <s v="BULIISA"/>
    <s v="UG"/>
    <n v="2"/>
    <s v="Work"/>
    <x v="1"/>
    <n v="100000"/>
    <n v="90"/>
    <x v="1"/>
    <n v="1"/>
    <x v="1"/>
    <n v="5"/>
    <s v="Professional"/>
    <n v="3"/>
    <x v="1"/>
    <n v="3"/>
    <n v="5"/>
    <n v="4"/>
    <n v="1"/>
    <n v="2"/>
    <s v="Y"/>
    <n v="5000"/>
    <x v="2"/>
  </r>
  <r>
    <d v="2019-10-25T00:00:00"/>
    <d v="1899-12-30T09:12:00"/>
    <m/>
    <s v="D"/>
    <n v="2"/>
    <s v="Road Vehicle"/>
    <n v="4"/>
    <x v="3"/>
    <x v="0"/>
    <n v="3"/>
    <x v="2"/>
    <s v="HIOMA"/>
    <s v="HIOMA"/>
    <s v="UG"/>
    <n v="1"/>
    <s v="Home"/>
    <s v="MASINDI"/>
    <s v="MASINDI"/>
    <s v="UG"/>
    <n v="2"/>
    <s v="Work"/>
    <x v="1"/>
    <n v="15000"/>
    <m/>
    <x v="0"/>
    <n v="3"/>
    <x v="0"/>
    <n v="5"/>
    <s v="Professional"/>
    <n v="3"/>
    <x v="1"/>
    <n v="1"/>
    <n v="2"/>
    <n v="3"/>
    <n v="4"/>
    <n v="5"/>
    <s v="Y"/>
    <n v="5000"/>
    <x v="2"/>
  </r>
  <r>
    <d v="2019-10-25T00:00:00"/>
    <d v="1899-12-30T10:12:00"/>
    <m/>
    <s v="P"/>
    <n v="2"/>
    <s v="Road Vehicle"/>
    <n v="4"/>
    <x v="3"/>
    <x v="0"/>
    <n v="3"/>
    <x v="2"/>
    <s v="HIOMA"/>
    <s v="HIOMA"/>
    <s v="UG"/>
    <n v="1"/>
    <s v="Home"/>
    <s v="MASINDI"/>
    <s v="MASINDI"/>
    <s v="UG"/>
    <n v="2"/>
    <s v="Work"/>
    <x v="1"/>
    <n v="10000"/>
    <n v="35"/>
    <x v="4"/>
    <n v="3"/>
    <x v="0"/>
    <n v="5"/>
    <s v="Professional"/>
    <n v="3"/>
    <x v="1"/>
    <n v="3"/>
    <n v="4"/>
    <n v="5"/>
    <n v="1"/>
    <n v="2"/>
    <s v="Y"/>
    <n v="5000"/>
    <x v="2"/>
  </r>
  <r>
    <d v="2019-10-25T00:00:00"/>
    <d v="1899-12-30T10:21:00"/>
    <m/>
    <s v="P"/>
    <n v="2"/>
    <s v="Road Vehicle"/>
    <n v="4"/>
    <x v="3"/>
    <x v="0"/>
    <n v="3"/>
    <x v="2"/>
    <s v="HIOMA"/>
    <s v="HIOMA"/>
    <s v="UG"/>
    <n v="1"/>
    <s v="Home"/>
    <s v="KIGOLOBYA"/>
    <s v="HIOMA"/>
    <s v="UG"/>
    <n v="4"/>
    <s v="Commercial"/>
    <x v="0"/>
    <n v="5000"/>
    <n v="15"/>
    <x v="6"/>
    <n v="1"/>
    <x v="1"/>
    <n v="6"/>
    <s v="Businessman"/>
    <n v="2"/>
    <x v="3"/>
    <n v="1"/>
    <n v="5"/>
    <n v="4"/>
    <n v="2"/>
    <n v="3"/>
    <s v="Y"/>
    <n v="5000"/>
    <x v="2"/>
  </r>
  <r>
    <d v="2019-10-25T00:00:00"/>
    <d v="1899-12-30T12:14:00"/>
    <m/>
    <s v="D"/>
    <n v="2"/>
    <s v="Road Vehicle"/>
    <n v="4"/>
    <x v="3"/>
    <x v="0"/>
    <n v="3"/>
    <x v="2"/>
    <s v="HIOMA"/>
    <s v="HIOMA"/>
    <s v="UG"/>
    <n v="1"/>
    <s v="Home"/>
    <s v="BULIISA"/>
    <s v="BULIISA"/>
    <s v="UG"/>
    <n v="2"/>
    <s v="Work"/>
    <x v="1"/>
    <n v="120000"/>
    <n v="75"/>
    <x v="1"/>
    <n v="3"/>
    <x v="0"/>
    <n v="5"/>
    <s v="Professional"/>
    <n v="3"/>
    <x v="1"/>
    <n v="3"/>
    <n v="4"/>
    <n v="5"/>
    <n v="1"/>
    <n v="2"/>
    <s v="Y"/>
    <n v="5000"/>
    <x v="2"/>
  </r>
  <r>
    <d v="2019-10-25T00:00:00"/>
    <d v="1899-12-30T13:46:00"/>
    <m/>
    <s v="D"/>
    <n v="2"/>
    <s v="Road Vehicle"/>
    <n v="4"/>
    <x v="3"/>
    <x v="0"/>
    <n v="3"/>
    <x v="2"/>
    <s v="HIOMA"/>
    <s v="HIOMA"/>
    <s v="UG"/>
    <n v="1"/>
    <s v="Home"/>
    <s v="BULIISA"/>
    <s v="BULIISA"/>
    <s v="UG"/>
    <n v="2"/>
    <s v="Work"/>
    <x v="1"/>
    <n v="10000"/>
    <n v="175"/>
    <x v="2"/>
    <n v="3"/>
    <x v="0"/>
    <n v="5"/>
    <s v="Professional"/>
    <n v="3"/>
    <x v="1"/>
    <n v="3"/>
    <n v="4"/>
    <n v="5"/>
    <n v="2"/>
    <n v="1"/>
    <s v="Y"/>
    <m/>
    <x v="3"/>
  </r>
  <r>
    <d v="2019-10-25T00:00:00"/>
    <d v="1899-12-30T18:52:00"/>
    <m/>
    <s v="P"/>
    <n v="2"/>
    <s v="Road Vehicle"/>
    <n v="4"/>
    <x v="3"/>
    <x v="0"/>
    <n v="3"/>
    <x v="2"/>
    <s v="HIOMA"/>
    <s v="HIOMA"/>
    <s v="UG"/>
    <n v="7"/>
    <s v="Hospital"/>
    <s v="KAMPALA"/>
    <s v="KAMPALA"/>
    <s v="UG"/>
    <n v="1"/>
    <s v="Home"/>
    <x v="27"/>
    <n v="150000"/>
    <n v="190"/>
    <x v="2"/>
    <n v="4"/>
    <x v="2"/>
    <n v="3"/>
    <s v="Artisan/Domestic"/>
    <n v="3"/>
    <x v="1"/>
    <n v="1"/>
    <n v="2"/>
    <n v="5"/>
    <n v="4"/>
    <n v="3"/>
    <s v="Y"/>
    <n v="1000"/>
    <x v="4"/>
  </r>
  <r>
    <d v="2019-10-26T00:00:00"/>
    <d v="1899-12-30T07:15:00"/>
    <m/>
    <s v="P"/>
    <n v="2"/>
    <s v="Road Vehicle"/>
    <n v="4"/>
    <x v="3"/>
    <x v="0"/>
    <n v="3"/>
    <x v="2"/>
    <s v="HIOMA"/>
    <s v="HIOMA"/>
    <s v="UG"/>
    <n v="8"/>
    <s v="Others"/>
    <s v="KATANABIRA"/>
    <s v="KYANKAZI"/>
    <s v="UG"/>
    <n v="1"/>
    <s v="Home"/>
    <x v="12"/>
    <n v="10000"/>
    <m/>
    <x v="0"/>
    <n v="2"/>
    <x v="0"/>
    <n v="1"/>
    <s v="Unemployed"/>
    <n v="1"/>
    <x v="2"/>
    <n v="5"/>
    <n v="2"/>
    <n v="1"/>
    <n v="3"/>
    <n v="4"/>
    <s v="Y"/>
    <n v="1000"/>
    <x v="4"/>
  </r>
  <r>
    <d v="2019-10-26T00:00:00"/>
    <d v="1899-12-30T07:41:00"/>
    <m/>
    <s v="P"/>
    <n v="2"/>
    <s v="Road Vehicle"/>
    <n v="4"/>
    <x v="3"/>
    <x v="0"/>
    <n v="3"/>
    <x v="2"/>
    <s v="HIOMA"/>
    <s v="HIOMA"/>
    <s v="UG"/>
    <n v="1"/>
    <s v="Home"/>
    <s v="PAKWACH"/>
    <s v="PAKWACH"/>
    <s v="UG"/>
    <n v="4"/>
    <s v="Commercial"/>
    <x v="0"/>
    <n v="30000"/>
    <m/>
    <x v="0"/>
    <n v="7"/>
    <x v="2"/>
    <n v="6"/>
    <s v="Businessman"/>
    <n v="5"/>
    <x v="4"/>
    <n v="1"/>
    <n v="2"/>
    <n v="5"/>
    <n v="4"/>
    <n v="4"/>
    <s v="Y"/>
    <n v="10000"/>
    <x v="5"/>
  </r>
  <r>
    <d v="2019-10-26T00:00:00"/>
    <d v="1899-12-30T07:56:00"/>
    <m/>
    <s v="P"/>
    <n v="2"/>
    <s v="Road Vehicle"/>
    <n v="4"/>
    <x v="3"/>
    <x v="0"/>
    <n v="3"/>
    <x v="2"/>
    <s v="KAISO"/>
    <s v="KIKUUBE"/>
    <s v="UG"/>
    <n v="1"/>
    <s v="Home"/>
    <s v="KAMPALA"/>
    <s v="KAMPALA"/>
    <s v="UG"/>
    <n v="8"/>
    <s v="Others"/>
    <x v="13"/>
    <n v="22000"/>
    <m/>
    <x v="0"/>
    <n v="6"/>
    <x v="2"/>
    <n v="5"/>
    <s v="Professional"/>
    <n v="4"/>
    <x v="0"/>
    <n v="1"/>
    <n v="2"/>
    <n v="5"/>
    <n v="3"/>
    <n v="4"/>
    <s v="Y"/>
    <n v="5000"/>
    <x v="2"/>
  </r>
  <r>
    <d v="2019-10-26T00:00:00"/>
    <d v="1899-12-30T08:30:00"/>
    <m/>
    <s v="P"/>
    <n v="2"/>
    <s v="Road Vehicle"/>
    <n v="4"/>
    <x v="3"/>
    <x v="0"/>
    <n v="3"/>
    <x v="2"/>
    <s v="HIOMA"/>
    <s v="HIOMA"/>
    <s v="UG"/>
    <n v="1"/>
    <s v="Home"/>
    <s v="NEBBI"/>
    <s v="NEBBI"/>
    <s v="UG"/>
    <n v="8"/>
    <s v="Others"/>
    <x v="13"/>
    <n v="30000"/>
    <m/>
    <x v="0"/>
    <n v="8"/>
    <x v="2"/>
    <n v="4"/>
    <s v="Office Worker"/>
    <n v="2"/>
    <x v="3"/>
    <n v="1"/>
    <n v="2"/>
    <n v="4"/>
    <n v="3"/>
    <n v="5"/>
    <s v="Y"/>
    <n v="2000"/>
    <x v="1"/>
  </r>
  <r>
    <d v="2019-10-26T00:00:00"/>
    <d v="1899-12-30T07:36:00"/>
    <m/>
    <s v="P"/>
    <n v="2"/>
    <s v="Road Vehicle"/>
    <n v="4"/>
    <x v="3"/>
    <x v="0"/>
    <n v="3"/>
    <x v="2"/>
    <s v="HIOMA"/>
    <s v="HIOMA"/>
    <s v="UG"/>
    <n v="4"/>
    <s v="Commercial"/>
    <s v="NEBBI"/>
    <s v="NEBBI"/>
    <s v="UG"/>
    <n v="1"/>
    <s v="Home"/>
    <x v="3"/>
    <n v="30000"/>
    <m/>
    <x v="0"/>
    <n v="7"/>
    <x v="2"/>
    <n v="6"/>
    <s v="Businessman"/>
    <n v="5"/>
    <x v="4"/>
    <n v="2"/>
    <n v="3"/>
    <n v="3"/>
    <n v="4"/>
    <n v="5"/>
    <s v="Y"/>
    <n v="10000"/>
    <x v="5"/>
  </r>
  <r>
    <d v="2019-10-26T00:00:00"/>
    <d v="1899-12-30T16:04:00"/>
    <m/>
    <s v="P"/>
    <n v="2"/>
    <s v="Road Vehicle"/>
    <n v="4"/>
    <x v="3"/>
    <x v="0"/>
    <n v="3"/>
    <x v="2"/>
    <s v="HIOMA"/>
    <s v="HIOMA"/>
    <s v="UG"/>
    <n v="4"/>
    <s v="Commercial"/>
    <s v="KAMPALA"/>
    <s v="KAMPALA"/>
    <s v="UG"/>
    <n v="4"/>
    <s v="Commercial"/>
    <x v="18"/>
    <n v="13000"/>
    <m/>
    <x v="0"/>
    <n v="4"/>
    <x v="2"/>
    <n v="6"/>
    <s v="Businessman"/>
    <n v="4"/>
    <x v="0"/>
    <n v="1"/>
    <n v="5"/>
    <n v="2"/>
    <n v="3"/>
    <n v="4"/>
    <s v="Y"/>
    <n v="20000"/>
    <x v="5"/>
  </r>
  <r>
    <d v="2019-10-26T00:00:00"/>
    <d v="1899-12-30T15:28:00"/>
    <m/>
    <s v="P"/>
    <n v="2"/>
    <s v="Road Vehicle"/>
    <n v="4"/>
    <x v="3"/>
    <x v="0"/>
    <n v="3"/>
    <x v="2"/>
    <s v="HIOMA"/>
    <s v="HIOMA"/>
    <s v="UG"/>
    <n v="1"/>
    <s v="Home"/>
    <s v="KIBOGA"/>
    <s v="KIBOGA"/>
    <s v="UG"/>
    <n v="8"/>
    <s v="Others"/>
    <x v="13"/>
    <n v="8000"/>
    <m/>
    <x v="0"/>
    <n v="2"/>
    <x v="0"/>
    <n v="1"/>
    <s v="Unemployed"/>
    <n v="1"/>
    <x v="2"/>
    <n v="2"/>
    <n v="1"/>
    <n v="5"/>
    <n v="4"/>
    <n v="3"/>
    <s v="Y"/>
    <n v="1000"/>
    <x v="4"/>
  </r>
  <r>
    <d v="2019-10-26T00:00:00"/>
    <d v="1899-12-30T13:42:00"/>
    <m/>
    <s v="P"/>
    <n v="2"/>
    <s v="Road Vehicle"/>
    <n v="4"/>
    <x v="3"/>
    <x v="0"/>
    <n v="3"/>
    <x v="2"/>
    <s v="HIOMA"/>
    <s v="HIOMA"/>
    <s v="UG"/>
    <n v="8"/>
    <s v="Others"/>
    <s v="KAMPALA"/>
    <s v="KAMPALA"/>
    <s v="UG"/>
    <n v="2"/>
    <s v="Work"/>
    <x v="14"/>
    <n v="13000"/>
    <m/>
    <x v="0"/>
    <n v="4"/>
    <x v="2"/>
    <n v="6"/>
    <s v="Businessman"/>
    <n v="4"/>
    <x v="0"/>
    <n v="5"/>
    <n v="3"/>
    <n v="1"/>
    <n v="2"/>
    <n v="1"/>
    <s v="Y"/>
    <n v="5000"/>
    <x v="2"/>
  </r>
  <r>
    <d v="2019-10-26T00:00:00"/>
    <d v="1899-12-30T14:02:00"/>
    <m/>
    <s v="P"/>
    <n v="2"/>
    <s v="Road Vehicle"/>
    <n v="4"/>
    <x v="3"/>
    <x v="0"/>
    <n v="3"/>
    <x v="2"/>
    <s v="HIOMA"/>
    <s v="HIOMA"/>
    <s v="UG"/>
    <n v="1"/>
    <s v="Home"/>
    <s v="KAMPALA"/>
    <s v="KAMPALA"/>
    <s v="UG"/>
    <n v="2"/>
    <s v="Work"/>
    <x v="1"/>
    <n v="13000"/>
    <m/>
    <x v="0"/>
    <n v="4"/>
    <x v="2"/>
    <n v="4"/>
    <s v="Office Worker"/>
    <n v="3"/>
    <x v="1"/>
    <n v="5"/>
    <n v="4"/>
    <n v="1"/>
    <n v="2"/>
    <n v="3"/>
    <s v="Y"/>
    <m/>
    <x v="3"/>
  </r>
  <r>
    <d v="2019-10-26T00:00:00"/>
    <d v="1899-12-30T11:15:00"/>
    <m/>
    <s v="P"/>
    <n v="2"/>
    <s v="Road Vehicle"/>
    <n v="4"/>
    <x v="3"/>
    <x v="0"/>
    <n v="3"/>
    <x v="2"/>
    <s v="HIOMA"/>
    <s v="HIOMA"/>
    <s v="UG"/>
    <n v="4"/>
    <s v="Commercial"/>
    <s v="KAMPALA"/>
    <s v="KAMPALA"/>
    <s v="UG"/>
    <n v="4"/>
    <s v="Commercial"/>
    <x v="18"/>
    <n v="650000"/>
    <m/>
    <x v="0"/>
    <n v="2"/>
    <x v="0"/>
    <n v="10"/>
    <s v="Other"/>
    <n v="5"/>
    <x v="4"/>
    <n v="3"/>
    <n v="2"/>
    <n v="1"/>
    <n v="5"/>
    <n v="4"/>
    <s v="Y"/>
    <m/>
    <x v="3"/>
  </r>
  <r>
    <d v="2019-10-26T00:00:00"/>
    <d v="1899-12-30T11:45:00"/>
    <m/>
    <s v="P"/>
    <n v="2"/>
    <s v="Road Vehicle"/>
    <n v="4"/>
    <x v="3"/>
    <x v="0"/>
    <n v="3"/>
    <x v="2"/>
    <s v="HIOMA"/>
    <s v="HIOMA"/>
    <s v="UG"/>
    <n v="1"/>
    <s v="Home"/>
    <s v="KAMPALA"/>
    <s v="KAMPALA"/>
    <s v="UG"/>
    <n v="2"/>
    <s v="Work"/>
    <x v="1"/>
    <n v="13000"/>
    <m/>
    <x v="0"/>
    <n v="4"/>
    <x v="2"/>
    <n v="5"/>
    <s v="Professional"/>
    <n v="5"/>
    <x v="4"/>
    <n v="1"/>
    <n v="1"/>
    <n v="1"/>
    <n v="1"/>
    <n v="1"/>
    <s v="Y"/>
    <n v="2000"/>
    <x v="1"/>
  </r>
  <r>
    <d v="2019-10-26T00:00:00"/>
    <d v="1899-12-30T13:27:00"/>
    <m/>
    <s v="D"/>
    <n v="2"/>
    <s v="Road Vehicle"/>
    <n v="4"/>
    <x v="3"/>
    <x v="0"/>
    <n v="3"/>
    <x v="2"/>
    <s v="HIOMA"/>
    <s v="HIOMA"/>
    <s v="UG"/>
    <n v="1"/>
    <s v="Home"/>
    <s v="HIOMA"/>
    <s v="HIOMA"/>
    <s v="UG"/>
    <n v="2"/>
    <s v="Work"/>
    <x v="1"/>
    <n v="50000"/>
    <m/>
    <x v="0"/>
    <n v="2"/>
    <x v="0"/>
    <n v="5"/>
    <s v="Professional"/>
    <n v="4"/>
    <x v="0"/>
    <n v="2"/>
    <n v="3"/>
    <n v="5"/>
    <n v="1"/>
    <n v="4"/>
    <s v="Y"/>
    <m/>
    <x v="3"/>
  </r>
  <r>
    <d v="2019-10-26T00:00:00"/>
    <d v="1899-12-30T12:41:00"/>
    <m/>
    <s v="D"/>
    <n v="2"/>
    <s v="Road Vehicle"/>
    <n v="4"/>
    <x v="3"/>
    <x v="0"/>
    <n v="3"/>
    <x v="2"/>
    <s v="HIOMA"/>
    <s v="HIOMA"/>
    <s v="UG"/>
    <n v="1"/>
    <s v="Home"/>
    <s v="KABWOGA"/>
    <s v="KIKUUBE"/>
    <s v="UG"/>
    <n v="6"/>
    <s v="Leisure/Social"/>
    <x v="8"/>
    <n v="7000"/>
    <n v="30"/>
    <x v="4"/>
    <n v="1"/>
    <x v="1"/>
    <n v="6"/>
    <s v="Businessman"/>
    <n v="3"/>
    <x v="1"/>
    <n v="3"/>
    <n v="4"/>
    <n v="1"/>
    <n v="5"/>
    <n v="2"/>
    <s v="Y"/>
    <m/>
    <x v="3"/>
  </r>
  <r>
    <d v="2019-10-26T00:00:00"/>
    <d v="1899-12-30T11:55:00"/>
    <m/>
    <s v="D"/>
    <n v="2"/>
    <s v="Road Vehicle"/>
    <n v="4"/>
    <x v="3"/>
    <x v="0"/>
    <n v="3"/>
    <x v="2"/>
    <s v="HIOMA"/>
    <s v="HIOMA"/>
    <s v="UG"/>
    <n v="1"/>
    <s v="Home"/>
    <s v="KYANGWARE"/>
    <s v="KIKUUBE"/>
    <s v="UG"/>
    <n v="2"/>
    <s v="Work"/>
    <x v="1"/>
    <n v="10000"/>
    <n v="125"/>
    <x v="2"/>
    <n v="2"/>
    <x v="0"/>
    <n v="2"/>
    <s v="Manual Labour"/>
    <n v="2"/>
    <x v="3"/>
    <n v="2"/>
    <n v="3"/>
    <n v="5"/>
    <n v="4"/>
    <n v="1"/>
    <s v="Y"/>
    <n v="3000"/>
    <x v="0"/>
  </r>
  <r>
    <d v="2019-10-26T00:00:00"/>
    <d v="1899-12-30T11:22:00"/>
    <m/>
    <s v="D"/>
    <n v="2"/>
    <s v="Road Vehicle"/>
    <n v="4"/>
    <x v="3"/>
    <x v="0"/>
    <n v="3"/>
    <x v="2"/>
    <s v="HIOMA"/>
    <s v="HIOMA"/>
    <s v="UG"/>
    <n v="1"/>
    <s v="Home"/>
    <s v="WANSIKO"/>
    <s v="BULIISA"/>
    <s v="UG"/>
    <n v="2"/>
    <s v="Work"/>
    <x v="1"/>
    <n v="120000"/>
    <n v="90"/>
    <x v="1"/>
    <n v="2"/>
    <x v="0"/>
    <n v="2"/>
    <s v="Manual Labour"/>
    <n v="4"/>
    <x v="0"/>
    <n v="3"/>
    <n v="4"/>
    <n v="1"/>
    <n v="2"/>
    <n v="5"/>
    <s v="Y"/>
    <n v="5000"/>
    <x v="2"/>
  </r>
  <r>
    <d v="2019-10-26T00:00:00"/>
    <d v="1899-12-30T15:06:00"/>
    <m/>
    <s v="D"/>
    <n v="2"/>
    <s v="Road Vehicle"/>
    <n v="4"/>
    <x v="3"/>
    <x v="0"/>
    <n v="3"/>
    <x v="2"/>
    <s v="HIOMA"/>
    <s v="HIOMA"/>
    <s v="UG"/>
    <n v="1"/>
    <s v="Home"/>
    <s v="KABWOGA"/>
    <s v="KIKUUBE"/>
    <s v="UG"/>
    <n v="6"/>
    <s v="Leisure/Social"/>
    <x v="8"/>
    <n v="7000"/>
    <n v="30"/>
    <x v="4"/>
    <n v="1"/>
    <x v="1"/>
    <n v="7"/>
    <s v="Farmer"/>
    <n v="3"/>
    <x v="1"/>
    <n v="3"/>
    <n v="4"/>
    <n v="1"/>
    <n v="5"/>
    <n v="2"/>
    <s v="Y"/>
    <m/>
    <x v="3"/>
  </r>
  <r>
    <d v="2019-10-26T00:00:00"/>
    <d v="1899-12-30T15:42:00"/>
    <m/>
    <s v="D"/>
    <n v="2"/>
    <s v="Road Vehicle"/>
    <n v="4"/>
    <x v="3"/>
    <x v="0"/>
    <n v="3"/>
    <x v="2"/>
    <s v="HIOMA"/>
    <s v="HIOMA"/>
    <s v="UG"/>
    <n v="1"/>
    <s v="Home"/>
    <s v="BULIISA"/>
    <s v="BULIISA"/>
    <s v="UG"/>
    <n v="2"/>
    <s v="Work"/>
    <x v="1"/>
    <n v="100000"/>
    <n v="90"/>
    <x v="1"/>
    <n v="2"/>
    <x v="0"/>
    <n v="5"/>
    <s v="Professional"/>
    <n v="4"/>
    <x v="0"/>
    <n v="2"/>
    <n v="3"/>
    <n v="5"/>
    <n v="4"/>
    <n v="1"/>
    <s v="Y"/>
    <m/>
    <x v="3"/>
  </r>
  <r>
    <d v="2019-10-26T00:00:00"/>
    <d v="1899-12-30T14:36:00"/>
    <m/>
    <s v="D"/>
    <n v="2"/>
    <s v="Road Vehicle"/>
    <n v="4"/>
    <x v="3"/>
    <x v="0"/>
    <n v="3"/>
    <x v="2"/>
    <s v="HIOMA"/>
    <s v="HIOMA"/>
    <s v="UG"/>
    <n v="2"/>
    <s v="Work"/>
    <s v="KAGADI"/>
    <s v="KAGADI"/>
    <s v="UG"/>
    <n v="1"/>
    <s v="Home"/>
    <x v="4"/>
    <n v="15000"/>
    <n v="200"/>
    <x v="3"/>
    <n v="3"/>
    <x v="0"/>
    <n v="7"/>
    <s v="Farmer"/>
    <n v="3"/>
    <x v="1"/>
    <n v="1"/>
    <n v="2"/>
    <n v="5"/>
    <n v="3"/>
    <n v="4"/>
    <s v="Y"/>
    <n v="1000"/>
    <x v="4"/>
  </r>
  <r>
    <d v="2019-10-26T00:00:00"/>
    <d v="1899-12-30T15:33:00"/>
    <m/>
    <s v="D"/>
    <n v="2"/>
    <s v="Road Vehicle"/>
    <n v="4"/>
    <x v="3"/>
    <x v="0"/>
    <n v="3"/>
    <x v="2"/>
    <s v="HIOMA"/>
    <s v="HIOMA"/>
    <s v="UG"/>
    <n v="2"/>
    <s v="Work"/>
    <s v="KAMPALA"/>
    <s v="KAMPALA"/>
    <s v="UG"/>
    <n v="2"/>
    <s v="Work"/>
    <x v="2"/>
    <n v="700000"/>
    <n v="195"/>
    <x v="2"/>
    <n v="4"/>
    <x v="2"/>
    <n v="4"/>
    <s v="Office Worker"/>
    <n v="2"/>
    <x v="3"/>
    <n v="2"/>
    <n v="1"/>
    <n v="5"/>
    <n v="4"/>
    <n v="3"/>
    <s v="Y"/>
    <n v="3000"/>
    <x v="0"/>
  </r>
  <r>
    <d v="2019-10-26T00:00:00"/>
    <d v="1899-12-30T15:22:00"/>
    <m/>
    <s v="D"/>
    <n v="2"/>
    <s v="Road Vehicle"/>
    <n v="4"/>
    <x v="3"/>
    <x v="0"/>
    <n v="3"/>
    <x v="2"/>
    <s v="HIOMA"/>
    <s v="HIOMA"/>
    <s v="UG"/>
    <n v="2"/>
    <s v="Work"/>
    <s v="KAMPALA"/>
    <s v="KAMPALA"/>
    <s v="UG"/>
    <n v="2"/>
    <s v="Work"/>
    <x v="2"/>
    <n v="13000"/>
    <n v="190"/>
    <x v="2"/>
    <n v="3"/>
    <x v="0"/>
    <n v="5"/>
    <s v="Professional"/>
    <n v="4"/>
    <x v="0"/>
    <n v="2"/>
    <n v="5"/>
    <n v="4"/>
    <n v="1"/>
    <n v="3"/>
    <s v="Y"/>
    <n v="3000"/>
    <x v="0"/>
  </r>
  <r>
    <d v="2019-10-26T00:00:00"/>
    <d v="1899-12-30T13:43:00"/>
    <m/>
    <s v="D"/>
    <n v="2"/>
    <s v="Road Vehicle"/>
    <n v="4"/>
    <x v="3"/>
    <x v="0"/>
    <n v="3"/>
    <x v="2"/>
    <s v="HIOMA"/>
    <s v="HIOMA"/>
    <s v="UG"/>
    <n v="8"/>
    <s v="Others"/>
    <s v="KAMPALA"/>
    <s v="KAMPALA"/>
    <s v="UG"/>
    <n v="2"/>
    <s v="Work"/>
    <x v="14"/>
    <n v="13000"/>
    <n v="190"/>
    <x v="2"/>
    <n v="3"/>
    <x v="0"/>
    <n v="4"/>
    <s v="Office Worker"/>
    <n v="4"/>
    <x v="0"/>
    <n v="2"/>
    <n v="1"/>
    <n v="3"/>
    <n v="5"/>
    <n v="4"/>
    <s v="Y"/>
    <n v="1000"/>
    <x v="4"/>
  </r>
  <r>
    <d v="2019-10-26T00:00:00"/>
    <d v="1899-12-30T13:36:00"/>
    <m/>
    <s v="D"/>
    <n v="2"/>
    <s v="Road Vehicle"/>
    <n v="4"/>
    <x v="3"/>
    <x v="0"/>
    <n v="3"/>
    <x v="2"/>
    <s v="HIOMA"/>
    <s v="HIOMA"/>
    <s v="UG"/>
    <n v="6"/>
    <s v="Leisure/Social"/>
    <s v="KAMPALA"/>
    <s v="KAMPALA"/>
    <s v="UG"/>
    <n v="1"/>
    <s v="Home"/>
    <x v="10"/>
    <n v="130000"/>
    <n v="190"/>
    <x v="2"/>
    <n v="3"/>
    <x v="0"/>
    <n v="6"/>
    <s v="Businessman"/>
    <n v="4"/>
    <x v="0"/>
    <n v="2"/>
    <n v="5"/>
    <n v="3"/>
    <n v="4"/>
    <n v="1"/>
    <s v="Y"/>
    <n v="1000"/>
    <x v="4"/>
  </r>
  <r>
    <d v="2019-10-26T00:00:00"/>
    <d v="1899-12-30T07:16:00"/>
    <m/>
    <s v="D"/>
    <n v="2"/>
    <s v="Road Vehicle"/>
    <n v="4"/>
    <x v="3"/>
    <x v="0"/>
    <n v="3"/>
    <x v="2"/>
    <s v="HIOMA"/>
    <s v="HIOMA"/>
    <s v="UG"/>
    <n v="2"/>
    <s v="Work"/>
    <s v="  KAMPALA"/>
    <s v="KAMPALA"/>
    <s v="UG"/>
    <n v="1"/>
    <s v="Home"/>
    <x v="4"/>
    <n v="700000"/>
    <n v="225"/>
    <x v="3"/>
    <n v="3"/>
    <x v="0"/>
    <n v="10"/>
    <s v="Other"/>
    <n v="4"/>
    <x v="0"/>
    <n v="1"/>
    <n v="2"/>
    <n v="3"/>
    <n v="4"/>
    <n v="5"/>
    <s v="Y"/>
    <n v="1000"/>
    <x v="4"/>
  </r>
  <r>
    <d v="2019-10-26T00:00:00"/>
    <d v="1899-12-30T15:08:00"/>
    <m/>
    <s v="D"/>
    <n v="2"/>
    <s v="Road Vehicle"/>
    <n v="4"/>
    <x v="3"/>
    <x v="0"/>
    <n v="3"/>
    <x v="2"/>
    <s v="HIOMA"/>
    <s v="HIOMA"/>
    <s v="UG"/>
    <n v="2"/>
    <s v="Work"/>
    <s v="KAMPALA"/>
    <s v="KAMPALA"/>
    <s v="UG"/>
    <n v="1"/>
    <s v="Home"/>
    <x v="4"/>
    <n v="180000"/>
    <n v="290"/>
    <x v="3"/>
    <n v="3"/>
    <x v="0"/>
    <n v="10"/>
    <s v="Other"/>
    <n v="3"/>
    <x v="1"/>
    <n v="1"/>
    <n v="2"/>
    <n v="3"/>
    <n v="4"/>
    <n v="5"/>
    <s v="Y"/>
    <n v="100"/>
    <x v="3"/>
  </r>
  <r>
    <d v="2019-10-26T00:00:00"/>
    <d v="1899-12-30T08:09:00"/>
    <m/>
    <s v="P"/>
    <n v="2"/>
    <s v="Road Vehicle"/>
    <n v="4"/>
    <x v="3"/>
    <x v="0"/>
    <n v="3"/>
    <x v="2"/>
    <s v="HIOMA"/>
    <s v="HIOMA"/>
    <s v="UG"/>
    <n v="2"/>
    <s v="Work"/>
    <s v="KAMPALA"/>
    <s v="KAMPALA"/>
    <s v="UG"/>
    <n v="1"/>
    <s v="Home"/>
    <x v="4"/>
    <n v="150000"/>
    <n v="500"/>
    <x v="3"/>
    <n v="3"/>
    <x v="0"/>
    <n v="9"/>
    <s v="Retired"/>
    <n v="1"/>
    <x v="2"/>
    <n v="1"/>
    <n v="1"/>
    <n v="4"/>
    <n v="2"/>
    <n v="5"/>
    <s v="Y"/>
    <n v="1000"/>
    <x v="4"/>
  </r>
  <r>
    <d v="2019-10-26T00:00:00"/>
    <d v="1899-12-30T09:33:00"/>
    <m/>
    <s v="D"/>
    <n v="2"/>
    <s v="Road Vehicle"/>
    <n v="4"/>
    <x v="3"/>
    <x v="0"/>
    <n v="3"/>
    <x v="2"/>
    <s v="HIOMA"/>
    <s v="HIOMA"/>
    <s v="UG"/>
    <n v="2"/>
    <s v="Work"/>
    <s v="KAMPALA"/>
    <s v="KAMPALA"/>
    <s v="UG"/>
    <n v="1"/>
    <s v="Home"/>
    <x v="4"/>
    <n v="180000"/>
    <n v="190"/>
    <x v="2"/>
    <n v="3"/>
    <x v="0"/>
    <n v="10"/>
    <s v="Other"/>
    <n v="3"/>
    <x v="1"/>
    <n v="5"/>
    <n v="4"/>
    <n v="3"/>
    <n v="2"/>
    <n v="1"/>
    <s v="Y"/>
    <n v="1000"/>
    <x v="4"/>
  </r>
  <r>
    <d v="2019-10-26T00:00:00"/>
    <d v="1899-12-30T09:12:00"/>
    <m/>
    <s v="P"/>
    <n v="2"/>
    <s v="Road Vehicle"/>
    <n v="4"/>
    <x v="3"/>
    <x v="0"/>
    <n v="3"/>
    <x v="2"/>
    <s v="HIOMA"/>
    <s v="HIOMA"/>
    <s v="UG"/>
    <n v="2"/>
    <s v="Work"/>
    <s v="BIISO"/>
    <s v="MASINDI"/>
    <s v="UG"/>
    <n v="2"/>
    <s v="Work"/>
    <x v="2"/>
    <n v="100000"/>
    <n v="70"/>
    <x v="1"/>
    <n v="2"/>
    <x v="0"/>
    <n v="5"/>
    <s v="Professional"/>
    <n v="2"/>
    <x v="3"/>
    <n v="2"/>
    <n v="1"/>
    <n v="3"/>
    <n v="4"/>
    <n v="5"/>
    <s v="Y"/>
    <n v="3000"/>
    <x v="0"/>
  </r>
  <r>
    <d v="2019-10-26T00:00:00"/>
    <d v="1899-12-30T08:50:00"/>
    <m/>
    <s v="P"/>
    <n v="2"/>
    <s v="Road Vehicle"/>
    <n v="4"/>
    <x v="3"/>
    <x v="0"/>
    <n v="3"/>
    <x v="2"/>
    <s v="HIOMA"/>
    <s v="HIOMA"/>
    <s v="UG"/>
    <n v="3"/>
    <s v="Study"/>
    <s v="KAMPALA"/>
    <s v="KAMPALA"/>
    <s v="UG"/>
    <n v="2"/>
    <s v="Work"/>
    <x v="22"/>
    <n v="150000"/>
    <n v="190"/>
    <x v="2"/>
    <n v="4"/>
    <x v="2"/>
    <n v="4"/>
    <s v="Office Worker"/>
    <n v="3"/>
    <x v="1"/>
    <n v="2"/>
    <n v="4"/>
    <n v="5"/>
    <n v="1"/>
    <n v="3"/>
    <s v="Y"/>
    <n v="2000"/>
    <x v="1"/>
  </r>
  <r>
    <d v="2019-10-24T00:00:00"/>
    <d v="1899-12-30T08:19:00"/>
    <m/>
    <s v="D"/>
    <n v="2"/>
    <s v="Road Vehicle"/>
    <n v="1"/>
    <x v="0"/>
    <x v="0"/>
    <n v="4"/>
    <x v="3"/>
    <s v="HIOMA"/>
    <s v="HIOMA"/>
    <s v="UG"/>
    <n v="1"/>
    <s v="Home"/>
    <s v="KAMPALA"/>
    <s v="KAMPALA"/>
    <s v="UG"/>
    <n v="2"/>
    <s v="Work"/>
    <x v="1"/>
    <n v="100000"/>
    <n v="175"/>
    <x v="2"/>
    <n v="3"/>
    <x v="0"/>
    <n v="5"/>
    <s v="Professional"/>
    <n v="4"/>
    <x v="0"/>
    <n v="1"/>
    <n v="5"/>
    <n v="4"/>
    <n v="2"/>
    <n v="3"/>
    <s v="Y"/>
    <n v="5000"/>
    <x v="2"/>
  </r>
  <r>
    <d v="2019-10-25T00:00:00"/>
    <d v="1899-12-30T08:00:00"/>
    <m/>
    <s v="D"/>
    <n v="2"/>
    <s v="Road Vehicle"/>
    <n v="1"/>
    <x v="0"/>
    <x v="0"/>
    <n v="4"/>
    <x v="3"/>
    <s v="HIOMA"/>
    <s v="HIOMA"/>
    <s v="UG"/>
    <n v="1"/>
    <s v="Home"/>
    <s v="KIBOGA"/>
    <s v="KIBOGA"/>
    <s v="UG"/>
    <n v="2"/>
    <s v="Work"/>
    <x v="1"/>
    <n v="80000"/>
    <m/>
    <x v="0"/>
    <n v="3"/>
    <x v="0"/>
    <n v="5"/>
    <s v="Professional"/>
    <n v="2"/>
    <x v="3"/>
    <n v="3"/>
    <n v="2"/>
    <n v="4"/>
    <n v="5"/>
    <n v="1"/>
    <s v="Y"/>
    <n v="3000"/>
    <x v="0"/>
  </r>
  <r>
    <d v="2019-10-25T00:00:00"/>
    <d v="1899-12-30T11:13:00"/>
    <m/>
    <s v="D"/>
    <n v="2"/>
    <s v="Road Vehicle"/>
    <n v="1"/>
    <x v="0"/>
    <x v="0"/>
    <n v="4"/>
    <x v="3"/>
    <s v="HIOMA"/>
    <s v="HIOMA"/>
    <s v="UG"/>
    <n v="3"/>
    <s v="Study"/>
    <s v="KABAALE"/>
    <s v="HIOMA"/>
    <s v="UG"/>
    <n v="5"/>
    <s v="Tourism"/>
    <x v="6"/>
    <n v="50000"/>
    <n v="50"/>
    <x v="5"/>
    <n v="2"/>
    <x v="0"/>
    <n v="5"/>
    <s v="Professional"/>
    <n v="3"/>
    <x v="1"/>
    <n v="4"/>
    <n v="5"/>
    <n v="1"/>
    <n v="2"/>
    <n v="3"/>
    <s v="Y"/>
    <m/>
    <x v="3"/>
  </r>
  <r>
    <d v="2019-10-25T00:00:00"/>
    <d v="1899-12-30T08:10:00"/>
    <m/>
    <s v="D"/>
    <n v="2"/>
    <s v="Road Vehicle"/>
    <n v="1"/>
    <x v="0"/>
    <x v="0"/>
    <n v="4"/>
    <x v="3"/>
    <s v="HIOMA"/>
    <s v="HIOMA"/>
    <s v="UG"/>
    <n v="1"/>
    <s v="Home"/>
    <s v="KIBOGA"/>
    <s v="KIBOGA"/>
    <s v="UG"/>
    <n v="2"/>
    <s v="Work"/>
    <x v="1"/>
    <n v="80000"/>
    <m/>
    <x v="0"/>
    <n v="3"/>
    <x v="0"/>
    <n v="5"/>
    <s v="Professional"/>
    <n v="2"/>
    <x v="3"/>
    <n v="3"/>
    <n v="2"/>
    <n v="4"/>
    <n v="5"/>
    <n v="1"/>
    <s v="Y"/>
    <n v="2000"/>
    <x v="1"/>
  </r>
  <r>
    <d v="2019-10-24T00:00:00"/>
    <d v="1899-12-30T14:47:00"/>
    <m/>
    <s v="P"/>
    <n v="2"/>
    <s v="Road Vehicle"/>
    <n v="6"/>
    <x v="1"/>
    <x v="1"/>
    <n v="4"/>
    <x v="3"/>
    <s v="HIOMA"/>
    <s v="HIOMA"/>
    <s v="UG"/>
    <n v="2"/>
    <s v="Work"/>
    <s v="KAMPALA"/>
    <s v="KAMPALA"/>
    <s v="UG"/>
    <n v="1"/>
    <s v="Home"/>
    <x v="4"/>
    <n v="13000"/>
    <n v="195"/>
    <x v="2"/>
    <n v="3"/>
    <x v="0"/>
    <n v="5"/>
    <s v="Professional"/>
    <n v="3"/>
    <x v="1"/>
    <n v="1"/>
    <n v="2"/>
    <n v="3"/>
    <n v="4"/>
    <n v="5"/>
    <s v="Y"/>
    <m/>
    <x v="3"/>
  </r>
  <r>
    <d v="2019-10-25T00:00:00"/>
    <d v="1899-12-30T12:43:00"/>
    <m/>
    <s v="P"/>
    <n v="2"/>
    <s v="Road Vehicle"/>
    <n v="6"/>
    <x v="1"/>
    <x v="0"/>
    <n v="4"/>
    <x v="3"/>
    <s v="HIOMA"/>
    <s v="HIOMA"/>
    <s v="UG"/>
    <n v="1"/>
    <s v="Home"/>
    <s v="HIOMA"/>
    <s v="HIOMA"/>
    <s v="UG"/>
    <n v="5"/>
    <s v="Tourism"/>
    <x v="20"/>
    <n v="100000"/>
    <n v="72"/>
    <x v="1"/>
    <n v="4"/>
    <x v="2"/>
    <n v="5"/>
    <s v="Professional"/>
    <n v="4"/>
    <x v="0"/>
    <n v="1"/>
    <n v="2"/>
    <n v="3"/>
    <n v="4"/>
    <n v="5"/>
    <s v="Y"/>
    <n v="5000"/>
    <x v="2"/>
  </r>
  <r>
    <d v="2019-10-24T00:00:00"/>
    <d v="1899-12-30T13:13:00"/>
    <m/>
    <s v="P"/>
    <n v="2"/>
    <s v="Road Vehicle"/>
    <n v="4"/>
    <x v="3"/>
    <x v="0"/>
    <n v="4"/>
    <x v="3"/>
    <s v="HIOMA"/>
    <s v="HIOMA"/>
    <s v="UG"/>
    <n v="2"/>
    <s v="Work"/>
    <s v="KAMPALA"/>
    <s v="KAMPALA"/>
    <s v="UG"/>
    <n v="1"/>
    <s v="Home"/>
    <x v="4"/>
    <n v="15000"/>
    <n v="200"/>
    <x v="3"/>
    <n v="3"/>
    <x v="0"/>
    <n v="5"/>
    <s v="Professional"/>
    <n v="4"/>
    <x v="0"/>
    <n v="3"/>
    <n v="2"/>
    <n v="4"/>
    <n v="5"/>
    <n v="1"/>
    <s v="Y"/>
    <m/>
    <x v="3"/>
  </r>
  <r>
    <d v="2019-10-24T00:00:00"/>
    <d v="1899-12-30T08:28:00"/>
    <m/>
    <s v="D"/>
    <n v="2"/>
    <s v="Road Vehicle"/>
    <n v="4"/>
    <x v="3"/>
    <x v="0"/>
    <n v="4"/>
    <x v="3"/>
    <s v="HIOMA"/>
    <s v="HIOMA"/>
    <s v="UG"/>
    <n v="1"/>
    <s v="Home"/>
    <s v="MASINDI"/>
    <s v="MASINDI"/>
    <s v="UG"/>
    <n v="2"/>
    <s v="Work"/>
    <x v="1"/>
    <n v="100000"/>
    <n v="45"/>
    <x v="5"/>
    <n v="2"/>
    <x v="0"/>
    <n v="5"/>
    <s v="Professional"/>
    <n v="4"/>
    <x v="0"/>
    <n v="3"/>
    <n v="4"/>
    <n v="5"/>
    <n v="2"/>
    <n v="1"/>
    <s v="Y"/>
    <m/>
    <x v="3"/>
  </r>
  <r>
    <d v="2019-10-24T00:00:00"/>
    <d v="1899-12-30T08:34:00"/>
    <m/>
    <s v="D"/>
    <n v="2"/>
    <s v="Road Vehicle"/>
    <n v="4"/>
    <x v="3"/>
    <x v="0"/>
    <n v="4"/>
    <x v="3"/>
    <s v="HIOMA"/>
    <s v="HIOMA"/>
    <s v="UG"/>
    <n v="1"/>
    <s v="Home"/>
    <s v="HIOMA"/>
    <s v="HIOMA"/>
    <s v="UG"/>
    <n v="2"/>
    <s v="Work"/>
    <x v="1"/>
    <n v="100000"/>
    <n v="45"/>
    <x v="5"/>
    <n v="3"/>
    <x v="0"/>
    <n v="5"/>
    <s v="Professional"/>
    <n v="3"/>
    <x v="1"/>
    <n v="3"/>
    <n v="2"/>
    <n v="1"/>
    <n v="5"/>
    <n v="4"/>
    <s v="Y"/>
    <n v="2000"/>
    <x v="1"/>
  </r>
  <r>
    <d v="2019-10-24T00:00:00"/>
    <d v="1899-12-30T09:09:00"/>
    <m/>
    <s v="P"/>
    <n v="2"/>
    <s v="Road Vehicle"/>
    <n v="4"/>
    <x v="3"/>
    <x v="0"/>
    <n v="4"/>
    <x v="3"/>
    <s v="HIOMA"/>
    <s v="HIOMA"/>
    <s v="UG"/>
    <n v="1"/>
    <s v="Home"/>
    <s v="KISIITA"/>
    <s v="KAKUMIRO"/>
    <s v="UG"/>
    <n v="2"/>
    <s v="Work"/>
    <x v="1"/>
    <n v="80000"/>
    <n v="15"/>
    <x v="6"/>
    <n v="3"/>
    <x v="0"/>
    <n v="4"/>
    <s v="Office Worker"/>
    <n v="3"/>
    <x v="1"/>
    <n v="3"/>
    <n v="4"/>
    <n v="1"/>
    <n v="4"/>
    <n v="2"/>
    <s v="Y"/>
    <n v="5000"/>
    <x v="2"/>
  </r>
  <r>
    <d v="2019-10-24T00:00:00"/>
    <d v="1899-12-30T09:17:00"/>
    <m/>
    <s v="D"/>
    <n v="2"/>
    <s v="Road Vehicle"/>
    <n v="4"/>
    <x v="3"/>
    <x v="0"/>
    <n v="4"/>
    <x v="3"/>
    <s v="HIOMA"/>
    <s v="HIOMA"/>
    <s v="UG"/>
    <n v="1"/>
    <s v="Home"/>
    <s v="BULIISA"/>
    <s v="BULIISA"/>
    <s v="UG"/>
    <n v="2"/>
    <s v="Work"/>
    <x v="1"/>
    <n v="100000"/>
    <n v="175"/>
    <x v="2"/>
    <n v="3"/>
    <x v="0"/>
    <n v="2"/>
    <s v="Manual Labour"/>
    <n v="3"/>
    <x v="1"/>
    <n v="4"/>
    <n v="3"/>
    <n v="5"/>
    <n v="1"/>
    <n v="2"/>
    <s v="Y"/>
    <n v="2000"/>
    <x v="1"/>
  </r>
  <r>
    <d v="2019-10-25T00:00:00"/>
    <d v="1899-12-30T14:54:00"/>
    <m/>
    <s v="D"/>
    <n v="2"/>
    <s v="Road Vehicle"/>
    <n v="4"/>
    <x v="3"/>
    <x v="0"/>
    <n v="4"/>
    <x v="3"/>
    <s v="HIOMA"/>
    <s v="HIOMA"/>
    <s v="UG"/>
    <n v="1"/>
    <s v="Home"/>
    <s v="BULIISA"/>
    <s v="WAKISO"/>
    <s v="UG"/>
    <n v="2"/>
    <s v="Work"/>
    <x v="1"/>
    <n v="100000"/>
    <n v="95"/>
    <x v="1"/>
    <n v="2"/>
    <x v="0"/>
    <n v="3"/>
    <s v="Artisan/Domestic"/>
    <n v="3"/>
    <x v="1"/>
    <n v="2"/>
    <n v="1"/>
    <n v="3"/>
    <n v="4"/>
    <n v="5"/>
    <s v="Y"/>
    <n v="5000"/>
    <x v="2"/>
  </r>
  <r>
    <d v="2019-10-25T00:00:00"/>
    <d v="1899-12-30T15:00:00"/>
    <m/>
    <s v="D"/>
    <n v="2"/>
    <s v="Road Vehicle"/>
    <n v="4"/>
    <x v="3"/>
    <x v="0"/>
    <n v="4"/>
    <x v="3"/>
    <s v="HIOMA"/>
    <s v="HIOMA"/>
    <s v="UG"/>
    <n v="1"/>
    <s v="Home"/>
    <s v="KAGADI"/>
    <s v="KAGADI"/>
    <s v="UG"/>
    <n v="2"/>
    <s v="Work"/>
    <x v="1"/>
    <n v="120000"/>
    <n v="65"/>
    <x v="5"/>
    <n v="2"/>
    <x v="0"/>
    <n v="3"/>
    <s v="Artisan/Domestic"/>
    <n v="2"/>
    <x v="3"/>
    <n v="1"/>
    <n v="5"/>
    <n v="2"/>
    <n v="3"/>
    <n v="4"/>
    <s v="Y"/>
    <n v="3000"/>
    <x v="0"/>
  </r>
  <r>
    <d v="2019-10-25T00:00:00"/>
    <d v="1899-12-30T15:21:00"/>
    <m/>
    <s v="P"/>
    <n v="2"/>
    <s v="Road Vehicle"/>
    <n v="4"/>
    <x v="3"/>
    <x v="0"/>
    <n v="4"/>
    <x v="3"/>
    <s v="HIOMA"/>
    <s v="HIOMA"/>
    <s v="UG"/>
    <n v="1"/>
    <s v="Home"/>
    <s v="WANSOKO"/>
    <s v="BULIISA"/>
    <s v="UG"/>
    <n v="6"/>
    <s v="Leisure/Social"/>
    <x v="8"/>
    <n v="15000"/>
    <n v="90"/>
    <x v="1"/>
    <n v="2"/>
    <x v="0"/>
    <n v="6"/>
    <s v="Businessman"/>
    <n v="3"/>
    <x v="1"/>
    <n v="3"/>
    <n v="4"/>
    <n v="2"/>
    <n v="5"/>
    <n v="1"/>
    <s v="Y"/>
    <m/>
    <x v="3"/>
  </r>
  <r>
    <d v="2019-10-25T00:00:00"/>
    <d v="1899-12-30T10:25:00"/>
    <m/>
    <s v="P"/>
    <n v="2"/>
    <s v="Road Vehicle"/>
    <n v="4"/>
    <x v="3"/>
    <x v="0"/>
    <n v="4"/>
    <x v="3"/>
    <s v="HIOMA"/>
    <s v="HIOMA"/>
    <s v="UG"/>
    <n v="5"/>
    <s v="Tourism"/>
    <s v="KIGOLOBYA"/>
    <s v="HIOMA"/>
    <s v="UG"/>
    <n v="1"/>
    <s v="Home"/>
    <x v="28"/>
    <n v="5000"/>
    <n v="15"/>
    <x v="6"/>
    <n v="4"/>
    <x v="2"/>
    <n v="6"/>
    <s v="Businessman"/>
    <n v="4"/>
    <x v="0"/>
    <n v="2"/>
    <n v="4"/>
    <n v="1"/>
    <n v="2"/>
    <n v="5"/>
    <s v="Y"/>
    <n v="2000"/>
    <x v="1"/>
  </r>
  <r>
    <d v="2019-10-26T00:00:00"/>
    <d v="1899-12-30T15:41:00"/>
    <m/>
    <s v="P"/>
    <n v="2"/>
    <s v="Road Vehicle"/>
    <n v="4"/>
    <x v="3"/>
    <x v="0"/>
    <n v="4"/>
    <x v="3"/>
    <s v="HIOMA"/>
    <s v="HIOMA"/>
    <s v="UG"/>
    <n v="8"/>
    <s v="Others"/>
    <s v="HIOMA"/>
    <s v="HIOMA"/>
    <s v="UG"/>
    <n v="1"/>
    <s v="Home"/>
    <x v="12"/>
    <n v="5000"/>
    <m/>
    <x v="0"/>
    <n v="5"/>
    <x v="2"/>
    <n v="9"/>
    <s v="Retired"/>
    <n v="4"/>
    <x v="0"/>
    <n v="2"/>
    <n v="4"/>
    <n v="5"/>
    <n v="1"/>
    <n v="3"/>
    <s v="Y"/>
    <m/>
    <x v="3"/>
  </r>
  <r>
    <d v="2019-10-26T00:00:00"/>
    <d v="1899-12-30T11:27:00"/>
    <m/>
    <s v="P"/>
    <n v="2"/>
    <s v="Road Vehicle"/>
    <n v="4"/>
    <x v="3"/>
    <x v="0"/>
    <n v="4"/>
    <x v="3"/>
    <s v="HIOMA"/>
    <s v="HIOMA"/>
    <s v="UG"/>
    <n v="1"/>
    <s v="Home"/>
    <s v="KAMPALA"/>
    <s v="KAMPALA"/>
    <s v="UG"/>
    <n v="2"/>
    <s v="Work"/>
    <x v="1"/>
    <n v="13000"/>
    <m/>
    <x v="0"/>
    <n v="4"/>
    <x v="2"/>
    <n v="5"/>
    <s v="Professional"/>
    <n v="5"/>
    <x v="4"/>
    <n v="4"/>
    <n v="5"/>
    <n v="2"/>
    <n v="3"/>
    <n v="1"/>
    <s v="Y"/>
    <n v="10000"/>
    <x v="5"/>
  </r>
  <r>
    <d v="2019-10-26T00:00:00"/>
    <d v="1899-12-30T12:35:00"/>
    <m/>
    <s v="D"/>
    <n v="2"/>
    <s v="Road Vehicle"/>
    <n v="4"/>
    <x v="3"/>
    <x v="0"/>
    <n v="4"/>
    <x v="3"/>
    <s v="KAMPALA"/>
    <s v="KAMPALA"/>
    <s v="UG"/>
    <n v="2"/>
    <s v="Work"/>
    <s v="HIOMA"/>
    <s v="HIOMA"/>
    <s v="UG"/>
    <n v="1"/>
    <s v="Home"/>
    <x v="4"/>
    <n v="13000"/>
    <m/>
    <x v="0"/>
    <n v="4"/>
    <x v="2"/>
    <n v="6"/>
    <s v="Businessman"/>
    <n v="4"/>
    <x v="0"/>
    <n v="3"/>
    <n v="2"/>
    <n v="1"/>
    <n v="4"/>
    <n v="5"/>
    <s v="Y"/>
    <n v="1000"/>
    <x v="4"/>
  </r>
  <r>
    <d v="2019-10-26T00:00:00"/>
    <d v="1899-12-30T12:52:00"/>
    <m/>
    <s v="D"/>
    <n v="2"/>
    <s v="Road Vehicle"/>
    <n v="4"/>
    <x v="3"/>
    <x v="0"/>
    <n v="4"/>
    <x v="3"/>
    <s v="HIOMA"/>
    <s v="HIOMA"/>
    <s v="UG"/>
    <n v="2"/>
    <s v="Work"/>
    <s v="KISIITA"/>
    <s v="KAKUMIRO"/>
    <s v="UG"/>
    <n v="2"/>
    <s v="Work"/>
    <x v="2"/>
    <n v="100000"/>
    <n v="15"/>
    <x v="6"/>
    <n v="2"/>
    <x v="0"/>
    <n v="2"/>
    <s v="Manual Labour"/>
    <n v="3"/>
    <x v="1"/>
    <n v="2"/>
    <n v="3"/>
    <n v="4"/>
    <n v="1"/>
    <n v="5"/>
    <s v="Y"/>
    <n v="2000"/>
    <x v="1"/>
  </r>
  <r>
    <d v="2019-10-26T00:00:00"/>
    <d v="1899-12-30T12:45:00"/>
    <m/>
    <s v="D"/>
    <n v="2"/>
    <s v="Road Vehicle"/>
    <n v="4"/>
    <x v="3"/>
    <x v="0"/>
    <n v="4"/>
    <x v="3"/>
    <s v="HIOMA"/>
    <s v="HIOMA"/>
    <s v="UG"/>
    <n v="1"/>
    <s v="Home"/>
    <s v="KISIITA"/>
    <s v="KAKUMIRO"/>
    <s v="UG"/>
    <n v="2"/>
    <s v="Work"/>
    <x v="1"/>
    <n v="8000"/>
    <n v="15"/>
    <x v="6"/>
    <n v="3"/>
    <x v="0"/>
    <n v="5"/>
    <s v="Professional"/>
    <n v="4"/>
    <x v="0"/>
    <n v="1"/>
    <n v="1"/>
    <n v="1"/>
    <n v="1"/>
    <n v="1"/>
    <s v="Y"/>
    <n v="3000"/>
    <x v="0"/>
  </r>
  <r>
    <d v="2019-10-26T00:00:00"/>
    <d v="1899-12-30T12:28:00"/>
    <m/>
    <s v="D"/>
    <n v="2"/>
    <s v="Road Vehicle"/>
    <n v="4"/>
    <x v="3"/>
    <x v="0"/>
    <n v="4"/>
    <x v="3"/>
    <s v="HIOMA"/>
    <s v="HIOMA"/>
    <s v="UG"/>
    <n v="1"/>
    <s v="Home"/>
    <s v="MASINDI"/>
    <s v="MASINDI"/>
    <s v="UG"/>
    <n v="2"/>
    <s v="Work"/>
    <x v="1"/>
    <n v="100000"/>
    <n v="50"/>
    <x v="5"/>
    <n v="2"/>
    <x v="0"/>
    <n v="5"/>
    <s v="Professional"/>
    <n v="4"/>
    <x v="0"/>
    <n v="3"/>
    <n v="5"/>
    <n v="1"/>
    <n v="4"/>
    <n v="2"/>
    <s v="Y"/>
    <n v="1000"/>
    <x v="4"/>
  </r>
  <r>
    <d v="2019-10-26T00:00:00"/>
    <d v="1899-12-30T12:24:00"/>
    <m/>
    <s v="D"/>
    <n v="2"/>
    <s v="Road Vehicle"/>
    <n v="4"/>
    <x v="3"/>
    <x v="0"/>
    <n v="4"/>
    <x v="3"/>
    <s v="HIOMA"/>
    <s v="HIOMA"/>
    <s v="UG"/>
    <n v="1"/>
    <s v="Home"/>
    <s v="KAGADI"/>
    <s v="KAGADI"/>
    <s v="UG"/>
    <n v="2"/>
    <s v="Work"/>
    <x v="1"/>
    <n v="120000"/>
    <n v="65"/>
    <x v="5"/>
    <n v="3"/>
    <x v="0"/>
    <n v="2"/>
    <s v="Manual Labour"/>
    <n v="5"/>
    <x v="4"/>
    <n v="2"/>
    <n v="4"/>
    <n v="1"/>
    <n v="5"/>
    <n v="4"/>
    <s v="Y"/>
    <n v="3000"/>
    <x v="0"/>
  </r>
  <r>
    <d v="2019-10-26T00:00:00"/>
    <d v="1899-12-30T11:27:00"/>
    <m/>
    <s v="D"/>
    <n v="2"/>
    <s v="Road Vehicle"/>
    <n v="4"/>
    <x v="3"/>
    <x v="0"/>
    <n v="4"/>
    <x v="3"/>
    <s v="HIOMA"/>
    <s v="HIOMA"/>
    <s v="UG"/>
    <n v="1"/>
    <s v="Home"/>
    <s v="BULIISA"/>
    <s v="BULIISA"/>
    <s v="UG"/>
    <n v="2"/>
    <s v="Work"/>
    <x v="1"/>
    <n v="100000"/>
    <n v="180"/>
    <x v="2"/>
    <n v="3"/>
    <x v="0"/>
    <n v="5"/>
    <s v="Professional"/>
    <n v="3"/>
    <x v="1"/>
    <n v="3"/>
    <n v="1"/>
    <n v="5"/>
    <n v="2"/>
    <n v="4"/>
    <s v="Y"/>
    <m/>
    <x v="3"/>
  </r>
  <r>
    <d v="2019-10-21T00:00:00"/>
    <d v="1899-12-30T06:00:00"/>
    <m/>
    <m/>
    <n v="1"/>
    <s v="Walking/Cycling"/>
    <n v="13"/>
    <x v="5"/>
    <x v="1"/>
    <n v="1"/>
    <x v="0"/>
    <s v="Universal college"/>
    <s v="Kasese"/>
    <s v="UGA"/>
    <n v="3"/>
    <s v="Study"/>
    <s v="Kazinga channel"/>
    <s v="kasese"/>
    <s v="UGA"/>
    <n v="1"/>
    <s v="Home"/>
    <x v="9"/>
    <n v="500"/>
    <n v="0.25"/>
    <x v="0"/>
    <n v="8.3000000000000004E-2"/>
    <x v="3"/>
    <n v="8"/>
    <s v="Student"/>
    <n v="1"/>
    <x v="2"/>
    <n v="1"/>
    <n v="2"/>
    <n v="5"/>
    <n v="3"/>
    <n v="4"/>
    <s v="Y"/>
    <n v="500"/>
    <x v="3"/>
  </r>
  <r>
    <d v="2019-10-22T00:00:00"/>
    <d v="1899-12-30T07:40:00"/>
    <m/>
    <m/>
    <n v="1"/>
    <s v="Walking/Cycling"/>
    <n v="13"/>
    <x v="5"/>
    <x v="1"/>
    <n v="1"/>
    <x v="0"/>
    <s v="Kisanyalaze"/>
    <s v="Kasese"/>
    <s v="UGA"/>
    <n v="1"/>
    <s v="Home"/>
    <s v="Universal college"/>
    <s v="kasese"/>
    <s v="UGA"/>
    <n v="3"/>
    <s v="Study"/>
    <x v="25"/>
    <n v="2000"/>
    <n v="11"/>
    <x v="6"/>
    <n v="0.16666600000000001"/>
    <x v="3"/>
    <n v="8"/>
    <s v="Student"/>
    <n v="1"/>
    <x v="2"/>
    <m/>
    <m/>
    <m/>
    <m/>
    <m/>
    <m/>
    <n v="500"/>
    <x v="3"/>
  </r>
  <r>
    <d v="2019-10-22T00:00:00"/>
    <d v="1899-12-30T08:00:00"/>
    <m/>
    <m/>
    <n v="1"/>
    <s v="Walking/Cycling"/>
    <n v="13"/>
    <x v="5"/>
    <x v="1"/>
    <n v="1"/>
    <x v="0"/>
    <s v="Kilembe"/>
    <s v="Kasese"/>
    <s v="UGA"/>
    <n v="1"/>
    <s v="Home"/>
    <s v="mt.Rwenzori"/>
    <s v="kasese"/>
    <s v="UGA"/>
    <n v="3"/>
    <s v="Study"/>
    <x v="25"/>
    <n v="1000"/>
    <n v="2"/>
    <x v="0"/>
    <n v="0.1333"/>
    <x v="3"/>
    <n v="8"/>
    <s v="Student"/>
    <n v="1"/>
    <x v="2"/>
    <n v="3"/>
    <n v="2"/>
    <n v="4"/>
    <n v="2"/>
    <n v="5"/>
    <s v="Y"/>
    <n v="1000"/>
    <x v="4"/>
  </r>
  <r>
    <d v="2019-10-22T00:00:00"/>
    <d v="1899-12-30T07:55:00"/>
    <m/>
    <m/>
    <n v="1"/>
    <s v="Walking/Cycling"/>
    <n v="13"/>
    <x v="5"/>
    <x v="1"/>
    <n v="1"/>
    <x v="0"/>
    <s v="Kilembe"/>
    <s v="Kasese"/>
    <s v="UGA"/>
    <n v="1"/>
    <s v="Home"/>
    <s v="Bright Academy"/>
    <s v="kasese"/>
    <s v="UGA"/>
    <n v="3"/>
    <s v="Study"/>
    <x v="25"/>
    <n v="1000"/>
    <n v="2"/>
    <x v="0"/>
    <n v="8.3333299999999999E-2"/>
    <x v="3"/>
    <n v="8"/>
    <s v="Student"/>
    <n v="1"/>
    <x v="2"/>
    <n v="1"/>
    <n v="2"/>
    <n v="4"/>
    <n v="3"/>
    <n v="5"/>
    <s v="Y"/>
    <m/>
    <x v="3"/>
  </r>
  <r>
    <d v="2019-10-22T00:00:00"/>
    <d v="1899-12-30T09:22:00"/>
    <m/>
    <m/>
    <n v="1"/>
    <s v="Walking/Cycling"/>
    <n v="13"/>
    <x v="5"/>
    <x v="1"/>
    <n v="1"/>
    <x v="0"/>
    <s v="Kaziini camp"/>
    <s v="Kasese"/>
    <s v="UGA"/>
    <n v="1"/>
    <s v="Home"/>
    <s v="Rwenzori inter"/>
    <s v="kasese"/>
    <s v="UGA"/>
    <n v="4"/>
    <s v="Commercial"/>
    <x v="0"/>
    <n v="500"/>
    <n v="0.5"/>
    <x v="0"/>
    <n v="0.1"/>
    <x v="3"/>
    <n v="6"/>
    <s v="Businessman"/>
    <n v="2"/>
    <x v="3"/>
    <n v="1"/>
    <n v="4"/>
    <n v="5"/>
    <n v="2"/>
    <n v="3"/>
    <s v="Y"/>
    <n v="500"/>
    <x v="3"/>
  </r>
  <r>
    <d v="2019-10-22T00:00:00"/>
    <d v="1899-12-30T10:00:00"/>
    <m/>
    <m/>
    <n v="1"/>
    <s v="Walking/Cycling"/>
    <n v="13"/>
    <x v="5"/>
    <x v="1"/>
    <n v="1"/>
    <x v="0"/>
    <s v="Nyakasanga"/>
    <s v="Kasese"/>
    <s v="UGA"/>
    <n v="1"/>
    <s v="Home"/>
    <s v="Towncentre"/>
    <s v="kasese"/>
    <s v="UGA"/>
    <n v="4"/>
    <s v="Commercial"/>
    <x v="0"/>
    <n v="1000"/>
    <n v="0.5"/>
    <x v="0"/>
    <n v="0.1"/>
    <x v="3"/>
    <n v="10"/>
    <s v="Other"/>
    <n v="2"/>
    <x v="3"/>
    <n v="1"/>
    <n v="2"/>
    <n v="4"/>
    <n v="3"/>
    <n v="5"/>
    <s v="Y"/>
    <m/>
    <x v="3"/>
  </r>
  <r>
    <d v="2019-10-22T00:00:00"/>
    <d v="1899-12-30T05:15:00"/>
    <m/>
    <m/>
    <n v="1"/>
    <s v="Walking/Cycling"/>
    <n v="13"/>
    <x v="5"/>
    <x v="1"/>
    <n v="1"/>
    <x v="0"/>
    <s v="Bright Academy"/>
    <s v="Kasese"/>
    <s v="UGA"/>
    <n v="3"/>
    <s v="Study"/>
    <s v="kitalikibi"/>
    <s v="kasese"/>
    <s v="UGA"/>
    <n v="1"/>
    <s v="Home"/>
    <x v="9"/>
    <n v="1000"/>
    <m/>
    <x v="0"/>
    <n v="0.1"/>
    <x v="3"/>
    <n v="8"/>
    <s v="Student"/>
    <n v="1"/>
    <x v="2"/>
    <n v="2"/>
    <n v="1"/>
    <n v="4"/>
    <n v="3"/>
    <n v="5"/>
    <s v="Y"/>
    <n v="500"/>
    <x v="3"/>
  </r>
  <r>
    <d v="2019-10-22T00:00:00"/>
    <d v="1899-12-30T05:00:00"/>
    <m/>
    <m/>
    <n v="1"/>
    <s v="Walking/Cycling"/>
    <n v="13"/>
    <x v="5"/>
    <x v="1"/>
    <n v="1"/>
    <x v="0"/>
    <s v="universal"/>
    <s v="Kasese"/>
    <s v="UGA"/>
    <n v="3"/>
    <s v="Study"/>
    <s v="Kilembe"/>
    <s v="kasese"/>
    <s v="UGA"/>
    <n v="1"/>
    <s v="Home"/>
    <x v="9"/>
    <m/>
    <m/>
    <x v="0"/>
    <m/>
    <x v="3"/>
    <n v="8"/>
    <s v="Student"/>
    <n v="1"/>
    <x v="2"/>
    <n v="1"/>
    <n v="2"/>
    <n v="4"/>
    <n v="3"/>
    <n v="5"/>
    <s v="Y"/>
    <m/>
    <x v="3"/>
  </r>
  <r>
    <d v="2019-10-22T00:00:00"/>
    <d v="1899-12-30T05:44:00"/>
    <m/>
    <m/>
    <n v="1"/>
    <s v="Walking/Cycling"/>
    <n v="13"/>
    <x v="5"/>
    <x v="1"/>
    <n v="1"/>
    <x v="0"/>
    <s v="universal"/>
    <s v="Kasese"/>
    <s v="UGA"/>
    <n v="3"/>
    <s v="Study"/>
    <s v="Kilembe"/>
    <s v="kasese"/>
    <s v="UGA"/>
    <n v="1"/>
    <s v="Home"/>
    <x v="9"/>
    <n v="1000"/>
    <m/>
    <x v="0"/>
    <n v="0.05"/>
    <x v="3"/>
    <n v="8"/>
    <s v="Student"/>
    <n v="1"/>
    <x v="2"/>
    <n v="2"/>
    <n v="3"/>
    <n v="5"/>
    <n v="1"/>
    <n v="4"/>
    <s v="Y"/>
    <n v="2000"/>
    <x v="1"/>
  </r>
  <r>
    <d v="2019-10-22T00:00:00"/>
    <d v="1899-12-30T05:59:00"/>
    <m/>
    <m/>
    <n v="1"/>
    <s v="Walking/Cycling"/>
    <n v="13"/>
    <x v="5"/>
    <x v="1"/>
    <n v="1"/>
    <x v="0"/>
    <s v="Kasese modern"/>
    <s v="Kasese"/>
    <s v="UGA"/>
    <n v="3"/>
    <s v="Study"/>
    <s v="Kilembe"/>
    <s v="kasese"/>
    <s v="UGA"/>
    <n v="1"/>
    <s v="Home"/>
    <x v="9"/>
    <n v="1000"/>
    <m/>
    <x v="0"/>
    <n v="6.6659999999999997E-2"/>
    <x v="3"/>
    <n v="8"/>
    <s v="Student"/>
    <n v="1"/>
    <x v="2"/>
    <n v="3"/>
    <n v="2"/>
    <n v="5"/>
    <n v="1"/>
    <n v="4"/>
    <s v="Y"/>
    <m/>
    <x v="3"/>
  </r>
  <r>
    <d v="2019-10-22T00:00:00"/>
    <d v="1899-12-30T06:10:00"/>
    <m/>
    <m/>
    <n v="1"/>
    <s v="Walking/Cycling"/>
    <n v="13"/>
    <x v="5"/>
    <x v="1"/>
    <n v="1"/>
    <x v="0"/>
    <s v="Universal college"/>
    <s v="Kasese"/>
    <s v="UGA"/>
    <n v="3"/>
    <s v="Study"/>
    <s v="Nyakasanga"/>
    <s v="kasese"/>
    <s v="UGA"/>
    <n v="1"/>
    <s v="Home"/>
    <x v="9"/>
    <n v="1000"/>
    <n v="0.5"/>
    <x v="0"/>
    <n v="8.3330000000000001E-2"/>
    <x v="3"/>
    <n v="8"/>
    <s v="Student"/>
    <n v="1"/>
    <x v="2"/>
    <n v="3"/>
    <n v="2"/>
    <n v="4"/>
    <n v="1"/>
    <n v="5"/>
    <s v="Y"/>
    <n v="1000"/>
    <x v="4"/>
  </r>
  <r>
    <d v="2019-10-23T00:00:00"/>
    <d v="1899-12-30T09:25:00"/>
    <m/>
    <m/>
    <n v="1"/>
    <s v="Walking/Cycling"/>
    <n v="13"/>
    <x v="5"/>
    <x v="1"/>
    <n v="1"/>
    <x v="0"/>
    <s v="rwenzori high"/>
    <s v="Kasese"/>
    <s v="UGA"/>
    <n v="3"/>
    <s v="Study"/>
    <s v="Kilembe"/>
    <s v="kasese"/>
    <s v="UGA"/>
    <n v="1"/>
    <s v="Home"/>
    <x v="9"/>
    <n v="1000"/>
    <m/>
    <x v="0"/>
    <n v="0.1"/>
    <x v="3"/>
    <n v="8"/>
    <s v="Student"/>
    <n v="1"/>
    <x v="2"/>
    <n v="1"/>
    <n v="4"/>
    <n v="5"/>
    <n v="1"/>
    <n v="3"/>
    <s v="Y"/>
    <m/>
    <x v="3"/>
  </r>
  <r>
    <d v="2019-10-23T00:00:00"/>
    <d v="1899-12-30T02:40:00"/>
    <m/>
    <m/>
    <n v="1"/>
    <s v="Walking/Cycling"/>
    <n v="13"/>
    <x v="5"/>
    <x v="1"/>
    <n v="1"/>
    <x v="0"/>
    <s v="Rwenzoriinter"/>
    <s v="Kasese"/>
    <s v="UGA"/>
    <n v="2"/>
    <s v="Work"/>
    <s v="kirome"/>
    <s v="kasese"/>
    <s v="UGA"/>
    <n v="4"/>
    <s v="Commercial"/>
    <x v="17"/>
    <n v="4000"/>
    <n v="16"/>
    <x v="6"/>
    <n v="0.35"/>
    <x v="3"/>
    <n v="6"/>
    <s v="Businessman"/>
    <n v="2"/>
    <x v="3"/>
    <n v="1"/>
    <n v="2"/>
    <n v="4"/>
    <n v="3"/>
    <n v="5"/>
    <s v="Y"/>
    <n v="1000"/>
    <x v="4"/>
  </r>
  <r>
    <d v="2019-10-21T00:00:00"/>
    <d v="1899-12-30T06:02:00"/>
    <m/>
    <m/>
    <n v="1"/>
    <s v="Walking/Cycling"/>
    <n v="13"/>
    <x v="5"/>
    <x v="0"/>
    <n v="1"/>
    <x v="0"/>
    <s v="Bright Academy"/>
    <s v="Kasese"/>
    <s v="UGA"/>
    <n v="3"/>
    <s v="Study"/>
    <s v="Nyakasanga"/>
    <s v="kasese"/>
    <s v="UGA"/>
    <n v="1"/>
    <s v="Home"/>
    <x v="9"/>
    <n v="1000"/>
    <n v="0.25"/>
    <x v="0"/>
    <n v="8.3299999999999999E-2"/>
    <x v="3"/>
    <n v="8"/>
    <s v="Student"/>
    <n v="1"/>
    <x v="2"/>
    <n v="2"/>
    <n v="5"/>
    <n v="3"/>
    <n v="1"/>
    <n v="4"/>
    <s v="Y"/>
    <m/>
    <x v="3"/>
  </r>
  <r>
    <d v="2019-10-21T00:00:00"/>
    <d v="1899-12-30T12:21:00"/>
    <m/>
    <m/>
    <n v="1"/>
    <s v="Walking/Cycling"/>
    <n v="13"/>
    <x v="5"/>
    <x v="0"/>
    <n v="1"/>
    <x v="0"/>
    <s v="Kisanyalaze"/>
    <s v="Kasese"/>
    <s v="UGA"/>
    <n v="1"/>
    <s v="Home"/>
    <s v="Rwenzori inter"/>
    <s v="kasese"/>
    <s v="UGA"/>
    <n v="2"/>
    <s v="Work"/>
    <x v="1"/>
    <n v="1500"/>
    <n v="18"/>
    <x v="6"/>
    <n v="0.16666"/>
    <x v="3"/>
    <n v="2"/>
    <s v="Manual Labour"/>
    <n v="1"/>
    <x v="2"/>
    <n v="1"/>
    <n v="4"/>
    <n v="2"/>
    <n v="5"/>
    <n v="3"/>
    <s v="Y"/>
    <n v="1000"/>
    <x v="4"/>
  </r>
  <r>
    <d v="2019-10-21T00:00:00"/>
    <d v="1899-12-30T12:39:00"/>
    <m/>
    <m/>
    <n v="1"/>
    <s v="Walking/Cycling"/>
    <n v="13"/>
    <x v="5"/>
    <x v="0"/>
    <n v="1"/>
    <x v="0"/>
    <s v="Kidoodo"/>
    <s v="Kasese"/>
    <s v="UGA"/>
    <n v="1"/>
    <s v="Home"/>
    <s v="kasese"/>
    <s v="kasese"/>
    <s v="UGA"/>
    <n v="6"/>
    <s v="Leisure/Social"/>
    <x v="8"/>
    <n v="1000"/>
    <n v="10"/>
    <x v="6"/>
    <n v="8.3000000000000004E-2"/>
    <x v="3"/>
    <n v="7"/>
    <s v="Farmer"/>
    <n v="1"/>
    <x v="2"/>
    <n v="5"/>
    <n v="2"/>
    <n v="4"/>
    <n v="1"/>
    <n v="3"/>
    <s v="Y"/>
    <n v="1000"/>
    <x v="4"/>
  </r>
  <r>
    <d v="2019-10-22T00:00:00"/>
    <d v="1899-12-30T09:05:00"/>
    <m/>
    <m/>
    <n v="1"/>
    <s v="Walking/Cycling"/>
    <n v="13"/>
    <x v="5"/>
    <x v="0"/>
    <n v="1"/>
    <x v="0"/>
    <s v="Kitalikibi"/>
    <s v="Kasese"/>
    <s v="UGA"/>
    <n v="1"/>
    <s v="Home"/>
    <s v="kitembe"/>
    <s v="kasese"/>
    <s v="UGA"/>
    <n v="2"/>
    <s v="Work"/>
    <x v="1"/>
    <n v="1000"/>
    <n v="5"/>
    <x v="0"/>
    <n v="8.3000000000000004E-2"/>
    <x v="3"/>
    <n v="2"/>
    <s v="Manual Labour"/>
    <n v="1"/>
    <x v="2"/>
    <n v="2"/>
    <n v="1"/>
    <n v="5"/>
    <n v="4"/>
    <n v="3"/>
    <s v="Y"/>
    <n v="500"/>
    <x v="3"/>
  </r>
  <r>
    <d v="2019-10-22T00:00:00"/>
    <d v="1899-12-30T09:10:00"/>
    <m/>
    <m/>
    <n v="1"/>
    <s v="Walking/Cycling"/>
    <n v="13"/>
    <x v="5"/>
    <x v="0"/>
    <n v="1"/>
    <x v="0"/>
    <s v="Kitalikibi"/>
    <s v="Kasese"/>
    <s v="UGA"/>
    <n v="1"/>
    <s v="Home"/>
    <s v="Kilembe"/>
    <s v="kasese"/>
    <s v="UGA"/>
    <n v="2"/>
    <s v="Work"/>
    <x v="1"/>
    <n v="1000"/>
    <n v="2"/>
    <x v="0"/>
    <n v="0.1"/>
    <x v="3"/>
    <n v="2"/>
    <s v="Manual Labour"/>
    <n v="1"/>
    <x v="2"/>
    <n v="3"/>
    <n v="1"/>
    <n v="4"/>
    <n v="2"/>
    <n v="5"/>
    <s v="Y"/>
    <m/>
    <x v="3"/>
  </r>
  <r>
    <d v="2019-10-22T00:00:00"/>
    <d v="1899-12-30T10:04:00"/>
    <m/>
    <m/>
    <n v="1"/>
    <s v="Walking/Cycling"/>
    <n v="13"/>
    <x v="5"/>
    <x v="0"/>
    <n v="1"/>
    <x v="0"/>
    <s v="Kikoodo"/>
    <s v="Kasese"/>
    <s v="UGA"/>
    <n v="1"/>
    <s v="Home"/>
    <s v="Rwenzori inter"/>
    <s v="kasese"/>
    <s v="UGA"/>
    <n v="4"/>
    <s v="Commercial"/>
    <x v="0"/>
    <n v="2000"/>
    <n v="5"/>
    <x v="0"/>
    <n v="0.25"/>
    <x v="3"/>
    <n v="6"/>
    <s v="Businessman"/>
    <n v="2"/>
    <x v="3"/>
    <n v="1"/>
    <n v="2"/>
    <n v="3"/>
    <n v="4"/>
    <n v="5"/>
    <s v="Y"/>
    <n v="500"/>
    <x v="3"/>
  </r>
  <r>
    <d v="2019-10-22T00:00:00"/>
    <d v="1899-12-30T05:40:00"/>
    <m/>
    <m/>
    <n v="1"/>
    <s v="Walking/Cycling"/>
    <n v="13"/>
    <x v="5"/>
    <x v="0"/>
    <n v="1"/>
    <x v="0"/>
    <s v="rwenzori high"/>
    <s v="Kasese"/>
    <s v="UGA"/>
    <n v="3"/>
    <s v="Study"/>
    <s v="katadoba"/>
    <s v="kasese"/>
    <s v="UGA"/>
    <n v="1"/>
    <s v="Home"/>
    <x v="9"/>
    <n v="2000"/>
    <n v="0.5"/>
    <x v="0"/>
    <n v="8.3299999999999999E-2"/>
    <x v="3"/>
    <n v="8"/>
    <s v="Student"/>
    <n v="1"/>
    <x v="2"/>
    <n v="1"/>
    <n v="2"/>
    <n v="4"/>
    <n v="3"/>
    <n v="5"/>
    <s v="Y"/>
    <n v="1000"/>
    <x v="4"/>
  </r>
  <r>
    <d v="2019-10-22T00:00:00"/>
    <d v="1899-12-30T05:23:00"/>
    <m/>
    <m/>
    <n v="1"/>
    <s v="Walking/Cycling"/>
    <n v="13"/>
    <x v="5"/>
    <x v="0"/>
    <n v="1"/>
    <x v="0"/>
    <s v="Bright Academy"/>
    <s v="Kasese"/>
    <s v="UGA"/>
    <n v="3"/>
    <s v="Study"/>
    <s v="Nyakasanga"/>
    <s v="kasese"/>
    <s v="UGA"/>
    <n v="1"/>
    <s v="Home"/>
    <x v="9"/>
    <n v="1000"/>
    <n v="1"/>
    <x v="0"/>
    <n v="8.3333000000000004E-2"/>
    <x v="3"/>
    <n v="8"/>
    <s v="Student"/>
    <n v="1"/>
    <x v="2"/>
    <n v="2"/>
    <n v="3"/>
    <n v="4"/>
    <n v="1"/>
    <n v="5"/>
    <s v="Y"/>
    <n v="500"/>
    <x v="3"/>
  </r>
  <r>
    <d v="2019-10-22T00:00:00"/>
    <d v="1899-12-30T05:35:00"/>
    <m/>
    <m/>
    <n v="1"/>
    <s v="Walking/Cycling"/>
    <n v="13"/>
    <x v="5"/>
    <x v="0"/>
    <n v="1"/>
    <x v="0"/>
    <s v="rwenzori high"/>
    <s v="Kasese"/>
    <s v="UGA"/>
    <n v="3"/>
    <s v="Study"/>
    <s v="kidoodo"/>
    <s v="kasese"/>
    <s v="UGA"/>
    <n v="1"/>
    <s v="Home"/>
    <x v="9"/>
    <n v="2000"/>
    <m/>
    <x v="0"/>
    <n v="0.1"/>
    <x v="3"/>
    <n v="8"/>
    <s v="Student"/>
    <n v="1"/>
    <x v="2"/>
    <n v="1"/>
    <n v="3"/>
    <n v="4"/>
    <n v="2"/>
    <n v="5"/>
    <s v="Y"/>
    <m/>
    <x v="3"/>
  </r>
  <r>
    <d v="2019-10-23T00:00:00"/>
    <d v="1899-12-30T09:51:00"/>
    <m/>
    <m/>
    <n v="1"/>
    <s v="Walking/Cycling"/>
    <n v="13"/>
    <x v="5"/>
    <x v="0"/>
    <n v="1"/>
    <x v="0"/>
    <s v="Kasese modern"/>
    <s v="Kasese"/>
    <s v="UGA"/>
    <n v="3"/>
    <s v="Study"/>
    <s v="kyarumba"/>
    <s v="kasese"/>
    <s v="UGA"/>
    <n v="1"/>
    <s v="Home"/>
    <x v="9"/>
    <n v="2000"/>
    <m/>
    <x v="0"/>
    <n v="8.3299999999999999E-2"/>
    <x v="3"/>
    <n v="8"/>
    <s v="Student"/>
    <n v="1"/>
    <x v="2"/>
    <n v="1"/>
    <n v="5"/>
    <n v="3"/>
    <n v="2"/>
    <n v="4"/>
    <s v="Y"/>
    <n v="500"/>
    <x v="3"/>
  </r>
  <r>
    <d v="2019-10-21T00:00:00"/>
    <d v="1899-12-30T11:13:00"/>
    <m/>
    <s v="P"/>
    <n v="2"/>
    <s v="Road Vehicle"/>
    <n v="1"/>
    <x v="0"/>
    <x v="1"/>
    <n v="1"/>
    <x v="0"/>
    <s v="Rubona "/>
    <s v="Bunyangabo"/>
    <s v="UGA"/>
    <n v="4"/>
    <s v="Commercial"/>
    <s v="kasese"/>
    <s v="kasese"/>
    <s v="UGA"/>
    <n v="4"/>
    <s v="Commercial"/>
    <x v="18"/>
    <n v="4000"/>
    <n v="35"/>
    <x v="4"/>
    <n v="0.06"/>
    <x v="3"/>
    <n v="6"/>
    <s v="Businessman"/>
    <n v="1"/>
    <x v="2"/>
    <n v="3"/>
    <n v="4"/>
    <n v="2"/>
    <n v="1"/>
    <n v="5"/>
    <s v="Y"/>
    <n v="1000"/>
    <x v="4"/>
  </r>
  <r>
    <d v="2019-10-21T00:00:00"/>
    <d v="1899-12-30T11:38:00"/>
    <m/>
    <s v="P"/>
    <n v="2"/>
    <s v="Road Vehicle"/>
    <n v="1"/>
    <x v="0"/>
    <x v="1"/>
    <n v="1"/>
    <x v="0"/>
    <s v="Kidoodo"/>
    <s v="Kasese"/>
    <s v="UGA"/>
    <n v="1"/>
    <s v="Home"/>
    <s v="kasese"/>
    <s v="kasese"/>
    <s v="UGA"/>
    <n v="8"/>
    <s v="Others"/>
    <x v="13"/>
    <n v="1000"/>
    <m/>
    <x v="0"/>
    <n v="8.3000000000000004E-2"/>
    <x v="3"/>
    <n v="10"/>
    <s v="Other"/>
    <n v="2"/>
    <x v="3"/>
    <m/>
    <m/>
    <m/>
    <m/>
    <m/>
    <s v="Y"/>
    <m/>
    <x v="3"/>
  </r>
  <r>
    <d v="2019-10-22T00:00:00"/>
    <d v="1899-12-30T07:47:00"/>
    <m/>
    <s v="P"/>
    <n v="2"/>
    <s v="Road Vehicle"/>
    <n v="1"/>
    <x v="0"/>
    <x v="1"/>
    <n v="1"/>
    <x v="0"/>
    <s v="Nyakasanga"/>
    <s v="Kasese"/>
    <s v="UGA"/>
    <n v="1"/>
    <s v="Home"/>
    <s v="Universal college"/>
    <s v="kasese"/>
    <s v="UGA"/>
    <n v="3"/>
    <s v="Study"/>
    <x v="25"/>
    <n v="2000"/>
    <n v="7"/>
    <x v="0"/>
    <n v="0.16666600000000001"/>
    <x v="3"/>
    <n v="8"/>
    <s v="Student"/>
    <n v="1"/>
    <x v="2"/>
    <n v="1"/>
    <n v="2"/>
    <n v="4"/>
    <n v="3"/>
    <n v="5"/>
    <s v="Y"/>
    <n v="1000"/>
    <x v="4"/>
  </r>
  <r>
    <d v="2019-10-23T00:00:00"/>
    <d v="1899-12-30T10:32:00"/>
    <m/>
    <s v="P"/>
    <n v="2"/>
    <s v="Road Vehicle"/>
    <n v="1"/>
    <x v="0"/>
    <x v="1"/>
    <n v="1"/>
    <x v="0"/>
    <s v="kyarumba"/>
    <s v="Kasese"/>
    <s v="UGA"/>
    <n v="4"/>
    <s v="Commercial"/>
    <s v="kasese"/>
    <s v="kasese"/>
    <s v="UGA"/>
    <n v="4"/>
    <s v="Commercial"/>
    <x v="18"/>
    <n v="2000"/>
    <n v="20"/>
    <x v="4"/>
    <n v="0.1666"/>
    <x v="3"/>
    <n v="7"/>
    <s v="Farmer"/>
    <n v="1"/>
    <x v="2"/>
    <n v="4"/>
    <n v="3"/>
    <n v="5"/>
    <n v="1"/>
    <n v="2"/>
    <s v="Y"/>
    <n v="500"/>
    <x v="3"/>
  </r>
  <r>
    <d v="2019-10-23T00:00:00"/>
    <d v="1899-12-30T04:24:00"/>
    <m/>
    <s v="P"/>
    <n v="2"/>
    <s v="Road Vehicle"/>
    <n v="1"/>
    <x v="0"/>
    <x v="1"/>
    <n v="1"/>
    <x v="0"/>
    <s v="Kilembe"/>
    <s v="Kasese"/>
    <s v="UGA"/>
    <n v="6"/>
    <s v="Leisure/Social"/>
    <s v="rugombe"/>
    <s v="kyenjojo"/>
    <s v="UGA"/>
    <n v="1"/>
    <s v="Home"/>
    <x v="10"/>
    <n v="7000"/>
    <m/>
    <x v="0"/>
    <n v="3"/>
    <x v="0"/>
    <n v="8"/>
    <s v="Student"/>
    <n v="1"/>
    <x v="2"/>
    <n v="5"/>
    <n v="2"/>
    <n v="4"/>
    <n v="1"/>
    <n v="3"/>
    <s v="Y"/>
    <s v="3000-5000"/>
    <x v="5"/>
  </r>
  <r>
    <d v="2019-10-23T00:00:00"/>
    <d v="1899-12-30T02:01:00"/>
    <m/>
    <s v="P"/>
    <n v="2"/>
    <s v="Road Vehicle"/>
    <n v="1"/>
    <x v="0"/>
    <x v="1"/>
    <n v="1"/>
    <x v="0"/>
    <s v="Base camp"/>
    <s v="Kasese"/>
    <s v="UGA"/>
    <n v="2"/>
    <s v="Work"/>
    <s v="Bwera"/>
    <s v="kasese"/>
    <s v="UGA"/>
    <n v="1"/>
    <s v="Home"/>
    <x v="4"/>
    <n v="6000"/>
    <m/>
    <x v="0"/>
    <n v="1"/>
    <x v="1"/>
    <n v="5"/>
    <s v="Professional"/>
    <n v="3"/>
    <x v="1"/>
    <n v="2"/>
    <n v="5"/>
    <n v="4"/>
    <n v="1"/>
    <n v="3"/>
    <s v="Y"/>
    <n v="1000"/>
    <x v="4"/>
  </r>
  <r>
    <d v="2019-10-23T00:00:00"/>
    <d v="1899-12-30T01:19:00"/>
    <m/>
    <s v="P"/>
    <n v="2"/>
    <s v="Road Vehicle"/>
    <n v="1"/>
    <x v="0"/>
    <x v="1"/>
    <n v="1"/>
    <x v="0"/>
    <s v="town"/>
    <s v="Kasese"/>
    <s v="UGA"/>
    <n v="7"/>
    <s v="Hospital"/>
    <s v="matiri"/>
    <s v="Kyegegwa"/>
    <s v="UGA"/>
    <n v="1"/>
    <s v="Home"/>
    <x v="27"/>
    <n v="12000"/>
    <n v="300"/>
    <x v="3"/>
    <n v="4"/>
    <x v="2"/>
    <n v="4"/>
    <s v="Office Worker"/>
    <n v="1"/>
    <x v="2"/>
    <n v="2"/>
    <n v="1"/>
    <n v="5"/>
    <n v="3"/>
    <n v="4"/>
    <s v="Y"/>
    <n v="600"/>
    <x v="3"/>
  </r>
  <r>
    <d v="2019-10-21T00:00:00"/>
    <d v="1899-12-30T06:24:00"/>
    <m/>
    <s v="D"/>
    <n v="2"/>
    <s v="Road Vehicle"/>
    <n v="1"/>
    <x v="0"/>
    <x v="0"/>
    <n v="1"/>
    <x v="0"/>
    <s v="Taxi Park"/>
    <s v="Kasese"/>
    <s v="UGA"/>
    <n v="2"/>
    <s v="Work"/>
    <s v="Kinyamaseke"/>
    <s v="kasese"/>
    <s v="UGA"/>
    <n v="2"/>
    <s v="Work"/>
    <x v="2"/>
    <n v="10000"/>
    <m/>
    <x v="0"/>
    <n v="0.5"/>
    <x v="4"/>
    <n v="10"/>
    <s v="Other"/>
    <n v="1"/>
    <x v="2"/>
    <n v="1"/>
    <n v="3"/>
    <n v="5"/>
    <n v="2"/>
    <n v="4"/>
    <s v="Y"/>
    <m/>
    <x v="3"/>
  </r>
  <r>
    <d v="2019-10-21T00:00:00"/>
    <d v="1899-12-30T06:41:00"/>
    <m/>
    <s v="P"/>
    <n v="2"/>
    <s v="Road Vehicle"/>
    <n v="1"/>
    <x v="0"/>
    <x v="0"/>
    <n v="1"/>
    <x v="0"/>
    <s v="Town centre"/>
    <s v="Kasese"/>
    <s v="UGA"/>
    <n v="2"/>
    <s v="Work"/>
    <s v="Towncentre"/>
    <s v="Kyegegwa"/>
    <s v="UGA"/>
    <n v="2"/>
    <s v="Work"/>
    <x v="2"/>
    <n v="15000"/>
    <n v="184"/>
    <x v="2"/>
    <n v="4"/>
    <x v="2"/>
    <n v="10"/>
    <s v="Other"/>
    <n v="1"/>
    <x v="2"/>
    <n v="1"/>
    <n v="2"/>
    <n v="5"/>
    <n v="4"/>
    <n v="3"/>
    <s v="Y"/>
    <n v="1000"/>
    <x v="4"/>
  </r>
  <r>
    <d v="2019-10-22T00:00:00"/>
    <d v="1899-12-30T07:10:00"/>
    <m/>
    <s v="P"/>
    <n v="2"/>
    <s v="Road Vehicle"/>
    <n v="1"/>
    <x v="0"/>
    <x v="0"/>
    <n v="1"/>
    <x v="0"/>
    <s v="Kisanyalaze"/>
    <s v="Kasese"/>
    <s v="UGA"/>
    <n v="1"/>
    <s v="Home"/>
    <s v="ishaka"/>
    <s v="kasese"/>
    <s v="UGA"/>
    <n v="2"/>
    <s v="Work"/>
    <x v="1"/>
    <n v="8000"/>
    <n v="95"/>
    <x v="1"/>
    <n v="3"/>
    <x v="0"/>
    <n v="2"/>
    <s v="Manual Labour"/>
    <n v="1"/>
    <x v="2"/>
    <n v="2"/>
    <n v="5"/>
    <n v="1"/>
    <n v="3"/>
    <n v="4"/>
    <s v="Y"/>
    <n v="1000"/>
    <x v="4"/>
  </r>
  <r>
    <d v="2019-10-22T00:00:00"/>
    <d v="1899-12-30T07:20:00"/>
    <m/>
    <s v="P"/>
    <n v="2"/>
    <s v="Road Vehicle"/>
    <n v="1"/>
    <x v="0"/>
    <x v="0"/>
    <n v="1"/>
    <x v="0"/>
    <s v="Muvuko"/>
    <s v="Kasese"/>
    <s v="UGA"/>
    <n v="1"/>
    <s v="Home"/>
    <s v="Rubirizi"/>
    <s v="Rubirizi"/>
    <s v="UGA"/>
    <n v="4"/>
    <s v="Commercial"/>
    <x v="0"/>
    <n v="5000"/>
    <n v="65"/>
    <x v="5"/>
    <n v="1.5"/>
    <x v="1"/>
    <n v="7"/>
    <s v="Farmer"/>
    <n v="1"/>
    <x v="2"/>
    <n v="1"/>
    <n v="2"/>
    <n v="3"/>
    <n v="4"/>
    <n v="5"/>
    <s v="Y"/>
    <n v="1000"/>
    <x v="4"/>
  </r>
  <r>
    <d v="2019-10-23T00:00:00"/>
    <d v="1899-12-30T07:50:00"/>
    <m/>
    <s v="D"/>
    <n v="2"/>
    <s v="Road Vehicle"/>
    <n v="1"/>
    <x v="0"/>
    <x v="0"/>
    <n v="1"/>
    <x v="0"/>
    <s v="Kinyamaseke"/>
    <s v="Kasese"/>
    <s v="UGA"/>
    <n v="2"/>
    <s v="Work"/>
    <s v="Kasese Tax"/>
    <s v="kasese"/>
    <s v="UGA"/>
    <n v="2"/>
    <s v="Work"/>
    <x v="2"/>
    <n v="150000"/>
    <n v="15"/>
    <x v="6"/>
    <n v="0.33300000000000002"/>
    <x v="3"/>
    <n v="2"/>
    <s v="Manual Labour"/>
    <n v="1"/>
    <x v="2"/>
    <n v="5"/>
    <n v="1"/>
    <n v="4"/>
    <n v="2"/>
    <n v="3"/>
    <s v="Y"/>
    <n v="1000"/>
    <x v="4"/>
  </r>
  <r>
    <d v="2019-10-23T00:00:00"/>
    <d v="1899-12-30T11:50:00"/>
    <m/>
    <s v="D"/>
    <n v="2"/>
    <s v="Road Vehicle"/>
    <n v="1"/>
    <x v="0"/>
    <x v="0"/>
    <n v="1"/>
    <x v="0"/>
    <s v="Kasese"/>
    <s v="Kasese"/>
    <s v="UGA"/>
    <n v="2"/>
    <s v="Work"/>
    <s v="kyarumba"/>
    <s v="kasese"/>
    <s v="UGA"/>
    <n v="2"/>
    <s v="Work"/>
    <x v="2"/>
    <n v="20000"/>
    <m/>
    <x v="0"/>
    <n v="0.33"/>
    <x v="3"/>
    <n v="2"/>
    <s v="Manual Labour"/>
    <n v="1"/>
    <x v="2"/>
    <n v="2"/>
    <n v="1"/>
    <n v="3"/>
    <n v="4"/>
    <n v="5"/>
    <s v="Y"/>
    <m/>
    <x v="3"/>
  </r>
  <r>
    <d v="2019-10-23T00:00:00"/>
    <d v="1899-12-30T12:30:00"/>
    <m/>
    <s v="D"/>
    <n v="2"/>
    <s v="Road Vehicle"/>
    <n v="1"/>
    <x v="0"/>
    <x v="0"/>
    <n v="1"/>
    <x v="0"/>
    <s v="Kasese"/>
    <s v="Kasese"/>
    <s v="UGA"/>
    <n v="2"/>
    <s v="Work"/>
    <s v="kisinga"/>
    <s v="kasese"/>
    <s v="UGA"/>
    <n v="2"/>
    <s v="Work"/>
    <x v="2"/>
    <n v="20000"/>
    <n v="45"/>
    <x v="5"/>
    <n v="0.5"/>
    <x v="4"/>
    <n v="2"/>
    <s v="Manual Labour"/>
    <n v="1"/>
    <x v="2"/>
    <n v="1"/>
    <n v="2"/>
    <n v="4"/>
    <n v="3"/>
    <n v="5"/>
    <s v="Y"/>
    <m/>
    <x v="3"/>
  </r>
  <r>
    <d v="2019-10-23T00:00:00"/>
    <d v="1899-12-30T12:45:00"/>
    <m/>
    <s v="D"/>
    <n v="2"/>
    <s v="Road Vehicle"/>
    <n v="1"/>
    <x v="0"/>
    <x v="0"/>
    <n v="1"/>
    <x v="0"/>
    <s v="Kibito"/>
    <s v="Kasese"/>
    <s v="UGA"/>
    <n v="2"/>
    <s v="Work"/>
    <s v="kasese"/>
    <s v="kasese"/>
    <s v="UGA"/>
    <n v="2"/>
    <s v="Work"/>
    <x v="2"/>
    <n v="15000"/>
    <n v="37"/>
    <x v="4"/>
    <n v="0.75"/>
    <x v="4"/>
    <n v="2"/>
    <s v="Manual Labour"/>
    <n v="1"/>
    <x v="2"/>
    <n v="1"/>
    <n v="2"/>
    <n v="5"/>
    <n v="4"/>
    <n v="3"/>
    <s v="Y"/>
    <m/>
    <x v="3"/>
  </r>
  <r>
    <d v="2019-10-23T00:00:00"/>
    <d v="1899-12-30T05:15:00"/>
    <m/>
    <s v="D"/>
    <n v="2"/>
    <s v="Road Vehicle"/>
    <n v="1"/>
    <x v="0"/>
    <x v="0"/>
    <n v="1"/>
    <x v="0"/>
    <s v="Kasese"/>
    <s v="Kasese"/>
    <s v="UGA"/>
    <n v="2"/>
    <s v="Work"/>
    <s v="mpondwe"/>
    <s v="kasese"/>
    <s v="UGA"/>
    <n v="2"/>
    <s v="Work"/>
    <x v="2"/>
    <n v="50000"/>
    <n v="60"/>
    <x v="5"/>
    <n v="1.5"/>
    <x v="1"/>
    <n v="2"/>
    <s v="Manual Labour"/>
    <n v="1"/>
    <x v="2"/>
    <n v="2"/>
    <n v="1"/>
    <n v="5"/>
    <n v="3"/>
    <n v="4"/>
    <s v="Y"/>
    <n v="2000"/>
    <x v="1"/>
  </r>
  <r>
    <d v="2019-10-23T00:00:00"/>
    <d v="1899-12-30T06:59:00"/>
    <m/>
    <s v="D"/>
    <n v="2"/>
    <s v="Road Vehicle"/>
    <n v="1"/>
    <x v="0"/>
    <x v="0"/>
    <n v="1"/>
    <x v="0"/>
    <s v="Taxi Park"/>
    <s v="Kasese"/>
    <s v="UGA"/>
    <n v="2"/>
    <s v="Work"/>
    <s v="ishaka"/>
    <s v="Bushenyi"/>
    <s v="UGA"/>
    <n v="2"/>
    <s v="Work"/>
    <x v="2"/>
    <n v="80000"/>
    <n v="90"/>
    <x v="1"/>
    <n v="2"/>
    <x v="0"/>
    <n v="10"/>
    <s v="Other"/>
    <n v="2"/>
    <x v="3"/>
    <n v="2"/>
    <n v="3"/>
    <n v="1"/>
    <n v="5"/>
    <n v="4"/>
    <s v="Y"/>
    <n v="100"/>
    <x v="3"/>
  </r>
  <r>
    <d v="2019-10-23T00:00:00"/>
    <d v="1899-12-30T02:42:00"/>
    <m/>
    <s v="P"/>
    <n v="2"/>
    <s v="Road Vehicle"/>
    <n v="1"/>
    <x v="0"/>
    <x v="0"/>
    <n v="1"/>
    <x v="0"/>
    <s v="Mpanga"/>
    <s v="fortportal"/>
    <s v="UGA"/>
    <n v="1"/>
    <s v="Home"/>
    <s v="kighengera"/>
    <s v="kasese"/>
    <s v="UGA"/>
    <n v="6"/>
    <s v="Leisure/Social"/>
    <x v="8"/>
    <n v="11000"/>
    <m/>
    <x v="0"/>
    <n v="3.5"/>
    <x v="2"/>
    <n v="6"/>
    <s v="Businessman"/>
    <n v="1"/>
    <x v="2"/>
    <n v="4"/>
    <n v="5"/>
    <n v="1"/>
    <n v="3"/>
    <n v="2"/>
    <s v="Y"/>
    <n v="1000"/>
    <x v="4"/>
  </r>
  <r>
    <d v="2091-10-23T00:00:00"/>
    <d v="1899-12-30T07:26:00"/>
    <m/>
    <s v="P"/>
    <n v="2"/>
    <s v="Road Vehicle"/>
    <n v="6"/>
    <x v="1"/>
    <x v="1"/>
    <n v="1"/>
    <x v="0"/>
    <s v="coliketa"/>
    <s v="Kasese"/>
    <s v="UGA"/>
    <n v="1"/>
    <s v="Home"/>
    <s v="kampal city"/>
    <s v="KAMPALA"/>
    <s v="UGA"/>
    <n v="6"/>
    <s v="Leisure/Social"/>
    <x v="8"/>
    <n v="25000"/>
    <m/>
    <x v="0"/>
    <m/>
    <x v="3"/>
    <n v="1"/>
    <s v="Unemployed"/>
    <n v="1"/>
    <x v="2"/>
    <n v="5"/>
    <n v="3"/>
    <n v="1"/>
    <n v="2"/>
    <n v="4"/>
    <s v="Y"/>
    <n v="1000"/>
    <x v="4"/>
  </r>
  <r>
    <d v="2019-10-21T00:00:00"/>
    <d v="1899-12-30T11:29:00"/>
    <m/>
    <s v="P"/>
    <n v="2"/>
    <s v="Road Vehicle"/>
    <n v="6"/>
    <x v="1"/>
    <x v="0"/>
    <n v="1"/>
    <x v="0"/>
    <s v="Kidoodo"/>
    <s v="Kasese"/>
    <s v="UGA"/>
    <n v="1"/>
    <s v="Home"/>
    <s v="kampala"/>
    <s v="KAMPALA"/>
    <s v="UGA"/>
    <n v="4"/>
    <s v="Commercial"/>
    <x v="0"/>
    <n v="25000"/>
    <m/>
    <x v="0"/>
    <n v="8"/>
    <x v="2"/>
    <n v="5"/>
    <s v="Professional"/>
    <n v="3"/>
    <x v="1"/>
    <n v="2"/>
    <n v="1"/>
    <n v="5"/>
    <n v="3"/>
    <n v="4"/>
    <s v="Y"/>
    <n v="1000"/>
    <x v="4"/>
  </r>
  <r>
    <d v="2019-10-23T00:00:00"/>
    <d v="1899-12-30T06:09:00"/>
    <m/>
    <s v="P"/>
    <n v="4"/>
    <s v="Water/Ferry"/>
    <n v="6"/>
    <x v="1"/>
    <x v="0"/>
    <n v="1"/>
    <x v="0"/>
    <s v="kigheige"/>
    <s v="Kasese"/>
    <s v="UGA"/>
    <n v="1"/>
    <s v="Home"/>
    <s v="kisenyi"/>
    <s v="KAMPALA"/>
    <s v="UGA"/>
    <n v="2"/>
    <s v="Work"/>
    <x v="1"/>
    <n v="32000"/>
    <m/>
    <x v="0"/>
    <m/>
    <x v="3"/>
    <n v="2"/>
    <s v="Manual Labour"/>
    <n v="2"/>
    <x v="3"/>
    <n v="1"/>
    <n v="3"/>
    <n v="5"/>
    <n v="2"/>
    <n v="4"/>
    <s v="Y"/>
    <m/>
    <x v="3"/>
  </r>
  <r>
    <d v="2019-10-23T00:00:00"/>
    <d v="1899-12-30T05:03:00"/>
    <m/>
    <s v="P"/>
    <n v="2"/>
    <s v="Road Vehicle"/>
    <n v="6"/>
    <x v="1"/>
    <x v="0"/>
    <n v="1"/>
    <x v="0"/>
    <s v="bwera"/>
    <s v="Kasese"/>
    <s v="UGA"/>
    <n v="6"/>
    <s v="Leisure/Social"/>
    <s v="Towncentre"/>
    <s v="mubende"/>
    <s v="UGA"/>
    <n v="1"/>
    <s v="Home"/>
    <x v="10"/>
    <n v="10000"/>
    <m/>
    <x v="0"/>
    <n v="4"/>
    <x v="2"/>
    <n v="4"/>
    <s v="Office Worker"/>
    <n v="3"/>
    <x v="1"/>
    <n v="5"/>
    <n v="2"/>
    <n v="1"/>
    <n v="4"/>
    <n v="3"/>
    <s v="Y"/>
    <s v="500-1000"/>
    <x v="5"/>
  </r>
  <r>
    <d v="2019-10-23T00:00:00"/>
    <d v="1899-12-30T07:31:00"/>
    <m/>
    <s v="P"/>
    <n v="2"/>
    <s v="Road Vehicle"/>
    <n v="6"/>
    <x v="1"/>
    <x v="0"/>
    <n v="1"/>
    <x v="0"/>
    <s v="railway"/>
    <s v="Kasese"/>
    <s v="UGA"/>
    <n v="6"/>
    <s v="Leisure/Social"/>
    <s v="mutundwe"/>
    <s v="KAMPALA"/>
    <s v="UGA"/>
    <n v="2"/>
    <s v="Work"/>
    <x v="29"/>
    <n v="29000"/>
    <n v="400"/>
    <x v="3"/>
    <n v="9"/>
    <x v="2"/>
    <n v="2"/>
    <s v="Manual Labour"/>
    <n v="1"/>
    <x v="2"/>
    <n v="3"/>
    <n v="1"/>
    <n v="2"/>
    <n v="5"/>
    <n v="4"/>
    <s v="Y"/>
    <n v="100"/>
    <x v="3"/>
  </r>
  <r>
    <d v="2019-10-21T00:00:00"/>
    <d v="1899-12-30T12:00:00"/>
    <m/>
    <s v="P"/>
    <n v="2"/>
    <s v="Road Vehicle"/>
    <n v="4"/>
    <x v="3"/>
    <x v="1"/>
    <n v="1"/>
    <x v="0"/>
    <s v="Rwampara"/>
    <s v="Mbarara"/>
    <s v="UGA"/>
    <n v="1"/>
    <s v="Home"/>
    <s v="Lubona"/>
    <s v="FortPortal"/>
    <s v="UGA"/>
    <n v="6"/>
    <s v="Leisure/Social"/>
    <x v="8"/>
    <n v="25000"/>
    <m/>
    <x v="0"/>
    <n v="5"/>
    <x v="2"/>
    <n v="5"/>
    <s v="Professional"/>
    <n v="3"/>
    <x v="1"/>
    <n v="5"/>
    <n v="1"/>
    <n v="3"/>
    <n v="2"/>
    <n v="4"/>
    <s v="Y"/>
    <s v="500-1000"/>
    <x v="5"/>
  </r>
  <r>
    <d v="2019-10-21T00:00:00"/>
    <d v="1899-12-30T12:52:00"/>
    <m/>
    <s v="P"/>
    <n v="2"/>
    <s v="Road Vehicle"/>
    <n v="4"/>
    <x v="3"/>
    <x v="1"/>
    <n v="1"/>
    <x v="0"/>
    <s v="Kaziini camp"/>
    <s v="Kasese"/>
    <s v="UGA"/>
    <n v="6"/>
    <s v="Leisure/Social"/>
    <s v="Bwera"/>
    <s v="kasese"/>
    <s v="UGA"/>
    <n v="1"/>
    <s v="Home"/>
    <x v="10"/>
    <n v="6000"/>
    <n v="60"/>
    <x v="5"/>
    <n v="2"/>
    <x v="0"/>
    <n v="6"/>
    <s v="Businessman"/>
    <n v="1"/>
    <x v="2"/>
    <n v="3"/>
    <n v="2"/>
    <n v="4"/>
    <n v="1"/>
    <n v="5"/>
    <s v="Y"/>
    <n v="100"/>
    <x v="3"/>
  </r>
  <r>
    <d v="2019-10-21T00:00:00"/>
    <d v="1899-12-30T06:12:00"/>
    <m/>
    <s v="P"/>
    <n v="2"/>
    <s v="Road Vehicle"/>
    <n v="4"/>
    <x v="3"/>
    <x v="1"/>
    <n v="1"/>
    <x v="0"/>
    <s v="Town Park"/>
    <s v="Kasese"/>
    <s v="UGA"/>
    <n v="1"/>
    <s v="Home"/>
    <s v="Bwera"/>
    <s v="kasese"/>
    <s v="UGA"/>
    <n v="2"/>
    <s v="Work"/>
    <x v="1"/>
    <n v="5000"/>
    <m/>
    <x v="0"/>
    <n v="1"/>
    <x v="1"/>
    <n v="2"/>
    <s v="Manual Labour"/>
    <n v="1"/>
    <x v="2"/>
    <n v="2"/>
    <n v="4"/>
    <n v="5"/>
    <n v="1"/>
    <n v="3"/>
    <s v="Y"/>
    <s v="1000-2000"/>
    <x v="5"/>
  </r>
  <r>
    <d v="2019-10-21T00:00:00"/>
    <d v="1899-12-30T11:16:00"/>
    <m/>
    <s v="P"/>
    <n v="2"/>
    <s v="Road Vehicle"/>
    <n v="4"/>
    <x v="3"/>
    <x v="1"/>
    <n v="1"/>
    <x v="0"/>
    <s v="katadoba "/>
    <s v="Kasese"/>
    <s v="UGA"/>
    <n v="4"/>
    <s v="Commercial"/>
    <s v="Bwera"/>
    <s v="kasese"/>
    <s v="UGA"/>
    <n v="4"/>
    <s v="Commercial"/>
    <x v="18"/>
    <n v="7000"/>
    <n v="60"/>
    <x v="5"/>
    <n v="1"/>
    <x v="1"/>
    <n v="6"/>
    <s v="Businessman"/>
    <n v="2"/>
    <x v="3"/>
    <n v="2"/>
    <n v="3"/>
    <n v="5"/>
    <n v="1"/>
    <n v="4"/>
    <s v="Y"/>
    <s v="No"/>
    <x v="5"/>
  </r>
  <r>
    <d v="2019-10-21T00:00:00"/>
    <d v="1899-12-30T10:20:00"/>
    <m/>
    <s v="P"/>
    <n v="2"/>
    <s v="Road Vehicle"/>
    <n v="4"/>
    <x v="3"/>
    <x v="1"/>
    <n v="1"/>
    <x v="0"/>
    <s v="Kasitomu"/>
    <s v="Kasese"/>
    <s v="UGA"/>
    <n v="1"/>
    <s v="Home"/>
    <s v="Universal college"/>
    <s v="kasese"/>
    <s v="UGA"/>
    <n v="2"/>
    <s v="Work"/>
    <x v="1"/>
    <n v="8000"/>
    <n v="85"/>
    <x v="1"/>
    <n v="1.5"/>
    <x v="1"/>
    <n v="10"/>
    <s v="Other"/>
    <n v="1"/>
    <x v="2"/>
    <n v="1"/>
    <n v="2"/>
    <n v="4"/>
    <n v="3"/>
    <n v="5"/>
    <s v="Y"/>
    <n v="1000"/>
    <x v="4"/>
  </r>
  <r>
    <d v="2019-10-21T00:00:00"/>
    <d v="1899-12-30T11:35:00"/>
    <m/>
    <s v="P"/>
    <n v="2"/>
    <s v="Road Vehicle"/>
    <n v="4"/>
    <x v="3"/>
    <x v="1"/>
    <n v="1"/>
    <x v="0"/>
    <s v="Ishaka"/>
    <s v="Kasese"/>
    <s v="UGA"/>
    <n v="4"/>
    <s v="Commercial"/>
    <s v="Bundibugyo"/>
    <s v="Bundibugyo"/>
    <s v="UGA"/>
    <n v="4"/>
    <s v="Commercial"/>
    <x v="18"/>
    <n v="13000"/>
    <m/>
    <x v="0"/>
    <n v="5"/>
    <x v="2"/>
    <n v="6"/>
    <s v="Businessman"/>
    <n v="3"/>
    <x v="1"/>
    <m/>
    <m/>
    <m/>
    <m/>
    <m/>
    <m/>
    <n v="2001"/>
    <x v="1"/>
  </r>
  <r>
    <d v="2019-10-23T00:00:00"/>
    <d v="1899-12-30T05:56:00"/>
    <m/>
    <s v="P"/>
    <n v="2"/>
    <s v="Road Vehicle"/>
    <n v="4"/>
    <x v="3"/>
    <x v="1"/>
    <n v="1"/>
    <x v="0"/>
    <s v="oldkampala"/>
    <s v="KAMPALA"/>
    <s v="UGA"/>
    <n v="2"/>
    <s v="Work"/>
    <s v="kabirizi"/>
    <s v="kasese"/>
    <s v="UGA"/>
    <n v="1"/>
    <s v="Home"/>
    <x v="4"/>
    <n v="30000"/>
    <m/>
    <x v="0"/>
    <n v="9"/>
    <x v="2"/>
    <n v="3"/>
    <s v="Artisan/Domestic"/>
    <n v="1"/>
    <x v="2"/>
    <n v="4"/>
    <n v="2"/>
    <n v="5"/>
    <n v="1"/>
    <n v="3"/>
    <s v="Y"/>
    <m/>
    <x v="3"/>
  </r>
  <r>
    <d v="2019-10-23T00:00:00"/>
    <d v="1899-12-30T03:49:00"/>
    <m/>
    <s v="P"/>
    <n v="2"/>
    <s v="Road Vehicle"/>
    <n v="4"/>
    <x v="3"/>
    <x v="1"/>
    <n v="1"/>
    <x v="0"/>
    <s v="Town centre"/>
    <s v="Mbarara"/>
    <s v="UGA"/>
    <n v="4"/>
    <s v="Commercial"/>
    <s v="kichwamba"/>
    <s v="Fortportal"/>
    <s v="UGA"/>
    <n v="1"/>
    <s v="Home"/>
    <x v="3"/>
    <n v="20000"/>
    <n v="136"/>
    <x v="2"/>
    <n v="4"/>
    <x v="2"/>
    <n v="5"/>
    <s v="Professional"/>
    <n v="1"/>
    <x v="2"/>
    <n v="3"/>
    <n v="2"/>
    <n v="4"/>
    <n v="1"/>
    <n v="5"/>
    <s v="Y"/>
    <n v="500"/>
    <x v="3"/>
  </r>
  <r>
    <d v="2019-10-23T00:00:00"/>
    <d v="1899-12-30T03:16:00"/>
    <m/>
    <s v="P"/>
    <n v="2"/>
    <s v="Road Vehicle"/>
    <n v="4"/>
    <x v="3"/>
    <x v="1"/>
    <n v="1"/>
    <x v="0"/>
    <s v="Town"/>
    <s v="Kasese"/>
    <s v="UGA"/>
    <n v="8"/>
    <s v="Others"/>
    <s v="bwera"/>
    <s v="kasese"/>
    <s v="UGA"/>
    <n v="8"/>
    <s v="Others"/>
    <x v="15"/>
    <n v="6000"/>
    <m/>
    <x v="0"/>
    <n v="1.5"/>
    <x v="1"/>
    <n v="6"/>
    <s v="Businessman"/>
    <n v="1"/>
    <x v="2"/>
    <n v="1"/>
    <n v="3"/>
    <n v="4"/>
    <n v="2"/>
    <n v="5"/>
    <s v="Y"/>
    <n v="2000"/>
    <x v="1"/>
  </r>
  <r>
    <d v="2019-10-21T00:00:00"/>
    <d v="1899-12-30T12:20:00"/>
    <m/>
    <s v="P"/>
    <n v="2"/>
    <s v="Road Vehicle"/>
    <n v="4"/>
    <x v="3"/>
    <x v="0"/>
    <n v="1"/>
    <x v="0"/>
    <s v="Town centre"/>
    <s v="Kasese"/>
    <s v="UGA"/>
    <n v="2"/>
    <s v="Work"/>
    <s v="Rwibale"/>
    <s v="Rwibale"/>
    <s v="UGA"/>
    <n v="2"/>
    <s v="Work"/>
    <x v="2"/>
    <n v="11000"/>
    <m/>
    <x v="0"/>
    <m/>
    <x v="3"/>
    <n v="2"/>
    <s v="Manual Labour"/>
    <n v="2"/>
    <x v="3"/>
    <n v="4"/>
    <n v="1"/>
    <n v="3"/>
    <n v="2"/>
    <n v="5"/>
    <s v="Y"/>
    <n v="500"/>
    <x v="3"/>
  </r>
  <r>
    <d v="2019-10-21T00:00:00"/>
    <d v="1899-12-30T12:02:00"/>
    <m/>
    <s v="P"/>
    <n v="2"/>
    <s v="Road Vehicle"/>
    <n v="4"/>
    <x v="3"/>
    <x v="0"/>
    <n v="1"/>
    <x v="0"/>
    <s v="katwe"/>
    <s v="Kasese"/>
    <s v="UGA"/>
    <n v="1"/>
    <s v="Home"/>
    <s v="Bwera"/>
    <s v="kasese"/>
    <s v="UGA"/>
    <n v="2"/>
    <s v="Work"/>
    <x v="1"/>
    <n v="9000"/>
    <m/>
    <x v="0"/>
    <s v="1to 2"/>
    <x v="2"/>
    <n v="6"/>
    <s v="Businessman"/>
    <n v="2"/>
    <x v="3"/>
    <n v="2"/>
    <n v="5"/>
    <n v="1"/>
    <n v="4"/>
    <n v="3"/>
    <s v="Y"/>
    <n v="200"/>
    <x v="3"/>
  </r>
  <r>
    <d v="2019-10-21T00:00:00"/>
    <d v="1899-12-30T12:40:00"/>
    <m/>
    <s v="D"/>
    <n v="2"/>
    <s v="Road Vehicle"/>
    <n v="4"/>
    <x v="3"/>
    <x v="0"/>
    <n v="1"/>
    <x v="0"/>
    <s v="Town centre"/>
    <s v="Kasese"/>
    <s v="UGA"/>
    <n v="2"/>
    <s v="Work"/>
    <s v="Kikome"/>
    <s v="kasese"/>
    <s v="UGA"/>
    <n v="2"/>
    <s v="Work"/>
    <x v="2"/>
    <n v="7600"/>
    <n v="14"/>
    <x v="6"/>
    <n v="0.33"/>
    <x v="3"/>
    <n v="10"/>
    <s v="Other"/>
    <n v="2"/>
    <x v="3"/>
    <n v="3"/>
    <n v="4"/>
    <n v="1"/>
    <n v="2"/>
    <n v="5"/>
    <s v="Y"/>
    <n v="1000"/>
    <x v="4"/>
  </r>
  <r>
    <d v="2019-10-21T00:00:00"/>
    <d v="1899-12-30T06:32:00"/>
    <m/>
    <s v="P"/>
    <n v="2"/>
    <s v="Road Vehicle"/>
    <n v="4"/>
    <x v="3"/>
    <x v="0"/>
    <n v="1"/>
    <x v="0"/>
    <s v="Mt.Rwenzori"/>
    <s v="Kasese"/>
    <s v="UGA"/>
    <n v="2"/>
    <s v="Work"/>
    <s v="Mughete"/>
    <s v="kasese"/>
    <s v="UGA"/>
    <n v="2"/>
    <s v="Work"/>
    <x v="2"/>
    <n v="6000"/>
    <n v="100"/>
    <x v="2"/>
    <n v="1"/>
    <x v="1"/>
    <n v="2"/>
    <s v="Manual Labour"/>
    <n v="1"/>
    <x v="2"/>
    <n v="1"/>
    <n v="2"/>
    <n v="5"/>
    <n v="4"/>
    <n v="3"/>
    <s v="Y"/>
    <n v="100"/>
    <x v="3"/>
  </r>
  <r>
    <d v="2019-10-21T00:00:00"/>
    <d v="1899-12-30T11:22:00"/>
    <m/>
    <s v="P"/>
    <n v="2"/>
    <s v="Road Vehicle"/>
    <n v="4"/>
    <x v="3"/>
    <x v="0"/>
    <n v="1"/>
    <x v="0"/>
    <s v="Katwe"/>
    <s v="Kasese"/>
    <s v="UGA"/>
    <n v="4"/>
    <s v="Commercial"/>
    <s v="Kyegegwa"/>
    <s v="Kyegegwa"/>
    <s v="UGA"/>
    <n v="4"/>
    <s v="Commercial"/>
    <x v="18"/>
    <n v="12000"/>
    <n v="189"/>
    <x v="2"/>
    <n v="3.5"/>
    <x v="2"/>
    <n v="6"/>
    <s v="Businessman"/>
    <n v="2"/>
    <x v="3"/>
    <n v="2"/>
    <n v="1"/>
    <n v="4"/>
    <n v="5"/>
    <n v="3"/>
    <s v="Y"/>
    <n v="1000"/>
    <x v="4"/>
  </r>
  <r>
    <d v="2019-10-21T00:00:00"/>
    <d v="1899-12-30T10:56:00"/>
    <m/>
    <s v="P"/>
    <n v="2"/>
    <s v="Road Vehicle"/>
    <n v="4"/>
    <x v="3"/>
    <x v="0"/>
    <n v="1"/>
    <x v="0"/>
    <s v="Kasitomu"/>
    <s v="Kasese"/>
    <s v="UGA"/>
    <n v="1"/>
    <s v="Home"/>
    <s v="kasitomu"/>
    <s v="kasese"/>
    <s v="UGA"/>
    <n v="2"/>
    <s v="Work"/>
    <x v="1"/>
    <n v="3000"/>
    <n v="58"/>
    <x v="5"/>
    <n v="0.75"/>
    <x v="4"/>
    <n v="2"/>
    <s v="Manual Labour"/>
    <n v="1"/>
    <x v="2"/>
    <n v="2"/>
    <n v="1"/>
    <n v="4"/>
    <n v="3"/>
    <n v="5"/>
    <s v="Y"/>
    <n v="2000"/>
    <x v="1"/>
  </r>
  <r>
    <d v="2019-10-21T00:00:00"/>
    <d v="1899-12-30T11:55:00"/>
    <m/>
    <s v="P"/>
    <n v="2"/>
    <s v="Road Vehicle"/>
    <n v="4"/>
    <x v="3"/>
    <x v="0"/>
    <n v="1"/>
    <x v="0"/>
    <s v="Kisanyalaze"/>
    <s v="Kasese"/>
    <s v="UGA"/>
    <n v="1"/>
    <s v="Home"/>
    <s v="Kazinga channel"/>
    <s v="kasese"/>
    <s v="UGA"/>
    <n v="2"/>
    <s v="Work"/>
    <x v="1"/>
    <n v="3000"/>
    <m/>
    <x v="0"/>
    <n v="0.33300000000000002"/>
    <x v="3"/>
    <n v="10"/>
    <s v="Other"/>
    <n v="2"/>
    <x v="3"/>
    <n v="2"/>
    <n v="3"/>
    <n v="4"/>
    <n v="1"/>
    <n v="5"/>
    <s v="Y"/>
    <m/>
    <x v="3"/>
  </r>
  <r>
    <d v="2019-10-22T00:00:00"/>
    <d v="1899-12-30T08:23:00"/>
    <m/>
    <s v="P"/>
    <n v="2"/>
    <s v="Road Vehicle"/>
    <n v="4"/>
    <x v="3"/>
    <x v="0"/>
    <n v="1"/>
    <x v="0"/>
    <s v="Muhokya"/>
    <s v="Kasese"/>
    <s v="UGA"/>
    <n v="1"/>
    <s v="Home"/>
    <s v="Town centre"/>
    <s v="kasese"/>
    <s v="UGA"/>
    <n v="2"/>
    <s v="Work"/>
    <x v="1"/>
    <n v="2000"/>
    <n v="20"/>
    <x v="4"/>
    <n v="0.16700000000000001"/>
    <x v="3"/>
    <n v="2"/>
    <s v="Manual Labour"/>
    <n v="1"/>
    <x v="2"/>
    <n v="1"/>
    <n v="3"/>
    <n v="4"/>
    <n v="5"/>
    <n v="6"/>
    <s v="Y"/>
    <n v="1000"/>
    <x v="4"/>
  </r>
  <r>
    <d v="2019-10-22T00:00:00"/>
    <d v="1899-12-30T11:50:00"/>
    <m/>
    <s v="P"/>
    <n v="2"/>
    <s v="Road Vehicle"/>
    <n v="4"/>
    <x v="3"/>
    <x v="0"/>
    <n v="1"/>
    <x v="0"/>
    <s v="kikoodo"/>
    <s v="Kasese"/>
    <s v="UGA"/>
    <n v="1"/>
    <s v="Home"/>
    <s v="ishaka"/>
    <s v="kasese"/>
    <s v="UGA"/>
    <n v="2"/>
    <s v="Work"/>
    <x v="1"/>
    <n v="8000"/>
    <n v="92"/>
    <x v="1"/>
    <n v="3"/>
    <x v="0"/>
    <n v="6"/>
    <s v="Businessman"/>
    <n v="2"/>
    <x v="3"/>
    <n v="1"/>
    <n v="2"/>
    <n v="4"/>
    <n v="3"/>
    <n v="5"/>
    <s v="Y"/>
    <n v="1000"/>
    <x v="4"/>
  </r>
  <r>
    <d v="2019-10-23T00:00:00"/>
    <d v="1899-12-30T05:59:00"/>
    <m/>
    <s v="P"/>
    <n v="2"/>
    <s v="Road Vehicle"/>
    <n v="4"/>
    <x v="3"/>
    <x v="0"/>
    <n v="1"/>
    <x v="0"/>
    <s v="Kinyamaseke"/>
    <s v="Kasese"/>
    <s v="UGA"/>
    <n v="1"/>
    <s v="Home"/>
    <s v="kasese"/>
    <s v="kasese"/>
    <s v="UGA"/>
    <n v="4"/>
    <s v="Commercial"/>
    <x v="0"/>
    <n v="3000"/>
    <n v="12"/>
    <x v="6"/>
    <n v="0.33329999999999999"/>
    <x v="3"/>
    <n v="7"/>
    <s v="Farmer"/>
    <n v="1"/>
    <x v="2"/>
    <n v="1"/>
    <n v="2"/>
    <n v="5"/>
    <n v="3"/>
    <n v="4"/>
    <s v="Y"/>
    <m/>
    <x v="3"/>
  </r>
  <r>
    <d v="2019-10-23T00:00:00"/>
    <d v="1899-12-30T01:48:00"/>
    <m/>
    <s v="P"/>
    <n v="2"/>
    <s v="Road Vehicle"/>
    <n v="4"/>
    <x v="3"/>
    <x v="0"/>
    <n v="1"/>
    <x v="0"/>
    <s v="towncity"/>
    <s v="Kasese"/>
    <s v="UGA"/>
    <n v="2"/>
    <s v="Work"/>
    <s v="kisinga"/>
    <s v="kasese"/>
    <s v="UGA"/>
    <n v="1"/>
    <s v="Home"/>
    <x v="4"/>
    <n v="6000"/>
    <n v="40"/>
    <x v="5"/>
    <n v="1.5"/>
    <x v="1"/>
    <n v="6"/>
    <s v="Businessman"/>
    <n v="1"/>
    <x v="2"/>
    <n v="2"/>
    <n v="5"/>
    <n v="1"/>
    <n v="4"/>
    <n v="3"/>
    <s v="Y"/>
    <n v="500"/>
    <x v="3"/>
  </r>
  <r>
    <d v="2019-10-23T00:00:00"/>
    <d v="1899-12-30T04:32:00"/>
    <m/>
    <s v="P"/>
    <n v="2"/>
    <s v="Road Vehicle"/>
    <n v="4"/>
    <x v="3"/>
    <x v="0"/>
    <n v="1"/>
    <x v="0"/>
    <s v="Kibssara"/>
    <s v="Kasese"/>
    <s v="UGA"/>
    <n v="6"/>
    <s v="Leisure/Social"/>
    <s v="muyhete"/>
    <s v="kasese"/>
    <s v="UGA"/>
    <n v="4"/>
    <s v="Commercial"/>
    <x v="21"/>
    <n v="12000"/>
    <m/>
    <x v="0"/>
    <n v="2.5"/>
    <x v="0"/>
    <n v="6"/>
    <s v="Businessman"/>
    <n v="1"/>
    <x v="2"/>
    <n v="5"/>
    <n v="2"/>
    <n v="3"/>
    <n v="4"/>
    <n v="1"/>
    <s v="Y"/>
    <n v="100"/>
    <x v="3"/>
  </r>
  <r>
    <d v="2019-10-23T00:00:00"/>
    <d v="1899-12-30T03:31:00"/>
    <m/>
    <s v="P"/>
    <n v="2"/>
    <s v="Road Vehicle"/>
    <n v="4"/>
    <x v="3"/>
    <x v="0"/>
    <n v="1"/>
    <x v="0"/>
    <s v="Kinyamaseke"/>
    <s v="Kasese"/>
    <s v="UGA"/>
    <n v="8"/>
    <s v="Others"/>
    <s v="Towncentre"/>
    <s v="kasese"/>
    <s v="UGA"/>
    <n v="7"/>
    <s v="Hospital"/>
    <x v="30"/>
    <n v="2000"/>
    <m/>
    <x v="0"/>
    <n v="0.5"/>
    <x v="4"/>
    <n v="1"/>
    <s v="Unemployed"/>
    <n v="1"/>
    <x v="2"/>
    <n v="4"/>
    <n v="5"/>
    <n v="2"/>
    <n v="1"/>
    <n v="3"/>
    <s v="Y"/>
    <m/>
    <x v="3"/>
  </r>
  <r>
    <d v="2019-10-23T00:00:00"/>
    <d v="1899-12-30T03:00:00"/>
    <m/>
    <s v="P"/>
    <n v="2"/>
    <s v="Road Vehicle"/>
    <n v="4"/>
    <x v="3"/>
    <x v="0"/>
    <n v="1"/>
    <x v="0"/>
    <s v="modern"/>
    <s v="Kasese"/>
    <s v="UGA"/>
    <n v="1"/>
    <s v="Home"/>
    <s v="cholikota"/>
    <s v="kasese"/>
    <s v="UGA"/>
    <n v="6"/>
    <s v="Leisure/Social"/>
    <x v="8"/>
    <n v="2500"/>
    <m/>
    <x v="0"/>
    <n v="0.16600000000000001"/>
    <x v="3"/>
    <n v="1"/>
    <s v="Unemployed"/>
    <n v="1"/>
    <x v="2"/>
    <n v="2"/>
    <n v="4"/>
    <n v="3"/>
    <n v="1"/>
    <n v="5"/>
    <s v="Y"/>
    <m/>
    <x v="3"/>
  </r>
  <r>
    <d v="2019-10-23T00:00:00"/>
    <d v="1899-12-30T02:18:00"/>
    <m/>
    <s v="P"/>
    <n v="2"/>
    <s v="Road Vehicle"/>
    <n v="4"/>
    <x v="3"/>
    <x v="0"/>
    <n v="1"/>
    <x v="0"/>
    <s v="Kirembe quata"/>
    <s v="Kasese"/>
    <s v="UGA"/>
    <n v="5"/>
    <s v="Tourism"/>
    <s v="Towncentre"/>
    <s v="miityana"/>
    <s v="UGA"/>
    <n v="5"/>
    <s v="Tourism"/>
    <x v="31"/>
    <n v="22000"/>
    <m/>
    <x v="0"/>
    <m/>
    <x v="3"/>
    <n v="4"/>
    <s v="Office Worker"/>
    <n v="3"/>
    <x v="1"/>
    <n v="4"/>
    <n v="3"/>
    <n v="1"/>
    <n v="2"/>
    <n v="5"/>
    <s v="Y"/>
    <n v="1500"/>
    <x v="4"/>
  </r>
  <r>
    <d v="2019-10-23T00:00:00"/>
    <d v="1899-12-30T12:48:00"/>
    <m/>
    <s v="P"/>
    <n v="2"/>
    <s v="Road Vehicle"/>
    <n v="4"/>
    <x v="3"/>
    <x v="0"/>
    <n v="1"/>
    <x v="0"/>
    <s v="Bwera"/>
    <s v="Kasese"/>
    <s v="UGA"/>
    <n v="2"/>
    <s v="Work"/>
    <s v="Town centre"/>
    <s v="Mbarara"/>
    <s v="UGA"/>
    <n v="2"/>
    <s v="Work"/>
    <x v="2"/>
    <n v="120000"/>
    <m/>
    <x v="0"/>
    <n v="3"/>
    <x v="0"/>
    <n v="10"/>
    <s v="Other"/>
    <n v="1"/>
    <x v="2"/>
    <n v="2"/>
    <n v="1"/>
    <n v="5"/>
    <n v="4"/>
    <n v="3"/>
    <s v="Y"/>
    <n v="1000"/>
    <x v="4"/>
  </r>
  <r>
    <d v="2019-10-23T00:00:00"/>
    <d v="1899-12-30T12:16:00"/>
    <m/>
    <s v="P"/>
    <n v="2"/>
    <s v="Road Vehicle"/>
    <n v="4"/>
    <x v="3"/>
    <x v="0"/>
    <n v="1"/>
    <x v="0"/>
    <s v="bwera"/>
    <s v="Kasese"/>
    <s v="UGA"/>
    <n v="3"/>
    <s v="Study"/>
    <s v="kitalikibi"/>
    <s v="kasese"/>
    <s v="UGA"/>
    <n v="1"/>
    <s v="Home"/>
    <x v="9"/>
    <n v="6000"/>
    <m/>
    <x v="0"/>
    <n v="1"/>
    <x v="1"/>
    <n v="6"/>
    <s v="Businessman"/>
    <n v="5"/>
    <x v="4"/>
    <n v="5"/>
    <n v="1"/>
    <n v="3"/>
    <n v="2"/>
    <n v="4"/>
    <s v="Y"/>
    <n v="1500"/>
    <x v="4"/>
  </r>
  <r>
    <d v="2019-10-23T00:00:00"/>
    <d v="1899-12-30T11:07:00"/>
    <m/>
    <s v="P"/>
    <n v="2"/>
    <s v="Road Vehicle"/>
    <n v="4"/>
    <x v="3"/>
    <x v="0"/>
    <n v="1"/>
    <x v="0"/>
    <s v="colidota"/>
    <s v="Kasese"/>
    <s v="UGA"/>
    <n v="8"/>
    <s v="Others"/>
    <s v="kakabara"/>
    <s v="Kyegegwa"/>
    <s v="UGA"/>
    <n v="8"/>
    <s v="Others"/>
    <x v="15"/>
    <n v="14000"/>
    <m/>
    <x v="0"/>
    <n v="4"/>
    <x v="2"/>
    <n v="6"/>
    <s v="Businessman"/>
    <n v="3"/>
    <x v="1"/>
    <n v="1"/>
    <n v="5"/>
    <n v="3"/>
    <n v="2"/>
    <n v="4"/>
    <s v="Y"/>
    <n v="1500"/>
    <x v="4"/>
  </r>
  <r>
    <d v="2019-10-21T00:00:00"/>
    <d v="1899-12-30T02:10:00"/>
    <m/>
    <m/>
    <n v="2"/>
    <s v="Road Vehicle"/>
    <n v="4"/>
    <x v="3"/>
    <x v="0"/>
    <n v="1"/>
    <x v="0"/>
    <m/>
    <m/>
    <s v="UGA"/>
    <n v="1"/>
    <s v="Home"/>
    <m/>
    <m/>
    <s v="UGA"/>
    <n v="8"/>
    <s v="Others"/>
    <x v="13"/>
    <m/>
    <m/>
    <x v="0"/>
    <m/>
    <x v="3"/>
    <n v="4"/>
    <s v="Office Worker"/>
    <n v="2"/>
    <x v="3"/>
    <m/>
    <m/>
    <m/>
    <m/>
    <m/>
    <m/>
    <m/>
    <x v="3"/>
  </r>
  <r>
    <d v="2019-10-23T00:00:00"/>
    <d v="1899-12-30T08:36:00"/>
    <m/>
    <s v="D"/>
    <n v="2"/>
    <s v="Road Vehicle"/>
    <n v="2"/>
    <x v="6"/>
    <x v="0"/>
    <n v="1"/>
    <x v="0"/>
    <s v="Town centre"/>
    <s v="bushenyi"/>
    <s v="UGA"/>
    <n v="8"/>
    <s v="Others"/>
    <s v="mukungu"/>
    <s v="kasese"/>
    <s v="UGA"/>
    <n v="1"/>
    <s v="Home"/>
    <x v="12"/>
    <n v="71000"/>
    <m/>
    <x v="0"/>
    <n v="3"/>
    <x v="0"/>
    <n v="5"/>
    <s v="Professional"/>
    <n v="3"/>
    <x v="1"/>
    <n v="1"/>
    <n v="5"/>
    <n v="4"/>
    <n v="2"/>
    <n v="3"/>
    <s v="Y"/>
    <n v="1000"/>
    <x v="4"/>
  </r>
  <r>
    <d v="2019-10-21T00:00:00"/>
    <d v="1899-12-30T11:58:00"/>
    <m/>
    <m/>
    <n v="1"/>
    <s v="Walking/Cycling"/>
    <n v="2"/>
    <x v="6"/>
    <x v="0"/>
    <n v="1"/>
    <x v="0"/>
    <s v="Kasitomu"/>
    <s v="Kasese"/>
    <s v="UGA"/>
    <n v="1"/>
    <s v="Home"/>
    <s v="kampala"/>
    <s v="kampala"/>
    <s v="UGA"/>
    <n v="4"/>
    <s v="Commercial"/>
    <x v="0"/>
    <n v="30000"/>
    <n v="443"/>
    <x v="3"/>
    <n v="8"/>
    <x v="2"/>
    <n v="2"/>
    <s v="Manual Labour"/>
    <n v="1"/>
    <x v="2"/>
    <n v="2"/>
    <n v="3"/>
    <n v="5"/>
    <n v="1"/>
    <n v="4"/>
    <s v="Y"/>
    <m/>
    <x v="3"/>
  </r>
  <r>
    <d v="2019-10-21T00:00:00"/>
    <d v="1899-12-30T01:00:00"/>
    <m/>
    <m/>
    <n v="1"/>
    <s v="Walking/Cycling"/>
    <n v="13"/>
    <x v="5"/>
    <x v="1"/>
    <n v="2"/>
    <x v="1"/>
    <s v="Kinyamaseke"/>
    <s v="Kasese"/>
    <s v="UGA"/>
    <n v="1"/>
    <s v="Home"/>
    <s v="Town centre"/>
    <s v="kasese"/>
    <s v="UGA"/>
    <n v="6"/>
    <s v="Leisure/Social"/>
    <x v="8"/>
    <n v="2000"/>
    <m/>
    <x v="0"/>
    <n v="8.3330000000000001E-2"/>
    <x v="3"/>
    <n v="10"/>
    <s v="Other"/>
    <n v="2"/>
    <x v="3"/>
    <n v="2"/>
    <n v="3"/>
    <n v="4"/>
    <n v="1"/>
    <n v="5"/>
    <s v="Y"/>
    <m/>
    <x v="3"/>
  </r>
  <r>
    <d v="2019-10-22T00:00:00"/>
    <d v="1899-12-30T09:18:00"/>
    <m/>
    <m/>
    <n v="1"/>
    <s v="Walking/Cycling"/>
    <n v="13"/>
    <x v="5"/>
    <x v="1"/>
    <n v="2"/>
    <x v="1"/>
    <s v="Rugendabara"/>
    <s v="Kasese"/>
    <s v="UGA"/>
    <n v="1"/>
    <s v="Home"/>
    <s v="Towncentre"/>
    <s v="kasese"/>
    <s v="UGA"/>
    <n v="4"/>
    <s v="Commercial"/>
    <x v="0"/>
    <m/>
    <m/>
    <x v="0"/>
    <m/>
    <x v="3"/>
    <n v="7"/>
    <s v="Farmer"/>
    <n v="1"/>
    <x v="2"/>
    <n v="1"/>
    <n v="2"/>
    <n v="5"/>
    <n v="3"/>
    <n v="4"/>
    <s v="Y"/>
    <m/>
    <x v="3"/>
  </r>
  <r>
    <d v="2019-10-22T00:00:00"/>
    <d v="1899-12-30T12:35:00"/>
    <m/>
    <m/>
    <n v="1"/>
    <s v="Walking/Cycling"/>
    <n v="13"/>
    <x v="5"/>
    <x v="1"/>
    <n v="2"/>
    <x v="1"/>
    <s v="Rugendabara"/>
    <s v="Kasese"/>
    <s v="UGA"/>
    <n v="1"/>
    <s v="Home"/>
    <s v="Towncentre"/>
    <s v="kasese"/>
    <s v="UGA"/>
    <n v="6"/>
    <s v="Leisure/Social"/>
    <x v="8"/>
    <n v="500"/>
    <n v="0.5"/>
    <x v="0"/>
    <n v="0.1"/>
    <x v="3"/>
    <n v="10"/>
    <s v="Other"/>
    <n v="1"/>
    <x v="2"/>
    <n v="1"/>
    <n v="3"/>
    <n v="4"/>
    <n v="2"/>
    <n v="5"/>
    <s v="Y"/>
    <m/>
    <x v="3"/>
  </r>
  <r>
    <d v="2019-10-22T00:00:00"/>
    <d v="1899-12-30T04:57:00"/>
    <m/>
    <m/>
    <n v="1"/>
    <s v="Walking/Cycling"/>
    <n v="13"/>
    <x v="5"/>
    <x v="1"/>
    <n v="2"/>
    <x v="1"/>
    <s v="muvuko"/>
    <s v="Kasese"/>
    <s v="UGA"/>
    <n v="2"/>
    <s v="Work"/>
    <s v="mt.Rwenzori"/>
    <s v="kasese"/>
    <s v="UGA"/>
    <n v="1"/>
    <s v="Home"/>
    <x v="4"/>
    <n v="2500"/>
    <n v="22"/>
    <x v="4"/>
    <n v="0.16669999999999999"/>
    <x v="3"/>
    <n v="5"/>
    <s v="Professional"/>
    <n v="2"/>
    <x v="3"/>
    <n v="1"/>
    <n v="2"/>
    <n v="4"/>
    <n v="3"/>
    <n v="5"/>
    <s v="Y"/>
    <n v="2500"/>
    <x v="1"/>
  </r>
  <r>
    <d v="2019-10-22T00:00:00"/>
    <d v="1899-12-30T04:50:00"/>
    <m/>
    <m/>
    <n v="1"/>
    <s v="Walking/Cycling"/>
    <n v="13"/>
    <x v="5"/>
    <x v="1"/>
    <n v="2"/>
    <x v="1"/>
    <s v="muvuko"/>
    <s v="Kasese"/>
    <s v="UGA"/>
    <n v="2"/>
    <s v="Work"/>
    <s v="mt.Rwenzori"/>
    <s v="kasese"/>
    <s v="UGA"/>
    <n v="1"/>
    <s v="Home"/>
    <x v="4"/>
    <n v="2000"/>
    <n v="15"/>
    <x v="6"/>
    <n v="0.15"/>
    <x v="3"/>
    <n v="5"/>
    <s v="Professional"/>
    <n v="2"/>
    <x v="3"/>
    <n v="1"/>
    <n v="2"/>
    <n v="3"/>
    <n v="4"/>
    <n v="5"/>
    <s v="Y"/>
    <n v="1000"/>
    <x v="4"/>
  </r>
  <r>
    <d v="2019-10-22T00:00:00"/>
    <d v="1899-12-30T04:44:00"/>
    <m/>
    <m/>
    <n v="1"/>
    <s v="Walking/Cycling"/>
    <n v="13"/>
    <x v="5"/>
    <x v="1"/>
    <n v="2"/>
    <x v="1"/>
    <s v="universal"/>
    <s v="Kasese"/>
    <s v="UGA"/>
    <n v="2"/>
    <s v="Work"/>
    <s v="Rubona"/>
    <s v="Bunyangabo"/>
    <s v="UGA"/>
    <n v="1"/>
    <s v="Home"/>
    <x v="4"/>
    <n v="4000"/>
    <n v="20"/>
    <x v="4"/>
    <n v="0.13300000000000001"/>
    <x v="3"/>
    <n v="5"/>
    <s v="Professional"/>
    <n v="2"/>
    <x v="3"/>
    <n v="1"/>
    <n v="5"/>
    <n v="4"/>
    <n v="2"/>
    <n v="3"/>
    <s v="Y"/>
    <n v="1000"/>
    <x v="4"/>
  </r>
  <r>
    <d v="2019-10-22T00:00:00"/>
    <d v="1899-12-30T02:50:00"/>
    <m/>
    <m/>
    <n v="1"/>
    <s v="Walking/Cycling"/>
    <n v="13"/>
    <x v="5"/>
    <x v="1"/>
    <n v="2"/>
    <x v="1"/>
    <s v="Kisanyalaze"/>
    <s v="Kasese"/>
    <s v="UGA"/>
    <n v="1"/>
    <s v="Home"/>
    <s v="Towncentre"/>
    <s v="kasese"/>
    <s v="UGA"/>
    <n v="4"/>
    <s v="Commercial"/>
    <x v="0"/>
    <n v="1000"/>
    <m/>
    <x v="0"/>
    <n v="6.6600000000000006E-2"/>
    <x v="3"/>
    <n v="7"/>
    <s v="Farmer"/>
    <n v="2"/>
    <x v="3"/>
    <n v="2"/>
    <n v="3"/>
    <n v="4"/>
    <n v="5"/>
    <n v="1"/>
    <s v="Y"/>
    <n v="2000"/>
    <x v="1"/>
  </r>
  <r>
    <d v="2019-10-22T00:00:00"/>
    <d v="1899-12-30T02:45:00"/>
    <m/>
    <m/>
    <n v="1"/>
    <s v="Walking/Cycling"/>
    <n v="13"/>
    <x v="5"/>
    <x v="1"/>
    <n v="2"/>
    <x v="1"/>
    <s v="Kisanyalaze"/>
    <s v="Kasese"/>
    <s v="UGA"/>
    <n v="1"/>
    <s v="Home"/>
    <s v="Towncentre"/>
    <s v="kasese"/>
    <s v="UGA"/>
    <n v="6"/>
    <s v="Leisure/Social"/>
    <x v="8"/>
    <n v="1000"/>
    <n v="0.5"/>
    <x v="0"/>
    <n v="6.6659999999999997E-2"/>
    <x v="3"/>
    <n v="7"/>
    <s v="Farmer"/>
    <n v="2"/>
    <x v="3"/>
    <n v="2"/>
    <n v="3"/>
    <n v="4"/>
    <n v="1"/>
    <n v="5"/>
    <s v="Y"/>
    <n v="1000"/>
    <x v="4"/>
  </r>
  <r>
    <d v="2019-10-22T00:00:00"/>
    <d v="1899-12-30T02:36:00"/>
    <m/>
    <m/>
    <n v="1"/>
    <s v="Walking/Cycling"/>
    <n v="13"/>
    <x v="5"/>
    <x v="1"/>
    <n v="2"/>
    <x v="1"/>
    <s v="Ndongo"/>
    <m/>
    <s v="UGA"/>
    <n v="1"/>
    <s v="Home"/>
    <s v="Towncentre"/>
    <m/>
    <s v="UGA"/>
    <n v="6"/>
    <s v="Leisure/Social"/>
    <x v="8"/>
    <n v="1000"/>
    <n v="1"/>
    <x v="0"/>
    <n v="6.6659999999999997E-2"/>
    <x v="3"/>
    <n v="7"/>
    <s v="Farmer"/>
    <n v="2"/>
    <x v="3"/>
    <n v="1"/>
    <n v="2"/>
    <n v="3"/>
    <n v="4"/>
    <n v="5"/>
    <s v="Y"/>
    <m/>
    <x v="3"/>
  </r>
  <r>
    <d v="2019-10-22T00:00:00"/>
    <d v="1899-12-30T02:30:00"/>
    <m/>
    <m/>
    <n v="1"/>
    <s v="Walking/Cycling"/>
    <n v="13"/>
    <x v="5"/>
    <x v="1"/>
    <n v="2"/>
    <x v="1"/>
    <s v="Ndongo"/>
    <m/>
    <s v="UGA"/>
    <n v="1"/>
    <s v="Home"/>
    <s v="Towncentre"/>
    <m/>
    <s v="UGA"/>
    <n v="6"/>
    <s v="Leisure/Social"/>
    <x v="8"/>
    <n v="1000"/>
    <n v="0.5"/>
    <x v="0"/>
    <n v="0.05"/>
    <x v="3"/>
    <n v="7"/>
    <s v="Farmer"/>
    <n v="2"/>
    <x v="3"/>
    <n v="1"/>
    <n v="2"/>
    <n v="3"/>
    <n v="4"/>
    <n v="5"/>
    <s v="Y"/>
    <n v="500"/>
    <x v="3"/>
  </r>
  <r>
    <d v="2019-10-22T00:00:00"/>
    <d v="1899-12-30T02:15:00"/>
    <m/>
    <m/>
    <n v="1"/>
    <s v="Walking/Cycling"/>
    <n v="13"/>
    <x v="5"/>
    <x v="1"/>
    <n v="2"/>
    <x v="1"/>
    <s v="Rugendabara"/>
    <s v="Kasese"/>
    <s v="UGA"/>
    <n v="1"/>
    <s v="Home"/>
    <s v="Towncentre"/>
    <s v="kasese"/>
    <s v="UGA"/>
    <n v="4"/>
    <s v="Commercial"/>
    <x v="0"/>
    <m/>
    <m/>
    <x v="0"/>
    <m/>
    <x v="3"/>
    <n v="10"/>
    <s v="Other"/>
    <n v="1"/>
    <x v="2"/>
    <n v="3"/>
    <n v="2"/>
    <n v="1"/>
    <n v="4"/>
    <n v="5"/>
    <s v="Y"/>
    <m/>
    <x v="3"/>
  </r>
  <r>
    <d v="2019-10-22T00:00:00"/>
    <d v="1899-12-30T04:20:00"/>
    <m/>
    <m/>
    <n v="1"/>
    <s v="Walking/Cycling"/>
    <n v="13"/>
    <x v="5"/>
    <x v="0"/>
    <n v="2"/>
    <x v="1"/>
    <s v="Kidoodo"/>
    <s v="Kasese"/>
    <s v="UGA"/>
    <n v="1"/>
    <s v="Home"/>
    <s v="Towncentre"/>
    <s v="kasese"/>
    <s v="UGA"/>
    <n v="6"/>
    <s v="Leisure/Social"/>
    <x v="8"/>
    <n v="1500"/>
    <m/>
    <x v="0"/>
    <n v="0.1"/>
    <x v="3"/>
    <n v="7"/>
    <s v="Farmer"/>
    <n v="2"/>
    <x v="3"/>
    <m/>
    <m/>
    <m/>
    <m/>
    <m/>
    <m/>
    <n v="2114"/>
    <x v="1"/>
  </r>
  <r>
    <d v="2019-10-22T00:00:00"/>
    <d v="1899-12-30T03:56:00"/>
    <m/>
    <m/>
    <n v="1"/>
    <s v="Walking/Cycling"/>
    <n v="13"/>
    <x v="5"/>
    <x v="0"/>
    <n v="2"/>
    <x v="1"/>
    <s v="Kisanyalaze"/>
    <s v="Kasese"/>
    <s v="UGA"/>
    <n v="6"/>
    <s v="Leisure/Social"/>
    <s v="Towncentre"/>
    <s v="kasese"/>
    <s v="UGA"/>
    <n v="6"/>
    <s v="Leisure/Social"/>
    <x v="7"/>
    <n v="1000"/>
    <n v="0.5"/>
    <x v="0"/>
    <n v="0.1"/>
    <x v="3"/>
    <n v="5"/>
    <s v="Professional"/>
    <n v="2"/>
    <x v="3"/>
    <n v="1"/>
    <n v="2"/>
    <n v="4"/>
    <n v="3"/>
    <n v="5"/>
    <s v="Y"/>
    <m/>
    <x v="3"/>
  </r>
  <r>
    <d v="2019-10-22T00:00:00"/>
    <d v="1899-12-30T03:20:00"/>
    <m/>
    <m/>
    <n v="1"/>
    <s v="Walking/Cycling"/>
    <n v="13"/>
    <x v="5"/>
    <x v="0"/>
    <n v="2"/>
    <x v="1"/>
    <s v="kikome"/>
    <s v="Kasese"/>
    <s v="UGA"/>
    <n v="2"/>
    <s v="Work"/>
    <s v="Fortportal"/>
    <s v="Fortportal"/>
    <s v="UGA"/>
    <n v="2"/>
    <s v="Work"/>
    <x v="2"/>
    <m/>
    <m/>
    <x v="0"/>
    <m/>
    <x v="3"/>
    <n v="2"/>
    <s v="Manual Labour"/>
    <n v="1"/>
    <x v="2"/>
    <n v="1"/>
    <n v="2"/>
    <n v="5"/>
    <n v="3"/>
    <n v="4"/>
    <s v="Y"/>
    <n v="2000"/>
    <x v="1"/>
  </r>
  <r>
    <d v="2019-10-22T00:00:00"/>
    <d v="1899-12-30T01:55:00"/>
    <m/>
    <m/>
    <n v="1"/>
    <s v="Walking/Cycling"/>
    <n v="13"/>
    <x v="5"/>
    <x v="0"/>
    <n v="2"/>
    <x v="1"/>
    <s v="Katwe"/>
    <s v="Kasese"/>
    <s v="UGA"/>
    <n v="4"/>
    <s v="Commercial"/>
    <s v="Kazinga channel"/>
    <s v="kasese"/>
    <s v="UGA"/>
    <n v="4"/>
    <s v="Commercial"/>
    <x v="18"/>
    <n v="2000"/>
    <n v="21"/>
    <x v="4"/>
    <n v="0.66700000000000004"/>
    <x v="4"/>
    <n v="2"/>
    <s v="Manual Labour"/>
    <n v="1"/>
    <x v="2"/>
    <n v="3"/>
    <n v="1"/>
    <n v="5"/>
    <n v="2"/>
    <n v="4"/>
    <s v="Y"/>
    <m/>
    <x v="3"/>
  </r>
  <r>
    <d v="2019-10-22T00:00:00"/>
    <d v="1899-12-30T11:45:00"/>
    <m/>
    <m/>
    <n v="1"/>
    <s v="Walking/Cycling"/>
    <n v="13"/>
    <x v="5"/>
    <x v="0"/>
    <n v="2"/>
    <x v="1"/>
    <s v="kazinn"/>
    <s v="Kasese"/>
    <s v="UGA"/>
    <n v="1"/>
    <s v="Home"/>
    <s v="Rwenzori inter"/>
    <s v="kasese"/>
    <s v="UGA"/>
    <n v="2"/>
    <s v="Work"/>
    <x v="1"/>
    <n v="1000"/>
    <n v="0.5"/>
    <x v="0"/>
    <n v="0.5"/>
    <x v="4"/>
    <n v="2"/>
    <s v="Manual Labour"/>
    <n v="1"/>
    <x v="2"/>
    <n v="1"/>
    <n v="2"/>
    <n v="3"/>
    <n v="4"/>
    <n v="5"/>
    <s v="Y"/>
    <n v="1000"/>
    <x v="4"/>
  </r>
  <r>
    <d v="2019-10-22T00:00:00"/>
    <d v="1899-12-30T01:38:00"/>
    <m/>
    <m/>
    <n v="1"/>
    <s v="Walking/Cycling"/>
    <n v="13"/>
    <x v="5"/>
    <x v="0"/>
    <n v="2"/>
    <x v="1"/>
    <s v="Nyakasanga"/>
    <s v="Kasese"/>
    <s v="UGA"/>
    <n v="1"/>
    <s v="Home"/>
    <s v="Towncentre"/>
    <s v="kasese"/>
    <s v="UGA"/>
    <n v="2"/>
    <s v="Work"/>
    <x v="1"/>
    <n v="1000"/>
    <n v="1"/>
    <x v="0"/>
    <n v="8.3299999999999999E-2"/>
    <x v="3"/>
    <n v="2"/>
    <s v="Manual Labour"/>
    <n v="1"/>
    <x v="2"/>
    <n v="3"/>
    <n v="1"/>
    <n v="4"/>
    <n v="2"/>
    <n v="5"/>
    <s v="Y"/>
    <m/>
    <x v="3"/>
  </r>
  <r>
    <d v="2019-10-22T00:00:00"/>
    <d v="1899-12-30T01:08:00"/>
    <m/>
    <m/>
    <n v="1"/>
    <s v="Walking/Cycling"/>
    <n v="13"/>
    <x v="5"/>
    <x v="0"/>
    <n v="2"/>
    <x v="1"/>
    <s v="Katadabo"/>
    <s v="Kasese"/>
    <s v="UGA"/>
    <n v="1"/>
    <s v="Home"/>
    <s v="Towncentre"/>
    <s v="kasese"/>
    <s v="UGA"/>
    <n v="6"/>
    <s v="Leisure/Social"/>
    <x v="8"/>
    <n v="500"/>
    <n v="0.5"/>
    <x v="0"/>
    <n v="0.1"/>
    <x v="3"/>
    <n v="10"/>
    <s v="Other"/>
    <n v="1"/>
    <x v="2"/>
    <n v="1"/>
    <n v="2"/>
    <n v="4"/>
    <n v="3"/>
    <n v="5"/>
    <s v="Y"/>
    <m/>
    <x v="3"/>
  </r>
  <r>
    <d v="2019-10-22T00:00:00"/>
    <d v="1899-12-30T01:20:00"/>
    <m/>
    <m/>
    <n v="1"/>
    <s v="Walking/Cycling"/>
    <n v="13"/>
    <x v="5"/>
    <x v="0"/>
    <n v="2"/>
    <x v="1"/>
    <s v="Muhokya"/>
    <s v="Kasese"/>
    <s v="UGA"/>
    <n v="1"/>
    <s v="Home"/>
    <s v="kasese"/>
    <s v="kasese"/>
    <s v="UGA"/>
    <n v="2"/>
    <s v="Work"/>
    <x v="1"/>
    <n v="3000"/>
    <n v="20"/>
    <x v="4"/>
    <n v="0.75"/>
    <x v="4"/>
    <n v="2"/>
    <s v="Manual Labour"/>
    <n v="1"/>
    <x v="2"/>
    <n v="1"/>
    <n v="2"/>
    <n v="3"/>
    <n v="4"/>
    <n v="5"/>
    <s v="Y"/>
    <m/>
    <x v="3"/>
  </r>
  <r>
    <d v="2019-10-21T00:00:00"/>
    <d v="1899-12-30T12:24:00"/>
    <m/>
    <s v="P"/>
    <n v="2"/>
    <s v="Road Vehicle"/>
    <n v="1"/>
    <x v="0"/>
    <x v="1"/>
    <n v="2"/>
    <x v="1"/>
    <s v="kasitoma"/>
    <s v="Kasese"/>
    <s v="UGA"/>
    <n v="6"/>
    <s v="Leisure/Social"/>
    <s v="mt.Rwenzori"/>
    <s v="kasese"/>
    <s v="UGA"/>
    <n v="1"/>
    <s v="Home"/>
    <x v="10"/>
    <n v="8000"/>
    <n v="130"/>
    <x v="2"/>
    <n v="1.5"/>
    <x v="1"/>
    <n v="7"/>
    <s v="Farmer"/>
    <n v="1"/>
    <x v="2"/>
    <n v="2"/>
    <n v="4"/>
    <n v="3"/>
    <n v="1"/>
    <n v="5"/>
    <s v="Y"/>
    <n v="1500"/>
    <x v="4"/>
  </r>
  <r>
    <d v="2019-10-21T00:00:00"/>
    <d v="1899-12-30T10:28:00"/>
    <m/>
    <s v="P"/>
    <n v="2"/>
    <s v="Road Vehicle"/>
    <n v="1"/>
    <x v="0"/>
    <x v="1"/>
    <n v="2"/>
    <x v="1"/>
    <s v="Kasitomu"/>
    <s v="Kasese"/>
    <s v="UGA"/>
    <n v="4"/>
    <s v="Commercial"/>
    <s v="Rwimi"/>
    <s v="Bunyangabo"/>
    <s v="UGA"/>
    <n v="4"/>
    <s v="Commercial"/>
    <x v="18"/>
    <n v="10000"/>
    <m/>
    <x v="0"/>
    <n v="2"/>
    <x v="0"/>
    <n v="6"/>
    <s v="Businessman"/>
    <n v="1"/>
    <x v="2"/>
    <n v="1"/>
    <n v="2"/>
    <n v="4"/>
    <n v="3"/>
    <n v="5"/>
    <s v="Y"/>
    <n v="10000"/>
    <x v="5"/>
  </r>
  <r>
    <d v="2019-10-21T00:00:00"/>
    <d v="1899-12-30T12:36:00"/>
    <m/>
    <s v="P"/>
    <n v="2"/>
    <s v="Road Vehicle"/>
    <n v="1"/>
    <x v="0"/>
    <x v="1"/>
    <n v="2"/>
    <x v="1"/>
    <s v="Kidoodo"/>
    <s v="Kasese"/>
    <s v="UGA"/>
    <n v="1"/>
    <s v="Home"/>
    <s v="Mpondwe"/>
    <s v="kasese"/>
    <s v="UGA"/>
    <n v="4"/>
    <s v="Commercial"/>
    <x v="0"/>
    <n v="8000"/>
    <n v="85"/>
    <x v="1"/>
    <n v="2"/>
    <x v="0"/>
    <n v="6"/>
    <s v="Businessman"/>
    <n v="2"/>
    <x v="3"/>
    <n v="1"/>
    <n v="2"/>
    <n v="3"/>
    <n v="4"/>
    <n v="5"/>
    <s v="Y"/>
    <m/>
    <x v="3"/>
  </r>
  <r>
    <d v="2019-10-22T00:00:00"/>
    <d v="1899-12-30T08:08:00"/>
    <m/>
    <s v="P"/>
    <n v="2"/>
    <s v="Road Vehicle"/>
    <n v="1"/>
    <x v="0"/>
    <x v="1"/>
    <n v="2"/>
    <x v="1"/>
    <s v="Kikonjo"/>
    <s v="Kasese"/>
    <s v="UGA"/>
    <n v="1"/>
    <s v="Home"/>
    <s v="ishaka"/>
    <s v="kasese"/>
    <s v="UGA"/>
    <n v="2"/>
    <s v="Work"/>
    <x v="1"/>
    <n v="10000"/>
    <n v="98"/>
    <x v="1"/>
    <n v="4"/>
    <x v="2"/>
    <n v="1"/>
    <s v="Unemployed"/>
    <n v="2"/>
    <x v="3"/>
    <n v="3"/>
    <n v="1"/>
    <n v="5"/>
    <n v="2"/>
    <n v="4"/>
    <s v="Y"/>
    <n v="2000"/>
    <x v="1"/>
  </r>
  <r>
    <d v="2019-10-22T00:00:00"/>
    <d v="1899-12-30T08:18:00"/>
    <m/>
    <s v="P"/>
    <n v="2"/>
    <s v="Road Vehicle"/>
    <n v="1"/>
    <x v="0"/>
    <x v="1"/>
    <n v="2"/>
    <x v="1"/>
    <s v="Kikonjo"/>
    <s v="Kasese"/>
    <s v="UGA"/>
    <n v="1"/>
    <s v="Home"/>
    <s v="Hima"/>
    <s v="kasese"/>
    <s v="UGA"/>
    <n v="4"/>
    <s v="Commercial"/>
    <x v="0"/>
    <n v="3000"/>
    <n v="58"/>
    <x v="5"/>
    <n v="0.5"/>
    <x v="4"/>
    <n v="2"/>
    <s v="Manual Labour"/>
    <n v="1"/>
    <x v="2"/>
    <n v="4"/>
    <n v="1"/>
    <n v="5"/>
    <n v="2"/>
    <n v="3"/>
    <s v="Y"/>
    <n v="1000"/>
    <x v="4"/>
  </r>
  <r>
    <d v="2019-10-22T00:00:00"/>
    <d v="1899-12-30T12:54:00"/>
    <m/>
    <s v="P"/>
    <n v="2"/>
    <s v="Road Vehicle"/>
    <n v="1"/>
    <x v="0"/>
    <x v="1"/>
    <n v="2"/>
    <x v="1"/>
    <s v="katadoba "/>
    <s v="Kasese"/>
    <s v="UGA"/>
    <n v="1"/>
    <s v="Home"/>
    <s v="ishaka"/>
    <s v="kasese"/>
    <s v="UGA"/>
    <n v="7"/>
    <s v="Hospital"/>
    <x v="32"/>
    <n v="10000"/>
    <m/>
    <x v="0"/>
    <n v="3"/>
    <x v="0"/>
    <n v="5"/>
    <s v="Professional"/>
    <n v="2"/>
    <x v="3"/>
    <n v="4"/>
    <n v="5"/>
    <n v="2"/>
    <n v="1"/>
    <n v="3"/>
    <s v="Y"/>
    <n v="2000"/>
    <x v="1"/>
  </r>
  <r>
    <d v="2019-10-22T00:00:00"/>
    <d v="1899-12-30T12:44:00"/>
    <m/>
    <s v="P"/>
    <n v="2"/>
    <s v="Road Vehicle"/>
    <n v="1"/>
    <x v="0"/>
    <x v="1"/>
    <n v="2"/>
    <x v="1"/>
    <s v="Kikonjo"/>
    <s v="Kasese"/>
    <s v="UGA"/>
    <n v="1"/>
    <s v="Home"/>
    <s v="kasitomu"/>
    <s v="kasese"/>
    <s v="UGA"/>
    <n v="2"/>
    <s v="Work"/>
    <x v="1"/>
    <n v="7000"/>
    <m/>
    <x v="0"/>
    <n v="1.5"/>
    <x v="1"/>
    <n v="10"/>
    <s v="Other"/>
    <n v="1"/>
    <x v="2"/>
    <n v="1"/>
    <n v="2"/>
    <n v="3"/>
    <n v="4"/>
    <n v="5"/>
    <s v="Y"/>
    <m/>
    <x v="3"/>
  </r>
  <r>
    <d v="2019-10-22T00:00:00"/>
    <d v="1899-12-30T12:39:00"/>
    <m/>
    <s v="P"/>
    <n v="2"/>
    <s v="Road Vehicle"/>
    <n v="1"/>
    <x v="0"/>
    <x v="1"/>
    <n v="2"/>
    <x v="1"/>
    <s v="Kikonjo"/>
    <s v="Kasese"/>
    <s v="UGA"/>
    <n v="1"/>
    <s v="Home"/>
    <s v="Sheema"/>
    <s v="sheema"/>
    <s v="UGA"/>
    <n v="2"/>
    <s v="Work"/>
    <x v="1"/>
    <n v="9000"/>
    <m/>
    <x v="0"/>
    <m/>
    <x v="3"/>
    <n v="7"/>
    <s v="Farmer"/>
    <n v="1"/>
    <x v="2"/>
    <n v="2"/>
    <n v="1"/>
    <n v="5"/>
    <n v="3"/>
    <n v="4"/>
    <s v="Y"/>
    <m/>
    <x v="3"/>
  </r>
  <r>
    <d v="2019-10-23T00:00:00"/>
    <d v="1899-12-30T10:56:00"/>
    <m/>
    <s v="P"/>
    <n v="2"/>
    <s v="Road Vehicle"/>
    <n v="1"/>
    <x v="0"/>
    <x v="1"/>
    <n v="2"/>
    <x v="1"/>
    <s v="Q.Elizabeth"/>
    <s v="Kasese"/>
    <s v="UGA"/>
    <n v="5"/>
    <s v="Tourism"/>
    <s v="migongwe"/>
    <s v="kyegogwa"/>
    <s v="UGA"/>
    <n v="1"/>
    <s v="Home"/>
    <x v="28"/>
    <n v="16000"/>
    <n v="300"/>
    <x v="3"/>
    <n v="5"/>
    <x v="2"/>
    <n v="5"/>
    <s v="Professional"/>
    <n v="2"/>
    <x v="3"/>
    <n v="4"/>
    <n v="2"/>
    <n v="3"/>
    <n v="1"/>
    <n v="5"/>
    <s v="Y"/>
    <n v="2000"/>
    <x v="1"/>
  </r>
  <r>
    <d v="2019-10-21T00:00:00"/>
    <d v="1899-12-30T01:34:00"/>
    <m/>
    <s v="D"/>
    <n v="2"/>
    <s v="Road Vehicle"/>
    <n v="1"/>
    <x v="0"/>
    <x v="0"/>
    <n v="2"/>
    <x v="1"/>
    <s v="Taxi Park"/>
    <s v="Kasese"/>
    <s v="UGA"/>
    <n v="2"/>
    <s v="Work"/>
    <s v="Towncentre"/>
    <s v="FortPortal"/>
    <s v="UGA"/>
    <n v="2"/>
    <s v="Work"/>
    <x v="2"/>
    <n v="80000"/>
    <n v="140"/>
    <x v="2"/>
    <n v="2.5"/>
    <x v="0"/>
    <n v="10"/>
    <s v="Other"/>
    <n v="2"/>
    <x v="3"/>
    <n v="2"/>
    <n v="1"/>
    <n v="5"/>
    <n v="3"/>
    <n v="4"/>
    <s v="Y"/>
    <n v="2000"/>
    <x v="1"/>
  </r>
  <r>
    <d v="2019-10-21T00:00:00"/>
    <d v="1899-12-30T12:48:00"/>
    <m/>
    <s v="P"/>
    <n v="2"/>
    <s v="Road Vehicle"/>
    <n v="1"/>
    <x v="0"/>
    <x v="0"/>
    <n v="2"/>
    <x v="1"/>
    <s v="muvuko"/>
    <s v="Kasese"/>
    <s v="UGA"/>
    <n v="2"/>
    <s v="Work"/>
    <s v="Sheema"/>
    <s v="sheema"/>
    <s v="UGA"/>
    <n v="4"/>
    <s v="Commercial"/>
    <x v="17"/>
    <n v="10000"/>
    <m/>
    <x v="0"/>
    <n v="2"/>
    <x v="0"/>
    <n v="5"/>
    <s v="Professional"/>
    <n v="2"/>
    <x v="3"/>
    <n v="1"/>
    <n v="2"/>
    <n v="4"/>
    <n v="3"/>
    <n v="5"/>
    <s v="Y"/>
    <n v="2000"/>
    <x v="1"/>
  </r>
  <r>
    <d v="2019-10-22T00:00:00"/>
    <d v="1899-12-30T07:05:00"/>
    <m/>
    <s v="P"/>
    <n v="2"/>
    <s v="Road Vehicle"/>
    <n v="1"/>
    <x v="0"/>
    <x v="0"/>
    <n v="2"/>
    <x v="1"/>
    <s v="Rugendabara"/>
    <s v="Kasese"/>
    <s v="UGA"/>
    <n v="1"/>
    <s v="Home"/>
    <s v="ishaka"/>
    <s v="kasese"/>
    <s v="UGA"/>
    <n v="2"/>
    <s v="Work"/>
    <x v="1"/>
    <n v="8000"/>
    <n v="96"/>
    <x v="1"/>
    <n v="3"/>
    <x v="0"/>
    <n v="1"/>
    <s v="Unemployed"/>
    <n v="2"/>
    <x v="3"/>
    <n v="1"/>
    <n v="5"/>
    <n v="4"/>
    <n v="2"/>
    <n v="3"/>
    <s v="Y"/>
    <n v="1000"/>
    <x v="4"/>
  </r>
  <r>
    <d v="2019-10-22T00:00:00"/>
    <d v="1899-12-30T07:37:00"/>
    <m/>
    <s v="P"/>
    <n v="2"/>
    <s v="Road Vehicle"/>
    <n v="1"/>
    <x v="0"/>
    <x v="0"/>
    <n v="2"/>
    <x v="1"/>
    <s v="Rugendabara"/>
    <s v="Kasese"/>
    <s v="UGA"/>
    <n v="1"/>
    <s v="Home"/>
    <s v="kasese"/>
    <s v="kasese"/>
    <s v="UGA"/>
    <n v="2"/>
    <s v="Work"/>
    <x v="1"/>
    <n v="3000"/>
    <n v="20"/>
    <x v="4"/>
    <n v="0.1666666"/>
    <x v="3"/>
    <n v="2"/>
    <s v="Manual Labour"/>
    <n v="1"/>
    <x v="2"/>
    <n v="4"/>
    <n v="2"/>
    <n v="3"/>
    <n v="1"/>
    <n v="5"/>
    <s v="Y"/>
    <n v="500"/>
    <x v="3"/>
  </r>
  <r>
    <d v="2019-10-22T00:00:00"/>
    <d v="1899-12-30T09:30:00"/>
    <m/>
    <s v="P"/>
    <n v="2"/>
    <s v="Road Vehicle"/>
    <n v="1"/>
    <x v="0"/>
    <x v="0"/>
    <n v="2"/>
    <x v="1"/>
    <s v="Hima"/>
    <s v="Kasese"/>
    <s v="UGA"/>
    <n v="1"/>
    <s v="Home"/>
    <s v="Kikonjo"/>
    <s v="kasese"/>
    <s v="UGA"/>
    <n v="4"/>
    <s v="Commercial"/>
    <x v="0"/>
    <n v="5000"/>
    <n v="30"/>
    <x v="4"/>
    <n v="0.83"/>
    <x v="4"/>
    <n v="6"/>
    <s v="Businessman"/>
    <n v="2"/>
    <x v="3"/>
    <n v="5"/>
    <n v="3"/>
    <n v="4"/>
    <n v="1"/>
    <n v="2"/>
    <s v="Y"/>
    <n v="1000"/>
    <x v="4"/>
  </r>
  <r>
    <d v="2019-10-22T00:00:00"/>
    <d v="1899-12-30T09:36:00"/>
    <m/>
    <s v="P"/>
    <n v="2"/>
    <s v="Road Vehicle"/>
    <n v="1"/>
    <x v="0"/>
    <x v="0"/>
    <n v="2"/>
    <x v="1"/>
    <s v="Kikome"/>
    <s v="Kasese"/>
    <s v="UGA"/>
    <n v="1"/>
    <s v="Home"/>
    <s v="katwe"/>
    <s v="kasses"/>
    <s v="UGA"/>
    <n v="4"/>
    <s v="Commercial"/>
    <x v="0"/>
    <n v="4000"/>
    <n v="30"/>
    <x v="4"/>
    <n v="0.8"/>
    <x v="4"/>
    <n v="6"/>
    <s v="Businessman"/>
    <n v="2"/>
    <x v="3"/>
    <n v="2"/>
    <n v="4"/>
    <n v="3"/>
    <n v="1"/>
    <n v="5"/>
    <s v="Y"/>
    <n v="2000"/>
    <x v="1"/>
  </r>
  <r>
    <d v="2019-10-22T00:00:00"/>
    <d v="1899-12-30T10:20:00"/>
    <m/>
    <s v="P"/>
    <n v="2"/>
    <s v="Road Vehicle"/>
    <n v="1"/>
    <x v="0"/>
    <x v="0"/>
    <n v="2"/>
    <x v="1"/>
    <s v="Kikonjo"/>
    <s v="Kasese"/>
    <s v="UGA"/>
    <n v="1"/>
    <s v="Home"/>
    <s v="Bundibugyo"/>
    <s v="Bundibujjo"/>
    <s v="UGA"/>
    <n v="4"/>
    <s v="Commercial"/>
    <x v="0"/>
    <n v="8000"/>
    <n v="48"/>
    <x v="5"/>
    <n v="1.5"/>
    <x v="1"/>
    <n v="7"/>
    <s v="Farmer"/>
    <n v="2"/>
    <x v="3"/>
    <n v="1"/>
    <n v="2"/>
    <n v="5"/>
    <n v="4"/>
    <n v="3"/>
    <s v="Y"/>
    <m/>
    <x v="3"/>
  </r>
  <r>
    <d v="2019-10-23T00:00:00"/>
    <d v="1899-12-30T11:00:00"/>
    <m/>
    <s v="P"/>
    <n v="2"/>
    <s v="Road Vehicle"/>
    <n v="1"/>
    <x v="0"/>
    <x v="0"/>
    <n v="2"/>
    <x v="1"/>
    <s v="Kisinga"/>
    <s v="Kasese"/>
    <s v="UGA"/>
    <n v="1"/>
    <s v="Home"/>
    <s v="kasese"/>
    <s v="kasese"/>
    <s v="UGA"/>
    <n v="4"/>
    <s v="Commercial"/>
    <x v="0"/>
    <n v="6000"/>
    <n v="45"/>
    <x v="5"/>
    <n v="0.83299999999999996"/>
    <x v="4"/>
    <n v="3"/>
    <s v="Artisan/Domestic"/>
    <n v="2"/>
    <x v="3"/>
    <n v="1"/>
    <n v="2"/>
    <n v="3"/>
    <n v="4"/>
    <n v="5"/>
    <s v="Y"/>
    <m/>
    <x v="3"/>
  </r>
  <r>
    <d v="2019-10-23T00:00:00"/>
    <d v="1899-12-30T01:50:00"/>
    <m/>
    <s v="P"/>
    <n v="2"/>
    <s v="Road Vehicle"/>
    <n v="1"/>
    <x v="0"/>
    <x v="0"/>
    <n v="2"/>
    <x v="1"/>
    <s v="Ndongo"/>
    <s v="Kasese"/>
    <s v="UGA"/>
    <n v="4"/>
    <s v="Commercial"/>
    <s v="kasese"/>
    <s v="kasese"/>
    <s v="UGA"/>
    <n v="4"/>
    <s v="Commercial"/>
    <x v="18"/>
    <n v="5000"/>
    <n v="219"/>
    <x v="3"/>
    <n v="1"/>
    <x v="1"/>
    <n v="5"/>
    <s v="Professional"/>
    <n v="2"/>
    <x v="3"/>
    <n v="5"/>
    <n v="2"/>
    <n v="3"/>
    <n v="1"/>
    <n v="4"/>
    <s v="Y"/>
    <n v="1000"/>
    <x v="4"/>
  </r>
  <r>
    <d v="2019-10-23T00:00:00"/>
    <d v="1899-12-30T03:00:00"/>
    <m/>
    <s v="D"/>
    <n v="2"/>
    <s v="Road Vehicle"/>
    <n v="1"/>
    <x v="0"/>
    <x v="0"/>
    <n v="2"/>
    <x v="1"/>
    <s v="Kinyamaseke"/>
    <s v="Kasese"/>
    <s v="UGA"/>
    <n v="2"/>
    <s v="Work"/>
    <s v="Kilembe"/>
    <s v="kasese"/>
    <s v="UGA"/>
    <n v="2"/>
    <s v="Work"/>
    <x v="2"/>
    <n v="20000"/>
    <n v="45"/>
    <x v="5"/>
    <n v="0.5"/>
    <x v="4"/>
    <n v="2"/>
    <s v="Manual Labour"/>
    <n v="1"/>
    <x v="2"/>
    <n v="2"/>
    <n v="1"/>
    <n v="4"/>
    <n v="3"/>
    <n v="5"/>
    <s v="Y"/>
    <m/>
    <x v="3"/>
  </r>
  <r>
    <d v="2019-10-23T00:00:00"/>
    <d v="1899-12-30T04:45:00"/>
    <m/>
    <s v="D"/>
    <n v="2"/>
    <s v="Road Vehicle"/>
    <n v="1"/>
    <x v="0"/>
    <x v="0"/>
    <n v="2"/>
    <x v="1"/>
    <s v="Kasese"/>
    <s v="Kasese"/>
    <s v="UGA"/>
    <n v="2"/>
    <s v="Work"/>
    <s v="bunyangabo"/>
    <s v="Bunyangabo"/>
    <s v="UGA"/>
    <n v="2"/>
    <s v="Work"/>
    <x v="2"/>
    <n v="40000"/>
    <n v="15"/>
    <x v="6"/>
    <n v="0.1666"/>
    <x v="3"/>
    <n v="1"/>
    <s v="Unemployed"/>
    <n v="2"/>
    <x v="3"/>
    <n v="1"/>
    <n v="3"/>
    <n v="4"/>
    <n v="2"/>
    <n v="5"/>
    <s v="Y"/>
    <m/>
    <x v="3"/>
  </r>
  <r>
    <d v="2019-10-23T00:00:00"/>
    <d v="1899-12-30T05:50:00"/>
    <m/>
    <s v="P"/>
    <n v="2"/>
    <s v="Road Vehicle"/>
    <n v="1"/>
    <x v="0"/>
    <x v="0"/>
    <n v="2"/>
    <x v="1"/>
    <s v="kachwamba"/>
    <s v="fortportal"/>
    <s v="UGA"/>
    <n v="1"/>
    <s v="Home"/>
    <s v="kabirizi"/>
    <s v="kasese"/>
    <s v="UGA"/>
    <n v="6"/>
    <s v="Leisure/Social"/>
    <x v="8"/>
    <n v="10000"/>
    <m/>
    <x v="0"/>
    <n v="2"/>
    <x v="0"/>
    <n v="6"/>
    <s v="Businessman"/>
    <n v="1"/>
    <x v="2"/>
    <n v="3"/>
    <n v="1"/>
    <n v="4"/>
    <n v="2"/>
    <n v="5"/>
    <s v="Y"/>
    <n v="1000"/>
    <x v="4"/>
  </r>
  <r>
    <d v="2019-10-23T00:00:00"/>
    <d v="1899-12-30T03:21:00"/>
    <m/>
    <s v="P"/>
    <n v="2"/>
    <s v="Road Vehicle"/>
    <n v="1"/>
    <x v="0"/>
    <x v="0"/>
    <n v="2"/>
    <x v="1"/>
    <s v="Town"/>
    <s v="Kasese"/>
    <s v="UGA"/>
    <n v="8"/>
    <s v="Others"/>
    <s v="kirome"/>
    <s v="kasese"/>
    <s v="UGA"/>
    <n v="1"/>
    <s v="Home"/>
    <x v="12"/>
    <n v="4000"/>
    <n v="18"/>
    <x v="6"/>
    <n v="0.33329999999999999"/>
    <x v="3"/>
    <n v="6"/>
    <s v="Businessman"/>
    <n v="2"/>
    <x v="3"/>
    <n v="2"/>
    <n v="4"/>
    <n v="3"/>
    <n v="1"/>
    <n v="5"/>
    <s v="Y"/>
    <n v="200"/>
    <x v="3"/>
  </r>
  <r>
    <d v="2019-10-23T00:00:00"/>
    <d v="1899-12-30T12:39:00"/>
    <m/>
    <s v="P"/>
    <n v="2"/>
    <s v="Road Vehicle"/>
    <n v="1"/>
    <x v="0"/>
    <x v="0"/>
    <n v="2"/>
    <x v="1"/>
    <s v="muvuko"/>
    <s v="Kasese"/>
    <s v="UGA"/>
    <n v="2"/>
    <s v="Work"/>
    <s v="tea estate"/>
    <s v="rubirizi"/>
    <s v="UGA"/>
    <n v="4"/>
    <s v="Commercial"/>
    <x v="17"/>
    <n v="5000"/>
    <m/>
    <x v="0"/>
    <n v="1"/>
    <x v="1"/>
    <n v="4"/>
    <s v="Office Worker"/>
    <n v="2"/>
    <x v="3"/>
    <n v="1"/>
    <n v="5"/>
    <n v="4"/>
    <n v="2"/>
    <n v="3"/>
    <s v="Y"/>
    <n v="500"/>
    <x v="3"/>
  </r>
  <r>
    <d v="2019-10-23T00:00:00"/>
    <d v="1899-12-30T12:22:00"/>
    <m/>
    <s v="D"/>
    <n v="2"/>
    <s v="Road Vehicle"/>
    <n v="1"/>
    <x v="0"/>
    <x v="0"/>
    <n v="2"/>
    <x v="1"/>
    <s v="Town centre"/>
    <s v="Kasese"/>
    <s v="UGA"/>
    <n v="2"/>
    <s v="Work"/>
    <s v="Towncentre"/>
    <s v="rwimi"/>
    <s v="UGA"/>
    <n v="2"/>
    <s v="Work"/>
    <x v="2"/>
    <n v="5000"/>
    <n v="35"/>
    <x v="4"/>
    <n v="1"/>
    <x v="1"/>
    <n v="10"/>
    <s v="Other"/>
    <n v="1"/>
    <x v="2"/>
    <n v="5"/>
    <n v="2"/>
    <n v="1"/>
    <n v="3"/>
    <n v="4"/>
    <s v="Y"/>
    <m/>
    <x v="3"/>
  </r>
  <r>
    <d v="2019-10-23T00:00:00"/>
    <d v="1899-12-30T10:24:00"/>
    <m/>
    <s v="D"/>
    <n v="2"/>
    <s v="Road Vehicle"/>
    <n v="1"/>
    <x v="0"/>
    <x v="0"/>
    <n v="2"/>
    <x v="1"/>
    <s v="Town"/>
    <s v="Kasese"/>
    <s v="UGA"/>
    <n v="2"/>
    <s v="Work"/>
    <s v="kikorongo"/>
    <s v="kasese"/>
    <s v="UGA"/>
    <n v="2"/>
    <s v="Work"/>
    <x v="2"/>
    <n v="25000"/>
    <n v="45"/>
    <x v="5"/>
    <n v="1"/>
    <x v="1"/>
    <n v="10"/>
    <s v="Other"/>
    <n v="1"/>
    <x v="2"/>
    <n v="1"/>
    <n v="2"/>
    <n v="5"/>
    <n v="4"/>
    <n v="3"/>
    <s v="Y"/>
    <s v="1000-1500"/>
    <x v="5"/>
  </r>
  <r>
    <d v="2019-10-23T00:00:00"/>
    <d v="1899-12-30T10:00:00"/>
    <m/>
    <s v="D"/>
    <n v="2"/>
    <s v="Road Vehicle"/>
    <n v="1"/>
    <x v="0"/>
    <x v="0"/>
    <n v="2"/>
    <x v="1"/>
    <s v="kizungu"/>
    <s v="Kasese"/>
    <s v="UGA"/>
    <n v="1"/>
    <s v="Home"/>
    <s v="mt rwenzori"/>
    <s v="kasese"/>
    <s v="UGA"/>
    <n v="2"/>
    <s v="Work"/>
    <x v="1"/>
    <n v="3800"/>
    <n v="2"/>
    <x v="0"/>
    <n v="0.25"/>
    <x v="3"/>
    <n v="6"/>
    <s v="Businessman"/>
    <n v="2"/>
    <x v="3"/>
    <n v="1"/>
    <n v="5"/>
    <n v="3"/>
    <n v="4"/>
    <n v="2"/>
    <s v="Y"/>
    <n v="1000"/>
    <x v="4"/>
  </r>
  <r>
    <d v="2019-10-23T00:00:00"/>
    <d v="1899-12-30T07:59:00"/>
    <m/>
    <s v="P"/>
    <n v="2"/>
    <s v="Road Vehicle"/>
    <n v="1"/>
    <x v="0"/>
    <x v="0"/>
    <n v="2"/>
    <x v="1"/>
    <s v="Ishaka"/>
    <s v="bushenyi"/>
    <s v="UGA"/>
    <n v="2"/>
    <s v="Work"/>
    <s v="kyatega"/>
    <s v="Kyegegwa"/>
    <s v="UGA"/>
    <n v="1"/>
    <s v="Home"/>
    <x v="4"/>
    <n v="20000"/>
    <m/>
    <x v="0"/>
    <n v="5"/>
    <x v="2"/>
    <n v="6"/>
    <s v="Businessman"/>
    <n v="1"/>
    <x v="2"/>
    <n v="4"/>
    <n v="3"/>
    <n v="1"/>
    <n v="2"/>
    <n v="5"/>
    <s v="Y"/>
    <n v="600"/>
    <x v="3"/>
  </r>
  <r>
    <d v="2019-10-23T00:00:00"/>
    <d v="1899-12-30T12:01:00"/>
    <m/>
    <s v="P"/>
    <n v="2"/>
    <s v="Road Vehicle"/>
    <n v="6"/>
    <x v="1"/>
    <x v="1"/>
    <n v="2"/>
    <x v="1"/>
    <s v="bwera"/>
    <s v="Kasese"/>
    <s v="UGA"/>
    <n v="2"/>
    <s v="Work"/>
    <s v="city centre"/>
    <s v="kampala"/>
    <s v="UGA"/>
    <n v="1"/>
    <s v="Home"/>
    <x v="4"/>
    <n v="25000"/>
    <n v="420"/>
    <x v="3"/>
    <n v="8"/>
    <x v="2"/>
    <n v="5"/>
    <s v="Professional"/>
    <n v="3"/>
    <x v="1"/>
    <n v="4"/>
    <n v="1"/>
    <n v="3"/>
    <n v="2"/>
    <n v="5"/>
    <s v="Y"/>
    <n v="100"/>
    <x v="3"/>
  </r>
  <r>
    <d v="2019-10-21T00:00:00"/>
    <d v="1899-12-30T10:05:00"/>
    <m/>
    <s v="P"/>
    <n v="2"/>
    <s v="Road Vehicle"/>
    <n v="6"/>
    <x v="1"/>
    <x v="0"/>
    <n v="2"/>
    <x v="1"/>
    <s v="Kasese"/>
    <s v="Kasese"/>
    <s v="UGA"/>
    <n v="4"/>
    <s v="Commercial"/>
    <s v="Kyegegwa"/>
    <s v="Kyegegwa"/>
    <s v="UGA"/>
    <n v="4"/>
    <s v="Commercial"/>
    <x v="18"/>
    <n v="20000"/>
    <n v="189"/>
    <x v="2"/>
    <n v="3"/>
    <x v="0"/>
    <n v="5"/>
    <s v="Professional"/>
    <n v="3"/>
    <x v="1"/>
    <n v="1"/>
    <n v="2"/>
    <n v="4"/>
    <n v="3"/>
    <n v="5"/>
    <s v="Y"/>
    <n v="5000"/>
    <x v="2"/>
  </r>
  <r>
    <d v="2019-10-22T00:00:00"/>
    <d v="1899-12-30T11:20:00"/>
    <m/>
    <s v="P"/>
    <n v="2"/>
    <s v="Road Vehicle"/>
    <n v="6"/>
    <x v="1"/>
    <x v="0"/>
    <n v="2"/>
    <x v="1"/>
    <s v="Kisanyalaze"/>
    <s v="Kasese"/>
    <s v="UGA"/>
    <n v="1"/>
    <s v="Home"/>
    <s v="Bujjuko"/>
    <s v="wakiso"/>
    <s v="UGA"/>
    <n v="6"/>
    <s v="Leisure/Social"/>
    <x v="8"/>
    <n v="20000"/>
    <m/>
    <x v="0"/>
    <n v="6"/>
    <x v="2"/>
    <n v="6"/>
    <s v="Businessman"/>
    <n v="2"/>
    <x v="3"/>
    <n v="1"/>
    <n v="2"/>
    <n v="3"/>
    <n v="4"/>
    <n v="5"/>
    <s v="Y"/>
    <n v="1000"/>
    <x v="4"/>
  </r>
  <r>
    <d v="2019-10-22T00:00:00"/>
    <d v="1899-12-30T10:39:00"/>
    <m/>
    <s v="P"/>
    <n v="2"/>
    <s v="Road Vehicle"/>
    <n v="6"/>
    <x v="1"/>
    <x v="0"/>
    <n v="2"/>
    <x v="1"/>
    <s v="Kikonjo"/>
    <s v="Kasese"/>
    <s v="UGA"/>
    <n v="2"/>
    <s v="Work"/>
    <s v="kampala"/>
    <s v="kampala"/>
    <s v="UGA"/>
    <n v="4"/>
    <s v="Commercial"/>
    <x v="17"/>
    <n v="25000"/>
    <m/>
    <x v="0"/>
    <n v="8"/>
    <x v="2"/>
    <n v="5"/>
    <s v="Professional"/>
    <n v="2"/>
    <x v="3"/>
    <n v="1"/>
    <n v="2"/>
    <n v="4"/>
    <n v="3"/>
    <n v="5"/>
    <s v="Y"/>
    <n v="2000"/>
    <x v="1"/>
  </r>
  <r>
    <d v="2019-10-22T00:00:00"/>
    <d v="1899-12-30T12:03:00"/>
    <m/>
    <s v="P"/>
    <n v="2"/>
    <s v="Road Vehicle"/>
    <n v="6"/>
    <x v="1"/>
    <x v="0"/>
    <n v="2"/>
    <x v="1"/>
    <s v="Mpondwe"/>
    <s v="Kasese"/>
    <s v="UGA"/>
    <n v="1"/>
    <s v="Home"/>
    <s v="Kabojja"/>
    <s v="kampala"/>
    <s v="UGA"/>
    <n v="4"/>
    <s v="Commercial"/>
    <x v="0"/>
    <n v="25000"/>
    <n v="436"/>
    <x v="3"/>
    <n v="8"/>
    <x v="2"/>
    <n v="5"/>
    <s v="Professional"/>
    <n v="3"/>
    <x v="1"/>
    <n v="1"/>
    <n v="2"/>
    <n v="5"/>
    <n v="3"/>
    <n v="4"/>
    <s v="Y"/>
    <n v="2000"/>
    <x v="1"/>
  </r>
  <r>
    <d v="2019-10-23T00:00:00"/>
    <d v="1899-12-30T06:43:00"/>
    <m/>
    <s v="P"/>
    <n v="2"/>
    <s v="Road Vehicle"/>
    <n v="6"/>
    <x v="1"/>
    <x v="0"/>
    <n v="2"/>
    <x v="1"/>
    <s v="Bwera"/>
    <s v="Kasese"/>
    <s v="UGA"/>
    <n v="1"/>
    <s v="Home"/>
    <s v="Towncentre"/>
    <s v="kampala"/>
    <s v="UGA"/>
    <n v="2"/>
    <s v="Work"/>
    <x v="1"/>
    <n v="25000"/>
    <m/>
    <x v="0"/>
    <n v="8"/>
    <x v="2"/>
    <n v="6"/>
    <s v="Businessman"/>
    <n v="1"/>
    <x v="2"/>
    <n v="2"/>
    <n v="1"/>
    <n v="4"/>
    <n v="3"/>
    <n v="5"/>
    <s v="Y"/>
    <n v="1000"/>
    <x v="4"/>
  </r>
  <r>
    <d v="2019-10-23T00:00:00"/>
    <d v="1899-12-30T09:42:00"/>
    <m/>
    <s v="P"/>
    <n v="2"/>
    <s v="Road Vehicle"/>
    <n v="6"/>
    <x v="1"/>
    <x v="0"/>
    <n v="2"/>
    <x v="1"/>
    <s v="Bwera"/>
    <s v="Kasese"/>
    <s v="UGA"/>
    <n v="6"/>
    <s v="Leisure/Social"/>
    <s v="kawempe"/>
    <s v="kampala"/>
    <s v="UGA"/>
    <n v="1"/>
    <s v="Home"/>
    <x v="10"/>
    <n v="29000"/>
    <m/>
    <x v="0"/>
    <n v="8"/>
    <x v="2"/>
    <n v="5"/>
    <s v="Professional"/>
    <n v="3"/>
    <x v="1"/>
    <n v="2"/>
    <n v="5"/>
    <n v="4"/>
    <n v="1"/>
    <n v="3"/>
    <s v="Y"/>
    <m/>
    <x v="3"/>
  </r>
  <r>
    <d v="2019-10-23T00:00:00"/>
    <d v="1899-12-30T07:52:00"/>
    <m/>
    <s v="P"/>
    <n v="2"/>
    <s v="Road Vehicle"/>
    <n v="6"/>
    <x v="1"/>
    <x v="0"/>
    <n v="2"/>
    <x v="1"/>
    <s v="kizungu"/>
    <s v="Kasese"/>
    <s v="UGA"/>
    <n v="6"/>
    <s v="Leisure/Social"/>
    <s v="najanakubi"/>
    <s v="kampala"/>
    <s v="UGA"/>
    <n v="1"/>
    <s v="Home"/>
    <x v="10"/>
    <n v="30000"/>
    <m/>
    <x v="0"/>
    <n v="9"/>
    <x v="2"/>
    <n v="5"/>
    <s v="Professional"/>
    <n v="3"/>
    <x v="1"/>
    <n v="4"/>
    <n v="5"/>
    <n v="1"/>
    <n v="3"/>
    <n v="2"/>
    <s v="Y"/>
    <n v="1000"/>
    <x v="4"/>
  </r>
  <r>
    <d v="2019-10-23T00:00:00"/>
    <d v="1899-12-30T08:39:00"/>
    <m/>
    <s v="P"/>
    <n v="4"/>
    <s v="Water/Ferry"/>
    <n v="7"/>
    <x v="7"/>
    <x v="0"/>
    <n v="2"/>
    <x v="1"/>
    <s v="Kinyamaseke"/>
    <s v="Kasese"/>
    <s v="UGA"/>
    <n v="4"/>
    <s v="Commercial"/>
    <s v="Mpondwe"/>
    <s v="kasese"/>
    <s v="UGA"/>
    <n v="4"/>
    <s v="Commercial"/>
    <x v="18"/>
    <n v="5000"/>
    <n v="49"/>
    <x v="5"/>
    <n v="1"/>
    <x v="1"/>
    <n v="5"/>
    <s v="Professional"/>
    <n v="2"/>
    <x v="3"/>
    <n v="1"/>
    <n v="5"/>
    <n v="4"/>
    <n v="2"/>
    <n v="3"/>
    <s v="Y"/>
    <n v="2000"/>
    <x v="1"/>
  </r>
  <r>
    <d v="2019-10-21T00:00:00"/>
    <d v="1899-12-30T11:29:00"/>
    <m/>
    <s v="P"/>
    <n v="2"/>
    <s v="Road Vehicle"/>
    <n v="4"/>
    <x v="3"/>
    <x v="1"/>
    <n v="2"/>
    <x v="1"/>
    <s v="Kaziini camp"/>
    <s v="Kasese"/>
    <s v="UGA"/>
    <n v="6"/>
    <s v="Leisure/Social"/>
    <s v="Kalambi"/>
    <s v="FortPortal"/>
    <s v="UGA"/>
    <n v="1"/>
    <s v="Home"/>
    <x v="10"/>
    <n v="7000"/>
    <m/>
    <x v="0"/>
    <n v="3"/>
    <x v="0"/>
    <n v="6"/>
    <s v="Businessman"/>
    <n v="1"/>
    <x v="2"/>
    <n v="4"/>
    <n v="1"/>
    <n v="2"/>
    <n v="3"/>
    <n v="5"/>
    <s v="Y"/>
    <n v="800"/>
    <x v="3"/>
  </r>
  <r>
    <d v="2019-10-21T00:00:00"/>
    <d v="1899-12-30T12:16:00"/>
    <m/>
    <s v="P"/>
    <n v="2"/>
    <s v="Road Vehicle"/>
    <n v="4"/>
    <x v="3"/>
    <x v="1"/>
    <n v="2"/>
    <x v="1"/>
    <s v="Nyakasaga"/>
    <s v="Kasese"/>
    <s v="UGA"/>
    <n v="8"/>
    <s v="Others"/>
    <s v="Kaihura"/>
    <s v="Kyenjojo"/>
    <s v="UGA"/>
    <n v="1"/>
    <s v="Home"/>
    <x v="12"/>
    <n v="10000"/>
    <m/>
    <x v="0"/>
    <n v="3"/>
    <x v="0"/>
    <n v="6"/>
    <s v="Businessman"/>
    <n v="1"/>
    <x v="2"/>
    <n v="5"/>
    <n v="4"/>
    <n v="3"/>
    <n v="1"/>
    <n v="2"/>
    <s v="Y"/>
    <s v="500-1000"/>
    <x v="5"/>
  </r>
  <r>
    <d v="2019-10-21T00:00:00"/>
    <d v="1899-12-30T01:06:00"/>
    <m/>
    <s v="P"/>
    <n v="2"/>
    <s v="Road Vehicle"/>
    <n v="4"/>
    <x v="3"/>
    <x v="1"/>
    <n v="2"/>
    <x v="1"/>
    <s v="Rugendabara"/>
    <s v="Kasese"/>
    <s v="UGA"/>
    <n v="1"/>
    <s v="Home"/>
    <s v="Towncentre"/>
    <s v="kyegegwa"/>
    <s v="UGA"/>
    <n v="7"/>
    <s v="Hospital"/>
    <x v="32"/>
    <n v="15000"/>
    <m/>
    <x v="0"/>
    <n v="1.5"/>
    <x v="1"/>
    <n v="6"/>
    <s v="Businessman"/>
    <n v="1"/>
    <x v="2"/>
    <n v="2"/>
    <n v="3"/>
    <n v="5"/>
    <n v="1"/>
    <n v="4"/>
    <s v="Y"/>
    <n v="300"/>
    <x v="3"/>
  </r>
  <r>
    <d v="2019-10-21T00:00:00"/>
    <d v="1899-12-30T02:12:00"/>
    <m/>
    <s v="P"/>
    <n v="2"/>
    <s v="Road Vehicle"/>
    <n v="4"/>
    <x v="3"/>
    <x v="1"/>
    <n v="2"/>
    <x v="1"/>
    <s v="Total-Town"/>
    <s v="Kasese"/>
    <s v="UGA"/>
    <n v="2"/>
    <s v="Work"/>
    <s v="Kikorongo"/>
    <s v="kasese"/>
    <s v="UGA"/>
    <n v="1"/>
    <s v="Home"/>
    <x v="4"/>
    <n v="4000"/>
    <m/>
    <x v="0"/>
    <n v="0.83"/>
    <x v="4"/>
    <n v="2"/>
    <s v="Manual Labour"/>
    <n v="1"/>
    <x v="2"/>
    <n v="1"/>
    <n v="2"/>
    <n v="4"/>
    <n v="3"/>
    <n v="5"/>
    <s v="Y"/>
    <n v="100"/>
    <x v="3"/>
  </r>
  <r>
    <d v="2019-10-21T00:00:00"/>
    <d v="1899-12-30T06:49:00"/>
    <m/>
    <s v="P"/>
    <n v="2"/>
    <s v="Road Vehicle"/>
    <n v="4"/>
    <x v="3"/>
    <x v="1"/>
    <n v="2"/>
    <x v="1"/>
    <s v="Bulenga"/>
    <s v="KAMPALA"/>
    <s v="UGA"/>
    <n v="1"/>
    <s v="Home"/>
    <s v="kiburara"/>
    <s v="kasese"/>
    <s v="UGA"/>
    <n v="6"/>
    <s v="Leisure/Social"/>
    <x v="8"/>
    <n v="35000"/>
    <m/>
    <x v="0"/>
    <n v="9.5"/>
    <x v="2"/>
    <n v="5"/>
    <s v="Professional"/>
    <n v="2"/>
    <x v="3"/>
    <n v="1"/>
    <n v="5"/>
    <n v="3"/>
    <n v="2"/>
    <n v="4"/>
    <s v="Y"/>
    <n v="5000"/>
    <x v="2"/>
  </r>
  <r>
    <d v="2019-10-21T00:00:00"/>
    <d v="1899-12-30T11:07:00"/>
    <m/>
    <s v="P"/>
    <n v="2"/>
    <s v="Road Vehicle"/>
    <n v="4"/>
    <x v="3"/>
    <x v="1"/>
    <n v="2"/>
    <x v="1"/>
    <s v="muvuko"/>
    <s v="Kasese"/>
    <s v="UGA"/>
    <n v="1"/>
    <s v="Home"/>
    <s v="ishaka"/>
    <s v="kasese"/>
    <s v="UGA"/>
    <n v="4"/>
    <s v="Commercial"/>
    <x v="0"/>
    <n v="10000"/>
    <n v="96"/>
    <x v="1"/>
    <n v="3"/>
    <x v="0"/>
    <n v="6"/>
    <s v="Businessman"/>
    <n v="2"/>
    <x v="3"/>
    <n v="1"/>
    <n v="3"/>
    <n v="4"/>
    <n v="2"/>
    <n v="5"/>
    <s v="Y"/>
    <n v="1000"/>
    <x v="4"/>
  </r>
  <r>
    <d v="2019-10-21T00:00:00"/>
    <d v="1899-12-30T10:47:00"/>
    <m/>
    <s v="P"/>
    <n v="2"/>
    <s v="Road Vehicle"/>
    <n v="4"/>
    <x v="3"/>
    <x v="1"/>
    <n v="2"/>
    <x v="1"/>
    <s v="Bundibugyo"/>
    <s v="Bundibugyo"/>
    <s v="UGA"/>
    <n v="1"/>
    <s v="Home"/>
    <s v="ishaka"/>
    <s v="kasese"/>
    <s v="UGA"/>
    <n v="4"/>
    <s v="Commercial"/>
    <x v="0"/>
    <n v="18000"/>
    <n v="123"/>
    <x v="2"/>
    <n v="4"/>
    <x v="2"/>
    <n v="6"/>
    <s v="Businessman"/>
    <n v="2"/>
    <x v="3"/>
    <n v="2"/>
    <n v="1"/>
    <n v="4"/>
    <n v="3"/>
    <n v="5"/>
    <s v="Y"/>
    <n v="2000"/>
    <x v="1"/>
  </r>
  <r>
    <d v="2019-10-21T00:00:00"/>
    <d v="1899-12-30T10:34:00"/>
    <m/>
    <s v="P"/>
    <n v="2"/>
    <s v="Road Vehicle"/>
    <n v="4"/>
    <x v="3"/>
    <x v="1"/>
    <n v="2"/>
    <x v="1"/>
    <s v="kikome"/>
    <s v="Kasese"/>
    <s v="UGA"/>
    <n v="4"/>
    <s v="Commercial"/>
    <s v="muhokya"/>
    <s v="kasese"/>
    <s v="UGA"/>
    <n v="4"/>
    <s v="Commercial"/>
    <x v="18"/>
    <n v="3000"/>
    <n v="37"/>
    <x v="4"/>
    <n v="0.66666000000000003"/>
    <x v="4"/>
    <n v="6"/>
    <s v="Businessman"/>
    <n v="1"/>
    <x v="2"/>
    <n v="1"/>
    <n v="2"/>
    <n v="4"/>
    <n v="3"/>
    <n v="5"/>
    <s v="Y"/>
    <m/>
    <x v="3"/>
  </r>
  <r>
    <d v="2019-10-21T00:00:00"/>
    <d v="1899-12-30T10:31:00"/>
    <m/>
    <s v="P"/>
    <n v="2"/>
    <s v="Road Vehicle"/>
    <n v="4"/>
    <x v="3"/>
    <x v="1"/>
    <n v="2"/>
    <x v="1"/>
    <s v="Mpondwe"/>
    <s v="Kasese"/>
    <s v="UGA"/>
    <n v="2"/>
    <s v="Work"/>
    <s v="Kyegegwa"/>
    <s v="Kyegegwa"/>
    <s v="UGA"/>
    <n v="4"/>
    <s v="Commercial"/>
    <x v="17"/>
    <n v="15000"/>
    <m/>
    <x v="0"/>
    <n v="2.5"/>
    <x v="0"/>
    <n v="5"/>
    <s v="Professional"/>
    <n v="5"/>
    <x v="4"/>
    <n v="3"/>
    <n v="4"/>
    <n v="1"/>
    <n v="2"/>
    <n v="5"/>
    <s v="Y"/>
    <m/>
    <x v="3"/>
  </r>
  <r>
    <d v="2019-10-21T00:00:00"/>
    <d v="1899-12-30T11:43:00"/>
    <m/>
    <s v="P"/>
    <n v="2"/>
    <s v="Road Vehicle"/>
    <n v="4"/>
    <x v="3"/>
    <x v="1"/>
    <n v="2"/>
    <x v="1"/>
    <s v="Ktadoba"/>
    <s v="Kasese"/>
    <s v="UGA"/>
    <n v="1"/>
    <s v="Home"/>
    <s v="ishaka"/>
    <s v="kasese"/>
    <s v="UGA"/>
    <n v="4"/>
    <s v="Commercial"/>
    <x v="0"/>
    <n v="8000"/>
    <m/>
    <x v="0"/>
    <n v="3"/>
    <x v="0"/>
    <n v="6"/>
    <s v="Businessman"/>
    <n v="3"/>
    <x v="1"/>
    <n v="5"/>
    <n v="2"/>
    <n v="3"/>
    <n v="1"/>
    <n v="4"/>
    <s v="Y"/>
    <m/>
    <x v="3"/>
  </r>
  <r>
    <d v="2019-10-21T00:00:00"/>
    <d v="1899-12-30T11:45:00"/>
    <m/>
    <s v="P"/>
    <n v="2"/>
    <s v="Road Vehicle"/>
    <n v="4"/>
    <x v="3"/>
    <x v="1"/>
    <n v="2"/>
    <x v="1"/>
    <s v="Rwimi"/>
    <s v="Bunyangabo"/>
    <s v="UGA"/>
    <n v="1"/>
    <s v="Home"/>
    <s v="ishaka"/>
    <s v="kasese"/>
    <s v="UGA"/>
    <n v="4"/>
    <s v="Commercial"/>
    <x v="0"/>
    <n v="12000"/>
    <n v="102"/>
    <x v="2"/>
    <n v="5"/>
    <x v="2"/>
    <n v="6"/>
    <s v="Businessman"/>
    <n v="4"/>
    <x v="0"/>
    <n v="2"/>
    <n v="3"/>
    <n v="4"/>
    <n v="1"/>
    <n v="5"/>
    <s v="Y"/>
    <m/>
    <x v="3"/>
  </r>
  <r>
    <d v="2019-10-21T00:00:00"/>
    <d v="1899-12-30T11:48:00"/>
    <m/>
    <s v="P"/>
    <n v="2"/>
    <s v="Road Vehicle"/>
    <n v="4"/>
    <x v="3"/>
    <x v="1"/>
    <n v="2"/>
    <x v="1"/>
    <s v="katadoba "/>
    <s v="Kasese"/>
    <s v="UGA"/>
    <n v="1"/>
    <s v="Home"/>
    <s v="Ntungamo"/>
    <s v="Ntugamo"/>
    <s v="UGA"/>
    <n v="4"/>
    <s v="Commercial"/>
    <x v="0"/>
    <n v="15000"/>
    <n v="125"/>
    <x v="2"/>
    <n v="4"/>
    <x v="2"/>
    <n v="7"/>
    <s v="Farmer"/>
    <n v="2"/>
    <x v="3"/>
    <n v="5"/>
    <n v="1"/>
    <n v="4"/>
    <n v="3"/>
    <n v="2"/>
    <s v="Y"/>
    <m/>
    <x v="3"/>
  </r>
  <r>
    <d v="2019-10-21T00:00:00"/>
    <d v="1899-12-30T11:51:00"/>
    <m/>
    <s v="P"/>
    <n v="2"/>
    <s v="Road Vehicle"/>
    <n v="4"/>
    <x v="3"/>
    <x v="1"/>
    <n v="2"/>
    <x v="1"/>
    <s v="katadoba "/>
    <s v="Kasese"/>
    <s v="UGA"/>
    <n v="1"/>
    <s v="Home"/>
    <s v="muhokya"/>
    <s v="kasese"/>
    <s v="UGA"/>
    <n v="2"/>
    <s v="Work"/>
    <x v="1"/>
    <n v="4000"/>
    <n v="35"/>
    <x v="4"/>
    <n v="0.25"/>
    <x v="3"/>
    <n v="10"/>
    <s v="Other"/>
    <n v="1"/>
    <x v="2"/>
    <n v="2"/>
    <n v="1"/>
    <n v="4"/>
    <n v="3"/>
    <n v="5"/>
    <s v="Y"/>
    <m/>
    <x v="3"/>
  </r>
  <r>
    <d v="2019-10-21T00:00:00"/>
    <d v="1899-12-30T12:05:00"/>
    <m/>
    <s v="P"/>
    <n v="2"/>
    <s v="Road Vehicle"/>
    <n v="4"/>
    <x v="3"/>
    <x v="1"/>
    <n v="2"/>
    <x v="1"/>
    <s v="Kilembe"/>
    <s v="Kasese"/>
    <s v="UGA"/>
    <n v="1"/>
    <s v="Home"/>
    <s v="kampala"/>
    <s v="kampala"/>
    <s v="UGA"/>
    <n v="4"/>
    <s v="Commercial"/>
    <x v="0"/>
    <n v="25000"/>
    <m/>
    <x v="0"/>
    <n v="8"/>
    <x v="2"/>
    <n v="6"/>
    <s v="Businessman"/>
    <n v="2"/>
    <x v="3"/>
    <n v="1"/>
    <n v="5"/>
    <n v="3"/>
    <n v="2"/>
    <n v="4"/>
    <s v="Y"/>
    <m/>
    <x v="3"/>
  </r>
  <r>
    <d v="2019-10-21T00:00:00"/>
    <d v="1899-12-30T12:27:00"/>
    <m/>
    <s v="P"/>
    <n v="2"/>
    <s v="Road Vehicle"/>
    <n v="4"/>
    <x v="3"/>
    <x v="1"/>
    <n v="2"/>
    <x v="1"/>
    <s v="Kidoodo"/>
    <s v="Kasese"/>
    <s v="UGA"/>
    <n v="1"/>
    <s v="Home"/>
    <s v="ishaka"/>
    <s v="kasese"/>
    <s v="UGA"/>
    <n v="4"/>
    <s v="Commercial"/>
    <x v="0"/>
    <n v="8000"/>
    <n v="92"/>
    <x v="1"/>
    <n v="3"/>
    <x v="0"/>
    <n v="6"/>
    <s v="Businessman"/>
    <n v="2"/>
    <x v="3"/>
    <n v="1"/>
    <n v="2"/>
    <n v="3"/>
    <n v="4"/>
    <n v="5"/>
    <s v="Y"/>
    <m/>
    <x v="3"/>
  </r>
  <r>
    <d v="2019-10-21T00:00:00"/>
    <d v="1899-12-30T12:30:00"/>
    <m/>
    <s v="P"/>
    <n v="2"/>
    <s v="Road Vehicle"/>
    <n v="4"/>
    <x v="3"/>
    <x v="1"/>
    <n v="2"/>
    <x v="1"/>
    <s v="Katwe"/>
    <s v="Kasese"/>
    <s v="UGA"/>
    <n v="1"/>
    <s v="Home"/>
    <s v="Mpondwe"/>
    <s v="kasese"/>
    <s v="UGA"/>
    <n v="4"/>
    <s v="Commercial"/>
    <x v="0"/>
    <n v="8000"/>
    <n v="87"/>
    <x v="1"/>
    <n v="2"/>
    <x v="0"/>
    <n v="6"/>
    <s v="Businessman"/>
    <n v="2"/>
    <x v="3"/>
    <n v="2"/>
    <n v="1"/>
    <n v="4"/>
    <n v="3"/>
    <n v="5"/>
    <s v="Y"/>
    <n v="2000"/>
    <x v="1"/>
  </r>
  <r>
    <d v="2019-10-21T00:00:00"/>
    <d v="1899-12-30T12:50:00"/>
    <m/>
    <s v="P"/>
    <n v="2"/>
    <s v="Road Vehicle"/>
    <n v="4"/>
    <x v="3"/>
    <x v="1"/>
    <n v="2"/>
    <x v="1"/>
    <s v="Tea Estate"/>
    <s v="Kyamuwunga"/>
    <s v="UGA"/>
    <n v="1"/>
    <s v="Home"/>
    <s v="Kazinga channel"/>
    <s v="kasese"/>
    <s v="UGA"/>
    <n v="4"/>
    <s v="Commercial"/>
    <x v="0"/>
    <n v="5000"/>
    <m/>
    <x v="0"/>
    <n v="1.5"/>
    <x v="1"/>
    <n v="5"/>
    <s v="Professional"/>
    <n v="2"/>
    <x v="3"/>
    <n v="4"/>
    <n v="1"/>
    <n v="3"/>
    <n v="2"/>
    <n v="5"/>
    <s v="Y"/>
    <n v="2000"/>
    <x v="1"/>
  </r>
  <r>
    <d v="2019-10-21T00:00:00"/>
    <d v="1899-12-30T12:58:00"/>
    <m/>
    <s v="P"/>
    <n v="2"/>
    <s v="Road Vehicle"/>
    <n v="4"/>
    <x v="3"/>
    <x v="1"/>
    <n v="2"/>
    <x v="1"/>
    <s v="Ishaka"/>
    <s v="bushenyi"/>
    <s v="UGA"/>
    <n v="2"/>
    <s v="Work"/>
    <s v="Kitagata"/>
    <s v="kasese"/>
    <s v="UGA"/>
    <n v="4"/>
    <s v="Commercial"/>
    <x v="17"/>
    <n v="10000"/>
    <m/>
    <x v="0"/>
    <n v="2"/>
    <x v="0"/>
    <n v="5"/>
    <s v="Professional"/>
    <n v="2"/>
    <x v="3"/>
    <n v="2"/>
    <n v="3"/>
    <n v="4"/>
    <n v="1"/>
    <n v="5"/>
    <s v="Y"/>
    <n v="2018"/>
    <x v="1"/>
  </r>
  <r>
    <d v="2019-10-21T00:00:00"/>
    <d v="1899-12-30T12:45:00"/>
    <m/>
    <s v="P"/>
    <n v="2"/>
    <s v="Road Vehicle"/>
    <n v="4"/>
    <x v="3"/>
    <x v="1"/>
    <n v="2"/>
    <x v="1"/>
    <s v="Ankole tea estate"/>
    <s v="Rubirizi"/>
    <s v="UGA"/>
    <n v="1"/>
    <s v="Home"/>
    <s v="kasese"/>
    <s v="kasese"/>
    <s v="UGA"/>
    <n v="1"/>
    <s v="Home"/>
    <x v="16"/>
    <n v="6000"/>
    <m/>
    <x v="0"/>
    <n v="1.5"/>
    <x v="1"/>
    <n v="2"/>
    <s v="Manual Labour"/>
    <n v="1"/>
    <x v="2"/>
    <n v="1"/>
    <n v="5"/>
    <n v="3"/>
    <n v="2"/>
    <n v="4"/>
    <s v="Y"/>
    <m/>
    <x v="3"/>
  </r>
  <r>
    <d v="2019-10-23T00:00:00"/>
    <d v="1899-12-30T04:30:00"/>
    <m/>
    <s v="P"/>
    <n v="2"/>
    <s v="Road Vehicle"/>
    <n v="4"/>
    <x v="3"/>
    <x v="1"/>
    <n v="2"/>
    <x v="1"/>
    <s v="Kasese"/>
    <s v="Kasese"/>
    <s v="UGA"/>
    <n v="4"/>
    <s v="Commercial"/>
    <s v="mpondwe"/>
    <s v="kasese"/>
    <s v="UGA"/>
    <n v="4"/>
    <s v="Commercial"/>
    <x v="18"/>
    <n v="7000"/>
    <n v="45"/>
    <x v="5"/>
    <n v="1.5"/>
    <x v="1"/>
    <n v="6"/>
    <s v="Businessman"/>
    <n v="1"/>
    <x v="2"/>
    <n v="1"/>
    <n v="2"/>
    <n v="4"/>
    <n v="3"/>
    <n v="5"/>
    <s v="Y"/>
    <n v="2000"/>
    <x v="1"/>
  </r>
  <r>
    <d v="2019-10-23T00:00:00"/>
    <d v="1899-12-30T04:50:00"/>
    <m/>
    <s v="P"/>
    <n v="2"/>
    <s v="Road Vehicle"/>
    <n v="4"/>
    <x v="3"/>
    <x v="1"/>
    <n v="2"/>
    <x v="1"/>
    <s v="Kisinga"/>
    <s v="Kasese"/>
    <s v="UGA"/>
    <n v="1"/>
    <s v="Home"/>
    <s v="Mpondwe"/>
    <s v="kasese"/>
    <s v="UGA"/>
    <n v="4"/>
    <s v="Commercial"/>
    <x v="0"/>
    <n v="12000"/>
    <m/>
    <x v="0"/>
    <n v="2"/>
    <x v="0"/>
    <n v="6"/>
    <s v="Businessman"/>
    <n v="1"/>
    <x v="2"/>
    <m/>
    <m/>
    <m/>
    <m/>
    <m/>
    <m/>
    <m/>
    <x v="3"/>
  </r>
  <r>
    <d v="2019-10-23T00:00:00"/>
    <d v="1899-12-30T05:32:00"/>
    <m/>
    <s v="P"/>
    <n v="2"/>
    <s v="Road Vehicle"/>
    <n v="4"/>
    <x v="3"/>
    <x v="1"/>
    <n v="2"/>
    <x v="1"/>
    <s v="town"/>
    <s v="bushenyi"/>
    <s v="UGA"/>
    <n v="2"/>
    <s v="Work"/>
    <s v="coliketa"/>
    <s v="kasese"/>
    <s v="UGA"/>
    <n v="1"/>
    <s v="Home"/>
    <x v="4"/>
    <n v="9000"/>
    <m/>
    <x v="0"/>
    <n v="2"/>
    <x v="0"/>
    <n v="2"/>
    <s v="Manual Labour"/>
    <n v="1"/>
    <x v="2"/>
    <n v="4"/>
    <n v="3"/>
    <n v="5"/>
    <n v="2"/>
    <n v="1"/>
    <s v="Y"/>
    <n v="400"/>
    <x v="3"/>
  </r>
  <r>
    <d v="2019-10-23T00:00:00"/>
    <d v="1899-12-30T03:36:00"/>
    <m/>
    <s v="P"/>
    <n v="2"/>
    <s v="Road Vehicle"/>
    <n v="4"/>
    <x v="3"/>
    <x v="1"/>
    <n v="2"/>
    <x v="1"/>
    <s v="Ndongo"/>
    <s v="Kasese"/>
    <s v="UGA"/>
    <n v="1"/>
    <s v="Home"/>
    <s v="Kilembe"/>
    <s v="kasese"/>
    <s v="UGA"/>
    <n v="6"/>
    <s v="Leisure/Social"/>
    <x v="8"/>
    <n v="6000"/>
    <n v="40"/>
    <x v="5"/>
    <n v="1"/>
    <x v="1"/>
    <n v="1"/>
    <s v="Unemployed"/>
    <n v="1"/>
    <x v="2"/>
    <n v="5"/>
    <n v="2"/>
    <n v="3"/>
    <n v="1"/>
    <n v="4"/>
    <s v="Y"/>
    <n v="100"/>
    <x v="3"/>
  </r>
  <r>
    <d v="2019-10-23T00:00:00"/>
    <d v="1899-12-30T11:46:00"/>
    <m/>
    <s v="P"/>
    <n v="2"/>
    <s v="Road Vehicle"/>
    <n v="4"/>
    <x v="3"/>
    <x v="1"/>
    <n v="2"/>
    <x v="1"/>
    <s v="Town centre"/>
    <s v="Mbarara"/>
    <s v="UGA"/>
    <n v="8"/>
    <s v="Others"/>
    <s v="kabularoke"/>
    <s v="rwimi"/>
    <s v="UGA"/>
    <n v="1"/>
    <s v="Home"/>
    <x v="12"/>
    <n v="22000"/>
    <n v="155"/>
    <x v="2"/>
    <n v="3.5"/>
    <x v="2"/>
    <n v="6"/>
    <s v="Businessman"/>
    <n v="2"/>
    <x v="3"/>
    <n v="5"/>
    <n v="2"/>
    <n v="3"/>
    <n v="1"/>
    <n v="4"/>
    <s v="Y"/>
    <n v="1000"/>
    <x v="4"/>
  </r>
  <r>
    <d v="2019-10-23T00:00:00"/>
    <s v=" 9:52"/>
    <m/>
    <s v="P"/>
    <n v="2"/>
    <s v="Road Vehicle"/>
    <n v="4"/>
    <x v="3"/>
    <x v="1"/>
    <n v="2"/>
    <x v="1"/>
    <s v="Q.Elizabeth"/>
    <s v="Kasese"/>
    <s v="UGA"/>
    <n v="6"/>
    <s v="Leisure/Social"/>
    <s v="kikorongo"/>
    <s v="kasese"/>
    <s v="UGA"/>
    <n v="1"/>
    <s v="Home"/>
    <x v="10"/>
    <n v="7000"/>
    <m/>
    <x v="0"/>
    <n v="1.5"/>
    <x v="1"/>
    <n v="6"/>
    <s v="Businessman"/>
    <n v="1"/>
    <x v="2"/>
    <n v="4"/>
    <n v="5"/>
    <n v="3"/>
    <n v="1"/>
    <n v="2"/>
    <s v="Y"/>
    <n v="1000"/>
    <x v="4"/>
  </r>
  <r>
    <d v="2019-10-21T00:00:00"/>
    <d v="1899-12-30T02:00:00"/>
    <m/>
    <s v="P"/>
    <n v="2"/>
    <s v="Road Vehicle"/>
    <n v="4"/>
    <x v="3"/>
    <x v="0"/>
    <n v="2"/>
    <x v="1"/>
    <s v="Kilembe"/>
    <s v="Kasese"/>
    <s v="UGA"/>
    <n v="1"/>
    <s v="Home"/>
    <s v="Kabirizi"/>
    <s v="kasese"/>
    <s v="UGA"/>
    <n v="6"/>
    <s v="Leisure/Social"/>
    <x v="8"/>
    <n v="5000"/>
    <m/>
    <x v="0"/>
    <n v="1.5"/>
    <x v="1"/>
    <n v="5"/>
    <s v="Professional"/>
    <n v="2"/>
    <x v="3"/>
    <n v="2"/>
    <n v="4"/>
    <n v="1"/>
    <n v="5"/>
    <n v="3"/>
    <s v="Y"/>
    <n v="500"/>
    <x v="3"/>
  </r>
  <r>
    <d v="2019-10-21T00:00:00"/>
    <d v="1899-12-30T06:00:00"/>
    <m/>
    <s v="P"/>
    <n v="2"/>
    <s v="Road Vehicle"/>
    <n v="4"/>
    <x v="3"/>
    <x v="0"/>
    <n v="2"/>
    <x v="1"/>
    <s v="Town Park"/>
    <s v="Kasese"/>
    <s v="UGA"/>
    <n v="2"/>
    <s v="Work"/>
    <s v="Nyaruzigati"/>
    <s v="kasese"/>
    <s v="UGA"/>
    <n v="1"/>
    <s v="Home"/>
    <x v="4"/>
    <n v="5000"/>
    <m/>
    <x v="0"/>
    <n v="1"/>
    <x v="1"/>
    <n v="4"/>
    <s v="Office Worker"/>
    <n v="1"/>
    <x v="2"/>
    <n v="3"/>
    <n v="4"/>
    <n v="1"/>
    <n v="2"/>
    <n v="3"/>
    <s v="Y"/>
    <n v="100"/>
    <x v="3"/>
  </r>
  <r>
    <d v="2019-10-21T00:00:00"/>
    <d v="1899-12-30T11:23:00"/>
    <m/>
    <s v="P"/>
    <n v="2"/>
    <s v="Road Vehicle"/>
    <n v="4"/>
    <x v="3"/>
    <x v="0"/>
    <n v="2"/>
    <x v="1"/>
    <s v="Kisanyalaze"/>
    <s v="Kasese"/>
    <s v="UGA"/>
    <n v="1"/>
    <s v="Home"/>
    <s v="Rubona"/>
    <s v="kasese"/>
    <s v="UGA"/>
    <n v="4"/>
    <s v="Commercial"/>
    <x v="0"/>
    <n v="4500"/>
    <n v="38"/>
    <x v="4"/>
    <n v="0.33"/>
    <x v="3"/>
    <n v="7"/>
    <s v="Farmer"/>
    <n v="1"/>
    <x v="2"/>
    <n v="2"/>
    <n v="3"/>
    <n v="4"/>
    <n v="5"/>
    <n v="1"/>
    <s v="Y"/>
    <n v="1000"/>
    <x v="4"/>
  </r>
  <r>
    <d v="2019-10-21T00:00:00"/>
    <d v="1899-12-30T11:10:00"/>
    <m/>
    <s v="P"/>
    <n v="2"/>
    <s v="Road Vehicle"/>
    <n v="4"/>
    <x v="3"/>
    <x v="0"/>
    <n v="2"/>
    <x v="1"/>
    <s v="Rwenzori inter"/>
    <s v="Kasese"/>
    <s v="UGA"/>
    <n v="4"/>
    <s v="Commercial"/>
    <s v="Mpondwe"/>
    <s v="kasese"/>
    <s v="UGA"/>
    <n v="4"/>
    <s v="Commercial"/>
    <x v="18"/>
    <n v="7000"/>
    <m/>
    <x v="0"/>
    <n v="1.5"/>
    <x v="1"/>
    <n v="6"/>
    <s v="Businessman"/>
    <n v="2"/>
    <x v="3"/>
    <n v="1"/>
    <n v="2"/>
    <n v="5"/>
    <n v="3"/>
    <n v="4"/>
    <s v="Y"/>
    <m/>
    <x v="3"/>
  </r>
  <r>
    <d v="2019-10-21T00:00:00"/>
    <d v="1899-12-30T11:02:00"/>
    <m/>
    <s v="P"/>
    <n v="2"/>
    <s v="Road Vehicle"/>
    <n v="4"/>
    <x v="3"/>
    <x v="0"/>
    <n v="2"/>
    <x v="1"/>
    <s v="Rubona "/>
    <s v="Bunyangabo"/>
    <s v="UGA"/>
    <n v="4"/>
    <s v="Commercial"/>
    <s v="kitalikibi"/>
    <s v="kasese"/>
    <s v="UGA"/>
    <n v="4"/>
    <s v="Commercial"/>
    <x v="18"/>
    <n v="5000"/>
    <m/>
    <x v="0"/>
    <m/>
    <x v="3"/>
    <n v="10"/>
    <s v="Other"/>
    <n v="1"/>
    <x v="2"/>
    <n v="2"/>
    <n v="3"/>
    <n v="4"/>
    <n v="1"/>
    <n v="5"/>
    <s v="Y"/>
    <n v="1000"/>
    <x v="4"/>
  </r>
  <r>
    <d v="2019-10-21T00:00:00"/>
    <d v="1899-12-30T10:59:00"/>
    <m/>
    <s v="P"/>
    <n v="2"/>
    <s v="Road Vehicle"/>
    <n v="4"/>
    <x v="3"/>
    <x v="0"/>
    <n v="2"/>
    <x v="1"/>
    <s v="Kitalikibi"/>
    <s v="Kasese"/>
    <s v="UGA"/>
    <n v="4"/>
    <s v="Commercial"/>
    <s v="Rwimi"/>
    <s v="Bunyangabo"/>
    <s v="UGA"/>
    <n v="2"/>
    <s v="Work"/>
    <x v="24"/>
    <n v="4000"/>
    <n v="45"/>
    <x v="5"/>
    <n v="0.5"/>
    <x v="4"/>
    <n v="6"/>
    <s v="Businessman"/>
    <n v="2"/>
    <x v="3"/>
    <n v="2"/>
    <n v="3"/>
    <n v="1"/>
    <n v="5"/>
    <n v="4"/>
    <s v="Y"/>
    <n v="1000"/>
    <x v="4"/>
  </r>
  <r>
    <d v="2019-10-21T00:00:00"/>
    <d v="1899-12-30T10:38:00"/>
    <m/>
    <s v="P"/>
    <n v="2"/>
    <s v="Road Vehicle"/>
    <n v="4"/>
    <x v="3"/>
    <x v="0"/>
    <n v="2"/>
    <x v="1"/>
    <s v="Kyegegwa"/>
    <s v="kyegegwa"/>
    <s v="UGA"/>
    <n v="4"/>
    <s v="Commercial"/>
    <s v="Mpondwe"/>
    <s v="Mpondwe"/>
    <s v="UGA"/>
    <n v="4"/>
    <s v="Commercial"/>
    <x v="18"/>
    <n v="9000"/>
    <n v="80"/>
    <x v="1"/>
    <n v="2"/>
    <x v="0"/>
    <n v="6"/>
    <s v="Businessman"/>
    <n v="2"/>
    <x v="3"/>
    <n v="1"/>
    <n v="2"/>
    <n v="5"/>
    <n v="3"/>
    <n v="4"/>
    <s v="Y"/>
    <n v="1000"/>
    <x v="4"/>
  </r>
  <r>
    <d v="2019-10-21T00:00:00"/>
    <d v="1899-12-30T10:18:00"/>
    <m/>
    <s v="P"/>
    <n v="2"/>
    <s v="Road Vehicle"/>
    <n v="4"/>
    <x v="3"/>
    <x v="0"/>
    <n v="2"/>
    <x v="1"/>
    <s v="Kaziini camp"/>
    <s v="Kasese"/>
    <s v="UGA"/>
    <n v="1"/>
    <s v="Home"/>
    <s v="Kazinga channel"/>
    <s v="kasese"/>
    <s v="UGA"/>
    <n v="5"/>
    <s v="Tourism"/>
    <x v="20"/>
    <n v="4000"/>
    <n v="50"/>
    <x v="5"/>
    <n v="0.5"/>
    <x v="4"/>
    <n v="10"/>
    <s v="Other"/>
    <n v="1"/>
    <x v="2"/>
    <n v="1"/>
    <n v="3"/>
    <n v="5"/>
    <n v="2"/>
    <n v="4"/>
    <s v="Y"/>
    <n v="1500"/>
    <x v="4"/>
  </r>
  <r>
    <d v="2019-10-21T00:00:00"/>
    <d v="1899-12-30T11:30:00"/>
    <m/>
    <s v="P"/>
    <n v="2"/>
    <s v="Road Vehicle"/>
    <n v="4"/>
    <x v="3"/>
    <x v="0"/>
    <n v="2"/>
    <x v="1"/>
    <s v="Kidoodo"/>
    <s v="Kasese"/>
    <s v="UGA"/>
    <n v="1"/>
    <s v="Home"/>
    <s v="Mubende"/>
    <s v="Mubende"/>
    <s v="UGA"/>
    <n v="4"/>
    <s v="Commercial"/>
    <x v="0"/>
    <n v="10000"/>
    <m/>
    <x v="0"/>
    <n v="3"/>
    <x v="0"/>
    <n v="6"/>
    <s v="Businessman"/>
    <n v="2"/>
    <x v="3"/>
    <n v="3"/>
    <n v="2"/>
    <n v="5"/>
    <n v="1"/>
    <n v="4"/>
    <s v="Y"/>
    <m/>
    <x v="3"/>
  </r>
  <r>
    <d v="2019-10-21T00:00:00"/>
    <d v="1899-12-30T01:15:00"/>
    <m/>
    <s v="P"/>
    <n v="2"/>
    <s v="Road Vehicle"/>
    <n v="4"/>
    <x v="3"/>
    <x v="0"/>
    <n v="2"/>
    <x v="1"/>
    <s v="Kidoodo"/>
    <s v="Kasese"/>
    <s v="UGA"/>
    <n v="1"/>
    <s v="Home"/>
    <s v="Fortportal"/>
    <s v="Fortportal"/>
    <s v="UGA"/>
    <n v="4"/>
    <s v="Commercial"/>
    <x v="0"/>
    <n v="8000"/>
    <n v="56"/>
    <x v="5"/>
    <n v="1"/>
    <x v="1"/>
    <n v="3"/>
    <s v="Artisan/Domestic"/>
    <n v="2"/>
    <x v="3"/>
    <n v="1"/>
    <n v="2"/>
    <n v="3"/>
    <n v="4"/>
    <n v="5"/>
    <s v="Y"/>
    <n v="1000"/>
    <x v="4"/>
  </r>
  <r>
    <d v="2019-10-22T00:00:00"/>
    <d v="1899-12-30T07:28:00"/>
    <m/>
    <s v="P"/>
    <n v="2"/>
    <s v="Road Vehicle"/>
    <n v="4"/>
    <x v="3"/>
    <x v="0"/>
    <n v="2"/>
    <x v="1"/>
    <s v="Rwenzori inter"/>
    <s v="Kasese"/>
    <s v="UGA"/>
    <n v="1"/>
    <s v="Home"/>
    <s v="Fortportal"/>
    <s v="Fortportal"/>
    <s v="UGA"/>
    <n v="2"/>
    <s v="Work"/>
    <x v="1"/>
    <n v="5000"/>
    <n v="53"/>
    <x v="5"/>
    <n v="0.66600000000000004"/>
    <x v="4"/>
    <n v="2"/>
    <s v="Manual Labour"/>
    <n v="1"/>
    <x v="2"/>
    <m/>
    <m/>
    <s v="."/>
    <m/>
    <m/>
    <s v="Y"/>
    <m/>
    <x v="3"/>
  </r>
  <r>
    <d v="2019-10-22T00:00:00"/>
    <d v="1899-12-30T07:30:00"/>
    <m/>
    <s v="P"/>
    <n v="2"/>
    <s v="Road Vehicle"/>
    <n v="4"/>
    <x v="3"/>
    <x v="0"/>
    <n v="2"/>
    <x v="1"/>
    <s v="Kazinga channel"/>
    <s v="Kasese"/>
    <s v="UGA"/>
    <n v="2"/>
    <s v="Work"/>
    <s v="kibito"/>
    <s v="Bunyangabo"/>
    <s v="UGA"/>
    <n v="1"/>
    <s v="Home"/>
    <x v="4"/>
    <n v="4000"/>
    <n v="58"/>
    <x v="5"/>
    <n v="0.5"/>
    <x v="4"/>
    <n v="10"/>
    <s v="Other"/>
    <n v="1"/>
    <x v="2"/>
    <n v="2"/>
    <n v="4"/>
    <n v="5"/>
    <n v="3"/>
    <n v="1"/>
    <s v="Y"/>
    <m/>
    <x v="3"/>
  </r>
  <r>
    <d v="2019-10-22T00:00:00"/>
    <d v="1899-12-30T08:31:00"/>
    <m/>
    <s v="P"/>
    <n v="2"/>
    <s v="Road Vehicle"/>
    <n v="4"/>
    <x v="3"/>
    <x v="0"/>
    <n v="2"/>
    <x v="1"/>
    <s v="Kaziini camp"/>
    <s v="Kasese"/>
    <s v="UGA"/>
    <n v="1"/>
    <s v="Home"/>
    <s v="Ndongo"/>
    <s v="kasese"/>
    <s v="UGA"/>
    <n v="4"/>
    <s v="Commercial"/>
    <x v="0"/>
    <n v="5000"/>
    <n v="60"/>
    <x v="5"/>
    <n v="1"/>
    <x v="1"/>
    <n v="2"/>
    <s v="Manual Labour"/>
    <n v="1"/>
    <x v="2"/>
    <n v="2"/>
    <n v="1"/>
    <n v="5"/>
    <n v="3"/>
    <n v="4"/>
    <s v="Y"/>
    <n v="1000"/>
    <x v="4"/>
  </r>
  <r>
    <d v="2019-10-22T00:00:00"/>
    <d v="1899-12-30T08:38:00"/>
    <m/>
    <s v="P"/>
    <n v="2"/>
    <s v="Road Vehicle"/>
    <n v="4"/>
    <x v="3"/>
    <x v="0"/>
    <n v="2"/>
    <x v="1"/>
    <s v="Kilembe"/>
    <s v="Kasese"/>
    <s v="UGA"/>
    <n v="1"/>
    <s v="Home"/>
    <s v="Mbarara"/>
    <s v="Mbarara"/>
    <s v="UGA"/>
    <n v="4"/>
    <s v="Commercial"/>
    <x v="0"/>
    <n v="15000"/>
    <m/>
    <x v="0"/>
    <n v="5"/>
    <x v="2"/>
    <n v="6"/>
    <s v="Businessman"/>
    <n v="3"/>
    <x v="1"/>
    <n v="3"/>
    <n v="5"/>
    <n v="4"/>
    <n v="2"/>
    <n v="1"/>
    <s v="Y"/>
    <n v="1000"/>
    <x v="4"/>
  </r>
  <r>
    <d v="2019-10-22T00:00:00"/>
    <d v="1899-12-30T08:45:00"/>
    <m/>
    <s v="P"/>
    <n v="2"/>
    <s v="Road Vehicle"/>
    <n v="4"/>
    <x v="3"/>
    <x v="0"/>
    <n v="2"/>
    <x v="1"/>
    <s v="Ndongo"/>
    <s v="Kasese"/>
    <s v="UGA"/>
    <n v="4"/>
    <s v="Commercial"/>
    <s v="ishaka"/>
    <s v="kasese"/>
    <s v="UGA"/>
    <n v="1"/>
    <s v="Home"/>
    <x v="3"/>
    <n v="12000"/>
    <n v="99"/>
    <x v="1"/>
    <n v="2.5"/>
    <x v="0"/>
    <n v="1"/>
    <s v="Unemployed"/>
    <n v="2"/>
    <x v="3"/>
    <n v="2"/>
    <n v="1"/>
    <n v="4"/>
    <n v="3"/>
    <n v="5"/>
    <s v="Y"/>
    <m/>
    <x v="3"/>
  </r>
  <r>
    <d v="2019-10-22T00:00:00"/>
    <d v="1899-12-30T08:52:00"/>
    <m/>
    <s v="P"/>
    <n v="2"/>
    <s v="Road Vehicle"/>
    <n v="4"/>
    <x v="3"/>
    <x v="0"/>
    <n v="2"/>
    <x v="1"/>
    <s v="Ishaka"/>
    <s v="Kasese"/>
    <s v="UGA"/>
    <n v="4"/>
    <s v="Commercial"/>
    <s v="Bundibugyo"/>
    <s v="Bundibugyo"/>
    <s v="UGA"/>
    <n v="2"/>
    <s v="Work"/>
    <x v="24"/>
    <n v="13000"/>
    <n v="126"/>
    <x v="2"/>
    <n v="5"/>
    <x v="2"/>
    <n v="6"/>
    <s v="Businessman"/>
    <n v="2"/>
    <x v="3"/>
    <n v="1"/>
    <n v="2"/>
    <n v="4"/>
    <n v="3"/>
    <n v="5"/>
    <s v="Y"/>
    <m/>
    <x v="3"/>
  </r>
  <r>
    <d v="2019-10-22T00:00:00"/>
    <d v="1899-12-30T08:57:00"/>
    <m/>
    <s v="P"/>
    <n v="2"/>
    <s v="Road Vehicle"/>
    <n v="4"/>
    <x v="3"/>
    <x v="0"/>
    <n v="2"/>
    <x v="1"/>
    <s v="Muhokya"/>
    <s v="Kasese"/>
    <s v="UGA"/>
    <n v="1"/>
    <s v="Home"/>
    <s v="Bundibugyo"/>
    <s v="Bundibugyo"/>
    <s v="UGA"/>
    <n v="2"/>
    <s v="Work"/>
    <x v="1"/>
    <n v="10000"/>
    <m/>
    <x v="0"/>
    <n v="4"/>
    <x v="2"/>
    <n v="6"/>
    <s v="Businessman"/>
    <n v="2"/>
    <x v="3"/>
    <n v="2"/>
    <n v="1"/>
    <n v="5"/>
    <n v="3"/>
    <n v="4"/>
    <s v="Y"/>
    <n v="1500"/>
    <x v="4"/>
  </r>
  <r>
    <d v="2019-10-22T00:00:00"/>
    <d v="1899-12-30T09:40:00"/>
    <m/>
    <s v="P"/>
    <n v="2"/>
    <s v="Road Vehicle"/>
    <n v="4"/>
    <x v="3"/>
    <x v="0"/>
    <n v="2"/>
    <x v="1"/>
    <s v="Kazinga channel"/>
    <s v="Kasese"/>
    <s v="UGA"/>
    <n v="2"/>
    <s v="Work"/>
    <s v="Kazinga channel"/>
    <s v="kasese"/>
    <s v="UGA"/>
    <n v="1"/>
    <s v="Home"/>
    <x v="4"/>
    <n v="3000"/>
    <n v="15"/>
    <x v="6"/>
    <n v="0.3"/>
    <x v="3"/>
    <n v="6"/>
    <s v="Businessman"/>
    <n v="2"/>
    <x v="3"/>
    <n v="5"/>
    <n v="1"/>
    <n v="3"/>
    <n v="2"/>
    <n v="4"/>
    <s v="Y"/>
    <n v="2000"/>
    <x v="1"/>
  </r>
  <r>
    <d v="2019-10-22T00:00:00"/>
    <d v="1899-12-30T09:47:00"/>
    <m/>
    <s v="P"/>
    <n v="2"/>
    <s v="Road Vehicle"/>
    <n v="4"/>
    <x v="3"/>
    <x v="0"/>
    <n v="2"/>
    <x v="1"/>
    <s v="Kasese"/>
    <s v="Kasese"/>
    <s v="UGA"/>
    <n v="4"/>
    <s v="Commercial"/>
    <s v="Fortportal"/>
    <s v="Fortportal"/>
    <s v="UGA"/>
    <n v="4"/>
    <s v="Commercial"/>
    <x v="18"/>
    <n v="5000"/>
    <n v="29"/>
    <x v="4"/>
    <n v="0.83"/>
    <x v="4"/>
    <n v="6"/>
    <s v="Businessman"/>
    <n v="2"/>
    <x v="3"/>
    <n v="4"/>
    <n v="1"/>
    <n v="3"/>
    <n v="2"/>
    <n v="5"/>
    <s v="Y"/>
    <m/>
    <x v="3"/>
  </r>
  <r>
    <d v="2019-10-22T00:00:00"/>
    <d v="1899-12-30T09:52:00"/>
    <m/>
    <s v="P"/>
    <n v="2"/>
    <s v="Road Vehicle"/>
    <n v="4"/>
    <x v="3"/>
    <x v="0"/>
    <n v="2"/>
    <x v="1"/>
    <s v="Bwera"/>
    <s v="Kasese"/>
    <s v="UGA"/>
    <n v="1"/>
    <s v="Home"/>
    <s v="Rwimi"/>
    <s v="Bunyangabo"/>
    <s v="UGA"/>
    <n v="4"/>
    <s v="Commercial"/>
    <x v="0"/>
    <n v="5000"/>
    <n v="50"/>
    <x v="5"/>
    <n v="1.5"/>
    <x v="1"/>
    <n v="6"/>
    <s v="Businessman"/>
    <n v="2"/>
    <x v="3"/>
    <n v="1"/>
    <n v="5"/>
    <n v="4"/>
    <n v="2"/>
    <n v="3"/>
    <s v="Y"/>
    <n v="2000"/>
    <x v="1"/>
  </r>
  <r>
    <d v="2019-10-22T00:00:00"/>
    <d v="1899-12-30T10:08:00"/>
    <m/>
    <s v="P"/>
    <n v="2"/>
    <s v="Road Vehicle"/>
    <n v="4"/>
    <x v="3"/>
    <x v="0"/>
    <n v="2"/>
    <x v="1"/>
    <s v="kasitomu"/>
    <s v="Kasese"/>
    <s v="UGA"/>
    <n v="1"/>
    <s v="Home"/>
    <s v="Fortportal"/>
    <s v="Fortportal"/>
    <s v="UGA"/>
    <n v="4"/>
    <s v="Commercial"/>
    <x v="0"/>
    <n v="8000"/>
    <n v="56"/>
    <x v="5"/>
    <n v="2"/>
    <x v="0"/>
    <n v="6"/>
    <s v="Businessman"/>
    <n v="2"/>
    <x v="3"/>
    <n v="2"/>
    <n v="1"/>
    <n v="4"/>
    <n v="3"/>
    <n v="5"/>
    <s v="Y"/>
    <m/>
    <x v="3"/>
  </r>
  <r>
    <d v="2019-10-22T00:00:00"/>
    <d v="1899-12-30T10:28:00"/>
    <m/>
    <s v="P"/>
    <n v="2"/>
    <s v="Road Vehicle"/>
    <n v="4"/>
    <x v="3"/>
    <x v="0"/>
    <n v="2"/>
    <x v="1"/>
    <s v="Kikonjo"/>
    <s v="Kasese"/>
    <s v="UGA"/>
    <n v="1"/>
    <s v="Home"/>
    <s v="ishaka"/>
    <s v="kasese"/>
    <s v="UGA"/>
    <n v="4"/>
    <s v="Commercial"/>
    <x v="0"/>
    <n v="8000"/>
    <n v="96"/>
    <x v="1"/>
    <n v="3"/>
    <x v="0"/>
    <n v="6"/>
    <s v="Businessman"/>
    <n v="2"/>
    <x v="3"/>
    <n v="2"/>
    <n v="3"/>
    <n v="4"/>
    <n v="1"/>
    <n v="5"/>
    <s v="Y"/>
    <n v="2000"/>
    <x v="1"/>
  </r>
  <r>
    <d v="2019-10-22T00:00:00"/>
    <d v="1899-12-30T10:25:00"/>
    <m/>
    <s v="P"/>
    <n v="2"/>
    <s v="Road Vehicle"/>
    <n v="4"/>
    <x v="3"/>
    <x v="0"/>
    <n v="2"/>
    <x v="1"/>
    <s v="muvuko"/>
    <s v="Kasese"/>
    <s v="UGA"/>
    <n v="1"/>
    <s v="Home"/>
    <s v="ishaka"/>
    <s v="kasese"/>
    <s v="UGA"/>
    <n v="4"/>
    <s v="Commercial"/>
    <x v="0"/>
    <n v="10000"/>
    <n v="97"/>
    <x v="1"/>
    <n v="3"/>
    <x v="0"/>
    <n v="6"/>
    <s v="Businessman"/>
    <n v="1"/>
    <x v="2"/>
    <n v="3"/>
    <n v="4"/>
    <n v="2"/>
    <n v="1"/>
    <n v="5"/>
    <s v="Y"/>
    <n v="1000"/>
    <x v="4"/>
  </r>
  <r>
    <d v="2019-10-22T00:00:00"/>
    <d v="1899-12-30T10:30:00"/>
    <m/>
    <s v="P"/>
    <n v="2"/>
    <s v="Road Vehicle"/>
    <n v="4"/>
    <x v="3"/>
    <x v="0"/>
    <n v="2"/>
    <x v="1"/>
    <s v="Bwera"/>
    <s v="Kasese"/>
    <s v="UGA"/>
    <n v="1"/>
    <s v="Home"/>
    <s v="kasese"/>
    <s v="kasese"/>
    <s v="UGA"/>
    <n v="4"/>
    <s v="Commercial"/>
    <x v="0"/>
    <n v="9000"/>
    <n v="60"/>
    <x v="5"/>
    <n v="2"/>
    <x v="0"/>
    <n v="6"/>
    <s v="Businessman"/>
    <n v="1"/>
    <x v="2"/>
    <n v="1"/>
    <n v="2"/>
    <n v="3"/>
    <n v="5"/>
    <n v="4"/>
    <s v="Y"/>
    <n v="1000"/>
    <x v="4"/>
  </r>
  <r>
    <d v="2019-10-22T00:00:00"/>
    <d v="1899-12-30T11:15:00"/>
    <m/>
    <s v="P"/>
    <n v="2"/>
    <s v="Road Vehicle"/>
    <n v="4"/>
    <x v="3"/>
    <x v="0"/>
    <n v="2"/>
    <x v="1"/>
    <s v="Muhokya"/>
    <s v="Kasese"/>
    <s v="UGA"/>
    <n v="1"/>
    <s v="Home"/>
    <s v="Hima"/>
    <s v="kasese"/>
    <s v="UGA"/>
    <n v="4"/>
    <s v="Commercial"/>
    <x v="0"/>
    <n v="5000"/>
    <n v="25"/>
    <x v="4"/>
    <n v="1"/>
    <x v="1"/>
    <n v="5"/>
    <s v="Professional"/>
    <n v="2"/>
    <x v="3"/>
    <n v="3"/>
    <n v="2"/>
    <n v="5"/>
    <n v="1"/>
    <n v="4"/>
    <s v="Y"/>
    <n v="1000"/>
    <x v="4"/>
  </r>
  <r>
    <d v="2019-10-22T00:00:00"/>
    <d v="1899-12-30T11:56:00"/>
    <m/>
    <s v="P"/>
    <n v="2"/>
    <s v="Road Vehicle"/>
    <n v="4"/>
    <x v="3"/>
    <x v="0"/>
    <n v="2"/>
    <x v="1"/>
    <s v="Kisanyalaze"/>
    <s v="Kasese"/>
    <s v="UGA"/>
    <n v="1"/>
    <s v="Home"/>
    <s v="Kisoga"/>
    <s v="Mpigi"/>
    <s v="UGA"/>
    <n v="4"/>
    <s v="Commercial"/>
    <x v="0"/>
    <n v="20000"/>
    <n v="186"/>
    <x v="2"/>
    <n v="5"/>
    <x v="2"/>
    <n v="6"/>
    <s v="Businessman"/>
    <n v="2"/>
    <x v="3"/>
    <n v="1"/>
    <n v="2"/>
    <n v="4"/>
    <n v="3"/>
    <n v="5"/>
    <s v="Y"/>
    <m/>
    <x v="3"/>
  </r>
  <r>
    <d v="2019-10-22T00:00:00"/>
    <d v="1899-12-30T11:46:00"/>
    <m/>
    <s v="P"/>
    <n v="2"/>
    <s v="Road Vehicle"/>
    <n v="4"/>
    <x v="3"/>
    <x v="0"/>
    <n v="2"/>
    <x v="1"/>
    <s v="Kitalikibi"/>
    <s v="Kasese"/>
    <s v="UGA"/>
    <n v="1"/>
    <s v="Home"/>
    <s v="Fortportal"/>
    <s v="Fortportal"/>
    <s v="UGA"/>
    <n v="4"/>
    <s v="Commercial"/>
    <x v="0"/>
    <n v="5000"/>
    <n v="56"/>
    <x v="5"/>
    <n v="1"/>
    <x v="1"/>
    <n v="6"/>
    <s v="Businessman"/>
    <n v="1"/>
    <x v="2"/>
    <n v="4"/>
    <n v="1"/>
    <n v="5"/>
    <n v="2"/>
    <n v="3"/>
    <s v="Y"/>
    <n v="1000"/>
    <x v="4"/>
  </r>
  <r>
    <d v="2019-10-22T00:00:00"/>
    <d v="1899-12-30T12:32:00"/>
    <m/>
    <s v="P"/>
    <n v="2"/>
    <s v="Road Vehicle"/>
    <n v="4"/>
    <x v="3"/>
    <x v="0"/>
    <n v="2"/>
    <x v="1"/>
    <s v="kibito"/>
    <s v="Kasese"/>
    <s v="UGA"/>
    <n v="1"/>
    <s v="Home"/>
    <s v="masaka"/>
    <s v="masaka"/>
    <s v="UGA"/>
    <n v="4"/>
    <s v="Commercial"/>
    <x v="0"/>
    <n v="20000"/>
    <m/>
    <x v="0"/>
    <n v="6"/>
    <x v="2"/>
    <n v="3"/>
    <s v="Artisan/Domestic"/>
    <n v="3"/>
    <x v="1"/>
    <n v="2"/>
    <n v="4"/>
    <n v="5"/>
    <n v="1"/>
    <n v="3"/>
    <s v="Y"/>
    <m/>
    <x v="3"/>
  </r>
  <r>
    <d v="2019-10-22T00:00:00"/>
    <d v="1899-12-30T12:12:00"/>
    <m/>
    <s v="P"/>
    <n v="2"/>
    <s v="Road Vehicle"/>
    <n v="4"/>
    <x v="3"/>
    <x v="0"/>
    <n v="2"/>
    <x v="1"/>
    <s v="Kisanyalaze"/>
    <s v="Kasese"/>
    <s v="UGA"/>
    <n v="1"/>
    <s v="Home"/>
    <s v="Mbarara"/>
    <s v="Mbarara"/>
    <s v="UGA"/>
    <n v="4"/>
    <s v="Commercial"/>
    <x v="0"/>
    <n v="15000"/>
    <m/>
    <x v="0"/>
    <n v="5"/>
    <x v="2"/>
    <n v="7"/>
    <s v="Farmer"/>
    <n v="1"/>
    <x v="2"/>
    <n v="3"/>
    <n v="1"/>
    <n v="4"/>
    <n v="2"/>
    <n v="5"/>
    <s v="Y"/>
    <m/>
    <x v="3"/>
  </r>
  <r>
    <d v="2019-10-22T00:00:00"/>
    <d v="1899-12-30T12:25:00"/>
    <m/>
    <s v="P"/>
    <n v="2"/>
    <s v="Road Vehicle"/>
    <n v="4"/>
    <x v="3"/>
    <x v="0"/>
    <n v="2"/>
    <x v="1"/>
    <s v="Bwera"/>
    <s v="Kasese"/>
    <s v="UGA"/>
    <n v="1"/>
    <s v="Home"/>
    <s v="lyatonde"/>
    <s v="lyatonde"/>
    <s v="UGA"/>
    <n v="4"/>
    <s v="Commercial"/>
    <x v="0"/>
    <n v="16000"/>
    <m/>
    <x v="0"/>
    <n v="6"/>
    <x v="2"/>
    <n v="7"/>
    <s v="Farmer"/>
    <n v="2"/>
    <x v="3"/>
    <n v="2"/>
    <n v="4"/>
    <n v="5"/>
    <n v="1"/>
    <n v="3"/>
    <s v="Y"/>
    <m/>
    <x v="3"/>
  </r>
  <r>
    <d v="2019-10-22T00:00:00"/>
    <d v="1899-12-30T01:05:00"/>
    <m/>
    <s v="P"/>
    <n v="2"/>
    <s v="Road Vehicle"/>
    <n v="4"/>
    <x v="3"/>
    <x v="0"/>
    <n v="2"/>
    <x v="1"/>
    <s v="Muhokya"/>
    <s v="Kasese"/>
    <s v="UGA"/>
    <n v="1"/>
    <s v="Home"/>
    <s v="Bundibugyo"/>
    <s v="Bundibugyo"/>
    <s v="UGA"/>
    <n v="4"/>
    <s v="Commercial"/>
    <x v="0"/>
    <n v="9000"/>
    <n v="58"/>
    <x v="5"/>
    <n v="2"/>
    <x v="0"/>
    <n v="6"/>
    <s v="Businessman"/>
    <n v="1"/>
    <x v="2"/>
    <n v="2"/>
    <n v="1"/>
    <n v="3"/>
    <n v="4"/>
    <n v="5"/>
    <s v="Y"/>
    <m/>
    <x v="3"/>
  </r>
  <r>
    <d v="2019-10-22T00:00:00"/>
    <d v="1899-12-30T12:59:00"/>
    <m/>
    <s v="P"/>
    <n v="2"/>
    <s v="Road Vehicle"/>
    <n v="4"/>
    <x v="3"/>
    <x v="0"/>
    <n v="2"/>
    <x v="1"/>
    <s v="Kiryandongo"/>
    <s v="kiryandongo"/>
    <s v="UGA"/>
    <n v="1"/>
    <s v="Home"/>
    <s v="kasese"/>
    <s v="kasese"/>
    <s v="UGA"/>
    <n v="4"/>
    <s v="Commercial"/>
    <x v="0"/>
    <n v="17000"/>
    <m/>
    <x v="0"/>
    <n v="4.5"/>
    <x v="2"/>
    <n v="3"/>
    <s v="Artisan/Domestic"/>
    <n v="1"/>
    <x v="2"/>
    <n v="1"/>
    <n v="2"/>
    <n v="3"/>
    <n v="4"/>
    <n v="5"/>
    <s v="Y"/>
    <m/>
    <x v="3"/>
  </r>
  <r>
    <d v="2019-10-22T00:00:00"/>
    <d v="1899-12-30T05:55:00"/>
    <m/>
    <s v="P"/>
    <n v="2"/>
    <s v="Road Vehicle"/>
    <n v="4"/>
    <x v="3"/>
    <x v="0"/>
    <n v="2"/>
    <x v="1"/>
    <s v="Rubona "/>
    <s v="Bunyangabo"/>
    <s v="UGA"/>
    <n v="1"/>
    <s v="Home"/>
    <s v="kazinga"/>
    <s v="kasese"/>
    <s v="UGA"/>
    <n v="2"/>
    <s v="Work"/>
    <x v="1"/>
    <n v="4000"/>
    <n v="22"/>
    <x v="4"/>
    <n v="0.16666600000000001"/>
    <x v="3"/>
    <n v="5"/>
    <s v="Professional"/>
    <n v="2"/>
    <x v="3"/>
    <n v="1"/>
    <n v="2"/>
    <n v="3"/>
    <n v="4"/>
    <n v="5"/>
    <s v="Y"/>
    <n v="1000"/>
    <x v="4"/>
  </r>
  <r>
    <d v="2019-10-23T00:00:00"/>
    <d v="1899-12-30T11:29:00"/>
    <m/>
    <s v="D"/>
    <n v="2"/>
    <s v="Road Vehicle"/>
    <n v="4"/>
    <x v="3"/>
    <x v="0"/>
    <n v="2"/>
    <x v="1"/>
    <s v="Ishaka"/>
    <s v="Kasese"/>
    <s v="UGA"/>
    <n v="2"/>
    <s v="Work"/>
    <s v="Fortportal"/>
    <s v="Fortportal"/>
    <s v="UGA"/>
    <n v="2"/>
    <s v="Work"/>
    <x v="2"/>
    <n v="30000"/>
    <n v="98"/>
    <x v="1"/>
    <n v="3.5"/>
    <x v="2"/>
    <n v="2"/>
    <s v="Manual Labour"/>
    <n v="1"/>
    <x v="2"/>
    <n v="1"/>
    <n v="2"/>
    <n v="5"/>
    <n v="4"/>
    <n v="3"/>
    <s v="Y"/>
    <n v="1000"/>
    <x v="4"/>
  </r>
  <r>
    <d v="2019-10-23T00:00:00"/>
    <d v="1899-12-30T03:39:00"/>
    <m/>
    <s v="D"/>
    <n v="2"/>
    <s v="Road Vehicle"/>
    <n v="4"/>
    <x v="3"/>
    <x v="0"/>
    <n v="2"/>
    <x v="1"/>
    <s v="muvuko"/>
    <s v="Kasese"/>
    <s v="UGA"/>
    <n v="2"/>
    <s v="Work"/>
    <s v="muhokya"/>
    <s v="kasese"/>
    <s v="UGA"/>
    <n v="2"/>
    <s v="Work"/>
    <x v="2"/>
    <n v="20000"/>
    <n v="45"/>
    <x v="5"/>
    <n v="0.66600000000000004"/>
    <x v="4"/>
    <n v="2"/>
    <s v="Manual Labour"/>
    <n v="1"/>
    <x v="2"/>
    <n v="1"/>
    <n v="2"/>
    <n v="5"/>
    <n v="3"/>
    <n v="4"/>
    <s v="Y"/>
    <n v="1000"/>
    <x v="4"/>
  </r>
  <r>
    <d v="2019-10-23T00:00:00"/>
    <d v="1899-12-30T04:15:00"/>
    <m/>
    <s v="D"/>
    <n v="2"/>
    <s v="Road Vehicle"/>
    <n v="4"/>
    <x v="3"/>
    <x v="0"/>
    <n v="2"/>
    <x v="1"/>
    <s v="Kasese taxi park"/>
    <s v="Kasese"/>
    <s v="UGA"/>
    <n v="2"/>
    <s v="Work"/>
    <s v="kyarumba"/>
    <s v="kasese"/>
    <s v="UGA"/>
    <n v="2"/>
    <s v="Work"/>
    <x v="2"/>
    <n v="20000"/>
    <n v="12"/>
    <x v="6"/>
    <n v="0.16666"/>
    <x v="3"/>
    <n v="2"/>
    <s v="Manual Labour"/>
    <n v="1"/>
    <x v="2"/>
    <n v="5"/>
    <n v="1"/>
    <n v="3"/>
    <n v="2"/>
    <n v="4"/>
    <s v="Y"/>
    <n v="1000"/>
    <x v="4"/>
  </r>
  <r>
    <d v="2019-10-23T00:00:00"/>
    <d v="1899-12-30T01:32:00"/>
    <m/>
    <s v="P"/>
    <n v="2"/>
    <s v="Road Vehicle"/>
    <n v="4"/>
    <x v="3"/>
    <x v="0"/>
    <n v="2"/>
    <x v="1"/>
    <s v="Kalambi"/>
    <s v="fortportal"/>
    <s v="UGA"/>
    <n v="6"/>
    <s v="Leisure/Social"/>
    <s v="nyaruzigati"/>
    <s v="kasese"/>
    <s v="UGA"/>
    <n v="1"/>
    <s v="Home"/>
    <x v="10"/>
    <n v="10000"/>
    <m/>
    <x v="0"/>
    <n v="3"/>
    <x v="0"/>
    <n v="1"/>
    <s v="Unemployed"/>
    <n v="1"/>
    <x v="2"/>
    <n v="2"/>
    <n v="3"/>
    <n v="4"/>
    <n v="1"/>
    <n v="5"/>
    <s v="Y"/>
    <m/>
    <x v="3"/>
  </r>
  <r>
    <d v="2019-10-23T00:00:00"/>
    <d v="1899-12-30T06:38:00"/>
    <m/>
    <s v="P"/>
    <n v="2"/>
    <s v="Road Vehicle"/>
    <n v="4"/>
    <x v="3"/>
    <x v="0"/>
    <n v="2"/>
    <x v="1"/>
    <s v="katwe subcounty"/>
    <s v="Kasese"/>
    <s v="UGA"/>
    <n v="6"/>
    <s v="Leisure/Social"/>
    <s v="rugombe"/>
    <s v="kyenjojo"/>
    <s v="UGA"/>
    <n v="1"/>
    <s v="Home"/>
    <x v="10"/>
    <n v="11000"/>
    <m/>
    <x v="0"/>
    <n v="4"/>
    <x v="2"/>
    <n v="2"/>
    <s v="Manual Labour"/>
    <n v="1"/>
    <x v="2"/>
    <n v="5"/>
    <n v="4"/>
    <n v="2"/>
    <n v="3"/>
    <n v="1"/>
    <s v="Y"/>
    <n v="200"/>
    <x v="3"/>
  </r>
  <r>
    <d v="2019-10-23T00:00:00"/>
    <d v="1899-12-30T06:00:00"/>
    <m/>
    <s v="P"/>
    <n v="2"/>
    <s v="Road Vehicle"/>
    <n v="4"/>
    <x v="3"/>
    <x v="0"/>
    <n v="2"/>
    <x v="1"/>
    <s v="Ishaka"/>
    <s v="bushenyi"/>
    <s v="UGA"/>
    <n v="2"/>
    <s v="Work"/>
    <s v="nyaruzigati"/>
    <s v="kasese"/>
    <s v="UGA"/>
    <n v="6"/>
    <s v="Leisure/Social"/>
    <x v="5"/>
    <n v="13000"/>
    <m/>
    <x v="0"/>
    <n v="3"/>
    <x v="0"/>
    <n v="6"/>
    <s v="Businessman"/>
    <n v="1"/>
    <x v="2"/>
    <n v="5"/>
    <n v="3"/>
    <n v="1"/>
    <n v="4"/>
    <n v="2"/>
    <s v="Y"/>
    <n v="50"/>
    <x v="3"/>
  </r>
  <r>
    <d v="2019-10-23T00:00:00"/>
    <d v="1899-12-30T05:28:00"/>
    <m/>
    <s v="P"/>
    <n v="2"/>
    <s v="Road Vehicle"/>
    <n v="4"/>
    <x v="3"/>
    <x v="0"/>
    <n v="2"/>
    <x v="1"/>
    <s v="ruhumuro"/>
    <s v="bushenyi"/>
    <s v="UGA"/>
    <n v="6"/>
    <s v="Leisure/Social"/>
    <s v="basecamp"/>
    <s v="kasese"/>
    <s v="UGA"/>
    <n v="1"/>
    <s v="Home"/>
    <x v="10"/>
    <n v="10000"/>
    <m/>
    <x v="0"/>
    <n v="2.5"/>
    <x v="0"/>
    <n v="2"/>
    <s v="Manual Labour"/>
    <n v="1"/>
    <x v="2"/>
    <n v="4"/>
    <n v="3"/>
    <n v="2"/>
    <n v="1"/>
    <n v="5"/>
    <s v="Y"/>
    <n v="100"/>
    <x v="3"/>
  </r>
  <r>
    <d v="2019-10-23T00:00:00"/>
    <m/>
    <m/>
    <s v="P"/>
    <n v="2"/>
    <s v="Road Vehicle"/>
    <n v="4"/>
    <x v="3"/>
    <x v="0"/>
    <n v="2"/>
    <x v="1"/>
    <s v="Base camp"/>
    <s v="Kasese"/>
    <s v="UGA"/>
    <n v="5"/>
    <s v="Tourism"/>
    <s v="Town centre"/>
    <s v="mityana"/>
    <s v="UGA"/>
    <n v="1"/>
    <s v="Home"/>
    <x v="28"/>
    <n v="20000"/>
    <m/>
    <x v="0"/>
    <n v="6"/>
    <x v="2"/>
    <n v="5"/>
    <s v="Professional"/>
    <n v="3"/>
    <x v="1"/>
    <n v="4"/>
    <n v="1"/>
    <n v="3"/>
    <n v="5"/>
    <n v="2"/>
    <s v="Y"/>
    <s v="200-500"/>
    <x v="5"/>
  </r>
  <r>
    <d v="2019-10-23T00:00:00"/>
    <d v="1899-12-30T03:09:00"/>
    <m/>
    <s v="P"/>
    <n v="2"/>
    <s v="Road Vehicle"/>
    <n v="4"/>
    <x v="3"/>
    <x v="0"/>
    <n v="2"/>
    <x v="1"/>
    <s v="Kisinga"/>
    <s v="Kasese"/>
    <s v="UGA"/>
    <n v="5"/>
    <s v="Tourism"/>
    <s v="mpondwe"/>
    <s v="kasese"/>
    <s v="UGA"/>
    <n v="1"/>
    <s v="Home"/>
    <x v="28"/>
    <n v="13000"/>
    <m/>
    <x v="0"/>
    <n v="2.5"/>
    <x v="0"/>
    <n v="5"/>
    <s v="Professional"/>
    <n v="2"/>
    <x v="3"/>
    <n v="5"/>
    <n v="1"/>
    <n v="3"/>
    <n v="4"/>
    <n v="2"/>
    <s v="Y"/>
    <n v="1000"/>
    <x v="4"/>
  </r>
  <r>
    <d v="2019-10-23T00:00:00"/>
    <d v="1899-12-30T03:36:00"/>
    <m/>
    <s v="P"/>
    <n v="2"/>
    <s v="Road Vehicle"/>
    <n v="4"/>
    <x v="3"/>
    <x v="0"/>
    <n v="2"/>
    <x v="1"/>
    <s v="Towncenter"/>
    <s v="Kasese"/>
    <s v="UGA"/>
    <n v="8"/>
    <s v="Others"/>
    <s v="kyarumba"/>
    <s v="kyarumba"/>
    <s v="UGA"/>
    <n v="1"/>
    <s v="Home"/>
    <x v="12"/>
    <n v="8000"/>
    <m/>
    <x v="0"/>
    <n v="2"/>
    <x v="0"/>
    <n v="6"/>
    <s v="Businessman"/>
    <n v="2"/>
    <x v="3"/>
    <n v="2"/>
    <n v="4"/>
    <n v="5"/>
    <n v="1"/>
    <n v="3"/>
    <s v="Y"/>
    <n v="2000"/>
    <x v="1"/>
  </r>
  <r>
    <d v="2019-10-23T00:00:00"/>
    <d v="1899-12-30T10:16:00"/>
    <m/>
    <s v="P"/>
    <n v="2"/>
    <s v="Road Vehicle"/>
    <n v="4"/>
    <x v="3"/>
    <x v="0"/>
    <n v="2"/>
    <x v="1"/>
    <s v="Bwera"/>
    <s v="Kasese"/>
    <s v="UGA"/>
    <n v="2"/>
    <s v="Work"/>
    <s v="rwenzori"/>
    <s v="kasese"/>
    <s v="UGA"/>
    <n v="1"/>
    <s v="Home"/>
    <x v="4"/>
    <n v="3000"/>
    <m/>
    <x v="0"/>
    <n v="1"/>
    <x v="1"/>
    <n v="6"/>
    <s v="Businessman"/>
    <n v="1"/>
    <x v="2"/>
    <n v="5"/>
    <n v="1"/>
    <n v="3"/>
    <n v="2"/>
    <n v="4"/>
    <s v="Y"/>
    <n v="300"/>
    <x v="3"/>
  </r>
  <r>
    <d v="2019-10-21T00:00:00"/>
    <d v="1899-12-30T01:20:00"/>
    <m/>
    <s v="P"/>
    <n v="2"/>
    <s v="Road Vehicle"/>
    <n v="4"/>
    <x v="3"/>
    <x v="0"/>
    <n v="2"/>
    <x v="1"/>
    <m/>
    <m/>
    <s v="UGA"/>
    <n v="1"/>
    <s v="Home"/>
    <m/>
    <m/>
    <s v="UGA"/>
    <n v="2"/>
    <s v="Work"/>
    <x v="1"/>
    <m/>
    <m/>
    <x v="0"/>
    <m/>
    <x v="3"/>
    <n v="3"/>
    <s v="Artisan/Domestic"/>
    <n v="2"/>
    <x v="3"/>
    <m/>
    <m/>
    <m/>
    <m/>
    <m/>
    <m/>
    <m/>
    <x v="3"/>
  </r>
  <r>
    <d v="2019-10-22T00:00:00"/>
    <d v="1899-12-30T11:40:00"/>
    <m/>
    <s v="P"/>
    <n v="2"/>
    <s v="Road Vehicle"/>
    <n v="4"/>
    <x v="3"/>
    <x v="0"/>
    <n v="2"/>
    <x v="1"/>
    <s v="Kisanyalaze"/>
    <s v="Kasese"/>
    <s v="UGA"/>
    <n v="1"/>
    <s v="Home"/>
    <s v="ishaka"/>
    <s v="kasese"/>
    <s v="UGA"/>
    <n v="4"/>
    <s v="Commercial"/>
    <x v="0"/>
    <n v="8000"/>
    <n v="95"/>
    <x v="1"/>
    <n v="2"/>
    <x v="0"/>
    <n v="6"/>
    <s v="Businessman"/>
    <n v="2"/>
    <x v="3"/>
    <n v="2"/>
    <n v="3"/>
    <n v="4"/>
    <n v="1"/>
    <n v="5"/>
    <s v="Y"/>
    <n v="1000"/>
    <x v="4"/>
  </r>
  <r>
    <d v="2019-10-23T00:00:00"/>
    <m/>
    <m/>
    <s v="D"/>
    <n v="2"/>
    <s v="Road Vehicle"/>
    <n v="2"/>
    <x v="6"/>
    <x v="1"/>
    <n v="2"/>
    <x v="1"/>
    <s v="town"/>
    <s v="Kasese"/>
    <s v="UGA"/>
    <n v="1"/>
    <s v="Home"/>
    <s v="lubona"/>
    <s v="Fortportal"/>
    <s v="UGA"/>
    <n v="6"/>
    <s v="Leisure/Social"/>
    <x v="8"/>
    <n v="80000"/>
    <n v="74"/>
    <x v="1"/>
    <n v="2"/>
    <x v="0"/>
    <n v="6"/>
    <s v="Businessman"/>
    <n v="2"/>
    <x v="3"/>
    <n v="3"/>
    <n v="1"/>
    <n v="4"/>
    <n v="2"/>
    <n v="5"/>
    <s v="Y"/>
    <s v="500-1000"/>
    <x v="5"/>
  </r>
  <r>
    <d v="2019-10-21T00:00:00"/>
    <d v="1899-12-30T11:42:00"/>
    <m/>
    <s v="D"/>
    <n v="2"/>
    <s v="Road Vehicle"/>
    <n v="2"/>
    <x v="6"/>
    <x v="0"/>
    <n v="2"/>
    <x v="1"/>
    <s v="katwe subcounty"/>
    <s v="Kasese"/>
    <s v="UGA"/>
    <n v="2"/>
    <s v="Work"/>
    <s v="Bwera"/>
    <s v="kasese"/>
    <s v="UGA"/>
    <n v="8"/>
    <s v="Others"/>
    <x v="19"/>
    <n v="60000"/>
    <n v="100"/>
    <x v="2"/>
    <n v="1.5"/>
    <x v="1"/>
    <n v="6"/>
    <s v="Businessman"/>
    <n v="3"/>
    <x v="1"/>
    <n v="1"/>
    <n v="4"/>
    <n v="2"/>
    <n v="3"/>
    <n v="5"/>
    <s v="Y"/>
    <n v="2000"/>
    <x v="1"/>
  </r>
  <r>
    <d v="2019-10-21T00:00:00"/>
    <d v="1899-12-30T11:19:00"/>
    <m/>
    <s v="P"/>
    <n v="2"/>
    <s v="Road Vehicle"/>
    <n v="2"/>
    <x v="6"/>
    <x v="0"/>
    <n v="2"/>
    <x v="1"/>
    <s v="Kaziini camp"/>
    <s v="Kasese"/>
    <s v="UGA"/>
    <n v="4"/>
    <s v="Commercial"/>
    <s v="Fortportal"/>
    <s v="Fortportal"/>
    <s v="UGA"/>
    <n v="4"/>
    <s v="Commercial"/>
    <x v="18"/>
    <n v="50000"/>
    <n v="30"/>
    <x v="4"/>
    <n v="0.33"/>
    <x v="3"/>
    <n v="5"/>
    <s v="Professional"/>
    <n v="3"/>
    <x v="1"/>
    <n v="1"/>
    <n v="5"/>
    <n v="3"/>
    <n v="2"/>
    <n v="4"/>
    <s v="Y"/>
    <n v="1000"/>
    <x v="4"/>
  </r>
  <r>
    <d v="2019-10-21T00:00:00"/>
    <d v="1899-12-30T10:50:00"/>
    <m/>
    <s v="P"/>
    <n v="2"/>
    <s v="Road Vehicle"/>
    <n v="2"/>
    <x v="6"/>
    <x v="0"/>
    <n v="2"/>
    <x v="1"/>
    <s v="Konjo"/>
    <s v="Kasese"/>
    <s v="UGA"/>
    <n v="1"/>
    <s v="Home"/>
    <s v="Fortportal"/>
    <s v="Fortportal"/>
    <s v="UGA"/>
    <n v="7"/>
    <s v="Hospital"/>
    <x v="32"/>
    <n v="50000"/>
    <n v="50"/>
    <x v="5"/>
    <n v="0.66659999999999997"/>
    <x v="4"/>
    <n v="5"/>
    <s v="Professional"/>
    <n v="3"/>
    <x v="1"/>
    <n v="1"/>
    <n v="2"/>
    <n v="5"/>
    <n v="3"/>
    <n v="4"/>
    <s v="Y"/>
    <n v="5000"/>
    <x v="2"/>
  </r>
  <r>
    <d v="2019-10-21T00:00:00"/>
    <d v="1899-12-30T10:24:00"/>
    <m/>
    <s v="P"/>
    <n v="2"/>
    <s v="Road Vehicle"/>
    <n v="2"/>
    <x v="6"/>
    <x v="0"/>
    <n v="2"/>
    <x v="1"/>
    <s v="Kibito"/>
    <s v="Bunyangabo"/>
    <s v="UGA"/>
    <n v="4"/>
    <s v="Commercial"/>
    <s v="muhokya"/>
    <s v="Rubirizi"/>
    <s v="UGA"/>
    <n v="2"/>
    <s v="Work"/>
    <x v="24"/>
    <n v="8000"/>
    <m/>
    <x v="0"/>
    <n v="1.5"/>
    <x v="1"/>
    <n v="6"/>
    <s v="Businessman"/>
    <n v="2"/>
    <x v="3"/>
    <n v="2"/>
    <n v="3"/>
    <n v="4"/>
    <n v="1"/>
    <n v="5"/>
    <s v="Y"/>
    <n v="2000"/>
    <x v="1"/>
  </r>
  <r>
    <d v="2019-10-21T00:00:00"/>
    <d v="1899-12-30T10:15:00"/>
    <m/>
    <s v="P"/>
    <n v="2"/>
    <s v="Road Vehicle"/>
    <n v="2"/>
    <x v="6"/>
    <x v="0"/>
    <n v="2"/>
    <x v="1"/>
    <s v="Rwimi"/>
    <s v="Bunyangabo"/>
    <s v="UGA"/>
    <n v="1"/>
    <s v="Home"/>
    <s v="Kazinga channel"/>
    <s v="kasese"/>
    <s v="UGA"/>
    <n v="5"/>
    <s v="Tourism"/>
    <x v="20"/>
    <n v="8000"/>
    <n v="85"/>
    <x v="1"/>
    <n v="1.5"/>
    <x v="1"/>
    <n v="10"/>
    <s v="Other"/>
    <n v="1"/>
    <x v="2"/>
    <n v="5"/>
    <n v="2"/>
    <n v="4"/>
    <n v="1"/>
    <n v="3"/>
    <s v="Y"/>
    <n v="1000"/>
    <x v="4"/>
  </r>
  <r>
    <d v="2019-10-21T00:00:00"/>
    <d v="1899-12-30T11:27:00"/>
    <m/>
    <s v="P"/>
    <n v="2"/>
    <s v="Road Vehicle"/>
    <n v="2"/>
    <x v="6"/>
    <x v="0"/>
    <n v="2"/>
    <x v="1"/>
    <s v="Kisanyalaze"/>
    <s v="Kasese"/>
    <s v="UGA"/>
    <n v="1"/>
    <s v="Home"/>
    <s v="Kazinga channel"/>
    <s v="kasese"/>
    <s v="UGA"/>
    <n v="6"/>
    <s v="Leisure/Social"/>
    <x v="8"/>
    <n v="20000"/>
    <n v="50"/>
    <x v="5"/>
    <n v="0.25"/>
    <x v="3"/>
    <n v="5"/>
    <s v="Professional"/>
    <n v="2"/>
    <x v="3"/>
    <n v="3"/>
    <n v="2"/>
    <n v="4"/>
    <n v="1"/>
    <n v="5"/>
    <s v="Y"/>
    <m/>
    <x v="3"/>
  </r>
  <r>
    <d v="2019-10-22T00:00:00"/>
    <d v="1899-12-30T10:23:00"/>
    <m/>
    <s v="P"/>
    <n v="2"/>
    <s v="Road Vehicle"/>
    <n v="2"/>
    <x v="6"/>
    <x v="0"/>
    <n v="2"/>
    <x v="1"/>
    <s v="Kazinga channel"/>
    <s v="Kasese"/>
    <s v="UGA"/>
    <n v="1"/>
    <s v="Home"/>
    <s v="Kazinga channel"/>
    <s v="kasese"/>
    <s v="UGA"/>
    <n v="2"/>
    <s v="Work"/>
    <x v="1"/>
    <n v="1000"/>
    <n v="28"/>
    <x v="4"/>
    <n v="0.1666"/>
    <x v="3"/>
    <n v="7"/>
    <s v="Farmer"/>
    <n v="3"/>
    <x v="1"/>
    <n v="4"/>
    <n v="5"/>
    <n v="1"/>
    <n v="2"/>
    <n v="3"/>
    <s v="Y"/>
    <m/>
    <x v="3"/>
  </r>
  <r>
    <d v="2019-10-22T00:00:00"/>
    <d v="1899-12-30T04:35:00"/>
    <m/>
    <m/>
    <n v="1"/>
    <s v="Walking/Cycling"/>
    <n v="13"/>
    <x v="5"/>
    <x v="0"/>
    <n v="3"/>
    <x v="2"/>
    <s v="muvuko"/>
    <s v="Kasese"/>
    <s v="UGA"/>
    <n v="2"/>
    <s v="Work"/>
    <s v="kibito"/>
    <s v="Bunyangabo"/>
    <s v="UGA"/>
    <n v="1"/>
    <s v="Home"/>
    <x v="4"/>
    <n v="3000"/>
    <n v="20"/>
    <x v="4"/>
    <n v="0.75"/>
    <x v="4"/>
    <n v="3"/>
    <s v="Artisan/Domestic"/>
    <n v="1"/>
    <x v="2"/>
    <n v="1"/>
    <n v="2"/>
    <n v="5"/>
    <n v="3"/>
    <n v="4"/>
    <s v="Y"/>
    <m/>
    <x v="3"/>
  </r>
  <r>
    <d v="2019-10-22T00:00:00"/>
    <d v="1899-12-30T04:28:00"/>
    <m/>
    <m/>
    <n v="1"/>
    <s v="Walking/Cycling"/>
    <n v="13"/>
    <x v="5"/>
    <x v="0"/>
    <n v="3"/>
    <x v="2"/>
    <s v="Kidoodo"/>
    <s v="Kasese"/>
    <s v="UGA"/>
    <n v="1"/>
    <s v="Home"/>
    <s v="kasese"/>
    <s v="kasese"/>
    <s v="UGA"/>
    <n v="6"/>
    <s v="Leisure/Social"/>
    <x v="8"/>
    <n v="1000"/>
    <m/>
    <x v="0"/>
    <n v="0.1"/>
    <x v="3"/>
    <n v="7"/>
    <s v="Farmer"/>
    <n v="2"/>
    <x v="3"/>
    <n v="3"/>
    <n v="1"/>
    <n v="4"/>
    <n v="2"/>
    <n v="5"/>
    <s v="Y"/>
    <n v="1000"/>
    <x v="4"/>
  </r>
  <r>
    <d v="2019-10-22T00:00:00"/>
    <d v="1899-12-30T02:58:00"/>
    <m/>
    <s v="D"/>
    <n v="1"/>
    <s v="Walking/Cycling"/>
    <n v="13"/>
    <x v="5"/>
    <x v="0"/>
    <n v="3"/>
    <x v="2"/>
    <s v="Hima"/>
    <s v="Kasese"/>
    <s v="UGA"/>
    <n v="2"/>
    <s v="Work"/>
    <s v="Towncentre"/>
    <s v="kasese"/>
    <s v="UGA"/>
    <n v="1"/>
    <s v="Home"/>
    <x v="4"/>
    <n v="10000"/>
    <n v="15"/>
    <x v="6"/>
    <n v="0.33329999999999999"/>
    <x v="3"/>
    <n v="2"/>
    <s v="Manual Labour"/>
    <n v="1"/>
    <x v="2"/>
    <n v="1"/>
    <n v="4"/>
    <n v="3"/>
    <n v="2"/>
    <n v="5"/>
    <s v="Y"/>
    <n v="1000"/>
    <x v="4"/>
  </r>
  <r>
    <d v="2019-10-23T00:00:00"/>
    <d v="1899-12-30T06:29:00"/>
    <m/>
    <s v="P"/>
    <n v="2"/>
    <s v="Road Vehicle"/>
    <n v="1"/>
    <x v="0"/>
    <x v="1"/>
    <n v="3"/>
    <x v="2"/>
    <s v="Bunga"/>
    <s v="KAMPALA"/>
    <s v="UGA"/>
    <n v="1"/>
    <s v="Home"/>
    <s v="kiganda"/>
    <s v="kasese"/>
    <s v="UGA"/>
    <n v="6"/>
    <s v="Leisure/Social"/>
    <x v="8"/>
    <n v="40000"/>
    <m/>
    <x v="0"/>
    <n v="10"/>
    <x v="2"/>
    <n v="5"/>
    <s v="Professional"/>
    <n v="2"/>
    <x v="3"/>
    <n v="3"/>
    <n v="2"/>
    <n v="4"/>
    <n v="1"/>
    <n v="5"/>
    <s v="Y"/>
    <m/>
    <x v="3"/>
  </r>
  <r>
    <d v="2019-10-21T00:00:00"/>
    <d v="1899-12-30T11:09:00"/>
    <m/>
    <s v="D"/>
    <n v="2"/>
    <s v="Road Vehicle"/>
    <n v="1"/>
    <x v="0"/>
    <x v="0"/>
    <n v="3"/>
    <x v="2"/>
    <s v="Bwera"/>
    <s v="Kasese"/>
    <s v="UGA"/>
    <n v="2"/>
    <s v="Work"/>
    <s v="Towncentre"/>
    <s v="Bundibujjo"/>
    <s v="UGA"/>
    <n v="2"/>
    <s v="Work"/>
    <x v="2"/>
    <n v="800000"/>
    <n v="200"/>
    <x v="3"/>
    <n v="5"/>
    <x v="2"/>
    <n v="10"/>
    <s v="Other"/>
    <n v="1"/>
    <x v="2"/>
    <n v="3"/>
    <n v="2"/>
    <n v="4"/>
    <n v="1"/>
    <n v="5"/>
    <s v="Y"/>
    <n v="500"/>
    <x v="3"/>
  </r>
  <r>
    <d v="2019-10-23T00:00:00"/>
    <d v="1899-12-30T06:15:00"/>
    <m/>
    <s v="D"/>
    <n v="2"/>
    <s v="Road Vehicle"/>
    <n v="1"/>
    <x v="0"/>
    <x v="0"/>
    <n v="3"/>
    <x v="2"/>
    <s v="Taxi Park"/>
    <s v="Kasese"/>
    <s v="UGA"/>
    <n v="2"/>
    <s v="Work"/>
    <s v="Towncentre"/>
    <s v="Bundibujjo"/>
    <s v="UGA"/>
    <n v="2"/>
    <s v="Work"/>
    <x v="2"/>
    <m/>
    <n v="160"/>
    <x v="2"/>
    <n v="4"/>
    <x v="2"/>
    <n v="10"/>
    <s v="Other"/>
    <n v="1"/>
    <x v="2"/>
    <n v="4"/>
    <n v="2"/>
    <n v="3"/>
    <n v="4"/>
    <n v="5"/>
    <s v="Y"/>
    <s v="100-500"/>
    <x v="5"/>
  </r>
  <r>
    <d v="2019-10-23T00:00:00"/>
    <m/>
    <m/>
    <s v="P"/>
    <n v="2"/>
    <s v="Road Vehicle"/>
    <n v="1"/>
    <x v="0"/>
    <x v="0"/>
    <n v="3"/>
    <x v="2"/>
    <s v="Taxi Park"/>
    <s v="Kasese"/>
    <s v="UGA"/>
    <n v="2"/>
    <s v="Work"/>
    <s v="Rusharisa"/>
    <s v="mubende"/>
    <s v="UGA"/>
    <n v="1"/>
    <s v="Home"/>
    <x v="4"/>
    <n v="13000"/>
    <m/>
    <x v="0"/>
    <n v="3.5"/>
    <x v="2"/>
    <n v="6"/>
    <s v="Businessman"/>
    <n v="3"/>
    <x v="1"/>
    <n v="4"/>
    <n v="1"/>
    <n v="3"/>
    <n v="2"/>
    <n v="5"/>
    <s v="Y"/>
    <n v="1500"/>
    <x v="4"/>
  </r>
  <r>
    <d v="2019-10-23T00:00:00"/>
    <d v="1899-12-30T09:36:00"/>
    <m/>
    <s v="D"/>
    <n v="2"/>
    <s v="Road Vehicle"/>
    <n v="1"/>
    <x v="0"/>
    <x v="0"/>
    <n v="3"/>
    <x v="2"/>
    <s v="Kilembe"/>
    <s v="Kasese"/>
    <s v="UGA"/>
    <n v="2"/>
    <s v="Work"/>
    <s v="nabingola"/>
    <s v="mubende"/>
    <s v="UGA"/>
    <n v="1"/>
    <s v="Home"/>
    <x v="4"/>
    <n v="98000"/>
    <m/>
    <x v="0"/>
    <n v="4"/>
    <x v="2"/>
    <n v="5"/>
    <s v="Professional"/>
    <n v="4"/>
    <x v="0"/>
    <n v="2"/>
    <n v="5"/>
    <n v="4"/>
    <n v="1"/>
    <n v="3"/>
    <s v="Y"/>
    <n v="5000"/>
    <x v="2"/>
  </r>
  <r>
    <d v="2019-10-23T00:00:00"/>
    <d v="1899-12-30T04:49:00"/>
    <m/>
    <s v="P"/>
    <n v="2"/>
    <s v="Road Vehicle"/>
    <n v="6"/>
    <x v="1"/>
    <x v="1"/>
    <n v="3"/>
    <x v="2"/>
    <s v="Town centre"/>
    <s v="Kasese"/>
    <s v="UGA"/>
    <n v="8"/>
    <s v="Others"/>
    <s v="matiri"/>
    <s v="Kyegegwa"/>
    <s v="UGA"/>
    <n v="1"/>
    <s v="Home"/>
    <x v="12"/>
    <n v="11000"/>
    <m/>
    <x v="0"/>
    <n v="4"/>
    <x v="2"/>
    <n v="1"/>
    <s v="Unemployed"/>
    <n v="1"/>
    <x v="2"/>
    <n v="2"/>
    <n v="3"/>
    <n v="4"/>
    <n v="1"/>
    <n v="5"/>
    <s v="Y"/>
    <n v="1000"/>
    <x v="4"/>
  </r>
  <r>
    <d v="2019-10-21T00:00:00"/>
    <d v="1899-12-30T11:06:00"/>
    <m/>
    <s v="P"/>
    <n v="2"/>
    <s v="Road Vehicle"/>
    <n v="6"/>
    <x v="1"/>
    <x v="0"/>
    <n v="3"/>
    <x v="2"/>
    <s v="Rwenzori int"/>
    <s v="Kasese"/>
    <s v="UGA"/>
    <n v="6"/>
    <s v="Leisure/Social"/>
    <s v="Bombo Rd"/>
    <s v="Kampala"/>
    <s v="UGA"/>
    <n v="1"/>
    <s v="Home"/>
    <x v="10"/>
    <s v="28-30,000"/>
    <m/>
    <x v="0"/>
    <n v="7"/>
    <x v="2"/>
    <n v="6"/>
    <s v="Businessman"/>
    <n v="3"/>
    <x v="1"/>
    <n v="2"/>
    <n v="1"/>
    <n v="4"/>
    <n v="5"/>
    <n v="3"/>
    <s v="Y"/>
    <n v="2000"/>
    <x v="1"/>
  </r>
  <r>
    <d v="2019-10-21T00:00:00"/>
    <d v="1899-12-30T01:26:00"/>
    <m/>
    <s v="P"/>
    <n v="2"/>
    <s v="Road Vehicle"/>
    <n v="6"/>
    <x v="1"/>
    <x v="0"/>
    <n v="3"/>
    <x v="2"/>
    <s v="Mpondwe"/>
    <s v="Kasese"/>
    <s v="UGA"/>
    <n v="6"/>
    <s v="Leisure/Social"/>
    <s v="Muyenga"/>
    <s v="Kampala"/>
    <s v="UGA"/>
    <n v="1"/>
    <s v="Home"/>
    <x v="10"/>
    <n v="35000"/>
    <m/>
    <x v="0"/>
    <n v="10"/>
    <x v="2"/>
    <n v="6"/>
    <s v="Businessman"/>
    <n v="2"/>
    <x v="3"/>
    <n v="5"/>
    <n v="2"/>
    <n v="4"/>
    <n v="1"/>
    <n v="3"/>
    <s v="Y"/>
    <m/>
    <x v="3"/>
  </r>
  <r>
    <d v="2019-10-21T00:00:00"/>
    <d v="1899-12-30T01:46:00"/>
    <m/>
    <s v="D"/>
    <n v="2"/>
    <s v="Road Vehicle"/>
    <n v="6"/>
    <x v="1"/>
    <x v="0"/>
    <n v="3"/>
    <x v="2"/>
    <s v="Bwera"/>
    <s v="Kasese"/>
    <s v="UGA"/>
    <n v="2"/>
    <s v="Work"/>
    <s v="Towncentre"/>
    <s v="kampala"/>
    <s v="UGA"/>
    <n v="2"/>
    <s v="Work"/>
    <x v="2"/>
    <n v="900000"/>
    <n v="430"/>
    <x v="3"/>
    <n v="8.5"/>
    <x v="2"/>
    <n v="10"/>
    <s v="Other"/>
    <n v="4"/>
    <x v="0"/>
    <n v="2"/>
    <n v="3"/>
    <n v="4"/>
    <m/>
    <n v="5"/>
    <s v="Y"/>
    <n v="4000"/>
    <x v="0"/>
  </r>
  <r>
    <d v="2019-10-22T00:00:00"/>
    <d v="1899-12-30T12:08:00"/>
    <m/>
    <s v="P"/>
    <n v="2"/>
    <s v="Road Vehicle"/>
    <n v="6"/>
    <x v="1"/>
    <x v="0"/>
    <n v="3"/>
    <x v="2"/>
    <s v="Mpondwe"/>
    <s v="Kasese"/>
    <s v="UGA"/>
    <n v="1"/>
    <s v="Home"/>
    <s v="Kabojja"/>
    <s v="kampala"/>
    <s v="UGA"/>
    <n v="4"/>
    <s v="Commercial"/>
    <x v="0"/>
    <n v="30000"/>
    <n v="436"/>
    <x v="3"/>
    <n v="8.5"/>
    <x v="2"/>
    <n v="5"/>
    <s v="Professional"/>
    <n v="2"/>
    <x v="3"/>
    <n v="1"/>
    <n v="2"/>
    <n v="3"/>
    <n v="4"/>
    <n v="5"/>
    <s v="Y"/>
    <n v="2000"/>
    <x v="1"/>
  </r>
  <r>
    <d v="2019-10-23T00:00:00"/>
    <d v="1899-12-30T04:00:00"/>
    <m/>
    <s v="P"/>
    <n v="2"/>
    <s v="Road Vehicle"/>
    <n v="6"/>
    <x v="1"/>
    <x v="0"/>
    <n v="3"/>
    <x v="2"/>
    <s v="Bwera"/>
    <s v="Kasese"/>
    <s v="UGA"/>
    <n v="2"/>
    <s v="Work"/>
    <s v="towncity"/>
    <s v="kampala"/>
    <s v="UGA"/>
    <n v="2"/>
    <s v="Work"/>
    <x v="2"/>
    <n v="1000000"/>
    <n v="450"/>
    <x v="3"/>
    <m/>
    <x v="3"/>
    <n v="8"/>
    <s v="Student"/>
    <n v="4"/>
    <x v="0"/>
    <n v="1"/>
    <n v="4"/>
    <n v="3"/>
    <n v="2"/>
    <n v="5"/>
    <s v="Y"/>
    <n v="2000"/>
    <x v="1"/>
  </r>
  <r>
    <d v="2019-10-23T00:00:00"/>
    <d v="1899-12-30T08:26:00"/>
    <m/>
    <s v="P"/>
    <n v="2"/>
    <s v="Road Vehicle"/>
    <n v="6"/>
    <x v="1"/>
    <x v="0"/>
    <n v="3"/>
    <x v="2"/>
    <s v="Towncenter"/>
    <s v="Kasese"/>
    <s v="UGA"/>
    <n v="6"/>
    <s v="Leisure/Social"/>
    <s v="kiwatule"/>
    <s v="kampala"/>
    <s v="UGA"/>
    <n v="1"/>
    <s v="Home"/>
    <x v="10"/>
    <n v="30000"/>
    <m/>
    <x v="0"/>
    <n v="9"/>
    <x v="2"/>
    <n v="5"/>
    <s v="Professional"/>
    <n v="4"/>
    <x v="0"/>
    <n v="2"/>
    <n v="5"/>
    <n v="3"/>
    <n v="1"/>
    <n v="4"/>
    <s v="Y"/>
    <m/>
    <x v="3"/>
  </r>
  <r>
    <d v="2019-10-21T00:00:00"/>
    <d v="1899-12-30T12:43:00"/>
    <m/>
    <s v="P"/>
    <n v="2"/>
    <s v="Road Vehicle"/>
    <n v="4"/>
    <x v="3"/>
    <x v="1"/>
    <n v="3"/>
    <x v="2"/>
    <s v="Igara tea"/>
    <s v="Rubirizi"/>
    <s v="UGA"/>
    <n v="2"/>
    <s v="Work"/>
    <s v="kasese"/>
    <s v="kasese"/>
    <s v="UGA"/>
    <n v="1"/>
    <s v="Home"/>
    <x v="4"/>
    <n v="5000"/>
    <n v="42"/>
    <x v="5"/>
    <n v="0.1"/>
    <x v="3"/>
    <n v="2"/>
    <s v="Manual Labour"/>
    <n v="1"/>
    <x v="2"/>
    <n v="1"/>
    <n v="2"/>
    <n v="3"/>
    <n v="4"/>
    <n v="5"/>
    <s v="Y"/>
    <m/>
    <x v="3"/>
  </r>
  <r>
    <d v="2019-10-21T00:00:00"/>
    <d v="1899-12-30T10:08:00"/>
    <m/>
    <s v="P"/>
    <n v="2"/>
    <s v="Road Vehicle"/>
    <n v="4"/>
    <x v="3"/>
    <x v="0"/>
    <n v="3"/>
    <x v="2"/>
    <s v="Bunyangabo"/>
    <s v="Bunyangabo"/>
    <s v="UGA"/>
    <n v="1"/>
    <s v="Home"/>
    <s v="Bwera"/>
    <s v="kasese"/>
    <s v="UGA"/>
    <n v="4"/>
    <s v="Commercial"/>
    <x v="0"/>
    <n v="10000"/>
    <n v="101"/>
    <x v="2"/>
    <n v="2"/>
    <x v="0"/>
    <n v="6"/>
    <s v="Businessman"/>
    <n v="4"/>
    <x v="0"/>
    <n v="1"/>
    <n v="2"/>
    <n v="4"/>
    <n v="3"/>
    <n v="5"/>
    <s v="Y"/>
    <n v="2000"/>
    <x v="1"/>
  </r>
  <r>
    <d v="2019-10-22T00:00:00"/>
    <d v="1899-12-30T09:49:00"/>
    <m/>
    <s v="P"/>
    <n v="2"/>
    <s v="Road Vehicle"/>
    <n v="4"/>
    <x v="3"/>
    <x v="0"/>
    <n v="3"/>
    <x v="2"/>
    <s v="Kasese"/>
    <s v="Kasese"/>
    <s v="UGA"/>
    <n v="2"/>
    <s v="Work"/>
    <s v="Fortportal"/>
    <s v="Fortportal"/>
    <s v="UGA"/>
    <n v="4"/>
    <s v="Commercial"/>
    <x v="17"/>
    <n v="5000"/>
    <n v="30"/>
    <x v="4"/>
    <n v="0.57999999999999996"/>
    <x v="4"/>
    <n v="6"/>
    <s v="Businessman"/>
    <n v="2"/>
    <x v="3"/>
    <n v="3"/>
    <n v="4"/>
    <n v="2"/>
    <n v="1"/>
    <n v="5"/>
    <s v="Y"/>
    <n v="2000"/>
    <x v="1"/>
  </r>
  <r>
    <d v="2019-10-22T00:00:00"/>
    <d v="1899-12-30T10:15:00"/>
    <m/>
    <s v="P"/>
    <n v="2"/>
    <s v="Road Vehicle"/>
    <n v="4"/>
    <x v="3"/>
    <x v="0"/>
    <n v="3"/>
    <x v="2"/>
    <s v="Kasitomu"/>
    <s v="Kasese"/>
    <s v="UGA"/>
    <n v="1"/>
    <s v="Home"/>
    <s v="Rwimi"/>
    <s v="Bunyangabo"/>
    <s v="UGA"/>
    <n v="4"/>
    <s v="Commercial"/>
    <x v="0"/>
    <n v="8000"/>
    <n v="56"/>
    <x v="5"/>
    <n v="2"/>
    <x v="0"/>
    <n v="7"/>
    <s v="Farmer"/>
    <n v="1"/>
    <x v="2"/>
    <n v="1"/>
    <n v="2"/>
    <n v="5"/>
    <n v="3"/>
    <n v="4"/>
    <s v="Y"/>
    <m/>
    <x v="3"/>
  </r>
  <r>
    <d v="2019-10-22T00:00:00"/>
    <d v="1899-12-30T10:37:00"/>
    <m/>
    <s v="P"/>
    <n v="2"/>
    <s v="Road Vehicle"/>
    <n v="4"/>
    <x v="3"/>
    <x v="0"/>
    <n v="3"/>
    <x v="2"/>
    <s v="Bwera"/>
    <s v="Kasese"/>
    <s v="UGA"/>
    <n v="1"/>
    <s v="Home"/>
    <s v="Kyegegwa"/>
    <s v="Kyegegwa"/>
    <s v="UGA"/>
    <n v="4"/>
    <s v="Commercial"/>
    <x v="0"/>
    <n v="15000"/>
    <n v="189"/>
    <x v="2"/>
    <n v="3"/>
    <x v="0"/>
    <n v="5"/>
    <s v="Professional"/>
    <n v="2"/>
    <x v="3"/>
    <n v="2"/>
    <n v="1"/>
    <n v="4"/>
    <n v="3"/>
    <n v="5"/>
    <s v="Y"/>
    <n v="2000"/>
    <x v="1"/>
  </r>
  <r>
    <d v="2019-10-23T00:00:00"/>
    <m/>
    <m/>
    <s v="D"/>
    <n v="2"/>
    <s v="Road Vehicle"/>
    <n v="4"/>
    <x v="3"/>
    <x v="0"/>
    <n v="3"/>
    <x v="2"/>
    <s v="Taxi Park"/>
    <s v="Kasese"/>
    <s v="UGA"/>
    <n v="2"/>
    <s v="Work"/>
    <s v="Towncentre"/>
    <s v="Mbarara"/>
    <s v="UGA"/>
    <n v="2"/>
    <s v="Work"/>
    <x v="2"/>
    <n v="100000"/>
    <n v="120"/>
    <x v="2"/>
    <n v="3"/>
    <x v="0"/>
    <n v="10"/>
    <s v="Other"/>
    <n v="1"/>
    <x v="2"/>
    <n v="5"/>
    <n v="2"/>
    <n v="1"/>
    <n v="4"/>
    <n v="3"/>
    <s v="Y"/>
    <n v="2000"/>
    <x v="1"/>
  </r>
  <r>
    <d v="2019-10-23T00:00:00"/>
    <d v="1899-12-30T06:22:00"/>
    <m/>
    <s v="P"/>
    <n v="2"/>
    <s v="Road Vehicle"/>
    <n v="4"/>
    <x v="3"/>
    <x v="0"/>
    <n v="3"/>
    <x v="2"/>
    <s v="kisinga"/>
    <s v="Kasese"/>
    <s v="UGA"/>
    <n v="1"/>
    <s v="Home"/>
    <s v="kyarumba"/>
    <s v="kasese"/>
    <s v="UGA"/>
    <n v="6"/>
    <s v="Leisure/Social"/>
    <x v="8"/>
    <n v="12000"/>
    <m/>
    <x v="0"/>
    <n v="2"/>
    <x v="0"/>
    <n v="6"/>
    <s v="Businessman"/>
    <n v="1"/>
    <x v="2"/>
    <n v="2"/>
    <n v="5"/>
    <n v="4"/>
    <n v="1"/>
    <n v="5"/>
    <s v="Y"/>
    <n v="1000"/>
    <x v="4"/>
  </r>
  <r>
    <d v="2019-10-23T00:00:00"/>
    <d v="1899-12-30T10:42:00"/>
    <m/>
    <s v="P"/>
    <n v="2"/>
    <s v="Road Vehicle"/>
    <n v="4"/>
    <x v="3"/>
    <x v="0"/>
    <n v="3"/>
    <x v="2"/>
    <s v="Ishaka"/>
    <s v="bushenyi"/>
    <s v="UGA"/>
    <n v="6"/>
    <s v="Leisure/Social"/>
    <s v="kiburora"/>
    <s v="kasese"/>
    <s v="UGA"/>
    <n v="1"/>
    <s v="Home"/>
    <x v="10"/>
    <n v="13000"/>
    <m/>
    <x v="0"/>
    <n v="3"/>
    <x v="0"/>
    <n v="2"/>
    <s v="Manual Labour"/>
    <n v="1"/>
    <x v="2"/>
    <n v="3"/>
    <n v="2"/>
    <n v="4"/>
    <n v="1"/>
    <n v="5"/>
    <s v="Y"/>
    <m/>
    <x v="3"/>
  </r>
  <r>
    <d v="2019-10-23T00:00:00"/>
    <d v="1899-12-30T07:41:00"/>
    <m/>
    <s v="P"/>
    <n v="2"/>
    <s v="Road Vehicle"/>
    <n v="4"/>
    <x v="3"/>
    <x v="0"/>
    <n v="3"/>
    <x v="2"/>
    <s v="Taxi Park"/>
    <s v="Kasese"/>
    <s v="UGA"/>
    <n v="2"/>
    <s v="Work"/>
    <s v="ishaka"/>
    <s v="bushenyi"/>
    <s v="UGA"/>
    <n v="2"/>
    <s v="Work"/>
    <x v="2"/>
    <n v="50000"/>
    <n v="90"/>
    <x v="1"/>
    <n v="2"/>
    <x v="0"/>
    <n v="10"/>
    <s v="Other"/>
    <n v="1"/>
    <x v="2"/>
    <n v="2"/>
    <n v="1"/>
    <n v="5"/>
    <n v="4"/>
    <n v="3"/>
    <s v="Y"/>
    <m/>
    <x v="3"/>
  </r>
  <r>
    <d v="2019-10-21T00:00:00"/>
    <d v="1899-12-30T10:42:00"/>
    <m/>
    <s v="D"/>
    <n v="2"/>
    <s v="Road Vehicle"/>
    <n v="2"/>
    <x v="6"/>
    <x v="0"/>
    <n v="3"/>
    <x v="2"/>
    <s v="Town centre"/>
    <s v="Kabarole"/>
    <s v="UGA"/>
    <n v="2"/>
    <s v="Work"/>
    <s v="Towncentre"/>
    <s v="Kyenjojo"/>
    <s v="UGA"/>
    <n v="2"/>
    <s v="Work"/>
    <x v="2"/>
    <n v="100000"/>
    <n v="150"/>
    <x v="2"/>
    <n v="3"/>
    <x v="0"/>
    <n v="10"/>
    <s v="Other"/>
    <n v="2"/>
    <x v="3"/>
    <n v="2"/>
    <n v="3"/>
    <n v="1"/>
    <n v="5"/>
    <n v="4"/>
    <s v="Y"/>
    <m/>
    <x v="3"/>
  </r>
  <r>
    <d v="2019-10-21T00:00:00"/>
    <d v="1899-12-30T10:42:00"/>
    <m/>
    <s v="P"/>
    <n v="2"/>
    <s v="Road Vehicle"/>
    <n v="2"/>
    <x v="6"/>
    <x v="0"/>
    <n v="3"/>
    <x v="2"/>
    <s v="Rwimi"/>
    <s v="Bunyangabo"/>
    <s v="UGA"/>
    <n v="1"/>
    <s v="Home"/>
    <s v="Kazinga channel"/>
    <s v="kasese"/>
    <s v="UGA"/>
    <n v="2"/>
    <s v="Work"/>
    <x v="1"/>
    <n v="5000"/>
    <n v="50"/>
    <x v="5"/>
    <n v="0.83330000000000004"/>
    <x v="4"/>
    <n v="6"/>
    <s v="Businessman"/>
    <n v="1"/>
    <x v="2"/>
    <n v="1"/>
    <n v="3"/>
    <n v="4"/>
    <n v="2"/>
    <n v="5"/>
    <s v="Y"/>
    <n v="2000"/>
    <x v="1"/>
  </r>
  <r>
    <d v="2019-10-22T00:00:00"/>
    <d v="1899-12-30T03:48:00"/>
    <m/>
    <s v="D"/>
    <n v="2"/>
    <s v="Road Vehicle"/>
    <n v="2"/>
    <x v="6"/>
    <x v="0"/>
    <n v="3"/>
    <x v="2"/>
    <s v="Kaziini camp"/>
    <s v="Kasese"/>
    <s v="UGA"/>
    <n v="1"/>
    <s v="Home"/>
    <s v="kazinga"/>
    <s v="kasese"/>
    <s v="UGA"/>
    <n v="5"/>
    <s v="Tourism"/>
    <x v="20"/>
    <n v="30000"/>
    <n v="12"/>
    <x v="6"/>
    <n v="0.33329999999999999"/>
    <x v="3"/>
    <n v="5"/>
    <s v="Professional"/>
    <n v="3"/>
    <x v="1"/>
    <n v="2"/>
    <n v="1"/>
    <n v="4"/>
    <n v="3"/>
    <n v="5"/>
    <s v="Y"/>
    <n v="2000"/>
    <x v="1"/>
  </r>
  <r>
    <d v="2019-10-23T00:00:00"/>
    <m/>
    <m/>
    <s v="P"/>
    <n v="2"/>
    <s v="Road Vehicle"/>
    <n v="1"/>
    <x v="0"/>
    <x v="0"/>
    <n v="4"/>
    <x v="3"/>
    <s v="bwera"/>
    <s v="Kasese"/>
    <s v="UGA"/>
    <n v="2"/>
    <s v="Work"/>
    <s v="excel"/>
    <s v="rwimi"/>
    <s v="UGA"/>
    <n v="2"/>
    <s v="Work"/>
    <x v="2"/>
    <n v="5000"/>
    <m/>
    <x v="0"/>
    <n v="1.5"/>
    <x v="1"/>
    <n v="7"/>
    <s v="Farmer"/>
    <n v="2"/>
    <x v="3"/>
    <n v="2"/>
    <n v="1"/>
    <n v="4"/>
    <n v="5"/>
    <n v="3"/>
    <s v="Y"/>
    <n v="3000"/>
    <x v="0"/>
  </r>
  <r>
    <d v="2019-10-22T00:00:00"/>
    <d v="1899-12-30T11:18:00"/>
    <m/>
    <s v="P"/>
    <n v="2"/>
    <s v="Road Vehicle"/>
    <n v="6"/>
    <x v="1"/>
    <x v="0"/>
    <n v="4"/>
    <x v="3"/>
    <s v="Kidoodo"/>
    <s v="Kasese"/>
    <s v="UGA"/>
    <n v="1"/>
    <s v="Home"/>
    <s v="Namabale"/>
    <s v="wakiso"/>
    <s v="UGA"/>
    <n v="6"/>
    <s v="Leisure/Social"/>
    <x v="8"/>
    <n v="20000"/>
    <m/>
    <x v="0"/>
    <n v="7"/>
    <x v="2"/>
    <n v="9"/>
    <s v="Retired"/>
    <n v="3"/>
    <x v="1"/>
    <n v="1"/>
    <n v="5"/>
    <n v="2"/>
    <n v="3"/>
    <n v="4"/>
    <s v="Y"/>
    <n v="2000"/>
    <x v="1"/>
  </r>
  <r>
    <d v="2019-10-23T00:00:00"/>
    <d v="1899-12-30T10:09:00"/>
    <m/>
    <s v="P"/>
    <n v="2"/>
    <s v="Road Vehicle"/>
    <n v="6"/>
    <x v="1"/>
    <x v="0"/>
    <n v="4"/>
    <x v="3"/>
    <s v="Bwera"/>
    <s v="Kasese"/>
    <s v="UGA"/>
    <n v="6"/>
    <s v="Leisure/Social"/>
    <s v="kyatega"/>
    <s v="Kyegegwa"/>
    <s v="UGA"/>
    <n v="1"/>
    <s v="Home"/>
    <x v="10"/>
    <n v="12000"/>
    <m/>
    <x v="0"/>
    <n v="4"/>
    <x v="2"/>
    <n v="4"/>
    <s v="Office Worker"/>
    <n v="3"/>
    <x v="1"/>
    <n v="3"/>
    <n v="4"/>
    <n v="1"/>
    <n v="2"/>
    <n v="5"/>
    <s v="Y"/>
    <n v="1500"/>
    <x v="4"/>
  </r>
  <r>
    <d v="2019-10-23T00:00:00"/>
    <d v="1899-12-30T07:02:00"/>
    <m/>
    <s v="D"/>
    <n v="2"/>
    <s v="Road Vehicle"/>
    <n v="6"/>
    <x v="1"/>
    <x v="0"/>
    <n v="4"/>
    <x v="3"/>
    <s v="buspark"/>
    <s v="Kasese"/>
    <s v="UGA"/>
    <n v="2"/>
    <s v="Work"/>
    <s v="buspark"/>
    <s v="kampala"/>
    <s v="UGA"/>
    <n v="2"/>
    <s v="Work"/>
    <x v="2"/>
    <n v="1000000"/>
    <n v="450"/>
    <x v="3"/>
    <n v="8"/>
    <x v="2"/>
    <n v="10"/>
    <s v="Other"/>
    <n v="3"/>
    <x v="1"/>
    <n v="2"/>
    <n v="3"/>
    <n v="5"/>
    <n v="1"/>
    <n v="4"/>
    <s v="Y"/>
    <n v="5000"/>
    <x v="2"/>
  </r>
  <r>
    <d v="2019-10-21T00:00:00"/>
    <d v="1899-12-30T10:40:00"/>
    <m/>
    <s v="P"/>
    <n v="2"/>
    <s v="Road Vehicle"/>
    <n v="4"/>
    <x v="3"/>
    <x v="1"/>
    <n v="4"/>
    <x v="3"/>
    <s v="kikome"/>
    <s v="Kasese"/>
    <s v="UGA"/>
    <n v="2"/>
    <s v="Work"/>
    <s v="Rubirizi"/>
    <s v="Rubirizi"/>
    <s v="UGA"/>
    <n v="4"/>
    <s v="Commercial"/>
    <x v="17"/>
    <n v="7000"/>
    <n v="78"/>
    <x v="1"/>
    <n v="2"/>
    <x v="0"/>
    <n v="6"/>
    <s v="Businessman"/>
    <n v="5"/>
    <x v="4"/>
    <n v="1"/>
    <n v="2"/>
    <n v="5"/>
    <n v="3"/>
    <n v="4"/>
    <s v="Y"/>
    <m/>
    <x v="3"/>
  </r>
  <r>
    <d v="2019-10-21T00:00:00"/>
    <d v="1899-12-30T12:10:00"/>
    <m/>
    <s v="P"/>
    <n v="2"/>
    <s v="Road Vehicle"/>
    <n v="4"/>
    <x v="3"/>
    <x v="1"/>
    <n v="4"/>
    <x v="3"/>
    <s v="Kaziini camp"/>
    <s v="Kasese"/>
    <s v="UGA"/>
    <n v="1"/>
    <s v="Home"/>
    <s v="Kazinga channel"/>
    <s v="kasese"/>
    <s v="UGA"/>
    <n v="6"/>
    <s v="Leisure/Social"/>
    <x v="8"/>
    <n v="4000"/>
    <n v="30"/>
    <x v="4"/>
    <n v="0.25"/>
    <x v="3"/>
    <n v="9"/>
    <s v="Retired"/>
    <n v="2"/>
    <x v="3"/>
    <n v="1"/>
    <n v="5"/>
    <n v="3"/>
    <n v="2"/>
    <n v="4"/>
    <s v="Y"/>
    <m/>
    <x v="3"/>
  </r>
  <r>
    <d v="2019-10-23T00:00:00"/>
    <d v="1899-12-30T04:09:00"/>
    <m/>
    <s v="P"/>
    <n v="2"/>
    <s v="Road Vehicle"/>
    <n v="4"/>
    <x v="3"/>
    <x v="1"/>
    <n v="4"/>
    <x v="3"/>
    <s v="Towncenter"/>
    <s v="Kasese"/>
    <s v="UGA"/>
    <n v="8"/>
    <s v="Others"/>
    <s v="kihura"/>
    <s v="bushenyi"/>
    <s v="UGA"/>
    <n v="2"/>
    <s v="Work"/>
    <x v="14"/>
    <n v="11000"/>
    <m/>
    <x v="0"/>
    <n v="2"/>
    <x v="0"/>
    <n v="4"/>
    <s v="Office Worker"/>
    <n v="2"/>
    <x v="3"/>
    <n v="2"/>
    <n v="5"/>
    <n v="1"/>
    <n v="3"/>
    <n v="4"/>
    <s v="Y"/>
    <m/>
    <x v="3"/>
  </r>
  <r>
    <d v="2019-10-21T00:00:00"/>
    <d v="1899-12-30T11:21:00"/>
    <m/>
    <s v="P"/>
    <n v="2"/>
    <s v="Road Vehicle"/>
    <n v="4"/>
    <x v="3"/>
    <x v="0"/>
    <n v="4"/>
    <x v="3"/>
    <s v="Kilembe"/>
    <s v="Kasese"/>
    <s v="UGA"/>
    <n v="1"/>
    <s v="Home"/>
    <s v="Mpanga"/>
    <s v="FortPortal"/>
    <s v="UGA"/>
    <n v="1"/>
    <s v="Home"/>
    <x v="16"/>
    <n v="5000"/>
    <m/>
    <x v="0"/>
    <n v="3"/>
    <x v="0"/>
    <n v="5"/>
    <s v="Professional"/>
    <n v="2"/>
    <x v="3"/>
    <n v="2"/>
    <n v="3"/>
    <n v="1"/>
    <n v="5"/>
    <n v="4"/>
    <s v="Y"/>
    <n v="500"/>
    <x v="3"/>
  </r>
  <r>
    <d v="2019-10-21T00:00:00"/>
    <d v="1899-12-30T11:34:00"/>
    <m/>
    <s v="D"/>
    <n v="2"/>
    <s v="Road Vehicle"/>
    <n v="4"/>
    <x v="3"/>
    <x v="0"/>
    <n v="4"/>
    <x v="3"/>
    <s v="Bus park"/>
    <s v="Kasese"/>
    <s v="UGA"/>
    <n v="2"/>
    <s v="Work"/>
    <s v="Muhokya"/>
    <s v="kasese"/>
    <s v="UGA"/>
    <n v="2"/>
    <s v="Work"/>
    <x v="2"/>
    <n v="40000"/>
    <n v="25"/>
    <x v="4"/>
    <n v="0.7"/>
    <x v="4"/>
    <n v="10"/>
    <s v="Other"/>
    <n v="2"/>
    <x v="3"/>
    <n v="5"/>
    <n v="2"/>
    <n v="3"/>
    <n v="1"/>
    <n v="4"/>
    <s v="Y"/>
    <s v="600-1000"/>
    <x v="5"/>
  </r>
  <r>
    <d v="2019-10-23T00:00:00"/>
    <d v="1899-12-30T01:08:00"/>
    <m/>
    <s v="P"/>
    <n v="2"/>
    <s v="Road Vehicle"/>
    <n v="4"/>
    <x v="3"/>
    <x v="0"/>
    <n v="4"/>
    <x v="3"/>
    <s v="Town"/>
    <s v="Kasese"/>
    <s v="UGA"/>
    <n v="7"/>
    <s v="Hospital"/>
    <s v="Vilika"/>
    <s v="Fortportal"/>
    <s v="UGA"/>
    <n v="1"/>
    <s v="Home"/>
    <x v="27"/>
    <n v="6000"/>
    <m/>
    <x v="0"/>
    <n v="2"/>
    <x v="0"/>
    <n v="7"/>
    <s v="Farmer"/>
    <n v="2"/>
    <x v="3"/>
    <n v="3"/>
    <n v="4"/>
    <n v="2"/>
    <n v="1"/>
    <n v="5"/>
    <s v="Y"/>
    <n v="1000"/>
    <x v="4"/>
  </r>
  <r>
    <d v="2019-10-22T00:00:00"/>
    <d v="1899-12-30T05:49:00"/>
    <m/>
    <s v="D"/>
    <n v="2"/>
    <s v="Road Vehicle"/>
    <n v="2"/>
    <x v="6"/>
    <x v="0"/>
    <n v="4"/>
    <x v="3"/>
    <s v="kibito"/>
    <s v="Bunyangabo"/>
    <s v="UGA"/>
    <n v="4"/>
    <s v="Commercial"/>
    <s v="kazinga"/>
    <s v="kasese"/>
    <s v="UGA"/>
    <n v="1"/>
    <s v="Home"/>
    <x v="3"/>
    <n v="20000"/>
    <n v="20"/>
    <x v="4"/>
    <n v="0.66669999999999996"/>
    <x v="4"/>
    <n v="5"/>
    <s v="Professional"/>
    <n v="2"/>
    <x v="3"/>
    <n v="2"/>
    <n v="3"/>
    <n v="5"/>
    <n v="1"/>
    <n v="4"/>
    <s v="Y"/>
    <n v="1000"/>
    <x v="4"/>
  </r>
  <r>
    <d v="2019-10-21T00:00:00"/>
    <d v="1899-12-30T12:18:00"/>
    <m/>
    <s v="P"/>
    <n v="2"/>
    <s v="Road Vehicle"/>
    <n v="4"/>
    <x v="3"/>
    <x v="0"/>
    <n v="5"/>
    <x v="4"/>
    <s v="Kasese"/>
    <s v="Kasese"/>
    <s v="UGA"/>
    <n v="4"/>
    <s v="Commercial"/>
    <s v="Mbarara"/>
    <s v="Mbarara"/>
    <s v="UGA"/>
    <n v="4"/>
    <s v="Commercial"/>
    <x v="18"/>
    <n v="120000"/>
    <n v="128"/>
    <x v="2"/>
    <n v="5"/>
    <x v="2"/>
    <n v="9"/>
    <s v="Retired"/>
    <n v="3"/>
    <x v="1"/>
    <n v="1"/>
    <n v="4"/>
    <n v="5"/>
    <n v="2"/>
    <n v="3"/>
    <s v="Y"/>
    <n v="500"/>
    <x v="3"/>
  </r>
  <r>
    <d v="2019-10-22T00:00:00"/>
    <d v="1899-12-30T12:48:00"/>
    <m/>
    <s v="P"/>
    <n v="2"/>
    <s v="Road Vehicle"/>
    <n v="1"/>
    <x v="0"/>
    <x v="1"/>
    <n v="6"/>
    <x v="5"/>
    <s v="Muvuko"/>
    <s v="Kasese"/>
    <s v="UGA"/>
    <n v="1"/>
    <s v="Home"/>
    <s v="bulo"/>
    <m/>
    <s v="UGA"/>
    <n v="4"/>
    <s v="Commercial"/>
    <x v="0"/>
    <n v="20000"/>
    <m/>
    <x v="0"/>
    <n v="7"/>
    <x v="2"/>
    <n v="3"/>
    <s v="Artisan/Domestic"/>
    <n v="1"/>
    <x v="2"/>
    <n v="3"/>
    <n v="1"/>
    <n v="4"/>
    <n v="2"/>
    <n v="5"/>
    <s v="Y"/>
    <n v="1000"/>
    <x v="4"/>
  </r>
  <r>
    <s v="19.10.19"/>
    <d v="1899-12-30T13:36:00"/>
    <m/>
    <s v="P"/>
    <n v="1"/>
    <s v="Walking/Cycling"/>
    <n v="13"/>
    <x v="5"/>
    <x v="0"/>
    <n v="1"/>
    <x v="0"/>
    <s v="KARIVARE"/>
    <s v="Mbarara"/>
    <s v="UG"/>
    <n v="1"/>
    <s v="Home"/>
    <s v="BAKULI"/>
    <s v="KAMPALA"/>
    <s v="UG"/>
    <n v="2"/>
    <s v="Work"/>
    <x v="1"/>
    <n v="20000"/>
    <n v="400"/>
    <x v="3"/>
    <n v="5"/>
    <x v="2"/>
    <n v="2"/>
    <s v="Manual Labour"/>
    <n v="1"/>
    <x v="2"/>
    <n v="1"/>
    <n v="5"/>
    <n v="4"/>
    <n v="3"/>
    <n v="2"/>
    <s v="Y"/>
    <n v="0"/>
    <x v="3"/>
  </r>
  <r>
    <s v="20.10.19"/>
    <d v="1899-12-30T09:50:00"/>
    <m/>
    <s v="P"/>
    <n v="1"/>
    <s v="Walking/Cycling"/>
    <n v="13"/>
    <x v="5"/>
    <x v="0"/>
    <n v="1"/>
    <x v="0"/>
    <s v="MBARARA TOWN"/>
    <s v="Mbarara"/>
    <s v="UG"/>
    <n v="8"/>
    <s v="Others"/>
    <s v="IBANDA TOWN"/>
    <s v="IBANDA"/>
    <s v="UG"/>
    <n v="8"/>
    <s v="Others"/>
    <x v="15"/>
    <n v="10000"/>
    <m/>
    <x v="0"/>
    <n v="2.5"/>
    <x v="0"/>
    <n v="2"/>
    <s v="Manual Labour"/>
    <n v="2"/>
    <x v="3"/>
    <n v="2"/>
    <n v="4"/>
    <n v="3"/>
    <n v="3"/>
    <n v="4"/>
    <s v="Y"/>
    <n v="10000"/>
    <x v="5"/>
  </r>
  <r>
    <s v="20.10.19"/>
    <d v="1899-12-30T08:59:00"/>
    <m/>
    <s v="P"/>
    <n v="1"/>
    <s v="Walking/Cycling"/>
    <n v="13"/>
    <x v="5"/>
    <x v="0"/>
    <n v="1"/>
    <x v="0"/>
    <s v="MBARARA TOWN"/>
    <s v="Mbarara"/>
    <s v="UG"/>
    <n v="2"/>
    <s v="Work"/>
    <s v="RUKUNGIRI TOWN"/>
    <s v="RUKUNGIRI"/>
    <s v="UG"/>
    <n v="1"/>
    <s v="Home"/>
    <x v="4"/>
    <n v="10000"/>
    <m/>
    <x v="0"/>
    <n v="3"/>
    <x v="0"/>
    <n v="2"/>
    <s v="Manual Labour"/>
    <n v="2"/>
    <x v="3"/>
    <n v="3"/>
    <n v="5"/>
    <n v="4"/>
    <n v="2"/>
    <n v="1"/>
    <s v="Y"/>
    <n v="5000"/>
    <x v="2"/>
  </r>
  <r>
    <s v="19.10.19"/>
    <m/>
    <m/>
    <s v="D"/>
    <n v="2"/>
    <s v="Road Vehicle"/>
    <n v="1"/>
    <x v="0"/>
    <x v="0"/>
    <n v="1"/>
    <x v="0"/>
    <s v="MBARARA TOWN"/>
    <s v="Mbarara"/>
    <s v="UG"/>
    <n v="1"/>
    <s v="Home"/>
    <s v="ISINGIRO TOWN"/>
    <s v="ISINGIRO"/>
    <s v="UG"/>
    <n v="2"/>
    <s v="Work"/>
    <x v="1"/>
    <n v="70000"/>
    <n v="52"/>
    <x v="5"/>
    <n v="1.5"/>
    <x v="1"/>
    <n v="2"/>
    <s v="Manual Labour"/>
    <n v="3"/>
    <x v="1"/>
    <n v="5"/>
    <n v="5"/>
    <n v="1"/>
    <n v="1"/>
    <n v="1"/>
    <s v="Y"/>
    <n v="200"/>
    <x v="3"/>
  </r>
  <r>
    <s v="20.10.19"/>
    <m/>
    <m/>
    <s v="D"/>
    <n v="2"/>
    <s v="Road Vehicle"/>
    <n v="1"/>
    <x v="0"/>
    <x v="0"/>
    <n v="1"/>
    <x v="0"/>
    <s v="MBARARA TOWN"/>
    <s v="Mbarara"/>
    <s v="UG"/>
    <n v="1"/>
    <s v="Home"/>
    <s v="SEMBABULE TOWN"/>
    <s v="SEMBABULE"/>
    <s v="UG"/>
    <n v="2"/>
    <s v="Work"/>
    <x v="1"/>
    <n v="140000"/>
    <n v="100"/>
    <x v="2"/>
    <n v="4"/>
    <x v="2"/>
    <n v="5"/>
    <s v="Professional"/>
    <n v="3"/>
    <x v="1"/>
    <n v="5"/>
    <n v="2"/>
    <n v="2"/>
    <n v="2"/>
    <n v="2"/>
    <s v="Y"/>
    <n v="5000"/>
    <x v="2"/>
  </r>
  <r>
    <s v="20.10.19"/>
    <m/>
    <m/>
    <s v="P"/>
    <n v="2"/>
    <s v="Road Vehicle"/>
    <n v="1"/>
    <x v="0"/>
    <x v="0"/>
    <n v="1"/>
    <x v="0"/>
    <s v="MBARARA TOWN"/>
    <s v="Mbarara"/>
    <s v="UG"/>
    <n v="1"/>
    <s v="Home"/>
    <s v="ISINGIRO TOWN"/>
    <s v="ISINGIRO"/>
    <s v="UG"/>
    <n v="2"/>
    <s v="Work"/>
    <x v="1"/>
    <n v="5000"/>
    <n v="40"/>
    <x v="5"/>
    <n v="0.5"/>
    <x v="4"/>
    <n v="5"/>
    <s v="Professional"/>
    <n v="1"/>
    <x v="2"/>
    <n v="5"/>
    <n v="2"/>
    <n v="2"/>
    <n v="2"/>
    <n v="2"/>
    <s v="Y"/>
    <n v="0"/>
    <x v="3"/>
  </r>
  <r>
    <s v="18.10.19"/>
    <d v="1899-12-30T16:05:00"/>
    <m/>
    <s v="P"/>
    <n v="2"/>
    <s v="Road Vehicle"/>
    <n v="6"/>
    <x v="1"/>
    <x v="1"/>
    <n v="1"/>
    <x v="0"/>
    <s v="KISENYI"/>
    <s v="Mbarara"/>
    <s v="UG"/>
    <n v="3"/>
    <s v="Study"/>
    <s v="KAMPALA TOWN"/>
    <s v="KAMPALA"/>
    <s v="UG"/>
    <n v="1"/>
    <s v="Home"/>
    <x v="9"/>
    <n v="20000"/>
    <n v="200"/>
    <x v="3"/>
    <n v="4"/>
    <x v="2"/>
    <n v="8"/>
    <s v="Student"/>
    <n v="3"/>
    <x v="1"/>
    <n v="2"/>
    <n v="1"/>
    <n v="5"/>
    <n v="4"/>
    <n v="3"/>
    <s v="Y"/>
    <n v="2000"/>
    <x v="1"/>
  </r>
  <r>
    <s v="18.10.19"/>
    <d v="1899-12-30T16:46:00"/>
    <m/>
    <s v="P"/>
    <n v="2"/>
    <s v="Road Vehicle"/>
    <n v="6"/>
    <x v="1"/>
    <x v="1"/>
    <n v="1"/>
    <x v="0"/>
    <s v="MBARARA TOWN"/>
    <s v="Mbarara"/>
    <s v="UG"/>
    <n v="2"/>
    <s v="Work"/>
    <s v="KAMPALA TOWN"/>
    <s v="KAMPALA"/>
    <s v="UG"/>
    <n v="1"/>
    <s v="Home"/>
    <x v="4"/>
    <n v="20000"/>
    <n v="216"/>
    <x v="3"/>
    <n v="4.5"/>
    <x v="2"/>
    <n v="4"/>
    <s v="Office Worker"/>
    <n v="3"/>
    <x v="1"/>
    <n v="3"/>
    <n v="1"/>
    <n v="2"/>
    <n v="4"/>
    <n v="5"/>
    <s v="Y"/>
    <n v="1000"/>
    <x v="4"/>
  </r>
  <r>
    <s v="18.10.19"/>
    <d v="1899-12-30T18:21:00"/>
    <m/>
    <s v="P"/>
    <n v="2"/>
    <s v="Road Vehicle"/>
    <n v="6"/>
    <x v="1"/>
    <x v="1"/>
    <n v="1"/>
    <x v="0"/>
    <s v="KAMPALA TOWN"/>
    <s v="KAMPALA"/>
    <s v="UG"/>
    <n v="2"/>
    <s v="Work"/>
    <s v="MBARARA TOWN"/>
    <s v="MBARARA"/>
    <s v="UG"/>
    <n v="6"/>
    <s v="Leisure/Social"/>
    <x v="5"/>
    <n v="20000"/>
    <m/>
    <x v="0"/>
    <n v="5"/>
    <x v="2"/>
    <n v="6"/>
    <s v="Businessman"/>
    <n v="4"/>
    <x v="0"/>
    <n v="4"/>
    <n v="5"/>
    <n v="3"/>
    <n v="2"/>
    <n v="1"/>
    <s v="Y"/>
    <n v="3000"/>
    <x v="0"/>
  </r>
  <r>
    <s v="18.10.19"/>
    <d v="1899-12-30T18:40:00"/>
    <m/>
    <s v="P"/>
    <n v="2"/>
    <s v="Road Vehicle"/>
    <n v="6"/>
    <x v="1"/>
    <x v="1"/>
    <n v="1"/>
    <x v="0"/>
    <s v="KAMPALA TOWN"/>
    <s v="KAMPALA"/>
    <s v="UG"/>
    <n v="2"/>
    <s v="Work"/>
    <s v="MBARARA TOWN"/>
    <s v="MBARARA"/>
    <s v="UG"/>
    <n v="8"/>
    <s v="Others"/>
    <x v="19"/>
    <n v="20000"/>
    <m/>
    <x v="0"/>
    <n v="5"/>
    <x v="2"/>
    <n v="5"/>
    <s v="Professional"/>
    <n v="4"/>
    <x v="0"/>
    <n v="1"/>
    <n v="5"/>
    <n v="3"/>
    <n v="2"/>
    <n v="4"/>
    <s v="Y"/>
    <n v="5000"/>
    <x v="2"/>
  </r>
  <r>
    <s v="18.10.19"/>
    <d v="1899-12-30T17:21:00"/>
    <m/>
    <s v="P"/>
    <n v="2"/>
    <s v="Road Vehicle"/>
    <n v="6"/>
    <x v="1"/>
    <x v="1"/>
    <n v="1"/>
    <x v="0"/>
    <s v="KAMPALA TOWN"/>
    <s v="KAMPALA"/>
    <s v="UG"/>
    <n v="8"/>
    <s v="Others"/>
    <s v="RUKUNGIRI TOWN"/>
    <s v="RUKUNGIRI"/>
    <s v="UG"/>
    <n v="1"/>
    <s v="Home"/>
    <x v="12"/>
    <n v="30000"/>
    <m/>
    <x v="0"/>
    <n v="8"/>
    <x v="2"/>
    <n v="6"/>
    <s v="Businessman"/>
    <n v="3"/>
    <x v="1"/>
    <n v="5"/>
    <n v="5"/>
    <n v="1"/>
    <n v="1"/>
    <n v="1"/>
    <s v="Y"/>
    <n v="3000"/>
    <x v="0"/>
  </r>
  <r>
    <s v="18.10.19"/>
    <d v="1899-12-30T16:45:00"/>
    <m/>
    <s v="P"/>
    <n v="2"/>
    <s v="Road Vehicle"/>
    <n v="6"/>
    <x v="1"/>
    <x v="1"/>
    <n v="1"/>
    <x v="0"/>
    <s v="KAMPALA TOWN"/>
    <s v="KAMPALA"/>
    <s v="UG"/>
    <n v="8"/>
    <s v="Others"/>
    <s v="MBARARA TOWN"/>
    <s v="MBARARA"/>
    <s v="UG"/>
    <n v="1"/>
    <s v="Home"/>
    <x v="12"/>
    <n v="20000"/>
    <m/>
    <x v="0"/>
    <n v="4"/>
    <x v="2"/>
    <n v="4"/>
    <s v="Office Worker"/>
    <n v="2"/>
    <x v="3"/>
    <n v="2"/>
    <n v="1"/>
    <n v="3"/>
    <n v="2"/>
    <n v="2"/>
    <s v="Y"/>
    <n v="10000"/>
    <x v="5"/>
  </r>
  <r>
    <s v="18.10.19"/>
    <d v="1899-12-30T15:20:00"/>
    <m/>
    <s v="P"/>
    <n v="2"/>
    <s v="Road Vehicle"/>
    <n v="6"/>
    <x v="1"/>
    <x v="1"/>
    <n v="1"/>
    <x v="0"/>
    <s v="MBARARA TOWN"/>
    <s v="Mbarara"/>
    <s v="UG"/>
    <n v="1"/>
    <s v="Home"/>
    <s v="LYANTONDE TOWN"/>
    <s v="LYANTONDE"/>
    <s v="UG"/>
    <n v="2"/>
    <s v="Work"/>
    <x v="1"/>
    <n v="6000"/>
    <m/>
    <x v="0"/>
    <n v="1"/>
    <x v="1"/>
    <n v="4"/>
    <s v="Office Worker"/>
    <n v="2"/>
    <x v="3"/>
    <n v="2"/>
    <n v="3"/>
    <n v="4"/>
    <n v="2"/>
    <n v="2"/>
    <s v="Y"/>
    <n v="3000"/>
    <x v="0"/>
  </r>
  <r>
    <s v="18.10.19"/>
    <d v="1899-12-30T15:36:00"/>
    <m/>
    <s v="P"/>
    <n v="2"/>
    <s v="Road Vehicle"/>
    <n v="6"/>
    <x v="1"/>
    <x v="1"/>
    <n v="1"/>
    <x v="0"/>
    <s v="MBARARA TOWN"/>
    <s v="Mbarara"/>
    <s v="UG"/>
    <n v="1"/>
    <s v="Home"/>
    <s v="MASAKA TOWN"/>
    <s v="MASAKA"/>
    <s v="UG"/>
    <n v="3"/>
    <s v="Study"/>
    <x v="25"/>
    <n v="15000"/>
    <m/>
    <x v="0"/>
    <n v="2.5"/>
    <x v="0"/>
    <n v="8"/>
    <s v="Student"/>
    <n v="1"/>
    <x v="2"/>
    <n v="2"/>
    <n v="4"/>
    <n v="4"/>
    <n v="3"/>
    <n v="1"/>
    <s v="Y"/>
    <n v="1000"/>
    <x v="4"/>
  </r>
  <r>
    <s v="20.10.19"/>
    <d v="1899-12-30T17:50:00"/>
    <m/>
    <s v="P"/>
    <n v="2"/>
    <s v="Road Vehicle"/>
    <n v="6"/>
    <x v="1"/>
    <x v="1"/>
    <n v="1"/>
    <x v="0"/>
    <s v="KAMPALA TOWN"/>
    <s v="KAMPALA"/>
    <s v="UG"/>
    <n v="1"/>
    <s v="Home"/>
    <s v="MBARARA TOWN"/>
    <s v="MBARARA"/>
    <s v="UG"/>
    <n v="1"/>
    <s v="Home"/>
    <x v="16"/>
    <n v="20000"/>
    <m/>
    <x v="0"/>
    <n v="5.5"/>
    <x v="2"/>
    <n v="4"/>
    <s v="Office Worker"/>
    <n v="2"/>
    <x v="3"/>
    <n v="2"/>
    <n v="1"/>
    <n v="3"/>
    <n v="4"/>
    <n v="5"/>
    <s v="Y"/>
    <n v="2000"/>
    <x v="1"/>
  </r>
  <r>
    <s v="20.10.19"/>
    <d v="1899-12-30T17:25:00"/>
    <m/>
    <s v="P"/>
    <n v="2"/>
    <s v="Road Vehicle"/>
    <n v="6"/>
    <x v="1"/>
    <x v="1"/>
    <n v="1"/>
    <x v="0"/>
    <s v="KAMPALA TOWN"/>
    <s v="KAMPALA"/>
    <s v="UG"/>
    <n v="1"/>
    <s v="Home"/>
    <s v="MBARARA TOWN"/>
    <s v="MBARARA"/>
    <s v="UG"/>
    <n v="2"/>
    <s v="Work"/>
    <x v="1"/>
    <n v="20000"/>
    <m/>
    <x v="0"/>
    <n v="3.5"/>
    <x v="2"/>
    <n v="6"/>
    <s v="Businessman"/>
    <n v="2"/>
    <x v="3"/>
    <n v="1"/>
    <n v="4"/>
    <n v="3"/>
    <n v="2"/>
    <n v="3"/>
    <s v="Y"/>
    <n v="0"/>
    <x v="3"/>
  </r>
  <r>
    <s v="20.10.19"/>
    <d v="1899-12-30T09:36:00"/>
    <m/>
    <s v="P"/>
    <n v="2"/>
    <s v="Road Vehicle"/>
    <n v="6"/>
    <x v="1"/>
    <x v="1"/>
    <n v="1"/>
    <x v="0"/>
    <s v="ISHAKA TOWN"/>
    <s v="bushenyi"/>
    <s v="UG"/>
    <n v="1"/>
    <s v="Home"/>
    <s v="MBARARA TOWN"/>
    <s v="MBARARA"/>
    <s v="UG"/>
    <n v="2"/>
    <s v="Work"/>
    <x v="1"/>
    <n v="15000"/>
    <m/>
    <x v="0"/>
    <n v="2"/>
    <x v="0"/>
    <n v="2"/>
    <s v="Manual Labour"/>
    <n v="1"/>
    <x v="2"/>
    <n v="3"/>
    <n v="3"/>
    <n v="2"/>
    <n v="1"/>
    <n v="4"/>
    <s v="Y"/>
    <n v="2000"/>
    <x v="1"/>
  </r>
  <r>
    <s v="20.10.19"/>
    <d v="1899-12-30T17:17:00"/>
    <m/>
    <s v="P"/>
    <n v="2"/>
    <s v="Road Vehicle"/>
    <n v="6"/>
    <x v="1"/>
    <x v="1"/>
    <n v="1"/>
    <x v="0"/>
    <s v="ISHAKA TOWN"/>
    <s v="bushenyi"/>
    <s v="UG"/>
    <n v="1"/>
    <s v="Home"/>
    <s v="MBARARA TOWN"/>
    <s v="MBARARA"/>
    <s v="UG"/>
    <n v="2"/>
    <s v="Work"/>
    <x v="1"/>
    <n v="9000"/>
    <m/>
    <x v="0"/>
    <n v="1"/>
    <x v="1"/>
    <n v="2"/>
    <s v="Manual Labour"/>
    <n v="1"/>
    <x v="2"/>
    <n v="2"/>
    <n v="4"/>
    <n v="3"/>
    <n v="4"/>
    <n v="3"/>
    <s v="Y"/>
    <n v="1000"/>
    <x v="4"/>
  </r>
  <r>
    <s v="20.10.19"/>
    <d v="1899-12-30T17:07:00"/>
    <m/>
    <s v="P"/>
    <n v="2"/>
    <s v="Road Vehicle"/>
    <n v="6"/>
    <x v="1"/>
    <x v="1"/>
    <n v="1"/>
    <x v="0"/>
    <s v="SHEEMA TOWN"/>
    <s v="SHEEMA"/>
    <s v="UG"/>
    <n v="1"/>
    <s v="Home"/>
    <s v="MBARARA TOWN"/>
    <s v="MBARARA"/>
    <s v="UG"/>
    <n v="8"/>
    <s v="Others"/>
    <x v="13"/>
    <n v="5000"/>
    <m/>
    <x v="0"/>
    <n v="0.66"/>
    <x v="4"/>
    <n v="2"/>
    <s v="Manual Labour"/>
    <n v="1"/>
    <x v="2"/>
    <n v="3"/>
    <n v="3"/>
    <n v="4"/>
    <n v="2"/>
    <n v="4"/>
    <s v="Y"/>
    <n v="1000"/>
    <x v="4"/>
  </r>
  <r>
    <s v="20.10.19"/>
    <d v="1899-12-30T18:27:00"/>
    <m/>
    <s v="P"/>
    <n v="2"/>
    <s v="Road Vehicle"/>
    <n v="6"/>
    <x v="1"/>
    <x v="1"/>
    <n v="1"/>
    <x v="0"/>
    <s v="KAMPALA TOWN"/>
    <s v="KAMPALA"/>
    <s v="UG"/>
    <n v="3"/>
    <s v="Study"/>
    <s v="MBARARA TOWN"/>
    <s v="MBARARA"/>
    <s v="UG"/>
    <n v="1"/>
    <s v="Home"/>
    <x v="9"/>
    <n v="20000"/>
    <n v="210"/>
    <x v="3"/>
    <n v="5"/>
    <x v="2"/>
    <n v="8"/>
    <s v="Student"/>
    <n v="1"/>
    <x v="2"/>
    <n v="1"/>
    <n v="5"/>
    <n v="2"/>
    <n v="3"/>
    <n v="4"/>
    <s v="Y"/>
    <n v="1000"/>
    <x v="4"/>
  </r>
  <r>
    <s v="20.10.19"/>
    <d v="1899-12-30T17:51:00"/>
    <m/>
    <s v="P"/>
    <n v="2"/>
    <s v="Road Vehicle"/>
    <n v="6"/>
    <x v="1"/>
    <x v="1"/>
    <n v="1"/>
    <x v="0"/>
    <s v="KAMPALA TOWN"/>
    <s v="KAMPALA"/>
    <s v="UG"/>
    <n v="2"/>
    <s v="Work"/>
    <s v="RIYIYI"/>
    <s v="MBARARA"/>
    <s v="UG"/>
    <n v="1"/>
    <s v="Home"/>
    <x v="4"/>
    <n v="40000"/>
    <n v="390"/>
    <x v="3"/>
    <n v="8"/>
    <x v="2"/>
    <n v="5"/>
    <s v="Professional"/>
    <n v="4"/>
    <x v="0"/>
    <n v="2"/>
    <n v="1"/>
    <n v="5"/>
    <n v="3"/>
    <n v="4"/>
    <s v="Y"/>
    <n v="5000"/>
    <x v="2"/>
  </r>
  <r>
    <s v="20.10.19"/>
    <d v="1899-12-30T16:01:00"/>
    <m/>
    <s v="P"/>
    <n v="2"/>
    <s v="Road Vehicle"/>
    <n v="6"/>
    <x v="1"/>
    <x v="1"/>
    <n v="1"/>
    <x v="0"/>
    <s v="BUTEKETA"/>
    <s v="KANUNGU"/>
    <s v="UG"/>
    <n v="1"/>
    <s v="Home"/>
    <s v="KIBULI"/>
    <s v="KAMPALA"/>
    <s v="UG"/>
    <n v="2"/>
    <s v="Work"/>
    <x v="1"/>
    <n v="40000"/>
    <n v="415"/>
    <x v="3"/>
    <n v="12"/>
    <x v="2"/>
    <n v="7"/>
    <s v="Farmer"/>
    <n v="2"/>
    <x v="3"/>
    <n v="5"/>
    <n v="2"/>
    <n v="4"/>
    <n v="1"/>
    <n v="3"/>
    <s v="Y"/>
    <n v="500"/>
    <x v="3"/>
  </r>
  <r>
    <s v="20.10.19"/>
    <d v="1899-12-30T17:13:00"/>
    <m/>
    <s v="P"/>
    <n v="2"/>
    <s v="Road Vehicle"/>
    <n v="6"/>
    <x v="1"/>
    <x v="1"/>
    <n v="1"/>
    <x v="0"/>
    <s v="ISHAKA TOWN"/>
    <s v="ISHAKA"/>
    <s v="UG"/>
    <n v="2"/>
    <s v="Work"/>
    <s v="KABALAGALA"/>
    <s v="KAMPALA"/>
    <s v="UG"/>
    <n v="1"/>
    <s v="Home"/>
    <x v="4"/>
    <n v="20000"/>
    <n v="230"/>
    <x v="3"/>
    <n v="5"/>
    <x v="2"/>
    <n v="8"/>
    <s v="Student"/>
    <n v="1"/>
    <x v="2"/>
    <n v="2"/>
    <n v="4"/>
    <n v="5"/>
    <n v="3"/>
    <n v="1"/>
    <s v="Y"/>
    <n v="1000"/>
    <x v="4"/>
  </r>
  <r>
    <s v="18.10.19"/>
    <d v="1899-12-30T16:02:00"/>
    <m/>
    <s v="P"/>
    <n v="2"/>
    <s v="Road Vehicle"/>
    <n v="6"/>
    <x v="1"/>
    <x v="0"/>
    <n v="1"/>
    <x v="0"/>
    <s v="KAMPALA TOWN"/>
    <s v="KAMPALA"/>
    <s v="UG"/>
    <n v="1"/>
    <s v="Home"/>
    <s v="MBARARA TOWN"/>
    <s v="MBARARA"/>
    <s v="UG"/>
    <n v="4"/>
    <s v="Commercial"/>
    <x v="0"/>
    <n v="20000"/>
    <m/>
    <x v="0"/>
    <n v="5"/>
    <x v="2"/>
    <n v="6"/>
    <s v="Businessman"/>
    <n v="5"/>
    <x v="4"/>
    <n v="3"/>
    <n v="4"/>
    <n v="4"/>
    <n v="5"/>
    <n v="4"/>
    <s v="Y"/>
    <n v="3000"/>
    <x v="0"/>
  </r>
  <r>
    <s v="18.10.19"/>
    <d v="1899-12-30T16:23:00"/>
    <m/>
    <s v="P"/>
    <n v="2"/>
    <s v="Road Vehicle"/>
    <n v="6"/>
    <x v="1"/>
    <x v="0"/>
    <n v="1"/>
    <x v="0"/>
    <s v="KIHIHI"/>
    <s v="KANUNGU"/>
    <s v="UG"/>
    <n v="1"/>
    <s v="Home"/>
    <s v="MBARARA TOWN"/>
    <s v="MBARARA"/>
    <s v="UG"/>
    <n v="2"/>
    <s v="Work"/>
    <x v="1"/>
    <n v="15000"/>
    <m/>
    <x v="0"/>
    <n v="2.5"/>
    <x v="0"/>
    <n v="7"/>
    <s v="Farmer"/>
    <n v="2"/>
    <x v="3"/>
    <n v="2"/>
    <n v="3"/>
    <n v="2"/>
    <n v="1"/>
    <n v="2"/>
    <s v="Y"/>
    <n v="0"/>
    <x v="3"/>
  </r>
  <r>
    <s v="19.10.19"/>
    <d v="1899-12-30T12:48:00"/>
    <m/>
    <s v="P"/>
    <n v="2"/>
    <s v="Road Vehicle"/>
    <n v="6"/>
    <x v="1"/>
    <x v="0"/>
    <n v="1"/>
    <x v="0"/>
    <s v="RUKONDE"/>
    <s v="SHEEMA"/>
    <s v="UG"/>
    <n v="1"/>
    <s v="Home"/>
    <s v="KIREKA"/>
    <s v="KAMPALA"/>
    <s v="UG"/>
    <n v="2"/>
    <s v="Work"/>
    <x v="1"/>
    <n v="20000"/>
    <n v="400"/>
    <x v="3"/>
    <n v="4.5"/>
    <x v="2"/>
    <n v="10"/>
    <s v="Other"/>
    <n v="3"/>
    <x v="1"/>
    <n v="1"/>
    <n v="2"/>
    <n v="5"/>
    <n v="4"/>
    <n v="3"/>
    <s v="Y"/>
    <n v="7000"/>
    <x v="2"/>
  </r>
  <r>
    <s v="20.10.19"/>
    <d v="1899-12-30T17:40:00"/>
    <m/>
    <s v="P"/>
    <n v="2"/>
    <s v="Road Vehicle"/>
    <n v="6"/>
    <x v="1"/>
    <x v="0"/>
    <n v="1"/>
    <x v="0"/>
    <s v="MBARARA TOWN"/>
    <s v="Mbarara"/>
    <s v="UG"/>
    <n v="2"/>
    <s v="Work"/>
    <s v="KASESE TOWN"/>
    <s v="KASESE"/>
    <s v="UG"/>
    <n v="1"/>
    <s v="Home"/>
    <x v="4"/>
    <n v="20000"/>
    <n v="130"/>
    <x v="2"/>
    <n v="4"/>
    <x v="2"/>
    <n v="5"/>
    <s v="Professional"/>
    <n v="2"/>
    <x v="3"/>
    <n v="3"/>
    <n v="4"/>
    <n v="2"/>
    <n v="1"/>
    <n v="5"/>
    <s v="Y"/>
    <n v="5000"/>
    <x v="2"/>
  </r>
  <r>
    <s v="20.10.19"/>
    <d v="1899-12-30T16:20:00"/>
    <m/>
    <s v="P"/>
    <n v="2"/>
    <s v="Road Vehicle"/>
    <n v="6"/>
    <x v="1"/>
    <x v="0"/>
    <n v="1"/>
    <x v="0"/>
    <s v="BUKERERE"/>
    <s v="KAMPALA"/>
    <s v="UG"/>
    <n v="1"/>
    <s v="Home"/>
    <s v="MBARARA TOWN"/>
    <s v="MBARARA"/>
    <s v="UG"/>
    <n v="2"/>
    <s v="Work"/>
    <x v="1"/>
    <n v="23000"/>
    <m/>
    <x v="0"/>
    <n v="6"/>
    <x v="2"/>
    <n v="6"/>
    <s v="Businessman"/>
    <n v="1"/>
    <x v="2"/>
    <n v="5"/>
    <n v="5"/>
    <n v="3"/>
    <n v="1"/>
    <n v="3"/>
    <s v="Y"/>
    <n v="3000"/>
    <x v="0"/>
  </r>
  <r>
    <s v="20.10.19"/>
    <d v="1899-12-30T15:40:00"/>
    <m/>
    <s v="P"/>
    <n v="2"/>
    <s v="Road Vehicle"/>
    <n v="6"/>
    <x v="1"/>
    <x v="0"/>
    <n v="1"/>
    <x v="0"/>
    <s v="MBARARA TOWN"/>
    <s v="Mbarara"/>
    <s v="UG"/>
    <n v="2"/>
    <s v="Work"/>
    <s v="KAMPALA TOWN"/>
    <s v="KAMPALA"/>
    <s v="UG"/>
    <n v="4"/>
    <s v="Commercial"/>
    <x v="17"/>
    <n v="20000"/>
    <m/>
    <x v="0"/>
    <n v="4"/>
    <x v="2"/>
    <n v="6"/>
    <s v="Businessman"/>
    <n v="2"/>
    <x v="3"/>
    <n v="2"/>
    <n v="3"/>
    <n v="2"/>
    <n v="2"/>
    <n v="4"/>
    <s v="Y"/>
    <n v="0"/>
    <x v="3"/>
  </r>
  <r>
    <s v="20.10.19"/>
    <m/>
    <m/>
    <s v="P"/>
    <n v="2"/>
    <s v="Road Vehicle"/>
    <n v="6"/>
    <x v="1"/>
    <x v="0"/>
    <n v="1"/>
    <x v="0"/>
    <s v="MBARARA TOWN"/>
    <s v="Mbarara"/>
    <s v="UG"/>
    <n v="1"/>
    <s v="Home"/>
    <s v="KABALE TOWN"/>
    <s v="KABALE"/>
    <s v="UG"/>
    <n v="4"/>
    <s v="Commercial"/>
    <x v="0"/>
    <n v="15000"/>
    <n v="120"/>
    <x v="2"/>
    <n v="2.5"/>
    <x v="0"/>
    <n v="5"/>
    <s v="Professional"/>
    <n v="2"/>
    <x v="3"/>
    <n v="2"/>
    <n v="2"/>
    <n v="2"/>
    <n v="2"/>
    <n v="2"/>
    <s v="Y"/>
    <n v="5000"/>
    <x v="2"/>
  </r>
  <r>
    <s v="20.10.19"/>
    <m/>
    <m/>
    <s v="P"/>
    <n v="2"/>
    <s v="Road Vehicle"/>
    <n v="6"/>
    <x v="1"/>
    <x v="0"/>
    <n v="1"/>
    <x v="0"/>
    <s v="MBARARA TOWN"/>
    <s v="Mbarara"/>
    <s v="UG"/>
    <n v="2"/>
    <s v="Work"/>
    <s v="KAMPALA TOWN"/>
    <s v="KAMPALA"/>
    <s v="UG"/>
    <n v="1"/>
    <s v="Home"/>
    <x v="4"/>
    <n v="20000"/>
    <n v="260"/>
    <x v="3"/>
    <n v="5"/>
    <x v="2"/>
    <n v="5"/>
    <s v="Professional"/>
    <n v="2"/>
    <x v="3"/>
    <n v="5"/>
    <n v="2"/>
    <n v="2"/>
    <n v="2"/>
    <n v="2"/>
    <s v="Y"/>
    <n v="2000"/>
    <x v="1"/>
  </r>
  <r>
    <s v="20.10.19"/>
    <m/>
    <m/>
    <s v="P"/>
    <n v="2"/>
    <s v="Road Vehicle"/>
    <n v="6"/>
    <x v="1"/>
    <x v="0"/>
    <n v="1"/>
    <x v="0"/>
    <s v="MBARARA TOWN"/>
    <s v="Mbarara"/>
    <s v="UG"/>
    <n v="1"/>
    <s v="Home"/>
    <s v="MASAKA TOWN"/>
    <s v="MASAKA"/>
    <s v="UG"/>
    <n v="4"/>
    <s v="Commercial"/>
    <x v="0"/>
    <n v="10000"/>
    <n v="135"/>
    <x v="2"/>
    <n v="2"/>
    <x v="0"/>
    <n v="2"/>
    <s v="Manual Labour"/>
    <n v="1"/>
    <x v="2"/>
    <n v="5"/>
    <n v="2"/>
    <n v="2"/>
    <n v="2"/>
    <n v="2"/>
    <s v="Y"/>
    <n v="5000"/>
    <x v="2"/>
  </r>
  <r>
    <s v="20.10.19"/>
    <m/>
    <m/>
    <s v="P"/>
    <n v="2"/>
    <s v="Road Vehicle"/>
    <n v="6"/>
    <x v="1"/>
    <x v="0"/>
    <n v="1"/>
    <x v="0"/>
    <s v="MBARARA TOWN"/>
    <s v="Mbarara"/>
    <s v="UG"/>
    <n v="1"/>
    <s v="Home"/>
    <s v="KAMPALA TOWN"/>
    <s v="KAMPALA"/>
    <s v="UG"/>
    <n v="4"/>
    <s v="Commercial"/>
    <x v="0"/>
    <n v="20000"/>
    <n v="260"/>
    <x v="3"/>
    <n v="4"/>
    <x v="2"/>
    <n v="2"/>
    <s v="Manual Labour"/>
    <n v="1"/>
    <x v="2"/>
    <n v="5"/>
    <n v="2"/>
    <n v="2"/>
    <n v="2"/>
    <n v="2"/>
    <s v="Y"/>
    <n v="10000"/>
    <x v="5"/>
  </r>
  <r>
    <s v="20.10.19"/>
    <d v="1899-12-30T12:58:00"/>
    <m/>
    <s v="D"/>
    <n v="2"/>
    <s v="Road Vehicle"/>
    <n v="7"/>
    <x v="7"/>
    <x v="0"/>
    <n v="1"/>
    <x v="0"/>
    <s v="KYAMUGURANYI"/>
    <s v="Mbarara"/>
    <s v="UG"/>
    <n v="1"/>
    <s v="Home"/>
    <s v="KIZUNGU"/>
    <s v="MBARARA"/>
    <s v="UG"/>
    <n v="2"/>
    <s v="Work"/>
    <x v="1"/>
    <n v="1000"/>
    <m/>
    <x v="0"/>
    <n v="0.08"/>
    <x v="3"/>
    <n v="2"/>
    <s v="Manual Labour"/>
    <n v="1"/>
    <x v="2"/>
    <n v="2"/>
    <n v="5"/>
    <n v="4"/>
    <n v="2"/>
    <n v="1"/>
    <s v="Y"/>
    <n v="5000"/>
    <x v="2"/>
  </r>
  <r>
    <s v="19.10.19"/>
    <d v="1899-12-30T12:54:00"/>
    <m/>
    <s v="P"/>
    <n v="2"/>
    <s v="Road Vehicle"/>
    <n v="5"/>
    <x v="2"/>
    <x v="1"/>
    <n v="1"/>
    <x v="0"/>
    <s v="KAZO"/>
    <s v="KIRUHURA"/>
    <s v="UG"/>
    <n v="1"/>
    <s v="Home"/>
    <s v="KAKOOBA"/>
    <s v="MBARARA"/>
    <s v="UG"/>
    <n v="4"/>
    <s v="Commercial"/>
    <x v="0"/>
    <n v="5000"/>
    <n v="20"/>
    <x v="4"/>
    <n v="2.5"/>
    <x v="0"/>
    <n v="5"/>
    <s v="Professional"/>
    <n v="2"/>
    <x v="3"/>
    <n v="2"/>
    <n v="1"/>
    <n v="3"/>
    <n v="4"/>
    <n v="3"/>
    <s v="Y"/>
    <n v="2000"/>
    <x v="1"/>
  </r>
  <r>
    <s v="19.10.19"/>
    <d v="1899-12-30T09:58:00"/>
    <m/>
    <s v="P"/>
    <n v="2"/>
    <s v="Road Vehicle"/>
    <n v="5"/>
    <x v="2"/>
    <x v="1"/>
    <n v="1"/>
    <x v="0"/>
    <s v="KALYANGO"/>
    <s v="SHEEMA"/>
    <s v="UG"/>
    <n v="3"/>
    <s v="Study"/>
    <s v="KAKOOBA"/>
    <s v="MBARARA"/>
    <s v="UG"/>
    <n v="1"/>
    <s v="Home"/>
    <x v="9"/>
    <n v="5000"/>
    <n v="15"/>
    <x v="6"/>
    <n v="1.5"/>
    <x v="1"/>
    <n v="8"/>
    <s v="Student"/>
    <n v="1"/>
    <x v="2"/>
    <n v="3"/>
    <n v="1"/>
    <n v="2"/>
    <n v="5"/>
    <n v="4"/>
    <s v="Y"/>
    <n v="5000"/>
    <x v="2"/>
  </r>
  <r>
    <s v="20.10.19"/>
    <d v="1899-12-30T15:00:00"/>
    <m/>
    <s v="D"/>
    <n v="2"/>
    <s v="Road Vehicle"/>
    <n v="5"/>
    <x v="2"/>
    <x v="0"/>
    <n v="1"/>
    <x v="0"/>
    <s v="KAMPALA TOWN"/>
    <s v="KAMPALA"/>
    <s v="UG"/>
    <n v="2"/>
    <s v="Work"/>
    <s v="RUKUNGIRI TOWN"/>
    <s v="RUKUNGIRI"/>
    <s v="UG"/>
    <n v="1"/>
    <s v="Home"/>
    <x v="4"/>
    <n v="650000"/>
    <n v="380"/>
    <x v="3"/>
    <n v="7"/>
    <x v="2"/>
    <n v="10"/>
    <s v="Other"/>
    <n v="4"/>
    <x v="0"/>
    <n v="1"/>
    <n v="2"/>
    <n v="5"/>
    <n v="4"/>
    <n v="3"/>
    <s v="Y"/>
    <n v="4000"/>
    <x v="0"/>
  </r>
  <r>
    <s v="19.10.19"/>
    <m/>
    <m/>
    <s v="P"/>
    <n v="2"/>
    <s v="Road Vehicle"/>
    <n v="4"/>
    <x v="3"/>
    <x v="1"/>
    <n v="1"/>
    <x v="0"/>
    <s v="MBARARA TOWN"/>
    <s v="Mbarara"/>
    <s v="UG"/>
    <n v="1"/>
    <s v="Home"/>
    <s v="KAMPALA TOWN"/>
    <s v="KAMPALA"/>
    <s v="UG"/>
    <n v="4"/>
    <s v="Commercial"/>
    <x v="0"/>
    <n v="20000"/>
    <n v="160"/>
    <x v="2"/>
    <n v="5"/>
    <x v="2"/>
    <n v="2"/>
    <s v="Manual Labour"/>
    <n v="2"/>
    <x v="3"/>
    <n v="2"/>
    <n v="2"/>
    <n v="1"/>
    <n v="1"/>
    <n v="1"/>
    <s v="Y"/>
    <n v="5000"/>
    <x v="2"/>
  </r>
  <r>
    <s v="20.10.19"/>
    <m/>
    <m/>
    <s v="P"/>
    <n v="2"/>
    <s v="Road Vehicle"/>
    <n v="4"/>
    <x v="3"/>
    <x v="1"/>
    <n v="1"/>
    <x v="0"/>
    <s v="MBARARA TOWN"/>
    <s v="Mbarara"/>
    <s v="UG"/>
    <n v="1"/>
    <s v="Home"/>
    <s v="KAMPALA TOWN"/>
    <s v="KAMPALA"/>
    <s v="UG"/>
    <n v="2"/>
    <s v="Work"/>
    <x v="1"/>
    <n v="20000"/>
    <n v="260"/>
    <x v="3"/>
    <n v="5"/>
    <x v="2"/>
    <n v="2"/>
    <s v="Manual Labour"/>
    <n v="1"/>
    <x v="2"/>
    <n v="5"/>
    <n v="2"/>
    <n v="2"/>
    <n v="2"/>
    <n v="2"/>
    <s v="Y"/>
    <n v="0"/>
    <x v="3"/>
  </r>
  <r>
    <s v="20.10.19"/>
    <m/>
    <m/>
    <s v="P"/>
    <n v="2"/>
    <s v="Road Vehicle"/>
    <n v="4"/>
    <x v="3"/>
    <x v="1"/>
    <n v="1"/>
    <x v="0"/>
    <s v="MBARARA TOWN"/>
    <s v="Mbarara"/>
    <s v="UG"/>
    <n v="1"/>
    <s v="Home"/>
    <s v="KABALE TOWN"/>
    <s v="KABALE"/>
    <s v="UG"/>
    <n v="4"/>
    <s v="Commercial"/>
    <x v="0"/>
    <n v="15000"/>
    <n v="220"/>
    <x v="3"/>
    <n v="3"/>
    <x v="0"/>
    <n v="2"/>
    <s v="Manual Labour"/>
    <n v="1"/>
    <x v="2"/>
    <n v="2"/>
    <n v="2"/>
    <n v="2"/>
    <n v="2"/>
    <n v="2"/>
    <s v="Y"/>
    <n v="0"/>
    <x v="3"/>
  </r>
  <r>
    <s v="18.10.19"/>
    <m/>
    <m/>
    <s v="P"/>
    <n v="2"/>
    <s v="Road Vehicle"/>
    <n v="4"/>
    <x v="3"/>
    <x v="0"/>
    <n v="1"/>
    <x v="0"/>
    <s v="MBARARA TOWN"/>
    <s v="Mbarara"/>
    <s v="UG"/>
    <n v="1"/>
    <s v="Home"/>
    <s v="KASESE TOWN"/>
    <s v="KASESE"/>
    <s v="UG"/>
    <n v="2"/>
    <s v="Work"/>
    <x v="1"/>
    <n v="15000"/>
    <n v="25"/>
    <x v="4"/>
    <n v="3"/>
    <x v="0"/>
    <n v="2"/>
    <s v="Manual Labour"/>
    <n v="5"/>
    <x v="4"/>
    <n v="5"/>
    <n v="1"/>
    <n v="1"/>
    <n v="1"/>
    <n v="1"/>
    <s v="Y"/>
    <n v="5000"/>
    <x v="2"/>
  </r>
  <r>
    <s v="19.10.19"/>
    <m/>
    <m/>
    <s v="D"/>
    <n v="2"/>
    <s v="Road Vehicle"/>
    <n v="4"/>
    <x v="3"/>
    <x v="0"/>
    <n v="1"/>
    <x v="0"/>
    <s v="MBARARA TOWN"/>
    <s v="Mbarara"/>
    <s v="UG"/>
    <n v="1"/>
    <s v="Home"/>
    <s v="MITOMA TOWN"/>
    <s v="MITOMA"/>
    <s v="UG"/>
    <n v="2"/>
    <s v="Work"/>
    <x v="1"/>
    <n v="100000"/>
    <n v="110"/>
    <x v="2"/>
    <n v="4"/>
    <x v="2"/>
    <n v="2"/>
    <s v="Manual Labour"/>
    <n v="1"/>
    <x v="2"/>
    <n v="1"/>
    <n v="1"/>
    <n v="1"/>
    <n v="1"/>
    <n v="1"/>
    <s v="Y"/>
    <n v="5000"/>
    <x v="2"/>
  </r>
  <r>
    <s v="19.10.19"/>
    <m/>
    <m/>
    <s v="D"/>
    <n v="2"/>
    <s v="Road Vehicle"/>
    <n v="4"/>
    <x v="3"/>
    <x v="0"/>
    <n v="1"/>
    <x v="0"/>
    <s v="MBARARA TOWN"/>
    <s v="Mbarara"/>
    <s v="UG"/>
    <n v="2"/>
    <s v="Work"/>
    <s v="ISINGIRO TOWN"/>
    <s v="ISINGIRO"/>
    <s v="UG"/>
    <n v="2"/>
    <s v="Work"/>
    <x v="2"/>
    <n v="100000"/>
    <n v="30"/>
    <x v="4"/>
    <n v="3"/>
    <x v="0"/>
    <n v="2"/>
    <s v="Manual Labour"/>
    <n v="1"/>
    <x v="2"/>
    <n v="4"/>
    <n v="4"/>
    <n v="1"/>
    <n v="1"/>
    <n v="1"/>
    <s v="Y"/>
    <n v="0"/>
    <x v="3"/>
  </r>
  <r>
    <s v="19.10.19"/>
    <m/>
    <m/>
    <s v="D"/>
    <n v="2"/>
    <s v="Road Vehicle"/>
    <n v="4"/>
    <x v="3"/>
    <x v="0"/>
    <n v="1"/>
    <x v="0"/>
    <s v="MBARARA TOWN"/>
    <s v="Mbarara"/>
    <s v="UG"/>
    <n v="1"/>
    <s v="Home"/>
    <s v="IBANDA TOWN"/>
    <s v="IBANDA"/>
    <s v="UG"/>
    <n v="2"/>
    <s v="Work"/>
    <x v="1"/>
    <n v="50000"/>
    <n v="54"/>
    <x v="5"/>
    <n v="1.5"/>
    <x v="1"/>
    <n v="2"/>
    <s v="Manual Labour"/>
    <n v="1"/>
    <x v="2"/>
    <n v="2"/>
    <n v="2"/>
    <n v="1"/>
    <n v="1"/>
    <n v="1"/>
    <s v="Y"/>
    <n v="1000"/>
    <x v="4"/>
  </r>
  <r>
    <s v="19.10.19"/>
    <m/>
    <m/>
    <s v="P"/>
    <n v="2"/>
    <s v="Road Vehicle"/>
    <n v="4"/>
    <x v="3"/>
    <x v="0"/>
    <n v="1"/>
    <x v="0"/>
    <s v="KIROWULE"/>
    <s v="Mbarara"/>
    <s v="UG"/>
    <n v="1"/>
    <s v="Home"/>
    <s v="KIRIHURA TOWN"/>
    <s v="KIRIHURA"/>
    <s v="UG"/>
    <n v="2"/>
    <s v="Work"/>
    <x v="1"/>
    <n v="12000"/>
    <n v="200"/>
    <x v="3"/>
    <n v="4"/>
    <x v="2"/>
    <n v="2"/>
    <s v="Manual Labour"/>
    <n v="1"/>
    <x v="2"/>
    <n v="2"/>
    <n v="2"/>
    <n v="1"/>
    <n v="1"/>
    <n v="1"/>
    <s v="Y"/>
    <n v="0"/>
    <x v="3"/>
  </r>
  <r>
    <s v="19.10.19"/>
    <m/>
    <m/>
    <s v="D"/>
    <n v="2"/>
    <s v="Road Vehicle"/>
    <n v="4"/>
    <x v="3"/>
    <x v="0"/>
    <n v="1"/>
    <x v="0"/>
    <s v="MBARARA TOWN"/>
    <s v="Mbarara"/>
    <s v="UG"/>
    <n v="1"/>
    <s v="Home"/>
    <s v="KAMWENGE TOWN"/>
    <s v="KAMWENGE"/>
    <s v="UG"/>
    <n v="2"/>
    <s v="Work"/>
    <x v="1"/>
    <n v="120000"/>
    <n v="75"/>
    <x v="1"/>
    <n v="2"/>
    <x v="0"/>
    <n v="2"/>
    <s v="Manual Labour"/>
    <n v="2"/>
    <x v="3"/>
    <n v="5"/>
    <n v="2"/>
    <n v="1"/>
    <n v="1"/>
    <n v="1"/>
    <s v="Y"/>
    <n v="0"/>
    <x v="3"/>
  </r>
  <r>
    <s v="20.10.19"/>
    <d v="1899-12-30T13:03:00"/>
    <m/>
    <s v="P"/>
    <n v="2"/>
    <s v="Road Vehicle"/>
    <n v="4"/>
    <x v="3"/>
    <x v="0"/>
    <n v="1"/>
    <x v="0"/>
    <s v="KIDONGO"/>
    <s v="Mbarara"/>
    <s v="UG"/>
    <n v="1"/>
    <s v="Home"/>
    <s v="KIZUNGU"/>
    <s v="MBARARA"/>
    <s v="UG"/>
    <n v="2"/>
    <s v="Work"/>
    <x v="1"/>
    <n v="2000"/>
    <m/>
    <x v="0"/>
    <n v="0.11600000000000001"/>
    <x v="3"/>
    <n v="5"/>
    <s v="Professional"/>
    <n v="2"/>
    <x v="3"/>
    <n v="3"/>
    <n v="4"/>
    <n v="4"/>
    <n v="5"/>
    <n v="5"/>
    <s v="Y"/>
    <n v="10000"/>
    <x v="5"/>
  </r>
  <r>
    <s v="20.10.19"/>
    <d v="1899-12-30T12:25:00"/>
    <m/>
    <s v="P"/>
    <n v="2"/>
    <s v="Road Vehicle"/>
    <n v="4"/>
    <x v="3"/>
    <x v="0"/>
    <n v="1"/>
    <x v="0"/>
    <s v="BWAFULA"/>
    <s v="Mbarara"/>
    <s v="UG"/>
    <n v="1"/>
    <s v="Home"/>
    <s v="KIZUNGU"/>
    <s v="MBARARA"/>
    <s v="UG"/>
    <n v="7"/>
    <s v="Hospital"/>
    <x v="32"/>
    <n v="2000"/>
    <m/>
    <x v="0"/>
    <n v="0.06"/>
    <x v="3"/>
    <n v="2"/>
    <s v="Manual Labour"/>
    <n v="2"/>
    <x v="3"/>
    <n v="5"/>
    <n v="3"/>
    <n v="4"/>
    <n v="1"/>
    <n v="2"/>
    <s v="Y"/>
    <n v="10000"/>
    <x v="5"/>
  </r>
  <r>
    <s v="20.10.19"/>
    <d v="1899-12-30T11:15:00"/>
    <m/>
    <s v="P"/>
    <n v="2"/>
    <s v="Road Vehicle"/>
    <n v="4"/>
    <x v="3"/>
    <x v="0"/>
    <n v="1"/>
    <x v="0"/>
    <s v="KISENYI"/>
    <s v="Mbarara"/>
    <s v="UG"/>
    <n v="1"/>
    <s v="Home"/>
    <s v="MBARARA TOWN"/>
    <s v="MBARARA"/>
    <s v="UG"/>
    <n v="2"/>
    <s v="Work"/>
    <x v="1"/>
    <n v="1000"/>
    <m/>
    <x v="0"/>
    <n v="0.5"/>
    <x v="4"/>
    <n v="6"/>
    <s v="Businessman"/>
    <n v="1"/>
    <x v="2"/>
    <n v="5"/>
    <n v="4"/>
    <n v="3"/>
    <n v="1"/>
    <n v="2"/>
    <s v="Y"/>
    <n v="5000"/>
    <x v="2"/>
  </r>
  <r>
    <s v="20.10.19"/>
    <d v="1899-12-30T11:57:00"/>
    <m/>
    <s v="P"/>
    <n v="2"/>
    <s v="Road Vehicle"/>
    <n v="4"/>
    <x v="3"/>
    <x v="0"/>
    <n v="1"/>
    <x v="0"/>
    <s v="KUBIRI"/>
    <s v="Mbarara"/>
    <s v="UG"/>
    <n v="1"/>
    <s v="Home"/>
    <s v="KIZUNGU"/>
    <s v="MBARARA"/>
    <s v="UG"/>
    <n v="2"/>
    <s v="Work"/>
    <x v="1"/>
    <n v="2000"/>
    <n v="2"/>
    <x v="0"/>
    <n v="0.16600000000000001"/>
    <x v="3"/>
    <n v="6"/>
    <s v="Businessman"/>
    <n v="1"/>
    <x v="2"/>
    <n v="4"/>
    <n v="2"/>
    <n v="4"/>
    <n v="3"/>
    <n v="3"/>
    <s v="Y"/>
    <n v="3000"/>
    <x v="0"/>
  </r>
  <r>
    <s v="20.10.19"/>
    <m/>
    <m/>
    <s v="P"/>
    <n v="2"/>
    <s v="Road Vehicle"/>
    <n v="4"/>
    <x v="3"/>
    <x v="0"/>
    <n v="1"/>
    <x v="0"/>
    <s v="MBARARA TOWN"/>
    <s v="Mbarara"/>
    <s v="UG"/>
    <n v="1"/>
    <s v="Home"/>
    <s v="MITOMA TOWN"/>
    <s v="MITOMA"/>
    <s v="UG"/>
    <n v="8"/>
    <s v="Others"/>
    <x v="13"/>
    <n v="10000"/>
    <m/>
    <x v="0"/>
    <n v="2.5"/>
    <x v="0"/>
    <n v="2"/>
    <s v="Manual Labour"/>
    <n v="1"/>
    <x v="2"/>
    <n v="5"/>
    <n v="2"/>
    <n v="2"/>
    <n v="2"/>
    <n v="2"/>
    <s v="Y"/>
    <n v="7000"/>
    <x v="2"/>
  </r>
  <r>
    <s v="20.10.19"/>
    <m/>
    <m/>
    <s v="P"/>
    <n v="2"/>
    <s v="Road Vehicle"/>
    <n v="4"/>
    <x v="3"/>
    <x v="0"/>
    <n v="1"/>
    <x v="0"/>
    <s v="MBARARA TOWN"/>
    <s v="Mbarara"/>
    <s v="UG"/>
    <n v="1"/>
    <s v="Home"/>
    <s v="BUSHENYI TOWN"/>
    <s v="BUSHENYI"/>
    <s v="UG"/>
    <n v="2"/>
    <s v="Work"/>
    <x v="1"/>
    <n v="7000"/>
    <m/>
    <x v="0"/>
    <n v="3"/>
    <x v="0"/>
    <n v="2"/>
    <s v="Manual Labour"/>
    <n v="1"/>
    <x v="2"/>
    <n v="2"/>
    <n v="2"/>
    <n v="2"/>
    <n v="2"/>
    <n v="2"/>
    <s v="Y"/>
    <n v="4000"/>
    <x v="0"/>
  </r>
  <r>
    <s v="20.10.19"/>
    <m/>
    <m/>
    <s v="P"/>
    <n v="2"/>
    <s v="Road Vehicle"/>
    <n v="4"/>
    <x v="3"/>
    <x v="0"/>
    <n v="1"/>
    <x v="0"/>
    <s v="MBARARA TOWN"/>
    <s v="Mbarara"/>
    <s v="UG"/>
    <n v="1"/>
    <s v="Home"/>
    <s v="KABALE TOWN"/>
    <s v="KABALE"/>
    <s v="UG"/>
    <n v="2"/>
    <s v="Work"/>
    <x v="1"/>
    <n v="15000"/>
    <n v="220"/>
    <x v="3"/>
    <n v="2"/>
    <x v="0"/>
    <n v="3"/>
    <s v="Artisan/Domestic"/>
    <n v="1"/>
    <x v="2"/>
    <n v="2"/>
    <n v="2"/>
    <n v="2"/>
    <n v="2"/>
    <n v="2"/>
    <s v="Y"/>
    <n v="0"/>
    <x v="3"/>
  </r>
  <r>
    <s v="20.10.19"/>
    <m/>
    <m/>
    <s v="P"/>
    <n v="2"/>
    <s v="Road Vehicle"/>
    <n v="4"/>
    <x v="3"/>
    <x v="0"/>
    <n v="1"/>
    <x v="0"/>
    <s v="MBARARA TOWN"/>
    <s v="Mbarara"/>
    <s v="UG"/>
    <n v="1"/>
    <s v="Home"/>
    <s v="KANUNGU TOWN"/>
    <s v="KANUNGU"/>
    <s v="UG"/>
    <n v="8"/>
    <s v="Others"/>
    <x v="13"/>
    <n v="15000"/>
    <n v="200"/>
    <x v="3"/>
    <n v="5"/>
    <x v="2"/>
    <n v="5"/>
    <s v="Professional"/>
    <n v="2"/>
    <x v="3"/>
    <n v="5"/>
    <n v="2"/>
    <n v="2"/>
    <n v="2"/>
    <n v="2"/>
    <s v="Y"/>
    <n v="0"/>
    <x v="3"/>
  </r>
  <r>
    <s v="20.10.19"/>
    <m/>
    <m/>
    <s v="P"/>
    <n v="2"/>
    <s v="Road Vehicle"/>
    <n v="4"/>
    <x v="3"/>
    <x v="0"/>
    <n v="1"/>
    <x v="0"/>
    <s v="MBARARA TOWN"/>
    <s v="Mbarara"/>
    <s v="UG"/>
    <n v="1"/>
    <s v="Home"/>
    <s v="IBANDA TOWN"/>
    <s v="IBANDA"/>
    <s v="UG"/>
    <n v="6"/>
    <s v="Leisure/Social"/>
    <x v="8"/>
    <n v="8000"/>
    <n v="45"/>
    <x v="5"/>
    <n v="1"/>
    <x v="1"/>
    <n v="2"/>
    <s v="Manual Labour"/>
    <n v="1"/>
    <x v="2"/>
    <n v="5"/>
    <n v="2"/>
    <n v="2"/>
    <n v="2"/>
    <n v="2"/>
    <s v="Y"/>
    <n v="0"/>
    <x v="3"/>
  </r>
  <r>
    <s v="20.10.19"/>
    <m/>
    <m/>
    <s v="P"/>
    <n v="2"/>
    <s v="Road Vehicle"/>
    <n v="4"/>
    <x v="3"/>
    <x v="0"/>
    <n v="1"/>
    <x v="0"/>
    <s v="MBARARA TOWN"/>
    <s v="Mbarara"/>
    <s v="UG"/>
    <n v="1"/>
    <s v="Home"/>
    <s v="KASESE TOWN"/>
    <s v="KASESE"/>
    <s v="UG"/>
    <n v="2"/>
    <s v="Work"/>
    <x v="1"/>
    <n v="20000"/>
    <n v="130"/>
    <x v="2"/>
    <n v="1"/>
    <x v="1"/>
    <n v="6"/>
    <s v="Businessman"/>
    <n v="1"/>
    <x v="2"/>
    <n v="5"/>
    <n v="5"/>
    <n v="2"/>
    <n v="2"/>
    <n v="2"/>
    <s v="Y"/>
    <n v="5000"/>
    <x v="2"/>
  </r>
  <r>
    <s v="20.10.19"/>
    <m/>
    <m/>
    <s v="P"/>
    <n v="2"/>
    <s v="Road Vehicle"/>
    <n v="4"/>
    <x v="3"/>
    <x v="0"/>
    <n v="1"/>
    <x v="0"/>
    <s v="MBARARA TOWN"/>
    <s v="Mbarara"/>
    <s v="UG"/>
    <n v="1"/>
    <s v="Home"/>
    <s v="KAMPALA TOWN"/>
    <s v="KAMPALA"/>
    <s v="UG"/>
    <n v="2"/>
    <s v="Work"/>
    <x v="1"/>
    <n v="20000"/>
    <n v="270"/>
    <x v="3"/>
    <n v="4.5"/>
    <x v="2"/>
    <n v="2"/>
    <s v="Manual Labour"/>
    <n v="1"/>
    <x v="2"/>
    <n v="2"/>
    <n v="2"/>
    <n v="2"/>
    <n v="2"/>
    <n v="2"/>
    <s v="Y"/>
    <n v="3000"/>
    <x v="0"/>
  </r>
  <r>
    <s v="20.10.19"/>
    <m/>
    <m/>
    <s v="P"/>
    <n v="2"/>
    <s v="Road Vehicle"/>
    <n v="4"/>
    <x v="3"/>
    <x v="0"/>
    <n v="1"/>
    <x v="0"/>
    <s v="MBARARA TOWN"/>
    <s v="Mbarara"/>
    <s v="UG"/>
    <n v="1"/>
    <s v="Home"/>
    <s v="MASAKA TOWN"/>
    <s v="MASAKA"/>
    <s v="UG"/>
    <n v="2"/>
    <s v="Work"/>
    <x v="1"/>
    <n v="15000"/>
    <n v="130"/>
    <x v="2"/>
    <n v="1.5"/>
    <x v="1"/>
    <n v="2"/>
    <s v="Manual Labour"/>
    <n v="2"/>
    <x v="3"/>
    <n v="5"/>
    <n v="5"/>
    <n v="2"/>
    <n v="2"/>
    <n v="2"/>
    <s v="Y"/>
    <n v="0"/>
    <x v="3"/>
  </r>
  <r>
    <s v="19.10.19"/>
    <d v="1899-12-30T13:20:00"/>
    <m/>
    <s v="P"/>
    <n v="2"/>
    <s v="Road Vehicle"/>
    <n v="1"/>
    <x v="0"/>
    <x v="1"/>
    <n v="2"/>
    <x v="1"/>
    <s v="NAMITYOBORA"/>
    <s v="Mbarara"/>
    <s v="UG"/>
    <n v="2"/>
    <s v="Work"/>
    <s v="KISENYI"/>
    <s v="MBARARA"/>
    <s v="UG"/>
    <n v="1"/>
    <s v="Home"/>
    <x v="4"/>
    <n v="1000"/>
    <n v="2"/>
    <x v="0"/>
    <n v="0.33"/>
    <x v="3"/>
    <n v="5"/>
    <s v="Professional"/>
    <n v="2"/>
    <x v="3"/>
    <n v="2"/>
    <n v="1"/>
    <n v="3"/>
    <n v="3"/>
    <n v="4"/>
    <s v="Y"/>
    <n v="0"/>
    <x v="3"/>
  </r>
  <r>
    <s v="19.10.19"/>
    <d v="1899-12-30T13:02:00"/>
    <m/>
    <s v="P"/>
    <n v="2"/>
    <s v="Road Vehicle"/>
    <n v="1"/>
    <x v="0"/>
    <x v="1"/>
    <n v="2"/>
    <x v="1"/>
    <s v="NAMUJOMBA"/>
    <s v="Mbarara"/>
    <s v="UG"/>
    <n v="1"/>
    <s v="Home"/>
    <s v="KISENYI"/>
    <s v="MBARARA"/>
    <s v="UG"/>
    <n v="2"/>
    <s v="Work"/>
    <x v="1"/>
    <n v="1000"/>
    <n v="1"/>
    <x v="0"/>
    <n v="0.16"/>
    <x v="3"/>
    <n v="2"/>
    <s v="Manual Labour"/>
    <n v="1"/>
    <x v="2"/>
    <n v="2"/>
    <n v="1"/>
    <n v="3"/>
    <n v="4"/>
    <n v="3"/>
    <s v="Y"/>
    <n v="1000"/>
    <x v="4"/>
  </r>
  <r>
    <s v="18.10.19"/>
    <m/>
    <m/>
    <s v="D"/>
    <n v="2"/>
    <s v="Road Vehicle"/>
    <n v="1"/>
    <x v="0"/>
    <x v="0"/>
    <n v="2"/>
    <x v="1"/>
    <s v="MBARARA TOWN"/>
    <s v="Mbarara"/>
    <s v="UG"/>
    <n v="1"/>
    <s v="Home"/>
    <s v="RUKUNGIRI TOWN"/>
    <s v="RUKUNGIRI"/>
    <s v="UG"/>
    <n v="2"/>
    <s v="Work"/>
    <x v="1"/>
    <n v="400000"/>
    <n v="65"/>
    <x v="5"/>
    <n v="2"/>
    <x v="0"/>
    <n v="2"/>
    <s v="Manual Labour"/>
    <n v="2"/>
    <x v="3"/>
    <n v="5"/>
    <n v="1"/>
    <n v="1"/>
    <n v="1"/>
    <n v="1"/>
    <s v="Y"/>
    <n v="5000"/>
    <x v="2"/>
  </r>
  <r>
    <s v="19.10.19"/>
    <m/>
    <m/>
    <s v="D"/>
    <n v="2"/>
    <s v="Road Vehicle"/>
    <n v="1"/>
    <x v="0"/>
    <x v="0"/>
    <n v="2"/>
    <x v="1"/>
    <s v="MBARARA TOWN"/>
    <s v="Mbarara"/>
    <s v="UG"/>
    <n v="1"/>
    <s v="Home"/>
    <s v="KABAYUNDA"/>
    <s v="ISINGIRO"/>
    <s v="UG"/>
    <n v="2"/>
    <s v="Work"/>
    <x v="1"/>
    <n v="60000"/>
    <n v="80"/>
    <x v="1"/>
    <n v="1.5"/>
    <x v="1"/>
    <n v="5"/>
    <s v="Professional"/>
    <n v="5"/>
    <x v="4"/>
    <n v="5"/>
    <n v="2"/>
    <n v="1"/>
    <n v="1"/>
    <n v="1"/>
    <s v="Y"/>
    <n v="2000"/>
    <x v="1"/>
  </r>
  <r>
    <s v="19.10.19"/>
    <d v="1899-12-30T11:20:00"/>
    <m/>
    <s v="D"/>
    <n v="2"/>
    <s v="Road Vehicle"/>
    <n v="1"/>
    <x v="0"/>
    <x v="0"/>
    <n v="2"/>
    <x v="1"/>
    <s v="KAKOOBA"/>
    <s v="Mbarara"/>
    <s v="UG"/>
    <n v="2"/>
    <s v="Work"/>
    <s v="BIHWARWE"/>
    <s v="MBARARA"/>
    <s v="UG"/>
    <n v="1"/>
    <s v="Home"/>
    <x v="4"/>
    <n v="2000"/>
    <n v="6"/>
    <x v="0"/>
    <n v="0.25"/>
    <x v="3"/>
    <n v="10"/>
    <s v="Other"/>
    <n v="4"/>
    <x v="0"/>
    <n v="2"/>
    <n v="1"/>
    <n v="3"/>
    <n v="3"/>
    <n v="4"/>
    <s v="Y"/>
    <n v="500"/>
    <x v="3"/>
  </r>
  <r>
    <s v="20.10.19"/>
    <d v="1899-12-30T10:00:00"/>
    <m/>
    <s v="D"/>
    <n v="2"/>
    <s v="Road Vehicle"/>
    <n v="1"/>
    <x v="0"/>
    <x v="0"/>
    <n v="2"/>
    <x v="1"/>
    <s v="MBARARA TOWN"/>
    <s v="Mbarara"/>
    <s v="UG"/>
    <n v="2"/>
    <s v="Work"/>
    <s v="ISINGIRO TOWN"/>
    <s v="ISINGIRO"/>
    <s v="UG"/>
    <n v="1"/>
    <s v="Home"/>
    <x v="4"/>
    <n v="40000"/>
    <m/>
    <x v="0"/>
    <n v="1"/>
    <x v="1"/>
    <n v="10"/>
    <s v="Other"/>
    <n v="1"/>
    <x v="2"/>
    <n v="3"/>
    <n v="4"/>
    <n v="2"/>
    <n v="3"/>
    <n v="4"/>
    <s v="Y"/>
    <n v="1000"/>
    <x v="4"/>
  </r>
  <r>
    <s v="20.10.19"/>
    <d v="1899-12-30T10:13:00"/>
    <m/>
    <s v="D"/>
    <n v="2"/>
    <s v="Road Vehicle"/>
    <n v="1"/>
    <x v="0"/>
    <x v="0"/>
    <n v="2"/>
    <x v="1"/>
    <s v="SURVEYOR CELL"/>
    <s v="Mbarara"/>
    <s v="UG"/>
    <n v="1"/>
    <s v="Home"/>
    <s v="MBARARA TOWN"/>
    <s v="MBARARA"/>
    <s v="UG"/>
    <n v="2"/>
    <s v="Work"/>
    <x v="1"/>
    <n v="10000"/>
    <m/>
    <x v="0"/>
    <n v="0.5"/>
    <x v="4"/>
    <n v="6"/>
    <s v="Businessman"/>
    <n v="2"/>
    <x v="3"/>
    <n v="4"/>
    <n v="3"/>
    <n v="2"/>
    <n v="4"/>
    <n v="5"/>
    <s v="Y"/>
    <n v="3000"/>
    <x v="0"/>
  </r>
  <r>
    <s v="20.10.19"/>
    <d v="1899-12-30T09:15:00"/>
    <m/>
    <s v="D"/>
    <n v="2"/>
    <s v="Road Vehicle"/>
    <n v="1"/>
    <x v="0"/>
    <x v="0"/>
    <n v="2"/>
    <x v="1"/>
    <s v="MBARARA TOWN"/>
    <s v="Mbarara"/>
    <s v="UG"/>
    <n v="4"/>
    <s v="Commercial"/>
    <s v="BUSHENYI TOWN"/>
    <s v="BUSHENYI"/>
    <s v="UG"/>
    <n v="4"/>
    <s v="Commercial"/>
    <x v="18"/>
    <n v="50000"/>
    <n v="64"/>
    <x v="5"/>
    <n v="1.5"/>
    <x v="1"/>
    <n v="10"/>
    <s v="Other"/>
    <n v="1"/>
    <x v="2"/>
    <n v="4"/>
    <n v="4"/>
    <n v="1"/>
    <n v="3"/>
    <n v="5"/>
    <s v="Y"/>
    <n v="0"/>
    <x v="3"/>
  </r>
  <r>
    <s v="20.10.19"/>
    <m/>
    <m/>
    <s v="D"/>
    <n v="2"/>
    <s v="Road Vehicle"/>
    <n v="1"/>
    <x v="0"/>
    <x v="0"/>
    <n v="2"/>
    <x v="1"/>
    <s v="MBARARA TOWN"/>
    <s v="Mbarara"/>
    <s v="UG"/>
    <n v="2"/>
    <s v="Work"/>
    <s v="KATETE"/>
    <s v="MBARARA"/>
    <s v="UG"/>
    <n v="1"/>
    <s v="Home"/>
    <x v="4"/>
    <n v="6000"/>
    <n v="15"/>
    <x v="6"/>
    <n v="0.33"/>
    <x v="3"/>
    <n v="6"/>
    <s v="Businessman"/>
    <n v="1"/>
    <x v="2"/>
    <n v="5"/>
    <n v="2"/>
    <n v="2"/>
    <n v="2"/>
    <n v="2"/>
    <s v="Y"/>
    <n v="0"/>
    <x v="3"/>
  </r>
  <r>
    <s v="20.10.19"/>
    <m/>
    <m/>
    <s v="P"/>
    <n v="2"/>
    <s v="Road Vehicle"/>
    <n v="1"/>
    <x v="0"/>
    <x v="0"/>
    <n v="2"/>
    <x v="1"/>
    <s v="MBARARA TOWN"/>
    <s v="Mbarara"/>
    <s v="UG"/>
    <n v="1"/>
    <s v="Home"/>
    <s v="KISASI"/>
    <s v="KAMPALA"/>
    <s v="UG"/>
    <n v="6"/>
    <s v="Leisure/Social"/>
    <x v="8"/>
    <n v="30000"/>
    <n v="260"/>
    <x v="3"/>
    <n v="3"/>
    <x v="0"/>
    <n v="5"/>
    <s v="Professional"/>
    <n v="2"/>
    <x v="3"/>
    <n v="2"/>
    <n v="2"/>
    <n v="2"/>
    <n v="2"/>
    <n v="2"/>
    <s v="Y"/>
    <n v="0"/>
    <x v="3"/>
  </r>
  <r>
    <s v="19.10.19"/>
    <d v="1899-12-30T00:25:00"/>
    <m/>
    <s v="D"/>
    <n v="2"/>
    <s v="Road Vehicle"/>
    <n v="9"/>
    <x v="8"/>
    <x v="0"/>
    <n v="2"/>
    <x v="1"/>
    <s v="KYIMANYA"/>
    <s v="MASAKA"/>
    <s v="UG"/>
    <n v="2"/>
    <s v="Work"/>
    <s v="KANSANGA"/>
    <s v="KAMPALA"/>
    <s v="UG"/>
    <n v="1"/>
    <s v="Home"/>
    <x v="4"/>
    <n v="600000"/>
    <n v="138"/>
    <x v="2"/>
    <n v="3"/>
    <x v="0"/>
    <n v="10"/>
    <s v="Other"/>
    <n v="1"/>
    <x v="2"/>
    <n v="2"/>
    <n v="1"/>
    <n v="3"/>
    <n v="4"/>
    <n v="5"/>
    <s v="Y"/>
    <n v="5000"/>
    <x v="2"/>
  </r>
  <r>
    <s v="18.10.19"/>
    <d v="1899-12-30T16:15:00"/>
    <m/>
    <s v="P"/>
    <n v="2"/>
    <s v="Road Vehicle"/>
    <n v="6"/>
    <x v="1"/>
    <x v="1"/>
    <n v="2"/>
    <x v="1"/>
    <s v="MASAKA TOWN"/>
    <s v="MASAKA"/>
    <s v="UG"/>
    <n v="4"/>
    <s v="Commercial"/>
    <s v="MBARARA TOWN"/>
    <s v="MBARARA"/>
    <s v="UG"/>
    <n v="4"/>
    <s v="Commercial"/>
    <x v="18"/>
    <n v="15000"/>
    <m/>
    <x v="0"/>
    <n v="2"/>
    <x v="0"/>
    <n v="6"/>
    <s v="Businessman"/>
    <n v="5"/>
    <x v="4"/>
    <n v="2"/>
    <n v="4"/>
    <n v="2"/>
    <n v="3"/>
    <n v="2"/>
    <s v="Y"/>
    <n v="500"/>
    <x v="3"/>
  </r>
  <r>
    <s v="18.10.19"/>
    <d v="1899-12-30T15:10:00"/>
    <m/>
    <s v="P"/>
    <n v="2"/>
    <s v="Road Vehicle"/>
    <n v="6"/>
    <x v="1"/>
    <x v="1"/>
    <n v="2"/>
    <x v="1"/>
    <s v="MBARARA TOWN"/>
    <s v="Mbarara"/>
    <s v="UG"/>
    <n v="1"/>
    <s v="Home"/>
    <s v="KAMPALA TOWN"/>
    <s v="KAMPALA"/>
    <s v="UG"/>
    <n v="4"/>
    <s v="Commercial"/>
    <x v="0"/>
    <n v="20000"/>
    <m/>
    <x v="0"/>
    <n v="4.5"/>
    <x v="2"/>
    <n v="6"/>
    <s v="Businessman"/>
    <n v="5"/>
    <x v="4"/>
    <n v="3"/>
    <n v="3"/>
    <n v="3"/>
    <n v="1"/>
    <n v="2"/>
    <s v="Y"/>
    <n v="2000"/>
    <x v="1"/>
  </r>
  <r>
    <s v="18.10.19"/>
    <d v="1899-12-30T15:40:00"/>
    <m/>
    <s v="P"/>
    <n v="2"/>
    <s v="Road Vehicle"/>
    <n v="6"/>
    <x v="1"/>
    <x v="1"/>
    <n v="2"/>
    <x v="1"/>
    <s v="MBARARA TOWN"/>
    <s v="Mbarara"/>
    <s v="UG"/>
    <n v="1"/>
    <s v="Home"/>
    <s v="KAMPALA TOWN"/>
    <s v="KAMPALA"/>
    <s v="UG"/>
    <n v="8"/>
    <s v="Others"/>
    <x v="13"/>
    <n v="20000"/>
    <m/>
    <x v="0"/>
    <n v="5.5"/>
    <x v="2"/>
    <n v="5"/>
    <s v="Professional"/>
    <n v="3"/>
    <x v="1"/>
    <n v="2"/>
    <n v="2"/>
    <n v="4"/>
    <n v="2"/>
    <n v="3"/>
    <s v="Y"/>
    <n v="3000"/>
    <x v="0"/>
  </r>
  <r>
    <s v="20.10.19"/>
    <d v="1899-12-30T17:13:00"/>
    <m/>
    <s v="P"/>
    <n v="2"/>
    <s v="Road Vehicle"/>
    <n v="6"/>
    <x v="1"/>
    <x v="1"/>
    <n v="2"/>
    <x v="1"/>
    <s v="BUSHENYI TOWN"/>
    <s v="bushenyi"/>
    <s v="UG"/>
    <n v="8"/>
    <s v="Others"/>
    <s v="MBARARA TOWN"/>
    <s v="MBARARA"/>
    <s v="UG"/>
    <n v="1"/>
    <s v="Home"/>
    <x v="12"/>
    <n v="6000"/>
    <m/>
    <x v="0"/>
    <n v="0.91"/>
    <x v="4"/>
    <n v="4"/>
    <s v="Office Worker"/>
    <n v="2"/>
    <x v="3"/>
    <n v="3"/>
    <n v="4"/>
    <n v="5"/>
    <n v="2"/>
    <n v="4"/>
    <s v="Y"/>
    <n v="3000"/>
    <x v="0"/>
  </r>
  <r>
    <s v="20.10.19"/>
    <d v="1899-12-30T18:03:00"/>
    <m/>
    <s v="P"/>
    <n v="2"/>
    <s v="Road Vehicle"/>
    <n v="6"/>
    <x v="1"/>
    <x v="1"/>
    <n v="2"/>
    <x v="1"/>
    <s v="KIBAARE"/>
    <s v="Mbarara"/>
    <s v="UG"/>
    <n v="2"/>
    <s v="Work"/>
    <s v="KISORO TOWN"/>
    <s v="KISORO"/>
    <s v="UG"/>
    <n v="1"/>
    <s v="Home"/>
    <x v="4"/>
    <n v="10000"/>
    <n v="74"/>
    <x v="1"/>
    <n v="1.5"/>
    <x v="1"/>
    <n v="6"/>
    <s v="Businessman"/>
    <n v="1"/>
    <x v="2"/>
    <n v="3"/>
    <n v="1"/>
    <n v="4"/>
    <n v="2"/>
    <n v="5"/>
    <s v="Y"/>
    <n v="2000"/>
    <x v="1"/>
  </r>
  <r>
    <s v="20.10.19"/>
    <d v="1899-12-30T14:51:00"/>
    <m/>
    <s v="P"/>
    <n v="2"/>
    <s v="Road Vehicle"/>
    <n v="6"/>
    <x v="1"/>
    <x v="1"/>
    <n v="2"/>
    <x v="1"/>
    <s v="MBARARA TOWN"/>
    <s v="Mbarara"/>
    <s v="UG"/>
    <n v="1"/>
    <s v="Home"/>
    <s v="KAMPALA TOWN"/>
    <s v="KAMPALA"/>
    <s v="UG"/>
    <n v="3"/>
    <s v="Study"/>
    <x v="25"/>
    <n v="20000"/>
    <n v="280"/>
    <x v="3"/>
    <n v="5"/>
    <x v="2"/>
    <n v="8"/>
    <s v="Student"/>
    <n v="1"/>
    <x v="2"/>
    <n v="1"/>
    <n v="2"/>
    <n v="3"/>
    <n v="5"/>
    <n v="4"/>
    <s v="Y"/>
    <n v="0"/>
    <x v="3"/>
  </r>
  <r>
    <s v="20.10.19"/>
    <d v="1899-12-30T14:42:00"/>
    <m/>
    <s v="P"/>
    <n v="2"/>
    <s v="Road Vehicle"/>
    <n v="6"/>
    <x v="1"/>
    <x v="1"/>
    <n v="2"/>
    <x v="1"/>
    <s v="KISENYI"/>
    <s v="Mbarara"/>
    <s v="UG"/>
    <n v="2"/>
    <s v="Work"/>
    <s v="ENTEBBE"/>
    <s v="WAKISO"/>
    <s v="UG"/>
    <n v="1"/>
    <s v="Home"/>
    <x v="4"/>
    <n v="20000"/>
    <n v="270"/>
    <x v="3"/>
    <n v="4.5"/>
    <x v="2"/>
    <n v="4"/>
    <s v="Office Worker"/>
    <n v="3"/>
    <x v="1"/>
    <n v="5"/>
    <n v="4"/>
    <n v="3"/>
    <n v="2"/>
    <n v="1"/>
    <s v="Y"/>
    <n v="3000"/>
    <x v="0"/>
  </r>
  <r>
    <s v="20.10.19"/>
    <d v="1899-12-30T14:38:00"/>
    <m/>
    <s v="P"/>
    <n v="2"/>
    <s v="Road Vehicle"/>
    <n v="6"/>
    <x v="1"/>
    <x v="1"/>
    <n v="2"/>
    <x v="1"/>
    <s v="MBARARA TOWN"/>
    <s v="Mbarara"/>
    <s v="UG"/>
    <n v="2"/>
    <s v="Work"/>
    <s v="KISORO TOWN"/>
    <s v="KISORO"/>
    <s v="UG"/>
    <n v="3"/>
    <s v="Study"/>
    <x v="33"/>
    <n v="40000"/>
    <n v="370"/>
    <x v="3"/>
    <n v="9"/>
    <x v="2"/>
    <n v="4"/>
    <s v="Office Worker"/>
    <n v="3"/>
    <x v="1"/>
    <n v="1"/>
    <n v="2"/>
    <n v="5"/>
    <n v="4"/>
    <n v="3"/>
    <s v="Y"/>
    <n v="0"/>
    <x v="3"/>
  </r>
  <r>
    <s v="18.10.19"/>
    <d v="1899-12-30T17:50:00"/>
    <m/>
    <s v="D"/>
    <n v="2"/>
    <s v="Road Vehicle"/>
    <n v="6"/>
    <x v="1"/>
    <x v="0"/>
    <n v="2"/>
    <x v="1"/>
    <s v="KIRERE"/>
    <s v="SHEEMA"/>
    <s v="UG"/>
    <n v="2"/>
    <s v="Work"/>
    <s v="NANSANA"/>
    <s v="WAKISO"/>
    <s v="UG"/>
    <n v="1"/>
    <s v="Home"/>
    <x v="4"/>
    <n v="800000"/>
    <n v="400"/>
    <x v="3"/>
    <n v="5"/>
    <x v="2"/>
    <n v="10"/>
    <s v="Other"/>
    <n v="1"/>
    <x v="2"/>
    <n v="2"/>
    <n v="4"/>
    <n v="1"/>
    <n v="5"/>
    <n v="3"/>
    <s v="Y"/>
    <n v="10000"/>
    <x v="5"/>
  </r>
  <r>
    <s v="18.10.19"/>
    <d v="1899-12-30T16:20:00"/>
    <m/>
    <s v="D"/>
    <n v="2"/>
    <s v="Road Vehicle"/>
    <n v="6"/>
    <x v="1"/>
    <x v="0"/>
    <n v="2"/>
    <x v="1"/>
    <s v="MBARARA TOWN"/>
    <s v="Mbarara"/>
    <s v="UG"/>
    <n v="2"/>
    <s v="Work"/>
    <s v="KAMPALA TOWN"/>
    <s v="KAMPALA"/>
    <s v="UG"/>
    <n v="1"/>
    <s v="Home"/>
    <x v="4"/>
    <n v="800000"/>
    <n v="215"/>
    <x v="3"/>
    <n v="5"/>
    <x v="2"/>
    <n v="10"/>
    <s v="Other"/>
    <n v="4"/>
    <x v="0"/>
    <n v="2"/>
    <n v="3"/>
    <n v="1"/>
    <n v="4"/>
    <n v="5"/>
    <s v="Y"/>
    <n v="0"/>
    <x v="3"/>
  </r>
  <r>
    <s v="18.10.19"/>
    <d v="1899-12-30T16:26:00"/>
    <m/>
    <s v="D"/>
    <n v="2"/>
    <s v="Road Vehicle"/>
    <n v="6"/>
    <x v="1"/>
    <x v="0"/>
    <n v="2"/>
    <x v="1"/>
    <s v="MBARARA TOWN"/>
    <s v="Mbarara"/>
    <s v="UG"/>
    <n v="2"/>
    <s v="Work"/>
    <s v="KAMPALA TOWN"/>
    <s v="KAMPALA"/>
    <s v="UG"/>
    <n v="1"/>
    <s v="Home"/>
    <x v="4"/>
    <n v="650000"/>
    <n v="200"/>
    <x v="3"/>
    <n v="4.5"/>
    <x v="2"/>
    <n v="10"/>
    <s v="Other"/>
    <n v="3"/>
    <x v="1"/>
    <n v="2"/>
    <n v="3"/>
    <n v="5"/>
    <n v="4"/>
    <n v="1"/>
    <s v="Y"/>
    <n v="6000"/>
    <x v="2"/>
  </r>
  <r>
    <s v="18.10.19"/>
    <d v="1899-12-30T17:05:00"/>
    <m/>
    <s v="D"/>
    <n v="2"/>
    <s v="Road Vehicle"/>
    <n v="6"/>
    <x v="1"/>
    <x v="0"/>
    <n v="2"/>
    <x v="1"/>
    <s v="MBARARA TOWN"/>
    <s v="Mbarara"/>
    <s v="UG"/>
    <n v="2"/>
    <s v="Work"/>
    <s v="KAMPALA TOWN"/>
    <s v="KAMPALA"/>
    <s v="UG"/>
    <n v="1"/>
    <s v="Home"/>
    <x v="4"/>
    <n v="650000"/>
    <n v="217"/>
    <x v="3"/>
    <n v="4.5"/>
    <x v="2"/>
    <n v="10"/>
    <s v="Other"/>
    <n v="4"/>
    <x v="0"/>
    <n v="2"/>
    <n v="1"/>
    <n v="3"/>
    <n v="4"/>
    <n v="5"/>
    <s v="Y"/>
    <n v="0"/>
    <x v="3"/>
  </r>
  <r>
    <s v="18.10.19"/>
    <d v="1899-12-30T17:15:00"/>
    <m/>
    <s v="P"/>
    <n v="2"/>
    <s v="Road Vehicle"/>
    <n v="6"/>
    <x v="1"/>
    <x v="0"/>
    <n v="2"/>
    <x v="1"/>
    <s v="KAMPALA TOWN"/>
    <s v="KAMPALA"/>
    <s v="UG"/>
    <n v="2"/>
    <s v="Work"/>
    <s v="NTUNGAMO TOWN"/>
    <s v="NTUNGAMO"/>
    <s v="UG"/>
    <n v="1"/>
    <s v="Home"/>
    <x v="4"/>
    <n v="30000"/>
    <m/>
    <x v="0"/>
    <n v="5"/>
    <x v="2"/>
    <n v="6"/>
    <s v="Businessman"/>
    <n v="3"/>
    <x v="1"/>
    <n v="2"/>
    <n v="4"/>
    <n v="2"/>
    <n v="2"/>
    <n v="2"/>
    <s v="Y"/>
    <n v="0"/>
    <x v="3"/>
  </r>
  <r>
    <s v="18.10.19"/>
    <d v="1899-12-30T16:55:00"/>
    <m/>
    <s v="P"/>
    <n v="2"/>
    <s v="Road Vehicle"/>
    <n v="6"/>
    <x v="1"/>
    <x v="0"/>
    <n v="2"/>
    <x v="1"/>
    <s v="KAMPALA TOWN"/>
    <s v="KAMPALA"/>
    <s v="UG"/>
    <n v="3"/>
    <s v="Study"/>
    <s v="KABALE TOWN"/>
    <s v="KABALE"/>
    <s v="UG"/>
    <n v="1"/>
    <s v="Home"/>
    <x v="9"/>
    <n v="35000"/>
    <m/>
    <x v="0"/>
    <n v="7"/>
    <x v="2"/>
    <n v="5"/>
    <s v="Professional"/>
    <n v="5"/>
    <x v="4"/>
    <n v="3"/>
    <n v="2"/>
    <n v="2"/>
    <n v="1"/>
    <n v="2"/>
    <s v="Y"/>
    <n v="10000"/>
    <x v="5"/>
  </r>
  <r>
    <s v="18.10.19"/>
    <d v="1899-12-30T15:45:00"/>
    <m/>
    <s v="P"/>
    <n v="2"/>
    <s v="Road Vehicle"/>
    <n v="6"/>
    <x v="1"/>
    <x v="0"/>
    <n v="2"/>
    <x v="1"/>
    <s v="ISHAKA TOWN"/>
    <s v="bushenyi"/>
    <s v="UG"/>
    <n v="1"/>
    <s v="Home"/>
    <s v="MBARARA TOWN"/>
    <s v="MBARARA"/>
    <s v="UG"/>
    <n v="2"/>
    <s v="Work"/>
    <x v="1"/>
    <n v="15000"/>
    <m/>
    <x v="0"/>
    <n v="2"/>
    <x v="0"/>
    <n v="4"/>
    <s v="Office Worker"/>
    <n v="3"/>
    <x v="1"/>
    <n v="2"/>
    <n v="4"/>
    <n v="4"/>
    <n v="2"/>
    <n v="3"/>
    <s v="Y"/>
    <n v="4000"/>
    <x v="0"/>
  </r>
  <r>
    <s v="19.10.19"/>
    <m/>
    <m/>
    <s v="P"/>
    <n v="2"/>
    <s v="Road Vehicle"/>
    <n v="6"/>
    <x v="1"/>
    <x v="0"/>
    <n v="2"/>
    <x v="1"/>
    <s v="MBARARA TOWN"/>
    <s v="Mbarara"/>
    <s v="UG"/>
    <n v="1"/>
    <s v="Home"/>
    <s v="KAMPALA TOWN"/>
    <s v="KAMPALA"/>
    <s v="UG"/>
    <n v="4"/>
    <s v="Commercial"/>
    <x v="0"/>
    <n v="20000"/>
    <n v="260"/>
    <x v="3"/>
    <n v="4"/>
    <x v="2"/>
    <n v="6"/>
    <s v="Businessman"/>
    <n v="2"/>
    <x v="3"/>
    <n v="3"/>
    <n v="4"/>
    <n v="1"/>
    <n v="2"/>
    <n v="2"/>
    <s v="Y"/>
    <n v="5000"/>
    <x v="2"/>
  </r>
  <r>
    <s v="19.10.19"/>
    <d v="1899-12-30T11:15:00"/>
    <m/>
    <s v="P"/>
    <n v="2"/>
    <s v="Road Vehicle"/>
    <n v="6"/>
    <x v="1"/>
    <x v="0"/>
    <n v="2"/>
    <x v="1"/>
    <s v="RWEMIRINZI"/>
    <s v="Mbarara"/>
    <s v="UG"/>
    <n v="1"/>
    <s v="Home"/>
    <s v="KISENYI"/>
    <s v="MBARARA"/>
    <s v="UG"/>
    <n v="2"/>
    <s v="Work"/>
    <x v="1"/>
    <n v="2000"/>
    <n v="3"/>
    <x v="0"/>
    <n v="0.16600000000000001"/>
    <x v="3"/>
    <n v="5"/>
    <s v="Professional"/>
    <n v="3"/>
    <x v="1"/>
    <n v="4"/>
    <n v="5"/>
    <n v="3"/>
    <n v="1"/>
    <n v="2"/>
    <s v="Y"/>
    <n v="1000"/>
    <x v="4"/>
  </r>
  <r>
    <s v="19.10.19"/>
    <d v="1899-12-30T13:12:00"/>
    <m/>
    <s v="P"/>
    <n v="2"/>
    <s v="Road Vehicle"/>
    <n v="6"/>
    <x v="1"/>
    <x v="0"/>
    <n v="2"/>
    <x v="1"/>
    <s v="ISINGIRO TOWN"/>
    <s v="ISINGIRO"/>
    <s v="UG"/>
    <n v="2"/>
    <s v="Work"/>
    <s v="MENGO"/>
    <s v="KAMPALA"/>
    <s v="UG"/>
    <n v="1"/>
    <s v="Home"/>
    <x v="4"/>
    <n v="20000"/>
    <n v="380"/>
    <x v="3"/>
    <n v="6"/>
    <x v="2"/>
    <n v="2"/>
    <s v="Manual Labour"/>
    <n v="1"/>
    <x v="2"/>
    <n v="2"/>
    <n v="1"/>
    <n v="3"/>
    <n v="4"/>
    <n v="3"/>
    <s v="Y"/>
    <n v="500"/>
    <x v="3"/>
  </r>
  <r>
    <s v="19.10.19"/>
    <d v="1899-12-30T10:28:00"/>
    <m/>
    <s v="P"/>
    <n v="2"/>
    <s v="Road Vehicle"/>
    <n v="6"/>
    <x v="1"/>
    <x v="0"/>
    <n v="2"/>
    <x v="1"/>
    <s v="KATETE"/>
    <s v="Mbarara"/>
    <s v="UG"/>
    <n v="2"/>
    <s v="Work"/>
    <s v="KASUBI"/>
    <s v="KAMPALA"/>
    <s v="UG"/>
    <n v="1"/>
    <s v="Home"/>
    <x v="4"/>
    <n v="20000"/>
    <n v="200"/>
    <x v="3"/>
    <n v="4.5"/>
    <x v="2"/>
    <n v="6"/>
    <s v="Businessman"/>
    <n v="3"/>
    <x v="1"/>
    <n v="4"/>
    <n v="3"/>
    <n v="5"/>
    <n v="1"/>
    <n v="2"/>
    <s v="Y"/>
    <n v="5000"/>
    <x v="2"/>
  </r>
  <r>
    <s v="20.10.19"/>
    <d v="1899-12-30T18:01:00"/>
    <m/>
    <s v="P"/>
    <n v="2"/>
    <s v="Road Vehicle"/>
    <n v="6"/>
    <x v="1"/>
    <x v="0"/>
    <n v="2"/>
    <x v="1"/>
    <s v="KIHIHI"/>
    <s v="RUKUNGIRI"/>
    <s v="UG"/>
    <n v="4"/>
    <s v="Commercial"/>
    <s v="MBARARA TOWN"/>
    <s v="MBARARA"/>
    <s v="UG"/>
    <n v="4"/>
    <s v="Commercial"/>
    <x v="18"/>
    <n v="10000"/>
    <m/>
    <x v="0"/>
    <n v="2"/>
    <x v="0"/>
    <n v="6"/>
    <s v="Businessman"/>
    <n v="4"/>
    <x v="0"/>
    <n v="3"/>
    <n v="5"/>
    <n v="1"/>
    <n v="4"/>
    <n v="5"/>
    <s v="Y"/>
    <n v="0"/>
    <x v="3"/>
  </r>
  <r>
    <s v="20.10.19"/>
    <d v="1899-12-30T17:44:00"/>
    <m/>
    <s v="P"/>
    <n v="2"/>
    <s v="Road Vehicle"/>
    <n v="6"/>
    <x v="1"/>
    <x v="0"/>
    <n v="2"/>
    <x v="1"/>
    <s v="MASAKA TOWN"/>
    <s v="MASAKA"/>
    <s v="UG"/>
    <n v="1"/>
    <s v="Home"/>
    <s v="MBARARA TOWN"/>
    <s v="MBARARA"/>
    <s v="UG"/>
    <n v="2"/>
    <s v="Work"/>
    <x v="1"/>
    <n v="10000"/>
    <m/>
    <x v="0"/>
    <n v="2.5"/>
    <x v="0"/>
    <n v="2"/>
    <s v="Manual Labour"/>
    <n v="1"/>
    <x v="2"/>
    <n v="3"/>
    <n v="2"/>
    <n v="1"/>
    <n v="3"/>
    <n v="4"/>
    <s v="Y"/>
    <n v="2000"/>
    <x v="1"/>
  </r>
  <r>
    <s v="20.10.19"/>
    <d v="1899-12-30T16:10:00"/>
    <m/>
    <s v="P"/>
    <n v="2"/>
    <s v="Road Vehicle"/>
    <n v="6"/>
    <x v="1"/>
    <x v="0"/>
    <n v="2"/>
    <x v="1"/>
    <s v="MBARARA TOWN"/>
    <s v="Mbarara"/>
    <s v="UG"/>
    <n v="8"/>
    <s v="Others"/>
    <s v="KAMPALA TOWN"/>
    <s v="KAMPALA"/>
    <s v="UG"/>
    <n v="8"/>
    <s v="Others"/>
    <x v="15"/>
    <n v="20000"/>
    <m/>
    <x v="0"/>
    <n v="5"/>
    <x v="2"/>
    <n v="6"/>
    <s v="Businessman"/>
    <n v="1"/>
    <x v="2"/>
    <n v="3"/>
    <n v="4"/>
    <n v="3"/>
    <n v="2"/>
    <n v="3"/>
    <s v="Y"/>
    <n v="2000"/>
    <x v="1"/>
  </r>
  <r>
    <s v="20.10.19"/>
    <d v="1899-12-30T11:48:00"/>
    <m/>
    <s v="P"/>
    <n v="2"/>
    <s v="Road Vehicle"/>
    <n v="6"/>
    <x v="1"/>
    <x v="0"/>
    <n v="2"/>
    <x v="1"/>
    <s v="ENTEBBE"/>
    <s v="WAKISO"/>
    <s v="UG"/>
    <n v="4"/>
    <s v="Commercial"/>
    <s v="MBARARA TOWN"/>
    <s v="MBARARA"/>
    <s v="UG"/>
    <n v="4"/>
    <s v="Commercial"/>
    <x v="18"/>
    <n v="50000"/>
    <m/>
    <x v="0"/>
    <n v="6"/>
    <x v="2"/>
    <n v="6"/>
    <s v="Businessman"/>
    <n v="2"/>
    <x v="3"/>
    <n v="5"/>
    <n v="4"/>
    <n v="3"/>
    <n v="4"/>
    <n v="2"/>
    <s v="Y"/>
    <n v="10000"/>
    <x v="5"/>
  </r>
  <r>
    <s v="20.10.19"/>
    <d v="1899-12-30T09:25:00"/>
    <m/>
    <s v="P"/>
    <n v="2"/>
    <s v="Road Vehicle"/>
    <n v="6"/>
    <x v="1"/>
    <x v="0"/>
    <n v="2"/>
    <x v="1"/>
    <s v="KISIIZI"/>
    <s v="KANUNGU"/>
    <s v="UG"/>
    <n v="1"/>
    <s v="Home"/>
    <s v="KAMPALA TOWN"/>
    <s v="KAMPALA"/>
    <s v="UG"/>
    <n v="2"/>
    <s v="Work"/>
    <x v="1"/>
    <n v="40000"/>
    <m/>
    <x v="0"/>
    <n v="9"/>
    <x v="2"/>
    <n v="6"/>
    <s v="Businessman"/>
    <n v="4"/>
    <x v="0"/>
    <n v="2"/>
    <n v="4"/>
    <n v="3"/>
    <n v="3"/>
    <n v="4"/>
    <s v="Y"/>
    <n v="5000"/>
    <x v="2"/>
  </r>
  <r>
    <s v="20.10.19"/>
    <d v="1899-12-30T17:21:00"/>
    <m/>
    <s v="P"/>
    <n v="2"/>
    <s v="Road Vehicle"/>
    <n v="6"/>
    <x v="1"/>
    <x v="0"/>
    <n v="2"/>
    <x v="1"/>
    <s v="NTUNGAMO TOWN"/>
    <s v="NTUNGAMO"/>
    <s v="UG"/>
    <n v="8"/>
    <s v="Others"/>
    <s v="MBARARA TOWN"/>
    <s v="MBARARA"/>
    <s v="UG"/>
    <n v="8"/>
    <s v="Others"/>
    <x v="15"/>
    <n v="12000"/>
    <m/>
    <x v="0"/>
    <n v="1.5"/>
    <x v="1"/>
    <n v="2"/>
    <s v="Manual Labour"/>
    <n v="2"/>
    <x v="3"/>
    <n v="3"/>
    <n v="4"/>
    <n v="4"/>
    <n v="3"/>
    <n v="4"/>
    <s v="Y"/>
    <n v="0"/>
    <x v="3"/>
  </r>
  <r>
    <s v="20.10.19"/>
    <d v="1899-12-30T07:37:00"/>
    <m/>
    <s v="D"/>
    <n v="2"/>
    <s v="Road Vehicle"/>
    <n v="6"/>
    <x v="1"/>
    <x v="0"/>
    <n v="2"/>
    <x v="1"/>
    <s v="MWIZI"/>
    <s v="Mbarara"/>
    <s v="UG"/>
    <n v="2"/>
    <s v="Work"/>
    <s v="MASANAFU"/>
    <s v="KAMPALA"/>
    <s v="UG"/>
    <n v="1"/>
    <s v="Home"/>
    <x v="4"/>
    <n v="200000"/>
    <n v="280"/>
    <x v="3"/>
    <n v="5"/>
    <x v="2"/>
    <n v="10"/>
    <s v="Other"/>
    <n v="1"/>
    <x v="2"/>
    <n v="5"/>
    <n v="1"/>
    <n v="2"/>
    <n v="3"/>
    <n v="4"/>
    <s v="Y"/>
    <n v="4000"/>
    <x v="0"/>
  </r>
  <r>
    <s v="20.10.19"/>
    <d v="1899-12-30T08:00:00"/>
    <m/>
    <s v="D"/>
    <n v="2"/>
    <s v="Road Vehicle"/>
    <n v="6"/>
    <x v="1"/>
    <x v="0"/>
    <n v="2"/>
    <x v="1"/>
    <s v="KISENYI"/>
    <s v="Mbarara"/>
    <s v="UG"/>
    <n v="2"/>
    <s v="Work"/>
    <s v="KAMPALA TOWN"/>
    <s v="KAMPALA"/>
    <s v="UG"/>
    <n v="1"/>
    <s v="Home"/>
    <x v="4"/>
    <n v="750000"/>
    <n v="290"/>
    <x v="3"/>
    <n v="4.5"/>
    <x v="2"/>
    <n v="10"/>
    <s v="Other"/>
    <n v="4"/>
    <x v="0"/>
    <n v="2"/>
    <n v="1"/>
    <n v="5"/>
    <n v="4"/>
    <n v="3"/>
    <s v="Y"/>
    <n v="2000"/>
    <x v="1"/>
  </r>
  <r>
    <s v="20.10.19"/>
    <d v="1899-12-30T17:41:00"/>
    <m/>
    <s v="D"/>
    <n v="2"/>
    <s v="Road Vehicle"/>
    <n v="6"/>
    <x v="1"/>
    <x v="0"/>
    <n v="2"/>
    <x v="1"/>
    <s v="KAMPALA TOWN"/>
    <s v="KAMPALA"/>
    <s v="UG"/>
    <n v="2"/>
    <s v="Work"/>
    <s v="MBARARA TOWN"/>
    <s v="MBARARA"/>
    <s v="UG"/>
    <n v="1"/>
    <s v="Home"/>
    <x v="4"/>
    <n v="800000"/>
    <n v="216"/>
    <x v="3"/>
    <n v="5"/>
    <x v="2"/>
    <n v="10"/>
    <s v="Other"/>
    <n v="4"/>
    <x v="0"/>
    <n v="1"/>
    <n v="5"/>
    <n v="4"/>
    <n v="2"/>
    <n v="3"/>
    <s v="Y"/>
    <n v="0"/>
    <x v="3"/>
  </r>
  <r>
    <s v="20.10.19"/>
    <d v="1899-12-30T14:30:00"/>
    <m/>
    <s v="D"/>
    <n v="2"/>
    <s v="Road Vehicle"/>
    <n v="6"/>
    <x v="1"/>
    <x v="0"/>
    <n v="2"/>
    <x v="1"/>
    <s v="KAMPALA TOWN"/>
    <s v="KAMPALA"/>
    <s v="UG"/>
    <n v="2"/>
    <s v="Work"/>
    <s v="KISORO TOWN"/>
    <s v="KISORO"/>
    <s v="UG"/>
    <n v="1"/>
    <s v="Home"/>
    <x v="4"/>
    <n v="650000"/>
    <n v="380"/>
    <x v="3"/>
    <n v="9"/>
    <x v="2"/>
    <n v="10"/>
    <s v="Other"/>
    <n v="4"/>
    <x v="0"/>
    <n v="1"/>
    <n v="2"/>
    <n v="3"/>
    <n v="4"/>
    <n v="5"/>
    <s v="Y"/>
    <n v="2000"/>
    <x v="1"/>
  </r>
  <r>
    <s v="20.10.19"/>
    <d v="1899-12-30T14:02:00"/>
    <m/>
    <s v="D"/>
    <n v="2"/>
    <s v="Road Vehicle"/>
    <n v="6"/>
    <x v="1"/>
    <x v="0"/>
    <n v="2"/>
    <x v="1"/>
    <s v="MBARARA TOWN"/>
    <s v="Mbarara"/>
    <s v="UG"/>
    <n v="2"/>
    <s v="Work"/>
    <s v="KAMPALA TOWN"/>
    <s v="KAMPALA"/>
    <s v="UG"/>
    <n v="1"/>
    <s v="Home"/>
    <x v="4"/>
    <n v="750000"/>
    <n v="300"/>
    <x v="3"/>
    <n v="5.5"/>
    <x v="2"/>
    <n v="10"/>
    <s v="Other"/>
    <n v="3"/>
    <x v="1"/>
    <n v="3"/>
    <n v="4"/>
    <n v="5"/>
    <n v="2"/>
    <n v="1"/>
    <s v="Y"/>
    <n v="1000"/>
    <x v="4"/>
  </r>
  <r>
    <s v="20.10.19"/>
    <d v="1899-12-30T19:42:00"/>
    <m/>
    <s v="D"/>
    <n v="2"/>
    <s v="Road Vehicle"/>
    <n v="6"/>
    <x v="1"/>
    <x v="0"/>
    <n v="2"/>
    <x v="1"/>
    <s v="MBARARA TOWN"/>
    <s v="Mbarara"/>
    <s v="UG"/>
    <n v="2"/>
    <s v="Work"/>
    <s v="KAMPALA TOWN"/>
    <s v="KAMPALA"/>
    <s v="UG"/>
    <n v="1"/>
    <s v="Home"/>
    <x v="4"/>
    <n v="600000"/>
    <n v="215"/>
    <x v="3"/>
    <n v="5"/>
    <x v="2"/>
    <n v="10"/>
    <s v="Other"/>
    <n v="4"/>
    <x v="0"/>
    <n v="1"/>
    <n v="2"/>
    <n v="3"/>
    <n v="4"/>
    <n v="5"/>
    <s v="Y"/>
    <n v="3000"/>
    <x v="0"/>
  </r>
  <r>
    <s v="20.10.19"/>
    <d v="1899-12-30T19:32:00"/>
    <m/>
    <s v="D"/>
    <n v="2"/>
    <s v="Road Vehicle"/>
    <n v="6"/>
    <x v="1"/>
    <x v="0"/>
    <n v="2"/>
    <x v="1"/>
    <s v="NYAMITANGA"/>
    <s v="Mbarara"/>
    <s v="UG"/>
    <n v="1"/>
    <s v="Home"/>
    <s v="KIBULI"/>
    <s v="KAMPALA"/>
    <s v="UG"/>
    <n v="2"/>
    <s v="Work"/>
    <x v="1"/>
    <n v="800000"/>
    <n v="215"/>
    <x v="3"/>
    <n v="4.5"/>
    <x v="2"/>
    <n v="10"/>
    <s v="Other"/>
    <n v="3"/>
    <x v="1"/>
    <n v="2"/>
    <n v="1"/>
    <n v="3"/>
    <n v="4"/>
    <n v="5"/>
    <s v="Y"/>
    <n v="0"/>
    <x v="3"/>
  </r>
  <r>
    <s v="20.10.19"/>
    <m/>
    <m/>
    <s v="P"/>
    <n v="2"/>
    <s v="Road Vehicle"/>
    <n v="6"/>
    <x v="1"/>
    <x v="0"/>
    <n v="2"/>
    <x v="1"/>
    <s v="MBARARA TOWN"/>
    <s v="Mbarara"/>
    <s v="UG"/>
    <n v="1"/>
    <s v="Home"/>
    <s v="KAMPALA TOWN"/>
    <s v="KAMPALA"/>
    <s v="UG"/>
    <n v="2"/>
    <s v="Work"/>
    <x v="1"/>
    <n v="20000"/>
    <n v="160"/>
    <x v="2"/>
    <n v="4"/>
    <x v="2"/>
    <n v="2"/>
    <s v="Manual Labour"/>
    <n v="2"/>
    <x v="3"/>
    <n v="5"/>
    <n v="2"/>
    <n v="2"/>
    <n v="2"/>
    <n v="2"/>
    <s v="Y"/>
    <n v="0"/>
    <x v="3"/>
  </r>
  <r>
    <s v="20.10.19"/>
    <m/>
    <m/>
    <s v="P"/>
    <n v="2"/>
    <s v="Road Vehicle"/>
    <n v="6"/>
    <x v="1"/>
    <x v="0"/>
    <n v="2"/>
    <x v="1"/>
    <s v="MBARARA TOWN"/>
    <s v="Mbarara"/>
    <s v="UG"/>
    <n v="1"/>
    <s v="Home"/>
    <s v="KAMPALA TOWN"/>
    <s v="KAMPALA"/>
    <s v="UG"/>
    <n v="4"/>
    <s v="Commercial"/>
    <x v="0"/>
    <n v="20000"/>
    <n v="260"/>
    <x v="3"/>
    <n v="4"/>
    <x v="2"/>
    <n v="6"/>
    <s v="Businessman"/>
    <n v="1"/>
    <x v="2"/>
    <n v="2"/>
    <n v="2"/>
    <n v="2"/>
    <n v="2"/>
    <n v="2"/>
    <s v="Y"/>
    <n v="0"/>
    <x v="3"/>
  </r>
  <r>
    <s v="20.10.19"/>
    <d v="1899-12-30T18:15:00"/>
    <m/>
    <s v="P"/>
    <n v="2"/>
    <s v="Road Vehicle"/>
    <n v="5"/>
    <x v="2"/>
    <x v="1"/>
    <n v="2"/>
    <x v="1"/>
    <s v="RUKUNGIRI TOWN"/>
    <s v="RUKUNGIRI"/>
    <s v="UG"/>
    <n v="1"/>
    <s v="Home"/>
    <s v="MBARARA TOWN"/>
    <s v="MBARARA"/>
    <s v="UG"/>
    <n v="2"/>
    <s v="Work"/>
    <x v="1"/>
    <n v="15000"/>
    <m/>
    <x v="0"/>
    <n v="2"/>
    <x v="0"/>
    <n v="5"/>
    <s v="Professional"/>
    <n v="3"/>
    <x v="1"/>
    <n v="3"/>
    <n v="3"/>
    <n v="5"/>
    <n v="4"/>
    <n v="4"/>
    <s v="Y"/>
    <n v="10000"/>
    <x v="5"/>
  </r>
  <r>
    <s v="20.10.19"/>
    <d v="1899-12-30T09:59:00"/>
    <m/>
    <s v="P"/>
    <n v="2"/>
    <s v="Road Vehicle"/>
    <n v="5"/>
    <x v="2"/>
    <x v="1"/>
    <n v="2"/>
    <x v="1"/>
    <s v="MBARARA TOWN"/>
    <s v="Mbarara"/>
    <s v="UG"/>
    <n v="2"/>
    <s v="Work"/>
    <s v="RWANYAMAHABE"/>
    <s v="MBARARA"/>
    <s v="UG"/>
    <n v="1"/>
    <s v="Home"/>
    <x v="4"/>
    <n v="20000"/>
    <n v="70"/>
    <x v="1"/>
    <n v="2"/>
    <x v="0"/>
    <n v="10"/>
    <s v="Other"/>
    <n v="4"/>
    <x v="0"/>
    <n v="5"/>
    <n v="3"/>
    <n v="4"/>
    <n v="2"/>
    <n v="1"/>
    <s v="Y"/>
    <n v="8000"/>
    <x v="2"/>
  </r>
  <r>
    <s v="19.10.19"/>
    <d v="1899-12-30T12:11:00"/>
    <m/>
    <s v="P"/>
    <n v="2"/>
    <s v="Road Vehicle"/>
    <n v="5"/>
    <x v="2"/>
    <x v="0"/>
    <n v="2"/>
    <x v="1"/>
    <s v="KAKIIKA"/>
    <s v="Mbarara"/>
    <s v="UG"/>
    <n v="2"/>
    <s v="Work"/>
    <s v="MENGO"/>
    <s v="KAMPALA"/>
    <s v="UG"/>
    <n v="1"/>
    <s v="Home"/>
    <x v="4"/>
    <n v="20000"/>
    <n v="400"/>
    <x v="3"/>
    <n v="4.5"/>
    <x v="2"/>
    <n v="2"/>
    <s v="Manual Labour"/>
    <n v="1"/>
    <x v="2"/>
    <n v="1"/>
    <n v="3"/>
    <n v="2"/>
    <n v="3"/>
    <n v="4"/>
    <s v="Y"/>
    <n v="10000"/>
    <x v="5"/>
  </r>
  <r>
    <s v="20.10.19"/>
    <d v="1899-12-30T10:02:00"/>
    <m/>
    <s v="D"/>
    <n v="2"/>
    <s v="Road Vehicle"/>
    <n v="5"/>
    <x v="2"/>
    <x v="0"/>
    <n v="2"/>
    <x v="1"/>
    <s v="MBARARA TOWN"/>
    <s v="Mbarara"/>
    <s v="UG"/>
    <n v="2"/>
    <s v="Work"/>
    <s v="KAMUKOZI"/>
    <s v="RUSHERE"/>
    <s v="UG"/>
    <n v="1"/>
    <s v="Home"/>
    <x v="4"/>
    <n v="90000"/>
    <n v="86"/>
    <x v="1"/>
    <n v="2"/>
    <x v="0"/>
    <n v="10"/>
    <s v="Other"/>
    <n v="3"/>
    <x v="1"/>
    <n v="5"/>
    <n v="4"/>
    <n v="1"/>
    <n v="2"/>
    <n v="3"/>
    <s v="Y"/>
    <n v="0"/>
    <x v="3"/>
  </r>
  <r>
    <s v="20.10.19"/>
    <d v="1899-12-30T09:01:00"/>
    <m/>
    <s v="D"/>
    <n v="2"/>
    <s v="Road Vehicle"/>
    <n v="5"/>
    <x v="2"/>
    <x v="0"/>
    <n v="2"/>
    <x v="1"/>
    <s v="MBARARA TOWN"/>
    <s v="Mbarara"/>
    <s v="UG"/>
    <n v="1"/>
    <s v="Home"/>
    <s v="KABALE TOWN"/>
    <s v="KABALE"/>
    <s v="UG"/>
    <n v="2"/>
    <s v="Work"/>
    <x v="1"/>
    <n v="250000"/>
    <n v="61"/>
    <x v="5"/>
    <n v="1"/>
    <x v="1"/>
    <n v="10"/>
    <s v="Other"/>
    <n v="3"/>
    <x v="1"/>
    <n v="1"/>
    <n v="2"/>
    <n v="5"/>
    <n v="4"/>
    <n v="3"/>
    <s v="Y"/>
    <n v="2000"/>
    <x v="1"/>
  </r>
  <r>
    <s v="20.10.19"/>
    <d v="1899-12-30T08:27:00"/>
    <m/>
    <s v="D"/>
    <n v="2"/>
    <s v="Road Vehicle"/>
    <n v="5"/>
    <x v="2"/>
    <x v="0"/>
    <n v="2"/>
    <x v="1"/>
    <s v="KISENYI"/>
    <s v="Mbarara"/>
    <s v="UG"/>
    <n v="2"/>
    <s v="Work"/>
    <s v="KABALE TOWN"/>
    <s v="KABALE"/>
    <s v="UG"/>
    <n v="1"/>
    <s v="Home"/>
    <x v="4"/>
    <n v="200000"/>
    <n v="74"/>
    <x v="1"/>
    <n v="1.5"/>
    <x v="1"/>
    <n v="10"/>
    <s v="Other"/>
    <n v="2"/>
    <x v="3"/>
    <n v="2"/>
    <n v="1"/>
    <n v="3"/>
    <n v="4"/>
    <n v="5"/>
    <s v="Y"/>
    <n v="1000"/>
    <x v="4"/>
  </r>
  <r>
    <s v="19.10.19"/>
    <m/>
    <m/>
    <s v="P"/>
    <n v="2"/>
    <s v="Road Vehicle"/>
    <n v="4"/>
    <x v="3"/>
    <x v="1"/>
    <n v="2"/>
    <x v="1"/>
    <s v="MBARARA TOWN"/>
    <s v="Mbarara"/>
    <s v="UG"/>
    <n v="1"/>
    <s v="Home"/>
    <s v="KABUYANDA"/>
    <s v="ISINGIRO"/>
    <s v="UG"/>
    <n v="8"/>
    <s v="Others"/>
    <x v="13"/>
    <n v="15000"/>
    <n v="67"/>
    <x v="5"/>
    <n v="2"/>
    <x v="0"/>
    <n v="7"/>
    <s v="Farmer"/>
    <n v="2"/>
    <x v="3"/>
    <n v="1"/>
    <n v="1"/>
    <n v="1"/>
    <n v="1"/>
    <n v="1"/>
    <s v="Y"/>
    <n v="4000"/>
    <x v="0"/>
  </r>
  <r>
    <s v="19.10.19"/>
    <m/>
    <m/>
    <s v="P"/>
    <n v="2"/>
    <s v="Road Vehicle"/>
    <n v="4"/>
    <x v="3"/>
    <x v="1"/>
    <n v="2"/>
    <x v="1"/>
    <s v="MBARARA TOWN"/>
    <s v="Mbarara"/>
    <s v="UG"/>
    <n v="1"/>
    <s v="Home"/>
    <s v="NYAKITUNDE"/>
    <s v="ISINGIRO"/>
    <s v="UG"/>
    <n v="8"/>
    <s v="Others"/>
    <x v="13"/>
    <n v="15000"/>
    <n v="57"/>
    <x v="5"/>
    <n v="1.5"/>
    <x v="1"/>
    <n v="2"/>
    <s v="Manual Labour"/>
    <n v="1"/>
    <x v="2"/>
    <n v="1"/>
    <n v="1"/>
    <n v="1"/>
    <n v="1"/>
    <n v="1"/>
    <s v="Y"/>
    <n v="4000"/>
    <x v="0"/>
  </r>
  <r>
    <s v="19.10.19"/>
    <m/>
    <m/>
    <s v="P"/>
    <n v="2"/>
    <s v="Road Vehicle"/>
    <n v="4"/>
    <x v="3"/>
    <x v="1"/>
    <n v="2"/>
    <x v="1"/>
    <s v="MBARARA TOWN"/>
    <s v="Mbarara"/>
    <s v="UG"/>
    <n v="1"/>
    <s v="Home"/>
    <s v="ISINGIRO TOWN"/>
    <s v="ISINGIRO"/>
    <s v="UG"/>
    <n v="4"/>
    <s v="Commercial"/>
    <x v="0"/>
    <m/>
    <m/>
    <x v="0"/>
    <m/>
    <x v="3"/>
    <n v="6"/>
    <s v="Businessman"/>
    <n v="2"/>
    <x v="3"/>
    <n v="2"/>
    <n v="2"/>
    <n v="1"/>
    <n v="1"/>
    <n v="1"/>
    <s v="Y"/>
    <n v="1000"/>
    <x v="4"/>
  </r>
  <r>
    <s v="20.10.19"/>
    <d v="1899-12-30T18:25:00"/>
    <m/>
    <s v="P"/>
    <n v="2"/>
    <s v="Road Vehicle"/>
    <n v="4"/>
    <x v="3"/>
    <x v="1"/>
    <n v="2"/>
    <x v="1"/>
    <s v="BUSHENYI TOWN"/>
    <s v="bushenyi"/>
    <s v="UG"/>
    <n v="2"/>
    <s v="Work"/>
    <s v="MBARARA TOWN"/>
    <s v="MBARARA"/>
    <s v="UG"/>
    <n v="8"/>
    <s v="Others"/>
    <x v="19"/>
    <n v="8000"/>
    <m/>
    <x v="0"/>
    <n v="0.93"/>
    <x v="4"/>
    <n v="6"/>
    <s v="Businessman"/>
    <n v="4"/>
    <x v="0"/>
    <n v="2"/>
    <n v="5"/>
    <n v="3"/>
    <n v="5"/>
    <n v="4"/>
    <s v="Y"/>
    <n v="0"/>
    <x v="3"/>
  </r>
  <r>
    <s v="20.10.19"/>
    <d v="1899-12-30T07:16:00"/>
    <m/>
    <s v="P"/>
    <n v="2"/>
    <s v="Road Vehicle"/>
    <n v="4"/>
    <x v="3"/>
    <x v="1"/>
    <n v="2"/>
    <x v="1"/>
    <s v="KIBAALE"/>
    <s v="Mbarara"/>
    <s v="UG"/>
    <n v="4"/>
    <s v="Commercial"/>
    <s v="NTUGAMO TOWN"/>
    <s v="NTUNGAMO"/>
    <s v="UG"/>
    <n v="1"/>
    <s v="Home"/>
    <x v="3"/>
    <n v="5000"/>
    <n v="45"/>
    <x v="5"/>
    <n v="1"/>
    <x v="1"/>
    <n v="6"/>
    <s v="Businessman"/>
    <n v="1"/>
    <x v="2"/>
    <n v="1"/>
    <n v="2"/>
    <n v="3"/>
    <n v="4"/>
    <n v="5"/>
    <s v="Y"/>
    <n v="0"/>
    <x v="3"/>
  </r>
  <r>
    <s v="20.10.19"/>
    <d v="1899-12-30T09:12:00"/>
    <m/>
    <s v="P"/>
    <n v="2"/>
    <s v="Road Vehicle"/>
    <n v="4"/>
    <x v="3"/>
    <x v="1"/>
    <n v="2"/>
    <x v="1"/>
    <s v="MBARARA TOWN"/>
    <s v="Mbarara"/>
    <s v="UG"/>
    <n v="2"/>
    <s v="Work"/>
    <s v="KAMUKUZI"/>
    <s v="RUSHERE"/>
    <s v="UG"/>
    <n v="1"/>
    <s v="Home"/>
    <x v="4"/>
    <n v="70000"/>
    <n v="25"/>
    <x v="4"/>
    <n v="0.45"/>
    <x v="3"/>
    <n v="10"/>
    <s v="Other"/>
    <n v="3"/>
    <x v="1"/>
    <n v="5"/>
    <n v="2"/>
    <n v="4"/>
    <n v="3"/>
    <n v="1"/>
    <s v="Y"/>
    <n v="3000"/>
    <x v="0"/>
  </r>
  <r>
    <s v="20.10.19"/>
    <d v="1899-12-30T18:16:00"/>
    <m/>
    <s v="P"/>
    <n v="2"/>
    <s v="Road Vehicle"/>
    <n v="4"/>
    <x v="3"/>
    <x v="1"/>
    <n v="2"/>
    <x v="1"/>
    <s v="KACHWEKANO"/>
    <s v="Mbarara"/>
    <s v="UG"/>
    <n v="2"/>
    <s v="Work"/>
    <s v="KISENYI"/>
    <s v="MBARARA"/>
    <s v="UG"/>
    <n v="1"/>
    <s v="Home"/>
    <x v="4"/>
    <n v="10000"/>
    <n v="61"/>
    <x v="5"/>
    <n v="1"/>
    <x v="1"/>
    <n v="7"/>
    <s v="Farmer"/>
    <n v="1"/>
    <x v="2"/>
    <n v="1"/>
    <n v="2"/>
    <n v="4"/>
    <n v="5"/>
    <n v="3"/>
    <s v="Y"/>
    <n v="500"/>
    <x v="3"/>
  </r>
  <r>
    <s v="18.10.19"/>
    <m/>
    <m/>
    <s v="D"/>
    <n v="2"/>
    <s v="Road Vehicle"/>
    <n v="4"/>
    <x v="3"/>
    <x v="0"/>
    <n v="2"/>
    <x v="1"/>
    <s v="MBARARA TOWN"/>
    <s v="Mbarara"/>
    <s v="UG"/>
    <n v="1"/>
    <s v="Home"/>
    <s v="KAMPALA TOWN"/>
    <s v="KAMPALA"/>
    <s v="UG"/>
    <n v="2"/>
    <s v="Work"/>
    <x v="1"/>
    <n v="350000"/>
    <n v="286"/>
    <x v="3"/>
    <n v="5"/>
    <x v="2"/>
    <n v="5"/>
    <s v="Professional"/>
    <n v="3"/>
    <x v="1"/>
    <n v="5"/>
    <n v="1"/>
    <n v="1"/>
    <n v="1"/>
    <n v="1"/>
    <s v="Y"/>
    <n v="3000"/>
    <x v="0"/>
  </r>
  <r>
    <s v="18.10.19"/>
    <m/>
    <m/>
    <s v="P"/>
    <n v="2"/>
    <s v="Road Vehicle"/>
    <n v="4"/>
    <x v="3"/>
    <x v="0"/>
    <n v="2"/>
    <x v="1"/>
    <s v="MBARARA TOWN"/>
    <s v="Mbarara"/>
    <s v="UG"/>
    <n v="1"/>
    <s v="Home"/>
    <s v="KAMPALA TOWN"/>
    <s v="KAMPALA"/>
    <s v="UG"/>
    <n v="2"/>
    <s v="Work"/>
    <x v="1"/>
    <n v="20000"/>
    <n v="160"/>
    <x v="2"/>
    <n v="5"/>
    <x v="2"/>
    <n v="2"/>
    <s v="Manual Labour"/>
    <n v="1"/>
    <x v="2"/>
    <n v="1"/>
    <n v="3"/>
    <n v="1"/>
    <n v="1"/>
    <n v="1"/>
    <s v="Y"/>
    <n v="3000"/>
    <x v="0"/>
  </r>
  <r>
    <s v="18.10.19"/>
    <m/>
    <m/>
    <s v="D"/>
    <n v="2"/>
    <s v="Road Vehicle"/>
    <n v="4"/>
    <x v="3"/>
    <x v="0"/>
    <n v="2"/>
    <x v="1"/>
    <s v="MBARARA TOWN"/>
    <s v="Mbarara"/>
    <s v="UG"/>
    <n v="1"/>
    <s v="Home"/>
    <s v="RUKUNGIRI TOWN"/>
    <s v="RUKUNGIRI"/>
    <s v="UG"/>
    <n v="2"/>
    <s v="Work"/>
    <x v="1"/>
    <n v="90000"/>
    <m/>
    <x v="0"/>
    <n v="5"/>
    <x v="2"/>
    <n v="2"/>
    <s v="Manual Labour"/>
    <n v="3"/>
    <x v="1"/>
    <n v="5"/>
    <n v="1"/>
    <n v="1"/>
    <n v="1"/>
    <n v="1"/>
    <s v="Y"/>
    <n v="1000"/>
    <x v="4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RUKUNGIRI TOWN"/>
    <s v="RUKUNGIRI"/>
    <s v="UG"/>
    <n v="2"/>
    <s v="Work"/>
    <x v="1"/>
    <n v="130000"/>
    <n v="47"/>
    <x v="5"/>
    <n v="3"/>
    <x v="0"/>
    <n v="2"/>
    <s v="Manual Labour"/>
    <n v="2"/>
    <x v="3"/>
    <n v="5"/>
    <n v="2"/>
    <n v="1"/>
    <n v="1"/>
    <n v="1"/>
    <s v="Y"/>
    <n v="2000"/>
    <x v="1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MUBENDE TOWN"/>
    <s v="MUBENDE"/>
    <s v="UG"/>
    <n v="2"/>
    <s v="Work"/>
    <x v="1"/>
    <n v="250000"/>
    <n v="250"/>
    <x v="3"/>
    <n v="4"/>
    <x v="2"/>
    <n v="2"/>
    <s v="Manual Labour"/>
    <n v="1"/>
    <x v="2"/>
    <n v="5"/>
    <n v="2"/>
    <n v="1"/>
    <n v="1"/>
    <n v="1"/>
    <s v="Y"/>
    <n v="0"/>
    <x v="3"/>
  </r>
  <r>
    <s v="19.10.19"/>
    <m/>
    <m/>
    <s v="P"/>
    <n v="2"/>
    <s v="Road Vehicle"/>
    <n v="4"/>
    <x v="3"/>
    <x v="0"/>
    <n v="2"/>
    <x v="1"/>
    <s v="MBARARA TOWN"/>
    <s v="Mbarara"/>
    <s v="UG"/>
    <n v="1"/>
    <s v="Home"/>
    <s v="ISINGIRO TOWN"/>
    <s v="ISINGIRO"/>
    <s v="UG"/>
    <n v="1"/>
    <s v="Home"/>
    <x v="16"/>
    <n v="10000"/>
    <n v="45"/>
    <x v="5"/>
    <n v="3"/>
    <x v="0"/>
    <n v="2"/>
    <s v="Manual Labour"/>
    <n v="1"/>
    <x v="2"/>
    <n v="1"/>
    <n v="1"/>
    <n v="1"/>
    <n v="1"/>
    <n v="1"/>
    <s v="Y"/>
    <n v="5000"/>
    <x v="2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KYEGWEGWA TOWN"/>
    <s v="KYEGEGWA"/>
    <s v="UG"/>
    <n v="2"/>
    <s v="Work"/>
    <x v="1"/>
    <n v="220000"/>
    <n v="200"/>
    <x v="3"/>
    <n v="3.5"/>
    <x v="2"/>
    <n v="2"/>
    <s v="Manual Labour"/>
    <n v="4"/>
    <x v="0"/>
    <n v="5"/>
    <n v="4"/>
    <n v="1"/>
    <n v="1"/>
    <n v="1"/>
    <s v="Y"/>
    <n v="0"/>
    <x v="3"/>
  </r>
  <r>
    <s v="19.10.19"/>
    <m/>
    <m/>
    <s v="P"/>
    <n v="2"/>
    <s v="Road Vehicle"/>
    <n v="4"/>
    <x v="3"/>
    <x v="0"/>
    <n v="2"/>
    <x v="1"/>
    <s v="MBARARA TOWN"/>
    <s v="Mbarara"/>
    <s v="UG"/>
    <n v="1"/>
    <s v="Home"/>
    <s v="KYEGEGWA TOWN"/>
    <s v="KYEGEGWA"/>
    <s v="UG"/>
    <n v="8"/>
    <s v="Others"/>
    <x v="13"/>
    <n v="25000"/>
    <n v="190"/>
    <x v="2"/>
    <n v="4"/>
    <x v="2"/>
    <n v="5"/>
    <s v="Professional"/>
    <n v="1"/>
    <x v="2"/>
    <n v="5"/>
    <n v="2"/>
    <n v="1"/>
    <n v="1"/>
    <n v="1"/>
    <s v="Y"/>
    <n v="1000"/>
    <x v="4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IBANDA TOWN"/>
    <s v="IBANDA"/>
    <s v="UG"/>
    <n v="2"/>
    <s v="Work"/>
    <x v="1"/>
    <n v="520000"/>
    <n v="75"/>
    <x v="1"/>
    <n v="2"/>
    <x v="0"/>
    <n v="5"/>
    <s v="Professional"/>
    <n v="4"/>
    <x v="0"/>
    <n v="5"/>
    <n v="2"/>
    <n v="1"/>
    <n v="1"/>
    <n v="1"/>
    <s v="Y"/>
    <n v="4000"/>
    <x v="0"/>
  </r>
  <r>
    <s v="19.10.19"/>
    <m/>
    <m/>
    <s v="P"/>
    <n v="2"/>
    <s v="Road Vehicle"/>
    <n v="4"/>
    <x v="3"/>
    <x v="0"/>
    <n v="2"/>
    <x v="1"/>
    <s v="MBARARA TOWN"/>
    <s v="Mbarara"/>
    <s v="UG"/>
    <n v="1"/>
    <s v="Home"/>
    <s v="ISINGIRO TOWN"/>
    <s v="ISINGIRO"/>
    <s v="UG"/>
    <n v="8"/>
    <s v="Others"/>
    <x v="13"/>
    <m/>
    <m/>
    <x v="0"/>
    <m/>
    <x v="3"/>
    <n v="7"/>
    <s v="Farmer"/>
    <n v="1"/>
    <x v="2"/>
    <n v="5"/>
    <n v="2"/>
    <n v="1"/>
    <n v="1"/>
    <n v="1"/>
    <s v="Y"/>
    <n v="5000"/>
    <x v="2"/>
  </r>
  <r>
    <s v="19.10.19"/>
    <m/>
    <m/>
    <s v="P"/>
    <n v="2"/>
    <s v="Road Vehicle"/>
    <n v="4"/>
    <x v="3"/>
    <x v="0"/>
    <n v="2"/>
    <x v="1"/>
    <s v="MBARARA TOWN"/>
    <s v="Mbarara"/>
    <s v="UG"/>
    <n v="1"/>
    <s v="Home"/>
    <s v="NTUNGU"/>
    <s v="ISINGIRO"/>
    <s v="UG"/>
    <n v="2"/>
    <s v="Work"/>
    <x v="1"/>
    <n v="10000"/>
    <n v="30"/>
    <x v="4"/>
    <n v="2.5"/>
    <x v="0"/>
    <n v="2"/>
    <s v="Manual Labour"/>
    <n v="1"/>
    <x v="2"/>
    <n v="2"/>
    <n v="2"/>
    <n v="1"/>
    <n v="1"/>
    <n v="1"/>
    <s v="Y"/>
    <n v="10000"/>
    <x v="5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KAMWENGE TOWN"/>
    <s v="KAMWENGE"/>
    <s v="UG"/>
    <n v="2"/>
    <s v="Work"/>
    <x v="1"/>
    <n v="150000"/>
    <n v="75"/>
    <x v="1"/>
    <n v="3"/>
    <x v="0"/>
    <n v="5"/>
    <s v="Professional"/>
    <n v="4"/>
    <x v="0"/>
    <n v="5"/>
    <n v="2"/>
    <n v="1"/>
    <n v="1"/>
    <n v="1"/>
    <s v="Y"/>
    <n v="2000"/>
    <x v="1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FORTPORTAL TOWN"/>
    <s v="FORTPORTAL"/>
    <s v="UG"/>
    <n v="2"/>
    <s v="Work"/>
    <x v="1"/>
    <n v="250000"/>
    <n v="200"/>
    <x v="3"/>
    <n v="2"/>
    <x v="0"/>
    <n v="5"/>
    <s v="Professional"/>
    <n v="4"/>
    <x v="0"/>
    <n v="2"/>
    <n v="2"/>
    <n v="1"/>
    <n v="1"/>
    <n v="1"/>
    <s v="Y"/>
    <n v="3000"/>
    <x v="0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SEMBABULE TOWN"/>
    <s v="SEMBABULE"/>
    <s v="UG"/>
    <n v="2"/>
    <s v="Work"/>
    <x v="1"/>
    <n v="210000"/>
    <n v="250"/>
    <x v="3"/>
    <n v="3"/>
    <x v="0"/>
    <n v="5"/>
    <s v="Professional"/>
    <n v="4"/>
    <x v="0"/>
    <n v="5"/>
    <n v="4"/>
    <n v="1"/>
    <n v="1"/>
    <n v="1"/>
    <s v="Y"/>
    <n v="0"/>
    <x v="3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KAKITUMBI"/>
    <s v="MBARARA"/>
    <s v="UG"/>
    <n v="2"/>
    <s v="Work"/>
    <x v="1"/>
    <n v="75000"/>
    <n v="20"/>
    <x v="4"/>
    <n v="1.5"/>
    <x v="1"/>
    <n v="5"/>
    <s v="Professional"/>
    <n v="3"/>
    <x v="1"/>
    <n v="2"/>
    <n v="2"/>
    <n v="1"/>
    <n v="1"/>
    <n v="1"/>
    <s v="Y"/>
    <n v="0"/>
    <x v="3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FORTPORTAL TOWN"/>
    <s v="FORTPORTAL"/>
    <s v="UG"/>
    <n v="2"/>
    <s v="Work"/>
    <x v="1"/>
    <n v="220000"/>
    <n v="207"/>
    <x v="3"/>
    <n v="1.5"/>
    <x v="1"/>
    <n v="5"/>
    <s v="Professional"/>
    <n v="5"/>
    <x v="4"/>
    <n v="5"/>
    <n v="4"/>
    <n v="1"/>
    <n v="1"/>
    <n v="1"/>
    <s v="Y"/>
    <n v="0"/>
    <x v="3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RUKUNGIRI TOWN"/>
    <s v="RUKUNGIRI"/>
    <s v="UG"/>
    <n v="2"/>
    <s v="Work"/>
    <x v="1"/>
    <n v="450000"/>
    <n v="65"/>
    <x v="5"/>
    <n v="2.5"/>
    <x v="0"/>
    <n v="2"/>
    <s v="Manual Labour"/>
    <n v="3"/>
    <x v="1"/>
    <n v="5"/>
    <n v="3"/>
    <n v="1"/>
    <n v="1"/>
    <n v="1"/>
    <s v="Y"/>
    <n v="5000"/>
    <x v="2"/>
  </r>
  <r>
    <s v="19.10.19"/>
    <m/>
    <m/>
    <s v="D"/>
    <n v="2"/>
    <s v="Road Vehicle"/>
    <n v="4"/>
    <x v="3"/>
    <x v="0"/>
    <n v="2"/>
    <x v="1"/>
    <s v="MBARARA TOWN"/>
    <s v="Mbarara"/>
    <s v="UG"/>
    <n v="1"/>
    <s v="Home"/>
    <s v="RUKUNGIRI TOWN"/>
    <s v="RUKUNGIRI"/>
    <s v="UG"/>
    <n v="2"/>
    <s v="Work"/>
    <x v="1"/>
    <n v="150000"/>
    <n v="80"/>
    <x v="1"/>
    <n v="3"/>
    <x v="0"/>
    <n v="5"/>
    <s v="Professional"/>
    <n v="4"/>
    <x v="0"/>
    <n v="5"/>
    <n v="3"/>
    <n v="1"/>
    <n v="1"/>
    <n v="1"/>
    <s v="Y"/>
    <n v="5000"/>
    <x v="2"/>
  </r>
  <r>
    <s v="19.10.19"/>
    <d v="1899-12-30T13:30:00"/>
    <m/>
    <s v="P"/>
    <n v="2"/>
    <s v="Road Vehicle"/>
    <n v="4"/>
    <x v="3"/>
    <x v="0"/>
    <n v="2"/>
    <x v="1"/>
    <s v="KAKIIKA"/>
    <s v="Mbarara"/>
    <s v="UG"/>
    <n v="2"/>
    <s v="Work"/>
    <s v="NAMITANGA"/>
    <s v="MBARARA"/>
    <s v="UG"/>
    <n v="1"/>
    <s v="Home"/>
    <x v="4"/>
    <n v="10000"/>
    <n v="2"/>
    <x v="0"/>
    <n v="0.16"/>
    <x v="3"/>
    <n v="10"/>
    <s v="Other"/>
    <n v="3"/>
    <x v="1"/>
    <n v="4"/>
    <n v="3"/>
    <n v="1"/>
    <n v="5"/>
    <n v="2"/>
    <s v="Y"/>
    <n v="0"/>
    <x v="3"/>
  </r>
  <r>
    <s v="20.10.19"/>
    <d v="1899-12-30T11:26:00"/>
    <m/>
    <s v="P"/>
    <n v="2"/>
    <s v="Road Vehicle"/>
    <n v="4"/>
    <x v="3"/>
    <x v="0"/>
    <n v="2"/>
    <x v="1"/>
    <s v="KATEETE"/>
    <s v="Mbarara"/>
    <s v="UG"/>
    <n v="1"/>
    <s v="Home"/>
    <s v="KIZUNGU"/>
    <s v="MBARARA"/>
    <s v="UG"/>
    <n v="2"/>
    <s v="Work"/>
    <x v="1"/>
    <n v="3000"/>
    <n v="5"/>
    <x v="0"/>
    <n v="0.25"/>
    <x v="3"/>
    <n v="6"/>
    <s v="Businessman"/>
    <n v="2"/>
    <x v="3"/>
    <n v="4"/>
    <n v="3"/>
    <n v="5"/>
    <n v="4"/>
    <n v="2"/>
    <s v="Y"/>
    <n v="1000"/>
    <x v="4"/>
  </r>
  <r>
    <s v="20.10.19"/>
    <d v="1899-12-30T11:01:00"/>
    <m/>
    <s v="P"/>
    <n v="2"/>
    <s v="Road Vehicle"/>
    <n v="4"/>
    <x v="3"/>
    <x v="0"/>
    <n v="2"/>
    <x v="1"/>
    <s v="NYAMITENGA"/>
    <s v="Mbarara"/>
    <s v="UG"/>
    <n v="1"/>
    <s v="Home"/>
    <s v="MBARARA TOWN"/>
    <s v="MBARARA"/>
    <s v="UG"/>
    <n v="2"/>
    <s v="Work"/>
    <x v="1"/>
    <n v="6000"/>
    <n v="3"/>
    <x v="0"/>
    <n v="0.33"/>
    <x v="3"/>
    <n v="6"/>
    <s v="Businessman"/>
    <n v="1"/>
    <x v="2"/>
    <n v="4"/>
    <n v="2"/>
    <n v="4"/>
    <n v="3"/>
    <n v="5"/>
    <s v="Y"/>
    <n v="1000"/>
    <x v="4"/>
  </r>
  <r>
    <s v="20.10.19"/>
    <d v="1899-12-30T10:53:00"/>
    <m/>
    <s v="P"/>
    <n v="2"/>
    <s v="Road Vehicle"/>
    <n v="4"/>
    <x v="3"/>
    <x v="0"/>
    <n v="2"/>
    <x v="1"/>
    <s v="KAKIIKA"/>
    <s v="Mbarara"/>
    <s v="UG"/>
    <n v="1"/>
    <s v="Home"/>
    <s v="MBARARA TOWN"/>
    <s v="MBARARA"/>
    <s v="UG"/>
    <n v="2"/>
    <s v="Work"/>
    <x v="1"/>
    <n v="2000"/>
    <n v="2"/>
    <x v="0"/>
    <n v="0.16"/>
    <x v="3"/>
    <n v="6"/>
    <s v="Businessman"/>
    <n v="1"/>
    <x v="2"/>
    <n v="5"/>
    <n v="4"/>
    <n v="4"/>
    <n v="2"/>
    <n v="3"/>
    <s v="Y"/>
    <n v="5000"/>
    <x v="2"/>
  </r>
  <r>
    <s v="20.10.19"/>
    <d v="1899-12-30T10:41:00"/>
    <m/>
    <s v="P"/>
    <n v="2"/>
    <s v="Road Vehicle"/>
    <n v="4"/>
    <x v="3"/>
    <x v="0"/>
    <n v="2"/>
    <x v="1"/>
    <s v="ANDREWS"/>
    <s v="Mbarara"/>
    <s v="UG"/>
    <n v="1"/>
    <s v="Home"/>
    <s v="MBARARA TOWN"/>
    <s v="MBARARA"/>
    <s v="UG"/>
    <n v="2"/>
    <s v="Work"/>
    <x v="1"/>
    <n v="1500"/>
    <n v="2"/>
    <x v="0"/>
    <n v="0.13300000000000001"/>
    <x v="3"/>
    <n v="4"/>
    <s v="Office Worker"/>
    <n v="1"/>
    <x v="2"/>
    <n v="2"/>
    <n v="3"/>
    <n v="1"/>
    <n v="5"/>
    <n v="4"/>
    <s v="Y"/>
    <n v="5000"/>
    <x v="2"/>
  </r>
  <r>
    <s v="20.10.19"/>
    <m/>
    <m/>
    <s v="P"/>
    <n v="2"/>
    <s v="Road Vehicle"/>
    <n v="4"/>
    <x v="3"/>
    <x v="0"/>
    <n v="2"/>
    <x v="1"/>
    <s v="MBARARA TOWN"/>
    <s v="Mbarara"/>
    <s v="UG"/>
    <n v="1"/>
    <s v="Home"/>
    <s v="KAMPALA TOWN"/>
    <s v="KAMPALA"/>
    <s v="UG"/>
    <n v="4"/>
    <s v="Commercial"/>
    <x v="0"/>
    <n v="20000"/>
    <n v="240"/>
    <x v="3"/>
    <n v="4"/>
    <x v="2"/>
    <n v="6"/>
    <s v="Businessman"/>
    <n v="1"/>
    <x v="2"/>
    <n v="2"/>
    <n v="2"/>
    <n v="2"/>
    <n v="2"/>
    <n v="2"/>
    <s v="Y"/>
    <n v="4000"/>
    <x v="0"/>
  </r>
  <r>
    <s v="20.10.19"/>
    <m/>
    <m/>
    <s v="P"/>
    <n v="2"/>
    <s v="Road Vehicle"/>
    <n v="4"/>
    <x v="3"/>
    <x v="0"/>
    <n v="2"/>
    <x v="1"/>
    <s v="MBARARA TOWN"/>
    <s v="Mbarara"/>
    <s v="UG"/>
    <n v="1"/>
    <s v="Home"/>
    <s v="NTUGAMO TOWN"/>
    <s v="NTUNGAMO"/>
    <s v="UG"/>
    <n v="2"/>
    <s v="Work"/>
    <x v="1"/>
    <n v="7000"/>
    <n v="50"/>
    <x v="5"/>
    <n v="1"/>
    <x v="1"/>
    <n v="2"/>
    <s v="Manual Labour"/>
    <n v="1"/>
    <x v="2"/>
    <n v="2"/>
    <n v="2"/>
    <n v="2"/>
    <n v="2"/>
    <n v="2"/>
    <s v="Y"/>
    <n v="0"/>
    <x v="3"/>
  </r>
  <r>
    <s v="20.10.19"/>
    <m/>
    <m/>
    <s v="P"/>
    <n v="2"/>
    <s v="Road Vehicle"/>
    <n v="4"/>
    <x v="3"/>
    <x v="0"/>
    <n v="2"/>
    <x v="1"/>
    <s v="MBARARA TOWN"/>
    <s v="Mbarara"/>
    <s v="UG"/>
    <n v="1"/>
    <s v="Home"/>
    <s v="BUSHENYI TOWN"/>
    <s v="BUSHENYI"/>
    <s v="UG"/>
    <n v="2"/>
    <s v="Work"/>
    <x v="1"/>
    <n v="7000"/>
    <n v="75"/>
    <x v="1"/>
    <n v="1.5"/>
    <x v="1"/>
    <n v="5"/>
    <s v="Professional"/>
    <n v="2"/>
    <x v="3"/>
    <n v="5"/>
    <n v="5"/>
    <n v="2"/>
    <n v="2"/>
    <n v="2"/>
    <s v="Y"/>
    <n v="5000"/>
    <x v="2"/>
  </r>
  <r>
    <s v="20.10.19"/>
    <m/>
    <m/>
    <s v="D"/>
    <n v="2"/>
    <s v="Road Vehicle"/>
    <n v="3"/>
    <x v="9"/>
    <x v="0"/>
    <n v="2"/>
    <x v="1"/>
    <s v="MBARARA TOWN"/>
    <s v="Mbarara"/>
    <s v="UG"/>
    <n v="1"/>
    <s v="Home"/>
    <s v="BAGUMA"/>
    <s v="MBARARA"/>
    <s v="UG"/>
    <n v="2"/>
    <s v="Work"/>
    <x v="1"/>
    <n v="8000"/>
    <n v="66"/>
    <x v="5"/>
    <n v="1.5"/>
    <x v="1"/>
    <n v="2"/>
    <s v="Manual Labour"/>
    <n v="1"/>
    <x v="2"/>
    <n v="2"/>
    <n v="2"/>
    <n v="2"/>
    <n v="2"/>
    <n v="2"/>
    <s v="Y"/>
    <n v="7000"/>
    <x v="2"/>
  </r>
  <r>
    <s v="18.10.19"/>
    <d v="1899-12-30T15:04:00"/>
    <m/>
    <s v="D"/>
    <n v="2"/>
    <s v="Road Vehicle"/>
    <n v="6"/>
    <x v="1"/>
    <x v="0"/>
    <n v="3"/>
    <x v="2"/>
    <s v="KIBAARE"/>
    <s v="Mbarara"/>
    <s v="UG"/>
    <n v="2"/>
    <s v="Work"/>
    <s v="KISENYI"/>
    <s v="KAMPALA"/>
    <s v="UG"/>
    <n v="1"/>
    <s v="Home"/>
    <x v="4"/>
    <n v="750000"/>
    <n v="280"/>
    <x v="3"/>
    <n v="5"/>
    <x v="2"/>
    <n v="10"/>
    <s v="Other"/>
    <n v="3"/>
    <x v="1"/>
    <n v="1"/>
    <n v="2"/>
    <n v="5"/>
    <n v="4"/>
    <n v="5"/>
    <s v="Y"/>
    <n v="5000"/>
    <x v="2"/>
  </r>
  <r>
    <s v="18.10.19"/>
    <d v="1899-12-30T15:20:00"/>
    <m/>
    <s v="D"/>
    <n v="2"/>
    <s v="Road Vehicle"/>
    <n v="6"/>
    <x v="1"/>
    <x v="0"/>
    <n v="3"/>
    <x v="2"/>
    <s v="MWIZI"/>
    <s v="Mbarara"/>
    <s v="UG"/>
    <n v="1"/>
    <s v="Home"/>
    <s v="KAMPALA TOWN"/>
    <s v="KAMPALA"/>
    <s v="UG"/>
    <n v="2"/>
    <s v="Work"/>
    <x v="1"/>
    <n v="650000"/>
    <n v="215"/>
    <x v="3"/>
    <n v="4"/>
    <x v="2"/>
    <n v="10"/>
    <s v="Other"/>
    <n v="3"/>
    <x v="1"/>
    <n v="2"/>
    <n v="3"/>
    <n v="4"/>
    <n v="5"/>
    <n v="1"/>
    <s v="Y"/>
    <n v="4000"/>
    <x v="0"/>
  </r>
  <r>
    <s v="18.10.19"/>
    <d v="1899-12-30T15:37:00"/>
    <m/>
    <s v="D"/>
    <n v="2"/>
    <s v="Road Vehicle"/>
    <n v="6"/>
    <x v="1"/>
    <x v="0"/>
    <n v="3"/>
    <x v="2"/>
    <s v="KAMUKOZI"/>
    <s v="Mbarara"/>
    <s v="UG"/>
    <n v="2"/>
    <s v="Work"/>
    <s v="KISENYI"/>
    <s v="KAMPALA"/>
    <s v="UG"/>
    <n v="1"/>
    <s v="Home"/>
    <x v="4"/>
    <n v="750000"/>
    <n v="218"/>
    <x v="3"/>
    <n v="4.5"/>
    <x v="2"/>
    <n v="10"/>
    <s v="Other"/>
    <n v="3"/>
    <x v="1"/>
    <n v="1"/>
    <n v="2"/>
    <n v="3"/>
    <n v="5"/>
    <n v="4"/>
    <s v="Y"/>
    <n v="0"/>
    <x v="3"/>
  </r>
  <r>
    <s v="18.10.19"/>
    <d v="1899-12-30T15:48:00"/>
    <m/>
    <s v="D"/>
    <n v="2"/>
    <s v="Road Vehicle"/>
    <n v="6"/>
    <x v="1"/>
    <x v="0"/>
    <n v="3"/>
    <x v="2"/>
    <m/>
    <m/>
    <s v="UG"/>
    <n v="1"/>
    <s v="Home"/>
    <m/>
    <m/>
    <s v="UG"/>
    <n v="2"/>
    <s v="Work"/>
    <x v="1"/>
    <n v="850000"/>
    <n v="220"/>
    <x v="3"/>
    <n v="5.5"/>
    <x v="2"/>
    <n v="10"/>
    <s v="Other"/>
    <n v="4"/>
    <x v="0"/>
    <n v="2"/>
    <n v="1"/>
    <n v="3"/>
    <n v="4"/>
    <n v="5"/>
    <s v="Y"/>
    <n v="10000"/>
    <x v="5"/>
  </r>
  <r>
    <s v="18.10.19"/>
    <d v="1899-12-30T16:06:00"/>
    <m/>
    <s v="D"/>
    <n v="2"/>
    <s v="Road Vehicle"/>
    <n v="6"/>
    <x v="1"/>
    <x v="0"/>
    <n v="3"/>
    <x v="2"/>
    <s v="KAKOBA"/>
    <s v="Mbarara"/>
    <s v="UG"/>
    <n v="1"/>
    <s v="Home"/>
    <s v="KISENYI"/>
    <s v="KAMPALA"/>
    <s v="UG"/>
    <n v="2"/>
    <s v="Work"/>
    <x v="1"/>
    <n v="800000"/>
    <n v="215"/>
    <x v="3"/>
    <n v="5"/>
    <x v="2"/>
    <n v="10"/>
    <s v="Other"/>
    <n v="2"/>
    <x v="3"/>
    <n v="1"/>
    <n v="2"/>
    <n v="3"/>
    <n v="5"/>
    <n v="4"/>
    <s v="Y"/>
    <n v="1000"/>
    <x v="4"/>
  </r>
  <r>
    <s v="18.10.19"/>
    <d v="1899-12-30T18:48:00"/>
    <m/>
    <s v="P"/>
    <n v="2"/>
    <s v="Road Vehicle"/>
    <n v="6"/>
    <x v="1"/>
    <x v="0"/>
    <n v="3"/>
    <x v="2"/>
    <s v="KISWAYIRI"/>
    <s v="Mbarara"/>
    <s v="UG"/>
    <n v="4"/>
    <s v="Commercial"/>
    <s v="NANSANA"/>
    <s v="WAKISO"/>
    <s v="UG"/>
    <n v="1"/>
    <s v="Home"/>
    <x v="3"/>
    <n v="20000"/>
    <n v="400"/>
    <x v="3"/>
    <n v="5"/>
    <x v="2"/>
    <n v="7"/>
    <s v="Farmer"/>
    <n v="2"/>
    <x v="3"/>
    <n v="3"/>
    <n v="2"/>
    <n v="1"/>
    <n v="5"/>
    <n v="4"/>
    <s v="Y"/>
    <n v="1000"/>
    <x v="4"/>
  </r>
  <r>
    <s v="18.10.19"/>
    <d v="1899-12-30T18:00:00"/>
    <m/>
    <s v="D"/>
    <n v="2"/>
    <s v="Road Vehicle"/>
    <n v="6"/>
    <x v="1"/>
    <x v="0"/>
    <n v="3"/>
    <x v="2"/>
    <s v="KAMPALA TOWN"/>
    <s v="KAMPALA"/>
    <s v="UG"/>
    <n v="4"/>
    <s v="Commercial"/>
    <s v="KISORO TOWN"/>
    <s v="KISORO"/>
    <s v="UG"/>
    <n v="4"/>
    <s v="Commercial"/>
    <x v="18"/>
    <n v="1100000"/>
    <m/>
    <x v="0"/>
    <n v="12"/>
    <x v="2"/>
    <n v="10"/>
    <s v="Other"/>
    <n v="4"/>
    <x v="0"/>
    <n v="5"/>
    <n v="2"/>
    <n v="4"/>
    <n v="3"/>
    <n v="1"/>
    <s v="Y"/>
    <n v="10000"/>
    <x v="5"/>
  </r>
  <r>
    <s v="18.10.19"/>
    <d v="1899-12-30T17:40:00"/>
    <m/>
    <s v="D"/>
    <n v="2"/>
    <s v="Road Vehicle"/>
    <n v="6"/>
    <x v="1"/>
    <x v="0"/>
    <n v="3"/>
    <x v="2"/>
    <s v="KAMPALA TOWN"/>
    <s v="KAMPALA"/>
    <s v="UG"/>
    <n v="4"/>
    <s v="Commercial"/>
    <s v="RUKUNGIRI TOWN"/>
    <s v="RUKUNGIRI"/>
    <s v="UG"/>
    <n v="4"/>
    <s v="Commercial"/>
    <x v="18"/>
    <n v="700000"/>
    <m/>
    <x v="0"/>
    <n v="8.5"/>
    <x v="2"/>
    <n v="10"/>
    <s v="Other"/>
    <n v="5"/>
    <x v="4"/>
    <n v="4"/>
    <n v="4"/>
    <n v="3"/>
    <n v="3"/>
    <n v="2"/>
    <s v="Y"/>
    <n v="6000"/>
    <x v="2"/>
  </r>
  <r>
    <s v="18.10.19"/>
    <d v="1899-12-30T17:49:00"/>
    <m/>
    <s v="D"/>
    <n v="2"/>
    <s v="Road Vehicle"/>
    <n v="6"/>
    <x v="1"/>
    <x v="0"/>
    <n v="3"/>
    <x v="2"/>
    <s v="KAMPALA TOWN"/>
    <s v="KAMPALA"/>
    <s v="UG"/>
    <n v="4"/>
    <s v="Commercial"/>
    <s v="ISHAKA TOWN"/>
    <s v="ISHAKA"/>
    <s v="UG"/>
    <n v="4"/>
    <s v="Commercial"/>
    <x v="18"/>
    <n v="570000"/>
    <m/>
    <x v="0"/>
    <n v="7"/>
    <x v="2"/>
    <n v="10"/>
    <s v="Other"/>
    <n v="5"/>
    <x v="4"/>
    <n v="5"/>
    <n v="4"/>
    <n v="4"/>
    <n v="2"/>
    <n v="3"/>
    <s v="Y"/>
    <n v="5000"/>
    <x v="2"/>
  </r>
  <r>
    <s v="18.10.19"/>
    <d v="1899-12-30T16:30:00"/>
    <m/>
    <s v="D"/>
    <n v="2"/>
    <s v="Road Vehicle"/>
    <n v="6"/>
    <x v="1"/>
    <x v="0"/>
    <n v="3"/>
    <x v="2"/>
    <s v="KAMPALA TOWN"/>
    <s v="KAMPALA"/>
    <s v="UG"/>
    <n v="4"/>
    <s v="Commercial"/>
    <s v="KISORO TOWN"/>
    <s v="KISORO"/>
    <s v="UG"/>
    <n v="4"/>
    <s v="Commercial"/>
    <x v="18"/>
    <n v="2400000"/>
    <m/>
    <x v="0"/>
    <n v="12"/>
    <x v="2"/>
    <n v="10"/>
    <s v="Other"/>
    <n v="5"/>
    <x v="4"/>
    <n v="4"/>
    <n v="4"/>
    <n v="4"/>
    <n v="3"/>
    <n v="5"/>
    <s v="Y"/>
    <n v="5000"/>
    <x v="2"/>
  </r>
  <r>
    <s v="18.10.19"/>
    <d v="1899-12-30T15:49:00"/>
    <m/>
    <s v="D"/>
    <n v="2"/>
    <s v="Road Vehicle"/>
    <n v="6"/>
    <x v="1"/>
    <x v="0"/>
    <n v="3"/>
    <x v="2"/>
    <s v="KAMPALA TOWN"/>
    <s v="KAMPALA"/>
    <s v="UG"/>
    <n v="4"/>
    <s v="Commercial"/>
    <s v="MBARARA TOWN"/>
    <s v="MBARARA"/>
    <s v="UG"/>
    <n v="4"/>
    <s v="Commercial"/>
    <x v="18"/>
    <n v="420000"/>
    <m/>
    <x v="0"/>
    <n v="4.5"/>
    <x v="2"/>
    <n v="10"/>
    <s v="Other"/>
    <n v="5"/>
    <x v="4"/>
    <n v="2"/>
    <n v="3"/>
    <n v="4"/>
    <n v="2"/>
    <n v="4"/>
    <s v="Y"/>
    <n v="5000"/>
    <x v="2"/>
  </r>
  <r>
    <s v="19.10.19"/>
    <d v="1899-12-30T11:36:00"/>
    <m/>
    <s v="P"/>
    <n v="2"/>
    <s v="Road Vehicle"/>
    <n v="6"/>
    <x v="1"/>
    <x v="0"/>
    <n v="3"/>
    <x v="2"/>
    <s v="KISENYI"/>
    <s v="Mbarara"/>
    <s v="UG"/>
    <n v="1"/>
    <s v="Home"/>
    <s v="KABOWA"/>
    <s v="KAMPALA"/>
    <s v="UG"/>
    <n v="4"/>
    <s v="Commercial"/>
    <x v="0"/>
    <n v="20000"/>
    <n v="400"/>
    <x v="3"/>
    <n v="5"/>
    <x v="2"/>
    <n v="6"/>
    <s v="Businessman"/>
    <n v="2"/>
    <x v="3"/>
    <n v="2"/>
    <n v="1"/>
    <n v="4"/>
    <n v="5"/>
    <n v="3"/>
    <s v="Y"/>
    <n v="1500"/>
    <x v="4"/>
  </r>
  <r>
    <s v="20.10.19"/>
    <d v="1899-12-30T16:41:00"/>
    <m/>
    <s v="D"/>
    <n v="2"/>
    <s v="Road Vehicle"/>
    <n v="6"/>
    <x v="1"/>
    <x v="0"/>
    <n v="3"/>
    <x v="2"/>
    <s v="MBARARA TOWN"/>
    <s v="Mbarara"/>
    <s v="UG"/>
    <n v="4"/>
    <s v="Commercial"/>
    <s v="KAMPALA TOWN"/>
    <s v="KAMPALA"/>
    <s v="UG"/>
    <n v="4"/>
    <s v="Commercial"/>
    <x v="18"/>
    <n v="400000"/>
    <n v="260"/>
    <x v="3"/>
    <n v="6"/>
    <x v="2"/>
    <n v="10"/>
    <s v="Other"/>
    <n v="4"/>
    <x v="0"/>
    <n v="4"/>
    <n v="4"/>
    <n v="5"/>
    <n v="2"/>
    <n v="3"/>
    <s v="Y"/>
    <n v="0"/>
    <x v="3"/>
  </r>
  <r>
    <s v="20.10.19"/>
    <d v="1899-12-30T17:02:00"/>
    <m/>
    <s v="D"/>
    <n v="2"/>
    <s v="Road Vehicle"/>
    <n v="6"/>
    <x v="1"/>
    <x v="0"/>
    <n v="3"/>
    <x v="2"/>
    <s v="KABALE TOWN"/>
    <s v="KABALE"/>
    <s v="UG"/>
    <n v="4"/>
    <s v="Commercial"/>
    <s v="KAMPALA TOWN"/>
    <s v="KAMPALA"/>
    <s v="UG"/>
    <n v="4"/>
    <s v="Commercial"/>
    <x v="18"/>
    <n v="550000"/>
    <m/>
    <x v="0"/>
    <n v="8.5"/>
    <x v="2"/>
    <n v="2"/>
    <s v="Manual Labour"/>
    <n v="5"/>
    <x v="4"/>
    <n v="2"/>
    <n v="4"/>
    <n v="3"/>
    <n v="4"/>
    <n v="3"/>
    <s v="Y"/>
    <n v="10000"/>
    <x v="5"/>
  </r>
  <r>
    <s v="20.10.19"/>
    <d v="1899-12-30T14:00:00"/>
    <m/>
    <s v="D"/>
    <n v="2"/>
    <s v="Road Vehicle"/>
    <n v="6"/>
    <x v="1"/>
    <x v="0"/>
    <n v="3"/>
    <x v="2"/>
    <s v="MBARARA TOWN"/>
    <s v="Mbarara"/>
    <s v="UG"/>
    <n v="2"/>
    <s v="Work"/>
    <s v="KAMPALA TOWN"/>
    <s v="KAMPALA"/>
    <s v="UG"/>
    <n v="1"/>
    <s v="Home"/>
    <x v="4"/>
    <n v="800000"/>
    <n v="280"/>
    <x v="3"/>
    <n v="4.5"/>
    <x v="2"/>
    <n v="10"/>
    <s v="Other"/>
    <n v="4"/>
    <x v="0"/>
    <n v="5"/>
    <n v="3"/>
    <n v="2"/>
    <n v="1"/>
    <n v="4"/>
    <s v="Y"/>
    <n v="6000"/>
    <x v="2"/>
  </r>
  <r>
    <s v="20.10.19"/>
    <d v="1899-12-30T07:02:00"/>
    <m/>
    <s v="D"/>
    <n v="2"/>
    <s v="Road Vehicle"/>
    <n v="6"/>
    <x v="1"/>
    <x v="0"/>
    <n v="3"/>
    <x v="2"/>
    <s v="MBARARA TOWN"/>
    <s v="Mbarara"/>
    <s v="UG"/>
    <n v="2"/>
    <s v="Work"/>
    <s v="KAWEMPE"/>
    <s v="WAKISO"/>
    <s v="UG"/>
    <n v="1"/>
    <s v="Home"/>
    <x v="4"/>
    <n v="800000"/>
    <n v="280"/>
    <x v="3"/>
    <n v="5"/>
    <x v="2"/>
    <n v="10"/>
    <s v="Other"/>
    <n v="3"/>
    <x v="1"/>
    <n v="4"/>
    <n v="5"/>
    <n v="3"/>
    <n v="2"/>
    <n v="1"/>
    <s v="Y"/>
    <n v="6000"/>
    <x v="2"/>
  </r>
  <r>
    <s v="20.10.19"/>
    <d v="1899-12-30T08:55:00"/>
    <m/>
    <s v="D"/>
    <n v="2"/>
    <s v="Road Vehicle"/>
    <n v="6"/>
    <x v="1"/>
    <x v="0"/>
    <n v="3"/>
    <x v="2"/>
    <s v="KIBAALE"/>
    <s v="Mbarara"/>
    <s v="UG"/>
    <n v="1"/>
    <s v="Home"/>
    <s v="KAMPALA TOWN"/>
    <s v="KAMPALA"/>
    <s v="UG"/>
    <n v="2"/>
    <s v="Work"/>
    <x v="1"/>
    <n v="800000"/>
    <n v="300"/>
    <x v="3"/>
    <n v="5"/>
    <x v="2"/>
    <n v="10"/>
    <s v="Other"/>
    <n v="4"/>
    <x v="0"/>
    <n v="1"/>
    <n v="4"/>
    <n v="5"/>
    <n v="3"/>
    <n v="2"/>
    <s v="Y"/>
    <n v="4000"/>
    <x v="0"/>
  </r>
  <r>
    <s v="20.10.19"/>
    <d v="1899-12-30T08:41:00"/>
    <m/>
    <s v="D"/>
    <n v="2"/>
    <s v="Road Vehicle"/>
    <n v="6"/>
    <x v="1"/>
    <x v="0"/>
    <n v="3"/>
    <x v="2"/>
    <s v="MBARARA TOWN"/>
    <s v="Mbarara"/>
    <s v="UG"/>
    <n v="2"/>
    <s v="Work"/>
    <s v="MUTUNGO"/>
    <s v="KAMPALA"/>
    <s v="UG"/>
    <n v="1"/>
    <s v="Home"/>
    <x v="4"/>
    <n v="750000"/>
    <n v="288"/>
    <x v="3"/>
    <n v="5.5"/>
    <x v="2"/>
    <n v="10"/>
    <s v="Other"/>
    <n v="4"/>
    <x v="0"/>
    <n v="2"/>
    <n v="1"/>
    <n v="3"/>
    <n v="5"/>
    <n v="4"/>
    <s v="Y"/>
    <n v="7000"/>
    <x v="2"/>
  </r>
  <r>
    <s v="20.10.19"/>
    <d v="1899-12-30T08:37:00"/>
    <m/>
    <s v="D"/>
    <n v="2"/>
    <s v="Road Vehicle"/>
    <n v="6"/>
    <x v="1"/>
    <x v="0"/>
    <n v="3"/>
    <x v="2"/>
    <s v="KISENYI"/>
    <s v="Mbarara"/>
    <s v="UG"/>
    <n v="1"/>
    <s v="Home"/>
    <s v="RUBAGA"/>
    <s v="KAMPALA"/>
    <s v="UG"/>
    <n v="2"/>
    <s v="Work"/>
    <x v="1"/>
    <n v="750000"/>
    <n v="280"/>
    <x v="3"/>
    <n v="5"/>
    <x v="2"/>
    <n v="10"/>
    <s v="Other"/>
    <n v="3"/>
    <x v="1"/>
    <n v="5"/>
    <n v="2"/>
    <n v="3"/>
    <n v="1"/>
    <n v="4"/>
    <s v="Y"/>
    <n v="0"/>
    <x v="3"/>
  </r>
  <r>
    <s v="20.10.19"/>
    <d v="1899-12-30T08:11:00"/>
    <m/>
    <s v="D"/>
    <n v="2"/>
    <s v="Road Vehicle"/>
    <n v="6"/>
    <x v="1"/>
    <x v="0"/>
    <n v="3"/>
    <x v="2"/>
    <s v="KAMUKUZI"/>
    <s v="Mbarara"/>
    <s v="UG"/>
    <n v="2"/>
    <s v="Work"/>
    <s v="LWEZA"/>
    <s v="WAKISO"/>
    <s v="UG"/>
    <n v="1"/>
    <s v="Home"/>
    <x v="4"/>
    <n v="800000"/>
    <n v="280"/>
    <x v="3"/>
    <n v="4.5"/>
    <x v="2"/>
    <n v="10"/>
    <s v="Other"/>
    <n v="3"/>
    <x v="1"/>
    <n v="1"/>
    <n v="2"/>
    <n v="4"/>
    <n v="3"/>
    <n v="5"/>
    <s v="Y"/>
    <n v="0"/>
    <x v="3"/>
  </r>
  <r>
    <s v="20.10.19"/>
    <d v="1899-12-30T17:32:00"/>
    <m/>
    <s v="D"/>
    <n v="2"/>
    <s v="Road Vehicle"/>
    <n v="6"/>
    <x v="1"/>
    <x v="0"/>
    <n v="3"/>
    <x v="2"/>
    <s v="KAMPALA TOWN"/>
    <s v="KAMPALA"/>
    <s v="UG"/>
    <n v="1"/>
    <s v="Home"/>
    <s v="MBARARA TOWN"/>
    <s v="MBARARA"/>
    <s v="UG"/>
    <n v="2"/>
    <s v="Work"/>
    <x v="1"/>
    <n v="700000"/>
    <n v="215"/>
    <x v="3"/>
    <n v="4.5"/>
    <x v="2"/>
    <n v="10"/>
    <s v="Other"/>
    <n v="3"/>
    <x v="1"/>
    <n v="2"/>
    <n v="1"/>
    <n v="3"/>
    <n v="5"/>
    <n v="4"/>
    <s v="Y"/>
    <n v="1000"/>
    <x v="4"/>
  </r>
  <r>
    <s v="20.10.19"/>
    <d v="1899-12-30T17:22:00"/>
    <m/>
    <s v="D"/>
    <n v="2"/>
    <s v="Road Vehicle"/>
    <n v="6"/>
    <x v="1"/>
    <x v="0"/>
    <n v="3"/>
    <x v="2"/>
    <s v="KABALE TOWN"/>
    <s v="KABALE"/>
    <s v="UG"/>
    <n v="2"/>
    <s v="Work"/>
    <s v="MBARARA TOWN"/>
    <s v="MBARARA"/>
    <s v="UG"/>
    <n v="1"/>
    <s v="Home"/>
    <x v="4"/>
    <n v="300000"/>
    <n v="110"/>
    <x v="2"/>
    <n v="3"/>
    <x v="0"/>
    <n v="10"/>
    <s v="Other"/>
    <n v="3"/>
    <x v="1"/>
    <n v="2"/>
    <n v="1"/>
    <n v="3"/>
    <n v="4"/>
    <n v="5"/>
    <s v="Y"/>
    <n v="0"/>
    <x v="3"/>
  </r>
  <r>
    <s v="20.10.19"/>
    <d v="1899-12-30T17:10:00"/>
    <m/>
    <s v="D"/>
    <n v="2"/>
    <s v="Road Vehicle"/>
    <n v="6"/>
    <x v="1"/>
    <x v="0"/>
    <n v="3"/>
    <x v="2"/>
    <s v="KAMPALA TOWN"/>
    <s v="KAMPALA"/>
    <s v="UG"/>
    <n v="1"/>
    <s v="Home"/>
    <s v="MBARARA TOWN"/>
    <s v="MBARARA"/>
    <s v="UG"/>
    <n v="2"/>
    <s v="Work"/>
    <x v="1"/>
    <n v="700000"/>
    <n v="215"/>
    <x v="3"/>
    <n v="5"/>
    <x v="2"/>
    <n v="10"/>
    <s v="Other"/>
    <n v="4"/>
    <x v="0"/>
    <n v="1"/>
    <n v="3"/>
    <n v="4"/>
    <n v="5"/>
    <n v="2"/>
    <s v="Y"/>
    <n v="9000"/>
    <x v="2"/>
  </r>
  <r>
    <s v="20.10.19"/>
    <d v="1899-12-30T16:58:00"/>
    <m/>
    <s v="D"/>
    <n v="2"/>
    <s v="Road Vehicle"/>
    <n v="6"/>
    <x v="1"/>
    <x v="0"/>
    <n v="3"/>
    <x v="2"/>
    <s v="KAMPALA TOWN"/>
    <s v="KAMPALA"/>
    <s v="UG"/>
    <n v="2"/>
    <s v="Work"/>
    <s v="KABALE TOWN"/>
    <s v="KABALE"/>
    <s v="UG"/>
    <n v="1"/>
    <s v="Home"/>
    <x v="4"/>
    <n v="850000"/>
    <n v="396"/>
    <x v="3"/>
    <n v="8"/>
    <x v="2"/>
    <n v="10"/>
    <s v="Other"/>
    <n v="4"/>
    <x v="0"/>
    <n v="1"/>
    <n v="2"/>
    <n v="5"/>
    <n v="4"/>
    <n v="3"/>
    <s v="Y"/>
    <n v="10000"/>
    <x v="5"/>
  </r>
  <r>
    <s v="20.10.19"/>
    <d v="1899-12-30T16:53:00"/>
    <m/>
    <s v="D"/>
    <n v="2"/>
    <s v="Road Vehicle"/>
    <n v="6"/>
    <x v="1"/>
    <x v="0"/>
    <n v="3"/>
    <x v="2"/>
    <s v="KIYIYI"/>
    <s v="RUKUNGIRI"/>
    <s v="UG"/>
    <n v="1"/>
    <s v="Home"/>
    <s v="KAMPALA TOWN"/>
    <s v="KAMPALA"/>
    <s v="UG"/>
    <n v="2"/>
    <s v="Work"/>
    <x v="1"/>
    <n v="650000"/>
    <n v="390"/>
    <x v="3"/>
    <n v="8.5"/>
    <x v="2"/>
    <n v="10"/>
    <s v="Other"/>
    <n v="4"/>
    <x v="0"/>
    <n v="3"/>
    <n v="5"/>
    <n v="4"/>
    <n v="2"/>
    <n v="1"/>
    <s v="Y"/>
    <n v="7000"/>
    <x v="2"/>
  </r>
  <r>
    <s v="20.10.19"/>
    <d v="1899-12-30T16:49:00"/>
    <m/>
    <s v="D"/>
    <n v="2"/>
    <s v="Road Vehicle"/>
    <n v="6"/>
    <x v="1"/>
    <x v="0"/>
    <n v="3"/>
    <x v="2"/>
    <s v="KAMPALA TOWN"/>
    <s v="KAMPALA"/>
    <s v="UG"/>
    <n v="2"/>
    <s v="Work"/>
    <s v="MBARARA TOWN"/>
    <s v="MBARARA"/>
    <s v="UG"/>
    <n v="1"/>
    <s v="Home"/>
    <x v="4"/>
    <n v="800000"/>
    <n v="220"/>
    <x v="3"/>
    <n v="5"/>
    <x v="2"/>
    <n v="10"/>
    <s v="Other"/>
    <n v="3"/>
    <x v="1"/>
    <n v="1"/>
    <n v="2"/>
    <n v="3"/>
    <n v="4"/>
    <n v="5"/>
    <s v="Y"/>
    <n v="1000"/>
    <x v="4"/>
  </r>
  <r>
    <s v="20.10.19"/>
    <d v="1899-12-30T16:34:00"/>
    <m/>
    <s v="D"/>
    <n v="2"/>
    <s v="Road Vehicle"/>
    <n v="6"/>
    <x v="1"/>
    <x v="0"/>
    <n v="3"/>
    <x v="2"/>
    <s v="KAMPALA TOWN"/>
    <s v="KAMPALA"/>
    <s v="UG"/>
    <n v="2"/>
    <s v="Work"/>
    <s v="KABALE TOWN"/>
    <s v="KABALE"/>
    <s v="UG"/>
    <n v="1"/>
    <s v="Home"/>
    <x v="4"/>
    <n v="660000"/>
    <n v="395"/>
    <x v="3"/>
    <n v="7"/>
    <x v="2"/>
    <n v="10"/>
    <s v="Other"/>
    <n v="3"/>
    <x v="1"/>
    <n v="3"/>
    <n v="4"/>
    <n v="5"/>
    <n v="1"/>
    <n v="2"/>
    <s v="Y"/>
    <n v="6000"/>
    <x v="2"/>
  </r>
  <r>
    <s v="20.10.19"/>
    <d v="1899-12-30T15:55:00"/>
    <m/>
    <s v="D"/>
    <n v="2"/>
    <s v="Road Vehicle"/>
    <n v="6"/>
    <x v="1"/>
    <x v="0"/>
    <n v="3"/>
    <x v="2"/>
    <s v="KABALE TOWN"/>
    <s v="KABALE"/>
    <s v="UG"/>
    <n v="2"/>
    <s v="Work"/>
    <s v="KAMPALA TOWN"/>
    <s v="KAMPALA"/>
    <s v="UG"/>
    <n v="1"/>
    <s v="Home"/>
    <x v="4"/>
    <n v="850000"/>
    <n v="396"/>
    <x v="3"/>
    <n v="6.5"/>
    <x v="2"/>
    <n v="10"/>
    <s v="Other"/>
    <n v="4"/>
    <x v="0"/>
    <n v="2"/>
    <n v="1"/>
    <n v="3"/>
    <n v="5"/>
    <n v="4"/>
    <s v="Y"/>
    <n v="9000"/>
    <x v="2"/>
  </r>
  <r>
    <s v="20.10.19"/>
    <d v="1899-12-30T15:28:00"/>
    <m/>
    <s v="D"/>
    <n v="2"/>
    <s v="Road Vehicle"/>
    <n v="6"/>
    <x v="1"/>
    <x v="0"/>
    <n v="3"/>
    <x v="2"/>
    <s v="KAMPALA TOWN"/>
    <s v="KAMPALA"/>
    <s v="UG"/>
    <n v="2"/>
    <s v="Work"/>
    <s v="MBARARA TOWN"/>
    <s v="MBARARA"/>
    <s v="UG"/>
    <n v="1"/>
    <s v="Home"/>
    <x v="4"/>
    <n v="700000"/>
    <n v="215"/>
    <x v="3"/>
    <n v="4.5"/>
    <x v="2"/>
    <n v="10"/>
    <s v="Other"/>
    <n v="3"/>
    <x v="1"/>
    <n v="4"/>
    <n v="5"/>
    <n v="2"/>
    <n v="3"/>
    <n v="1"/>
    <s v="Y"/>
    <n v="0"/>
    <x v="3"/>
  </r>
  <r>
    <s v="20.10.19"/>
    <d v="1899-12-30T15:15:00"/>
    <m/>
    <s v="D"/>
    <n v="2"/>
    <s v="Road Vehicle"/>
    <n v="6"/>
    <x v="1"/>
    <x v="0"/>
    <n v="3"/>
    <x v="2"/>
    <s v="KAMPALA TOWN"/>
    <s v="KAMPALA"/>
    <s v="UG"/>
    <n v="2"/>
    <s v="Work"/>
    <s v="MBARARA TOWN"/>
    <s v="MBARARA"/>
    <s v="UG"/>
    <n v="1"/>
    <s v="Home"/>
    <x v="4"/>
    <n v="750000"/>
    <n v="275"/>
    <x v="3"/>
    <n v="4.5"/>
    <x v="2"/>
    <n v="10"/>
    <s v="Other"/>
    <n v="4"/>
    <x v="0"/>
    <n v="1"/>
    <n v="5"/>
    <n v="3"/>
    <n v="2"/>
    <n v="4"/>
    <s v="Y"/>
    <n v="8000"/>
    <x v="2"/>
  </r>
  <r>
    <s v="20.10.19"/>
    <d v="1899-12-30T14:11:00"/>
    <m/>
    <s v="D"/>
    <n v="2"/>
    <s v="Road Vehicle"/>
    <n v="6"/>
    <x v="1"/>
    <x v="0"/>
    <n v="3"/>
    <x v="2"/>
    <s v="MBARARA TOWN"/>
    <s v="Mbarara"/>
    <s v="UG"/>
    <n v="1"/>
    <s v="Home"/>
    <s v="KAMPALA TOWN"/>
    <s v="KAMPALA"/>
    <s v="UG"/>
    <n v="2"/>
    <s v="Work"/>
    <x v="1"/>
    <n v="850000"/>
    <n v="290"/>
    <x v="3"/>
    <n v="4.5"/>
    <x v="2"/>
    <n v="10"/>
    <s v="Other"/>
    <n v="4"/>
    <x v="0"/>
    <n v="2"/>
    <n v="2"/>
    <n v="1"/>
    <n v="1"/>
    <n v="1"/>
    <s v="Y"/>
    <n v="7000"/>
    <x v="2"/>
  </r>
  <r>
    <s v="20.10.19"/>
    <d v="1899-12-30T16:45:00"/>
    <m/>
    <s v="D"/>
    <n v="2"/>
    <s v="Road Vehicle"/>
    <n v="6"/>
    <x v="1"/>
    <x v="0"/>
    <n v="3"/>
    <x v="2"/>
    <s v="KAKOBA"/>
    <s v="Mbarara"/>
    <s v="UG"/>
    <n v="1"/>
    <s v="Home"/>
    <s v="KAMPALA TOWN"/>
    <s v="KAMPALA"/>
    <s v="UG"/>
    <n v="2"/>
    <s v="Work"/>
    <x v="1"/>
    <n v="800000"/>
    <n v="217"/>
    <x v="3"/>
    <n v="4.5"/>
    <x v="2"/>
    <n v="10"/>
    <s v="Other"/>
    <n v="4"/>
    <x v="0"/>
    <n v="2"/>
    <n v="5"/>
    <n v="2"/>
    <n v="4"/>
    <n v="1"/>
    <s v="Y"/>
    <n v="4000"/>
    <x v="0"/>
  </r>
  <r>
    <s v="20.10.19"/>
    <d v="1899-12-30T19:08:00"/>
    <m/>
    <s v="D"/>
    <n v="2"/>
    <s v="Road Vehicle"/>
    <n v="6"/>
    <x v="1"/>
    <x v="0"/>
    <n v="3"/>
    <x v="2"/>
    <s v="NYARUBUNGE"/>
    <s v="Mbarara"/>
    <s v="UG"/>
    <n v="1"/>
    <s v="Home"/>
    <s v="NAMASUBA"/>
    <s v="WAKISO"/>
    <s v="UG"/>
    <n v="2"/>
    <s v="Work"/>
    <x v="1"/>
    <n v="750000"/>
    <n v="230"/>
    <x v="3"/>
    <n v="5.5"/>
    <x v="2"/>
    <n v="10"/>
    <s v="Other"/>
    <n v="4"/>
    <x v="0"/>
    <n v="2"/>
    <n v="1"/>
    <n v="3"/>
    <n v="5"/>
    <n v="4"/>
    <s v="Y"/>
    <n v="3000"/>
    <x v="0"/>
  </r>
  <r>
    <s v="20.10.19"/>
    <d v="1899-12-30T18:58:00"/>
    <m/>
    <s v="D"/>
    <n v="2"/>
    <s v="Road Vehicle"/>
    <n v="6"/>
    <x v="1"/>
    <x v="0"/>
    <n v="3"/>
    <x v="2"/>
    <s v="KAMUKOZI"/>
    <s v="Mbarara"/>
    <s v="UG"/>
    <n v="1"/>
    <s v="Home"/>
    <s v="MENGO"/>
    <s v="KAMPALA"/>
    <s v="UG"/>
    <n v="2"/>
    <s v="Work"/>
    <x v="1"/>
    <n v="800000"/>
    <n v="217"/>
    <x v="3"/>
    <n v="5"/>
    <x v="2"/>
    <n v="10"/>
    <s v="Other"/>
    <n v="3"/>
    <x v="1"/>
    <n v="3"/>
    <n v="4"/>
    <n v="5"/>
    <n v="1"/>
    <n v="2"/>
    <s v="Y"/>
    <n v="8000"/>
    <x v="2"/>
  </r>
  <r>
    <s v="20.10.19"/>
    <d v="1899-12-30T18:34:00"/>
    <m/>
    <s v="D"/>
    <n v="2"/>
    <s v="Road Vehicle"/>
    <n v="6"/>
    <x v="1"/>
    <x v="0"/>
    <n v="3"/>
    <x v="2"/>
    <s v="KAKIIKA"/>
    <s v="Mbarara"/>
    <s v="UG"/>
    <n v="2"/>
    <s v="Work"/>
    <s v="LUBIRI"/>
    <s v="KAMPALA"/>
    <s v="UG"/>
    <n v="1"/>
    <s v="Home"/>
    <x v="4"/>
    <n v="700000"/>
    <n v="220"/>
    <x v="3"/>
    <n v="5"/>
    <x v="2"/>
    <n v="10"/>
    <s v="Other"/>
    <n v="4"/>
    <x v="0"/>
    <n v="1"/>
    <n v="2"/>
    <n v="3"/>
    <n v="4"/>
    <n v="5"/>
    <s v="Y"/>
    <n v="0"/>
    <x v="3"/>
  </r>
  <r>
    <s v="20.10.19"/>
    <d v="1899-12-30T18:50:00"/>
    <m/>
    <s v="D"/>
    <n v="2"/>
    <s v="Road Vehicle"/>
    <n v="6"/>
    <x v="1"/>
    <x v="0"/>
    <n v="3"/>
    <x v="2"/>
    <s v="MWIZI"/>
    <s v="Mbarara"/>
    <s v="UG"/>
    <n v="1"/>
    <s v="Home"/>
    <s v="KAMPALA TOWN"/>
    <s v="KAMPALA"/>
    <s v="UG"/>
    <n v="2"/>
    <s v="Work"/>
    <x v="1"/>
    <n v="750000"/>
    <n v="215"/>
    <x v="3"/>
    <n v="4.5"/>
    <x v="2"/>
    <n v="10"/>
    <s v="Other"/>
    <n v="4"/>
    <x v="0"/>
    <n v="2"/>
    <n v="1"/>
    <n v="3"/>
    <n v="5"/>
    <n v="4"/>
    <s v="Y"/>
    <n v="10000"/>
    <x v="5"/>
  </r>
  <r>
    <s v="20.10.19"/>
    <m/>
    <m/>
    <s v="P"/>
    <n v="2"/>
    <s v="Road Vehicle"/>
    <n v="6"/>
    <x v="1"/>
    <x v="0"/>
    <n v="3"/>
    <x v="2"/>
    <s v="MBARARA TOWN"/>
    <s v="Mbarara"/>
    <s v="UG"/>
    <n v="1"/>
    <s v="Home"/>
    <s v="KAMPALA TOWN"/>
    <s v="KAMPALA"/>
    <s v="UG"/>
    <n v="4"/>
    <s v="Commercial"/>
    <x v="0"/>
    <n v="20000"/>
    <n v="160"/>
    <x v="2"/>
    <n v="4"/>
    <x v="2"/>
    <n v="6"/>
    <s v="Businessman"/>
    <n v="1"/>
    <x v="2"/>
    <n v="2"/>
    <n v="2"/>
    <n v="2"/>
    <n v="2"/>
    <n v="2"/>
    <s v="Y"/>
    <n v="5000"/>
    <x v="2"/>
  </r>
  <r>
    <s v="20.10.19"/>
    <d v="1899-12-30T10:29:00"/>
    <m/>
    <s v="D"/>
    <n v="2"/>
    <s v="Road Vehicle"/>
    <n v="7"/>
    <x v="7"/>
    <x v="0"/>
    <n v="3"/>
    <x v="2"/>
    <s v="BUS PARK"/>
    <s v="Mbarara"/>
    <s v="UG"/>
    <n v="4"/>
    <s v="Commercial"/>
    <s v="MBARARA TOWN"/>
    <s v="MBARARA"/>
    <s v="UG"/>
    <n v="4"/>
    <s v="Commercial"/>
    <x v="18"/>
    <n v="30000"/>
    <m/>
    <x v="0"/>
    <n v="0.16"/>
    <x v="3"/>
    <n v="10"/>
    <s v="Other"/>
    <n v="2"/>
    <x v="3"/>
    <n v="3"/>
    <n v="1"/>
    <n v="2"/>
    <n v="5"/>
    <n v="2"/>
    <s v="Y"/>
    <n v="1000"/>
    <x v="4"/>
  </r>
  <r>
    <s v="19.10.19"/>
    <d v="1899-12-30T10:21:00"/>
    <m/>
    <s v="P"/>
    <n v="2"/>
    <s v="Road Vehicle"/>
    <n v="5"/>
    <x v="2"/>
    <x v="1"/>
    <n v="3"/>
    <x v="2"/>
    <s v="RUKUNGIRI TOWN"/>
    <s v="RUKUNGIRI"/>
    <s v="UG"/>
    <n v="2"/>
    <s v="Work"/>
    <s v="KAKOOBA"/>
    <s v="MBARARA"/>
    <s v="UG"/>
    <n v="1"/>
    <s v="Home"/>
    <x v="4"/>
    <n v="10000"/>
    <n v="50"/>
    <x v="5"/>
    <n v="3"/>
    <x v="0"/>
    <n v="6"/>
    <s v="Businessman"/>
    <n v="1"/>
    <x v="2"/>
    <n v="2"/>
    <n v="1"/>
    <n v="3"/>
    <n v="4"/>
    <n v="3"/>
    <s v="Y"/>
    <n v="2000"/>
    <x v="1"/>
  </r>
  <r>
    <s v="19.10.19"/>
    <d v="1899-12-30T10:11:00"/>
    <m/>
    <s v="P"/>
    <n v="2"/>
    <s v="Road Vehicle"/>
    <n v="5"/>
    <x v="2"/>
    <x v="1"/>
    <n v="3"/>
    <x v="2"/>
    <s v="BUHIMBA"/>
    <s v="bushenyi"/>
    <s v="UG"/>
    <n v="2"/>
    <s v="Work"/>
    <s v="KAYANGA"/>
    <s v="BUSHENYI"/>
    <s v="UG"/>
    <n v="7"/>
    <s v="Hospital"/>
    <x v="23"/>
    <n v="15000"/>
    <n v="30"/>
    <x v="4"/>
    <n v="2.5"/>
    <x v="0"/>
    <n v="6"/>
    <s v="Businessman"/>
    <n v="2"/>
    <x v="3"/>
    <n v="1"/>
    <n v="5"/>
    <n v="2"/>
    <n v="3"/>
    <n v="4"/>
    <s v="Y"/>
    <n v="3000"/>
    <x v="0"/>
  </r>
  <r>
    <s v="18.10.19"/>
    <d v="1899-12-30T15:25:00"/>
    <m/>
    <s v="D"/>
    <n v="2"/>
    <s v="Road Vehicle"/>
    <n v="5"/>
    <x v="2"/>
    <x v="0"/>
    <n v="3"/>
    <x v="2"/>
    <s v="KAMPALA TOWN"/>
    <s v="KAMPALA"/>
    <s v="UG"/>
    <n v="4"/>
    <s v="Commercial"/>
    <s v="KABALE TOWN"/>
    <s v="KABALE"/>
    <s v="UG"/>
    <n v="4"/>
    <s v="Commercial"/>
    <x v="18"/>
    <n v="1300000"/>
    <m/>
    <x v="0"/>
    <n v="10.5"/>
    <x v="2"/>
    <n v="10"/>
    <s v="Other"/>
    <n v="5"/>
    <x v="4"/>
    <n v="2"/>
    <n v="5"/>
    <n v="4"/>
    <n v="3"/>
    <n v="4"/>
    <s v="Y"/>
    <n v="0"/>
    <x v="3"/>
  </r>
  <r>
    <s v="19.10.19"/>
    <d v="1899-12-30T11:50:00"/>
    <m/>
    <s v="P"/>
    <n v="2"/>
    <s v="Road Vehicle"/>
    <n v="5"/>
    <x v="2"/>
    <x v="0"/>
    <n v="3"/>
    <x v="2"/>
    <s v="KAKIIKA"/>
    <s v="Mbarara"/>
    <s v="UG"/>
    <n v="2"/>
    <s v="Work"/>
    <s v="LUNGUJJA"/>
    <s v="KAMPALA"/>
    <s v="UG"/>
    <n v="1"/>
    <s v="Home"/>
    <x v="4"/>
    <n v="20000"/>
    <n v="400"/>
    <x v="3"/>
    <n v="4.5"/>
    <x v="2"/>
    <n v="5"/>
    <s v="Professional"/>
    <n v="1"/>
    <x v="2"/>
    <n v="1"/>
    <n v="2"/>
    <n v="4"/>
    <n v="3"/>
    <n v="3"/>
    <s v="Y"/>
    <n v="3000"/>
    <x v="0"/>
  </r>
  <r>
    <s v="19.10.19"/>
    <m/>
    <m/>
    <s v="P"/>
    <n v="2"/>
    <s v="Road Vehicle"/>
    <n v="4"/>
    <x v="3"/>
    <x v="1"/>
    <n v="3"/>
    <x v="2"/>
    <s v="MBARARA TOWN"/>
    <s v="Mbarara"/>
    <s v="UG"/>
    <n v="1"/>
    <s v="Home"/>
    <s v="BUGAMBO"/>
    <s v="ISINGIRO"/>
    <s v="UG"/>
    <n v="8"/>
    <s v="Others"/>
    <x v="13"/>
    <n v="10000"/>
    <n v="47"/>
    <x v="5"/>
    <n v="2"/>
    <x v="0"/>
    <n v="2"/>
    <s v="Manual Labour"/>
    <n v="2"/>
    <x v="3"/>
    <n v="5"/>
    <n v="2"/>
    <n v="1"/>
    <n v="1"/>
    <n v="1"/>
    <s v="Y"/>
    <n v="5000"/>
    <x v="2"/>
  </r>
  <r>
    <s v="20.10.19"/>
    <d v="1899-12-30T09:50:00"/>
    <m/>
    <s v="P"/>
    <n v="2"/>
    <s v="Road Vehicle"/>
    <n v="4"/>
    <x v="3"/>
    <x v="1"/>
    <n v="3"/>
    <x v="2"/>
    <s v="MBARARA TOWN"/>
    <s v="Mbarara"/>
    <s v="UG"/>
    <n v="2"/>
    <s v="Work"/>
    <s v="ISHAKA TOWN"/>
    <s v="MBARARA"/>
    <s v="UG"/>
    <n v="4"/>
    <s v="Commercial"/>
    <x v="17"/>
    <n v="15000"/>
    <n v="59"/>
    <x v="5"/>
    <n v="0.63300000000000001"/>
    <x v="4"/>
    <n v="6"/>
    <s v="Businessman"/>
    <n v="3"/>
    <x v="1"/>
    <n v="5"/>
    <n v="3"/>
    <n v="2"/>
    <n v="1"/>
    <n v="4"/>
    <s v="Y"/>
    <n v="5000"/>
    <x v="2"/>
  </r>
  <r>
    <s v="18.10.19"/>
    <m/>
    <m/>
    <s v="D"/>
    <n v="2"/>
    <s v="Road Vehicle"/>
    <n v="4"/>
    <x v="3"/>
    <x v="0"/>
    <n v="3"/>
    <x v="2"/>
    <s v="KAMWENGE TOWN"/>
    <s v="KAMWENGE"/>
    <s v="UG"/>
    <n v="1"/>
    <s v="Home"/>
    <s v="MBARARA TOWN"/>
    <s v="MBARARA"/>
    <s v="UG"/>
    <n v="2"/>
    <s v="Work"/>
    <x v="1"/>
    <n v="70000"/>
    <n v="120"/>
    <x v="2"/>
    <n v="2.5"/>
    <x v="0"/>
    <n v="2"/>
    <s v="Manual Labour"/>
    <n v="3"/>
    <x v="1"/>
    <n v="5"/>
    <n v="5"/>
    <n v="1"/>
    <n v="1"/>
    <n v="1"/>
    <s v="Y"/>
    <n v="4000"/>
    <x v="0"/>
  </r>
  <r>
    <s v="18.10.19"/>
    <m/>
    <m/>
    <s v="D"/>
    <n v="2"/>
    <s v="Road Vehicle"/>
    <n v="4"/>
    <x v="3"/>
    <x v="0"/>
    <n v="3"/>
    <x v="2"/>
    <s v="MBARARA TOWN"/>
    <s v="MBARARA"/>
    <s v="UG"/>
    <n v="1"/>
    <s v="Home"/>
    <s v="RUKUNGIRI TOWN"/>
    <s v="RUKUNGIRI"/>
    <s v="UG"/>
    <n v="2"/>
    <s v="Work"/>
    <x v="1"/>
    <n v="140000"/>
    <m/>
    <x v="0"/>
    <n v="3"/>
    <x v="0"/>
    <n v="2"/>
    <s v="Manual Labour"/>
    <n v="2"/>
    <x v="3"/>
    <n v="5"/>
    <n v="1"/>
    <n v="1"/>
    <n v="1"/>
    <n v="1"/>
    <s v="Y"/>
    <n v="4000"/>
    <x v="0"/>
  </r>
  <r>
    <s v="18.10.19"/>
    <m/>
    <m/>
    <s v="D"/>
    <n v="2"/>
    <s v="Road Vehicle"/>
    <n v="4"/>
    <x v="3"/>
    <x v="0"/>
    <n v="3"/>
    <x v="2"/>
    <s v="MBARARA TOWN"/>
    <s v="MBARARA"/>
    <s v="UG"/>
    <n v="1"/>
    <s v="Home"/>
    <s v="KAMPALA TOWN"/>
    <s v="KAMPALA"/>
    <s v="UG"/>
    <n v="2"/>
    <s v="Work"/>
    <x v="1"/>
    <n v="350000"/>
    <n v="286"/>
    <x v="3"/>
    <n v="5"/>
    <x v="2"/>
    <n v="2"/>
    <s v="Manual Labour"/>
    <n v="3"/>
    <x v="1"/>
    <n v="5"/>
    <n v="1"/>
    <n v="1"/>
    <n v="1"/>
    <n v="1"/>
    <s v="Y"/>
    <n v="7000"/>
    <x v="2"/>
  </r>
  <r>
    <s v="19.10.19"/>
    <m/>
    <m/>
    <s v="D"/>
    <n v="2"/>
    <s v="Road Vehicle"/>
    <n v="4"/>
    <x v="3"/>
    <x v="0"/>
    <n v="3"/>
    <x v="2"/>
    <s v="MBARARA TOWN"/>
    <s v="MBARARA"/>
    <s v="UG"/>
    <n v="1"/>
    <s v="Home"/>
    <s v="RUKUNGIRI TOWN"/>
    <s v="RUKUNGIRI"/>
    <s v="UG"/>
    <n v="2"/>
    <s v="Work"/>
    <x v="1"/>
    <n v="130000"/>
    <n v="85"/>
    <x v="1"/>
    <n v="4"/>
    <x v="2"/>
    <n v="5"/>
    <s v="Professional"/>
    <n v="3"/>
    <x v="1"/>
    <n v="4"/>
    <n v="2"/>
    <n v="1"/>
    <n v="1"/>
    <n v="1"/>
    <s v="Y"/>
    <n v="0"/>
    <x v="3"/>
  </r>
  <r>
    <s v="19.10.19"/>
    <m/>
    <m/>
    <s v="D"/>
    <n v="2"/>
    <s v="Road Vehicle"/>
    <n v="4"/>
    <x v="3"/>
    <x v="0"/>
    <n v="3"/>
    <x v="2"/>
    <s v="MBARARA TOWN"/>
    <s v="MBARARA"/>
    <s v="UG"/>
    <n v="1"/>
    <s v="Home"/>
    <s v="KAMWENGE TOWN"/>
    <s v="KAMWENGE"/>
    <s v="UG"/>
    <n v="2"/>
    <s v="Work"/>
    <x v="1"/>
    <n v="150000"/>
    <n v="75"/>
    <x v="1"/>
    <n v="3"/>
    <x v="0"/>
    <n v="5"/>
    <s v="Professional"/>
    <n v="4"/>
    <x v="0"/>
    <n v="4"/>
    <n v="2"/>
    <n v="1"/>
    <n v="1"/>
    <n v="1"/>
    <s v="Y"/>
    <n v="3000"/>
    <x v="0"/>
  </r>
  <r>
    <s v="19.10.19"/>
    <m/>
    <m/>
    <s v="D"/>
    <n v="2"/>
    <s v="Road Vehicle"/>
    <n v="4"/>
    <x v="3"/>
    <x v="0"/>
    <n v="3"/>
    <x v="2"/>
    <s v="MBARARA TOWN"/>
    <s v="MBARARA"/>
    <s v="UG"/>
    <n v="1"/>
    <s v="Home"/>
    <s v="ISINGIRO TOWN"/>
    <s v="ISINGIRO"/>
    <s v="UG"/>
    <n v="2"/>
    <s v="Work"/>
    <x v="1"/>
    <n v="120000"/>
    <n v="52"/>
    <x v="5"/>
    <n v="3"/>
    <x v="0"/>
    <n v="2"/>
    <s v="Manual Labour"/>
    <n v="1"/>
    <x v="2"/>
    <n v="5"/>
    <n v="1"/>
    <n v="1"/>
    <n v="1"/>
    <n v="1"/>
    <s v="Y"/>
    <n v="7500"/>
    <x v="2"/>
  </r>
  <r>
    <s v="19.10.19"/>
    <m/>
    <m/>
    <s v="D"/>
    <n v="2"/>
    <s v="Road Vehicle"/>
    <n v="4"/>
    <x v="3"/>
    <x v="0"/>
    <n v="3"/>
    <x v="2"/>
    <s v="MBARARA TOWN"/>
    <s v="MBARARA"/>
    <s v="UG"/>
    <n v="1"/>
    <s v="Home"/>
    <s v="ISINGIRO TOWN"/>
    <s v="ISINGIRO"/>
    <s v="UG"/>
    <n v="2"/>
    <s v="Work"/>
    <x v="1"/>
    <n v="100000"/>
    <n v="80"/>
    <x v="1"/>
    <n v="4"/>
    <x v="2"/>
    <n v="5"/>
    <s v="Professional"/>
    <n v="4"/>
    <x v="0"/>
    <n v="5"/>
    <n v="2"/>
    <n v="1"/>
    <n v="1"/>
    <n v="1"/>
    <s v="Y"/>
    <n v="0"/>
    <x v="3"/>
  </r>
  <r>
    <s v="19.10.19"/>
    <m/>
    <m/>
    <s v="D"/>
    <n v="2"/>
    <s v="Road Vehicle"/>
    <n v="4"/>
    <x v="3"/>
    <x v="0"/>
    <n v="3"/>
    <x v="2"/>
    <s v="MBARARA TOWN"/>
    <s v="MBARARA"/>
    <s v="UG"/>
    <n v="1"/>
    <s v="Home"/>
    <s v="KAMPALA TOWN"/>
    <s v="KAMPALA"/>
    <s v="UG"/>
    <n v="2"/>
    <s v="Work"/>
    <x v="1"/>
    <n v="130000"/>
    <n v="260"/>
    <x v="3"/>
    <n v="3.5"/>
    <x v="2"/>
    <n v="2"/>
    <s v="Manual Labour"/>
    <n v="1"/>
    <x v="2"/>
    <n v="5"/>
    <n v="5"/>
    <n v="3"/>
    <n v="3"/>
    <n v="4"/>
    <s v="Y"/>
    <n v="3000"/>
    <x v="0"/>
  </r>
  <r>
    <s v="19.10.19"/>
    <m/>
    <m/>
    <s v="D"/>
    <n v="2"/>
    <s v="Road Vehicle"/>
    <n v="4"/>
    <x v="3"/>
    <x v="0"/>
    <n v="3"/>
    <x v="2"/>
    <s v="MBARARA TOWN"/>
    <s v="MBARARA"/>
    <s v="UG"/>
    <n v="1"/>
    <s v="Home"/>
    <s v="SEMBABULE TOWN"/>
    <s v="SEMBABULE"/>
    <s v="UG"/>
    <n v="2"/>
    <s v="Work"/>
    <x v="1"/>
    <n v="200000"/>
    <n v="300"/>
    <x v="3"/>
    <n v="1"/>
    <x v="1"/>
    <n v="2"/>
    <s v="Manual Labour"/>
    <n v="2"/>
    <x v="3"/>
    <n v="5"/>
    <n v="2"/>
    <n v="1"/>
    <n v="1"/>
    <n v="1"/>
    <s v="Y"/>
    <n v="5000"/>
    <x v="2"/>
  </r>
  <r>
    <s v="19.10.19"/>
    <m/>
    <m/>
    <s v="D"/>
    <n v="2"/>
    <s v="Road Vehicle"/>
    <n v="4"/>
    <x v="3"/>
    <x v="0"/>
    <n v="3"/>
    <x v="2"/>
    <s v="MBARARA TOWN"/>
    <s v="MBARARA"/>
    <s v="UG"/>
    <n v="1"/>
    <s v="Home"/>
    <s v="FORTPORTAL TOWN"/>
    <s v="FORTPORTAL"/>
    <s v="UG"/>
    <n v="2"/>
    <s v="Work"/>
    <x v="1"/>
    <n v="220000"/>
    <n v="207"/>
    <x v="3"/>
    <n v="4"/>
    <x v="2"/>
    <n v="5"/>
    <s v="Professional"/>
    <n v="4"/>
    <x v="0"/>
    <n v="5"/>
    <n v="2"/>
    <n v="1"/>
    <n v="1"/>
    <n v="1"/>
    <s v="Y"/>
    <n v="3000"/>
    <x v="0"/>
  </r>
  <r>
    <s v="19.10.19"/>
    <m/>
    <m/>
    <s v="P"/>
    <n v="2"/>
    <s v="Road Vehicle"/>
    <n v="4"/>
    <x v="3"/>
    <x v="0"/>
    <n v="3"/>
    <x v="2"/>
    <s v="MBARARA TOWN"/>
    <s v="MBARARA"/>
    <s v="UG"/>
    <n v="1"/>
    <s v="Home"/>
    <s v="BUGAMBA"/>
    <s v="ISINGIRO"/>
    <s v="UG"/>
    <n v="2"/>
    <s v="Work"/>
    <x v="1"/>
    <n v="10000"/>
    <n v="45"/>
    <x v="5"/>
    <n v="3"/>
    <x v="0"/>
    <n v="2"/>
    <s v="Manual Labour"/>
    <n v="1"/>
    <x v="2"/>
    <n v="2"/>
    <n v="2"/>
    <n v="1"/>
    <n v="1"/>
    <n v="1"/>
    <s v="Y"/>
    <n v="5000"/>
    <x v="2"/>
  </r>
  <r>
    <s v="20.10.19"/>
    <d v="1899-12-30T08:37:00"/>
    <m/>
    <s v="P"/>
    <n v="2"/>
    <s v="Road Vehicle"/>
    <n v="4"/>
    <x v="3"/>
    <x v="0"/>
    <n v="3"/>
    <x v="2"/>
    <s v="MBARARA TOWN"/>
    <s v="MBARARA"/>
    <s v="UG"/>
    <n v="4"/>
    <s v="Commercial"/>
    <s v="KABAALE TOWN"/>
    <s v="KABAALE"/>
    <s v="UG"/>
    <n v="4"/>
    <s v="Commercial"/>
    <x v="18"/>
    <n v="15000"/>
    <n v="100"/>
    <x v="2"/>
    <n v="4"/>
    <x v="2"/>
    <n v="10"/>
    <s v="Other"/>
    <n v="1"/>
    <x v="2"/>
    <n v="3"/>
    <n v="4"/>
    <n v="3"/>
    <n v="2"/>
    <n v="4"/>
    <s v="Y"/>
    <n v="4000"/>
    <x v="0"/>
  </r>
  <r>
    <s v="20.10.19"/>
    <d v="1899-12-30T07:24:00"/>
    <m/>
    <s v="D"/>
    <n v="2"/>
    <s v="Road Vehicle"/>
    <n v="4"/>
    <x v="3"/>
    <x v="0"/>
    <n v="3"/>
    <x v="2"/>
    <s v="KAKIIKA"/>
    <s v="MBARARA"/>
    <s v="UG"/>
    <n v="1"/>
    <s v="Home"/>
    <s v="KAMWENGE TOWN"/>
    <s v="KAMWENGE"/>
    <s v="UG"/>
    <n v="2"/>
    <s v="Work"/>
    <x v="1"/>
    <n v="150000"/>
    <n v="75"/>
    <x v="1"/>
    <n v="3"/>
    <x v="0"/>
    <n v="10"/>
    <s v="Other"/>
    <n v="1"/>
    <x v="2"/>
    <n v="2"/>
    <n v="1"/>
    <n v="3"/>
    <n v="4"/>
    <n v="3"/>
    <s v="Y"/>
    <n v="1000"/>
    <x v="4"/>
  </r>
  <r>
    <s v="20.10.19"/>
    <m/>
    <m/>
    <s v="P"/>
    <n v="2"/>
    <s v="Road Vehicle"/>
    <n v="4"/>
    <x v="3"/>
    <x v="0"/>
    <n v="3"/>
    <x v="2"/>
    <s v="MBARARA TOWN"/>
    <s v="MBARARA"/>
    <s v="UG"/>
    <n v="1"/>
    <s v="Home"/>
    <s v="NTUGAMO TOWN"/>
    <s v="NTUNGAMO"/>
    <s v="UG"/>
    <n v="6"/>
    <s v="Leisure/Social"/>
    <x v="8"/>
    <n v="5000"/>
    <n v="40"/>
    <x v="5"/>
    <n v="1.5"/>
    <x v="1"/>
    <n v="6"/>
    <s v="Businessman"/>
    <n v="2"/>
    <x v="3"/>
    <n v="5"/>
    <n v="2"/>
    <n v="2"/>
    <n v="2"/>
    <n v="2"/>
    <s v="Y"/>
    <n v="0"/>
    <x v="3"/>
  </r>
  <r>
    <s v="18.10.19"/>
    <d v="1899-12-30T18:55:00"/>
    <m/>
    <s v="P"/>
    <n v="1"/>
    <s v="Walking/Cycling"/>
    <n v="13"/>
    <x v="10"/>
    <x v="0"/>
    <n v="4"/>
    <x v="3"/>
    <s v="KISWAYIRI"/>
    <s v="MBARARA"/>
    <s v="UG"/>
    <n v="2"/>
    <s v="Work"/>
    <s v="KAMUKOZI"/>
    <s v="MBARARA"/>
    <s v="UG"/>
    <n v="1"/>
    <s v="Home"/>
    <x v="4"/>
    <n v="1000"/>
    <n v="1"/>
    <x v="0"/>
    <n v="0.05"/>
    <x v="3"/>
    <n v="7"/>
    <s v="Farmer"/>
    <n v="1"/>
    <x v="2"/>
    <n v="5"/>
    <n v="4"/>
    <n v="3"/>
    <n v="2"/>
    <n v="1"/>
    <s v="Y"/>
    <n v="3000"/>
    <x v="0"/>
  </r>
  <r>
    <s v="18.10.19"/>
    <m/>
    <m/>
    <s v="D"/>
    <n v="2"/>
    <s v="Road Vehicle"/>
    <n v="1"/>
    <x v="0"/>
    <x v="0"/>
    <n v="4"/>
    <x v="3"/>
    <s v="MBARARA TOWN"/>
    <s v="MBARARA"/>
    <s v="UG"/>
    <n v="1"/>
    <s v="Home"/>
    <s v="IBANDA TOWN"/>
    <s v="IBANDA"/>
    <s v="UG"/>
    <n v="2"/>
    <s v="Work"/>
    <x v="1"/>
    <n v="500000"/>
    <n v="75"/>
    <x v="1"/>
    <n v="2"/>
    <x v="0"/>
    <n v="2"/>
    <s v="Manual Labour"/>
    <n v="2"/>
    <x v="3"/>
    <n v="5"/>
    <n v="5"/>
    <n v="5"/>
    <n v="5"/>
    <n v="5"/>
    <s v="Y"/>
    <n v="4000"/>
    <x v="0"/>
  </r>
  <r>
    <s v="18.10.19"/>
    <d v="1899-12-30T18:19:00"/>
    <m/>
    <s v="D"/>
    <n v="2"/>
    <s v="Road Vehicle"/>
    <n v="6"/>
    <x v="1"/>
    <x v="0"/>
    <n v="4"/>
    <x v="3"/>
    <s v="MAJALI"/>
    <s v="KABALE"/>
    <s v="UG"/>
    <n v="2"/>
    <s v="Work"/>
    <s v="ZANA"/>
    <s v="WAKISO"/>
    <s v="UG"/>
    <n v="1"/>
    <s v="Home"/>
    <x v="4"/>
    <n v="820000"/>
    <n v="400"/>
    <x v="3"/>
    <n v="5"/>
    <x v="2"/>
    <n v="10"/>
    <s v="Other"/>
    <n v="1"/>
    <x v="2"/>
    <n v="2"/>
    <n v="4"/>
    <n v="1"/>
    <n v="5"/>
    <n v="3"/>
    <s v="Y"/>
    <n v="3000"/>
    <x v="0"/>
  </r>
  <r>
    <s v="18.10.19"/>
    <d v="1899-12-30T18:14:00"/>
    <m/>
    <s v="D"/>
    <n v="2"/>
    <s v="Road Vehicle"/>
    <n v="6"/>
    <x v="1"/>
    <x v="0"/>
    <n v="4"/>
    <x v="3"/>
    <s v="KAMPALA TOWN"/>
    <s v="KAMPALA"/>
    <s v="UG"/>
    <n v="4"/>
    <s v="Commercial"/>
    <s v="MBARARA TOWN"/>
    <s v="MBARARA"/>
    <s v="UG"/>
    <n v="4"/>
    <s v="Commercial"/>
    <x v="18"/>
    <n v="520000"/>
    <m/>
    <x v="0"/>
    <n v="5.5"/>
    <x v="2"/>
    <n v="10"/>
    <s v="Other"/>
    <n v="5"/>
    <x v="4"/>
    <n v="3"/>
    <n v="4"/>
    <n v="2"/>
    <n v="4"/>
    <n v="5"/>
    <s v="Y"/>
    <n v="10000"/>
    <x v="5"/>
  </r>
  <r>
    <s v="18.10.19"/>
    <d v="1899-12-30T15:03:00"/>
    <m/>
    <s v="D"/>
    <n v="2"/>
    <s v="Road Vehicle"/>
    <n v="6"/>
    <x v="1"/>
    <x v="0"/>
    <n v="4"/>
    <x v="3"/>
    <s v="MBARARA TOWN"/>
    <s v="MBARARA"/>
    <s v="UG"/>
    <n v="4"/>
    <s v="Commercial"/>
    <s v="KAMPALA TOWN"/>
    <s v="KAMPALA"/>
    <s v="UG"/>
    <n v="4"/>
    <s v="Commercial"/>
    <x v="18"/>
    <n v="440000"/>
    <m/>
    <x v="0"/>
    <n v="5"/>
    <x v="2"/>
    <n v="10"/>
    <s v="Other"/>
    <n v="5"/>
    <x v="4"/>
    <n v="3"/>
    <n v="2"/>
    <n v="1"/>
    <n v="2"/>
    <n v="4"/>
    <s v="Y"/>
    <n v="5000"/>
    <x v="2"/>
  </r>
  <r>
    <s v="19.10.19"/>
    <d v="1899-12-30T11:45:00"/>
    <m/>
    <s v="P"/>
    <n v="2"/>
    <s v="Road Vehicle"/>
    <n v="6"/>
    <x v="1"/>
    <x v="0"/>
    <n v="4"/>
    <x v="3"/>
    <s v="KIRERE"/>
    <s v="MBARARA"/>
    <s v="UG"/>
    <n v="1"/>
    <s v="Home"/>
    <s v="BULOBA"/>
    <s v="WAKISO"/>
    <s v="UG"/>
    <n v="2"/>
    <s v="Work"/>
    <x v="1"/>
    <n v="15000"/>
    <n v="400"/>
    <x v="3"/>
    <n v="5"/>
    <x v="2"/>
    <n v="5"/>
    <s v="Professional"/>
    <n v="2"/>
    <x v="3"/>
    <n v="1"/>
    <n v="5"/>
    <n v="4"/>
    <n v="3"/>
    <n v="2"/>
    <s v="Y"/>
    <n v="1000"/>
    <x v="4"/>
  </r>
  <r>
    <s v="20.10.19"/>
    <d v="1899-12-30T14:56:00"/>
    <m/>
    <s v="P"/>
    <n v="2"/>
    <s v="Road Vehicle"/>
    <n v="6"/>
    <x v="1"/>
    <x v="0"/>
    <n v="4"/>
    <x v="3"/>
    <s v="ISHAKA TOWN"/>
    <s v="ISHAKA"/>
    <s v="UG"/>
    <n v="1"/>
    <s v="Home"/>
    <s v="KAMPALA TOWN"/>
    <s v="KAMPALA"/>
    <s v="UG"/>
    <n v="3"/>
    <s v="Study"/>
    <x v="25"/>
    <n v="25000"/>
    <n v="285"/>
    <x v="3"/>
    <n v="5"/>
    <x v="2"/>
    <n v="9"/>
    <s v="Retired"/>
    <n v="4"/>
    <x v="0"/>
    <n v="2"/>
    <n v="3"/>
    <n v="5"/>
    <n v="1"/>
    <n v="4"/>
    <s v="Y"/>
    <n v="4000"/>
    <x v="0"/>
  </r>
  <r>
    <s v="20.10.19"/>
    <d v="1899-12-30T09:30:00"/>
    <m/>
    <s v="P"/>
    <n v="2"/>
    <s v="Road Vehicle"/>
    <n v="5"/>
    <x v="2"/>
    <x v="0"/>
    <n v="4"/>
    <x v="3"/>
    <s v="MBARARA TOWN"/>
    <s v="MBARARA"/>
    <s v="UG"/>
    <n v="2"/>
    <s v="Work"/>
    <s v="KAGONGI"/>
    <s v="NYAKAYOJO"/>
    <s v="UG"/>
    <n v="1"/>
    <s v="Home"/>
    <x v="4"/>
    <n v="85000"/>
    <n v="378.2"/>
    <x v="3"/>
    <n v="7.5"/>
    <x v="2"/>
    <n v="4"/>
    <s v="Office Worker"/>
    <n v="4"/>
    <x v="0"/>
    <n v="1"/>
    <n v="3"/>
    <n v="2"/>
    <n v="5"/>
    <n v="4"/>
    <s v="Y"/>
    <n v="10000"/>
    <x v="5"/>
  </r>
  <r>
    <s v="19.10.19"/>
    <m/>
    <m/>
    <s v="P"/>
    <n v="2"/>
    <s v="Road Vehicle"/>
    <n v="4"/>
    <x v="3"/>
    <x v="1"/>
    <n v="4"/>
    <x v="3"/>
    <s v="MBARARA TOWN"/>
    <s v="MBARARA"/>
    <s v="UG"/>
    <n v="1"/>
    <s v="Home"/>
    <s v="BUGAMBA"/>
    <s v="ISINGIRO"/>
    <s v="UG"/>
    <n v="4"/>
    <s v="Commercial"/>
    <x v="0"/>
    <n v="10000"/>
    <n v="45"/>
    <x v="5"/>
    <n v="2"/>
    <x v="0"/>
    <n v="5"/>
    <s v="Professional"/>
    <n v="2"/>
    <x v="3"/>
    <n v="2"/>
    <n v="2"/>
    <n v="1"/>
    <n v="1"/>
    <n v="1"/>
    <s v="Y"/>
    <n v="5000"/>
    <x v="2"/>
  </r>
  <r>
    <s v="19.10.19"/>
    <m/>
    <m/>
    <s v="P"/>
    <n v="2"/>
    <s v="Road Vehicle"/>
    <n v="4"/>
    <x v="3"/>
    <x v="0"/>
    <n v="4"/>
    <x v="3"/>
    <s v="MBARARA TOWN"/>
    <s v="MBARARA"/>
    <s v="UG"/>
    <n v="1"/>
    <s v="Home"/>
    <s v="FORTPORTAL TOWN"/>
    <s v="FORTPORTAL"/>
    <s v="UG"/>
    <n v="2"/>
    <s v="Work"/>
    <x v="1"/>
    <n v="20000"/>
    <n v="207"/>
    <x v="3"/>
    <n v="3"/>
    <x v="0"/>
    <n v="6"/>
    <s v="Businessman"/>
    <n v="2"/>
    <x v="3"/>
    <n v="5"/>
    <n v="2"/>
    <n v="1"/>
    <n v="1"/>
    <n v="1"/>
    <s v="Y"/>
    <n v="1000"/>
    <x v="4"/>
  </r>
  <r>
    <s v="20.10.19"/>
    <d v="1899-12-30T16:22:00"/>
    <m/>
    <s v="P"/>
    <n v="2"/>
    <s v="Road Vehicle"/>
    <n v="6"/>
    <x v="1"/>
    <x v="0"/>
    <n v="5"/>
    <x v="4"/>
    <s v="KAMPALA TOWN"/>
    <s v="KAMPALA"/>
    <s v="UG"/>
    <n v="6"/>
    <s v="Leisure/Social"/>
    <s v="KABALE TOWN"/>
    <s v="KABALE"/>
    <s v="UG"/>
    <n v="1"/>
    <s v="Home"/>
    <x v="10"/>
    <n v="35000"/>
    <n v="320"/>
    <x v="3"/>
    <n v="7"/>
    <x v="2"/>
    <n v="9"/>
    <s v="Retired"/>
    <n v="1"/>
    <x v="2"/>
    <n v="4"/>
    <n v="5"/>
    <n v="3"/>
    <n v="1"/>
    <n v="2"/>
    <s v="Y"/>
    <n v="0"/>
    <x v="3"/>
  </r>
  <r>
    <s v="21.10.19"/>
    <d v="1899-12-30T16:43:00"/>
    <m/>
    <s v="P"/>
    <n v="2"/>
    <s v="Road Vehicle"/>
    <n v="1"/>
    <x v="0"/>
    <x v="1"/>
    <n v="1"/>
    <x v="0"/>
    <s v="RUBANDA TOWN"/>
    <s v="RUBANDA"/>
    <s v="UG"/>
    <n v="2"/>
    <s v="Work"/>
    <s v="KABALE TOWN"/>
    <s v="KABALE"/>
    <s v="UG"/>
    <n v="1"/>
    <s v="Home"/>
    <x v="4"/>
    <n v="6000"/>
    <n v="46"/>
    <x v="5"/>
    <n v="0.66"/>
    <x v="4"/>
    <n v="4"/>
    <s v="Office Worker"/>
    <n v="5"/>
    <x v="4"/>
    <n v="1"/>
    <n v="1"/>
    <n v="1"/>
    <n v="1"/>
    <n v="1"/>
    <s v="Y"/>
    <n v="1000"/>
    <x v="4"/>
  </r>
  <r>
    <s v="23.10.19"/>
    <d v="1899-12-30T07:10:00"/>
    <s v="UAX 023K"/>
    <s v="D"/>
    <n v="2"/>
    <s v="Road Vehicle"/>
    <n v="1"/>
    <x v="0"/>
    <x v="1"/>
    <n v="1"/>
    <x v="0"/>
    <s v="KABALE TOWN"/>
    <s v="KABALE"/>
    <s v="UG"/>
    <n v="1"/>
    <s v="Home"/>
    <s v="KATUNA"/>
    <s v="KABALE"/>
    <s v="UG"/>
    <n v="2"/>
    <s v="Work"/>
    <x v="1"/>
    <n v="20000"/>
    <n v="20"/>
    <x v="4"/>
    <n v="0.5"/>
    <x v="4"/>
    <n v="6"/>
    <s v="Businessman"/>
    <n v="3"/>
    <x v="1"/>
    <n v="2"/>
    <n v="2"/>
    <n v="2"/>
    <n v="2"/>
    <n v="2"/>
    <s v="Y"/>
    <n v="2000"/>
    <x v="1"/>
  </r>
  <r>
    <s v="21.10.19"/>
    <d v="1899-12-30T18:03:00"/>
    <m/>
    <s v="P"/>
    <n v="2"/>
    <s v="Road Vehicle"/>
    <n v="6"/>
    <x v="1"/>
    <x v="1"/>
    <n v="1"/>
    <x v="0"/>
    <s v="KISORO TOWN"/>
    <s v="KISORO"/>
    <s v="UG"/>
    <n v="1"/>
    <s v="Home"/>
    <s v="KAMPALA TOWN"/>
    <s v="KAMPALA"/>
    <s v="UG"/>
    <n v="2"/>
    <s v="Work"/>
    <x v="1"/>
    <n v="60000"/>
    <n v="490"/>
    <x v="3"/>
    <n v="14"/>
    <x v="2"/>
    <n v="4"/>
    <s v="Office Worker"/>
    <n v="3"/>
    <x v="1"/>
    <n v="1"/>
    <n v="1"/>
    <n v="1"/>
    <n v="1"/>
    <n v="1"/>
    <s v="Y"/>
    <n v="2000"/>
    <x v="1"/>
  </r>
  <r>
    <s v="21.10.19"/>
    <d v="1899-12-30T15:36:00"/>
    <m/>
    <s v="P"/>
    <n v="2"/>
    <s v="Road Vehicle"/>
    <n v="6"/>
    <x v="1"/>
    <x v="1"/>
    <n v="1"/>
    <x v="0"/>
    <s v="KISORO TOWN"/>
    <s v="KISORO"/>
    <s v="UG"/>
    <n v="1"/>
    <s v="Home"/>
    <s v="KAMPALA TOWN"/>
    <s v="KAMPALA"/>
    <s v="UG"/>
    <n v="3"/>
    <s v="Study"/>
    <x v="25"/>
    <n v="40000"/>
    <n v="410"/>
    <x v="3"/>
    <n v="4"/>
    <x v="2"/>
    <n v="1"/>
    <s v="Unemployed"/>
    <n v="1"/>
    <x v="2"/>
    <n v="5"/>
    <n v="1"/>
    <n v="1"/>
    <n v="1"/>
    <n v="5"/>
    <s v="Y"/>
    <n v="0"/>
    <x v="3"/>
  </r>
  <r>
    <s v="21.10.19"/>
    <d v="1899-12-30T15:07:00"/>
    <m/>
    <s v="P"/>
    <n v="2"/>
    <s v="Road Vehicle"/>
    <n v="6"/>
    <x v="1"/>
    <x v="1"/>
    <n v="1"/>
    <x v="0"/>
    <s v="KABALE TOWN"/>
    <s v="KABALE"/>
    <s v="UG"/>
    <n v="1"/>
    <s v="Home"/>
    <s v="MBARARA TOWN"/>
    <s v="MBARARA"/>
    <s v="UG"/>
    <n v="3"/>
    <s v="Study"/>
    <x v="25"/>
    <n v="15000"/>
    <n v="137"/>
    <x v="2"/>
    <n v="2"/>
    <x v="0"/>
    <n v="1"/>
    <s v="Unemployed"/>
    <n v="1"/>
    <x v="2"/>
    <n v="1"/>
    <n v="1"/>
    <n v="1"/>
    <n v="1"/>
    <n v="1"/>
    <s v="Y"/>
    <n v="0"/>
    <x v="3"/>
  </r>
  <r>
    <s v="21.10.19"/>
    <d v="1899-12-30T16:31:00"/>
    <m/>
    <s v="P"/>
    <n v="2"/>
    <s v="Road Vehicle"/>
    <n v="6"/>
    <x v="1"/>
    <x v="0"/>
    <n v="1"/>
    <x v="0"/>
    <s v="KISORO TOWN"/>
    <s v="KISORO"/>
    <s v="UG"/>
    <n v="3"/>
    <s v="Study"/>
    <s v="KAMPALA TOWN"/>
    <s v="KAMPALA"/>
    <s v="UG"/>
    <n v="3"/>
    <s v="Study"/>
    <x v="34"/>
    <n v="30000"/>
    <n v="487"/>
    <x v="3"/>
    <n v="14"/>
    <x v="2"/>
    <n v="8"/>
    <s v="Student"/>
    <n v="1"/>
    <x v="2"/>
    <n v="1"/>
    <n v="1"/>
    <n v="1"/>
    <n v="1"/>
    <n v="1"/>
    <s v="Y"/>
    <n v="0"/>
    <x v="3"/>
  </r>
  <r>
    <s v="21.10.19"/>
    <d v="1899-12-30T15:52:00"/>
    <m/>
    <s v="P"/>
    <n v="2"/>
    <s v="Road Vehicle"/>
    <n v="6"/>
    <x v="1"/>
    <x v="0"/>
    <n v="1"/>
    <x v="0"/>
    <s v="KABALE TOWN"/>
    <s v="KABALE"/>
    <s v="UG"/>
    <n v="1"/>
    <s v="Home"/>
    <s v="KAMPALA TOWN"/>
    <s v="KAMPALA"/>
    <s v="UG"/>
    <n v="3"/>
    <s v="Study"/>
    <x v="25"/>
    <n v="30000"/>
    <n v="396"/>
    <x v="3"/>
    <n v="4"/>
    <x v="2"/>
    <n v="1"/>
    <s v="Unemployed"/>
    <n v="1"/>
    <x v="2"/>
    <n v="5"/>
    <n v="1"/>
    <n v="1"/>
    <n v="1"/>
    <n v="5"/>
    <s v="Y"/>
    <n v="0"/>
    <x v="3"/>
  </r>
  <r>
    <s v="22.10.19"/>
    <d v="1899-12-30T10:57:00"/>
    <s v="UAV 473X"/>
    <s v="D"/>
    <n v="2"/>
    <s v="Road Vehicle"/>
    <n v="7"/>
    <x v="7"/>
    <x v="0"/>
    <n v="1"/>
    <x v="0"/>
    <s v="KABALE TOWN"/>
    <s v="KABALE"/>
    <s v="UG"/>
    <n v="4"/>
    <s v="Commercial"/>
    <s v="IBANDA TOWN"/>
    <s v="IBANDA"/>
    <s v="UG"/>
    <n v="4"/>
    <s v="Commercial"/>
    <x v="18"/>
    <n v="50000"/>
    <n v="150"/>
    <x v="2"/>
    <n v="2"/>
    <x v="0"/>
    <n v="5"/>
    <s v="Professional"/>
    <n v="2"/>
    <x v="3"/>
    <n v="5"/>
    <n v="5"/>
    <n v="5"/>
    <n v="1"/>
    <n v="1"/>
    <s v="Y"/>
    <n v="2000"/>
    <x v="1"/>
  </r>
  <r>
    <s v="21.10.19"/>
    <d v="1899-12-30T15:22:00"/>
    <m/>
    <s v="P"/>
    <n v="2"/>
    <s v="Road Vehicle"/>
    <n v="4"/>
    <x v="3"/>
    <x v="1"/>
    <n v="1"/>
    <x v="0"/>
    <s v="KISIRIZI"/>
    <s v="KABALE"/>
    <s v="UG"/>
    <n v="2"/>
    <s v="Work"/>
    <s v="KABALE TOWN"/>
    <s v="KABALE"/>
    <s v="UG"/>
    <n v="1"/>
    <s v="Home"/>
    <x v="4"/>
    <n v="7000"/>
    <n v="46"/>
    <x v="5"/>
    <n v="1"/>
    <x v="1"/>
    <n v="4"/>
    <s v="Office Worker"/>
    <n v="3"/>
    <x v="1"/>
    <n v="2"/>
    <n v="2"/>
    <n v="2"/>
    <n v="4"/>
    <n v="4"/>
    <s v="Y"/>
    <n v="0"/>
    <x v="3"/>
  </r>
  <r>
    <s v="21.10.19"/>
    <d v="1899-12-30T16:09:00"/>
    <m/>
    <s v="P"/>
    <n v="2"/>
    <s v="Road Vehicle"/>
    <n v="4"/>
    <x v="3"/>
    <x v="1"/>
    <n v="1"/>
    <x v="0"/>
    <s v="KABALE TOWN"/>
    <s v="KABALE"/>
    <s v="UG"/>
    <n v="1"/>
    <s v="Home"/>
    <s v="SIR APOLLO"/>
    <s v="KAMPALA"/>
    <s v="UG"/>
    <n v="3"/>
    <s v="Study"/>
    <x v="25"/>
    <n v="40000"/>
    <n v="369"/>
    <x v="3"/>
    <n v="5"/>
    <x v="2"/>
    <n v="1"/>
    <s v="Unemployed"/>
    <n v="1"/>
    <x v="2"/>
    <n v="1"/>
    <n v="1"/>
    <n v="5"/>
    <n v="5"/>
    <n v="1"/>
    <s v="Y"/>
    <n v="0"/>
    <x v="3"/>
  </r>
  <r>
    <s v="21.10.19"/>
    <d v="1899-12-30T15:15:00"/>
    <m/>
    <s v="P"/>
    <n v="2"/>
    <s v="Road Vehicle"/>
    <n v="4"/>
    <x v="3"/>
    <x v="1"/>
    <n v="1"/>
    <x v="0"/>
    <s v="KABALE TOWN"/>
    <s v="KABALE"/>
    <s v="UG"/>
    <n v="1"/>
    <s v="Home"/>
    <s v="MASAKA TOWN"/>
    <s v="MASAKA"/>
    <s v="UG"/>
    <n v="6"/>
    <s v="Leisure/Social"/>
    <x v="8"/>
    <n v="20000"/>
    <n v="390"/>
    <x v="3"/>
    <n v="3"/>
    <x v="0"/>
    <n v="6"/>
    <s v="Businessman"/>
    <n v="2"/>
    <x v="3"/>
    <n v="1"/>
    <n v="1"/>
    <n v="1"/>
    <n v="1"/>
    <n v="1"/>
    <s v="Y"/>
    <n v="2000"/>
    <x v="1"/>
  </r>
  <r>
    <s v="22.10.19"/>
    <d v="1899-12-30T08:49:00"/>
    <s v="UAX 751Y"/>
    <s v="D"/>
    <n v="2"/>
    <s v="Road Vehicle"/>
    <n v="4"/>
    <x v="3"/>
    <x v="1"/>
    <n v="1"/>
    <x v="0"/>
    <s v="KABALE TOWN"/>
    <s v="KABALE"/>
    <s v="UG"/>
    <n v="4"/>
    <s v="Commercial"/>
    <s v="NTUNGAMO TOWN"/>
    <s v="NTUNGAMO"/>
    <s v="UG"/>
    <n v="4"/>
    <s v="Commercial"/>
    <x v="18"/>
    <n v="30000"/>
    <n v="96"/>
    <x v="1"/>
    <n v="2"/>
    <x v="0"/>
    <n v="5"/>
    <s v="Professional"/>
    <n v="2"/>
    <x v="3"/>
    <n v="5"/>
    <n v="5"/>
    <n v="5"/>
    <n v="3"/>
    <n v="5"/>
    <s v="Y"/>
    <n v="2000"/>
    <x v="1"/>
  </r>
  <r>
    <s v="22.10.19"/>
    <d v="1899-12-30T12:36:00"/>
    <m/>
    <s v="P"/>
    <n v="2"/>
    <s v="Road Vehicle"/>
    <n v="4"/>
    <x v="3"/>
    <x v="1"/>
    <n v="1"/>
    <x v="0"/>
    <s v="MUKIGUGWE"/>
    <s v="KABALE"/>
    <s v="UG"/>
    <n v="1"/>
    <s v="Home"/>
    <s v="KABALE TOWN"/>
    <s v="KABALE"/>
    <s v="UG"/>
    <n v="3"/>
    <s v="Study"/>
    <x v="25"/>
    <n v="3000"/>
    <n v="3"/>
    <x v="0"/>
    <n v="0.28000000000000003"/>
    <x v="3"/>
    <n v="1"/>
    <s v="Unemployed"/>
    <n v="1"/>
    <x v="2"/>
    <n v="1"/>
    <n v="1"/>
    <n v="5"/>
    <n v="5"/>
    <n v="1"/>
    <s v="Y"/>
    <n v="0"/>
    <x v="3"/>
  </r>
  <r>
    <s v="22.10.19"/>
    <d v="1899-12-30T12:57:00"/>
    <m/>
    <s v="P"/>
    <n v="2"/>
    <s v="Road Vehicle"/>
    <n v="4"/>
    <x v="3"/>
    <x v="1"/>
    <n v="1"/>
    <x v="0"/>
    <s v="KATUNA"/>
    <s v="KABALE"/>
    <s v="UG"/>
    <n v="1"/>
    <s v="Home"/>
    <s v="KABALE TOWN"/>
    <s v="KABALE"/>
    <s v="UG"/>
    <n v="4"/>
    <s v="Commercial"/>
    <x v="0"/>
    <n v="4000"/>
    <n v="3"/>
    <x v="0"/>
    <n v="0.3"/>
    <x v="3"/>
    <n v="5"/>
    <s v="Professional"/>
    <n v="1"/>
    <x v="2"/>
    <n v="1"/>
    <n v="1"/>
    <n v="1"/>
    <n v="1"/>
    <n v="5"/>
    <s v="Y"/>
    <n v="1000"/>
    <x v="4"/>
  </r>
  <r>
    <s v="22.10.19"/>
    <d v="1899-12-30T13:39:00"/>
    <m/>
    <s v="P"/>
    <n v="2"/>
    <s v="Road Vehicle"/>
    <n v="4"/>
    <x v="3"/>
    <x v="1"/>
    <n v="1"/>
    <x v="0"/>
    <s v="KABALE TOWN"/>
    <s v="KABALE"/>
    <s v="UG"/>
    <n v="1"/>
    <s v="Home"/>
    <s v="KAGADI TOWN"/>
    <s v="KAGADI"/>
    <s v="UG"/>
    <n v="1"/>
    <s v="Home"/>
    <x v="16"/>
    <n v="40000"/>
    <n v="370"/>
    <x v="3"/>
    <n v="4"/>
    <x v="2"/>
    <n v="1"/>
    <s v="Unemployed"/>
    <n v="1"/>
    <x v="2"/>
    <n v="5"/>
    <n v="5"/>
    <n v="5"/>
    <n v="5"/>
    <n v="5"/>
    <s v="Y"/>
    <n v="0"/>
    <x v="3"/>
  </r>
  <r>
    <s v="22.10.19"/>
    <d v="1899-12-30T14:19:00"/>
    <m/>
    <s v="P"/>
    <n v="2"/>
    <s v="Road Vehicle"/>
    <n v="4"/>
    <x v="3"/>
    <x v="1"/>
    <n v="1"/>
    <x v="0"/>
    <s v="LUKINDA"/>
    <s v="KABALE"/>
    <s v="UG"/>
    <n v="1"/>
    <s v="Home"/>
    <s v="KABALE TOWN"/>
    <s v="KABALE"/>
    <s v="UG"/>
    <n v="2"/>
    <s v="Work"/>
    <x v="1"/>
    <n v="10000"/>
    <n v="3"/>
    <x v="0"/>
    <n v="0.28000000000000003"/>
    <x v="3"/>
    <n v="5"/>
    <s v="Professional"/>
    <n v="2"/>
    <x v="3"/>
    <n v="1"/>
    <n v="1"/>
    <n v="5"/>
    <n v="5"/>
    <n v="5"/>
    <s v="Y"/>
    <n v="3000"/>
    <x v="0"/>
  </r>
  <r>
    <s v="22.10.19"/>
    <d v="1899-12-30T15:37:00"/>
    <m/>
    <s v="P"/>
    <n v="2"/>
    <s v="Road Vehicle"/>
    <n v="4"/>
    <x v="3"/>
    <x v="1"/>
    <n v="1"/>
    <x v="0"/>
    <s v="KABALE TOWN"/>
    <s v="KABALE"/>
    <s v="UG"/>
    <n v="1"/>
    <s v="Home"/>
    <s v="MBARARA TOWN"/>
    <s v="MBARARA"/>
    <s v="UG"/>
    <n v="7"/>
    <s v="Hospital"/>
    <x v="32"/>
    <n v="15000"/>
    <n v="136"/>
    <x v="2"/>
    <n v="2"/>
    <x v="0"/>
    <n v="1"/>
    <s v="Unemployed"/>
    <n v="1"/>
    <x v="2"/>
    <n v="5"/>
    <n v="1"/>
    <n v="1"/>
    <n v="1"/>
    <n v="1"/>
    <s v="Y"/>
    <n v="0"/>
    <x v="3"/>
  </r>
  <r>
    <s v="22.10.19"/>
    <d v="1899-12-30T17:17:00"/>
    <m/>
    <s v="P"/>
    <n v="2"/>
    <s v="Road Vehicle"/>
    <n v="4"/>
    <x v="3"/>
    <x v="1"/>
    <n v="1"/>
    <x v="0"/>
    <s v="KABALE TOWN"/>
    <s v="KABALE"/>
    <s v="UG"/>
    <n v="1"/>
    <s v="Home"/>
    <s v="MBARARA TOWN"/>
    <s v="MBARARA"/>
    <s v="UG"/>
    <n v="6"/>
    <s v="Leisure/Social"/>
    <x v="8"/>
    <n v="15000"/>
    <n v="136"/>
    <x v="2"/>
    <n v="3"/>
    <x v="0"/>
    <n v="1"/>
    <s v="Unemployed"/>
    <n v="1"/>
    <x v="2"/>
    <n v="1"/>
    <n v="1"/>
    <n v="1"/>
    <n v="1"/>
    <n v="1"/>
    <s v="Y"/>
    <n v="2000"/>
    <x v="1"/>
  </r>
  <r>
    <s v="22.10.19"/>
    <d v="1899-12-30T17:32:00"/>
    <m/>
    <s v="P"/>
    <n v="2"/>
    <s v="Road Vehicle"/>
    <n v="4"/>
    <x v="3"/>
    <x v="1"/>
    <n v="1"/>
    <x v="0"/>
    <s v="KABALE TOWN"/>
    <s v="KABALE"/>
    <s v="UG"/>
    <n v="1"/>
    <s v="Home"/>
    <s v="NTUNGAMO TOWN"/>
    <s v="NTUNGAMO"/>
    <s v="UG"/>
    <n v="6"/>
    <s v="Leisure/Social"/>
    <x v="8"/>
    <n v="7000"/>
    <n v="76"/>
    <x v="1"/>
    <n v="1"/>
    <x v="1"/>
    <n v="1"/>
    <s v="Unemployed"/>
    <n v="1"/>
    <x v="2"/>
    <n v="1"/>
    <n v="1"/>
    <n v="1"/>
    <n v="1"/>
    <n v="1"/>
    <s v="Y"/>
    <n v="0"/>
    <x v="3"/>
  </r>
  <r>
    <s v="22.10.19"/>
    <d v="1899-12-30T18:09:00"/>
    <m/>
    <s v="P"/>
    <n v="2"/>
    <s v="Road Vehicle"/>
    <n v="4"/>
    <x v="3"/>
    <x v="1"/>
    <n v="1"/>
    <x v="0"/>
    <s v="KABALE TOWN"/>
    <s v="KABALE"/>
    <s v="UG"/>
    <n v="1"/>
    <s v="Home"/>
    <s v="MBARARA TOWN"/>
    <s v="MBARARA"/>
    <s v="UG"/>
    <n v="3"/>
    <s v="Study"/>
    <x v="25"/>
    <n v="15000"/>
    <n v="136"/>
    <x v="2"/>
    <n v="1.5"/>
    <x v="1"/>
    <n v="1"/>
    <s v="Unemployed"/>
    <n v="1"/>
    <x v="2"/>
    <n v="1"/>
    <n v="1"/>
    <n v="1"/>
    <n v="1"/>
    <n v="1"/>
    <s v="Y"/>
    <n v="0"/>
    <x v="3"/>
  </r>
  <r>
    <s v="22.10.19"/>
    <d v="1899-12-30T18:39:00"/>
    <m/>
    <s v="P"/>
    <n v="2"/>
    <s v="Road Vehicle"/>
    <n v="4"/>
    <x v="3"/>
    <x v="1"/>
    <n v="1"/>
    <x v="0"/>
    <s v="KABALE TOWN"/>
    <s v="KABALE"/>
    <s v="UG"/>
    <n v="4"/>
    <s v="Commercial"/>
    <s v="HOIMA TOWN"/>
    <s v="HOIMA"/>
    <s v="UG"/>
    <n v="4"/>
    <s v="Commercial"/>
    <x v="18"/>
    <n v="50000"/>
    <n v="470"/>
    <x v="3"/>
    <n v="4"/>
    <x v="2"/>
    <n v="7"/>
    <s v="Farmer"/>
    <n v="2"/>
    <x v="3"/>
    <n v="1"/>
    <n v="1"/>
    <n v="5"/>
    <n v="5"/>
    <n v="5"/>
    <s v="Y"/>
    <n v="2000"/>
    <x v="1"/>
  </r>
  <r>
    <s v="23.10.19"/>
    <d v="1899-12-30T15:52:00"/>
    <m/>
    <s v="P"/>
    <n v="2"/>
    <s v="Road Vehicle"/>
    <n v="4"/>
    <x v="3"/>
    <x v="1"/>
    <n v="1"/>
    <x v="0"/>
    <s v="BWINDI TOWN"/>
    <s v="BWINDI"/>
    <s v="UG"/>
    <n v="1"/>
    <s v="Home"/>
    <s v="KABALE TOWN"/>
    <s v="KABALE"/>
    <s v="UG"/>
    <n v="6"/>
    <s v="Leisure/Social"/>
    <x v="8"/>
    <n v="40000"/>
    <n v="340"/>
    <x v="3"/>
    <n v="4"/>
    <x v="2"/>
    <n v="6"/>
    <s v="Businessman"/>
    <n v="2"/>
    <x v="3"/>
    <n v="1"/>
    <n v="1"/>
    <n v="1"/>
    <n v="1"/>
    <n v="1"/>
    <s v="Y"/>
    <n v="3000"/>
    <x v="0"/>
  </r>
  <r>
    <s v="23.10.19"/>
    <d v="1899-12-30T07:16:00"/>
    <m/>
    <s v="P"/>
    <n v="2"/>
    <s v="Road Vehicle"/>
    <n v="4"/>
    <x v="3"/>
    <x v="1"/>
    <n v="1"/>
    <x v="0"/>
    <s v="KABALE TOWN"/>
    <s v="KABALE"/>
    <s v="UG"/>
    <n v="1"/>
    <s v="Home"/>
    <s v="KAMPALA TOWN"/>
    <s v="KAMPALA"/>
    <s v="UG"/>
    <n v="3"/>
    <s v="Study"/>
    <x v="25"/>
    <n v="30000"/>
    <n v="480"/>
    <x v="3"/>
    <n v="4"/>
    <x v="2"/>
    <n v="1"/>
    <s v="Unemployed"/>
    <n v="1"/>
    <x v="2"/>
    <n v="1"/>
    <n v="1"/>
    <n v="1"/>
    <n v="1"/>
    <n v="1"/>
    <s v="Y"/>
    <n v="0"/>
    <x v="3"/>
  </r>
  <r>
    <s v="23.10.19"/>
    <d v="1899-12-30T10:17:00"/>
    <m/>
    <s v="P"/>
    <n v="2"/>
    <s v="Road Vehicle"/>
    <n v="4"/>
    <x v="3"/>
    <x v="1"/>
    <n v="1"/>
    <x v="0"/>
    <s v="LUBALA"/>
    <s v="KABALE"/>
    <s v="UG"/>
    <n v="1"/>
    <s v="Home"/>
    <s v="KABALE TOWN"/>
    <s v="KABALE"/>
    <s v="UG"/>
    <n v="2"/>
    <s v="Work"/>
    <x v="1"/>
    <n v="5000"/>
    <n v="40"/>
    <x v="5"/>
    <n v="1"/>
    <x v="1"/>
    <n v="7"/>
    <s v="Farmer"/>
    <n v="2"/>
    <x v="3"/>
    <n v="1"/>
    <n v="1"/>
    <n v="5"/>
    <n v="5"/>
    <n v="1"/>
    <s v="Y"/>
    <n v="1000"/>
    <x v="4"/>
  </r>
  <r>
    <s v="23.10.19"/>
    <d v="1899-12-30T11:13:00"/>
    <m/>
    <s v="P"/>
    <n v="2"/>
    <s v="Road Vehicle"/>
    <n v="4"/>
    <x v="3"/>
    <x v="1"/>
    <n v="1"/>
    <x v="0"/>
    <s v="KABALE TOWN"/>
    <s v="KABALE"/>
    <s v="UG"/>
    <n v="1"/>
    <s v="Home"/>
    <s v="HOIMA TOWN"/>
    <s v="HOIMA"/>
    <s v="UG"/>
    <n v="3"/>
    <s v="Study"/>
    <x v="25"/>
    <n v="50000"/>
    <n v="450"/>
    <x v="3"/>
    <n v="7"/>
    <x v="2"/>
    <n v="1"/>
    <s v="Unemployed"/>
    <n v="1"/>
    <x v="2"/>
    <n v="5"/>
    <n v="5"/>
    <n v="1"/>
    <n v="1"/>
    <n v="5"/>
    <s v="Y"/>
    <n v="0"/>
    <x v="3"/>
  </r>
  <r>
    <s v="23.10.19"/>
    <d v="1899-12-30T12:07:00"/>
    <m/>
    <s v="P"/>
    <n v="2"/>
    <s v="Road Vehicle"/>
    <n v="4"/>
    <x v="3"/>
    <x v="1"/>
    <n v="1"/>
    <x v="0"/>
    <s v="KABALE TOWN"/>
    <s v="KABALE"/>
    <s v="UG"/>
    <n v="1"/>
    <s v="Home"/>
    <s v="BUSHENYI TOWN"/>
    <s v="BUSHENYI"/>
    <s v="UG"/>
    <n v="1"/>
    <s v="Home"/>
    <x v="16"/>
    <n v="3000"/>
    <n v="47"/>
    <x v="5"/>
    <n v="0.8"/>
    <x v="4"/>
    <n v="6"/>
    <s v="Businessman"/>
    <n v="1"/>
    <x v="2"/>
    <n v="2"/>
    <n v="2"/>
    <n v="2"/>
    <n v="2"/>
    <n v="2"/>
    <s v="Y"/>
    <n v="0"/>
    <x v="3"/>
  </r>
  <r>
    <s v="23.10.19"/>
    <d v="1899-12-30T15:32:00"/>
    <m/>
    <s v="P"/>
    <n v="2"/>
    <s v="Road Vehicle"/>
    <n v="4"/>
    <x v="3"/>
    <x v="1"/>
    <n v="1"/>
    <x v="0"/>
    <s v="KABALE TOWN"/>
    <s v="KABALE"/>
    <s v="UG"/>
    <n v="1"/>
    <s v="Home"/>
    <s v="ISHAKA TOWN"/>
    <s v="ISHAKA"/>
    <s v="UG"/>
    <n v="4"/>
    <s v="Commercial"/>
    <x v="0"/>
    <n v="25000"/>
    <n v="250"/>
    <x v="3"/>
    <n v="3"/>
    <x v="0"/>
    <n v="2"/>
    <s v="Manual Labour"/>
    <n v="2"/>
    <x v="3"/>
    <n v="1"/>
    <n v="5"/>
    <n v="5"/>
    <n v="1"/>
    <n v="5"/>
    <s v="Y"/>
    <n v="1000"/>
    <x v="4"/>
  </r>
  <r>
    <s v="23.10.19"/>
    <d v="1899-12-30T11:28:00"/>
    <m/>
    <s v="P"/>
    <n v="2"/>
    <s v="Road Vehicle"/>
    <n v="4"/>
    <x v="3"/>
    <x v="1"/>
    <n v="1"/>
    <x v="0"/>
    <s v="KABALE TOWN"/>
    <s v="KABALE"/>
    <s v="UG"/>
    <n v="2"/>
    <s v="Work"/>
    <s v="NAKIGUGWE"/>
    <s v="KABALE"/>
    <s v="UG"/>
    <n v="1"/>
    <s v="Home"/>
    <x v="4"/>
    <n v="3000"/>
    <n v="12"/>
    <x v="6"/>
    <n v="0.66"/>
    <x v="4"/>
    <n v="7"/>
    <s v="Farmer"/>
    <n v="1"/>
    <x v="2"/>
    <n v="5"/>
    <n v="4"/>
    <n v="2"/>
    <n v="2"/>
    <n v="2"/>
    <s v="Y"/>
    <n v="0"/>
    <x v="3"/>
  </r>
  <r>
    <s v="23.10.19"/>
    <d v="1899-12-30T09:03:00"/>
    <m/>
    <s v="D"/>
    <n v="2"/>
    <s v="Road Vehicle"/>
    <n v="4"/>
    <x v="3"/>
    <x v="1"/>
    <n v="1"/>
    <x v="0"/>
    <s v="KISORO TOWN"/>
    <s v="KISORO"/>
    <s v="UG"/>
    <n v="2"/>
    <s v="Work"/>
    <s v="KAMPALA TOWN"/>
    <s v="KAMPALA"/>
    <s v="UG"/>
    <n v="2"/>
    <s v="Work"/>
    <x v="2"/>
    <n v="400000"/>
    <n v="480"/>
    <x v="3"/>
    <n v="13"/>
    <x v="2"/>
    <n v="5"/>
    <s v="Professional"/>
    <n v="5"/>
    <x v="4"/>
    <n v="1"/>
    <n v="1"/>
    <n v="1"/>
    <n v="1"/>
    <n v="1"/>
    <s v="Y"/>
    <n v="1000"/>
    <x v="4"/>
  </r>
  <r>
    <s v="21.10.19"/>
    <d v="1899-12-30T17:44:00"/>
    <s v="UAM 749V"/>
    <s v="D"/>
    <n v="2"/>
    <s v="Road Vehicle"/>
    <n v="4"/>
    <x v="3"/>
    <x v="0"/>
    <n v="1"/>
    <x v="0"/>
    <s v="KABALE TOWN"/>
    <s v="KABALE"/>
    <s v="UG"/>
    <n v="4"/>
    <s v="Commercial"/>
    <s v="FORTPORTAL TOWN"/>
    <s v="FORTPORTAL"/>
    <s v="UG"/>
    <n v="4"/>
    <s v="Commercial"/>
    <x v="18"/>
    <n v="100000"/>
    <n v="370"/>
    <x v="3"/>
    <n v="4"/>
    <x v="2"/>
    <n v="5"/>
    <s v="Professional"/>
    <n v="2"/>
    <x v="3"/>
    <n v="4"/>
    <n v="5"/>
    <n v="1"/>
    <n v="1"/>
    <n v="1"/>
    <s v="Y"/>
    <n v="2000"/>
    <x v="1"/>
  </r>
  <r>
    <s v="22.10.19"/>
    <d v="1899-12-30T10:37:00"/>
    <m/>
    <s v="P"/>
    <n v="2"/>
    <s v="Road Vehicle"/>
    <n v="4"/>
    <x v="3"/>
    <x v="0"/>
    <n v="1"/>
    <x v="0"/>
    <s v="KABALE TOWN"/>
    <s v="KABALE"/>
    <s v="UG"/>
    <n v="1"/>
    <s v="Home"/>
    <s v="KARUGUUZA"/>
    <s v="KIBALE"/>
    <s v="UG"/>
    <n v="1"/>
    <s v="Home"/>
    <x v="16"/>
    <n v="50000"/>
    <n v="300"/>
    <x v="3"/>
    <n v="5"/>
    <x v="2"/>
    <n v="1"/>
    <s v="Unemployed"/>
    <n v="1"/>
    <x v="2"/>
    <n v="5"/>
    <n v="5"/>
    <n v="1"/>
    <n v="5"/>
    <n v="5"/>
    <s v="Y"/>
    <n v="0"/>
    <x v="3"/>
  </r>
  <r>
    <s v="22.10.19"/>
    <d v="1899-12-30T12:24:00"/>
    <m/>
    <s v="P"/>
    <n v="2"/>
    <s v="Road Vehicle"/>
    <n v="4"/>
    <x v="3"/>
    <x v="0"/>
    <n v="1"/>
    <x v="0"/>
    <s v="KABALE TOWN"/>
    <s v="KABALE"/>
    <s v="UG"/>
    <n v="1"/>
    <s v="Home"/>
    <s v="MBARARA TOWN"/>
    <s v="MBARARA"/>
    <s v="UG"/>
    <n v="3"/>
    <s v="Study"/>
    <x v="25"/>
    <n v="15000"/>
    <n v="136"/>
    <x v="2"/>
    <n v="2"/>
    <x v="0"/>
    <n v="1"/>
    <s v="Unemployed"/>
    <n v="1"/>
    <x v="2"/>
    <n v="1"/>
    <n v="1"/>
    <n v="1"/>
    <n v="1"/>
    <n v="1"/>
    <s v="Y"/>
    <n v="0"/>
    <x v="3"/>
  </r>
  <r>
    <s v="22.10.19"/>
    <d v="1899-12-30T12:31:00"/>
    <m/>
    <s v="P"/>
    <n v="2"/>
    <s v="Road Vehicle"/>
    <n v="4"/>
    <x v="3"/>
    <x v="0"/>
    <n v="1"/>
    <x v="0"/>
    <s v="KABALE TOWN"/>
    <s v="KABALE"/>
    <s v="UG"/>
    <n v="1"/>
    <s v="Home"/>
    <s v="KAMWENGE TOWN"/>
    <s v="KAMWENGE"/>
    <s v="UG"/>
    <n v="6"/>
    <s v="Leisure/Social"/>
    <x v="8"/>
    <n v="30000"/>
    <n v="470"/>
    <x v="3"/>
    <n v="5"/>
    <x v="2"/>
    <n v="1"/>
    <s v="Unemployed"/>
    <n v="1"/>
    <x v="2"/>
    <n v="5"/>
    <n v="5"/>
    <n v="5"/>
    <n v="5"/>
    <n v="1"/>
    <s v="Y"/>
    <n v="0"/>
    <x v="3"/>
  </r>
  <r>
    <s v="22.10.19"/>
    <d v="1899-12-30T13:31:00"/>
    <m/>
    <s v="P"/>
    <n v="2"/>
    <s v="Road Vehicle"/>
    <n v="4"/>
    <x v="3"/>
    <x v="0"/>
    <n v="1"/>
    <x v="0"/>
    <s v="KABALE TOWN"/>
    <s v="KABALE"/>
    <s v="UG"/>
    <n v="1"/>
    <s v="Home"/>
    <s v="MBARARA TOWN"/>
    <s v="MBARARA"/>
    <s v="UG"/>
    <n v="7"/>
    <s v="Hospital"/>
    <x v="32"/>
    <n v="15000"/>
    <n v="137"/>
    <x v="2"/>
    <n v="2.5"/>
    <x v="0"/>
    <n v="1"/>
    <s v="Unemployed"/>
    <n v="1"/>
    <x v="2"/>
    <n v="5"/>
    <n v="1"/>
    <n v="1"/>
    <n v="1"/>
    <n v="1"/>
    <s v="Y"/>
    <n v="500"/>
    <x v="3"/>
  </r>
  <r>
    <s v="22.10.19"/>
    <d v="1899-12-30T15:26:00"/>
    <s v="UBE 291K"/>
    <s v="D"/>
    <n v="2"/>
    <s v="Road Vehicle"/>
    <n v="4"/>
    <x v="3"/>
    <x v="0"/>
    <n v="1"/>
    <x v="0"/>
    <s v="KABALE TOWN"/>
    <s v="KABALE"/>
    <s v="UG"/>
    <n v="4"/>
    <s v="Commercial"/>
    <s v="MBARARA TOWN"/>
    <s v="MBARARA"/>
    <s v="UG"/>
    <n v="4"/>
    <s v="Commercial"/>
    <x v="18"/>
    <n v="10000"/>
    <n v="136"/>
    <x v="2"/>
    <n v="3"/>
    <x v="0"/>
    <n v="5"/>
    <s v="Professional"/>
    <n v="2"/>
    <x v="3"/>
    <n v="1"/>
    <n v="1"/>
    <n v="1"/>
    <n v="1"/>
    <n v="5"/>
    <s v="Y"/>
    <n v="1000"/>
    <x v="4"/>
  </r>
  <r>
    <s v="22.10.19"/>
    <d v="1899-12-30T15:47:00"/>
    <m/>
    <s v="P"/>
    <n v="2"/>
    <s v="Road Vehicle"/>
    <n v="4"/>
    <x v="3"/>
    <x v="0"/>
    <n v="1"/>
    <x v="0"/>
    <s v="KABALE TOWN"/>
    <s v="KABALE"/>
    <s v="UG"/>
    <n v="1"/>
    <s v="Home"/>
    <s v="ISHAKA TOWN"/>
    <s v="ISHAKA"/>
    <s v="UG"/>
    <n v="6"/>
    <s v="Leisure/Social"/>
    <x v="8"/>
    <n v="25000"/>
    <n v="137"/>
    <x v="2"/>
    <n v="2.5"/>
    <x v="0"/>
    <n v="1"/>
    <s v="Unemployed"/>
    <n v="1"/>
    <x v="2"/>
    <n v="5"/>
    <n v="1"/>
    <n v="1"/>
    <n v="1"/>
    <n v="1"/>
    <s v="Y"/>
    <n v="0"/>
    <x v="3"/>
  </r>
  <r>
    <s v="22.10.19"/>
    <d v="1899-12-30T15:59:00"/>
    <m/>
    <s v="P"/>
    <n v="2"/>
    <s v="Road Vehicle"/>
    <n v="4"/>
    <x v="3"/>
    <x v="0"/>
    <n v="1"/>
    <x v="0"/>
    <s v="KABALE TOWN"/>
    <s v="KABALE"/>
    <s v="UG"/>
    <n v="1"/>
    <s v="Home"/>
    <s v="MBARARA TOWN"/>
    <s v="MBARARA"/>
    <s v="UG"/>
    <n v="3"/>
    <s v="Study"/>
    <x v="25"/>
    <n v="15000"/>
    <n v="136"/>
    <x v="2"/>
    <n v="2"/>
    <x v="0"/>
    <n v="1"/>
    <s v="Unemployed"/>
    <n v="1"/>
    <x v="2"/>
    <n v="1"/>
    <n v="1"/>
    <n v="1"/>
    <n v="1"/>
    <n v="1"/>
    <s v="Y"/>
    <n v="0"/>
    <x v="3"/>
  </r>
  <r>
    <s v="22.10.19"/>
    <d v="1899-12-30T16:15:00"/>
    <m/>
    <s v="P"/>
    <n v="2"/>
    <s v="Road Vehicle"/>
    <n v="4"/>
    <x v="3"/>
    <x v="0"/>
    <n v="1"/>
    <x v="0"/>
    <s v="KABALE TOWN"/>
    <s v="KABALE"/>
    <s v="UG"/>
    <n v="1"/>
    <s v="Home"/>
    <s v="MBARARA TOWN"/>
    <s v="MBARARA"/>
    <s v="UG"/>
    <n v="7"/>
    <s v="Hospital"/>
    <x v="32"/>
    <n v="15000"/>
    <n v="133"/>
    <x v="2"/>
    <n v="2"/>
    <x v="0"/>
    <n v="1"/>
    <s v="Unemployed"/>
    <n v="1"/>
    <x v="2"/>
    <n v="1"/>
    <n v="1"/>
    <n v="1"/>
    <n v="1"/>
    <n v="1"/>
    <s v="Y"/>
    <n v="0"/>
    <x v="3"/>
  </r>
  <r>
    <s v="23.10.19"/>
    <d v="1899-12-30T08:16:00"/>
    <m/>
    <s v="P"/>
    <n v="2"/>
    <s v="Road Vehicle"/>
    <n v="4"/>
    <x v="3"/>
    <x v="0"/>
    <n v="1"/>
    <x v="0"/>
    <s v="MUKIGUGWE"/>
    <s v="KABALE"/>
    <s v="UG"/>
    <n v="1"/>
    <s v="Home"/>
    <s v="KABALE TOWN"/>
    <s v="KABALE"/>
    <s v="UG"/>
    <n v="3"/>
    <s v="Study"/>
    <x v="25"/>
    <n v="2000"/>
    <n v="23"/>
    <x v="4"/>
    <n v="0.57999999999999996"/>
    <x v="4"/>
    <n v="1"/>
    <s v="Unemployed"/>
    <n v="1"/>
    <x v="2"/>
    <n v="1"/>
    <n v="1"/>
    <n v="1"/>
    <n v="2"/>
    <n v="2"/>
    <s v="Y"/>
    <n v="0"/>
    <x v="3"/>
  </r>
  <r>
    <s v="23.10.19"/>
    <d v="1899-12-30T08:32:00"/>
    <m/>
    <s v="P"/>
    <n v="2"/>
    <s v="Road Vehicle"/>
    <n v="4"/>
    <x v="3"/>
    <x v="0"/>
    <n v="1"/>
    <x v="0"/>
    <s v="KABALE TOWN"/>
    <s v="KABALE"/>
    <s v="UG"/>
    <n v="1"/>
    <s v="Home"/>
    <s v="MBARARA TOWN"/>
    <s v="MBARARA"/>
    <s v="UG"/>
    <n v="3"/>
    <s v="Study"/>
    <x v="25"/>
    <n v="15000"/>
    <n v="197"/>
    <x v="2"/>
    <n v="2"/>
    <x v="0"/>
    <n v="1"/>
    <s v="Unemployed"/>
    <n v="1"/>
    <x v="2"/>
    <n v="1"/>
    <n v="1"/>
    <n v="1"/>
    <n v="1"/>
    <n v="1"/>
    <s v="Y"/>
    <n v="0"/>
    <x v="3"/>
  </r>
  <r>
    <s v="23.10.19"/>
    <d v="1899-12-30T09:30:00"/>
    <m/>
    <s v="P"/>
    <n v="2"/>
    <s v="Road Vehicle"/>
    <n v="4"/>
    <x v="3"/>
    <x v="0"/>
    <n v="1"/>
    <x v="0"/>
    <s v="KABALE TOWN"/>
    <s v="KABALE"/>
    <s v="UG"/>
    <n v="1"/>
    <s v="Home"/>
    <s v="KAGAABA TOWN"/>
    <s v="KABALE"/>
    <s v="UG"/>
    <n v="2"/>
    <s v="Work"/>
    <x v="1"/>
    <n v="10000"/>
    <n v="40"/>
    <x v="5"/>
    <n v="0.56000000000000005"/>
    <x v="4"/>
    <n v="2"/>
    <s v="Manual Labour"/>
    <n v="2"/>
    <x v="3"/>
    <n v="4"/>
    <n v="1"/>
    <n v="1"/>
    <n v="1"/>
    <n v="5"/>
    <s v="Y"/>
    <n v="1000"/>
    <x v="4"/>
  </r>
  <r>
    <s v="23.10.19"/>
    <d v="1899-12-30T10:00:00"/>
    <m/>
    <s v="P"/>
    <n v="2"/>
    <s v="Road Vehicle"/>
    <n v="4"/>
    <x v="3"/>
    <x v="0"/>
    <n v="1"/>
    <x v="0"/>
    <s v="KABALE TOWN"/>
    <s v="KABALE"/>
    <s v="UG"/>
    <n v="1"/>
    <s v="Home"/>
    <s v="KAMPALA TOWN"/>
    <s v="KAMPALA"/>
    <s v="UG"/>
    <n v="6"/>
    <s v="Leisure/Social"/>
    <x v="8"/>
    <n v="30000"/>
    <n v="388"/>
    <x v="3"/>
    <n v="4"/>
    <x v="2"/>
    <n v="2"/>
    <s v="Manual Labour"/>
    <n v="2"/>
    <x v="3"/>
    <n v="1"/>
    <n v="1"/>
    <n v="1"/>
    <n v="1"/>
    <n v="1"/>
    <s v="Y"/>
    <n v="0"/>
    <x v="3"/>
  </r>
  <r>
    <s v="23.10.19"/>
    <d v="1899-12-30T13:10:00"/>
    <m/>
    <s v="P"/>
    <n v="2"/>
    <s v="Road Vehicle"/>
    <n v="4"/>
    <x v="3"/>
    <x v="0"/>
    <n v="1"/>
    <x v="0"/>
    <s v="KABALE TOWN"/>
    <s v="KABALE"/>
    <s v="UG"/>
    <n v="1"/>
    <s v="Home"/>
    <s v="MBARARA TOWN"/>
    <s v="MBARARA"/>
    <s v="UG"/>
    <n v="2"/>
    <s v="Work"/>
    <x v="1"/>
    <n v="15000"/>
    <n v="150"/>
    <x v="2"/>
    <n v="1.5"/>
    <x v="1"/>
    <n v="4"/>
    <s v="Office Worker"/>
    <n v="3"/>
    <x v="1"/>
    <n v="1"/>
    <n v="1"/>
    <n v="1"/>
    <n v="1"/>
    <n v="1"/>
    <s v="Y"/>
    <n v="3000"/>
    <x v="0"/>
  </r>
  <r>
    <s v="23.10.19"/>
    <d v="1899-12-30T07:12:00"/>
    <m/>
    <s v="P"/>
    <n v="2"/>
    <s v="Road Vehicle"/>
    <n v="4"/>
    <x v="3"/>
    <x v="0"/>
    <n v="1"/>
    <x v="0"/>
    <s v="MAKIGUGWE"/>
    <s v="KABALE"/>
    <s v="UG"/>
    <n v="1"/>
    <s v="Home"/>
    <s v="KABALE TOWN"/>
    <s v="KABALE"/>
    <s v="UG"/>
    <n v="2"/>
    <s v="Work"/>
    <x v="1"/>
    <n v="4000"/>
    <n v="18"/>
    <x v="6"/>
    <n v="0.66"/>
    <x v="4"/>
    <n v="7"/>
    <s v="Farmer"/>
    <n v="2"/>
    <x v="3"/>
    <n v="3"/>
    <n v="2"/>
    <n v="2"/>
    <n v="3"/>
    <n v="2"/>
    <s v="Y"/>
    <n v="1000"/>
    <x v="4"/>
  </r>
  <r>
    <s v="23.10.19"/>
    <d v="1899-12-30T08:44:00"/>
    <m/>
    <s v="P"/>
    <n v="2"/>
    <s v="Road Vehicle"/>
    <n v="3"/>
    <x v="9"/>
    <x v="0"/>
    <n v="1"/>
    <x v="0"/>
    <s v="NYAMUNONGA"/>
    <s v="KABALE"/>
    <s v="UG"/>
    <n v="1"/>
    <s v="Home"/>
    <s v="KABALE TOWN"/>
    <s v="KABALE"/>
    <s v="UG"/>
    <n v="2"/>
    <s v="Work"/>
    <x v="1"/>
    <n v="2000"/>
    <n v="11"/>
    <x v="6"/>
    <n v="0.33"/>
    <x v="3"/>
    <n v="6"/>
    <s v="Businessman"/>
    <n v="4"/>
    <x v="0"/>
    <n v="4"/>
    <n v="2"/>
    <n v="2"/>
    <n v="2"/>
    <n v="2"/>
    <s v="Y"/>
    <n v="1000"/>
    <x v="4"/>
  </r>
  <r>
    <s v="23.10.19"/>
    <d v="1899-12-30T08:14:00"/>
    <m/>
    <s v="P"/>
    <n v="2"/>
    <s v="Road Vehicle"/>
    <n v="2"/>
    <x v="6"/>
    <x v="0"/>
    <n v="1"/>
    <x v="0"/>
    <s v="KISORO TOWN"/>
    <s v="KISORO"/>
    <s v="UG"/>
    <n v="5"/>
    <s v="Tourism"/>
    <s v="KABALE TOWN"/>
    <s v="KABALE"/>
    <s v="UG"/>
    <n v="1"/>
    <s v="Home"/>
    <x v="28"/>
    <m/>
    <n v="61"/>
    <x v="5"/>
    <n v="1"/>
    <x v="1"/>
    <n v="10"/>
    <s v="Other"/>
    <n v="5"/>
    <x v="4"/>
    <n v="1"/>
    <n v="1"/>
    <n v="1"/>
    <n v="1"/>
    <n v="1"/>
    <s v="Y"/>
    <n v="0"/>
    <x v="3"/>
  </r>
  <r>
    <s v="21.10.19"/>
    <d v="1899-12-30T16:01:00"/>
    <m/>
    <s v="P"/>
    <n v="2"/>
    <s v="Road Vehicle"/>
    <n v="6"/>
    <x v="1"/>
    <x v="1"/>
    <n v="2"/>
    <x v="1"/>
    <s v="RUBANDA TOWN"/>
    <s v="RUBANDA"/>
    <s v="UG"/>
    <n v="1"/>
    <s v="Home"/>
    <s v="KAMPALA TOWN"/>
    <s v="KAMPALA"/>
    <s v="UG"/>
    <n v="2"/>
    <s v="Work"/>
    <x v="1"/>
    <n v="30000"/>
    <n v="436"/>
    <x v="3"/>
    <n v="13"/>
    <x v="2"/>
    <n v="6"/>
    <s v="Businessman"/>
    <n v="4"/>
    <x v="0"/>
    <n v="1"/>
    <n v="1"/>
    <n v="1"/>
    <n v="1"/>
    <n v="1"/>
    <s v="Y"/>
    <n v="1000"/>
    <x v="4"/>
  </r>
  <r>
    <s v="21.10.19"/>
    <d v="1899-12-30T16:00:00"/>
    <m/>
    <s v="P"/>
    <n v="2"/>
    <s v="Road Vehicle"/>
    <n v="6"/>
    <x v="1"/>
    <x v="1"/>
    <n v="2"/>
    <x v="1"/>
    <s v="KABALE TOWN"/>
    <s v="KABALE"/>
    <s v="UG"/>
    <n v="2"/>
    <s v="Work"/>
    <s v="KAMPALA TOWN"/>
    <s v="KAMPALA"/>
    <s v="UG"/>
    <n v="2"/>
    <s v="Work"/>
    <x v="2"/>
    <n v="30000"/>
    <n v="399"/>
    <x v="3"/>
    <n v="14"/>
    <x v="2"/>
    <n v="5"/>
    <s v="Professional"/>
    <n v="3"/>
    <x v="1"/>
    <n v="1"/>
    <n v="1"/>
    <n v="1"/>
    <n v="1"/>
    <n v="1"/>
    <s v="Y"/>
    <n v="2000"/>
    <x v="1"/>
  </r>
  <r>
    <s v="21.10.19"/>
    <d v="1899-12-30T15:34:00"/>
    <m/>
    <s v="P"/>
    <n v="2"/>
    <s v="Road Vehicle"/>
    <n v="6"/>
    <x v="1"/>
    <x v="1"/>
    <n v="2"/>
    <x v="1"/>
    <s v="KABALE TOWN"/>
    <s v="KABALE"/>
    <s v="UG"/>
    <n v="2"/>
    <s v="Work"/>
    <s v="NTUNGAMO TOWN"/>
    <s v="NTUNGAMO"/>
    <s v="UG"/>
    <n v="2"/>
    <s v="Work"/>
    <x v="2"/>
    <n v="7000"/>
    <n v="74"/>
    <x v="1"/>
    <n v="1"/>
    <x v="1"/>
    <n v="7"/>
    <s v="Farmer"/>
    <n v="4"/>
    <x v="0"/>
    <n v="1"/>
    <n v="1"/>
    <n v="1"/>
    <n v="1"/>
    <n v="1"/>
    <s v="Y"/>
    <n v="2000"/>
    <x v="1"/>
  </r>
  <r>
    <s v="21.10.19"/>
    <d v="1899-12-30T14:22:00"/>
    <m/>
    <s v="P"/>
    <n v="2"/>
    <s v="Road Vehicle"/>
    <n v="6"/>
    <x v="1"/>
    <x v="1"/>
    <n v="2"/>
    <x v="1"/>
    <s v="KATUNA"/>
    <s v="KABALE"/>
    <s v="UG"/>
    <n v="1"/>
    <s v="Home"/>
    <s v="KAMPALA TOWN"/>
    <s v="KAMPALA"/>
    <s v="UG"/>
    <n v="4"/>
    <s v="Commercial"/>
    <x v="0"/>
    <n v="30000"/>
    <n v="420"/>
    <x v="3"/>
    <n v="14"/>
    <x v="2"/>
    <n v="6"/>
    <s v="Businessman"/>
    <n v="3"/>
    <x v="1"/>
    <n v="3"/>
    <n v="2"/>
    <n v="3"/>
    <n v="2"/>
    <n v="2"/>
    <s v="Y"/>
    <n v="2000"/>
    <x v="1"/>
  </r>
  <r>
    <s v="21.10.19"/>
    <d v="1899-12-30T15:08:00"/>
    <m/>
    <s v="P"/>
    <n v="2"/>
    <s v="Road Vehicle"/>
    <n v="6"/>
    <x v="1"/>
    <x v="1"/>
    <n v="2"/>
    <x v="1"/>
    <s v="GISENYI"/>
    <s v="KABALE"/>
    <s v="UG"/>
    <n v="1"/>
    <s v="Home"/>
    <s v="KIREKA"/>
    <s v="KAMPALA"/>
    <s v="UG"/>
    <n v="2"/>
    <s v="Work"/>
    <x v="1"/>
    <n v="40000"/>
    <n v="250"/>
    <x v="3"/>
    <n v="6"/>
    <x v="2"/>
    <n v="6"/>
    <s v="Businessman"/>
    <n v="1"/>
    <x v="2"/>
    <n v="2"/>
    <n v="2"/>
    <n v="4"/>
    <n v="2"/>
    <n v="2"/>
    <s v="Y"/>
    <n v="0"/>
    <x v="3"/>
  </r>
  <r>
    <s v="21.10.19"/>
    <d v="1899-12-30T16:40:00"/>
    <m/>
    <s v="P"/>
    <n v="2"/>
    <s v="Road Vehicle"/>
    <n v="6"/>
    <x v="1"/>
    <x v="1"/>
    <n v="2"/>
    <x v="1"/>
    <s v="GISENYI"/>
    <s v="KABALE"/>
    <s v="UG"/>
    <n v="2"/>
    <s v="Work"/>
    <s v="KAMWOKYA"/>
    <s v="KAMPALA"/>
    <s v="UG"/>
    <n v="8"/>
    <s v="Others"/>
    <x v="19"/>
    <n v="40000"/>
    <n v="250"/>
    <x v="3"/>
    <n v="6"/>
    <x v="2"/>
    <n v="6"/>
    <s v="Businessman"/>
    <n v="1"/>
    <x v="2"/>
    <n v="2"/>
    <n v="4"/>
    <n v="1"/>
    <n v="2"/>
    <n v="1"/>
    <s v="Y"/>
    <n v="0"/>
    <x v="3"/>
  </r>
  <r>
    <s v="21.10.19"/>
    <m/>
    <m/>
    <s v="P"/>
    <n v="2"/>
    <s v="Road Vehicle"/>
    <n v="6"/>
    <x v="1"/>
    <x v="1"/>
    <n v="2"/>
    <x v="1"/>
    <s v="KIGALI TOWN"/>
    <s v="KIGALI"/>
    <s v="Rwanda"/>
    <n v="1"/>
    <s v="Home"/>
    <s v="KIREKA"/>
    <s v="KAMPALA"/>
    <s v="UG"/>
    <n v="2"/>
    <s v="Work"/>
    <x v="1"/>
    <n v="40000"/>
    <n v="250"/>
    <x v="3"/>
    <n v="6"/>
    <x v="2"/>
    <n v="6"/>
    <s v="Businessman"/>
    <n v="1"/>
    <x v="2"/>
    <n v="2"/>
    <n v="4"/>
    <n v="1"/>
    <n v="2"/>
    <n v="2"/>
    <s v="Y"/>
    <n v="0"/>
    <x v="3"/>
  </r>
  <r>
    <s v="21.10.19"/>
    <d v="1899-12-30T18:38:00"/>
    <m/>
    <s v="P"/>
    <n v="2"/>
    <s v="Road Vehicle"/>
    <n v="6"/>
    <x v="1"/>
    <x v="1"/>
    <n v="2"/>
    <x v="1"/>
    <s v="KIGALI TOWN"/>
    <s v="KIGALI"/>
    <s v="Rwanda"/>
    <n v="1"/>
    <s v="Home"/>
    <s v="MUNYONYO"/>
    <s v="KAMPALA"/>
    <s v="UG"/>
    <n v="8"/>
    <s v="Others"/>
    <x v="13"/>
    <n v="40000"/>
    <n v="250"/>
    <x v="3"/>
    <n v="6"/>
    <x v="2"/>
    <n v="6"/>
    <s v="Businessman"/>
    <n v="1"/>
    <x v="2"/>
    <n v="5"/>
    <n v="4"/>
    <n v="5"/>
    <n v="2"/>
    <n v="5"/>
    <s v="Y"/>
    <n v="0"/>
    <x v="3"/>
  </r>
  <r>
    <s v="21.10.19"/>
    <d v="1899-12-30T18:49:00"/>
    <m/>
    <s v="P"/>
    <n v="2"/>
    <s v="Road Vehicle"/>
    <n v="6"/>
    <x v="1"/>
    <x v="1"/>
    <n v="2"/>
    <x v="1"/>
    <s v="KIGALI TOWN"/>
    <s v="KIGALI"/>
    <s v="Rwanda"/>
    <n v="1"/>
    <s v="Home"/>
    <s v="GGABA"/>
    <s v="KAMPALA"/>
    <s v="UG"/>
    <n v="2"/>
    <s v="Work"/>
    <x v="1"/>
    <n v="40000"/>
    <n v="250"/>
    <x v="3"/>
    <n v="6"/>
    <x v="2"/>
    <n v="6"/>
    <s v="Businessman"/>
    <n v="1"/>
    <x v="2"/>
    <n v="5"/>
    <n v="4"/>
    <n v="2"/>
    <n v="2"/>
    <n v="2"/>
    <s v="Y"/>
    <n v="0"/>
    <x v="3"/>
  </r>
  <r>
    <s v="21.10.19"/>
    <d v="1899-12-30T18:30:00"/>
    <m/>
    <s v="P"/>
    <n v="2"/>
    <s v="Road Vehicle"/>
    <n v="6"/>
    <x v="1"/>
    <x v="1"/>
    <n v="2"/>
    <x v="1"/>
    <s v="KYANIKA TOWN"/>
    <s v="KISORO"/>
    <s v="UG"/>
    <n v="1"/>
    <s v="Home"/>
    <s v="KAMPALA TOWN"/>
    <s v="KAMPALA"/>
    <s v="UG"/>
    <n v="2"/>
    <s v="Work"/>
    <x v="1"/>
    <n v="40000"/>
    <n v="250"/>
    <x v="3"/>
    <n v="6"/>
    <x v="2"/>
    <n v="6"/>
    <s v="Businessman"/>
    <n v="1"/>
    <x v="2"/>
    <n v="2"/>
    <n v="2"/>
    <n v="4"/>
    <n v="5"/>
    <n v="5"/>
    <s v="Y"/>
    <n v="0"/>
    <x v="3"/>
  </r>
  <r>
    <s v="21.10.19"/>
    <d v="1899-12-30T18:09:00"/>
    <m/>
    <s v="P"/>
    <n v="2"/>
    <s v="Road Vehicle"/>
    <n v="6"/>
    <x v="1"/>
    <x v="1"/>
    <n v="2"/>
    <x v="1"/>
    <s v="KYANIKA TOWN"/>
    <s v="KISORO"/>
    <s v="UG"/>
    <n v="1"/>
    <s v="Home"/>
    <s v="MUKONO TOWN"/>
    <s v="MUKONO"/>
    <s v="UG"/>
    <n v="8"/>
    <s v="Others"/>
    <x v="13"/>
    <n v="40000"/>
    <n v="250"/>
    <x v="3"/>
    <n v="6"/>
    <x v="2"/>
    <n v="6"/>
    <s v="Businessman"/>
    <n v="1"/>
    <x v="2"/>
    <n v="2"/>
    <n v="2"/>
    <n v="2"/>
    <n v="2"/>
    <n v="2"/>
    <s v="Y"/>
    <n v="0"/>
    <x v="3"/>
  </r>
  <r>
    <s v="21.10.19"/>
    <d v="1899-12-30T18:19:00"/>
    <m/>
    <s v="P"/>
    <n v="2"/>
    <s v="Road Vehicle"/>
    <n v="6"/>
    <x v="1"/>
    <x v="1"/>
    <n v="2"/>
    <x v="1"/>
    <s v="KYANIKA TOWN"/>
    <s v="KISORO"/>
    <s v="UG"/>
    <n v="1"/>
    <s v="Home"/>
    <s v="MASAJJA"/>
    <s v="WAKISO"/>
    <s v="UG"/>
    <n v="2"/>
    <s v="Work"/>
    <x v="1"/>
    <n v="40000"/>
    <n v="250"/>
    <x v="3"/>
    <n v="6"/>
    <x v="2"/>
    <n v="6"/>
    <s v="Businessman"/>
    <n v="1"/>
    <x v="2"/>
    <n v="5"/>
    <n v="4"/>
    <n v="4"/>
    <n v="5"/>
    <n v="5"/>
    <s v="Y"/>
    <n v="0"/>
    <x v="3"/>
  </r>
  <r>
    <s v="21.10.19"/>
    <d v="1899-12-30T17:40:00"/>
    <m/>
    <s v="P"/>
    <n v="2"/>
    <s v="Road Vehicle"/>
    <n v="6"/>
    <x v="1"/>
    <x v="1"/>
    <n v="2"/>
    <x v="1"/>
    <s v="GISENYI"/>
    <s v="KABALE"/>
    <s v="UG"/>
    <n v="1"/>
    <s v="Home"/>
    <s v="LUGOGO"/>
    <s v="KAMPALA"/>
    <s v="UG"/>
    <n v="8"/>
    <s v="Others"/>
    <x v="13"/>
    <n v="40000"/>
    <n v="250"/>
    <x v="3"/>
    <n v="6"/>
    <x v="2"/>
    <n v="6"/>
    <s v="Businessman"/>
    <n v="1"/>
    <x v="2"/>
    <n v="2"/>
    <n v="2"/>
    <n v="2"/>
    <n v="2"/>
    <n v="2"/>
    <s v="Y"/>
    <n v="0"/>
    <x v="3"/>
  </r>
  <r>
    <s v="21.10.19"/>
    <d v="1899-12-30T17:43:00"/>
    <m/>
    <s v="P"/>
    <n v="2"/>
    <s v="Road Vehicle"/>
    <n v="6"/>
    <x v="1"/>
    <x v="1"/>
    <n v="2"/>
    <x v="1"/>
    <s v="GISENYI"/>
    <s v="KABALE"/>
    <s v="UG"/>
    <n v="1"/>
    <s v="Home"/>
    <s v="SEETA"/>
    <s v="MUKONO"/>
    <s v="UG"/>
    <n v="2"/>
    <s v="Work"/>
    <x v="1"/>
    <n v="40000"/>
    <n v="250"/>
    <x v="3"/>
    <n v="6"/>
    <x v="2"/>
    <n v="6"/>
    <s v="Businessman"/>
    <n v="1"/>
    <x v="2"/>
    <n v="5"/>
    <n v="4"/>
    <n v="5"/>
    <n v="2"/>
    <n v="5"/>
    <s v="Y"/>
    <n v="0"/>
    <x v="3"/>
  </r>
  <r>
    <s v="21.10.19"/>
    <d v="1899-12-30T17:25:00"/>
    <m/>
    <s v="P"/>
    <n v="2"/>
    <s v="Road Vehicle"/>
    <n v="6"/>
    <x v="1"/>
    <x v="1"/>
    <n v="2"/>
    <x v="1"/>
    <s v="GOMA"/>
    <s v="GOMA"/>
    <s v="UG"/>
    <n v="1"/>
    <s v="Home"/>
    <s v="KAWEMPE"/>
    <s v="WAKISO"/>
    <s v="UG"/>
    <n v="2"/>
    <s v="Work"/>
    <x v="1"/>
    <n v="50000"/>
    <n v="300"/>
    <x v="3"/>
    <n v="7"/>
    <x v="2"/>
    <n v="6"/>
    <s v="Businessman"/>
    <n v="1"/>
    <x v="2"/>
    <n v="5"/>
    <n v="4"/>
    <n v="2"/>
    <n v="2"/>
    <n v="1"/>
    <s v="Y"/>
    <n v="0"/>
    <x v="3"/>
  </r>
  <r>
    <s v="21.10.19"/>
    <d v="1899-12-30T17:18:00"/>
    <m/>
    <s v="P"/>
    <n v="2"/>
    <s v="Road Vehicle"/>
    <n v="6"/>
    <x v="1"/>
    <x v="1"/>
    <n v="2"/>
    <x v="1"/>
    <s v="GOMA"/>
    <s v="GOMA"/>
    <s v="DRC"/>
    <n v="2"/>
    <s v="Work"/>
    <s v="KOLOLO"/>
    <s v="KAMPALA"/>
    <s v="UG"/>
    <n v="8"/>
    <s v="Others"/>
    <x v="19"/>
    <n v="50000"/>
    <n v="300"/>
    <x v="3"/>
    <n v="7"/>
    <x v="2"/>
    <n v="6"/>
    <s v="Businessman"/>
    <n v="1"/>
    <x v="2"/>
    <n v="5"/>
    <n v="4"/>
    <n v="2"/>
    <n v="2"/>
    <n v="1"/>
    <s v="Y"/>
    <n v="0"/>
    <x v="3"/>
  </r>
  <r>
    <s v="21.10.19"/>
    <d v="1899-12-30T15:43:00"/>
    <m/>
    <s v="P"/>
    <n v="2"/>
    <s v="Road Vehicle"/>
    <n v="6"/>
    <x v="1"/>
    <x v="1"/>
    <n v="2"/>
    <x v="1"/>
    <s v="GOMA"/>
    <s v="GOMA"/>
    <s v="DRC"/>
    <n v="2"/>
    <s v="Work"/>
    <s v="SEETA"/>
    <s v="MUKONO"/>
    <s v="UG"/>
    <n v="3"/>
    <s v="Study"/>
    <x v="33"/>
    <n v="50000"/>
    <n v="300"/>
    <x v="3"/>
    <n v="6"/>
    <x v="2"/>
    <n v="6"/>
    <s v="Businessman"/>
    <n v="1"/>
    <x v="2"/>
    <n v="5"/>
    <n v="5"/>
    <n v="5"/>
    <n v="1"/>
    <n v="1"/>
    <s v="Y"/>
    <n v="0"/>
    <x v="3"/>
  </r>
  <r>
    <s v="21.10.19"/>
    <d v="1899-12-30T15:33:00"/>
    <m/>
    <s v="P"/>
    <n v="2"/>
    <s v="Road Vehicle"/>
    <n v="6"/>
    <x v="1"/>
    <x v="1"/>
    <n v="2"/>
    <x v="1"/>
    <s v="GOMA"/>
    <s v="GOMA"/>
    <s v="DRC"/>
    <n v="2"/>
    <s v="Work"/>
    <s v="MAKINDYE"/>
    <s v="KAMPALA"/>
    <s v="UG"/>
    <n v="3"/>
    <s v="Study"/>
    <x v="33"/>
    <n v="50000"/>
    <n v="3000"/>
    <x v="3"/>
    <n v="7"/>
    <x v="2"/>
    <n v="8"/>
    <s v="Student"/>
    <n v="1"/>
    <x v="2"/>
    <n v="2"/>
    <n v="4"/>
    <n v="1"/>
    <n v="2"/>
    <n v="1"/>
    <s v="Y"/>
    <n v="0"/>
    <x v="3"/>
  </r>
  <r>
    <s v="21.10.19"/>
    <d v="1899-12-30T16:01:00"/>
    <m/>
    <s v="P"/>
    <n v="2"/>
    <s v="Road Vehicle"/>
    <n v="6"/>
    <x v="1"/>
    <x v="1"/>
    <n v="2"/>
    <x v="1"/>
    <s v="KYANIKA TOWN"/>
    <s v="KISORO"/>
    <s v="UG"/>
    <n v="2"/>
    <s v="Work"/>
    <s v="KAMPALA TOWN"/>
    <s v="KAMPALA"/>
    <s v="UG"/>
    <n v="1"/>
    <s v="Home"/>
    <x v="4"/>
    <n v="40000"/>
    <n v="250"/>
    <x v="3"/>
    <n v="6"/>
    <x v="2"/>
    <n v="6"/>
    <s v="Businessman"/>
    <n v="1"/>
    <x v="2"/>
    <n v="5"/>
    <n v="4"/>
    <n v="2"/>
    <n v="2"/>
    <n v="2"/>
    <s v="Y"/>
    <n v="0"/>
    <x v="3"/>
  </r>
  <r>
    <s v="21.10.19"/>
    <d v="1899-12-30T18:03:00"/>
    <m/>
    <s v="P"/>
    <n v="2"/>
    <s v="Road Vehicle"/>
    <n v="6"/>
    <x v="1"/>
    <x v="1"/>
    <n v="2"/>
    <x v="1"/>
    <s v="KISORO TOWN"/>
    <s v="KISORO"/>
    <s v="UG"/>
    <n v="1"/>
    <s v="Home"/>
    <s v="MBARARA TOWN"/>
    <s v="MBARARA"/>
    <s v="UG"/>
    <n v="4"/>
    <s v="Commercial"/>
    <x v="0"/>
    <n v="25000"/>
    <n v="240"/>
    <x v="3"/>
    <n v="3"/>
    <x v="0"/>
    <n v="6"/>
    <s v="Businessman"/>
    <n v="2"/>
    <x v="3"/>
    <n v="1"/>
    <n v="1"/>
    <n v="1"/>
    <n v="1"/>
    <n v="5"/>
    <s v="Y"/>
    <n v="2000"/>
    <x v="1"/>
  </r>
  <r>
    <s v="22.10.19"/>
    <d v="1899-12-30T11:19:00"/>
    <s v="UBB 454W"/>
    <s v="D"/>
    <n v="2"/>
    <s v="Road Vehicle"/>
    <n v="6"/>
    <x v="1"/>
    <x v="1"/>
    <n v="2"/>
    <x v="1"/>
    <s v="KASINZI"/>
    <s v="KABALE"/>
    <s v="UG"/>
    <n v="1"/>
    <s v="Home"/>
    <s v="KABALE TOWN"/>
    <s v="KABALE"/>
    <s v="UG"/>
    <n v="2"/>
    <s v="Work"/>
    <x v="1"/>
    <n v="30000"/>
    <n v="40"/>
    <x v="5"/>
    <n v="0.33"/>
    <x v="3"/>
    <n v="4"/>
    <s v="Office Worker"/>
    <n v="3"/>
    <x v="1"/>
    <n v="1"/>
    <n v="1"/>
    <n v="1"/>
    <n v="5"/>
    <n v="5"/>
    <s v="Y"/>
    <n v="1000"/>
    <x v="4"/>
  </r>
  <r>
    <s v="22.10.19"/>
    <d v="1899-12-30T13:50:00"/>
    <m/>
    <s v="P"/>
    <n v="2"/>
    <s v="Road Vehicle"/>
    <n v="6"/>
    <x v="1"/>
    <x v="1"/>
    <n v="2"/>
    <x v="1"/>
    <s v="KISIIZI TOWN"/>
    <s v="RUKUNGIRI"/>
    <s v="UG"/>
    <n v="1"/>
    <s v="Home"/>
    <s v="NATEETE"/>
    <s v="KAMPALA"/>
    <s v="UG"/>
    <n v="2"/>
    <s v="Work"/>
    <x v="1"/>
    <n v="30000"/>
    <n v="150"/>
    <x v="2"/>
    <n v="4"/>
    <x v="2"/>
    <n v="6"/>
    <s v="Businessman"/>
    <n v="1"/>
    <x v="2"/>
    <n v="5"/>
    <n v="5"/>
    <n v="5"/>
    <n v="5"/>
    <n v="5"/>
    <s v="Y"/>
    <n v="0"/>
    <x v="3"/>
  </r>
  <r>
    <s v="22.10.19"/>
    <d v="1899-12-30T13:23:00"/>
    <m/>
    <s v="P"/>
    <n v="2"/>
    <s v="Road Vehicle"/>
    <n v="6"/>
    <x v="1"/>
    <x v="1"/>
    <n v="2"/>
    <x v="1"/>
    <s v="KISIIZI TOWN"/>
    <s v="RUKUNGIRI"/>
    <s v="UG"/>
    <n v="1"/>
    <s v="Home"/>
    <s v="NAKAWUKA"/>
    <s v="WAKISO"/>
    <s v="UG"/>
    <n v="8"/>
    <s v="Others"/>
    <x v="13"/>
    <n v="30000"/>
    <n v="150"/>
    <x v="2"/>
    <n v="4"/>
    <x v="2"/>
    <n v="10"/>
    <s v="Other"/>
    <n v="1"/>
    <x v="2"/>
    <n v="5"/>
    <n v="5"/>
    <n v="5"/>
    <n v="1"/>
    <n v="2"/>
    <s v="Y"/>
    <n v="0"/>
    <x v="3"/>
  </r>
  <r>
    <s v="22.10.19"/>
    <d v="1899-12-30T12:40:00"/>
    <m/>
    <s v="P"/>
    <n v="2"/>
    <s v="Road Vehicle"/>
    <n v="6"/>
    <x v="1"/>
    <x v="1"/>
    <n v="2"/>
    <x v="1"/>
    <s v="KABALE TOWN"/>
    <s v="KABALE"/>
    <s v="UG"/>
    <n v="1"/>
    <s v="Home"/>
    <s v="KINONI"/>
    <s v="MASAKA"/>
    <s v="UG"/>
    <n v="2"/>
    <s v="Work"/>
    <x v="1"/>
    <n v="20000"/>
    <n v="270"/>
    <x v="3"/>
    <n v="3"/>
    <x v="0"/>
    <n v="6"/>
    <s v="Businessman"/>
    <n v="1"/>
    <x v="2"/>
    <n v="2"/>
    <n v="2"/>
    <n v="2"/>
    <n v="2"/>
    <n v="2"/>
    <s v="Y"/>
    <n v="0"/>
    <x v="3"/>
  </r>
  <r>
    <s v="22.10.19"/>
    <d v="1899-12-30T12:52:00"/>
    <m/>
    <s v="P"/>
    <n v="2"/>
    <s v="Road Vehicle"/>
    <n v="6"/>
    <x v="1"/>
    <x v="1"/>
    <n v="2"/>
    <x v="1"/>
    <s v="KABALE TOWN"/>
    <s v="KABALE"/>
    <s v="UG"/>
    <n v="2"/>
    <s v="Work"/>
    <s v="KYOTERA"/>
    <s v="MASAKA"/>
    <s v="UG"/>
    <n v="1"/>
    <s v="Home"/>
    <x v="4"/>
    <n v="20000"/>
    <n v="270"/>
    <x v="3"/>
    <n v="3"/>
    <x v="0"/>
    <n v="6"/>
    <s v="Businessman"/>
    <n v="1"/>
    <x v="2"/>
    <n v="5"/>
    <n v="4"/>
    <n v="2"/>
    <n v="2"/>
    <n v="2"/>
    <s v="Y"/>
    <n v="0"/>
    <x v="3"/>
  </r>
  <r>
    <s v="22.10.19"/>
    <d v="1899-12-30T12:28:00"/>
    <m/>
    <s v="P"/>
    <n v="2"/>
    <s v="Road Vehicle"/>
    <n v="6"/>
    <x v="1"/>
    <x v="1"/>
    <n v="2"/>
    <x v="1"/>
    <s v="KABALE TOWN"/>
    <s v="KABALE"/>
    <s v="UG"/>
    <n v="2"/>
    <s v="Work"/>
    <s v="BIZIRI TOWN"/>
    <s v="BIZIRI"/>
    <s v="UG"/>
    <n v="1"/>
    <s v="Home"/>
    <x v="4"/>
    <n v="20000"/>
    <n v="260"/>
    <x v="3"/>
    <n v="3"/>
    <x v="0"/>
    <n v="6"/>
    <s v="Businessman"/>
    <n v="1"/>
    <x v="2"/>
    <n v="5"/>
    <n v="4"/>
    <n v="5"/>
    <n v="1"/>
    <n v="5"/>
    <s v="Y"/>
    <n v="0"/>
    <x v="3"/>
  </r>
  <r>
    <s v="22.10.19"/>
    <d v="1899-12-30T12:09:00"/>
    <m/>
    <s v="P"/>
    <n v="2"/>
    <s v="Road Vehicle"/>
    <n v="6"/>
    <x v="1"/>
    <x v="1"/>
    <n v="2"/>
    <x v="1"/>
    <s v="KABALE TOWN"/>
    <s v="KABALE"/>
    <s v="UG"/>
    <n v="1"/>
    <s v="Home"/>
    <s v="BWAISE"/>
    <s v="KAMPALA"/>
    <s v="UG"/>
    <n v="2"/>
    <s v="Work"/>
    <x v="1"/>
    <n v="30000"/>
    <n v="390"/>
    <x v="3"/>
    <n v="4.5"/>
    <x v="2"/>
    <n v="6"/>
    <s v="Businessman"/>
    <n v="1"/>
    <x v="2"/>
    <n v="2"/>
    <n v="2"/>
    <n v="4"/>
    <n v="2"/>
    <n v="1"/>
    <s v="Y"/>
    <n v="0"/>
    <x v="3"/>
  </r>
  <r>
    <s v="22.10.19"/>
    <d v="1899-12-30T11:45:00"/>
    <m/>
    <s v="P"/>
    <n v="2"/>
    <s v="Road Vehicle"/>
    <n v="6"/>
    <x v="1"/>
    <x v="1"/>
    <n v="2"/>
    <x v="1"/>
    <s v="KABALE TOWN"/>
    <s v="KABALE"/>
    <s v="UG"/>
    <n v="1"/>
    <s v="Home"/>
    <s v="ENTEBBE"/>
    <s v="WAKISO"/>
    <s v="UG"/>
    <n v="2"/>
    <s v="Work"/>
    <x v="1"/>
    <n v="30000"/>
    <n v="390"/>
    <x v="3"/>
    <n v="4.5"/>
    <x v="2"/>
    <n v="6"/>
    <s v="Businessman"/>
    <n v="1"/>
    <x v="2"/>
    <n v="5"/>
    <n v="4"/>
    <n v="5"/>
    <n v="2"/>
    <n v="5"/>
    <s v="Y"/>
    <n v="0"/>
    <x v="3"/>
  </r>
  <r>
    <s v="22.10.19"/>
    <d v="1899-12-30T11:20:00"/>
    <m/>
    <s v="P"/>
    <n v="2"/>
    <s v="Road Vehicle"/>
    <n v="6"/>
    <x v="1"/>
    <x v="1"/>
    <n v="2"/>
    <x v="1"/>
    <s v="KABALE TOWN"/>
    <s v="KABALE"/>
    <s v="UG"/>
    <n v="2"/>
    <s v="Work"/>
    <s v="KAGAABA TOWN"/>
    <s v="KAGAABA"/>
    <s v="UG"/>
    <n v="1"/>
    <s v="Home"/>
    <x v="4"/>
    <n v="10000"/>
    <n v="90"/>
    <x v="1"/>
    <n v="2"/>
    <x v="0"/>
    <n v="6"/>
    <s v="Businessman"/>
    <n v="1"/>
    <x v="2"/>
    <n v="2"/>
    <n v="1"/>
    <n v="2"/>
    <n v="2"/>
    <n v="1"/>
    <s v="Y"/>
    <n v="0"/>
    <x v="3"/>
  </r>
  <r>
    <s v="22.10.19"/>
    <d v="1899-12-30T08:55:00"/>
    <m/>
    <s v="P"/>
    <n v="2"/>
    <s v="Road Vehicle"/>
    <n v="6"/>
    <x v="1"/>
    <x v="1"/>
    <n v="2"/>
    <x v="1"/>
    <s v="KISIIZI TOWN"/>
    <s v="RUKUNGIRI"/>
    <s v="UG"/>
    <n v="1"/>
    <s v="Home"/>
    <s v="ENTEBBE"/>
    <s v="WAKISO"/>
    <s v="UG"/>
    <n v="2"/>
    <s v="Work"/>
    <x v="1"/>
    <n v="30000"/>
    <n v="150"/>
    <x v="2"/>
    <n v="4"/>
    <x v="2"/>
    <n v="6"/>
    <s v="Businessman"/>
    <n v="1"/>
    <x v="2"/>
    <n v="2"/>
    <n v="4"/>
    <n v="1"/>
    <n v="2"/>
    <n v="1"/>
    <s v="Y"/>
    <n v="0"/>
    <x v="3"/>
  </r>
  <r>
    <s v="22.10.19"/>
    <d v="1899-12-30T09:09:00"/>
    <m/>
    <s v="P"/>
    <n v="2"/>
    <s v="Road Vehicle"/>
    <n v="6"/>
    <x v="1"/>
    <x v="1"/>
    <n v="2"/>
    <x v="1"/>
    <s v="KABALE TOWN"/>
    <s v="KABALE"/>
    <s v="UG"/>
    <n v="1"/>
    <s v="Home"/>
    <s v="LUKAYA"/>
    <s v="MASAKA"/>
    <s v="UG"/>
    <n v="2"/>
    <s v="Work"/>
    <x v="1"/>
    <n v="20000"/>
    <n v="270"/>
    <x v="3"/>
    <n v="3"/>
    <x v="0"/>
    <n v="6"/>
    <s v="Businessman"/>
    <n v="1"/>
    <x v="2"/>
    <n v="5"/>
    <n v="4"/>
    <n v="2"/>
    <n v="2"/>
    <n v="2"/>
    <s v="Y"/>
    <n v="0"/>
    <x v="3"/>
  </r>
  <r>
    <s v="22.10.19"/>
    <d v="1899-12-30T09:51:00"/>
    <m/>
    <s v="P"/>
    <n v="2"/>
    <s v="Road Vehicle"/>
    <n v="6"/>
    <x v="1"/>
    <x v="1"/>
    <n v="2"/>
    <x v="1"/>
    <s v="KISIIZI TOWN"/>
    <s v="RUKUNGIRI"/>
    <s v="UG"/>
    <n v="1"/>
    <s v="Home"/>
    <s v="KITALA"/>
    <s v="WAKISO"/>
    <s v="UG"/>
    <n v="2"/>
    <s v="Work"/>
    <x v="1"/>
    <n v="30000"/>
    <n v="150"/>
    <x v="2"/>
    <n v="4"/>
    <x v="2"/>
    <n v="6"/>
    <s v="Businessman"/>
    <n v="1"/>
    <x v="2"/>
    <n v="2"/>
    <n v="2"/>
    <n v="2"/>
    <n v="2"/>
    <n v="2"/>
    <s v="Y"/>
    <n v="0"/>
    <x v="3"/>
  </r>
  <r>
    <s v="22.10.19"/>
    <d v="1899-12-30T16:12:00"/>
    <m/>
    <s v="P"/>
    <n v="2"/>
    <s v="Road Vehicle"/>
    <n v="6"/>
    <x v="1"/>
    <x v="1"/>
    <n v="2"/>
    <x v="1"/>
    <s v="KISORO TOWN"/>
    <s v="KISORO"/>
    <s v="UG"/>
    <n v="1"/>
    <s v="Home"/>
    <s v="NANSANA"/>
    <s v="WAKISO"/>
    <s v="UG"/>
    <n v="2"/>
    <s v="Work"/>
    <x v="1"/>
    <n v="30000"/>
    <n v="200"/>
    <x v="3"/>
    <n v="4.5"/>
    <x v="2"/>
    <n v="6"/>
    <s v="Businessman"/>
    <n v="1"/>
    <x v="2"/>
    <n v="5"/>
    <n v="5"/>
    <n v="5"/>
    <n v="5"/>
    <n v="5"/>
    <s v="Y"/>
    <n v="0"/>
    <x v="3"/>
  </r>
  <r>
    <s v="22.10.19"/>
    <d v="1899-12-30T16:20:00"/>
    <m/>
    <s v="P"/>
    <n v="2"/>
    <s v="Road Vehicle"/>
    <n v="6"/>
    <x v="1"/>
    <x v="1"/>
    <n v="2"/>
    <x v="1"/>
    <s v="KISORO TOWN"/>
    <s v="KISORO"/>
    <s v="UG"/>
    <n v="1"/>
    <s v="Home"/>
    <s v="KIBULI"/>
    <s v="KAMPALA"/>
    <s v="UG"/>
    <n v="8"/>
    <s v="Others"/>
    <x v="13"/>
    <n v="30000"/>
    <n v="200"/>
    <x v="3"/>
    <n v="4.5"/>
    <x v="2"/>
    <n v="6"/>
    <s v="Businessman"/>
    <n v="1"/>
    <x v="2"/>
    <n v="5"/>
    <n v="2"/>
    <n v="1"/>
    <n v="1"/>
    <n v="2"/>
    <s v="Y"/>
    <n v="0"/>
    <x v="3"/>
  </r>
  <r>
    <s v="22.10.19"/>
    <d v="1899-12-30T14:48:00"/>
    <m/>
    <s v="P"/>
    <n v="2"/>
    <s v="Road Vehicle"/>
    <n v="6"/>
    <x v="1"/>
    <x v="1"/>
    <n v="2"/>
    <x v="1"/>
    <s v="KABALE TOWN"/>
    <s v="KABALE"/>
    <s v="UG"/>
    <n v="1"/>
    <s v="Home"/>
    <s v="NAMUNUKA TOWN"/>
    <s v="NAMUNUKA"/>
    <s v="UG"/>
    <n v="2"/>
    <s v="Work"/>
    <x v="1"/>
    <n v="10000"/>
    <n v="90"/>
    <x v="1"/>
    <n v="2"/>
    <x v="0"/>
    <n v="6"/>
    <s v="Businessman"/>
    <n v="1"/>
    <x v="2"/>
    <n v="2"/>
    <n v="4"/>
    <n v="1"/>
    <n v="2"/>
    <n v="1"/>
    <s v="Y"/>
    <n v="0"/>
    <x v="3"/>
  </r>
  <r>
    <s v="22.10.19"/>
    <d v="1899-12-30T16:28:00"/>
    <m/>
    <s v="P"/>
    <n v="2"/>
    <s v="Road Vehicle"/>
    <n v="6"/>
    <x v="1"/>
    <x v="1"/>
    <n v="2"/>
    <x v="1"/>
    <s v="KABALE TOWN"/>
    <s v="KABALE"/>
    <s v="UG"/>
    <n v="2"/>
    <s v="Work"/>
    <s v="ISHAKA TOWN"/>
    <s v="ISHAKA"/>
    <s v="UG"/>
    <n v="8"/>
    <s v="Others"/>
    <x v="19"/>
    <n v="25000"/>
    <n v="330"/>
    <x v="3"/>
    <n v="4"/>
    <x v="2"/>
    <n v="6"/>
    <s v="Businessman"/>
    <n v="1"/>
    <x v="2"/>
    <n v="5"/>
    <n v="2"/>
    <n v="2"/>
    <n v="2"/>
    <n v="2"/>
    <s v="Y"/>
    <n v="0"/>
    <x v="3"/>
  </r>
  <r>
    <s v="22.10.19"/>
    <d v="1899-12-30T16:00:00"/>
    <m/>
    <s v="P"/>
    <n v="2"/>
    <s v="Road Vehicle"/>
    <n v="6"/>
    <x v="1"/>
    <x v="1"/>
    <n v="2"/>
    <x v="1"/>
    <s v="KABALE TOWN"/>
    <s v="KABALE"/>
    <s v="UG"/>
    <n v="1"/>
    <s v="Home"/>
    <s v="HOIMA TOWN"/>
    <s v="HOIMA"/>
    <s v="UG"/>
    <n v="2"/>
    <s v="Work"/>
    <x v="1"/>
    <n v="50000"/>
    <n v="800"/>
    <x v="3"/>
    <n v="12"/>
    <x v="2"/>
    <n v="6"/>
    <s v="Businessman"/>
    <n v="1"/>
    <x v="2"/>
    <n v="5"/>
    <n v="5"/>
    <n v="2"/>
    <n v="2"/>
    <n v="2"/>
    <s v="Y"/>
    <n v="0"/>
    <x v="3"/>
  </r>
  <r>
    <s v="22.10.19"/>
    <d v="1899-12-30T15:28:00"/>
    <m/>
    <s v="P"/>
    <n v="2"/>
    <s v="Road Vehicle"/>
    <n v="6"/>
    <x v="1"/>
    <x v="1"/>
    <n v="2"/>
    <x v="1"/>
    <s v="KABALE TOWN"/>
    <s v="KABALE"/>
    <s v="UG"/>
    <n v="2"/>
    <s v="Work"/>
    <s v="MBARARA TOWN"/>
    <s v="MBARARA"/>
    <s v="UG"/>
    <n v="1"/>
    <s v="Home"/>
    <x v="4"/>
    <n v="15000"/>
    <n v="135"/>
    <x v="2"/>
    <n v="2.5"/>
    <x v="0"/>
    <n v="6"/>
    <s v="Businessman"/>
    <n v="1"/>
    <x v="2"/>
    <n v="2"/>
    <n v="2"/>
    <n v="2"/>
    <n v="2"/>
    <n v="2"/>
    <s v="Y"/>
    <n v="0"/>
    <x v="3"/>
  </r>
  <r>
    <s v="23.10.19"/>
    <d v="1899-12-30T14:59:00"/>
    <m/>
    <s v="P"/>
    <n v="2"/>
    <s v="Road Vehicle"/>
    <n v="6"/>
    <x v="1"/>
    <x v="1"/>
    <n v="2"/>
    <x v="1"/>
    <s v="KATUNA"/>
    <s v="KABALE"/>
    <s v="UG"/>
    <n v="2"/>
    <s v="Work"/>
    <s v="LUBIIRI"/>
    <s v="KAMPALA"/>
    <s v="UG"/>
    <n v="1"/>
    <s v="Home"/>
    <x v="4"/>
    <n v="30000"/>
    <n v="120"/>
    <x v="2"/>
    <n v="2"/>
    <x v="0"/>
    <n v="6"/>
    <s v="Businessman"/>
    <n v="1"/>
    <x v="2"/>
    <n v="5"/>
    <n v="4"/>
    <n v="2"/>
    <n v="2"/>
    <n v="2"/>
    <s v="Y"/>
    <n v="0"/>
    <x v="3"/>
  </r>
  <r>
    <s v="23.10.19"/>
    <d v="1899-12-30T10:20:00"/>
    <m/>
    <s v="P"/>
    <n v="2"/>
    <s v="Road Vehicle"/>
    <n v="6"/>
    <x v="1"/>
    <x v="1"/>
    <n v="2"/>
    <x v="1"/>
    <s v="KAHIHI TOWN"/>
    <s v="KAHIHI"/>
    <s v="UG"/>
    <n v="2"/>
    <s v="Work"/>
    <s v="KAMPALA TOWN"/>
    <s v="KAMPALA"/>
    <s v="UG"/>
    <n v="1"/>
    <s v="Home"/>
    <x v="4"/>
    <n v="40000"/>
    <n v="340"/>
    <x v="3"/>
    <n v="6"/>
    <x v="2"/>
    <n v="6"/>
    <s v="Businessman"/>
    <n v="1"/>
    <x v="2"/>
    <n v="2"/>
    <n v="4"/>
    <n v="1"/>
    <n v="2"/>
    <n v="2"/>
    <s v="Y"/>
    <n v="0"/>
    <x v="3"/>
  </r>
  <r>
    <s v="23.10.19"/>
    <d v="1899-12-30T10:30:00"/>
    <m/>
    <s v="P"/>
    <n v="2"/>
    <s v="Road Vehicle"/>
    <n v="6"/>
    <x v="1"/>
    <x v="1"/>
    <n v="2"/>
    <x v="1"/>
    <s v="BUTOGOTA TOWN"/>
    <s v="KANUNGU"/>
    <s v="UG"/>
    <n v="2"/>
    <s v="Work"/>
    <s v="LUZIRA"/>
    <s v="KAMPALA"/>
    <s v="UG"/>
    <n v="1"/>
    <s v="Home"/>
    <x v="4"/>
    <n v="40000"/>
    <n v="340"/>
    <x v="3"/>
    <n v="6"/>
    <x v="2"/>
    <n v="6"/>
    <s v="Businessman"/>
    <n v="1"/>
    <x v="2"/>
    <n v="2"/>
    <n v="2"/>
    <n v="2"/>
    <n v="2"/>
    <n v="2"/>
    <s v="Y"/>
    <n v="0"/>
    <x v="3"/>
  </r>
  <r>
    <s v="23.10.19"/>
    <d v="1899-12-30T09:40:00"/>
    <m/>
    <s v="P"/>
    <n v="2"/>
    <s v="Road Vehicle"/>
    <n v="6"/>
    <x v="1"/>
    <x v="1"/>
    <n v="2"/>
    <x v="1"/>
    <s v="KABALE TOWN"/>
    <s v="KABALE"/>
    <s v="UG"/>
    <n v="1"/>
    <s v="Home"/>
    <s v="MASAKA TOWN"/>
    <s v="MASAKA"/>
    <s v="UG"/>
    <n v="2"/>
    <s v="Work"/>
    <x v="1"/>
    <n v="20000"/>
    <n v="320"/>
    <x v="3"/>
    <n v="3"/>
    <x v="0"/>
    <n v="6"/>
    <s v="Businessman"/>
    <n v="1"/>
    <x v="2"/>
    <n v="2"/>
    <n v="2"/>
    <n v="2"/>
    <n v="2"/>
    <n v="2"/>
    <s v="Y"/>
    <n v="0"/>
    <x v="3"/>
  </r>
  <r>
    <s v="23.10.19"/>
    <d v="1899-12-30T08:40:00"/>
    <m/>
    <s v="P"/>
    <n v="2"/>
    <s v="Road Vehicle"/>
    <n v="6"/>
    <x v="1"/>
    <x v="1"/>
    <n v="2"/>
    <x v="1"/>
    <s v="KABALE TOWN"/>
    <s v="KABALE"/>
    <s v="UG"/>
    <n v="2"/>
    <s v="Work"/>
    <s v="KAGADI TOWN"/>
    <s v="KAGADI"/>
    <s v="UG"/>
    <n v="1"/>
    <s v="Home"/>
    <x v="4"/>
    <n v="40000"/>
    <n v="360"/>
    <x v="3"/>
    <n v="6"/>
    <x v="2"/>
    <n v="6"/>
    <s v="Businessman"/>
    <n v="1"/>
    <x v="2"/>
    <n v="2"/>
    <n v="4"/>
    <n v="1"/>
    <n v="2"/>
    <n v="1"/>
    <s v="Y"/>
    <n v="0"/>
    <x v="3"/>
  </r>
  <r>
    <s v="23.10.19"/>
    <d v="1899-12-30T08:30:00"/>
    <m/>
    <s v="P"/>
    <n v="2"/>
    <s v="Road Vehicle"/>
    <n v="6"/>
    <x v="1"/>
    <x v="1"/>
    <n v="2"/>
    <x v="1"/>
    <s v="KABALE TOWN"/>
    <s v="KABALE"/>
    <s v="UG"/>
    <n v="1"/>
    <s v="Home"/>
    <s v="FORTPORTAL TOWN"/>
    <s v="FORTPORTAL"/>
    <s v="UG"/>
    <n v="8"/>
    <s v="Others"/>
    <x v="13"/>
    <n v="30000"/>
    <n v="320"/>
    <x v="3"/>
    <n v="5"/>
    <x v="2"/>
    <n v="6"/>
    <s v="Businessman"/>
    <n v="1"/>
    <x v="2"/>
    <n v="5"/>
    <n v="2"/>
    <n v="2"/>
    <n v="2"/>
    <n v="2"/>
    <s v="Y"/>
    <n v="0"/>
    <x v="3"/>
  </r>
  <r>
    <s v="23.10.19"/>
    <d v="1899-12-30T07:06:00"/>
    <m/>
    <s v="P"/>
    <n v="2"/>
    <s v="Road Vehicle"/>
    <n v="6"/>
    <x v="1"/>
    <x v="1"/>
    <n v="2"/>
    <x v="1"/>
    <s v="KISORO TOWN"/>
    <s v="KISORO"/>
    <s v="UG"/>
    <n v="1"/>
    <s v="Home"/>
    <s v="KAMPALA TOWN"/>
    <s v="KAMPALA"/>
    <s v="UG"/>
    <n v="7"/>
    <s v="Hospital"/>
    <x v="32"/>
    <n v="30000"/>
    <n v="480"/>
    <x v="3"/>
    <n v="12"/>
    <x v="2"/>
    <n v="6"/>
    <s v="Businessman"/>
    <n v="3"/>
    <x v="1"/>
    <n v="2"/>
    <n v="1"/>
    <n v="1"/>
    <n v="1"/>
    <n v="1"/>
    <s v="Y"/>
    <n v="3000"/>
    <x v="0"/>
  </r>
  <r>
    <s v="23.10.19"/>
    <d v="1899-12-30T07:27:00"/>
    <m/>
    <s v="P"/>
    <n v="2"/>
    <s v="Road Vehicle"/>
    <n v="6"/>
    <x v="1"/>
    <x v="1"/>
    <n v="2"/>
    <x v="1"/>
    <s v="KABALE TOWN"/>
    <s v="KABALE"/>
    <s v="UG"/>
    <n v="1"/>
    <s v="Home"/>
    <s v="FORTPORTAL TOWN"/>
    <s v="FORTPORTAL"/>
    <s v="UG"/>
    <n v="4"/>
    <s v="Commercial"/>
    <x v="0"/>
    <n v="30000"/>
    <n v="400"/>
    <x v="3"/>
    <n v="8"/>
    <x v="2"/>
    <n v="6"/>
    <s v="Businessman"/>
    <n v="3"/>
    <x v="1"/>
    <n v="1"/>
    <n v="1"/>
    <n v="1"/>
    <n v="1"/>
    <n v="1"/>
    <s v="Y"/>
    <n v="2000"/>
    <x v="1"/>
  </r>
  <r>
    <s v="21.10.19"/>
    <d v="1899-12-30T17:16:00"/>
    <m/>
    <s v="P"/>
    <n v="2"/>
    <s v="Road Vehicle"/>
    <n v="6"/>
    <x v="1"/>
    <x v="0"/>
    <n v="2"/>
    <x v="1"/>
    <s v="KIGALI TOWN"/>
    <s v="KIGALI"/>
    <s v="UG"/>
    <n v="1"/>
    <s v="Home"/>
    <s v="NAIROBI TOWN"/>
    <s v="NAIROBI"/>
    <s v="UG"/>
    <n v="6"/>
    <s v="Leisure/Social"/>
    <x v="8"/>
    <n v="234000"/>
    <n v="1500"/>
    <x v="3"/>
    <n v="30"/>
    <x v="2"/>
    <n v="5"/>
    <s v="Professional"/>
    <n v="5"/>
    <x v="4"/>
    <n v="2"/>
    <n v="2"/>
    <n v="1"/>
    <n v="1"/>
    <n v="1"/>
    <s v="Y"/>
    <n v="0"/>
    <x v="3"/>
  </r>
  <r>
    <s v="21.10.19"/>
    <d v="1899-12-30T15:33:00"/>
    <m/>
    <s v="P"/>
    <n v="2"/>
    <s v="Road Vehicle"/>
    <n v="6"/>
    <x v="1"/>
    <x v="0"/>
    <n v="2"/>
    <x v="1"/>
    <s v="RUBANDA TOWN"/>
    <s v="RUBANDA"/>
    <s v="UG"/>
    <n v="1"/>
    <s v="Home"/>
    <s v="KAMPALA TOWN"/>
    <s v="KAMPALA"/>
    <s v="UG"/>
    <n v="2"/>
    <s v="Work"/>
    <x v="1"/>
    <n v="60000"/>
    <n v="420"/>
    <x v="3"/>
    <n v="13"/>
    <x v="2"/>
    <n v="5"/>
    <s v="Professional"/>
    <n v="4"/>
    <x v="0"/>
    <n v="2"/>
    <n v="3"/>
    <n v="3"/>
    <n v="4"/>
    <n v="3"/>
    <s v="Y"/>
    <n v="2000"/>
    <x v="1"/>
  </r>
  <r>
    <s v="21.10.19"/>
    <d v="1899-12-30T15:31:00"/>
    <m/>
    <s v="P"/>
    <n v="2"/>
    <s v="Road Vehicle"/>
    <n v="6"/>
    <x v="1"/>
    <x v="0"/>
    <n v="2"/>
    <x v="1"/>
    <s v="KISORO TOWN"/>
    <s v="KISORO"/>
    <s v="UG"/>
    <n v="1"/>
    <s v="Home"/>
    <s v="KAMPALA TOWN"/>
    <s v="KAMPALA"/>
    <s v="UG"/>
    <n v="4"/>
    <s v="Commercial"/>
    <x v="0"/>
    <n v="60000"/>
    <n v="430"/>
    <x v="3"/>
    <n v="13"/>
    <x v="2"/>
    <n v="6"/>
    <s v="Businessman"/>
    <n v="3"/>
    <x v="1"/>
    <n v="3"/>
    <n v="3"/>
    <n v="2"/>
    <n v="4"/>
    <n v="3"/>
    <s v="Y"/>
    <n v="3000"/>
    <x v="0"/>
  </r>
  <r>
    <s v="21.10.19"/>
    <d v="1899-12-30T15:28:00"/>
    <m/>
    <s v="P"/>
    <n v="2"/>
    <s v="Road Vehicle"/>
    <n v="6"/>
    <x v="1"/>
    <x v="0"/>
    <n v="2"/>
    <x v="1"/>
    <s v="GISENYI"/>
    <s v="KABALE"/>
    <s v="UG"/>
    <n v="2"/>
    <s v="Work"/>
    <s v="MAKERERE"/>
    <s v="KAMPALA"/>
    <s v="UG"/>
    <n v="8"/>
    <s v="Others"/>
    <x v="19"/>
    <n v="40000"/>
    <n v="250"/>
    <x v="3"/>
    <n v="6"/>
    <x v="2"/>
    <n v="7"/>
    <s v="Farmer"/>
    <n v="1"/>
    <x v="2"/>
    <n v="5"/>
    <n v="4"/>
    <n v="2"/>
    <n v="2"/>
    <n v="2"/>
    <s v="Y"/>
    <n v="0"/>
    <x v="3"/>
  </r>
  <r>
    <s v="21.10.19"/>
    <d v="1899-12-30T18:50:00"/>
    <m/>
    <s v="P"/>
    <n v="2"/>
    <s v="Road Vehicle"/>
    <n v="6"/>
    <x v="1"/>
    <x v="0"/>
    <n v="2"/>
    <x v="1"/>
    <s v="KIGALI TOWN"/>
    <s v="KIGALI"/>
    <s v="Rwanda"/>
    <n v="2"/>
    <s v="Work"/>
    <s v="KAMPALA TOWN"/>
    <s v="KAMPALA"/>
    <s v="UG"/>
    <n v="3"/>
    <s v="Study"/>
    <x v="33"/>
    <n v="40000"/>
    <n v="250"/>
    <x v="3"/>
    <n v="6"/>
    <x v="2"/>
    <n v="8"/>
    <s v="Student"/>
    <n v="1"/>
    <x v="2"/>
    <n v="5"/>
    <n v="4"/>
    <n v="2"/>
    <n v="5"/>
    <n v="2"/>
    <s v="Y"/>
    <n v="0"/>
    <x v="3"/>
  </r>
  <r>
    <s v="21.10.19"/>
    <d v="1899-12-30T18:23:00"/>
    <s v="UAZ 962C"/>
    <s v="D"/>
    <n v="2"/>
    <s v="Road Vehicle"/>
    <n v="6"/>
    <x v="1"/>
    <x v="0"/>
    <n v="2"/>
    <x v="1"/>
    <s v="KIGALI TOWN"/>
    <s v="KIGALI"/>
    <s v="UG"/>
    <n v="2"/>
    <s v="Work"/>
    <s v="KAMPALA TOWN"/>
    <s v="KAMPALA"/>
    <s v="UG"/>
    <n v="8"/>
    <s v="Others"/>
    <x v="19"/>
    <n v="200000"/>
    <n v="250"/>
    <x v="3"/>
    <n v="6"/>
    <x v="2"/>
    <n v="5"/>
    <s v="Professional"/>
    <n v="2"/>
    <x v="3"/>
    <n v="5"/>
    <n v="4"/>
    <n v="5"/>
    <n v="5"/>
    <n v="5"/>
    <s v="Y"/>
    <n v="3000"/>
    <x v="0"/>
  </r>
  <r>
    <s v="21.10.19"/>
    <d v="1899-12-30T17:50:00"/>
    <m/>
    <s v="D"/>
    <n v="2"/>
    <s v="Road Vehicle"/>
    <n v="6"/>
    <x v="1"/>
    <x v="0"/>
    <n v="2"/>
    <x v="1"/>
    <s v="GOMA"/>
    <s v="GOMA"/>
    <s v="UG"/>
    <n v="2"/>
    <s v="Work"/>
    <s v="KAMPALA TOWN"/>
    <s v="KAMPALA"/>
    <s v="UG"/>
    <n v="8"/>
    <s v="Others"/>
    <x v="19"/>
    <n v="200000"/>
    <n v="3000"/>
    <x v="3"/>
    <n v="6"/>
    <x v="2"/>
    <n v="5"/>
    <s v="Professional"/>
    <n v="2"/>
    <x v="3"/>
    <n v="5"/>
    <n v="1"/>
    <n v="4"/>
    <n v="2"/>
    <n v="1"/>
    <s v="Y"/>
    <n v="2000"/>
    <x v="1"/>
  </r>
  <r>
    <s v="21.10.19"/>
    <d v="1899-12-30T18:00:00"/>
    <s v="UAV 309X"/>
    <s v="D"/>
    <n v="2"/>
    <s v="Road Vehicle"/>
    <n v="6"/>
    <x v="1"/>
    <x v="0"/>
    <n v="2"/>
    <x v="1"/>
    <s v="KISORO TOWN"/>
    <s v="KISORO"/>
    <s v="UG"/>
    <n v="2"/>
    <s v="Work"/>
    <s v="KAMPALA TOWN"/>
    <s v="KAMPALA"/>
    <s v="UG"/>
    <n v="2"/>
    <s v="Work"/>
    <x v="2"/>
    <n v="200000"/>
    <n v="200"/>
    <x v="3"/>
    <n v="4.5"/>
    <x v="2"/>
    <n v="10"/>
    <s v="Other"/>
    <n v="2"/>
    <x v="3"/>
    <n v="5"/>
    <n v="2"/>
    <n v="1"/>
    <n v="1"/>
    <n v="2"/>
    <s v="Y"/>
    <n v="2000"/>
    <x v="1"/>
  </r>
  <r>
    <s v="21.10.19"/>
    <d v="1899-12-30T17:33:00"/>
    <s v="UAY 783A"/>
    <s v="D"/>
    <n v="2"/>
    <s v="Road Vehicle"/>
    <n v="6"/>
    <x v="1"/>
    <x v="0"/>
    <n v="2"/>
    <x v="1"/>
    <s v="KYANIKA TOWN"/>
    <s v="KISORO"/>
    <s v="UG"/>
    <n v="2"/>
    <s v="Work"/>
    <s v="KAMPALA TOWN"/>
    <s v="KAMPALA"/>
    <s v="UG"/>
    <n v="8"/>
    <s v="Others"/>
    <x v="19"/>
    <n v="200000"/>
    <n v="250"/>
    <x v="3"/>
    <n v="6"/>
    <x v="2"/>
    <n v="5"/>
    <s v="Professional"/>
    <n v="2"/>
    <x v="3"/>
    <n v="5"/>
    <n v="4"/>
    <n v="1"/>
    <n v="2"/>
    <n v="2"/>
    <s v="Y"/>
    <n v="3000"/>
    <x v="0"/>
  </r>
  <r>
    <s v="21.10.19"/>
    <d v="1899-12-30T17:02:00"/>
    <m/>
    <s v="P"/>
    <n v="2"/>
    <s v="Road Vehicle"/>
    <n v="6"/>
    <x v="1"/>
    <x v="0"/>
    <n v="2"/>
    <x v="1"/>
    <s v="GOMA"/>
    <s v="GOMA"/>
    <s v="DRC"/>
    <n v="1"/>
    <s v="Home"/>
    <s v="BUSABALA"/>
    <s v="WAKISO"/>
    <s v="UG"/>
    <n v="8"/>
    <s v="Others"/>
    <x v="13"/>
    <n v="50000"/>
    <n v="300"/>
    <x v="3"/>
    <n v="7"/>
    <x v="2"/>
    <n v="6"/>
    <s v="Businessman"/>
    <n v="1"/>
    <x v="2"/>
    <n v="5"/>
    <n v="5"/>
    <n v="5"/>
    <n v="5"/>
    <n v="5"/>
    <s v="Y"/>
    <n v="0"/>
    <x v="3"/>
  </r>
  <r>
    <s v="21.10.19"/>
    <d v="1899-12-30T15:53:00"/>
    <m/>
    <s v="P"/>
    <n v="2"/>
    <s v="Road Vehicle"/>
    <n v="6"/>
    <x v="1"/>
    <x v="0"/>
    <n v="2"/>
    <x v="1"/>
    <s v="KYANIKA TOWN"/>
    <s v="KISORO"/>
    <s v="UG"/>
    <n v="1"/>
    <s v="Home"/>
    <s v="KAMPALA TOWN"/>
    <s v="KAMPALA"/>
    <s v="UG"/>
    <n v="2"/>
    <s v="Work"/>
    <x v="1"/>
    <n v="40000"/>
    <n v="250"/>
    <x v="3"/>
    <n v="6"/>
    <x v="2"/>
    <n v="6"/>
    <s v="Businessman"/>
    <n v="1"/>
    <x v="2"/>
    <n v="2"/>
    <n v="2"/>
    <n v="2"/>
    <n v="2"/>
    <n v="2"/>
    <s v="Y"/>
    <n v="0"/>
    <x v="3"/>
  </r>
  <r>
    <s v="21.10.19"/>
    <d v="1899-12-30T15:59:00"/>
    <s v="UAR 371K"/>
    <s v="D"/>
    <n v="2"/>
    <s v="Road Vehicle"/>
    <n v="6"/>
    <x v="1"/>
    <x v="0"/>
    <n v="2"/>
    <x v="1"/>
    <s v="KABALE TOWN"/>
    <s v="KABALE"/>
    <s v="UG"/>
    <n v="4"/>
    <s v="Commercial"/>
    <s v="KAMPALA TOWN"/>
    <s v="KAMPALA"/>
    <s v="UG"/>
    <n v="4"/>
    <s v="Commercial"/>
    <x v="18"/>
    <n v="300000"/>
    <n v="399"/>
    <x v="3"/>
    <n v="5"/>
    <x v="2"/>
    <n v="5"/>
    <s v="Professional"/>
    <n v="2"/>
    <x v="3"/>
    <n v="5"/>
    <n v="1"/>
    <n v="5"/>
    <n v="5"/>
    <n v="1"/>
    <s v="Y"/>
    <n v="0"/>
    <x v="3"/>
  </r>
  <r>
    <s v="21.10.19"/>
    <d v="1899-12-30T15:19:00"/>
    <m/>
    <s v="P"/>
    <n v="2"/>
    <s v="Road Vehicle"/>
    <n v="6"/>
    <x v="1"/>
    <x v="0"/>
    <n v="2"/>
    <x v="1"/>
    <s v="KABALE TOWN"/>
    <s v="KABALE"/>
    <s v="UG"/>
    <n v="1"/>
    <s v="Home"/>
    <s v="KAMPALA TOWN"/>
    <s v="KAMPALA"/>
    <s v="UG"/>
    <n v="4"/>
    <s v="Commercial"/>
    <x v="0"/>
    <n v="45000"/>
    <n v="369"/>
    <x v="3"/>
    <n v="4"/>
    <x v="2"/>
    <n v="6"/>
    <s v="Businessman"/>
    <n v="3"/>
    <x v="1"/>
    <n v="5"/>
    <n v="1"/>
    <n v="1"/>
    <n v="1"/>
    <n v="1"/>
    <s v="Y"/>
    <n v="1000"/>
    <x v="4"/>
  </r>
  <r>
    <s v="22.10.19"/>
    <d v="1899-12-30T09:53:00"/>
    <s v="UAE 566Q"/>
    <s v="D"/>
    <n v="2"/>
    <s v="Road Vehicle"/>
    <n v="6"/>
    <x v="1"/>
    <x v="0"/>
    <n v="2"/>
    <x v="1"/>
    <s v="KISORO TOWN"/>
    <s v="KISORO"/>
    <s v="UG"/>
    <n v="4"/>
    <s v="Commercial"/>
    <s v="KAMPALA TOWN"/>
    <s v="KAMPALA"/>
    <s v="UG"/>
    <n v="4"/>
    <s v="Commercial"/>
    <x v="18"/>
    <n v="100000"/>
    <n v="360"/>
    <x v="3"/>
    <n v="5"/>
    <x v="2"/>
    <n v="5"/>
    <s v="Professional"/>
    <n v="2"/>
    <x v="3"/>
    <n v="1"/>
    <n v="1"/>
    <n v="1"/>
    <n v="1"/>
    <n v="1"/>
    <s v="Y"/>
    <n v="5000"/>
    <x v="2"/>
  </r>
  <r>
    <s v="22.10.19"/>
    <d v="1899-12-30T14:09:00"/>
    <s v="UBB 797U"/>
    <s v="D"/>
    <n v="2"/>
    <s v="Road Vehicle"/>
    <n v="6"/>
    <x v="1"/>
    <x v="0"/>
    <n v="2"/>
    <x v="1"/>
    <s v="KABALE TOWN"/>
    <s v="KABALE"/>
    <s v="UG"/>
    <n v="2"/>
    <s v="Work"/>
    <s v="KAMENZI TOWN"/>
    <s v="KAMENZI"/>
    <s v="UG"/>
    <n v="8"/>
    <s v="Others"/>
    <x v="19"/>
    <n v="100000"/>
    <n v="90"/>
    <x v="1"/>
    <n v="2"/>
    <x v="0"/>
    <n v="5"/>
    <s v="Professional"/>
    <n v="2"/>
    <x v="3"/>
    <n v="5"/>
    <n v="5"/>
    <n v="5"/>
    <n v="5"/>
    <n v="5"/>
    <s v="Y"/>
    <n v="1000"/>
    <x v="4"/>
  </r>
  <r>
    <s v="22.10.19"/>
    <d v="1899-12-30T13:01:00"/>
    <m/>
    <s v="P"/>
    <n v="2"/>
    <s v="Road Vehicle"/>
    <n v="6"/>
    <x v="1"/>
    <x v="0"/>
    <n v="2"/>
    <x v="1"/>
    <s v="KISIIZI TOWN"/>
    <s v="RUKUNGIRI"/>
    <s v="UG"/>
    <n v="1"/>
    <s v="Home"/>
    <s v="KINAWA"/>
    <s v="WAKISO"/>
    <s v="UG"/>
    <n v="2"/>
    <s v="Work"/>
    <x v="1"/>
    <n v="30000"/>
    <n v="150"/>
    <x v="2"/>
    <n v="4"/>
    <x v="2"/>
    <n v="6"/>
    <s v="Businessman"/>
    <n v="1"/>
    <x v="2"/>
    <n v="5"/>
    <n v="4"/>
    <n v="5"/>
    <n v="5"/>
    <n v="5"/>
    <s v="Y"/>
    <n v="0"/>
    <x v="3"/>
  </r>
  <r>
    <s v="22.10.19"/>
    <d v="1899-12-30T12:19:00"/>
    <s v="UAF 795X"/>
    <s v="D"/>
    <n v="2"/>
    <s v="Road Vehicle"/>
    <n v="6"/>
    <x v="1"/>
    <x v="0"/>
    <n v="2"/>
    <x v="1"/>
    <s v="KABALE TOWN"/>
    <s v="KABALE"/>
    <s v="UG"/>
    <n v="1"/>
    <s v="Home"/>
    <s v="BIZIRI TOWN"/>
    <s v="BIZIRI"/>
    <s v="UG"/>
    <n v="8"/>
    <s v="Others"/>
    <x v="13"/>
    <n v="100000"/>
    <n v="260"/>
    <x v="3"/>
    <n v="3"/>
    <x v="0"/>
    <n v="5"/>
    <s v="Professional"/>
    <n v="1"/>
    <x v="2"/>
    <n v="5"/>
    <n v="4"/>
    <n v="2"/>
    <n v="2"/>
    <n v="2"/>
    <s v="Y"/>
    <n v="1000"/>
    <x v="4"/>
  </r>
  <r>
    <s v="22.10.19"/>
    <d v="1899-12-30T11:30:00"/>
    <m/>
    <s v="P"/>
    <n v="2"/>
    <s v="Road Vehicle"/>
    <n v="6"/>
    <x v="1"/>
    <x v="0"/>
    <n v="2"/>
    <x v="1"/>
    <s v="KABALE TOWN"/>
    <s v="KABALE"/>
    <s v="UG"/>
    <n v="1"/>
    <s v="Home"/>
    <s v="KAJJANSI"/>
    <s v="WAKISO"/>
    <s v="UG"/>
    <n v="2"/>
    <s v="Work"/>
    <x v="1"/>
    <n v="30000"/>
    <n v="390"/>
    <x v="3"/>
    <n v="4.5"/>
    <x v="2"/>
    <n v="6"/>
    <s v="Businessman"/>
    <n v="1"/>
    <x v="2"/>
    <n v="5"/>
    <n v="2"/>
    <n v="2"/>
    <n v="5"/>
    <n v="2"/>
    <s v="Y"/>
    <n v="0"/>
    <x v="3"/>
  </r>
  <r>
    <s v="22.10.19"/>
    <d v="1899-12-30T11:10:00"/>
    <s v="UBE 453T"/>
    <s v="D"/>
    <n v="2"/>
    <s v="Road Vehicle"/>
    <n v="6"/>
    <x v="1"/>
    <x v="0"/>
    <n v="2"/>
    <x v="1"/>
    <s v="KABALE TOWN"/>
    <s v="KABALE"/>
    <s v="UG"/>
    <n v="2"/>
    <s v="Work"/>
    <s v="KAGAABA TOWN"/>
    <s v="KAGABA"/>
    <s v="UG"/>
    <n v="2"/>
    <s v="Work"/>
    <x v="2"/>
    <n v="100000"/>
    <n v="90"/>
    <x v="1"/>
    <n v="2"/>
    <x v="0"/>
    <n v="5"/>
    <s v="Professional"/>
    <n v="2"/>
    <x v="3"/>
    <n v="5"/>
    <n v="5"/>
    <n v="2"/>
    <n v="2"/>
    <n v="2"/>
    <s v="Y"/>
    <n v="1000"/>
    <x v="4"/>
  </r>
  <r>
    <s v="22.10.19"/>
    <d v="1899-12-30T10:55:00"/>
    <s v="UAV 799V"/>
    <s v="D"/>
    <n v="2"/>
    <s v="Road Vehicle"/>
    <n v="6"/>
    <x v="1"/>
    <x v="0"/>
    <n v="2"/>
    <x v="1"/>
    <s v="KABALE TOWN"/>
    <s v="KABALE"/>
    <s v="UG"/>
    <n v="2"/>
    <s v="Work"/>
    <s v="IBANDA TOWN"/>
    <s v="IBANDA"/>
    <s v="UG"/>
    <n v="8"/>
    <s v="Others"/>
    <x v="19"/>
    <n v="150000"/>
    <n v="300"/>
    <x v="3"/>
    <n v="3.5"/>
    <x v="2"/>
    <n v="10"/>
    <s v="Other"/>
    <n v="2"/>
    <x v="3"/>
    <n v="5"/>
    <n v="5"/>
    <n v="2"/>
    <n v="2"/>
    <n v="2"/>
    <s v="Y"/>
    <n v="2000"/>
    <x v="1"/>
  </r>
  <r>
    <s v="22.10.19"/>
    <d v="1899-12-30T11:00:00"/>
    <m/>
    <s v="P"/>
    <n v="2"/>
    <s v="Road Vehicle"/>
    <n v="6"/>
    <x v="1"/>
    <x v="0"/>
    <n v="2"/>
    <x v="1"/>
    <s v="KABALE TOWN"/>
    <s v="KABALE"/>
    <s v="UG"/>
    <n v="2"/>
    <s v="Work"/>
    <s v="IBANDA TOWN"/>
    <s v="IBANDA"/>
    <s v="UG"/>
    <n v="1"/>
    <s v="Home"/>
    <x v="4"/>
    <n v="25000"/>
    <n v="300"/>
    <x v="3"/>
    <n v="3.5"/>
    <x v="2"/>
    <n v="6"/>
    <s v="Businessman"/>
    <n v="1"/>
    <x v="2"/>
    <n v="2"/>
    <n v="4"/>
    <n v="2"/>
    <n v="2"/>
    <n v="2"/>
    <s v="Y"/>
    <n v="0"/>
    <x v="3"/>
  </r>
  <r>
    <s v="22.10.19"/>
    <d v="1899-12-30T09:24:00"/>
    <m/>
    <s v="P"/>
    <n v="2"/>
    <s v="Road Vehicle"/>
    <n v="6"/>
    <x v="1"/>
    <x v="0"/>
    <n v="2"/>
    <x v="1"/>
    <s v="KABALE TOWN"/>
    <s v="KABALE"/>
    <s v="UG"/>
    <n v="1"/>
    <s v="Home"/>
    <s v="MASAKA TOWN"/>
    <s v="MASAKA"/>
    <s v="UG"/>
    <n v="2"/>
    <s v="Work"/>
    <x v="1"/>
    <n v="20000"/>
    <n v="270"/>
    <x v="3"/>
    <n v="3"/>
    <x v="0"/>
    <n v="6"/>
    <s v="Businessman"/>
    <n v="1"/>
    <x v="2"/>
    <n v="2"/>
    <n v="2"/>
    <n v="2"/>
    <n v="2"/>
    <n v="2"/>
    <s v="Y"/>
    <n v="0"/>
    <x v="3"/>
  </r>
  <r>
    <s v="22.10.19"/>
    <d v="1899-12-30T09:33:00"/>
    <m/>
    <s v="P"/>
    <n v="2"/>
    <s v="Road Vehicle"/>
    <n v="6"/>
    <x v="1"/>
    <x v="0"/>
    <n v="2"/>
    <x v="1"/>
    <s v="KISIIZI TOWN"/>
    <s v="RUKUNGIRI"/>
    <s v="UG"/>
    <n v="1"/>
    <s v="Home"/>
    <s v="MAKERERE"/>
    <s v="KAMPALA"/>
    <s v="UG"/>
    <n v="3"/>
    <s v="Study"/>
    <x v="25"/>
    <n v="30000"/>
    <n v="150"/>
    <x v="2"/>
    <n v="4"/>
    <x v="2"/>
    <n v="8"/>
    <s v="Student"/>
    <n v="1"/>
    <x v="2"/>
    <n v="5"/>
    <n v="4"/>
    <n v="2"/>
    <n v="2"/>
    <n v="2"/>
    <s v="Y"/>
    <n v="0"/>
    <x v="3"/>
  </r>
  <r>
    <s v="22.10.19"/>
    <d v="1899-12-30T16:33:00"/>
    <m/>
    <s v="P"/>
    <n v="2"/>
    <s v="Road Vehicle"/>
    <n v="6"/>
    <x v="1"/>
    <x v="0"/>
    <n v="2"/>
    <x v="1"/>
    <s v="KISORO TOWN"/>
    <s v="KISORO"/>
    <s v="UG"/>
    <n v="1"/>
    <s v="Home"/>
    <s v="KIREKA"/>
    <s v="KAMPALA"/>
    <s v="UG"/>
    <n v="2"/>
    <s v="Work"/>
    <x v="1"/>
    <n v="30000"/>
    <n v="200"/>
    <x v="3"/>
    <n v="4.5"/>
    <x v="2"/>
    <n v="6"/>
    <s v="Businessman"/>
    <n v="1"/>
    <x v="2"/>
    <n v="5"/>
    <n v="5"/>
    <n v="5"/>
    <n v="5"/>
    <n v="5"/>
    <s v="Y"/>
    <n v="0"/>
    <x v="3"/>
  </r>
  <r>
    <s v="22.10.19"/>
    <d v="1899-12-30T17:00:00"/>
    <m/>
    <s v="P"/>
    <n v="2"/>
    <s v="Road Vehicle"/>
    <n v="6"/>
    <x v="1"/>
    <x v="0"/>
    <n v="2"/>
    <x v="1"/>
    <s v="KABALE TOWN"/>
    <s v="KABALE"/>
    <s v="UG"/>
    <n v="2"/>
    <s v="Work"/>
    <s v="LYANTONDE TOWN"/>
    <s v="LYANTONDE"/>
    <s v="UG"/>
    <n v="8"/>
    <s v="Others"/>
    <x v="19"/>
    <n v="20000"/>
    <n v="270"/>
    <x v="3"/>
    <n v="3"/>
    <x v="0"/>
    <n v="6"/>
    <s v="Businessman"/>
    <n v="1"/>
    <x v="2"/>
    <n v="2"/>
    <n v="4"/>
    <n v="2"/>
    <n v="2"/>
    <n v="1"/>
    <s v="Y"/>
    <n v="0"/>
    <x v="3"/>
  </r>
  <r>
    <s v="22.10.19"/>
    <d v="1899-12-30T15:48:00"/>
    <s v="UAX 859G"/>
    <s v="D"/>
    <n v="2"/>
    <s v="Road Vehicle"/>
    <n v="6"/>
    <x v="1"/>
    <x v="0"/>
    <n v="2"/>
    <x v="1"/>
    <s v="KABALE TOWN"/>
    <s v="KABALE"/>
    <s v="UG"/>
    <n v="2"/>
    <s v="Work"/>
    <s v="HOIMA TOWN"/>
    <s v="HOIMA"/>
    <s v="UG"/>
    <n v="2"/>
    <s v="Work"/>
    <x v="2"/>
    <n v="300000"/>
    <n v="800"/>
    <x v="3"/>
    <n v="12"/>
    <x v="2"/>
    <n v="5"/>
    <s v="Professional"/>
    <n v="3"/>
    <x v="1"/>
    <n v="5"/>
    <n v="5"/>
    <n v="5"/>
    <n v="5"/>
    <n v="5"/>
    <s v="Y"/>
    <n v="5000"/>
    <x v="2"/>
  </r>
  <r>
    <s v="23.10.19"/>
    <d v="1899-12-30T14:42:00"/>
    <s v="UAP 050Q"/>
    <s v="D"/>
    <n v="2"/>
    <s v="Road Vehicle"/>
    <n v="6"/>
    <x v="1"/>
    <x v="0"/>
    <n v="2"/>
    <x v="1"/>
    <s v="KATUNA"/>
    <s v="KABALE"/>
    <s v="UG"/>
    <n v="2"/>
    <s v="Work"/>
    <s v="KAMPALA TOWN"/>
    <s v="KAMPALA"/>
    <s v="UG"/>
    <n v="8"/>
    <s v="Others"/>
    <x v="19"/>
    <n v="100000"/>
    <n v="120"/>
    <x v="2"/>
    <n v="4"/>
    <x v="2"/>
    <n v="10"/>
    <s v="Other"/>
    <n v="2"/>
    <x v="3"/>
    <n v="5"/>
    <n v="4"/>
    <n v="5"/>
    <n v="5"/>
    <n v="5"/>
    <s v="Y"/>
    <n v="2000"/>
    <x v="1"/>
  </r>
  <r>
    <s v="23.10.19"/>
    <d v="1899-12-30T10:10:00"/>
    <s v="UAS 989T"/>
    <s v="D"/>
    <n v="2"/>
    <s v="Road Vehicle"/>
    <n v="6"/>
    <x v="1"/>
    <x v="0"/>
    <n v="2"/>
    <x v="1"/>
    <s v="KAHIHI TOWN"/>
    <s v="KAHIHI"/>
    <s v="UG"/>
    <n v="2"/>
    <s v="Work"/>
    <s v="KAMPALA TOWN"/>
    <s v="KAMPALA"/>
    <s v="UG"/>
    <n v="8"/>
    <s v="Others"/>
    <x v="19"/>
    <n v="200000"/>
    <n v="340"/>
    <x v="3"/>
    <n v="6"/>
    <x v="2"/>
    <n v="5"/>
    <s v="Professional"/>
    <n v="2"/>
    <x v="3"/>
    <n v="5"/>
    <n v="4"/>
    <n v="2"/>
    <n v="2"/>
    <n v="2"/>
    <s v="Y"/>
    <n v="2000"/>
    <x v="1"/>
  </r>
  <r>
    <s v="23.10.19"/>
    <d v="1899-12-30T09:30:00"/>
    <s v="UAG 917R"/>
    <s v="D"/>
    <n v="2"/>
    <s v="Road Vehicle"/>
    <n v="6"/>
    <x v="1"/>
    <x v="0"/>
    <n v="2"/>
    <x v="1"/>
    <s v="KABALE TOWN"/>
    <s v="KABALE"/>
    <s v="UG"/>
    <n v="2"/>
    <s v="Work"/>
    <s v="MASAKA TOWN"/>
    <s v="MASAKA"/>
    <s v="UG"/>
    <n v="8"/>
    <s v="Others"/>
    <x v="19"/>
    <n v="80000"/>
    <n v="320"/>
    <x v="3"/>
    <n v="3"/>
    <x v="0"/>
    <n v="5"/>
    <s v="Professional"/>
    <n v="2"/>
    <x v="3"/>
    <n v="5"/>
    <n v="4"/>
    <n v="5"/>
    <n v="5"/>
    <n v="5"/>
    <s v="Y"/>
    <n v="2000"/>
    <x v="1"/>
  </r>
  <r>
    <s v="23.10.19"/>
    <d v="1899-12-30T08:53:00"/>
    <s v="UAQ 755R"/>
    <s v="D"/>
    <n v="2"/>
    <s v="Road Vehicle"/>
    <n v="6"/>
    <x v="1"/>
    <x v="0"/>
    <n v="2"/>
    <x v="1"/>
    <s v="KABALE TOWN"/>
    <s v="KABALE"/>
    <s v="UG"/>
    <n v="2"/>
    <s v="Work"/>
    <s v="HOIMA TOWN"/>
    <s v="HOIMA"/>
    <s v="UG"/>
    <n v="8"/>
    <s v="Others"/>
    <x v="19"/>
    <n v="200000"/>
    <n v="600"/>
    <x v="3"/>
    <n v="8"/>
    <x v="2"/>
    <n v="10"/>
    <s v="Other"/>
    <n v="2"/>
    <x v="3"/>
    <n v="5"/>
    <n v="4"/>
    <n v="2"/>
    <n v="2"/>
    <n v="2"/>
    <s v="Y"/>
    <n v="2000"/>
    <x v="1"/>
  </r>
  <r>
    <s v="23.10.19"/>
    <d v="1899-12-30T08:00:00"/>
    <s v="UAZ 672E"/>
    <s v="D"/>
    <n v="2"/>
    <s v="Road Vehicle"/>
    <n v="6"/>
    <x v="1"/>
    <x v="0"/>
    <n v="2"/>
    <x v="1"/>
    <s v="KABALE TOWN"/>
    <s v="KABALE"/>
    <s v="UG"/>
    <n v="2"/>
    <s v="Work"/>
    <s v="KAMWENGE TOWN"/>
    <s v="KAMWENGE"/>
    <s v="UG"/>
    <n v="8"/>
    <s v="Others"/>
    <x v="19"/>
    <n v="200000"/>
    <n v="320"/>
    <x v="3"/>
    <n v="5"/>
    <x v="2"/>
    <n v="5"/>
    <s v="Professional"/>
    <n v="2"/>
    <x v="3"/>
    <n v="5"/>
    <n v="4"/>
    <n v="5"/>
    <n v="5"/>
    <n v="5"/>
    <s v="Y"/>
    <n v="2000"/>
    <x v="1"/>
  </r>
  <r>
    <s v="23.10.19"/>
    <d v="1899-12-30T08:19:00"/>
    <m/>
    <s v="P"/>
    <n v="2"/>
    <s v="Road Vehicle"/>
    <n v="6"/>
    <x v="1"/>
    <x v="0"/>
    <n v="2"/>
    <x v="1"/>
    <s v="KABALE TOWN"/>
    <s v="KABALE"/>
    <s v="UG"/>
    <n v="1"/>
    <s v="Home"/>
    <s v="KAMWENGE TOWN"/>
    <s v="KAMWENGE"/>
    <s v="UG"/>
    <n v="8"/>
    <s v="Others"/>
    <x v="13"/>
    <n v="30000"/>
    <n v="320"/>
    <x v="3"/>
    <n v="5"/>
    <x v="2"/>
    <n v="6"/>
    <s v="Businessman"/>
    <n v="1"/>
    <x v="2"/>
    <n v="2"/>
    <n v="2"/>
    <n v="2"/>
    <n v="2"/>
    <n v="2"/>
    <s v="Y"/>
    <n v="0"/>
    <x v="3"/>
  </r>
  <r>
    <s v="23.10.19"/>
    <d v="1899-12-30T07:04:00"/>
    <s v="UBE 711N"/>
    <s v="D"/>
    <n v="2"/>
    <s v="Road Vehicle"/>
    <n v="6"/>
    <x v="1"/>
    <x v="0"/>
    <n v="2"/>
    <x v="1"/>
    <s v="KISORO TOWN"/>
    <s v="KISORO"/>
    <s v="UG"/>
    <n v="2"/>
    <s v="Work"/>
    <s v="KAMPALA TOWN"/>
    <s v="KAMPALA"/>
    <s v="UG"/>
    <n v="2"/>
    <s v="Work"/>
    <x v="2"/>
    <n v="380000"/>
    <n v="480"/>
    <x v="3"/>
    <n v="12"/>
    <x v="2"/>
    <n v="5"/>
    <s v="Professional"/>
    <n v="5"/>
    <x v="4"/>
    <n v="2"/>
    <n v="1"/>
    <n v="2"/>
    <n v="2"/>
    <n v="1"/>
    <s v="Y"/>
    <n v="5000"/>
    <x v="2"/>
  </r>
  <r>
    <s v="21.10.19"/>
    <d v="1899-12-30T16:16:00"/>
    <m/>
    <s v="P"/>
    <n v="2"/>
    <s v="Road Vehicle"/>
    <n v="7"/>
    <x v="7"/>
    <x v="1"/>
    <n v="2"/>
    <x v="1"/>
    <s v="KISORO TOWN"/>
    <s v="KISORO"/>
    <s v="UG"/>
    <n v="2"/>
    <s v="Work"/>
    <s v="MBARARA TOWN"/>
    <s v="MBARARA"/>
    <s v="UG"/>
    <n v="4"/>
    <s v="Commercial"/>
    <x v="17"/>
    <n v="30000"/>
    <n v="280"/>
    <x v="3"/>
    <n v="6"/>
    <x v="2"/>
    <n v="6"/>
    <s v="Businessman"/>
    <n v="3"/>
    <x v="1"/>
    <n v="2"/>
    <n v="2"/>
    <n v="3"/>
    <n v="2"/>
    <n v="2"/>
    <s v="Y"/>
    <n v="0"/>
    <x v="3"/>
  </r>
  <r>
    <s v="21.10.19"/>
    <d v="1899-12-30T17:29:00"/>
    <m/>
    <s v="D"/>
    <n v="2"/>
    <s v="Road Vehicle"/>
    <n v="7"/>
    <x v="7"/>
    <x v="0"/>
    <n v="2"/>
    <x v="1"/>
    <s v="KIZIRIZI"/>
    <s v="KABALE"/>
    <s v="UG"/>
    <n v="2"/>
    <s v="Work"/>
    <s v="KABALE TOWN"/>
    <s v="KABALE"/>
    <s v="UG"/>
    <n v="4"/>
    <s v="Commercial"/>
    <x v="17"/>
    <n v="30000"/>
    <n v="21"/>
    <x v="4"/>
    <n v="1"/>
    <x v="1"/>
    <n v="7"/>
    <s v="Farmer"/>
    <n v="3"/>
    <x v="1"/>
    <n v="3"/>
    <n v="3"/>
    <n v="4"/>
    <n v="5"/>
    <n v="3"/>
    <s v="Y"/>
    <n v="1000"/>
    <x v="4"/>
  </r>
  <r>
    <s v="21.10.19"/>
    <d v="1899-12-30T18:22:00"/>
    <m/>
    <s v="P"/>
    <n v="2"/>
    <s v="Road Vehicle"/>
    <n v="4"/>
    <x v="3"/>
    <x v="1"/>
    <n v="2"/>
    <x v="1"/>
    <s v="RUBANDA TOWN"/>
    <s v="RUBANDA"/>
    <s v="UG"/>
    <n v="4"/>
    <s v="Commercial"/>
    <s v="KABALE TOWN"/>
    <s v="KABALE"/>
    <s v="UG"/>
    <n v="1"/>
    <s v="Home"/>
    <x v="3"/>
    <n v="5000"/>
    <n v="51"/>
    <x v="5"/>
    <n v="1"/>
    <x v="1"/>
    <n v="6"/>
    <s v="Businessman"/>
    <n v="4"/>
    <x v="0"/>
    <n v="3"/>
    <n v="2"/>
    <n v="2"/>
    <n v="2"/>
    <n v="2"/>
    <s v="Y"/>
    <n v="1500"/>
    <x v="4"/>
  </r>
  <r>
    <s v="21.10.19"/>
    <d v="1899-12-30T16:19:00"/>
    <m/>
    <s v="P"/>
    <n v="2"/>
    <s v="Road Vehicle"/>
    <n v="4"/>
    <x v="3"/>
    <x v="1"/>
    <n v="2"/>
    <x v="1"/>
    <s v="KASHERERE"/>
    <s v="KABALE"/>
    <s v="UG"/>
    <n v="1"/>
    <s v="Home"/>
    <s v="KABALE TOWN"/>
    <s v="KABALE"/>
    <s v="UG"/>
    <n v="4"/>
    <s v="Commercial"/>
    <x v="0"/>
    <n v="3000"/>
    <n v="42"/>
    <x v="5"/>
    <n v="2"/>
    <x v="0"/>
    <n v="6"/>
    <s v="Businessman"/>
    <n v="4"/>
    <x v="0"/>
    <n v="3"/>
    <n v="2"/>
    <n v="3"/>
    <n v="4"/>
    <n v="2"/>
    <s v="Y"/>
    <n v="2000"/>
    <x v="1"/>
  </r>
  <r>
    <s v="21.10.19"/>
    <d v="1899-12-30T18:47:00"/>
    <m/>
    <s v="P"/>
    <n v="2"/>
    <s v="Road Vehicle"/>
    <n v="4"/>
    <x v="3"/>
    <x v="1"/>
    <n v="2"/>
    <x v="1"/>
    <s v="KABALE TOWN"/>
    <s v="KABALE"/>
    <s v="UG"/>
    <n v="1"/>
    <s v="Home"/>
    <s v="MBARARA TOWN"/>
    <s v="MBARARA"/>
    <s v="UG"/>
    <n v="4"/>
    <s v="Commercial"/>
    <x v="0"/>
    <n v="10000"/>
    <n v="136"/>
    <x v="2"/>
    <n v="2"/>
    <x v="0"/>
    <n v="7"/>
    <s v="Farmer"/>
    <n v="1"/>
    <x v="2"/>
    <n v="5"/>
    <n v="1"/>
    <n v="1"/>
    <n v="1"/>
    <n v="1"/>
    <s v="Y"/>
    <n v="1000"/>
    <x v="4"/>
  </r>
  <r>
    <s v="22.10.19"/>
    <d v="1899-12-30T08:57:00"/>
    <s v="UAX 296X"/>
    <s v="D"/>
    <n v="2"/>
    <s v="Road Vehicle"/>
    <n v="4"/>
    <x v="3"/>
    <x v="1"/>
    <n v="2"/>
    <x v="1"/>
    <s v="RUKUNGIRI TOWN"/>
    <s v="RUKUNGIRI"/>
    <s v="UG"/>
    <n v="1"/>
    <s v="Home"/>
    <s v="KAMPALA TOWN"/>
    <s v="KAMPALA"/>
    <s v="UG"/>
    <n v="2"/>
    <s v="Work"/>
    <x v="1"/>
    <n v="400000"/>
    <n v="470"/>
    <x v="3"/>
    <n v="5"/>
    <x v="2"/>
    <n v="4"/>
    <s v="Office Worker"/>
    <n v="2"/>
    <x v="3"/>
    <n v="1"/>
    <n v="5"/>
    <n v="5"/>
    <n v="5"/>
    <n v="1"/>
    <s v="Y"/>
    <n v="1000"/>
    <x v="4"/>
  </r>
  <r>
    <s v="22.10.19"/>
    <d v="1899-12-30T09:10:00"/>
    <m/>
    <s v="P"/>
    <n v="2"/>
    <s v="Road Vehicle"/>
    <n v="4"/>
    <x v="3"/>
    <x v="1"/>
    <n v="2"/>
    <x v="1"/>
    <m/>
    <m/>
    <s v="UG"/>
    <n v="1"/>
    <s v="Home"/>
    <m/>
    <m/>
    <s v="UG"/>
    <n v="2"/>
    <s v="Work"/>
    <x v="1"/>
    <m/>
    <m/>
    <x v="0"/>
    <m/>
    <x v="3"/>
    <n v="5"/>
    <s v="Professional"/>
    <n v="5"/>
    <x v="4"/>
    <n v="5"/>
    <n v="1"/>
    <n v="1"/>
    <n v="5"/>
    <n v="5"/>
    <s v="Y"/>
    <n v="2000"/>
    <x v="1"/>
  </r>
  <r>
    <s v="22.10.19"/>
    <d v="1899-12-30T09:17:00"/>
    <m/>
    <s v="P"/>
    <n v="2"/>
    <s v="Road Vehicle"/>
    <n v="4"/>
    <x v="3"/>
    <x v="1"/>
    <n v="2"/>
    <x v="1"/>
    <s v="KATUNA"/>
    <s v="KABALE"/>
    <s v="UG"/>
    <n v="1"/>
    <s v="Home"/>
    <s v="KABALE TOWN"/>
    <s v="KABALE"/>
    <s v="UG"/>
    <n v="4"/>
    <s v="Commercial"/>
    <x v="0"/>
    <n v="4000"/>
    <n v="2"/>
    <x v="0"/>
    <n v="0.33"/>
    <x v="3"/>
    <n v="2"/>
    <s v="Manual Labour"/>
    <n v="2"/>
    <x v="3"/>
    <n v="1"/>
    <n v="1"/>
    <n v="5"/>
    <n v="5"/>
    <n v="1"/>
    <s v="Y"/>
    <n v="6000"/>
    <x v="2"/>
  </r>
  <r>
    <s v="22.10.19"/>
    <d v="1899-12-30T09:46:00"/>
    <s v="UAH 160Q"/>
    <s v="D"/>
    <n v="2"/>
    <s v="Road Vehicle"/>
    <n v="4"/>
    <x v="3"/>
    <x v="1"/>
    <n v="2"/>
    <x v="1"/>
    <s v="MUKIGUGWE"/>
    <s v="KABALE"/>
    <s v="UG"/>
    <n v="1"/>
    <s v="Home"/>
    <s v="KABALE TOWN"/>
    <s v="KABALE"/>
    <s v="UG"/>
    <n v="2"/>
    <s v="Work"/>
    <x v="1"/>
    <n v="10000"/>
    <n v="3"/>
    <x v="0"/>
    <n v="0.25"/>
    <x v="3"/>
    <n v="5"/>
    <s v="Professional"/>
    <n v="2"/>
    <x v="3"/>
    <n v="1"/>
    <n v="1"/>
    <n v="1"/>
    <n v="5"/>
    <n v="5"/>
    <s v="Y"/>
    <n v="1000"/>
    <x v="4"/>
  </r>
  <r>
    <s v="22.10.19"/>
    <d v="1899-12-30T10:44:00"/>
    <m/>
    <s v="P"/>
    <n v="2"/>
    <s v="Road Vehicle"/>
    <n v="4"/>
    <x v="3"/>
    <x v="1"/>
    <n v="2"/>
    <x v="1"/>
    <s v="KABALE TOWN"/>
    <s v="KABALE"/>
    <s v="UG"/>
    <n v="1"/>
    <s v="Home"/>
    <s v="KAGADI TOWN"/>
    <s v="KAGADI"/>
    <s v="UG"/>
    <n v="4"/>
    <s v="Commercial"/>
    <x v="0"/>
    <n v="40000"/>
    <n v="240"/>
    <x v="3"/>
    <n v="6"/>
    <x v="2"/>
    <n v="1"/>
    <s v="Unemployed"/>
    <n v="1"/>
    <x v="2"/>
    <n v="5"/>
    <n v="5"/>
    <n v="1"/>
    <n v="4"/>
    <n v="5"/>
    <s v="Y"/>
    <n v="1000"/>
    <x v="4"/>
  </r>
  <r>
    <s v="22.10.19"/>
    <d v="1899-12-30T11:27:00"/>
    <m/>
    <s v="P"/>
    <n v="2"/>
    <s v="Road Vehicle"/>
    <n v="4"/>
    <x v="3"/>
    <x v="1"/>
    <n v="2"/>
    <x v="1"/>
    <s v="MUKIGUGWE"/>
    <s v="KABALE"/>
    <s v="UG"/>
    <n v="1"/>
    <s v="Home"/>
    <s v="KABALE TOWN"/>
    <s v="KABALE"/>
    <s v="UG"/>
    <n v="2"/>
    <s v="Work"/>
    <x v="1"/>
    <n v="3000"/>
    <n v="20"/>
    <x v="4"/>
    <n v="0.25"/>
    <x v="3"/>
    <n v="2"/>
    <s v="Manual Labour"/>
    <n v="1"/>
    <x v="2"/>
    <n v="5"/>
    <n v="5"/>
    <n v="5"/>
    <n v="1"/>
    <n v="5"/>
    <s v="Y"/>
    <n v="3000"/>
    <x v="0"/>
  </r>
  <r>
    <s v="22.10.19"/>
    <d v="1899-12-30T11:46:00"/>
    <m/>
    <s v="P"/>
    <n v="2"/>
    <s v="Road Vehicle"/>
    <n v="4"/>
    <x v="3"/>
    <x v="1"/>
    <n v="2"/>
    <x v="1"/>
    <s v="MUKO"/>
    <s v="KABALE"/>
    <s v="UG"/>
    <n v="1"/>
    <s v="Home"/>
    <s v="KABALE TOWN"/>
    <s v="KABALE"/>
    <s v="UG"/>
    <n v="2"/>
    <s v="Work"/>
    <x v="1"/>
    <n v="7000"/>
    <n v="32"/>
    <x v="4"/>
    <n v="1"/>
    <x v="1"/>
    <n v="5"/>
    <s v="Professional"/>
    <n v="2"/>
    <x v="3"/>
    <n v="5"/>
    <n v="1"/>
    <n v="1"/>
    <n v="5"/>
    <n v="4"/>
    <s v="Y"/>
    <n v="0"/>
    <x v="3"/>
  </r>
  <r>
    <s v="22.10.19"/>
    <d v="1899-12-30T13:10:00"/>
    <s v="UAU 731B"/>
    <s v="D"/>
    <n v="2"/>
    <s v="Road Vehicle"/>
    <n v="4"/>
    <x v="3"/>
    <x v="1"/>
    <n v="2"/>
    <x v="1"/>
    <s v="KABALE TOWN"/>
    <s v="KABALE"/>
    <s v="UG"/>
    <n v="4"/>
    <s v="Commercial"/>
    <s v="HOIMA TOWN"/>
    <s v="HOIMA"/>
    <s v="UG"/>
    <n v="4"/>
    <s v="Commercial"/>
    <x v="18"/>
    <n v="300000"/>
    <n v="470"/>
    <x v="3"/>
    <m/>
    <x v="3"/>
    <n v="5"/>
    <s v="Professional"/>
    <n v="2"/>
    <x v="3"/>
    <n v="1"/>
    <n v="5"/>
    <n v="5"/>
    <n v="5"/>
    <n v="5"/>
    <s v="Y"/>
    <n v="0"/>
    <x v="3"/>
  </r>
  <r>
    <s v="22.10.19"/>
    <d v="1899-12-30T13:16:00"/>
    <m/>
    <s v="P"/>
    <n v="2"/>
    <s v="Road Vehicle"/>
    <n v="4"/>
    <x v="3"/>
    <x v="1"/>
    <n v="2"/>
    <x v="1"/>
    <s v="KABALE TOWN"/>
    <s v="KABALE"/>
    <s v="UG"/>
    <n v="1"/>
    <s v="Home"/>
    <s v="BWINDI TOWN"/>
    <s v="BWINDI"/>
    <s v="UG"/>
    <n v="1"/>
    <s v="Home"/>
    <x v="16"/>
    <n v="40000"/>
    <n v="470"/>
    <x v="3"/>
    <n v="5"/>
    <x v="2"/>
    <n v="1"/>
    <s v="Unemployed"/>
    <n v="1"/>
    <x v="2"/>
    <n v="5"/>
    <n v="5"/>
    <n v="5"/>
    <n v="5"/>
    <n v="1"/>
    <s v="Y"/>
    <n v="0"/>
    <x v="3"/>
  </r>
  <r>
    <s v="22.10.19"/>
    <d v="1899-12-30T14:26:00"/>
    <m/>
    <s v="P"/>
    <n v="2"/>
    <s v="Road Vehicle"/>
    <n v="4"/>
    <x v="3"/>
    <x v="1"/>
    <n v="2"/>
    <x v="1"/>
    <s v="LUKINDA"/>
    <s v="KABALE"/>
    <s v="UG"/>
    <n v="1"/>
    <s v="Home"/>
    <s v="KABALE TOWN"/>
    <s v="KABALE"/>
    <s v="UG"/>
    <n v="4"/>
    <s v="Commercial"/>
    <x v="0"/>
    <n v="4000"/>
    <n v="32"/>
    <x v="4"/>
    <n v="0.33"/>
    <x v="3"/>
    <n v="3"/>
    <s v="Artisan/Domestic"/>
    <n v="1"/>
    <x v="2"/>
    <n v="4"/>
    <n v="1"/>
    <n v="1"/>
    <n v="1"/>
    <n v="1"/>
    <s v="Y"/>
    <n v="0"/>
    <x v="3"/>
  </r>
  <r>
    <s v="22.10.19"/>
    <d v="1899-12-30T14:30:00"/>
    <m/>
    <s v="P"/>
    <n v="2"/>
    <s v="Road Vehicle"/>
    <n v="4"/>
    <x v="3"/>
    <x v="1"/>
    <n v="2"/>
    <x v="1"/>
    <s v="MUKIGUGWE"/>
    <s v="KABALE"/>
    <s v="UG"/>
    <n v="1"/>
    <s v="Home"/>
    <s v="KABALE TOWN"/>
    <s v="KABALE"/>
    <s v="UG"/>
    <n v="2"/>
    <s v="Work"/>
    <x v="1"/>
    <n v="10000"/>
    <n v="3"/>
    <x v="0"/>
    <n v="0.28000000000000003"/>
    <x v="3"/>
    <n v="4"/>
    <s v="Office Worker"/>
    <n v="2"/>
    <x v="3"/>
    <n v="1"/>
    <n v="1"/>
    <n v="1"/>
    <n v="1"/>
    <n v="5"/>
    <s v="Y"/>
    <n v="2000"/>
    <x v="1"/>
  </r>
  <r>
    <s v="22.10.19"/>
    <d v="1899-12-30T14:46:00"/>
    <m/>
    <s v="P"/>
    <n v="2"/>
    <s v="Road Vehicle"/>
    <n v="4"/>
    <x v="3"/>
    <x v="1"/>
    <n v="2"/>
    <x v="1"/>
    <s v="KABALE TOWN"/>
    <s v="KABALE"/>
    <s v="UG"/>
    <n v="4"/>
    <s v="Commercial"/>
    <s v="KABALE TOWN"/>
    <s v="KABALE"/>
    <s v="UG"/>
    <n v="4"/>
    <s v="Commercial"/>
    <x v="18"/>
    <n v="1000"/>
    <n v="1"/>
    <x v="0"/>
    <n v="0.06"/>
    <x v="3"/>
    <n v="6"/>
    <s v="Businessman"/>
    <n v="2"/>
    <x v="3"/>
    <n v="1"/>
    <n v="1"/>
    <n v="1"/>
    <n v="1"/>
    <n v="1"/>
    <s v="Y"/>
    <n v="2000"/>
    <x v="1"/>
  </r>
  <r>
    <s v="22.10.19"/>
    <d v="1899-12-30T15:17:00"/>
    <m/>
    <s v="P"/>
    <n v="2"/>
    <s v="Road Vehicle"/>
    <n v="4"/>
    <x v="3"/>
    <x v="1"/>
    <n v="2"/>
    <x v="1"/>
    <s v="KABALE TOWN"/>
    <s v="KABALE"/>
    <s v="UG"/>
    <n v="4"/>
    <s v="Commercial"/>
    <s v="KAMWENGE TOWN"/>
    <s v="KAMWENGE"/>
    <s v="UG"/>
    <n v="4"/>
    <s v="Commercial"/>
    <x v="18"/>
    <n v="10000"/>
    <n v="130"/>
    <x v="2"/>
    <n v="3"/>
    <x v="0"/>
    <n v="5"/>
    <s v="Professional"/>
    <n v="2"/>
    <x v="3"/>
    <n v="5"/>
    <n v="1"/>
    <n v="5"/>
    <n v="5"/>
    <n v="5"/>
    <s v="Y"/>
    <n v="1000"/>
    <x v="4"/>
  </r>
  <r>
    <s v="22.10.19"/>
    <d v="1899-12-30T14:23:00"/>
    <m/>
    <s v="P"/>
    <n v="2"/>
    <s v="Road Vehicle"/>
    <n v="4"/>
    <x v="3"/>
    <x v="1"/>
    <n v="2"/>
    <x v="1"/>
    <s v="KABALE TOWN"/>
    <s v="KABALE"/>
    <s v="UG"/>
    <n v="2"/>
    <s v="Work"/>
    <s v="KAMENZI TOWN"/>
    <s v="KAMENZI"/>
    <s v="UG"/>
    <n v="3"/>
    <s v="Study"/>
    <x v="33"/>
    <n v="10000"/>
    <n v="90"/>
    <x v="1"/>
    <n v="2"/>
    <x v="0"/>
    <n v="8"/>
    <s v="Student"/>
    <n v="1"/>
    <x v="2"/>
    <n v="2"/>
    <n v="4"/>
    <n v="1"/>
    <n v="2"/>
    <n v="2"/>
    <s v="Y"/>
    <n v="0"/>
    <x v="3"/>
  </r>
  <r>
    <s v="22.10.19"/>
    <d v="1899-12-30T10:40:00"/>
    <m/>
    <s v="P"/>
    <n v="2"/>
    <s v="Road Vehicle"/>
    <n v="4"/>
    <x v="3"/>
    <x v="1"/>
    <n v="2"/>
    <x v="1"/>
    <s v="KABALE TOWN"/>
    <s v="KABALE"/>
    <s v="UG"/>
    <n v="2"/>
    <s v="Work"/>
    <s v="KITWE "/>
    <s v="MBARARA"/>
    <s v="UG"/>
    <n v="1"/>
    <s v="Home"/>
    <x v="4"/>
    <n v="15000"/>
    <n v="150"/>
    <x v="2"/>
    <n v="2"/>
    <x v="0"/>
    <n v="6"/>
    <s v="Businessman"/>
    <n v="1"/>
    <x v="2"/>
    <n v="2"/>
    <n v="2"/>
    <n v="2"/>
    <n v="2"/>
    <n v="2"/>
    <s v="Y"/>
    <n v="0"/>
    <x v="3"/>
  </r>
  <r>
    <s v="22.10.19"/>
    <d v="1899-12-30T10:21:00"/>
    <m/>
    <s v="P"/>
    <n v="2"/>
    <s v="Road Vehicle"/>
    <n v="4"/>
    <x v="3"/>
    <x v="1"/>
    <n v="2"/>
    <x v="1"/>
    <s v="KABALE TOWN"/>
    <s v="KABALE"/>
    <s v="UG"/>
    <n v="2"/>
    <s v="Work"/>
    <s v="RUKUNGIRI TOWN"/>
    <s v="RUKUNGIRI"/>
    <s v="UG"/>
    <n v="1"/>
    <s v="Home"/>
    <x v="4"/>
    <n v="15000"/>
    <n v="150"/>
    <x v="2"/>
    <n v="2"/>
    <x v="0"/>
    <n v="6"/>
    <s v="Businessman"/>
    <n v="1"/>
    <x v="2"/>
    <n v="2"/>
    <n v="1"/>
    <n v="2"/>
    <n v="2"/>
    <n v="2"/>
    <s v="Y"/>
    <n v="0"/>
    <x v="3"/>
  </r>
  <r>
    <s v="23.10.19"/>
    <d v="1899-12-30T07:42:00"/>
    <m/>
    <s v="P"/>
    <n v="2"/>
    <s v="Road Vehicle"/>
    <n v="4"/>
    <x v="3"/>
    <x v="1"/>
    <n v="2"/>
    <x v="1"/>
    <s v="KABALE TOWN"/>
    <s v="KABALE"/>
    <s v="UG"/>
    <n v="6"/>
    <s v="Leisure/Social"/>
    <s v="HOIMA TOWN"/>
    <s v="HOIMA"/>
    <s v="UG"/>
    <n v="6"/>
    <s v="Leisure/Social"/>
    <x v="7"/>
    <n v="50000"/>
    <n v="480"/>
    <x v="3"/>
    <n v="7"/>
    <x v="2"/>
    <n v="1"/>
    <s v="Unemployed"/>
    <n v="1"/>
    <x v="2"/>
    <n v="1"/>
    <n v="1"/>
    <n v="1"/>
    <n v="5"/>
    <n v="5"/>
    <s v="Y"/>
    <n v="0"/>
    <x v="3"/>
  </r>
  <r>
    <s v="23.10.19"/>
    <d v="1899-12-30T07:58:00"/>
    <m/>
    <s v="D"/>
    <n v="2"/>
    <s v="Road Vehicle"/>
    <n v="4"/>
    <x v="3"/>
    <x v="1"/>
    <n v="2"/>
    <x v="1"/>
    <s v="LUKINDA"/>
    <s v="KABALE"/>
    <s v="UG"/>
    <n v="1"/>
    <s v="Home"/>
    <s v="KABALE TOWN"/>
    <s v="KABALE"/>
    <s v="UG"/>
    <n v="2"/>
    <s v="Work"/>
    <x v="1"/>
    <n v="10000"/>
    <n v="40"/>
    <x v="5"/>
    <n v="0.5"/>
    <x v="4"/>
    <n v="4"/>
    <s v="Office Worker"/>
    <n v="2"/>
    <x v="3"/>
    <n v="1"/>
    <n v="1"/>
    <n v="1"/>
    <n v="5"/>
    <n v="5"/>
    <s v="Y"/>
    <n v="2000"/>
    <x v="1"/>
  </r>
  <r>
    <s v="23.10.19"/>
    <d v="1899-12-30T08:24:00"/>
    <m/>
    <s v="P"/>
    <n v="2"/>
    <s v="Road Vehicle"/>
    <n v="4"/>
    <x v="3"/>
    <x v="1"/>
    <n v="2"/>
    <x v="1"/>
    <s v="KABALE TOWN"/>
    <s v="KABALE"/>
    <s v="UG"/>
    <n v="1"/>
    <s v="Home"/>
    <s v="HOIMA TOWN"/>
    <s v="HOIMA"/>
    <s v="UG"/>
    <n v="6"/>
    <s v="Leisure/Social"/>
    <x v="8"/>
    <n v="40000"/>
    <n v="487"/>
    <x v="3"/>
    <n v="7"/>
    <x v="2"/>
    <n v="2"/>
    <s v="Manual Labour"/>
    <n v="2"/>
    <x v="3"/>
    <n v="1"/>
    <n v="1"/>
    <n v="5"/>
    <n v="5"/>
    <n v="5"/>
    <s v="Y"/>
    <n v="2000"/>
    <x v="1"/>
  </r>
  <r>
    <s v="23.10.19"/>
    <d v="1899-12-30T09:00:00"/>
    <m/>
    <s v="P"/>
    <n v="2"/>
    <s v="Road Vehicle"/>
    <n v="4"/>
    <x v="3"/>
    <x v="1"/>
    <n v="2"/>
    <x v="1"/>
    <s v="KABALE TOWN"/>
    <s v="KABALE"/>
    <s v="UG"/>
    <n v="1"/>
    <s v="Home"/>
    <s v="KAMPALA TOWN"/>
    <s v="KAMPALA"/>
    <s v="UG"/>
    <n v="4"/>
    <s v="Commercial"/>
    <x v="0"/>
    <n v="30000"/>
    <n v="340"/>
    <x v="3"/>
    <n v="5"/>
    <x v="2"/>
    <n v="6"/>
    <s v="Businessman"/>
    <n v="3"/>
    <x v="1"/>
    <n v="1"/>
    <n v="1"/>
    <n v="5"/>
    <n v="5"/>
    <n v="5"/>
    <s v="Y"/>
    <n v="5000"/>
    <x v="2"/>
  </r>
  <r>
    <s v="23.10.19"/>
    <d v="1899-12-30T09:17:00"/>
    <m/>
    <s v="P"/>
    <n v="2"/>
    <s v="Road Vehicle"/>
    <n v="4"/>
    <x v="3"/>
    <x v="1"/>
    <n v="2"/>
    <x v="1"/>
    <s v="KABALE TOWN"/>
    <s v="KABALE"/>
    <s v="UG"/>
    <n v="1"/>
    <s v="Home"/>
    <s v="HOIMA TOWN"/>
    <s v="HOIMA"/>
    <s v="UG"/>
    <n v="2"/>
    <s v="Work"/>
    <x v="1"/>
    <n v="50000"/>
    <n v="448"/>
    <x v="3"/>
    <n v="7"/>
    <x v="2"/>
    <n v="6"/>
    <s v="Businessman"/>
    <n v="2"/>
    <x v="3"/>
    <n v="1"/>
    <n v="5"/>
    <n v="5"/>
    <n v="5"/>
    <n v="5"/>
    <s v="Y"/>
    <n v="3000"/>
    <x v="0"/>
  </r>
  <r>
    <s v="23.10.19"/>
    <d v="1899-12-30T13:26:00"/>
    <m/>
    <s v="P"/>
    <n v="2"/>
    <s v="Road Vehicle"/>
    <n v="4"/>
    <x v="3"/>
    <x v="1"/>
    <n v="2"/>
    <x v="1"/>
    <s v="KABALE TOWN"/>
    <s v="KABALE"/>
    <s v="UG"/>
    <n v="1"/>
    <s v="Home"/>
    <s v="MBARARA TOWN"/>
    <s v="MBARARA"/>
    <s v="UG"/>
    <n v="6"/>
    <s v="Leisure/Social"/>
    <x v="8"/>
    <n v="15000"/>
    <n v="139"/>
    <x v="2"/>
    <n v="1.5"/>
    <x v="1"/>
    <n v="6"/>
    <s v="Businessman"/>
    <n v="3"/>
    <x v="1"/>
    <n v="1"/>
    <n v="1"/>
    <n v="1"/>
    <n v="1"/>
    <n v="1"/>
    <s v="Y"/>
    <n v="2000"/>
    <x v="1"/>
  </r>
  <r>
    <s v="23.10.19"/>
    <d v="1899-12-30T14:29:00"/>
    <m/>
    <s v="P"/>
    <n v="2"/>
    <s v="Road Vehicle"/>
    <n v="4"/>
    <x v="3"/>
    <x v="1"/>
    <n v="2"/>
    <x v="1"/>
    <s v="KABALE TOWN"/>
    <s v="KABALE"/>
    <s v="UG"/>
    <n v="1"/>
    <s v="Home"/>
    <s v="KITWE "/>
    <s v="MBARARA"/>
    <s v="UG"/>
    <n v="4"/>
    <s v="Commercial"/>
    <x v="0"/>
    <n v="15000"/>
    <n v="40"/>
    <x v="5"/>
    <n v="0.66"/>
    <x v="4"/>
    <n v="6"/>
    <s v="Businessman"/>
    <n v="2"/>
    <x v="3"/>
    <n v="1"/>
    <n v="1"/>
    <n v="1"/>
    <n v="1"/>
    <n v="1"/>
    <s v="Y"/>
    <n v="5000"/>
    <x v="2"/>
  </r>
  <r>
    <s v="23.10.19"/>
    <d v="1899-12-30T15:50:00"/>
    <m/>
    <s v="P"/>
    <n v="2"/>
    <s v="Road Vehicle"/>
    <n v="4"/>
    <x v="3"/>
    <x v="1"/>
    <n v="2"/>
    <x v="1"/>
    <s v="KABALE TOWN"/>
    <s v="KABALE"/>
    <s v="UG"/>
    <n v="2"/>
    <s v="Work"/>
    <s v="MBARARA TOWN"/>
    <s v="MBARARA"/>
    <s v="UG"/>
    <n v="1"/>
    <s v="Home"/>
    <x v="4"/>
    <n v="10000"/>
    <n v="95"/>
    <x v="1"/>
    <n v="2.5"/>
    <x v="0"/>
    <n v="6"/>
    <s v="Businessman"/>
    <n v="1"/>
    <x v="2"/>
    <n v="5"/>
    <n v="4"/>
    <n v="2"/>
    <n v="2"/>
    <n v="2"/>
    <s v="Y"/>
    <n v="0"/>
    <x v="3"/>
  </r>
  <r>
    <s v="23.10.19"/>
    <d v="1899-12-30T15:30:00"/>
    <m/>
    <s v="P"/>
    <n v="2"/>
    <s v="Road Vehicle"/>
    <n v="4"/>
    <x v="3"/>
    <x v="1"/>
    <n v="2"/>
    <x v="1"/>
    <s v="KABALE TOWN"/>
    <s v="KABALE"/>
    <s v="UG"/>
    <n v="2"/>
    <s v="Work"/>
    <s v="MUKO"/>
    <s v="KABALE"/>
    <s v="UG"/>
    <n v="1"/>
    <s v="Home"/>
    <x v="4"/>
    <n v="7000"/>
    <n v="48"/>
    <x v="5"/>
    <n v="1.5"/>
    <x v="1"/>
    <n v="6"/>
    <s v="Businessman"/>
    <n v="1"/>
    <x v="2"/>
    <n v="2"/>
    <n v="2"/>
    <n v="2"/>
    <n v="2"/>
    <n v="2"/>
    <s v="Y"/>
    <n v="0"/>
    <x v="3"/>
  </r>
  <r>
    <s v="23.10.19"/>
    <d v="1899-12-30T14:28:00"/>
    <m/>
    <s v="P"/>
    <n v="2"/>
    <s v="Road Vehicle"/>
    <n v="4"/>
    <x v="3"/>
    <x v="1"/>
    <n v="2"/>
    <x v="1"/>
    <s v="KABALE TOWN"/>
    <s v="KABALE"/>
    <s v="UG"/>
    <n v="2"/>
    <s v="Work"/>
    <s v="KASHERERE"/>
    <s v="KABALE"/>
    <s v="UG"/>
    <n v="1"/>
    <s v="Home"/>
    <x v="4"/>
    <n v="5000"/>
    <n v="45"/>
    <x v="5"/>
    <n v="1"/>
    <x v="1"/>
    <n v="6"/>
    <s v="Businessman"/>
    <n v="1"/>
    <x v="2"/>
    <n v="2"/>
    <n v="4"/>
    <n v="2"/>
    <n v="2"/>
    <n v="2"/>
    <s v="Y"/>
    <n v="0"/>
    <x v="3"/>
  </r>
  <r>
    <s v="23.10.19"/>
    <d v="1899-12-30T14:28:00"/>
    <m/>
    <s v="P"/>
    <n v="2"/>
    <s v="Road Vehicle"/>
    <n v="4"/>
    <x v="3"/>
    <x v="1"/>
    <n v="2"/>
    <x v="1"/>
    <s v="KABALE TOWN"/>
    <s v="KABALE"/>
    <s v="UG"/>
    <n v="2"/>
    <s v="Work"/>
    <s v="KASHERERE"/>
    <s v="KABALE"/>
    <s v="UG"/>
    <n v="1"/>
    <s v="Home"/>
    <x v="4"/>
    <n v="5000"/>
    <n v="45"/>
    <x v="5"/>
    <n v="1"/>
    <x v="1"/>
    <n v="6"/>
    <s v="Businessman"/>
    <n v="1"/>
    <x v="2"/>
    <n v="2"/>
    <n v="4"/>
    <n v="2"/>
    <n v="2"/>
    <n v="2"/>
    <s v="Y"/>
    <n v="0"/>
    <x v="3"/>
  </r>
  <r>
    <s v="23.10.19"/>
    <d v="1899-12-30T13:38:00"/>
    <m/>
    <s v="P"/>
    <n v="2"/>
    <s v="Road Vehicle"/>
    <n v="4"/>
    <x v="3"/>
    <x v="1"/>
    <n v="2"/>
    <x v="1"/>
    <s v="KABALE TOWN"/>
    <s v="KABALE"/>
    <s v="UG"/>
    <n v="2"/>
    <s v="Work"/>
    <s v="KABUYANDA TOWN"/>
    <s v="KABUYANDA"/>
    <s v="UG"/>
    <n v="1"/>
    <s v="Home"/>
    <x v="4"/>
    <n v="10000"/>
    <n v="95"/>
    <x v="1"/>
    <n v="2.5"/>
    <x v="0"/>
    <n v="6"/>
    <s v="Businessman"/>
    <n v="1"/>
    <x v="2"/>
    <n v="5"/>
    <n v="2"/>
    <n v="1"/>
    <n v="2"/>
    <n v="2"/>
    <s v="Y"/>
    <n v="0"/>
    <x v="3"/>
  </r>
  <r>
    <s v="23.10.19"/>
    <d v="1899-12-30T12:28:00"/>
    <m/>
    <s v="P"/>
    <n v="2"/>
    <s v="Road Vehicle"/>
    <n v="4"/>
    <x v="3"/>
    <x v="1"/>
    <n v="2"/>
    <x v="1"/>
    <s v="KABALE TOWN"/>
    <s v="KABALE"/>
    <s v="UG"/>
    <n v="2"/>
    <s v="Work"/>
    <s v="NTUNGAMO TOWN"/>
    <s v="NTUNGAMO"/>
    <s v="UG"/>
    <n v="1"/>
    <s v="Home"/>
    <x v="4"/>
    <n v="7000"/>
    <n v="68"/>
    <x v="5"/>
    <n v="1.5"/>
    <x v="1"/>
    <n v="6"/>
    <s v="Businessman"/>
    <n v="1"/>
    <x v="2"/>
    <n v="2"/>
    <n v="2"/>
    <n v="2"/>
    <n v="2"/>
    <n v="2"/>
    <s v="Y"/>
    <n v="0"/>
    <x v="3"/>
  </r>
  <r>
    <s v="23.10.19"/>
    <d v="1899-12-30T07:42:00"/>
    <m/>
    <s v="P"/>
    <n v="2"/>
    <s v="Road Vehicle"/>
    <n v="4"/>
    <x v="3"/>
    <x v="1"/>
    <n v="2"/>
    <x v="1"/>
    <s v="KABALE TOWN"/>
    <s v="KABALE"/>
    <s v="UG"/>
    <n v="1"/>
    <s v="Home"/>
    <s v="KAMENZI TOWN"/>
    <s v="KAMENZI"/>
    <s v="UG"/>
    <n v="4"/>
    <s v="Commercial"/>
    <x v="0"/>
    <n v="10000"/>
    <n v="95"/>
    <x v="1"/>
    <n v="2.5"/>
    <x v="0"/>
    <n v="6"/>
    <s v="Businessman"/>
    <n v="1"/>
    <x v="2"/>
    <n v="2"/>
    <n v="2"/>
    <n v="2"/>
    <n v="5"/>
    <n v="5"/>
    <s v="Y"/>
    <n v="0"/>
    <x v="3"/>
  </r>
  <r>
    <s v="23.10.19"/>
    <d v="1899-12-30T07:28:00"/>
    <m/>
    <s v="P"/>
    <n v="2"/>
    <s v="Road Vehicle"/>
    <n v="4"/>
    <x v="3"/>
    <x v="1"/>
    <n v="2"/>
    <x v="1"/>
    <s v="KABALE TOWN"/>
    <s v="KABALE"/>
    <s v="UG"/>
    <n v="2"/>
    <s v="Work"/>
    <s v="LUBAALE TOWN"/>
    <s v="LUBAALE"/>
    <s v="UG"/>
    <n v="1"/>
    <s v="Home"/>
    <x v="4"/>
    <n v="5000"/>
    <n v="30"/>
    <x v="4"/>
    <n v="1"/>
    <x v="1"/>
    <n v="6"/>
    <s v="Businessman"/>
    <n v="1"/>
    <x v="2"/>
    <n v="2"/>
    <n v="4"/>
    <n v="1"/>
    <n v="2"/>
    <n v="2"/>
    <s v="Y"/>
    <n v="0"/>
    <x v="3"/>
  </r>
  <r>
    <s v="23.10.19"/>
    <d v="1899-12-30T07:00:00"/>
    <s v="UAR 322R"/>
    <s v="D"/>
    <n v="2"/>
    <s v="Road Vehicle"/>
    <n v="4"/>
    <x v="3"/>
    <x v="1"/>
    <n v="2"/>
    <x v="1"/>
    <s v="KABALE TOWN"/>
    <s v="KABALE"/>
    <s v="UG"/>
    <n v="2"/>
    <s v="Work"/>
    <s v="LUKINDA"/>
    <s v="KABALE"/>
    <s v="UG"/>
    <n v="8"/>
    <s v="Others"/>
    <x v="19"/>
    <n v="30000"/>
    <n v="15"/>
    <x v="6"/>
    <n v="0.83"/>
    <x v="4"/>
    <n v="10"/>
    <s v="Other"/>
    <n v="1"/>
    <x v="2"/>
    <n v="5"/>
    <n v="4"/>
    <n v="2"/>
    <n v="5"/>
    <n v="2"/>
    <s v="Y"/>
    <n v="0"/>
    <x v="3"/>
  </r>
  <r>
    <s v="21.10.19"/>
    <d v="1899-12-30T16:56:00"/>
    <m/>
    <s v="P"/>
    <n v="2"/>
    <s v="Road Vehicle"/>
    <n v="4"/>
    <x v="3"/>
    <x v="0"/>
    <n v="2"/>
    <x v="1"/>
    <s v="MBARARA TOWN"/>
    <s v="MBARARA"/>
    <s v="UG"/>
    <n v="7"/>
    <s v="Hospital"/>
    <s v="KABALE TOWN"/>
    <s v="KABALE"/>
    <s v="UG"/>
    <n v="1"/>
    <s v="Home"/>
    <x v="27"/>
    <n v="15000"/>
    <n v="136"/>
    <x v="2"/>
    <n v="3"/>
    <x v="0"/>
    <n v="7"/>
    <s v="Farmer"/>
    <n v="2"/>
    <x v="3"/>
    <n v="1"/>
    <n v="1"/>
    <n v="1"/>
    <n v="2"/>
    <n v="2"/>
    <s v="Y"/>
    <n v="0"/>
    <x v="3"/>
  </r>
  <r>
    <s v="21.10.19"/>
    <d v="1899-12-30T15:38:00"/>
    <s v="UBE 709R"/>
    <s v="D"/>
    <n v="2"/>
    <s v="Road Vehicle"/>
    <n v="4"/>
    <x v="3"/>
    <x v="0"/>
    <n v="2"/>
    <x v="1"/>
    <s v="LUKINDA"/>
    <s v="KABALE"/>
    <s v="UG"/>
    <n v="2"/>
    <s v="Work"/>
    <s v="KABALE TOWN"/>
    <s v="KABALE"/>
    <s v="UG"/>
    <n v="1"/>
    <s v="Home"/>
    <x v="4"/>
    <n v="7000"/>
    <n v="54"/>
    <x v="5"/>
    <n v="1"/>
    <x v="1"/>
    <n v="6"/>
    <s v="Businessman"/>
    <n v="2"/>
    <x v="3"/>
    <n v="4"/>
    <n v="4"/>
    <n v="4"/>
    <n v="3"/>
    <n v="4"/>
    <s v="Y"/>
    <n v="0"/>
    <x v="3"/>
  </r>
  <r>
    <s v="21.10.19"/>
    <d v="1899-12-30T14:09:00"/>
    <m/>
    <s v="P"/>
    <n v="2"/>
    <s v="Road Vehicle"/>
    <n v="4"/>
    <x v="3"/>
    <x v="0"/>
    <n v="2"/>
    <x v="1"/>
    <s v="KATUNA"/>
    <s v="KABALE"/>
    <s v="UG"/>
    <n v="1"/>
    <s v="Home"/>
    <s v="KABALE TOWN"/>
    <s v="KABALE"/>
    <s v="UG"/>
    <n v="4"/>
    <s v="Commercial"/>
    <x v="0"/>
    <n v="4000"/>
    <n v="40"/>
    <x v="5"/>
    <n v="0.33"/>
    <x v="3"/>
    <n v="7"/>
    <s v="Farmer"/>
    <n v="2"/>
    <x v="3"/>
    <n v="2"/>
    <n v="2"/>
    <n v="2"/>
    <n v="1"/>
    <n v="1"/>
    <s v="Y"/>
    <n v="1000"/>
    <x v="4"/>
  </r>
  <r>
    <s v="21.10.19"/>
    <d v="1899-12-30T17:26:00"/>
    <m/>
    <s v="P"/>
    <n v="2"/>
    <s v="Road Vehicle"/>
    <n v="4"/>
    <x v="3"/>
    <x v="0"/>
    <n v="2"/>
    <x v="1"/>
    <s v="KABALE TOWN"/>
    <s v="KABALE"/>
    <s v="UG"/>
    <n v="1"/>
    <s v="Home"/>
    <s v="ISINGIRO TOWN"/>
    <s v="ISINGIRO"/>
    <s v="UG"/>
    <n v="4"/>
    <s v="Commercial"/>
    <x v="0"/>
    <n v="30000"/>
    <n v="480"/>
    <x v="3"/>
    <n v="4"/>
    <x v="2"/>
    <n v="5"/>
    <s v="Professional"/>
    <n v="2"/>
    <x v="3"/>
    <n v="5"/>
    <n v="5"/>
    <n v="5"/>
    <n v="5"/>
    <n v="5"/>
    <s v="Y"/>
    <n v="1000"/>
    <x v="4"/>
  </r>
  <r>
    <s v="21.10.19"/>
    <d v="1899-12-30T16:49:00"/>
    <m/>
    <s v="P"/>
    <n v="2"/>
    <s v="Road Vehicle"/>
    <n v="4"/>
    <x v="3"/>
    <x v="0"/>
    <n v="2"/>
    <x v="1"/>
    <s v="KABALE TOWN"/>
    <s v="KABALE"/>
    <s v="UG"/>
    <n v="1"/>
    <s v="Home"/>
    <s v="ISINGIRO TOWN"/>
    <s v="ISINGIRO"/>
    <s v="UG"/>
    <n v="2"/>
    <s v="Work"/>
    <x v="1"/>
    <n v="30000"/>
    <n v="470"/>
    <x v="3"/>
    <n v="5"/>
    <x v="2"/>
    <n v="4"/>
    <s v="Office Worker"/>
    <n v="2"/>
    <x v="3"/>
    <n v="5"/>
    <n v="5"/>
    <n v="5"/>
    <n v="5"/>
    <n v="5"/>
    <s v="Y"/>
    <n v="5000"/>
    <x v="2"/>
  </r>
  <r>
    <s v="21.10.19"/>
    <d v="1899-12-30T16:37:00"/>
    <s v="UAR 717C"/>
    <s v="D"/>
    <n v="2"/>
    <s v="Road Vehicle"/>
    <n v="4"/>
    <x v="3"/>
    <x v="0"/>
    <n v="2"/>
    <x v="1"/>
    <s v="KABALE TOWN"/>
    <s v="KABALE"/>
    <s v="UG"/>
    <n v="1"/>
    <s v="Home"/>
    <s v="MBARARA TOWN"/>
    <s v="MBARARA"/>
    <s v="UG"/>
    <n v="4"/>
    <s v="Commercial"/>
    <x v="0"/>
    <n v="100000"/>
    <n v="270"/>
    <x v="3"/>
    <n v="2"/>
    <x v="0"/>
    <n v="2"/>
    <s v="Manual Labour"/>
    <n v="2"/>
    <x v="3"/>
    <n v="1"/>
    <n v="1"/>
    <n v="1"/>
    <n v="1"/>
    <n v="1"/>
    <s v="Y"/>
    <n v="1000"/>
    <x v="4"/>
  </r>
  <r>
    <s v="22.10.19"/>
    <d v="1899-12-30T09:31:00"/>
    <m/>
    <s v="P"/>
    <n v="2"/>
    <s v="Road Vehicle"/>
    <n v="4"/>
    <x v="3"/>
    <x v="0"/>
    <n v="2"/>
    <x v="1"/>
    <s v="KABALE TOWN"/>
    <s v="KABALE"/>
    <s v="UG"/>
    <n v="1"/>
    <s v="Home"/>
    <s v="RUKINDO"/>
    <s v="KIBALE"/>
    <s v="UG"/>
    <n v="1"/>
    <s v="Home"/>
    <x v="16"/>
    <n v="50000"/>
    <n v="340"/>
    <x v="3"/>
    <n v="6"/>
    <x v="2"/>
    <n v="1"/>
    <s v="Unemployed"/>
    <n v="1"/>
    <x v="2"/>
    <n v="5"/>
    <n v="3"/>
    <n v="1"/>
    <n v="1"/>
    <n v="5"/>
    <s v="Y"/>
    <n v="1000"/>
    <x v="4"/>
  </r>
  <r>
    <s v="22.10.19"/>
    <d v="1899-12-30T10:39:00"/>
    <s v="UBF 388Y"/>
    <s v="D"/>
    <n v="2"/>
    <s v="Road Vehicle"/>
    <n v="4"/>
    <x v="3"/>
    <x v="0"/>
    <n v="2"/>
    <x v="1"/>
    <s v="KABALE TOWN"/>
    <s v="KABALE"/>
    <s v="UG"/>
    <n v="4"/>
    <s v="Commercial"/>
    <s v="KAGADI TOWN"/>
    <s v="KAGADI"/>
    <s v="UG"/>
    <n v="4"/>
    <s v="Commercial"/>
    <x v="18"/>
    <n v="200000"/>
    <n v="240"/>
    <x v="3"/>
    <n v="4"/>
    <x v="2"/>
    <n v="5"/>
    <s v="Professional"/>
    <n v="2"/>
    <x v="3"/>
    <n v="5"/>
    <n v="5"/>
    <n v="5"/>
    <n v="5"/>
    <n v="1"/>
    <s v="Y"/>
    <n v="2000"/>
    <x v="1"/>
  </r>
  <r>
    <s v="22.10.19"/>
    <d v="1899-12-30T11:02:00"/>
    <m/>
    <s v="D"/>
    <n v="2"/>
    <s v="Road Vehicle"/>
    <n v="4"/>
    <x v="3"/>
    <x v="0"/>
    <n v="2"/>
    <x v="1"/>
    <s v="KATUNA"/>
    <s v="KABALE"/>
    <s v="UG"/>
    <n v="1"/>
    <s v="Home"/>
    <s v="NTUNGAMO TOWN"/>
    <s v="NTUNGAMO"/>
    <s v="UG"/>
    <n v="2"/>
    <s v="Work"/>
    <x v="1"/>
    <n v="120000"/>
    <n v="109"/>
    <x v="2"/>
    <n v="1.5"/>
    <x v="1"/>
    <n v="4"/>
    <s v="Office Worker"/>
    <n v="2"/>
    <x v="3"/>
    <n v="1"/>
    <n v="1"/>
    <n v="1"/>
    <n v="1"/>
    <n v="1"/>
    <s v="Y"/>
    <n v="5000"/>
    <x v="2"/>
  </r>
  <r>
    <s v="22.10.19"/>
    <d v="1899-12-30T11:36:00"/>
    <m/>
    <s v="P"/>
    <n v="2"/>
    <s v="Road Vehicle"/>
    <n v="4"/>
    <x v="3"/>
    <x v="0"/>
    <n v="2"/>
    <x v="1"/>
    <s v="LUBAALE"/>
    <s v="KABALE"/>
    <s v="UG"/>
    <n v="1"/>
    <s v="Home"/>
    <s v="KABALE TOWN"/>
    <s v="KABALE"/>
    <s v="UG"/>
    <n v="3"/>
    <s v="Study"/>
    <x v="25"/>
    <n v="5000"/>
    <n v="32"/>
    <x v="4"/>
    <n v="0.33"/>
    <x v="3"/>
    <n v="5"/>
    <s v="Professional"/>
    <n v="2"/>
    <x v="3"/>
    <n v="1"/>
    <n v="1"/>
    <n v="5"/>
    <n v="5"/>
    <n v="5"/>
    <s v="Y"/>
    <n v="2000"/>
    <x v="1"/>
  </r>
  <r>
    <s v="22.10.19"/>
    <d v="1899-12-30T12:44:00"/>
    <s v="UAX 513Q"/>
    <s v="D"/>
    <n v="2"/>
    <s v="Road Vehicle"/>
    <n v="4"/>
    <x v="3"/>
    <x v="0"/>
    <n v="2"/>
    <x v="1"/>
    <s v="KABALE TOWN"/>
    <s v="KABALE"/>
    <s v="UG"/>
    <n v="4"/>
    <s v="Commercial"/>
    <s v="FORTPORTAL TOWN"/>
    <s v="FORTPORTAL"/>
    <s v="UG"/>
    <n v="4"/>
    <s v="Commercial"/>
    <x v="18"/>
    <n v="100000"/>
    <n v="347"/>
    <x v="3"/>
    <n v="5"/>
    <x v="2"/>
    <n v="5"/>
    <s v="Professional"/>
    <n v="2"/>
    <x v="3"/>
    <n v="5"/>
    <n v="5"/>
    <n v="5"/>
    <n v="5"/>
    <n v="5"/>
    <s v="Y"/>
    <n v="1000"/>
    <x v="4"/>
  </r>
  <r>
    <s v="22.10.19"/>
    <d v="1899-12-30T13:48:00"/>
    <s v="UAY 513G"/>
    <s v="D"/>
    <n v="2"/>
    <s v="Road Vehicle"/>
    <n v="4"/>
    <x v="3"/>
    <x v="0"/>
    <n v="2"/>
    <x v="1"/>
    <s v="KASINZI"/>
    <s v="KABALE"/>
    <s v="UG"/>
    <n v="4"/>
    <s v="Commercial"/>
    <s v="KABALE TOWN"/>
    <s v="KABALE"/>
    <s v="UG"/>
    <n v="4"/>
    <s v="Commercial"/>
    <x v="18"/>
    <n v="20000"/>
    <n v="90"/>
    <x v="1"/>
    <n v="1"/>
    <x v="1"/>
    <n v="5"/>
    <s v="Professional"/>
    <n v="2"/>
    <x v="3"/>
    <n v="5"/>
    <n v="4"/>
    <n v="5"/>
    <n v="5"/>
    <n v="1"/>
    <s v="Y"/>
    <n v="2000"/>
    <x v="1"/>
  </r>
  <r>
    <s v="22.10.19"/>
    <d v="1899-12-30T16:49:00"/>
    <m/>
    <s v="P"/>
    <n v="2"/>
    <s v="Road Vehicle"/>
    <n v="4"/>
    <x v="3"/>
    <x v="0"/>
    <n v="2"/>
    <x v="1"/>
    <s v="LUBANYA"/>
    <s v="KABALE"/>
    <s v="UG"/>
    <n v="1"/>
    <s v="Home"/>
    <s v="FORTPORTAL TOWN"/>
    <s v="FORTPORTAL"/>
    <s v="UG"/>
    <n v="6"/>
    <s v="Leisure/Social"/>
    <x v="8"/>
    <n v="40000"/>
    <n v="480"/>
    <x v="3"/>
    <n v="5"/>
    <x v="2"/>
    <n v="1"/>
    <s v="Unemployed"/>
    <n v="1"/>
    <x v="2"/>
    <n v="1"/>
    <n v="1"/>
    <n v="5"/>
    <n v="5"/>
    <n v="5"/>
    <s v="Y"/>
    <n v="1000"/>
    <x v="4"/>
  </r>
  <r>
    <s v="22.10.19"/>
    <d v="1899-12-30T18:57:00"/>
    <s v="UBE 119P"/>
    <s v="D"/>
    <n v="2"/>
    <s v="Road Vehicle"/>
    <n v="4"/>
    <x v="3"/>
    <x v="0"/>
    <n v="2"/>
    <x v="1"/>
    <s v="KABALE TOWN"/>
    <s v="KABALE"/>
    <s v="UG"/>
    <n v="4"/>
    <s v="Commercial"/>
    <s v="IBANDA TOWN"/>
    <s v="IBANDA"/>
    <s v="UG"/>
    <n v="4"/>
    <s v="Commercial"/>
    <x v="18"/>
    <n v="70000"/>
    <n v="240"/>
    <x v="3"/>
    <n v="2"/>
    <x v="0"/>
    <n v="5"/>
    <s v="Professional"/>
    <n v="2"/>
    <x v="3"/>
    <n v="1"/>
    <n v="1"/>
    <n v="1"/>
    <n v="1"/>
    <n v="1"/>
    <s v="Y"/>
    <n v="1000"/>
    <x v="4"/>
  </r>
  <r>
    <s v="22.10.19"/>
    <d v="1899-12-30T10:30:00"/>
    <s v="UAZ 672E"/>
    <s v="D"/>
    <n v="2"/>
    <s v="Road Vehicle"/>
    <n v="4"/>
    <x v="3"/>
    <x v="0"/>
    <n v="2"/>
    <x v="1"/>
    <s v="KABALE TOWN"/>
    <s v="KABALE"/>
    <s v="UG"/>
    <n v="2"/>
    <s v="Work"/>
    <s v="KITWE "/>
    <s v="MBARARA"/>
    <s v="UG"/>
    <n v="1"/>
    <s v="Home"/>
    <x v="4"/>
    <n v="100000"/>
    <n v="150"/>
    <x v="2"/>
    <n v="2"/>
    <x v="0"/>
    <n v="5"/>
    <s v="Professional"/>
    <n v="1"/>
    <x v="2"/>
    <n v="2"/>
    <n v="4"/>
    <n v="1"/>
    <n v="2"/>
    <n v="2"/>
    <s v="Y"/>
    <n v="1000"/>
    <x v="4"/>
  </r>
  <r>
    <s v="23.10.19"/>
    <d v="1899-12-30T08:53:00"/>
    <m/>
    <s v="D"/>
    <n v="2"/>
    <s v="Road Vehicle"/>
    <n v="4"/>
    <x v="3"/>
    <x v="0"/>
    <n v="2"/>
    <x v="1"/>
    <s v="KABALE TOWN"/>
    <s v="KABALE"/>
    <s v="UG"/>
    <n v="4"/>
    <s v="Commercial"/>
    <s v="HOIMA TOWN"/>
    <s v="HOIMA"/>
    <s v="UG"/>
    <n v="4"/>
    <s v="Commercial"/>
    <x v="18"/>
    <n v="200000"/>
    <n v="480"/>
    <x v="3"/>
    <n v="7"/>
    <x v="2"/>
    <n v="5"/>
    <s v="Professional"/>
    <n v="2"/>
    <x v="3"/>
    <n v="5"/>
    <n v="1"/>
    <n v="1"/>
    <n v="5"/>
    <n v="2"/>
    <s v="Y"/>
    <n v="2000"/>
    <x v="1"/>
  </r>
  <r>
    <s v="23.10.19"/>
    <d v="1899-12-30T10:58:00"/>
    <m/>
    <s v="P"/>
    <n v="2"/>
    <s v="Road Vehicle"/>
    <n v="4"/>
    <x v="3"/>
    <x v="0"/>
    <n v="2"/>
    <x v="1"/>
    <s v="KABALE TOWN"/>
    <s v="KABALE"/>
    <s v="UG"/>
    <n v="1"/>
    <s v="Home"/>
    <s v="RUKUNGIRI TOWN"/>
    <s v="RUKUNGIRI"/>
    <s v="UG"/>
    <n v="4"/>
    <s v="Commercial"/>
    <x v="0"/>
    <n v="30000"/>
    <n v="121"/>
    <x v="2"/>
    <n v="2"/>
    <x v="0"/>
    <n v="5"/>
    <s v="Professional"/>
    <n v="3"/>
    <x v="1"/>
    <n v="5"/>
    <n v="5"/>
    <n v="5"/>
    <n v="5"/>
    <n v="5"/>
    <s v="Y"/>
    <n v="5000"/>
    <x v="2"/>
  </r>
  <r>
    <s v="23.10.19"/>
    <d v="1899-12-30T11:20:00"/>
    <m/>
    <s v="P"/>
    <n v="2"/>
    <s v="Road Vehicle"/>
    <n v="4"/>
    <x v="3"/>
    <x v="0"/>
    <n v="2"/>
    <x v="1"/>
    <s v="KABALE TOWN"/>
    <s v="KABALE"/>
    <s v="UG"/>
    <n v="1"/>
    <s v="Home"/>
    <s v="KARUGUUZA"/>
    <s v="KIBALE"/>
    <s v="UG"/>
    <n v="4"/>
    <s v="Commercial"/>
    <x v="0"/>
    <n v="70000"/>
    <n v="361"/>
    <x v="3"/>
    <n v="6"/>
    <x v="2"/>
    <n v="6"/>
    <s v="Businessman"/>
    <n v="3"/>
    <x v="1"/>
    <n v="5"/>
    <n v="5"/>
    <n v="5"/>
    <n v="5"/>
    <n v="5"/>
    <s v="Y"/>
    <n v="1000"/>
    <x v="4"/>
  </r>
  <r>
    <s v="23.10.19"/>
    <d v="1899-12-30T11:32:00"/>
    <m/>
    <s v="P"/>
    <n v="2"/>
    <s v="Road Vehicle"/>
    <n v="4"/>
    <x v="3"/>
    <x v="0"/>
    <n v="2"/>
    <x v="1"/>
    <s v="KABALE TOWN"/>
    <s v="KABALE"/>
    <s v="UG"/>
    <n v="1"/>
    <s v="Home"/>
    <s v="KISORO TOWN"/>
    <s v="KISORO"/>
    <s v="UG"/>
    <n v="4"/>
    <s v="Commercial"/>
    <x v="0"/>
    <n v="10000"/>
    <n v="140"/>
    <x v="2"/>
    <n v="2"/>
    <x v="0"/>
    <n v="2"/>
    <s v="Manual Labour"/>
    <n v="2"/>
    <x v="3"/>
    <n v="1"/>
    <n v="1"/>
    <n v="1"/>
    <n v="1"/>
    <n v="1"/>
    <s v="Y"/>
    <n v="1000"/>
    <x v="4"/>
  </r>
  <r>
    <s v="23.10.19"/>
    <d v="1899-12-30T11:45:00"/>
    <m/>
    <s v="D"/>
    <n v="2"/>
    <s v="Road Vehicle"/>
    <n v="4"/>
    <x v="3"/>
    <x v="0"/>
    <n v="2"/>
    <x v="1"/>
    <s v="KABALE TOWN"/>
    <s v="KABALE"/>
    <s v="UG"/>
    <n v="4"/>
    <s v="Commercial"/>
    <s v="MBARARA TOWN"/>
    <s v="MBARARA"/>
    <s v="UG"/>
    <n v="4"/>
    <s v="Commercial"/>
    <x v="18"/>
    <n v="50000"/>
    <n v="142"/>
    <x v="2"/>
    <n v="2"/>
    <x v="0"/>
    <n v="5"/>
    <s v="Professional"/>
    <n v="2"/>
    <x v="3"/>
    <n v="1"/>
    <n v="1"/>
    <n v="1"/>
    <n v="1"/>
    <n v="1"/>
    <s v="Y"/>
    <n v="5000"/>
    <x v="2"/>
  </r>
  <r>
    <s v="23.10.19"/>
    <d v="1899-12-30T14:55:00"/>
    <m/>
    <s v="D"/>
    <n v="2"/>
    <s v="Road Vehicle"/>
    <n v="4"/>
    <x v="3"/>
    <x v="0"/>
    <n v="2"/>
    <x v="1"/>
    <s v="KABALE TOWN"/>
    <s v="KABALE"/>
    <s v="UG"/>
    <n v="1"/>
    <s v="Home"/>
    <s v="FORTPORTAL TOWN"/>
    <s v="FORTPORTAL"/>
    <s v="UG"/>
    <n v="6"/>
    <s v="Leisure/Social"/>
    <x v="8"/>
    <n v="200000"/>
    <n v="312"/>
    <x v="3"/>
    <n v="4"/>
    <x v="2"/>
    <n v="2"/>
    <s v="Manual Labour"/>
    <n v="2"/>
    <x v="3"/>
    <n v="5"/>
    <n v="5"/>
    <n v="5"/>
    <n v="5"/>
    <n v="5"/>
    <s v="Y"/>
    <n v="2000"/>
    <x v="1"/>
  </r>
  <r>
    <s v="23.10.19"/>
    <d v="1899-12-30T15:40:00"/>
    <s v="UAZ 562X"/>
    <s v="D"/>
    <n v="2"/>
    <s v="Road Vehicle"/>
    <n v="4"/>
    <x v="3"/>
    <x v="0"/>
    <n v="2"/>
    <x v="1"/>
    <s v="KABALE TOWN"/>
    <s v="KABALE"/>
    <s v="UG"/>
    <n v="2"/>
    <s v="Work"/>
    <s v="NAMUNUKA TOWN"/>
    <s v="NAMUNUKA"/>
    <s v="UG"/>
    <n v="8"/>
    <s v="Others"/>
    <x v="19"/>
    <n v="70000"/>
    <n v="95"/>
    <x v="1"/>
    <n v="2.5"/>
    <x v="0"/>
    <n v="10"/>
    <s v="Other"/>
    <n v="1"/>
    <x v="2"/>
    <n v="5"/>
    <n v="4"/>
    <n v="5"/>
    <n v="5"/>
    <n v="5"/>
    <s v="Y"/>
    <n v="1000"/>
    <x v="4"/>
  </r>
  <r>
    <s v="23.10.19"/>
    <d v="1899-12-30T15:18:00"/>
    <s v="UAQ 302J"/>
    <s v="D"/>
    <n v="2"/>
    <s v="Road Vehicle"/>
    <n v="4"/>
    <x v="3"/>
    <x v="0"/>
    <n v="2"/>
    <x v="1"/>
    <s v="KABALE TOWN"/>
    <s v="KABALE"/>
    <s v="UG"/>
    <n v="2"/>
    <s v="Work"/>
    <s v="MUKO"/>
    <s v="KABALE"/>
    <s v="UG"/>
    <n v="8"/>
    <s v="Others"/>
    <x v="19"/>
    <n v="70000"/>
    <n v="48"/>
    <x v="5"/>
    <n v="1.5"/>
    <x v="1"/>
    <n v="10"/>
    <s v="Other"/>
    <n v="1"/>
    <x v="2"/>
    <n v="5"/>
    <n v="4"/>
    <n v="5"/>
    <n v="5"/>
    <n v="5"/>
    <s v="Y"/>
    <n v="0"/>
    <x v="3"/>
  </r>
  <r>
    <s v="23.10.19"/>
    <d v="1899-12-30T14:10:00"/>
    <s v="UAM 810Z"/>
    <s v="D"/>
    <n v="2"/>
    <s v="Road Vehicle"/>
    <n v="4"/>
    <x v="3"/>
    <x v="0"/>
    <n v="2"/>
    <x v="1"/>
    <s v="KABALE TOWN"/>
    <s v="KABALE"/>
    <s v="UG"/>
    <n v="2"/>
    <s v="Work"/>
    <s v="KASHERERE"/>
    <s v="KABALE"/>
    <s v="UG"/>
    <n v="1"/>
    <s v="Home"/>
    <x v="4"/>
    <n v="70000"/>
    <n v="45"/>
    <x v="5"/>
    <n v="1"/>
    <x v="1"/>
    <n v="10"/>
    <s v="Other"/>
    <n v="1"/>
    <x v="2"/>
    <n v="5"/>
    <n v="4"/>
    <n v="5"/>
    <n v="5"/>
    <n v="5"/>
    <s v="Y"/>
    <n v="0"/>
    <x v="3"/>
  </r>
  <r>
    <s v="23.10.19"/>
    <d v="1899-12-30T13:09:00"/>
    <s v="UAS 136V"/>
    <s v="D"/>
    <n v="2"/>
    <s v="Road Vehicle"/>
    <n v="4"/>
    <x v="3"/>
    <x v="0"/>
    <n v="2"/>
    <x v="1"/>
    <s v="KABALE TOWN"/>
    <s v="KABALE"/>
    <s v="UG"/>
    <n v="2"/>
    <s v="Work"/>
    <s v="KABUYANDA TOWN"/>
    <s v="KABUYANDA"/>
    <s v="UG"/>
    <n v="8"/>
    <s v="Others"/>
    <x v="19"/>
    <n v="80000"/>
    <n v="95"/>
    <x v="1"/>
    <n v="2.5"/>
    <x v="0"/>
    <n v="5"/>
    <s v="Professional"/>
    <n v="2"/>
    <x v="3"/>
    <n v="5"/>
    <n v="5"/>
    <n v="5"/>
    <n v="5"/>
    <n v="5"/>
    <s v="Y"/>
    <n v="2000"/>
    <x v="1"/>
  </r>
  <r>
    <s v="23.10.19"/>
    <d v="1899-12-30T12:10:00"/>
    <s v="UAM 807C"/>
    <s v="D"/>
    <n v="2"/>
    <s v="Road Vehicle"/>
    <n v="4"/>
    <x v="3"/>
    <x v="0"/>
    <n v="2"/>
    <x v="1"/>
    <s v="KABALE TOWN"/>
    <s v="KABALE"/>
    <s v="UG"/>
    <n v="2"/>
    <s v="Work"/>
    <s v="NTUNGAMO TOWN"/>
    <s v="NTUNGAMO"/>
    <s v="UG"/>
    <n v="8"/>
    <s v="Others"/>
    <x v="19"/>
    <n v="70000"/>
    <n v="68"/>
    <x v="5"/>
    <n v="1.5"/>
    <x v="1"/>
    <n v="10"/>
    <s v="Other"/>
    <n v="2"/>
    <x v="3"/>
    <n v="5"/>
    <n v="5"/>
    <n v="5"/>
    <n v="5"/>
    <n v="5"/>
    <s v="Y"/>
    <n v="0"/>
    <x v="3"/>
  </r>
  <r>
    <s v="23.10.19"/>
    <d v="1899-12-30T11:09:00"/>
    <s v="UAX 587B"/>
    <s v="D"/>
    <n v="2"/>
    <s v="Road Vehicle"/>
    <n v="4"/>
    <x v="3"/>
    <x v="0"/>
    <n v="2"/>
    <x v="1"/>
    <s v="KABALE TOWN"/>
    <s v="KABALE"/>
    <s v="UG"/>
    <n v="2"/>
    <s v="Work"/>
    <s v="NAKIGUGWE"/>
    <s v="KABALE"/>
    <s v="UG"/>
    <n v="8"/>
    <s v="Others"/>
    <x v="19"/>
    <n v="30000"/>
    <n v="12"/>
    <x v="6"/>
    <n v="0.66"/>
    <x v="4"/>
    <n v="10"/>
    <s v="Other"/>
    <n v="1"/>
    <x v="2"/>
    <n v="5"/>
    <n v="4"/>
    <n v="5"/>
    <n v="2"/>
    <n v="2"/>
    <s v="Y"/>
    <n v="1000"/>
    <x v="4"/>
  </r>
  <r>
    <s v="23.10.19"/>
    <d v="1899-12-30T07:35:00"/>
    <s v="UBE 083C"/>
    <s v="D"/>
    <n v="2"/>
    <s v="Road Vehicle"/>
    <n v="4"/>
    <x v="3"/>
    <x v="0"/>
    <n v="2"/>
    <x v="1"/>
    <s v="KABALE TOWN"/>
    <s v="KABALE"/>
    <s v="UG"/>
    <n v="2"/>
    <s v="Work"/>
    <s v="KAMENZI TOWN"/>
    <s v="KAMENZI"/>
    <s v="UG"/>
    <n v="8"/>
    <s v="Others"/>
    <x v="19"/>
    <n v="70000"/>
    <n v="95"/>
    <x v="1"/>
    <n v="2.5"/>
    <x v="0"/>
    <n v="5"/>
    <s v="Professional"/>
    <n v="1"/>
    <x v="2"/>
    <n v="5"/>
    <n v="5"/>
    <n v="5"/>
    <n v="5"/>
    <n v="5"/>
    <s v="Y"/>
    <n v="1000"/>
    <x v="4"/>
  </r>
  <r>
    <s v="23.10.19"/>
    <d v="1899-12-30T07:20:00"/>
    <s v="UBF 472U"/>
    <s v="D"/>
    <n v="2"/>
    <s v="Road Vehicle"/>
    <n v="4"/>
    <x v="3"/>
    <x v="0"/>
    <n v="2"/>
    <x v="1"/>
    <s v="KABALE TOWN"/>
    <s v="KABALE"/>
    <s v="UG"/>
    <n v="2"/>
    <s v="Work"/>
    <s v="LUBAALE TOWN"/>
    <s v="LUBAALE"/>
    <s v="UG"/>
    <n v="8"/>
    <s v="Others"/>
    <x v="19"/>
    <n v="50000"/>
    <n v="30"/>
    <x v="4"/>
    <n v="1"/>
    <x v="1"/>
    <n v="6"/>
    <s v="Businessman"/>
    <n v="2"/>
    <x v="3"/>
    <n v="5"/>
    <n v="4"/>
    <n v="2"/>
    <n v="2"/>
    <n v="2"/>
    <s v="Y"/>
    <n v="2000"/>
    <x v="1"/>
  </r>
  <r>
    <s v="23.10.19"/>
    <d v="1899-12-30T07:08:00"/>
    <m/>
    <s v="P"/>
    <n v="2"/>
    <s v="Road Vehicle"/>
    <n v="4"/>
    <x v="3"/>
    <x v="0"/>
    <n v="2"/>
    <x v="1"/>
    <s v="KABALE TOWN"/>
    <s v="KABALE"/>
    <s v="UG"/>
    <n v="2"/>
    <s v="Work"/>
    <s v="LUKINDA"/>
    <s v="KABALE"/>
    <s v="UG"/>
    <n v="4"/>
    <s v="Commercial"/>
    <x v="17"/>
    <n v="4000"/>
    <n v="15"/>
    <x v="6"/>
    <n v="0.83"/>
    <x v="4"/>
    <n v="7"/>
    <s v="Farmer"/>
    <n v="1"/>
    <x v="2"/>
    <n v="2"/>
    <n v="4"/>
    <n v="1"/>
    <n v="2"/>
    <n v="1"/>
    <s v="Y"/>
    <n v="0"/>
    <x v="3"/>
  </r>
  <r>
    <s v="23.10.19"/>
    <d v="1899-12-30T08:32:00"/>
    <s v="UBB 413X"/>
    <s v="D"/>
    <n v="2"/>
    <s v="Road Vehicle"/>
    <n v="4"/>
    <x v="3"/>
    <x v="0"/>
    <n v="2"/>
    <x v="1"/>
    <s v="KABALE TOWN"/>
    <s v="KABALE"/>
    <s v="UG"/>
    <n v="1"/>
    <s v="Home"/>
    <s v="L. BUNYONYI"/>
    <s v="KABALE"/>
    <s v="UG"/>
    <n v="5"/>
    <s v="Tourism"/>
    <x v="20"/>
    <n v="30000"/>
    <n v="42"/>
    <x v="5"/>
    <m/>
    <x v="3"/>
    <n v="5"/>
    <s v="Professional"/>
    <n v="5"/>
    <x v="4"/>
    <n v="2"/>
    <n v="2"/>
    <n v="2"/>
    <n v="3"/>
    <n v="1"/>
    <s v="Y"/>
    <n v="4000"/>
    <x v="0"/>
  </r>
  <r>
    <s v="21.10.19"/>
    <d v="1899-12-30T17:37:00"/>
    <s v="UAD 108R"/>
    <s v="D"/>
    <n v="2"/>
    <s v="Road Vehicle"/>
    <n v="3"/>
    <x v="9"/>
    <x v="0"/>
    <n v="2"/>
    <x v="1"/>
    <s v="KINONI"/>
    <s v="KABALE"/>
    <s v="UG"/>
    <n v="2"/>
    <s v="Work"/>
    <s v="KABALE TOWN"/>
    <s v="KABALE"/>
    <s v="UG"/>
    <n v="1"/>
    <s v="Home"/>
    <x v="4"/>
    <n v="20000"/>
    <n v="20"/>
    <x v="4"/>
    <n v="1"/>
    <x v="1"/>
    <n v="7"/>
    <s v="Farmer"/>
    <n v="2"/>
    <x v="3"/>
    <n v="4"/>
    <n v="4"/>
    <n v="4"/>
    <n v="4"/>
    <n v="4"/>
    <s v="Y"/>
    <n v="500"/>
    <x v="3"/>
  </r>
  <r>
    <s v="21.10.19"/>
    <d v="1899-12-30T16:59:00"/>
    <s v="UAG371X"/>
    <s v="D"/>
    <n v="2"/>
    <s v="Road Vehicle"/>
    <n v="3"/>
    <x v="9"/>
    <x v="0"/>
    <n v="2"/>
    <x v="1"/>
    <s v="RUBANDA TOWN"/>
    <s v="RUBANDA"/>
    <s v="UG"/>
    <n v="4"/>
    <s v="Commercial"/>
    <s v="NTUNGAMO TOWN"/>
    <s v="NTUNGAMO"/>
    <s v="UG"/>
    <n v="4"/>
    <s v="Commercial"/>
    <x v="18"/>
    <n v="50000"/>
    <n v="126"/>
    <x v="2"/>
    <n v="3"/>
    <x v="0"/>
    <n v="6"/>
    <s v="Businessman"/>
    <n v="3"/>
    <x v="1"/>
    <n v="4"/>
    <n v="2"/>
    <n v="2"/>
    <n v="2"/>
    <n v="2"/>
    <s v="Y"/>
    <n v="1000"/>
    <x v="4"/>
  </r>
  <r>
    <s v="21.10.19"/>
    <d v="1899-12-30T16:12:00"/>
    <s v="UBF 910A"/>
    <s v="D"/>
    <n v="2"/>
    <s v="Road Vehicle"/>
    <n v="2"/>
    <x v="6"/>
    <x v="1"/>
    <n v="2"/>
    <x v="1"/>
    <s v="GORILLA CAMP"/>
    <s v="KABALE"/>
    <s v="UG"/>
    <n v="5"/>
    <s v="Tourism"/>
    <s v="KABALE TOWN"/>
    <s v="KABALE"/>
    <s v="UG"/>
    <n v="5"/>
    <s v="Tourism"/>
    <x v="31"/>
    <n v="20000"/>
    <n v="17"/>
    <x v="6"/>
    <n v="1"/>
    <x v="1"/>
    <n v="10"/>
    <s v="Other"/>
    <n v="5"/>
    <x v="4"/>
    <n v="1"/>
    <n v="1"/>
    <n v="1"/>
    <n v="1"/>
    <n v="1"/>
    <s v="Y"/>
    <n v="0"/>
    <x v="3"/>
  </r>
  <r>
    <s v="23.10.19"/>
    <d v="1899-12-30T07:08:00"/>
    <s v="UG 0443M"/>
    <s v="D"/>
    <n v="2"/>
    <s v="Road Vehicle"/>
    <n v="2"/>
    <x v="6"/>
    <x v="1"/>
    <n v="2"/>
    <x v="1"/>
    <s v="KABALE TOWN"/>
    <s v="KABALE"/>
    <s v="UG"/>
    <n v="1"/>
    <s v="Home"/>
    <s v="NTUNGAMO TOWN"/>
    <s v="NTUNGAMO"/>
    <s v="UG"/>
    <n v="7"/>
    <s v="Hospital"/>
    <x v="32"/>
    <n v="30000"/>
    <n v="74"/>
    <x v="1"/>
    <n v="1"/>
    <x v="1"/>
    <n v="5"/>
    <s v="Professional"/>
    <n v="5"/>
    <x v="4"/>
    <n v="2"/>
    <n v="1"/>
    <n v="1"/>
    <n v="1"/>
    <n v="1"/>
    <s v="Y"/>
    <n v="1000"/>
    <x v="4"/>
  </r>
  <r>
    <s v="23.10.19"/>
    <d v="1899-12-30T07:31:00"/>
    <s v="UG 4113T"/>
    <s v="D"/>
    <n v="2"/>
    <s v="Road Vehicle"/>
    <n v="2"/>
    <x v="6"/>
    <x v="1"/>
    <n v="2"/>
    <x v="1"/>
    <s v="BWINDI TOWN"/>
    <s v="BWINDI"/>
    <s v="UG"/>
    <n v="5"/>
    <s v="Tourism"/>
    <s v="KABALE TOWN"/>
    <s v="KABALE"/>
    <s v="UG"/>
    <n v="2"/>
    <s v="Work"/>
    <x v="35"/>
    <n v="20000"/>
    <n v="30"/>
    <x v="4"/>
    <n v="1"/>
    <x v="1"/>
    <n v="4"/>
    <s v="Office Worker"/>
    <n v="5"/>
    <x v="4"/>
    <n v="1"/>
    <n v="1"/>
    <n v="1"/>
    <n v="1"/>
    <n v="1"/>
    <s v="Y"/>
    <n v="3000"/>
    <x v="0"/>
  </r>
  <r>
    <s v="23.10.19"/>
    <d v="1899-12-30T08:16:00"/>
    <m/>
    <s v="P"/>
    <n v="2"/>
    <s v="Road Vehicle"/>
    <n v="2"/>
    <x v="6"/>
    <x v="1"/>
    <n v="2"/>
    <x v="1"/>
    <s v="KISORO TOWN"/>
    <s v="KISORO"/>
    <s v="UG"/>
    <n v="5"/>
    <s v="Tourism"/>
    <s v="KABALE TOWN"/>
    <s v="KABALE"/>
    <s v="UG"/>
    <n v="1"/>
    <s v="Home"/>
    <x v="28"/>
    <m/>
    <n v="61"/>
    <x v="5"/>
    <m/>
    <x v="3"/>
    <n v="10"/>
    <s v="Other"/>
    <n v="5"/>
    <x v="4"/>
    <n v="1"/>
    <n v="1"/>
    <n v="1"/>
    <n v="1"/>
    <n v="1"/>
    <s v="Y"/>
    <n v="0"/>
    <x v="3"/>
  </r>
  <r>
    <s v="21.10.19"/>
    <d v="1899-12-30T16:44:00"/>
    <s v="UAQ 039B"/>
    <s v="D"/>
    <n v="2"/>
    <s v="Road Vehicle"/>
    <n v="2"/>
    <x v="6"/>
    <x v="0"/>
    <n v="2"/>
    <x v="1"/>
    <s v="KATUNA"/>
    <s v="KABALE"/>
    <s v="UG"/>
    <n v="4"/>
    <s v="Commercial"/>
    <s v="NTUNGAMO TOWN"/>
    <s v="NTUNGAMO"/>
    <s v="UG"/>
    <n v="1"/>
    <s v="Home"/>
    <x v="3"/>
    <n v="30000"/>
    <n v="86"/>
    <x v="1"/>
    <n v="1"/>
    <x v="1"/>
    <n v="6"/>
    <s v="Businessman"/>
    <n v="5"/>
    <x v="4"/>
    <n v="2"/>
    <n v="2"/>
    <n v="1"/>
    <n v="1"/>
    <n v="1"/>
    <s v="Y"/>
    <n v="2000"/>
    <x v="1"/>
  </r>
  <r>
    <s v="21.10.19"/>
    <d v="1899-12-30T16:04:00"/>
    <m/>
    <s v="P"/>
    <n v="2"/>
    <s v="Road Vehicle"/>
    <n v="6"/>
    <x v="1"/>
    <x v="1"/>
    <n v="3"/>
    <x v="2"/>
    <s v="KABALE TOWN"/>
    <s v="KABALE"/>
    <s v="UG"/>
    <n v="1"/>
    <s v="Home"/>
    <s v="MBARARA TOWN"/>
    <s v="MBARARA"/>
    <s v="UG"/>
    <n v="2"/>
    <s v="Work"/>
    <x v="1"/>
    <n v="15000"/>
    <n v="136"/>
    <x v="2"/>
    <n v="2"/>
    <x v="0"/>
    <n v="4"/>
    <s v="Office Worker"/>
    <n v="5"/>
    <x v="4"/>
    <n v="3"/>
    <n v="2"/>
    <n v="1"/>
    <n v="3"/>
    <n v="4"/>
    <s v="Y"/>
    <n v="3000"/>
    <x v="0"/>
  </r>
  <r>
    <s v="21.10.19"/>
    <d v="1899-12-30T18:38:00"/>
    <m/>
    <s v="P"/>
    <n v="2"/>
    <s v="Road Vehicle"/>
    <n v="6"/>
    <x v="1"/>
    <x v="1"/>
    <n v="3"/>
    <x v="2"/>
    <s v="GOMA"/>
    <s v="GOMA"/>
    <s v="DRC"/>
    <n v="1"/>
    <s v="Home"/>
    <s v="KAMPALA TOWN"/>
    <s v="KAMPALA"/>
    <s v="UG"/>
    <n v="4"/>
    <s v="Commercial"/>
    <x v="0"/>
    <n v="50000"/>
    <n v="750"/>
    <x v="3"/>
    <n v="7"/>
    <x v="2"/>
    <n v="6"/>
    <s v="Businessman"/>
    <n v="2"/>
    <x v="3"/>
    <n v="5"/>
    <n v="5"/>
    <n v="5"/>
    <n v="5"/>
    <n v="5"/>
    <s v="Y"/>
    <n v="2000"/>
    <x v="1"/>
  </r>
  <r>
    <s v="22.10.19"/>
    <d v="1899-12-30T08:46:00"/>
    <m/>
    <s v="P"/>
    <n v="2"/>
    <s v="Road Vehicle"/>
    <n v="6"/>
    <x v="1"/>
    <x v="1"/>
    <n v="3"/>
    <x v="2"/>
    <s v="KABALE TOWN"/>
    <s v="KABALE"/>
    <s v="UG"/>
    <n v="1"/>
    <s v="Home"/>
    <s v="BUSEGA"/>
    <s v="WAKISO"/>
    <s v="UG"/>
    <n v="4"/>
    <s v="Commercial"/>
    <x v="0"/>
    <n v="30000"/>
    <n v="280"/>
    <x v="3"/>
    <n v="4"/>
    <x v="2"/>
    <n v="2"/>
    <s v="Manual Labour"/>
    <n v="3"/>
    <x v="1"/>
    <n v="1"/>
    <n v="5"/>
    <n v="5"/>
    <n v="5"/>
    <n v="5"/>
    <s v="Y"/>
    <n v="1000"/>
    <x v="4"/>
  </r>
  <r>
    <s v="22.10.19"/>
    <d v="1899-12-30T16:28:00"/>
    <m/>
    <s v="P"/>
    <n v="2"/>
    <s v="Road Vehicle"/>
    <n v="6"/>
    <x v="1"/>
    <x v="1"/>
    <n v="3"/>
    <x v="2"/>
    <s v="KISORO TOWN"/>
    <s v="KISORO"/>
    <s v="UG"/>
    <n v="1"/>
    <s v="Home"/>
    <s v="KITINTALE"/>
    <s v="KAMPALA"/>
    <s v="UG"/>
    <n v="2"/>
    <s v="Work"/>
    <x v="1"/>
    <n v="30000"/>
    <n v="200"/>
    <x v="3"/>
    <n v="4.5"/>
    <x v="2"/>
    <n v="6"/>
    <s v="Businessman"/>
    <n v="1"/>
    <x v="2"/>
    <n v="1"/>
    <n v="2"/>
    <n v="1"/>
    <n v="2"/>
    <n v="2"/>
    <s v="Y"/>
    <n v="0"/>
    <x v="3"/>
  </r>
  <r>
    <s v="21.10.19"/>
    <d v="1899-12-30T16:33:00"/>
    <m/>
    <s v="P"/>
    <n v="2"/>
    <s v="Road Vehicle"/>
    <n v="6"/>
    <x v="1"/>
    <x v="0"/>
    <n v="3"/>
    <x v="2"/>
    <s v="KISORO TOWN"/>
    <s v="KISORO"/>
    <s v="UG"/>
    <n v="1"/>
    <s v="Home"/>
    <s v="KAMPALA TOWN"/>
    <s v="KAMPALA"/>
    <s v="UG"/>
    <n v="2"/>
    <s v="Work"/>
    <x v="1"/>
    <n v="30000"/>
    <n v="480"/>
    <x v="3"/>
    <n v="14"/>
    <x v="2"/>
    <n v="5"/>
    <s v="Professional"/>
    <n v="5"/>
    <x v="4"/>
    <n v="3"/>
    <n v="2"/>
    <n v="3"/>
    <n v="3"/>
    <n v="4"/>
    <s v="Y"/>
    <n v="0"/>
    <x v="3"/>
  </r>
  <r>
    <s v="21.10.19"/>
    <d v="1899-12-30T15:56:00"/>
    <m/>
    <s v="P"/>
    <n v="2"/>
    <s v="Road Vehicle"/>
    <n v="6"/>
    <x v="1"/>
    <x v="0"/>
    <n v="3"/>
    <x v="2"/>
    <s v="KABALE TOWN"/>
    <s v="KABALE"/>
    <s v="UG"/>
    <n v="1"/>
    <s v="Home"/>
    <s v="KAMPALA TOWN"/>
    <s v="KAMPALA"/>
    <s v="UG"/>
    <n v="2"/>
    <s v="Work"/>
    <x v="1"/>
    <n v="30000"/>
    <n v="400"/>
    <x v="3"/>
    <n v="13"/>
    <x v="2"/>
    <n v="5"/>
    <s v="Professional"/>
    <n v="3"/>
    <x v="1"/>
    <n v="3"/>
    <n v="2"/>
    <n v="3"/>
    <n v="3"/>
    <n v="2"/>
    <s v="Y"/>
    <n v="3000"/>
    <x v="0"/>
  </r>
  <r>
    <s v="21.10.19"/>
    <d v="1899-12-30T14:14:00"/>
    <m/>
    <s v="P"/>
    <n v="2"/>
    <s v="Road Vehicle"/>
    <n v="6"/>
    <x v="1"/>
    <x v="0"/>
    <n v="3"/>
    <x v="2"/>
    <s v="RUBANDA TOWN"/>
    <s v="RUBANDA"/>
    <s v="UG"/>
    <n v="1"/>
    <s v="Home"/>
    <s v="KAMPALA TOWN"/>
    <s v="KAMPALA"/>
    <s v="UG"/>
    <n v="4"/>
    <s v="Commercial"/>
    <x v="0"/>
    <n v="30000"/>
    <n v="420"/>
    <x v="3"/>
    <n v="14"/>
    <x v="2"/>
    <n v="7"/>
    <s v="Farmer"/>
    <n v="3"/>
    <x v="1"/>
    <n v="1"/>
    <n v="1"/>
    <n v="1"/>
    <n v="1"/>
    <n v="1"/>
    <s v="Y"/>
    <n v="4000"/>
    <x v="0"/>
  </r>
  <r>
    <s v="21.10.19"/>
    <d v="1899-12-30T16:48:00"/>
    <s v="UAH 783T"/>
    <s v="D"/>
    <n v="2"/>
    <s v="Road Vehicle"/>
    <n v="6"/>
    <x v="1"/>
    <x v="0"/>
    <n v="3"/>
    <x v="2"/>
    <s v="GISENYI"/>
    <s v="KABALE"/>
    <s v="UG"/>
    <n v="2"/>
    <s v="Work"/>
    <s v="KAMPALA TOWN"/>
    <s v="KAMPALA"/>
    <s v="UG"/>
    <n v="8"/>
    <s v="Others"/>
    <x v="19"/>
    <n v="200000"/>
    <n v="250"/>
    <x v="3"/>
    <n v="6"/>
    <x v="2"/>
    <n v="5"/>
    <s v="Professional"/>
    <n v="2"/>
    <x v="3"/>
    <n v="5"/>
    <n v="4"/>
    <n v="2"/>
    <n v="2"/>
    <n v="2"/>
    <s v="Y"/>
    <n v="2000"/>
    <x v="1"/>
  </r>
  <r>
    <s v="21.10.19"/>
    <d v="1899-12-30T16:21:00"/>
    <s v="UAN 181F"/>
    <s v="D"/>
    <n v="2"/>
    <s v="Road Vehicle"/>
    <n v="6"/>
    <x v="1"/>
    <x v="0"/>
    <n v="3"/>
    <x v="2"/>
    <s v="KABALE TOWN"/>
    <s v="KABALE"/>
    <s v="UG"/>
    <n v="4"/>
    <s v="Commercial"/>
    <s v="KAMPALA TOWN"/>
    <s v="KAMPALA"/>
    <s v="UG"/>
    <n v="4"/>
    <s v="Commercial"/>
    <x v="18"/>
    <n v="200000"/>
    <n v="396"/>
    <x v="3"/>
    <n v="4"/>
    <x v="2"/>
    <n v="5"/>
    <s v="Professional"/>
    <n v="3"/>
    <x v="1"/>
    <n v="1"/>
    <n v="1"/>
    <n v="5"/>
    <n v="5"/>
    <n v="5"/>
    <s v="Y"/>
    <n v="5000"/>
    <x v="2"/>
  </r>
  <r>
    <s v="21.10.19"/>
    <m/>
    <m/>
    <s v="P"/>
    <n v="2"/>
    <s v="Road Vehicle"/>
    <n v="6"/>
    <x v="1"/>
    <x v="0"/>
    <n v="3"/>
    <x v="2"/>
    <s v="KABALE TOWN"/>
    <s v="KABALE"/>
    <s v="UG"/>
    <n v="4"/>
    <s v="Commercial"/>
    <s v="MASAKA TOWN"/>
    <s v="MASAKA"/>
    <s v="UG"/>
    <n v="4"/>
    <s v="Commercial"/>
    <x v="18"/>
    <n v="30000"/>
    <m/>
    <x v="0"/>
    <n v="4"/>
    <x v="2"/>
    <n v="1"/>
    <s v="Unemployed"/>
    <n v="1"/>
    <x v="2"/>
    <n v="1"/>
    <n v="1"/>
    <n v="1"/>
    <n v="1"/>
    <n v="1"/>
    <s v="Y"/>
    <n v="1000"/>
    <x v="4"/>
  </r>
  <r>
    <s v="22.10.19"/>
    <d v="1899-12-30T10:05:00"/>
    <m/>
    <s v="P"/>
    <n v="2"/>
    <s v="Road Vehicle"/>
    <n v="6"/>
    <x v="1"/>
    <x v="0"/>
    <n v="3"/>
    <x v="2"/>
    <s v="KABALE TOWN"/>
    <s v="KABALE"/>
    <s v="UG"/>
    <n v="1"/>
    <s v="Home"/>
    <s v="MBARARA TOWN"/>
    <s v="MBARARA"/>
    <s v="UG"/>
    <n v="4"/>
    <s v="Commercial"/>
    <x v="0"/>
    <n v="15000"/>
    <n v="96"/>
    <x v="1"/>
    <n v="2"/>
    <x v="0"/>
    <n v="5"/>
    <s v="Professional"/>
    <n v="2"/>
    <x v="3"/>
    <n v="1"/>
    <n v="1"/>
    <n v="1"/>
    <n v="1"/>
    <n v="1"/>
    <s v="Y"/>
    <n v="2000"/>
    <x v="1"/>
  </r>
  <r>
    <s v="22.10.19"/>
    <d v="1899-12-30T18:23:00"/>
    <s v="UBF 068X"/>
    <s v="D"/>
    <n v="2"/>
    <s v="Road Vehicle"/>
    <n v="6"/>
    <x v="1"/>
    <x v="0"/>
    <n v="3"/>
    <x v="2"/>
    <s v="KISORO TOWN"/>
    <s v="KISORO"/>
    <s v="UG"/>
    <n v="4"/>
    <s v="Commercial"/>
    <s v="KABALE TOWN"/>
    <s v="KABALE"/>
    <s v="UG"/>
    <n v="4"/>
    <s v="Commercial"/>
    <x v="18"/>
    <n v="200000"/>
    <n v="390"/>
    <x v="3"/>
    <n v="4"/>
    <x v="2"/>
    <n v="5"/>
    <s v="Professional"/>
    <n v="3"/>
    <x v="1"/>
    <n v="1"/>
    <n v="1"/>
    <n v="1"/>
    <n v="1"/>
    <n v="1"/>
    <s v="Y"/>
    <n v="5000"/>
    <x v="2"/>
  </r>
  <r>
    <s v="22.10.19"/>
    <d v="1899-12-30T13:38:00"/>
    <s v="UAN 179A"/>
    <s v="D"/>
    <n v="2"/>
    <s v="Road Vehicle"/>
    <n v="6"/>
    <x v="1"/>
    <x v="0"/>
    <n v="3"/>
    <x v="2"/>
    <s v="KABALE TOWN"/>
    <s v="KABALE"/>
    <s v="UG"/>
    <n v="2"/>
    <s v="Work"/>
    <s v="MASAKA TOWN"/>
    <s v="MASAKA"/>
    <s v="UG"/>
    <n v="2"/>
    <s v="Work"/>
    <x v="2"/>
    <n v="100000"/>
    <n v="270"/>
    <x v="3"/>
    <n v="3"/>
    <x v="0"/>
    <n v="5"/>
    <s v="Professional"/>
    <n v="2"/>
    <x v="3"/>
    <n v="5"/>
    <n v="5"/>
    <n v="4"/>
    <n v="2"/>
    <n v="2"/>
    <s v="Y"/>
    <n v="2000"/>
    <x v="1"/>
  </r>
  <r>
    <s v="22.10.19"/>
    <d v="1899-12-30T12:00:00"/>
    <s v="UBE 453T"/>
    <s v="D"/>
    <n v="2"/>
    <s v="Road Vehicle"/>
    <n v="6"/>
    <x v="1"/>
    <x v="0"/>
    <n v="3"/>
    <x v="2"/>
    <s v="KABALE TOWN"/>
    <s v="KABALE"/>
    <s v="UG"/>
    <n v="2"/>
    <s v="Work"/>
    <s v="KAMPALA TOWN"/>
    <s v="KAMPALA"/>
    <s v="UG"/>
    <n v="8"/>
    <s v="Others"/>
    <x v="19"/>
    <n v="150000"/>
    <n v="390"/>
    <x v="3"/>
    <n v="4.5"/>
    <x v="2"/>
    <n v="5"/>
    <s v="Professional"/>
    <n v="2"/>
    <x v="3"/>
    <n v="5"/>
    <n v="5"/>
    <n v="2"/>
    <n v="2"/>
    <n v="2"/>
    <s v="Y"/>
    <n v="2000"/>
    <x v="1"/>
  </r>
  <r>
    <s v="22.10.19"/>
    <d v="1899-12-30T08:40:00"/>
    <s v="UAZ 962C"/>
    <s v="D"/>
    <n v="2"/>
    <s v="Road Vehicle"/>
    <n v="6"/>
    <x v="1"/>
    <x v="0"/>
    <n v="3"/>
    <x v="2"/>
    <s v="KISIIZI TOWN"/>
    <s v="RUKUNGIRI"/>
    <s v="UG"/>
    <n v="2"/>
    <s v="Work"/>
    <s v="KAMPALA TOWN"/>
    <s v="KAMPALA"/>
    <s v="UG"/>
    <n v="8"/>
    <s v="Others"/>
    <x v="19"/>
    <n v="150000"/>
    <n v="150"/>
    <x v="2"/>
    <n v="4"/>
    <x v="2"/>
    <n v="10"/>
    <s v="Other"/>
    <n v="2"/>
    <x v="3"/>
    <n v="5"/>
    <n v="4"/>
    <n v="2"/>
    <n v="2"/>
    <n v="2"/>
    <s v="Y"/>
    <n v="3000"/>
    <x v="0"/>
  </r>
  <r>
    <s v="22.10.19"/>
    <d v="1899-12-30T14:30:00"/>
    <s v="UAM 419R"/>
    <s v="D"/>
    <n v="2"/>
    <s v="Road Vehicle"/>
    <n v="6"/>
    <x v="1"/>
    <x v="0"/>
    <n v="3"/>
    <x v="2"/>
    <s v="KABALE TOWN"/>
    <s v="KABALE"/>
    <s v="UG"/>
    <n v="2"/>
    <s v="Work"/>
    <s v="NAMUNUKA TOWN"/>
    <s v="NAMUNUKA"/>
    <s v="UG"/>
    <n v="2"/>
    <s v="Work"/>
    <x v="2"/>
    <n v="100000"/>
    <n v="90"/>
    <x v="1"/>
    <n v="2"/>
    <x v="0"/>
    <n v="5"/>
    <s v="Professional"/>
    <n v="2"/>
    <x v="3"/>
    <n v="5"/>
    <n v="4"/>
    <n v="2"/>
    <n v="2"/>
    <n v="2"/>
    <s v="Y"/>
    <n v="2000"/>
    <x v="1"/>
  </r>
  <r>
    <s v="22.10.19"/>
    <d v="1899-12-30T16:42:00"/>
    <s v="UAZ 962C"/>
    <s v="D"/>
    <n v="2"/>
    <s v="Road Vehicle"/>
    <n v="6"/>
    <x v="1"/>
    <x v="0"/>
    <n v="3"/>
    <x v="2"/>
    <s v="KABALE TOWN"/>
    <s v="KABALE"/>
    <s v="UG"/>
    <n v="2"/>
    <s v="Work"/>
    <s v="LYANTONDE TOWN"/>
    <s v="LYANTONDE"/>
    <s v="UG"/>
    <n v="8"/>
    <s v="Others"/>
    <x v="19"/>
    <n v="150000"/>
    <n v="270"/>
    <x v="3"/>
    <n v="3"/>
    <x v="0"/>
    <n v="5"/>
    <s v="Professional"/>
    <n v="2"/>
    <x v="3"/>
    <n v="5"/>
    <n v="2"/>
    <n v="5"/>
    <n v="5"/>
    <n v="5"/>
    <s v="Y"/>
    <n v="2000"/>
    <x v="1"/>
  </r>
  <r>
    <s v="22.10.19"/>
    <d v="1899-12-30T16:13:00"/>
    <s v="UAX 309X"/>
    <s v="D"/>
    <n v="2"/>
    <s v="Road Vehicle"/>
    <n v="6"/>
    <x v="1"/>
    <x v="0"/>
    <n v="3"/>
    <x v="2"/>
    <s v="KABALE TOWN"/>
    <s v="KABALE"/>
    <s v="UG"/>
    <n v="2"/>
    <s v="Work"/>
    <s v="ISHAKA TOWN"/>
    <s v="ISHAKA"/>
    <s v="UG"/>
    <n v="2"/>
    <s v="Work"/>
    <x v="2"/>
    <n v="200000"/>
    <n v="330"/>
    <x v="3"/>
    <n v="4"/>
    <x v="2"/>
    <n v="10"/>
    <s v="Other"/>
    <n v="2"/>
    <x v="3"/>
    <n v="5"/>
    <n v="4"/>
    <n v="5"/>
    <n v="5"/>
    <n v="5"/>
    <s v="Y"/>
    <n v="1000"/>
    <x v="4"/>
  </r>
  <r>
    <s v="22.10.19"/>
    <d v="1899-12-30T15:18:00"/>
    <s v="UAM 823W"/>
    <s v="D"/>
    <n v="2"/>
    <s v="Road Vehicle"/>
    <n v="6"/>
    <x v="1"/>
    <x v="0"/>
    <n v="3"/>
    <x v="2"/>
    <s v="KABALE TOWN"/>
    <s v="KABALE"/>
    <s v="UG"/>
    <n v="2"/>
    <s v="Work"/>
    <s v="MBARARA TOWN"/>
    <s v="MBARARA"/>
    <s v="UG"/>
    <n v="2"/>
    <s v="Work"/>
    <x v="2"/>
    <n v="100000"/>
    <n v="135"/>
    <x v="2"/>
    <n v="2.5"/>
    <x v="0"/>
    <n v="5"/>
    <s v="Professional"/>
    <n v="2"/>
    <x v="3"/>
    <n v="2"/>
    <n v="4"/>
    <n v="2"/>
    <n v="1"/>
    <n v="1"/>
    <s v="Y"/>
    <n v="0"/>
    <x v="3"/>
  </r>
  <r>
    <s v="23.10.19"/>
    <d v="1899-12-30T09:46:00"/>
    <m/>
    <s v="D"/>
    <n v="2"/>
    <s v="Road Vehicle"/>
    <n v="6"/>
    <x v="1"/>
    <x v="0"/>
    <n v="3"/>
    <x v="2"/>
    <s v="RUKUNGIRI TOWN"/>
    <s v="RUKUNGIRI"/>
    <s v="UG"/>
    <n v="4"/>
    <s v="Commercial"/>
    <s v="KABALE TOWN"/>
    <s v="KABALE"/>
    <s v="UG"/>
    <n v="4"/>
    <s v="Commercial"/>
    <x v="18"/>
    <n v="50000"/>
    <n v="47"/>
    <x v="5"/>
    <n v="2"/>
    <x v="0"/>
    <n v="5"/>
    <s v="Professional"/>
    <n v="3"/>
    <x v="1"/>
    <n v="1"/>
    <n v="5"/>
    <n v="5"/>
    <n v="5"/>
    <n v="5"/>
    <s v="Y"/>
    <n v="2000"/>
    <x v="1"/>
  </r>
  <r>
    <s v="23.10.19"/>
    <d v="1899-12-30T09:55:00"/>
    <s v="UAY 783A"/>
    <s v="D"/>
    <n v="2"/>
    <s v="Road Vehicle"/>
    <n v="6"/>
    <x v="1"/>
    <x v="0"/>
    <n v="3"/>
    <x v="2"/>
    <s v="BUTOGOTA TOWN"/>
    <s v="KANUNGU"/>
    <s v="UG"/>
    <n v="2"/>
    <s v="Work"/>
    <s v="KAMPALA TOWN"/>
    <s v="KAMPALA"/>
    <s v="UG"/>
    <n v="8"/>
    <s v="Others"/>
    <x v="19"/>
    <n v="200000"/>
    <n v="340"/>
    <x v="3"/>
    <n v="6"/>
    <x v="2"/>
    <n v="10"/>
    <s v="Other"/>
    <n v="2"/>
    <x v="3"/>
    <n v="5"/>
    <n v="4"/>
    <n v="5"/>
    <n v="5"/>
    <n v="5"/>
    <s v="Y"/>
    <n v="3000"/>
    <x v="0"/>
  </r>
  <r>
    <s v="23.10.19"/>
    <d v="1899-12-30T09:20:00"/>
    <m/>
    <s v="P"/>
    <n v="2"/>
    <s v="Road Vehicle"/>
    <n v="6"/>
    <x v="1"/>
    <x v="0"/>
    <n v="3"/>
    <x v="2"/>
    <s v="KABALE TOWN"/>
    <s v="KABALE"/>
    <s v="UG"/>
    <n v="2"/>
    <s v="Work"/>
    <s v="HOIMA TOWN"/>
    <s v="HOIMA"/>
    <s v="UG"/>
    <n v="8"/>
    <s v="Others"/>
    <x v="19"/>
    <n v="50000"/>
    <n v="600"/>
    <x v="3"/>
    <n v="9"/>
    <x v="2"/>
    <n v="5"/>
    <s v="Professional"/>
    <n v="2"/>
    <x v="3"/>
    <n v="5"/>
    <n v="5"/>
    <n v="5"/>
    <n v="5"/>
    <n v="5"/>
    <s v="Y"/>
    <n v="0"/>
    <x v="3"/>
  </r>
  <r>
    <s v="23.10.19"/>
    <d v="1899-12-30T08:38:00"/>
    <s v="UAG 917R"/>
    <s v="D"/>
    <n v="2"/>
    <s v="Road Vehicle"/>
    <n v="6"/>
    <x v="1"/>
    <x v="0"/>
    <n v="3"/>
    <x v="2"/>
    <s v="KABALE TOWN"/>
    <s v="KABALE"/>
    <s v="UG"/>
    <n v="2"/>
    <s v="Work"/>
    <s v="KAGADI TOWN"/>
    <s v="KAGADI"/>
    <s v="UG"/>
    <n v="8"/>
    <s v="Others"/>
    <x v="19"/>
    <n v="200000"/>
    <n v="360"/>
    <x v="3"/>
    <n v="6"/>
    <x v="2"/>
    <n v="5"/>
    <s v="Professional"/>
    <n v="2"/>
    <x v="3"/>
    <n v="5"/>
    <n v="4"/>
    <n v="1"/>
    <n v="1"/>
    <n v="2"/>
    <s v="Y"/>
    <n v="2000"/>
    <x v="1"/>
  </r>
  <r>
    <s v="23.10.19"/>
    <d v="1899-12-30T08:22:00"/>
    <s v="UAT 700G"/>
    <s v="D"/>
    <n v="2"/>
    <s v="Road Vehicle"/>
    <n v="6"/>
    <x v="1"/>
    <x v="0"/>
    <n v="3"/>
    <x v="2"/>
    <s v="KABALE TOWN"/>
    <s v="KABALE"/>
    <s v="UG"/>
    <n v="2"/>
    <s v="Work"/>
    <s v="FORTPORTAL TOWN"/>
    <s v="FORTPORTAL"/>
    <s v="UG"/>
    <n v="8"/>
    <s v="Others"/>
    <x v="19"/>
    <n v="20000"/>
    <n v="320"/>
    <x v="3"/>
    <n v="5"/>
    <x v="2"/>
    <n v="5"/>
    <s v="Professional"/>
    <n v="2"/>
    <x v="3"/>
    <n v="5"/>
    <n v="4"/>
    <n v="2"/>
    <n v="2"/>
    <n v="2"/>
    <s v="Y"/>
    <n v="2000"/>
    <x v="1"/>
  </r>
  <r>
    <s v="23.10.19"/>
    <d v="1899-12-30T07:22:00"/>
    <s v="UBD 911A"/>
    <s v="D"/>
    <n v="2"/>
    <s v="Road Vehicle"/>
    <n v="6"/>
    <x v="1"/>
    <x v="0"/>
    <n v="3"/>
    <x v="2"/>
    <s v="KISORO TOWN"/>
    <s v="KISORO"/>
    <s v="UG"/>
    <n v="2"/>
    <s v="Work"/>
    <s v="KAMPALA TOWN"/>
    <s v="KAMPALA"/>
    <s v="UG"/>
    <n v="2"/>
    <s v="Work"/>
    <x v="2"/>
    <n v="400000"/>
    <n v="480"/>
    <x v="3"/>
    <n v="13"/>
    <x v="2"/>
    <n v="5"/>
    <s v="Professional"/>
    <n v="5"/>
    <x v="4"/>
    <n v="2"/>
    <n v="2"/>
    <n v="1"/>
    <n v="1"/>
    <n v="2"/>
    <s v="Y"/>
    <n v="5000"/>
    <x v="2"/>
  </r>
  <r>
    <s v="21.10.19"/>
    <d v="1899-12-30T16:14:00"/>
    <s v="UAT 109S"/>
    <s v="D"/>
    <n v="2"/>
    <s v="Road Vehicle"/>
    <n v="7"/>
    <x v="7"/>
    <x v="0"/>
    <n v="3"/>
    <x v="2"/>
    <s v="KISORO TOWN"/>
    <s v="KISORO"/>
    <s v="UG"/>
    <n v="2"/>
    <s v="Work"/>
    <s v="MBARARA TOWN"/>
    <s v="MBARARA"/>
    <s v="UG"/>
    <n v="4"/>
    <s v="Commercial"/>
    <x v="17"/>
    <n v="160000"/>
    <n v="224"/>
    <x v="3"/>
    <n v="5"/>
    <x v="2"/>
    <n v="7"/>
    <s v="Farmer"/>
    <n v="5"/>
    <x v="4"/>
    <n v="3"/>
    <n v="3"/>
    <n v="2"/>
    <n v="3"/>
    <n v="3"/>
    <s v="Y"/>
    <n v="4000"/>
    <x v="0"/>
  </r>
  <r>
    <s v="21.10.19"/>
    <d v="1899-12-30T15:43:00"/>
    <m/>
    <s v="P"/>
    <n v="2"/>
    <s v="Road Vehicle"/>
    <n v="5"/>
    <x v="2"/>
    <x v="0"/>
    <n v="3"/>
    <x v="2"/>
    <s v="KISORO TOWN"/>
    <s v="KISORO"/>
    <s v="UG"/>
    <n v="2"/>
    <s v="Work"/>
    <s v="KABALE TOWN"/>
    <s v="KABALE"/>
    <s v="UG"/>
    <n v="2"/>
    <s v="Work"/>
    <x v="2"/>
    <n v="7000"/>
    <n v="70"/>
    <x v="1"/>
    <n v="1"/>
    <x v="1"/>
    <n v="4"/>
    <s v="Office Worker"/>
    <n v="4"/>
    <x v="0"/>
    <n v="2"/>
    <n v="2"/>
    <n v="2"/>
    <n v="3"/>
    <n v="4"/>
    <s v="Y"/>
    <n v="3000"/>
    <x v="0"/>
  </r>
  <r>
    <s v="21.10.19"/>
    <d v="1899-12-30T16:26:00"/>
    <s v="UAP 781N"/>
    <s v="D"/>
    <n v="2"/>
    <s v="Road Vehicle"/>
    <n v="8"/>
    <x v="4"/>
    <x v="0"/>
    <n v="3"/>
    <x v="2"/>
    <s v="KISORO TOWN"/>
    <s v="KISORO"/>
    <s v="UG"/>
    <n v="4"/>
    <s v="Commercial"/>
    <s v="MASAKA TOWN"/>
    <s v="MASAKA"/>
    <s v="UG"/>
    <n v="4"/>
    <s v="Commercial"/>
    <x v="18"/>
    <n v="260000"/>
    <n v="359"/>
    <x v="3"/>
    <n v="6"/>
    <x v="2"/>
    <n v="6"/>
    <s v="Businessman"/>
    <n v="3"/>
    <x v="1"/>
    <n v="2"/>
    <n v="2"/>
    <n v="2"/>
    <n v="4"/>
    <n v="3"/>
    <s v="Y"/>
    <n v="0"/>
    <x v="3"/>
  </r>
  <r>
    <s v="21.10.19"/>
    <d v="1899-12-30T15:44:00"/>
    <m/>
    <s v="P"/>
    <n v="2"/>
    <s v="Road Vehicle"/>
    <n v="4"/>
    <x v="3"/>
    <x v="1"/>
    <n v="3"/>
    <x v="2"/>
    <s v="KABALE TOWN"/>
    <s v="KABALE"/>
    <s v="UG"/>
    <n v="1"/>
    <s v="Home"/>
    <s v="NTUNGAMO TOWN"/>
    <s v="NTUNGAMO"/>
    <s v="UG"/>
    <n v="4"/>
    <s v="Commercial"/>
    <x v="0"/>
    <n v="10000"/>
    <n v="96"/>
    <x v="1"/>
    <n v="2"/>
    <x v="0"/>
    <n v="1"/>
    <s v="Unemployed"/>
    <n v="2"/>
    <x v="3"/>
    <n v="1"/>
    <n v="1"/>
    <n v="1"/>
    <n v="1"/>
    <n v="1"/>
    <s v="Y"/>
    <n v="1000"/>
    <x v="4"/>
  </r>
  <r>
    <s v="22.10.19"/>
    <d v="1899-12-30T08:52:00"/>
    <m/>
    <s v="P"/>
    <n v="2"/>
    <s v="Road Vehicle"/>
    <n v="4"/>
    <x v="3"/>
    <x v="1"/>
    <n v="3"/>
    <x v="2"/>
    <s v="KABALE TOWN"/>
    <s v="KABALE"/>
    <s v="UG"/>
    <n v="1"/>
    <s v="Home"/>
    <s v="HOIMA TOWN"/>
    <s v="HOIMA"/>
    <s v="UG"/>
    <n v="4"/>
    <s v="Commercial"/>
    <x v="0"/>
    <n v="50000"/>
    <n v="360"/>
    <x v="3"/>
    <n v="6"/>
    <x v="2"/>
    <n v="5"/>
    <s v="Professional"/>
    <n v="2"/>
    <x v="3"/>
    <n v="5"/>
    <n v="5"/>
    <n v="5"/>
    <n v="5"/>
    <n v="5"/>
    <s v="Y"/>
    <n v="4000"/>
    <x v="0"/>
  </r>
  <r>
    <s v="22.10.19"/>
    <d v="1899-12-30T10:27:00"/>
    <m/>
    <s v="P"/>
    <n v="2"/>
    <s v="Road Vehicle"/>
    <n v="4"/>
    <x v="3"/>
    <x v="1"/>
    <n v="3"/>
    <x v="2"/>
    <s v="KABALE TOWN"/>
    <s v="KABALE"/>
    <s v="UG"/>
    <n v="1"/>
    <s v="Home"/>
    <s v="NYENDO"/>
    <s v="MASAKA"/>
    <s v="UG"/>
    <n v="6"/>
    <s v="Leisure/Social"/>
    <x v="8"/>
    <n v="20000"/>
    <n v="200"/>
    <x v="3"/>
    <n v="3"/>
    <x v="0"/>
    <n v="1"/>
    <s v="Unemployed"/>
    <n v="1"/>
    <x v="2"/>
    <n v="1"/>
    <n v="1"/>
    <n v="1"/>
    <n v="1"/>
    <n v="1"/>
    <s v="Y"/>
    <n v="0"/>
    <x v="3"/>
  </r>
  <r>
    <s v="22.10.19"/>
    <d v="1899-12-30T18:17:00"/>
    <s v="UBB 545W"/>
    <s v="D"/>
    <n v="2"/>
    <s v="Road Vehicle"/>
    <n v="4"/>
    <x v="3"/>
    <x v="1"/>
    <n v="3"/>
    <x v="2"/>
    <s v="LUKINDA"/>
    <s v="KABALE"/>
    <s v="UG"/>
    <n v="1"/>
    <s v="Home"/>
    <s v="KABALE TOWN"/>
    <s v="KABALE"/>
    <s v="UG"/>
    <n v="2"/>
    <s v="Work"/>
    <x v="1"/>
    <n v="10000"/>
    <n v="3"/>
    <x v="0"/>
    <n v="0.28000000000000003"/>
    <x v="3"/>
    <n v="4"/>
    <s v="Office Worker"/>
    <n v="3"/>
    <x v="1"/>
    <n v="1"/>
    <n v="1"/>
    <n v="1"/>
    <n v="1"/>
    <n v="1"/>
    <s v="Y"/>
    <n v="2000"/>
    <x v="1"/>
  </r>
  <r>
    <s v="22.10.19"/>
    <d v="1899-12-30T18:44:00"/>
    <m/>
    <s v="P"/>
    <n v="2"/>
    <s v="Road Vehicle"/>
    <n v="4"/>
    <x v="3"/>
    <x v="1"/>
    <n v="3"/>
    <x v="2"/>
    <s v="KABALE TOWN"/>
    <s v="KABALE"/>
    <s v="UG"/>
    <n v="1"/>
    <s v="Home"/>
    <s v="IBANDA TOWN"/>
    <s v="IBANDA"/>
    <s v="UG"/>
    <n v="1"/>
    <s v="Home"/>
    <x v="16"/>
    <n v="25000"/>
    <n v="230"/>
    <x v="3"/>
    <n v="2"/>
    <x v="0"/>
    <n v="2"/>
    <s v="Manual Labour"/>
    <n v="2"/>
    <x v="3"/>
    <n v="1"/>
    <n v="5"/>
    <n v="5"/>
    <n v="1"/>
    <n v="1"/>
    <s v="Y"/>
    <n v="2000"/>
    <x v="1"/>
  </r>
  <r>
    <s v="23.10.19"/>
    <d v="1899-12-30T07:24:00"/>
    <m/>
    <s v="D"/>
    <n v="2"/>
    <s v="Road Vehicle"/>
    <n v="4"/>
    <x v="3"/>
    <x v="1"/>
    <n v="3"/>
    <x v="2"/>
    <s v="KITWE"/>
    <s v="MBARARA"/>
    <s v="UG"/>
    <n v="1"/>
    <s v="Home"/>
    <s v="KABALE TOWN"/>
    <s v="KABALE"/>
    <s v="UG"/>
    <n v="4"/>
    <s v="Commercial"/>
    <x v="0"/>
    <n v="30000"/>
    <n v="40"/>
    <x v="5"/>
    <n v="2"/>
    <x v="0"/>
    <n v="2"/>
    <s v="Manual Labour"/>
    <n v="2"/>
    <x v="3"/>
    <n v="5"/>
    <n v="5"/>
    <n v="5"/>
    <n v="5"/>
    <n v="5"/>
    <s v="Y"/>
    <n v="1000"/>
    <x v="4"/>
  </r>
  <r>
    <s v="23.10.19"/>
    <d v="1899-12-30T10:38:00"/>
    <m/>
    <s v="P"/>
    <n v="2"/>
    <s v="Road Vehicle"/>
    <n v="4"/>
    <x v="3"/>
    <x v="1"/>
    <n v="3"/>
    <x v="2"/>
    <s v="BWINDI TOWN"/>
    <s v="KANUNGU"/>
    <s v="UG"/>
    <n v="4"/>
    <s v="Commercial"/>
    <s v="KABALE TOWN"/>
    <s v="KABALE"/>
    <s v="UG"/>
    <n v="4"/>
    <s v="Commercial"/>
    <x v="18"/>
    <n v="40000"/>
    <n v="420"/>
    <x v="3"/>
    <n v="7"/>
    <x v="2"/>
    <n v="6"/>
    <s v="Businessman"/>
    <n v="3"/>
    <x v="1"/>
    <n v="5"/>
    <n v="5"/>
    <n v="5"/>
    <n v="5"/>
    <n v="5"/>
    <s v="Y"/>
    <n v="3000"/>
    <x v="0"/>
  </r>
  <r>
    <s v="23.10.19"/>
    <d v="1899-12-30T10:44:00"/>
    <m/>
    <s v="P"/>
    <n v="2"/>
    <s v="Road Vehicle"/>
    <n v="4"/>
    <x v="3"/>
    <x v="1"/>
    <n v="3"/>
    <x v="2"/>
    <s v="KABALE TOWN"/>
    <s v="KABALE"/>
    <s v="UG"/>
    <n v="4"/>
    <s v="Commercial"/>
    <s v="MITOMA TOWN"/>
    <s v="MITOMA"/>
    <s v="UG"/>
    <n v="6"/>
    <s v="Leisure/Social"/>
    <x v="36"/>
    <n v="12000"/>
    <n v="120"/>
    <x v="2"/>
    <n v="2"/>
    <x v="0"/>
    <n v="5"/>
    <s v="Professional"/>
    <n v="2"/>
    <x v="3"/>
    <n v="2"/>
    <n v="2"/>
    <n v="5"/>
    <n v="5"/>
    <n v="2"/>
    <s v="Y"/>
    <n v="0"/>
    <x v="3"/>
  </r>
  <r>
    <s v="23.10.19"/>
    <d v="1899-12-30T11:55:00"/>
    <m/>
    <s v="P"/>
    <n v="2"/>
    <s v="Road Vehicle"/>
    <n v="4"/>
    <x v="3"/>
    <x v="1"/>
    <n v="3"/>
    <x v="2"/>
    <s v="KABALE TOWN"/>
    <s v="KABALE"/>
    <s v="UG"/>
    <n v="1"/>
    <s v="Home"/>
    <s v="BUSHENYI TOWN"/>
    <s v="BUSHENYI"/>
    <s v="UG"/>
    <n v="4"/>
    <s v="Commercial"/>
    <x v="0"/>
    <n v="3000"/>
    <n v="47"/>
    <x v="5"/>
    <n v="0.78"/>
    <x v="4"/>
    <n v="6"/>
    <s v="Businessman"/>
    <n v="3"/>
    <x v="1"/>
    <n v="1"/>
    <n v="1"/>
    <n v="1"/>
    <n v="1"/>
    <n v="1"/>
    <s v="Y"/>
    <n v="1000"/>
    <x v="4"/>
  </r>
  <r>
    <s v="23.10.19"/>
    <d v="1899-12-30T12:41:00"/>
    <m/>
    <s v="P"/>
    <n v="2"/>
    <s v="Road Vehicle"/>
    <n v="4"/>
    <x v="3"/>
    <x v="1"/>
    <n v="3"/>
    <x v="2"/>
    <s v="KABALE TOWN"/>
    <s v="KABALE"/>
    <s v="UG"/>
    <n v="1"/>
    <s v="Home"/>
    <s v="HOIMA TOWN"/>
    <s v="HOIMA"/>
    <s v="UG"/>
    <n v="4"/>
    <s v="Commercial"/>
    <x v="0"/>
    <n v="50000"/>
    <n v="480"/>
    <x v="3"/>
    <n v="7"/>
    <x v="2"/>
    <n v="6"/>
    <s v="Businessman"/>
    <n v="3"/>
    <x v="1"/>
    <n v="5"/>
    <n v="5"/>
    <n v="5"/>
    <n v="5"/>
    <n v="5"/>
    <s v="Y"/>
    <n v="3000"/>
    <x v="0"/>
  </r>
  <r>
    <s v="23.10.19"/>
    <d v="1899-12-30T14:10:00"/>
    <m/>
    <s v="D"/>
    <n v="2"/>
    <s v="Road Vehicle"/>
    <n v="4"/>
    <x v="3"/>
    <x v="1"/>
    <n v="3"/>
    <x v="2"/>
    <s v="KATUNA"/>
    <s v="KABALE"/>
    <s v="UG"/>
    <n v="1"/>
    <s v="Home"/>
    <s v="KABALE TOWN"/>
    <s v="KABALE"/>
    <s v="UG"/>
    <n v="2"/>
    <s v="Work"/>
    <x v="1"/>
    <n v="20000"/>
    <n v="30"/>
    <x v="4"/>
    <n v="0.5"/>
    <x v="4"/>
    <n v="4"/>
    <s v="Office Worker"/>
    <n v="3"/>
    <x v="1"/>
    <n v="1"/>
    <n v="1"/>
    <n v="1"/>
    <n v="1"/>
    <n v="1"/>
    <s v="Y"/>
    <n v="2000"/>
    <x v="1"/>
  </r>
  <r>
    <s v="21.10.19"/>
    <d v="1899-12-30T15:13:00"/>
    <m/>
    <s v="P"/>
    <n v="2"/>
    <s v="Road Vehicle"/>
    <n v="4"/>
    <x v="3"/>
    <x v="0"/>
    <n v="3"/>
    <x v="2"/>
    <s v="KASHERERE"/>
    <s v="KABALE"/>
    <s v="UG"/>
    <n v="1"/>
    <s v="Home"/>
    <s v="KABALE TOWN"/>
    <s v="KABALE"/>
    <s v="UG"/>
    <n v="4"/>
    <s v="Commercial"/>
    <x v="0"/>
    <n v="5000"/>
    <n v="41"/>
    <x v="5"/>
    <n v="0.5"/>
    <x v="4"/>
    <n v="7"/>
    <s v="Farmer"/>
    <n v="2"/>
    <x v="3"/>
    <n v="1"/>
    <n v="1"/>
    <n v="1"/>
    <n v="1"/>
    <n v="1"/>
    <s v="Y"/>
    <n v="0"/>
    <x v="3"/>
  </r>
  <r>
    <s v="21.10.19"/>
    <d v="1899-12-30T15:27:00"/>
    <m/>
    <s v="P"/>
    <n v="2"/>
    <s v="Road Vehicle"/>
    <n v="4"/>
    <x v="3"/>
    <x v="0"/>
    <n v="3"/>
    <x v="2"/>
    <s v="KITWE"/>
    <s v="KABALE"/>
    <s v="UG"/>
    <n v="1"/>
    <s v="Home"/>
    <s v="KABALE TOWN"/>
    <s v="KABALE"/>
    <s v="UG"/>
    <n v="4"/>
    <s v="Commercial"/>
    <x v="0"/>
    <n v="15000"/>
    <n v="57"/>
    <x v="5"/>
    <n v="2"/>
    <x v="0"/>
    <n v="2"/>
    <s v="Manual Labour"/>
    <n v="2"/>
    <x v="3"/>
    <n v="5"/>
    <n v="5"/>
    <n v="5"/>
    <n v="5"/>
    <n v="5"/>
    <s v="Y"/>
    <n v="2000"/>
    <x v="1"/>
  </r>
  <r>
    <s v="22.10.19"/>
    <d v="1899-12-30T09:26:00"/>
    <s v="UBC 556E"/>
    <s v="D"/>
    <n v="2"/>
    <s v="Road Vehicle"/>
    <n v="4"/>
    <x v="3"/>
    <x v="0"/>
    <n v="3"/>
    <x v="2"/>
    <s v="LUKINDA"/>
    <s v="KABALE"/>
    <s v="UG"/>
    <n v="4"/>
    <s v="Commercial"/>
    <s v="KABALE TOWN"/>
    <s v="KABALE"/>
    <s v="UG"/>
    <n v="4"/>
    <s v="Commercial"/>
    <x v="18"/>
    <n v="70000"/>
    <n v="3"/>
    <x v="0"/>
    <n v="1"/>
    <x v="1"/>
    <n v="5"/>
    <s v="Professional"/>
    <n v="2"/>
    <x v="3"/>
    <n v="5"/>
    <n v="5"/>
    <n v="5"/>
    <n v="5"/>
    <n v="5"/>
    <s v="Y"/>
    <n v="3000"/>
    <x v="0"/>
  </r>
  <r>
    <s v="22.10.19"/>
    <d v="1899-12-30T09:37:00"/>
    <s v="UAF 575F"/>
    <s v="D"/>
    <n v="2"/>
    <s v="Road Vehicle"/>
    <n v="4"/>
    <x v="3"/>
    <x v="0"/>
    <n v="3"/>
    <x v="2"/>
    <s v="LUKINDA"/>
    <s v="KABALE"/>
    <s v="UG"/>
    <n v="4"/>
    <s v="Commercial"/>
    <s v="KABALE TOWN"/>
    <s v="KABALE"/>
    <s v="UG"/>
    <n v="4"/>
    <s v="Commercial"/>
    <x v="18"/>
    <n v="60000"/>
    <n v="3"/>
    <x v="0"/>
    <n v="1"/>
    <x v="1"/>
    <n v="5"/>
    <s v="Professional"/>
    <n v="2"/>
    <x v="3"/>
    <n v="5"/>
    <n v="5"/>
    <n v="1"/>
    <n v="1"/>
    <n v="3"/>
    <s v="Y"/>
    <n v="500"/>
    <x v="3"/>
  </r>
  <r>
    <s v="22.10.19"/>
    <d v="1899-12-30T13:38:00"/>
    <s v="UAS 006S"/>
    <s v="D"/>
    <n v="2"/>
    <s v="Road Vehicle"/>
    <n v="4"/>
    <x v="3"/>
    <x v="0"/>
    <n v="3"/>
    <x v="2"/>
    <s v="KABALE TOWN"/>
    <s v="KABALE"/>
    <s v="UG"/>
    <n v="4"/>
    <s v="Commercial"/>
    <s v="MUNANUKA"/>
    <s v="KABALE"/>
    <s v="UG"/>
    <n v="4"/>
    <s v="Commercial"/>
    <x v="18"/>
    <n v="10000"/>
    <n v="137"/>
    <x v="2"/>
    <n v="2"/>
    <x v="0"/>
    <n v="5"/>
    <s v="Professional"/>
    <n v="2"/>
    <x v="3"/>
    <n v="5"/>
    <n v="5"/>
    <n v="1"/>
    <n v="5"/>
    <n v="1"/>
    <s v="Y"/>
    <n v="2000"/>
    <x v="1"/>
  </r>
  <r>
    <s v="22.10.19"/>
    <d v="1899-12-30T14:57:00"/>
    <s v="UAU 731B"/>
    <s v="D"/>
    <n v="2"/>
    <s v="Road Vehicle"/>
    <n v="4"/>
    <x v="3"/>
    <x v="0"/>
    <n v="3"/>
    <x v="2"/>
    <m/>
    <m/>
    <s v="UG"/>
    <n v="4"/>
    <s v="Commercial"/>
    <m/>
    <m/>
    <s v="UG"/>
    <n v="4"/>
    <s v="Commercial"/>
    <x v="18"/>
    <n v="700000"/>
    <n v="240"/>
    <x v="3"/>
    <n v="4"/>
    <x v="2"/>
    <n v="5"/>
    <s v="Professional"/>
    <n v="2"/>
    <x v="3"/>
    <n v="1"/>
    <n v="5"/>
    <n v="1"/>
    <n v="5"/>
    <n v="5"/>
    <s v="Y"/>
    <n v="1000"/>
    <x v="4"/>
  </r>
  <r>
    <s v="22.10.19"/>
    <d v="1899-12-30T17:46:00"/>
    <m/>
    <s v="P"/>
    <n v="2"/>
    <s v="Road Vehicle"/>
    <n v="4"/>
    <x v="3"/>
    <x v="0"/>
    <n v="3"/>
    <x v="2"/>
    <s v="MAKUNGUGUDE"/>
    <s v="KABALE"/>
    <s v="UG"/>
    <n v="1"/>
    <s v="Home"/>
    <s v="KABALE TOWN"/>
    <s v="KABALE"/>
    <s v="UG"/>
    <n v="2"/>
    <s v="Work"/>
    <x v="1"/>
    <n v="4000"/>
    <n v="30"/>
    <x v="4"/>
    <n v="0.36599999999999999"/>
    <x v="3"/>
    <n v="7"/>
    <s v="Farmer"/>
    <n v="2"/>
    <x v="3"/>
    <n v="1"/>
    <n v="1"/>
    <n v="5"/>
    <n v="5"/>
    <n v="5"/>
    <s v="Y"/>
    <n v="1000"/>
    <x v="4"/>
  </r>
  <r>
    <s v="22.10.19"/>
    <d v="1899-12-30T10:01:00"/>
    <s v="UAP 745F"/>
    <s v="D"/>
    <n v="2"/>
    <s v="Road Vehicle"/>
    <n v="4"/>
    <x v="3"/>
    <x v="0"/>
    <n v="3"/>
    <x v="2"/>
    <s v="KABALE TOWN"/>
    <s v="KABALE"/>
    <s v="UG"/>
    <n v="2"/>
    <s v="Work"/>
    <s v="RUKUNGIRI TOWN"/>
    <s v="RUKUNGIRI"/>
    <s v="UG"/>
    <n v="8"/>
    <s v="Others"/>
    <x v="19"/>
    <n v="100000"/>
    <n v="150"/>
    <x v="2"/>
    <n v="2"/>
    <x v="0"/>
    <n v="5"/>
    <s v="Professional"/>
    <n v="1"/>
    <x v="2"/>
    <n v="5"/>
    <n v="4"/>
    <n v="5"/>
    <n v="5"/>
    <n v="5"/>
    <s v="Y"/>
    <n v="0"/>
    <x v="3"/>
  </r>
  <r>
    <s v="23.10.19"/>
    <d v="1899-12-30T16:01:00"/>
    <m/>
    <s v="D"/>
    <n v="2"/>
    <s v="Road Vehicle"/>
    <n v="4"/>
    <x v="3"/>
    <x v="0"/>
    <n v="3"/>
    <x v="2"/>
    <s v="MBARARA TOWN"/>
    <s v="MBARARA"/>
    <s v="UG"/>
    <n v="4"/>
    <s v="Commercial"/>
    <s v="KABALE TOWN"/>
    <s v="KABALE"/>
    <s v="UG"/>
    <n v="4"/>
    <s v="Commercial"/>
    <x v="18"/>
    <n v="60000"/>
    <n v="143"/>
    <x v="2"/>
    <n v="2.5"/>
    <x v="0"/>
    <n v="5"/>
    <s v="Professional"/>
    <n v="3"/>
    <x v="1"/>
    <n v="1"/>
    <n v="1"/>
    <n v="1"/>
    <n v="1"/>
    <n v="1"/>
    <s v="Y"/>
    <n v="2000"/>
    <x v="1"/>
  </r>
  <r>
    <s v="23.10.19"/>
    <d v="1899-12-30T08:41:00"/>
    <m/>
    <s v="D"/>
    <n v="2"/>
    <s v="Road Vehicle"/>
    <n v="4"/>
    <x v="3"/>
    <x v="0"/>
    <n v="3"/>
    <x v="2"/>
    <s v="KABALE TOWN"/>
    <s v="KABALE"/>
    <s v="UG"/>
    <n v="4"/>
    <s v="Commercial"/>
    <s v="FORTPORTAL TOWN"/>
    <s v="FORTPORTAL"/>
    <s v="UG"/>
    <n v="4"/>
    <s v="Commercial"/>
    <x v="18"/>
    <n v="200000"/>
    <n v="360"/>
    <x v="3"/>
    <n v="3"/>
    <x v="0"/>
    <n v="5"/>
    <s v="Professional"/>
    <n v="2"/>
    <x v="3"/>
    <n v="1"/>
    <n v="1"/>
    <n v="1"/>
    <n v="1"/>
    <n v="1"/>
    <s v="Y"/>
    <n v="2000"/>
    <x v="1"/>
  </r>
  <r>
    <s v="23.10.19"/>
    <d v="1899-12-30T11:49:00"/>
    <m/>
    <s v="D"/>
    <n v="2"/>
    <s v="Road Vehicle"/>
    <n v="4"/>
    <x v="3"/>
    <x v="0"/>
    <n v="3"/>
    <x v="2"/>
    <s v="KABALE TOWN"/>
    <s v="KABALE"/>
    <s v="UG"/>
    <n v="4"/>
    <s v="Commercial"/>
    <s v="KASESE TOWN"/>
    <s v="KASESE"/>
    <s v="UG"/>
    <n v="4"/>
    <s v="Commercial"/>
    <x v="18"/>
    <n v="20000"/>
    <n v="223"/>
    <x v="3"/>
    <n v="3"/>
    <x v="0"/>
    <n v="5"/>
    <s v="Professional"/>
    <n v="2"/>
    <x v="3"/>
    <n v="1"/>
    <n v="1"/>
    <n v="1"/>
    <n v="1"/>
    <n v="1"/>
    <s v="Y"/>
    <n v="1000"/>
    <x v="4"/>
  </r>
  <r>
    <s v="23.10.19"/>
    <d v="1899-12-30T12:23:00"/>
    <m/>
    <s v="D"/>
    <n v="2"/>
    <s v="Road Vehicle"/>
    <n v="4"/>
    <x v="3"/>
    <x v="0"/>
    <n v="3"/>
    <x v="2"/>
    <s v="KABALE TOWN"/>
    <s v="KABALE"/>
    <s v="UG"/>
    <n v="4"/>
    <s v="Commercial"/>
    <s v="FORTPORTAL TOWN"/>
    <s v="FORTPORTAL"/>
    <s v="UG"/>
    <n v="4"/>
    <s v="Commercial"/>
    <x v="18"/>
    <n v="300000"/>
    <n v="312"/>
    <x v="3"/>
    <n v="4"/>
    <x v="2"/>
    <n v="5"/>
    <s v="Professional"/>
    <n v="3"/>
    <x v="1"/>
    <n v="5"/>
    <n v="5"/>
    <n v="1"/>
    <n v="1"/>
    <n v="5"/>
    <s v="Y"/>
    <n v="5000"/>
    <x v="2"/>
  </r>
  <r>
    <s v="23.10.19"/>
    <d v="1899-12-30T13:36:00"/>
    <m/>
    <s v="D"/>
    <n v="2"/>
    <s v="Road Vehicle"/>
    <n v="4"/>
    <x v="3"/>
    <x v="0"/>
    <n v="3"/>
    <x v="2"/>
    <s v="KISIIZI TOWN"/>
    <s v="RUKUNGIRI"/>
    <s v="UG"/>
    <n v="4"/>
    <s v="Commercial"/>
    <s v="KABALE TOWN"/>
    <s v="KABALE"/>
    <s v="UG"/>
    <n v="4"/>
    <s v="Commercial"/>
    <x v="18"/>
    <n v="3000"/>
    <n v="40"/>
    <x v="5"/>
    <n v="0.66"/>
    <x v="4"/>
    <n v="5"/>
    <s v="Professional"/>
    <n v="2"/>
    <x v="3"/>
    <n v="1"/>
    <n v="5"/>
    <n v="5"/>
    <n v="5"/>
    <n v="1"/>
    <s v="Y"/>
    <n v="0"/>
    <x v="3"/>
  </r>
  <r>
    <s v="23.10.19"/>
    <d v="1899-12-30T11:34:00"/>
    <s v="UAS 136V"/>
    <s v="D"/>
    <n v="2"/>
    <s v="Road Vehicle"/>
    <n v="4"/>
    <x v="3"/>
    <x v="0"/>
    <n v="3"/>
    <x v="2"/>
    <s v="KABALE TOWN"/>
    <s v="KABALE"/>
    <s v="UG"/>
    <n v="2"/>
    <s v="Work"/>
    <s v="LUKINDA"/>
    <s v="KABALE"/>
    <s v="UG"/>
    <n v="1"/>
    <s v="Home"/>
    <x v="4"/>
    <n v="30000"/>
    <n v="15"/>
    <x v="6"/>
    <n v="0.83"/>
    <x v="4"/>
    <n v="10"/>
    <s v="Other"/>
    <n v="1"/>
    <x v="2"/>
    <n v="2"/>
    <n v="2"/>
    <n v="2"/>
    <n v="2"/>
    <n v="2"/>
    <s v="Y"/>
    <n v="0"/>
    <x v="3"/>
  </r>
  <r>
    <s v="23.10.19"/>
    <d v="1899-12-30T08:19:00"/>
    <m/>
    <s v="P"/>
    <n v="2"/>
    <s v="Road Vehicle"/>
    <n v="3"/>
    <x v="9"/>
    <x v="1"/>
    <n v="3"/>
    <x v="2"/>
    <s v="RUBANDA TOWN"/>
    <s v="RUBANDA"/>
    <s v="UG"/>
    <n v="4"/>
    <s v="Commercial"/>
    <s v="KABALE TOWN"/>
    <s v="KABALE"/>
    <s v="UG"/>
    <n v="1"/>
    <s v="Home"/>
    <x v="3"/>
    <n v="10000"/>
    <n v="33"/>
    <x v="4"/>
    <n v="0.83"/>
    <x v="4"/>
    <n v="5"/>
    <s v="Professional"/>
    <n v="5"/>
    <x v="4"/>
    <n v="2"/>
    <n v="2"/>
    <n v="2"/>
    <n v="3"/>
    <n v="3"/>
    <s v="Y"/>
    <n v="5000"/>
    <x v="2"/>
  </r>
  <r>
    <s v="21.10.19"/>
    <d v="1899-12-30T16:39:00"/>
    <s v="UG 0461R"/>
    <s v="D"/>
    <n v="2"/>
    <s v="Road Vehicle"/>
    <n v="2"/>
    <x v="6"/>
    <x v="1"/>
    <n v="3"/>
    <x v="2"/>
    <s v="KABALE TOWN"/>
    <s v="KABALE"/>
    <s v="UG"/>
    <n v="2"/>
    <s v="Work"/>
    <s v="KAZIRA"/>
    <s v="KABALE"/>
    <s v="UG"/>
    <n v="1"/>
    <s v="Home"/>
    <x v="4"/>
    <n v="5000"/>
    <n v="3"/>
    <x v="0"/>
    <n v="0.05"/>
    <x v="3"/>
    <n v="4"/>
    <s v="Office Worker"/>
    <n v="5"/>
    <x v="4"/>
    <n v="1"/>
    <n v="1"/>
    <n v="1"/>
    <n v="1"/>
    <n v="1"/>
    <s v="Y"/>
    <n v="5000"/>
    <x v="2"/>
  </r>
  <r>
    <s v="21.10.19"/>
    <d v="1899-12-30T16:08:00"/>
    <s v="UBB 776S"/>
    <s v="D"/>
    <n v="2"/>
    <s v="Road Vehicle"/>
    <n v="9"/>
    <x v="8"/>
    <x v="0"/>
    <n v="4"/>
    <x v="3"/>
    <s v="KISORO TOWN"/>
    <s v="KISORO"/>
    <s v="UG"/>
    <n v="4"/>
    <s v="Commercial"/>
    <s v="KAMPALA TOWN"/>
    <s v="KAMPALA"/>
    <s v="UG"/>
    <n v="2"/>
    <s v="Work"/>
    <x v="24"/>
    <n v="500000"/>
    <n v="460"/>
    <x v="3"/>
    <n v="16"/>
    <x v="2"/>
    <n v="5"/>
    <s v="Professional"/>
    <n v="5"/>
    <x v="4"/>
    <n v="3"/>
    <n v="3"/>
    <n v="3"/>
    <n v="3"/>
    <n v="2"/>
    <s v="Y"/>
    <n v="5000"/>
    <x v="2"/>
  </r>
  <r>
    <s v="21.10.19"/>
    <d v="1899-12-30T15:28:00"/>
    <s v="UBA 002P"/>
    <s v="D"/>
    <n v="2"/>
    <s v="Road Vehicle"/>
    <n v="6"/>
    <x v="1"/>
    <x v="0"/>
    <n v="4"/>
    <x v="3"/>
    <s v="KISORO TOWN"/>
    <s v="KISORO"/>
    <s v="UG"/>
    <n v="2"/>
    <s v="Work"/>
    <s v="KAMPALA TOWN"/>
    <s v="KAMPALA"/>
    <s v="UG"/>
    <n v="2"/>
    <s v="Work"/>
    <x v="2"/>
    <n v="350000"/>
    <n v="436"/>
    <x v="3"/>
    <n v="14"/>
    <x v="2"/>
    <n v="5"/>
    <s v="Professional"/>
    <n v="5"/>
    <x v="4"/>
    <n v="1"/>
    <n v="1"/>
    <n v="1"/>
    <n v="1"/>
    <n v="1"/>
    <s v="Y"/>
    <n v="5000"/>
    <x v="2"/>
  </r>
  <r>
    <s v="21.10.19"/>
    <d v="1899-12-30T14:33:00"/>
    <s v="UAX 410K"/>
    <s v="D"/>
    <n v="2"/>
    <s v="Road Vehicle"/>
    <n v="6"/>
    <x v="1"/>
    <x v="0"/>
    <n v="4"/>
    <x v="3"/>
    <s v="KISORO TOWN"/>
    <s v="KISORO"/>
    <s v="UG"/>
    <n v="2"/>
    <s v="Work"/>
    <s v="KAMPALA TOWN"/>
    <s v="KAMPALA"/>
    <s v="UG"/>
    <n v="2"/>
    <s v="Work"/>
    <x v="2"/>
    <n v="320000"/>
    <n v="480"/>
    <x v="3"/>
    <n v="14"/>
    <x v="2"/>
    <n v="5"/>
    <s v="Professional"/>
    <n v="5"/>
    <x v="4"/>
    <n v="1"/>
    <n v="1"/>
    <n v="1"/>
    <n v="1"/>
    <n v="1"/>
    <s v="Y"/>
    <n v="5000"/>
    <x v="2"/>
  </r>
  <r>
    <s v="22.10.19"/>
    <d v="1899-12-30T09:24:00"/>
    <m/>
    <s v="P"/>
    <n v="2"/>
    <s v="Road Vehicle"/>
    <n v="4"/>
    <x v="3"/>
    <x v="1"/>
    <n v="4"/>
    <x v="3"/>
    <s v="KABALE TOWN"/>
    <s v="KABALE"/>
    <s v="UG"/>
    <n v="1"/>
    <s v="Home"/>
    <s v="ISHAKA TOWN"/>
    <s v="ISHAKA"/>
    <s v="UG"/>
    <n v="3"/>
    <s v="Study"/>
    <x v="25"/>
    <n v="25000"/>
    <n v="260"/>
    <x v="3"/>
    <n v="3"/>
    <x v="0"/>
    <n v="1"/>
    <s v="Unemployed"/>
    <n v="1"/>
    <x v="2"/>
    <n v="1"/>
    <n v="1"/>
    <n v="1"/>
    <n v="1"/>
    <n v="5"/>
    <s v="Y"/>
    <n v="0"/>
    <x v="3"/>
  </r>
  <r>
    <s v="23.10.19"/>
    <d v="1899-12-30T09:22:00"/>
    <m/>
    <s v="P"/>
    <n v="2"/>
    <s v="Road Vehicle"/>
    <n v="4"/>
    <x v="3"/>
    <x v="1"/>
    <n v="4"/>
    <x v="3"/>
    <s v="KABALE TOWN"/>
    <s v="KABALE"/>
    <s v="UG"/>
    <n v="1"/>
    <s v="Home"/>
    <s v="MBARARA TOWN"/>
    <s v="MBARARA"/>
    <s v="UG"/>
    <n v="7"/>
    <s v="Hospital"/>
    <x v="32"/>
    <n v="15000"/>
    <n v="139"/>
    <x v="2"/>
    <n v="2"/>
    <x v="0"/>
    <n v="2"/>
    <s v="Manual Labour"/>
    <n v="2"/>
    <x v="3"/>
    <n v="1"/>
    <n v="1"/>
    <n v="1"/>
    <n v="1"/>
    <n v="1"/>
    <s v="Y"/>
    <n v="1000"/>
    <x v="4"/>
  </r>
  <r>
    <s v="21.10.19"/>
    <d v="1899-12-30T18:17:00"/>
    <s v="UBA 059Y"/>
    <s v="D"/>
    <n v="2"/>
    <s v="Road Vehicle"/>
    <n v="4"/>
    <x v="3"/>
    <x v="0"/>
    <n v="4"/>
    <x v="3"/>
    <s v="KABALE TOWN"/>
    <s v="KABALE"/>
    <s v="UG"/>
    <n v="4"/>
    <s v="Commercial"/>
    <s v="HOIMA TOWN"/>
    <s v="HOIMA"/>
    <s v="UG"/>
    <n v="4"/>
    <s v="Commercial"/>
    <x v="18"/>
    <n v="200000"/>
    <n v="460"/>
    <x v="3"/>
    <n v="4"/>
    <x v="2"/>
    <n v="5"/>
    <s v="Professional"/>
    <n v="2"/>
    <x v="3"/>
    <n v="5"/>
    <n v="5"/>
    <n v="1"/>
    <n v="5"/>
    <n v="5"/>
    <s v="Y"/>
    <n v="2000"/>
    <x v="1"/>
  </r>
  <r>
    <s v="22.10.19"/>
    <d v="1899-12-30T10:15:00"/>
    <m/>
    <s v="P"/>
    <n v="2"/>
    <s v="Road Vehicle"/>
    <n v="4"/>
    <x v="3"/>
    <x v="0"/>
    <n v="4"/>
    <x v="3"/>
    <s v="RISINJI"/>
    <s v="KABALE"/>
    <s v="UG"/>
    <n v="1"/>
    <s v="Home"/>
    <s v="KABALE TOWN"/>
    <s v="KABALE"/>
    <s v="UG"/>
    <n v="1"/>
    <s v="Home"/>
    <x v="16"/>
    <n v="7000"/>
    <n v="3"/>
    <x v="0"/>
    <n v="0.5"/>
    <x v="4"/>
    <n v="4"/>
    <s v="Office Worker"/>
    <n v="3"/>
    <x v="1"/>
    <n v="1"/>
    <n v="5"/>
    <n v="5"/>
    <n v="5"/>
    <n v="1"/>
    <s v="Y"/>
    <n v="2000"/>
    <x v="1"/>
  </r>
  <r>
    <s v="22.10.19"/>
    <d v="1899-12-30T11:57:00"/>
    <s v="UAY 566Y"/>
    <s v="D"/>
    <n v="2"/>
    <s v="Road Vehicle"/>
    <n v="4"/>
    <x v="3"/>
    <x v="0"/>
    <n v="4"/>
    <x v="3"/>
    <s v="KABALE TOWN"/>
    <s v="KABALE"/>
    <s v="UG"/>
    <n v="4"/>
    <s v="Commercial"/>
    <s v="KASHERERE"/>
    <s v="KABALE"/>
    <s v="UG"/>
    <n v="4"/>
    <s v="Commercial"/>
    <x v="18"/>
    <n v="30000"/>
    <n v="42"/>
    <x v="5"/>
    <n v="0.66"/>
    <x v="4"/>
    <n v="5"/>
    <s v="Professional"/>
    <n v="2"/>
    <x v="3"/>
    <n v="5"/>
    <n v="5"/>
    <n v="5"/>
    <n v="5"/>
    <n v="5"/>
    <s v="Y"/>
    <n v="1000"/>
    <x v="4"/>
  </r>
  <r>
    <s v="22.10.19"/>
    <d v="1899-12-30T12:17:00"/>
    <s v="UAA 588V"/>
    <s v="D"/>
    <n v="2"/>
    <s v="Road Vehicle"/>
    <n v="4"/>
    <x v="3"/>
    <x v="0"/>
    <n v="4"/>
    <x v="3"/>
    <s v="KATUNA"/>
    <s v="KABALE"/>
    <s v="UG"/>
    <n v="4"/>
    <s v="Commercial"/>
    <s v="KABALE TOWN"/>
    <s v="KABALE"/>
    <s v="UG"/>
    <n v="4"/>
    <s v="Commercial"/>
    <x v="18"/>
    <n v="10000"/>
    <n v="2"/>
    <x v="0"/>
    <n v="0.28000000000000003"/>
    <x v="3"/>
    <n v="5"/>
    <s v="Professional"/>
    <n v="2"/>
    <x v="3"/>
    <n v="5"/>
    <n v="5"/>
    <n v="1"/>
    <n v="5"/>
    <n v="1"/>
    <s v="Y"/>
    <n v="2000"/>
    <x v="1"/>
  </r>
  <r>
    <s v="22.10.19"/>
    <d v="1899-12-30T15:06:00"/>
    <m/>
    <s v="P"/>
    <n v="2"/>
    <s v="Road Vehicle"/>
    <n v="4"/>
    <x v="3"/>
    <x v="0"/>
    <n v="4"/>
    <x v="3"/>
    <s v="KABALE TOWN"/>
    <s v="KABALE"/>
    <s v="UG"/>
    <n v="1"/>
    <s v="Home"/>
    <s v="KAMPALA TOWN"/>
    <s v="KAMPALA"/>
    <s v="UG"/>
    <n v="2"/>
    <s v="Work"/>
    <x v="1"/>
    <n v="40000"/>
    <n v="399"/>
    <x v="3"/>
    <n v="5"/>
    <x v="2"/>
    <n v="5"/>
    <s v="Professional"/>
    <n v="3"/>
    <x v="1"/>
    <n v="5"/>
    <n v="5"/>
    <n v="1"/>
    <n v="5"/>
    <n v="1"/>
    <s v="Y"/>
    <n v="10000"/>
    <x v="5"/>
  </r>
  <r>
    <s v="22.10.19"/>
    <d v="1899-12-30T16:36:00"/>
    <s v="UAF 068X"/>
    <s v="D"/>
    <n v="2"/>
    <s v="Road Vehicle"/>
    <n v="4"/>
    <x v="3"/>
    <x v="0"/>
    <n v="4"/>
    <x v="3"/>
    <s v="KABALE TOWN"/>
    <s v="KABALE"/>
    <s v="UG"/>
    <n v="4"/>
    <s v="Commercial"/>
    <s v="KAGADI TOWN"/>
    <s v="KAGADI"/>
    <s v="UG"/>
    <n v="4"/>
    <s v="Commercial"/>
    <x v="18"/>
    <n v="100000"/>
    <n v="560"/>
    <x v="3"/>
    <n v="5"/>
    <x v="2"/>
    <n v="5"/>
    <s v="Professional"/>
    <n v="2"/>
    <x v="3"/>
    <n v="5"/>
    <n v="5"/>
    <n v="5"/>
    <n v="5"/>
    <n v="1"/>
    <s v="Y"/>
    <n v="5000"/>
    <x v="2"/>
  </r>
  <r>
    <s v="23.10.19"/>
    <d v="1899-12-30T07:37:00"/>
    <m/>
    <s v="D"/>
    <n v="2"/>
    <s v="Road Vehicle"/>
    <n v="4"/>
    <x v="3"/>
    <x v="0"/>
    <n v="4"/>
    <x v="3"/>
    <s v="KYANIKA TOWN"/>
    <s v="KISORO"/>
    <s v="UG"/>
    <n v="4"/>
    <s v="Commercial"/>
    <s v="KAMPALA TOWN"/>
    <s v="KAMPALA"/>
    <s v="UG"/>
    <n v="4"/>
    <s v="Commercial"/>
    <x v="18"/>
    <n v="200000"/>
    <n v="470"/>
    <x v="3"/>
    <n v="8"/>
    <x v="2"/>
    <n v="5"/>
    <s v="Professional"/>
    <n v="2"/>
    <x v="3"/>
    <n v="5"/>
    <n v="1"/>
    <n v="5"/>
    <n v="5"/>
    <n v="5"/>
    <s v="Y"/>
    <n v="1000"/>
    <x v="4"/>
  </r>
  <r>
    <s v="23.10.19"/>
    <d v="1899-12-30T09:35:00"/>
    <m/>
    <s v="D"/>
    <n v="2"/>
    <s v="Road Vehicle"/>
    <n v="4"/>
    <x v="3"/>
    <x v="0"/>
    <n v="4"/>
    <x v="3"/>
    <s v="KABALE TOWN"/>
    <s v="KABALE"/>
    <s v="UG"/>
    <n v="4"/>
    <s v="Commercial"/>
    <s v="KAMWENGE TOWN"/>
    <s v="KAMWENGE"/>
    <s v="UG"/>
    <n v="4"/>
    <s v="Commercial"/>
    <x v="18"/>
    <n v="300000"/>
    <n v="360"/>
    <x v="3"/>
    <n v="3"/>
    <x v="0"/>
    <n v="5"/>
    <s v="Professional"/>
    <n v="2"/>
    <x v="3"/>
    <n v="1"/>
    <n v="5"/>
    <n v="5"/>
    <n v="5"/>
    <n v="5"/>
    <s v="Y"/>
    <n v="1000"/>
    <x v="4"/>
  </r>
  <r>
    <s v="23.10.19"/>
    <d v="1899-12-30T10:27:00"/>
    <m/>
    <s v="P"/>
    <n v="2"/>
    <s v="Road Vehicle"/>
    <n v="4"/>
    <x v="3"/>
    <x v="1"/>
    <n v="5"/>
    <x v="4"/>
    <s v="KABALE TOWN"/>
    <s v="KABALE"/>
    <s v="UG"/>
    <n v="1"/>
    <s v="Home"/>
    <s v="MBARARA TOWN"/>
    <s v="MBARARA"/>
    <s v="UG"/>
    <n v="7"/>
    <s v="Hospital"/>
    <x v="32"/>
    <n v="15000"/>
    <n v="136"/>
    <x v="2"/>
    <n v="2"/>
    <x v="0"/>
    <n v="3"/>
    <s v="Artisan/Domestic"/>
    <n v="2"/>
    <x v="3"/>
    <n v="1"/>
    <n v="1"/>
    <n v="1"/>
    <n v="1"/>
    <n v="1"/>
    <s v="Y"/>
    <n v="0"/>
    <x v="3"/>
  </r>
  <r>
    <d v="2019-10-18T00:00:00"/>
    <d v="1899-12-30T14:45:00"/>
    <m/>
    <s v="P"/>
    <n v="1"/>
    <s v="Walking/Cycling"/>
    <n v="13"/>
    <x v="5"/>
    <x v="1"/>
    <n v="1"/>
    <x v="0"/>
    <s v="LIGHT S.S"/>
    <s v="BUSHENYI"/>
    <s v="UGA"/>
    <n v="3"/>
    <s v="Study"/>
    <s v="ISHAKA"/>
    <s v="BUSHENYI"/>
    <s v="UGA"/>
    <n v="1"/>
    <s v="Home"/>
    <x v="9"/>
    <n v="1000"/>
    <m/>
    <x v="0"/>
    <n v="0.3"/>
    <x v="3"/>
    <n v="8"/>
    <s v="Student"/>
    <n v="1"/>
    <x v="2"/>
    <n v="1"/>
    <n v="1"/>
    <n v="1"/>
    <n v="1"/>
    <n v="1"/>
    <s v="Y"/>
    <m/>
    <x v="3"/>
  </r>
  <r>
    <d v="2019-10-18T00:00:00"/>
    <d v="1899-12-30T15:20:00"/>
    <m/>
    <s v="P"/>
    <n v="1"/>
    <s v="Walking/Cycling"/>
    <n v="13"/>
    <x v="5"/>
    <x v="1"/>
    <n v="1"/>
    <x v="0"/>
    <s v="KIZINDA"/>
    <s v="BUSHENYI"/>
    <s v="UGA"/>
    <n v="3"/>
    <s v="Study"/>
    <s v="ISHAKA"/>
    <s v="BUSHENYI"/>
    <s v="UGA"/>
    <n v="1"/>
    <s v="Home"/>
    <x v="9"/>
    <n v="1000"/>
    <m/>
    <x v="0"/>
    <n v="0.2"/>
    <x v="3"/>
    <n v="8"/>
    <s v="Student"/>
    <n v="1"/>
    <x v="2"/>
    <n v="1"/>
    <n v="2"/>
    <n v="3"/>
    <n v="4"/>
    <n v="5"/>
    <s v="N"/>
    <m/>
    <x v="3"/>
  </r>
  <r>
    <d v="2019-10-18T00:00:00"/>
    <d v="1899-12-30T16:15:00"/>
    <m/>
    <m/>
    <n v="1"/>
    <s v="Walking/Cycling"/>
    <n v="13"/>
    <x v="5"/>
    <x v="1"/>
    <n v="1"/>
    <x v="0"/>
    <s v="ISHAKA"/>
    <s v="BUSHENYI"/>
    <s v="UGA"/>
    <n v="3"/>
    <s v="Study"/>
    <s v="NYABUBARE"/>
    <s v="BUSHENYI"/>
    <s v="UGA"/>
    <n v="1"/>
    <s v="Home"/>
    <x v="9"/>
    <n v="1000"/>
    <m/>
    <x v="0"/>
    <n v="0.3"/>
    <x v="3"/>
    <n v="8"/>
    <s v="Student"/>
    <n v="1"/>
    <x v="2"/>
    <n v="3"/>
    <n v="2"/>
    <n v="4"/>
    <n v="1"/>
    <n v="5"/>
    <s v="Y"/>
    <m/>
    <x v="3"/>
  </r>
  <r>
    <d v="2019-10-18T00:00:00"/>
    <d v="1899-12-30T13:50:00"/>
    <m/>
    <m/>
    <n v="1"/>
    <s v="Walking/Cycling"/>
    <n v="13"/>
    <x v="5"/>
    <x v="1"/>
    <n v="1"/>
    <x v="0"/>
    <s v="KYAMUWUNGA"/>
    <s v="BUSHENYI"/>
    <s v="UGA"/>
    <n v="3"/>
    <s v="Study"/>
    <s v="BUTARE"/>
    <s v="BUSHENYI"/>
    <s v="UGA"/>
    <n v="1"/>
    <s v="Home"/>
    <x v="9"/>
    <n v="2000"/>
    <m/>
    <x v="0"/>
    <n v="0.3"/>
    <x v="3"/>
    <n v="8"/>
    <s v="Student"/>
    <n v="1"/>
    <x v="2"/>
    <n v="1"/>
    <n v="2"/>
    <n v="4"/>
    <n v="3"/>
    <n v="5"/>
    <s v="Y"/>
    <n v="500"/>
    <x v="3"/>
  </r>
  <r>
    <d v="2019-10-18T00:00:00"/>
    <d v="1899-12-30T13:40:00"/>
    <m/>
    <m/>
    <n v="1"/>
    <s v="Walking/Cycling"/>
    <n v="13"/>
    <x v="5"/>
    <x v="1"/>
    <n v="1"/>
    <x v="0"/>
    <s v="KYAMUWUNGA"/>
    <s v="BUSHENYI"/>
    <s v="UGA"/>
    <n v="3"/>
    <s v="Study"/>
    <s v="KALIZA"/>
    <s v="BUSHENYI"/>
    <s v="UGA"/>
    <n v="1"/>
    <s v="Home"/>
    <x v="9"/>
    <n v="1000"/>
    <m/>
    <x v="0"/>
    <n v="0.2"/>
    <x v="3"/>
    <n v="8"/>
    <s v="Student"/>
    <n v="1"/>
    <x v="2"/>
    <n v="1"/>
    <n v="2"/>
    <n v="4"/>
    <n v="3"/>
    <n v="5"/>
    <s v="Y"/>
    <m/>
    <x v="3"/>
  </r>
  <r>
    <d v="2019-10-19T00:00:00"/>
    <d v="1899-12-30T09:35:00"/>
    <m/>
    <m/>
    <n v="1"/>
    <s v="Walking/Cycling"/>
    <n v="13"/>
    <x v="5"/>
    <x v="1"/>
    <n v="1"/>
    <x v="0"/>
    <s v="KIZINDA"/>
    <s v="BUSHENYI"/>
    <s v="UGA"/>
    <n v="1"/>
    <s v="Home"/>
    <s v="ST.KAGWA"/>
    <s v="BUSHENYI"/>
    <s v="UGA"/>
    <n v="3"/>
    <s v="Study"/>
    <x v="25"/>
    <n v="1500"/>
    <n v="5"/>
    <x v="0"/>
    <n v="0.2"/>
    <x v="3"/>
    <n v="8"/>
    <s v="Student"/>
    <n v="1"/>
    <x v="2"/>
    <n v="1"/>
    <n v="2"/>
    <n v="5"/>
    <n v="3"/>
    <n v="4"/>
    <s v="Y"/>
    <n v="1000"/>
    <x v="4"/>
  </r>
  <r>
    <d v="2019-10-19T00:00:00"/>
    <d v="1899-12-30T09:42:00"/>
    <m/>
    <m/>
    <n v="1"/>
    <s v="Walking/Cycling"/>
    <n v="13"/>
    <x v="5"/>
    <x v="1"/>
    <n v="1"/>
    <x v="0"/>
    <s v="NSUMI"/>
    <s v="BUSHENYI"/>
    <s v="UGA"/>
    <n v="1"/>
    <s v="Home"/>
    <s v="ISHAKA"/>
    <s v="BUSHENYI"/>
    <s v="UGA"/>
    <n v="8"/>
    <s v="Others"/>
    <x v="13"/>
    <n v="2000"/>
    <n v="5"/>
    <x v="0"/>
    <n v="0.2"/>
    <x v="3"/>
    <n v="7"/>
    <s v="Farmer"/>
    <n v="1"/>
    <x v="2"/>
    <n v="5"/>
    <n v="4"/>
    <n v="3"/>
    <n v="1"/>
    <n v="2"/>
    <s v="Y"/>
    <m/>
    <x v="3"/>
  </r>
  <r>
    <d v="2019-10-19T00:00:00"/>
    <d v="1899-12-30T16:31:00"/>
    <m/>
    <m/>
    <n v="1"/>
    <s v="Walking/Cycling"/>
    <n v="13"/>
    <x v="5"/>
    <x v="1"/>
    <n v="1"/>
    <x v="0"/>
    <s v="KIZINDA"/>
    <s v="BUSHENYI"/>
    <s v="UGA"/>
    <n v="1"/>
    <s v="Home"/>
    <s v="ISHAKA"/>
    <s v="BUSHENYI"/>
    <s v="UGA"/>
    <n v="6"/>
    <s v="Leisure/Social"/>
    <x v="8"/>
    <n v="1000"/>
    <m/>
    <x v="0"/>
    <n v="0.1"/>
    <x v="3"/>
    <n v="7"/>
    <s v="Farmer"/>
    <n v="2"/>
    <x v="3"/>
    <n v="2"/>
    <n v="1"/>
    <n v="3"/>
    <n v="4"/>
    <n v="5"/>
    <s v="Y"/>
    <m/>
    <x v="3"/>
  </r>
  <r>
    <d v="2019-10-20T00:00:00"/>
    <d v="1899-12-30T15:06:00"/>
    <m/>
    <s v="P"/>
    <n v="1"/>
    <s v="Walking/Cycling"/>
    <n v="13"/>
    <x v="5"/>
    <x v="1"/>
    <n v="1"/>
    <x v="0"/>
    <s v="KIZINDA"/>
    <s v="BUSHENYI"/>
    <s v="UGA"/>
    <n v="1"/>
    <s v="Home"/>
    <s v="ADVENTIST SCHOOL"/>
    <s v="BUSHENYI"/>
    <s v="UGA"/>
    <n v="3"/>
    <s v="Study"/>
    <x v="25"/>
    <n v="1500"/>
    <m/>
    <x v="0"/>
    <n v="0.3"/>
    <x v="3"/>
    <n v="8"/>
    <s v="Student"/>
    <n v="1"/>
    <x v="2"/>
    <n v="3"/>
    <n v="1"/>
    <n v="2"/>
    <n v="5"/>
    <n v="4"/>
    <s v="Y"/>
    <n v="1000"/>
    <x v="4"/>
  </r>
  <r>
    <d v="2019-10-20T00:00:00"/>
    <d v="1899-12-30T17:27:00"/>
    <m/>
    <m/>
    <n v="1"/>
    <s v="Walking/Cycling"/>
    <n v="13"/>
    <x v="5"/>
    <x v="1"/>
    <n v="1"/>
    <x v="0"/>
    <s v="ISHAKA"/>
    <s v="BUSHENYI"/>
    <s v="UGA"/>
    <n v="3"/>
    <s v="Study"/>
    <s v="RUBIRIZI"/>
    <s v="RUBIRIZI"/>
    <s v="UGA"/>
    <n v="1"/>
    <s v="Home"/>
    <x v="9"/>
    <n v="5000"/>
    <m/>
    <x v="0"/>
    <n v="1.5"/>
    <x v="1"/>
    <n v="8"/>
    <s v="Student"/>
    <n v="1"/>
    <x v="2"/>
    <n v="3"/>
    <n v="4"/>
    <n v="1"/>
    <n v="2"/>
    <n v="5"/>
    <s v="Y"/>
    <n v="2000"/>
    <x v="1"/>
  </r>
  <r>
    <d v="2019-10-20T00:00:00"/>
    <d v="1899-12-30T17:53:00"/>
    <m/>
    <m/>
    <n v="1"/>
    <s v="Walking/Cycling"/>
    <n v="13"/>
    <x v="5"/>
    <x v="1"/>
    <n v="1"/>
    <x v="0"/>
    <s v="KIGOMA"/>
    <s v="BUSHENYI"/>
    <s v="UGA"/>
    <n v="1"/>
    <s v="Home"/>
    <s v="ISHAKA"/>
    <s v="BUSHENYI"/>
    <s v="UGA"/>
    <n v="2"/>
    <s v="Work"/>
    <x v="1"/>
    <n v="1000"/>
    <m/>
    <x v="0"/>
    <n v="0.2"/>
    <x v="3"/>
    <n v="10"/>
    <s v="Other"/>
    <n v="1"/>
    <x v="2"/>
    <n v="3"/>
    <n v="2"/>
    <n v="5"/>
    <n v="1"/>
    <n v="4"/>
    <s v="Y"/>
    <n v="1500"/>
    <x v="4"/>
  </r>
  <r>
    <d v="2019-10-20T00:00:00"/>
    <d v="1899-12-30T17:59:00"/>
    <m/>
    <m/>
    <n v="1"/>
    <s v="Walking/Cycling"/>
    <n v="13"/>
    <x v="5"/>
    <x v="1"/>
    <n v="1"/>
    <x v="0"/>
    <s v="ST.GEORGE"/>
    <s v="BUSHENYI"/>
    <s v="UGA"/>
    <n v="3"/>
    <s v="Study"/>
    <s v="KASOZI"/>
    <s v="BUSHENYI"/>
    <s v="UGA"/>
    <n v="1"/>
    <s v="Home"/>
    <x v="9"/>
    <n v="2000"/>
    <m/>
    <x v="0"/>
    <n v="0.5"/>
    <x v="4"/>
    <n v="8"/>
    <s v="Student"/>
    <n v="1"/>
    <x v="2"/>
    <n v="2"/>
    <n v="4"/>
    <n v="3"/>
    <n v="1"/>
    <n v="5"/>
    <s v="Y"/>
    <n v="1000"/>
    <x v="4"/>
  </r>
  <r>
    <d v="2019-10-18T00:00:00"/>
    <d v="1899-12-30T17:30:00"/>
    <m/>
    <m/>
    <n v="1"/>
    <s v="Walking/Cycling"/>
    <n v="13"/>
    <x v="5"/>
    <x v="0"/>
    <n v="1"/>
    <x v="0"/>
    <s v="LIGHT S.S"/>
    <s v="BUSHENYI"/>
    <s v="UGA"/>
    <n v="3"/>
    <s v="Study"/>
    <s v="ISHAKA"/>
    <s v="BUSHENYI"/>
    <s v="UGA"/>
    <n v="1"/>
    <s v="Home"/>
    <x v="9"/>
    <m/>
    <m/>
    <x v="0"/>
    <m/>
    <x v="3"/>
    <n v="8"/>
    <s v="Student"/>
    <n v="1"/>
    <x v="2"/>
    <n v="3"/>
    <n v="1"/>
    <n v="2"/>
    <n v="5"/>
    <n v="4"/>
    <s v="Y"/>
    <n v="5000"/>
    <x v="2"/>
  </r>
  <r>
    <d v="2019-10-18T00:00:00"/>
    <d v="1899-12-30T18:00:00"/>
    <m/>
    <m/>
    <n v="1"/>
    <s v="Walking/Cycling"/>
    <n v="13"/>
    <x v="5"/>
    <x v="0"/>
    <n v="1"/>
    <x v="0"/>
    <s v="LIGHT S.S"/>
    <s v="BUSHENYI"/>
    <s v="UGA"/>
    <n v="3"/>
    <s v="Study"/>
    <s v="ISHAKA"/>
    <s v="BUSHENYI"/>
    <s v="UGA"/>
    <n v="1"/>
    <s v="Home"/>
    <x v="9"/>
    <n v="1000"/>
    <m/>
    <x v="0"/>
    <n v="0.3"/>
    <x v="3"/>
    <n v="8"/>
    <s v="Student"/>
    <n v="1"/>
    <x v="2"/>
    <n v="1"/>
    <n v="2"/>
    <n v="3"/>
    <n v="4"/>
    <n v="5"/>
    <s v="Y"/>
    <m/>
    <x v="3"/>
  </r>
  <r>
    <d v="2019-10-19T00:00:00"/>
    <d v="1899-12-30T10:39:00"/>
    <m/>
    <s v="P"/>
    <n v="1"/>
    <s v="Walking/Cycling"/>
    <n v="13"/>
    <x v="5"/>
    <x v="0"/>
    <n v="1"/>
    <x v="0"/>
    <s v="SHUKU"/>
    <s v="SHEEMA"/>
    <s v="UGA"/>
    <n v="2"/>
    <s v="Work"/>
    <s v="KIZUMO"/>
    <s v="BUSHENYI"/>
    <s v="UGA"/>
    <n v="1"/>
    <s v="Home"/>
    <x v="4"/>
    <n v="3000"/>
    <n v="20"/>
    <x v="4"/>
    <n v="1"/>
    <x v="1"/>
    <n v="2"/>
    <s v="Manual Labour"/>
    <n v="1"/>
    <x v="2"/>
    <n v="1"/>
    <n v="5"/>
    <n v="2"/>
    <n v="3"/>
    <n v="4"/>
    <s v="Y"/>
    <n v="1000"/>
    <x v="4"/>
  </r>
  <r>
    <d v="2019-10-19T00:00:00"/>
    <d v="1899-12-30T11:52:00"/>
    <m/>
    <m/>
    <n v="1"/>
    <s v="Walking/Cycling"/>
    <n v="13"/>
    <x v="5"/>
    <x v="0"/>
    <n v="1"/>
    <x v="0"/>
    <s v="KYAMAWUNGA"/>
    <s v="BUSHENYI"/>
    <s v="UGA"/>
    <n v="1"/>
    <s v="Home"/>
    <s v="ISHAKA"/>
    <s v="BUSHENYI"/>
    <s v="UGA"/>
    <n v="8"/>
    <s v="Others"/>
    <x v="13"/>
    <n v="1000"/>
    <n v="8"/>
    <x v="0"/>
    <n v="0.1"/>
    <x v="3"/>
    <n v="7"/>
    <s v="Farmer"/>
    <n v="1"/>
    <x v="2"/>
    <n v="2"/>
    <n v="3"/>
    <n v="5"/>
    <n v="1"/>
    <n v="4"/>
    <s v="Y"/>
    <n v="1000"/>
    <x v="4"/>
  </r>
  <r>
    <d v="2019-10-19T00:00:00"/>
    <d v="1899-12-30T16:20:00"/>
    <m/>
    <m/>
    <n v="1"/>
    <s v="Walking/Cycling"/>
    <n v="13"/>
    <x v="5"/>
    <x v="0"/>
    <n v="1"/>
    <x v="0"/>
    <s v="KIZINDA"/>
    <s v="BUSHENYI"/>
    <s v="UGA"/>
    <n v="1"/>
    <s v="Home"/>
    <s v="ISHAKA"/>
    <s v="BUSHENYI"/>
    <s v="UGA"/>
    <n v="7"/>
    <s v="Hospital"/>
    <x v="32"/>
    <n v="1000"/>
    <m/>
    <x v="0"/>
    <n v="0.1"/>
    <x v="3"/>
    <n v="7"/>
    <s v="Farmer"/>
    <n v="2"/>
    <x v="3"/>
    <n v="3"/>
    <n v="2"/>
    <n v="1"/>
    <n v="5"/>
    <n v="4"/>
    <s v="Y"/>
    <n v="1000"/>
    <x v="4"/>
  </r>
  <r>
    <d v="2019-10-19T00:00:00"/>
    <d v="1899-12-30T12:47:00"/>
    <m/>
    <s v="P"/>
    <n v="1"/>
    <s v="Walking/Cycling"/>
    <n v="13"/>
    <x v="5"/>
    <x v="0"/>
    <n v="1"/>
    <x v="0"/>
    <s v="KITEMBE"/>
    <s v="SHEEMA"/>
    <s v="UGA"/>
    <n v="1"/>
    <s v="Home"/>
    <s v="ISHAKA"/>
    <s v="BUSHENYI"/>
    <s v="UGA"/>
    <n v="3"/>
    <s v="Study"/>
    <x v="25"/>
    <n v="3000"/>
    <n v="15"/>
    <x v="6"/>
    <n v="0.3"/>
    <x v="3"/>
    <n v="8"/>
    <s v="Student"/>
    <n v="1"/>
    <x v="2"/>
    <n v="5"/>
    <n v="1"/>
    <n v="2"/>
    <n v="3"/>
    <n v="4"/>
    <s v="Y"/>
    <n v="1000"/>
    <x v="4"/>
  </r>
  <r>
    <d v="2019-10-20T00:00:00"/>
    <d v="1899-12-30T10:15:00"/>
    <m/>
    <m/>
    <n v="1"/>
    <s v="Walking/Cycling"/>
    <n v="13"/>
    <x v="5"/>
    <x v="0"/>
    <n v="1"/>
    <x v="0"/>
    <s v="KIZINDA"/>
    <s v="BUSHENYI"/>
    <s v="UGA"/>
    <n v="1"/>
    <s v="Home"/>
    <s v="ISHAKA"/>
    <s v="BUSHENYI"/>
    <s v="UGA"/>
    <n v="6"/>
    <s v="Leisure/Social"/>
    <x v="8"/>
    <n v="1000"/>
    <n v="8"/>
    <x v="0"/>
    <n v="0.3"/>
    <x v="3"/>
    <n v="10"/>
    <s v="Other"/>
    <n v="2"/>
    <x v="3"/>
    <n v="4"/>
    <n v="2"/>
    <n v="3"/>
    <n v="1"/>
    <n v="5"/>
    <s v="Y"/>
    <m/>
    <x v="3"/>
  </r>
  <r>
    <d v="2019-10-20T00:00:00"/>
    <d v="1899-12-30T10:50:00"/>
    <m/>
    <m/>
    <n v="1"/>
    <s v="Walking/Cycling"/>
    <n v="13"/>
    <x v="5"/>
    <x v="0"/>
    <n v="1"/>
    <x v="0"/>
    <s v="KIZINDA"/>
    <s v="BUSHENYI"/>
    <s v="UGA"/>
    <n v="1"/>
    <s v="Home"/>
    <s v="ISHAKA"/>
    <s v="BUSHENYI"/>
    <s v="UGA"/>
    <n v="2"/>
    <s v="Work"/>
    <x v="1"/>
    <n v="1000"/>
    <m/>
    <x v="0"/>
    <n v="0.2"/>
    <x v="3"/>
    <n v="2"/>
    <s v="Manual Labour"/>
    <n v="1"/>
    <x v="2"/>
    <n v="3"/>
    <n v="4"/>
    <n v="2"/>
    <n v="1"/>
    <n v="5"/>
    <s v="Y"/>
    <n v="1000"/>
    <x v="4"/>
  </r>
  <r>
    <d v="2019-10-20T00:00:00"/>
    <d v="1899-12-30T07:30:00"/>
    <m/>
    <m/>
    <n v="1"/>
    <s v="Walking/Cycling"/>
    <n v="13"/>
    <x v="5"/>
    <x v="0"/>
    <n v="1"/>
    <x v="0"/>
    <s v="NYABUBARE"/>
    <s v="BUSHENYI"/>
    <s v="UGA"/>
    <n v="1"/>
    <s v="Home"/>
    <s v="ISHAKA"/>
    <s v="BUSHENYI"/>
    <s v="UGA"/>
    <n v="6"/>
    <s v="Leisure/Social"/>
    <x v="8"/>
    <n v="1000"/>
    <n v="10"/>
    <x v="6"/>
    <n v="0.3"/>
    <x v="3"/>
    <n v="10"/>
    <s v="Other"/>
    <n v="1"/>
    <x v="2"/>
    <n v="4"/>
    <n v="1"/>
    <n v="3"/>
    <n v="5"/>
    <n v="2"/>
    <s v="Y"/>
    <n v="5000"/>
    <x v="2"/>
  </r>
  <r>
    <d v="2019-10-20T00:00:00"/>
    <d v="1899-12-30T17:05:00"/>
    <m/>
    <m/>
    <n v="1"/>
    <s v="Walking/Cycling"/>
    <n v="13"/>
    <x v="5"/>
    <x v="0"/>
    <n v="1"/>
    <x v="0"/>
    <s v="NYABUBARE"/>
    <s v="BUSHENYI"/>
    <s v="UGA"/>
    <n v="1"/>
    <s v="Home"/>
    <s v="ISHAKA"/>
    <s v="BUSHENYI"/>
    <s v="UGA"/>
    <n v="2"/>
    <s v="Work"/>
    <x v="1"/>
    <n v="2000"/>
    <m/>
    <x v="0"/>
    <n v="0.7"/>
    <x v="4"/>
    <n v="6"/>
    <s v="Businessman"/>
    <n v="1"/>
    <x v="2"/>
    <n v="2"/>
    <n v="1"/>
    <n v="4"/>
    <n v="3"/>
    <n v="5"/>
    <s v="Y"/>
    <n v="1000"/>
    <x v="4"/>
  </r>
  <r>
    <d v="2019-10-20T00:00:00"/>
    <d v="1899-12-30T17:25:00"/>
    <m/>
    <m/>
    <n v="1"/>
    <s v="Walking/Cycling"/>
    <n v="13"/>
    <x v="5"/>
    <x v="0"/>
    <n v="1"/>
    <x v="0"/>
    <s v="KIGOMA"/>
    <s v="BUSHENYI"/>
    <s v="UGA"/>
    <n v="1"/>
    <s v="Home"/>
    <s v="ISHAKA"/>
    <s v="BUSHENYI"/>
    <s v="UGA"/>
    <n v="2"/>
    <s v="Work"/>
    <x v="1"/>
    <n v="1000"/>
    <n v="4"/>
    <x v="0"/>
    <n v="0.2"/>
    <x v="3"/>
    <n v="10"/>
    <s v="Other"/>
    <n v="1"/>
    <x v="2"/>
    <m/>
    <m/>
    <m/>
    <m/>
    <m/>
    <s v="Y"/>
    <m/>
    <x v="3"/>
  </r>
  <r>
    <d v="2019-10-20T00:00:00"/>
    <d v="1899-12-30T17:42:00"/>
    <m/>
    <m/>
    <n v="1"/>
    <s v="Walking/Cycling"/>
    <n v="13"/>
    <x v="5"/>
    <x v="0"/>
    <n v="1"/>
    <x v="0"/>
    <s v="NYABUBARE"/>
    <s v="BUSHENYI"/>
    <s v="UGA"/>
    <n v="1"/>
    <s v="Home"/>
    <s v="ISHAKA"/>
    <s v="BUSHENYI"/>
    <s v="UGA"/>
    <n v="2"/>
    <s v="Work"/>
    <x v="1"/>
    <n v="2000"/>
    <n v="18"/>
    <x v="6"/>
    <n v="0.3"/>
    <x v="3"/>
    <n v="10"/>
    <s v="Other"/>
    <n v="2"/>
    <x v="3"/>
    <n v="4"/>
    <n v="2"/>
    <n v="3"/>
    <n v="1"/>
    <n v="5"/>
    <s v="Y"/>
    <n v="1000"/>
    <x v="4"/>
  </r>
  <r>
    <d v="2019-10-20T00:00:00"/>
    <d v="1899-12-30T17:47:00"/>
    <m/>
    <m/>
    <n v="1"/>
    <s v="Walking/Cycling"/>
    <n v="13"/>
    <x v="5"/>
    <x v="0"/>
    <n v="1"/>
    <x v="0"/>
    <s v="KIGOMA"/>
    <s v="BUSHENYI"/>
    <s v="UGA"/>
    <n v="1"/>
    <s v="Home"/>
    <s v="ISHAKA"/>
    <s v="BUSHENYI"/>
    <s v="UGA"/>
    <n v="2"/>
    <s v="Work"/>
    <x v="1"/>
    <n v="1000"/>
    <n v="5"/>
    <x v="0"/>
    <n v="0.2"/>
    <x v="3"/>
    <n v="10"/>
    <s v="Other"/>
    <n v="1"/>
    <x v="2"/>
    <n v="2"/>
    <n v="3"/>
    <n v="4"/>
    <n v="1"/>
    <n v="5"/>
    <s v="Y"/>
    <n v="1000"/>
    <x v="4"/>
  </r>
  <r>
    <d v="2019-10-19T00:00:00"/>
    <d v="1899-12-30T08:38:00"/>
    <m/>
    <s v="P"/>
    <n v="2"/>
    <s v="Road Vehicle"/>
    <n v="1"/>
    <x v="0"/>
    <x v="1"/>
    <n v="1"/>
    <x v="0"/>
    <s v="KITEMBE"/>
    <s v="SHEEMA"/>
    <s v="UGA"/>
    <n v="1"/>
    <s v="Home"/>
    <s v="ISHAKA"/>
    <s v="BUSHENYI"/>
    <s v="UGA"/>
    <n v="8"/>
    <s v="Others"/>
    <x v="13"/>
    <n v="2000"/>
    <n v="15"/>
    <x v="6"/>
    <n v="0.2"/>
    <x v="3"/>
    <n v="7"/>
    <s v="Farmer"/>
    <n v="1"/>
    <x v="2"/>
    <n v="2"/>
    <n v="1"/>
    <n v="3"/>
    <n v="4"/>
    <n v="5"/>
    <s v="Y"/>
    <n v="2000"/>
    <x v="1"/>
  </r>
  <r>
    <d v="2019-10-19T00:00:00"/>
    <m/>
    <m/>
    <s v="P"/>
    <n v="2"/>
    <s v="Road Vehicle"/>
    <n v="1"/>
    <x v="0"/>
    <x v="1"/>
    <n v="1"/>
    <x v="0"/>
    <s v="BUSHENYI"/>
    <s v="BUSHENYI"/>
    <s v="UGA"/>
    <n v="2"/>
    <s v="Work"/>
    <s v="NYAMUFUMA"/>
    <s v="MBARARA"/>
    <s v="UGA"/>
    <n v="1"/>
    <s v="Home"/>
    <x v="4"/>
    <n v="7000"/>
    <m/>
    <x v="0"/>
    <n v="0.8"/>
    <x v="4"/>
    <n v="6"/>
    <s v="Businessman"/>
    <n v="5"/>
    <x v="4"/>
    <n v="1"/>
    <n v="5"/>
    <n v="2"/>
    <n v="3"/>
    <n v="4"/>
    <s v="Y"/>
    <n v="2000"/>
    <x v="1"/>
  </r>
  <r>
    <d v="2019-10-19T00:00:00"/>
    <d v="1899-12-30T11:11:00"/>
    <m/>
    <s v="P"/>
    <n v="2"/>
    <s v="Road Vehicle"/>
    <n v="1"/>
    <x v="0"/>
    <x v="1"/>
    <n v="1"/>
    <x v="0"/>
    <s v="NYAKABIRIZI"/>
    <s v="MBARARA"/>
    <s v="UGA"/>
    <n v="1"/>
    <s v="Home"/>
    <s v="ISHAKA"/>
    <s v="BUSHENYI"/>
    <s v="UGA"/>
    <n v="2"/>
    <s v="Work"/>
    <x v="1"/>
    <n v="10000"/>
    <m/>
    <x v="0"/>
    <n v="1.5"/>
    <x v="1"/>
    <n v="2"/>
    <s v="Manual Labour"/>
    <n v="1"/>
    <x v="2"/>
    <n v="3"/>
    <n v="2"/>
    <n v="4"/>
    <n v="1"/>
    <n v="5"/>
    <s v="Y"/>
    <m/>
    <x v="3"/>
  </r>
  <r>
    <d v="2019-10-20T00:00:00"/>
    <d v="1899-12-30T10:06:00"/>
    <m/>
    <s v="D"/>
    <n v="2"/>
    <s v="Road Vehicle"/>
    <n v="1"/>
    <x v="0"/>
    <x v="1"/>
    <n v="1"/>
    <x v="0"/>
    <s v="KYAMUHANGA"/>
    <s v="BUSHENYI"/>
    <s v="UGA"/>
    <n v="1"/>
    <s v="Home"/>
    <s v="ISHAKA"/>
    <s v="BUSHENYI"/>
    <s v="UGA"/>
    <n v="2"/>
    <s v="Work"/>
    <x v="1"/>
    <n v="10000"/>
    <m/>
    <x v="0"/>
    <n v="0.3"/>
    <x v="3"/>
    <n v="4"/>
    <s v="Office Worker"/>
    <n v="2"/>
    <x v="3"/>
    <n v="3"/>
    <n v="1"/>
    <n v="2"/>
    <n v="5"/>
    <n v="4"/>
    <s v="Y"/>
    <n v="1000"/>
    <x v="4"/>
  </r>
  <r>
    <d v="2019-10-20T00:00:00"/>
    <d v="1899-12-30T10:11:00"/>
    <m/>
    <s v="P"/>
    <n v="2"/>
    <s v="Road Vehicle"/>
    <n v="1"/>
    <x v="0"/>
    <x v="1"/>
    <n v="1"/>
    <x v="0"/>
    <s v="ISHAKA"/>
    <s v="BUSHENYI"/>
    <s v="UGA"/>
    <n v="1"/>
    <s v="Home"/>
    <s v="TOWN CENTER"/>
    <s v="MBARARA"/>
    <s v="UGA"/>
    <n v="3"/>
    <s v="Study"/>
    <x v="25"/>
    <n v="8000"/>
    <m/>
    <x v="0"/>
    <n v="0.8"/>
    <x v="4"/>
    <n v="8"/>
    <s v="Student"/>
    <n v="1"/>
    <x v="2"/>
    <n v="2"/>
    <n v="3"/>
    <n v="5"/>
    <n v="1"/>
    <n v="4"/>
    <s v="Y"/>
    <n v="500"/>
    <x v="3"/>
  </r>
  <r>
    <d v="2019-10-20T00:00:00"/>
    <d v="1899-12-30T10:32:00"/>
    <m/>
    <s v="P"/>
    <n v="2"/>
    <s v="Road Vehicle"/>
    <n v="1"/>
    <x v="0"/>
    <x v="1"/>
    <n v="1"/>
    <x v="0"/>
    <s v="NTALE"/>
    <s v="MBARARA"/>
    <s v="UGA"/>
    <n v="8"/>
    <s v="Others"/>
    <s v="KIREMBE"/>
    <s v="KASESE"/>
    <s v="UGA"/>
    <n v="8"/>
    <s v="Others"/>
    <x v="15"/>
    <n v="19000"/>
    <m/>
    <x v="0"/>
    <m/>
    <x v="3"/>
    <n v="10"/>
    <s v="Other"/>
    <n v="3"/>
    <x v="1"/>
    <m/>
    <m/>
    <m/>
    <m/>
    <m/>
    <s v="Y"/>
    <m/>
    <x v="3"/>
  </r>
  <r>
    <d v="2019-10-20T00:00:00"/>
    <d v="1899-12-30T13:59:00"/>
    <m/>
    <s v="P"/>
    <n v="2"/>
    <s v="Road Vehicle"/>
    <n v="1"/>
    <x v="0"/>
    <x v="1"/>
    <n v="1"/>
    <x v="0"/>
    <s v="ISHAKA"/>
    <s v="BUSHENYI"/>
    <s v="UGA"/>
    <n v="6"/>
    <s v="Leisure/Social"/>
    <s v="BWEBUKONA"/>
    <s v="MBARARA"/>
    <s v="UGA"/>
    <n v="1"/>
    <s v="Home"/>
    <x v="10"/>
    <n v="8000"/>
    <m/>
    <x v="0"/>
    <n v="1"/>
    <x v="1"/>
    <n v="6"/>
    <s v="Businessman"/>
    <n v="2"/>
    <x v="3"/>
    <n v="3"/>
    <n v="1"/>
    <n v="4"/>
    <n v="2"/>
    <n v="5"/>
    <s v="Y"/>
    <n v="1000"/>
    <x v="4"/>
  </r>
  <r>
    <d v="2019-10-20T00:00:00"/>
    <d v="1899-12-30T14:40:00"/>
    <m/>
    <s v="P"/>
    <n v="2"/>
    <s v="Road Vehicle"/>
    <n v="1"/>
    <x v="0"/>
    <x v="1"/>
    <n v="1"/>
    <x v="0"/>
    <s v="RUHUMURO"/>
    <s v="BUSHENYI"/>
    <s v="UGA"/>
    <n v="1"/>
    <s v="Home"/>
    <s v="MAKENGE"/>
    <s v="MBARARA"/>
    <s v="UGA"/>
    <n v="8"/>
    <s v="Others"/>
    <x v="13"/>
    <n v="9000"/>
    <m/>
    <x v="0"/>
    <n v="0.7"/>
    <x v="4"/>
    <n v="8"/>
    <s v="Student"/>
    <n v="1"/>
    <x v="2"/>
    <n v="5"/>
    <n v="4"/>
    <n v="2"/>
    <n v="1"/>
    <n v="3"/>
    <s v="Y"/>
    <m/>
    <x v="3"/>
  </r>
  <r>
    <d v="2019-10-20T00:00:00"/>
    <d v="1899-12-30T14:59:00"/>
    <m/>
    <s v="P"/>
    <n v="2"/>
    <s v="Road Vehicle"/>
    <n v="1"/>
    <x v="0"/>
    <x v="1"/>
    <n v="1"/>
    <x v="0"/>
    <s v="ISHAKA"/>
    <s v="BUSHENYI"/>
    <s v="UGA"/>
    <n v="6"/>
    <s v="Leisure/Social"/>
    <s v="KITOJO"/>
    <s v="RUKUNGIRI"/>
    <s v="UGA"/>
    <n v="1"/>
    <s v="Home"/>
    <x v="10"/>
    <n v="12000"/>
    <m/>
    <x v="0"/>
    <m/>
    <x v="3"/>
    <n v="2"/>
    <s v="Manual Labour"/>
    <n v="2"/>
    <x v="3"/>
    <n v="5"/>
    <n v="3"/>
    <n v="1"/>
    <n v="4"/>
    <n v="2"/>
    <s v="Y"/>
    <n v="500"/>
    <x v="3"/>
  </r>
  <r>
    <d v="2019-10-20T00:00:00"/>
    <d v="1899-12-30T09:30:00"/>
    <m/>
    <s v="P"/>
    <n v="2"/>
    <s v="Road Vehicle"/>
    <n v="1"/>
    <x v="0"/>
    <x v="1"/>
    <n v="1"/>
    <x v="0"/>
    <s v="CHRIST THE KING"/>
    <s v="SHEEMA"/>
    <s v="UGA"/>
    <n v="8"/>
    <s v="Others"/>
    <s v="KIZINDA"/>
    <s v="BUSHENYI"/>
    <s v="UGA"/>
    <n v="1"/>
    <s v="Home"/>
    <x v="12"/>
    <n v="2000"/>
    <n v="8"/>
    <x v="0"/>
    <n v="0.7"/>
    <x v="4"/>
    <n v="8"/>
    <s v="Student"/>
    <n v="3"/>
    <x v="1"/>
    <n v="5"/>
    <n v="1"/>
    <n v="4"/>
    <n v="8"/>
    <m/>
    <s v="Y"/>
    <n v="1000"/>
    <x v="4"/>
  </r>
  <r>
    <d v="2019-10-20T00:00:00"/>
    <d v="1899-12-30T09:38:00"/>
    <m/>
    <s v="P"/>
    <n v="2"/>
    <s v="Road Vehicle"/>
    <n v="1"/>
    <x v="0"/>
    <x v="1"/>
    <n v="1"/>
    <x v="0"/>
    <s v="RUHINDO"/>
    <s v="BUSHENYI"/>
    <s v="UGA"/>
    <n v="8"/>
    <s v="Others"/>
    <s v="BUNYARIGI"/>
    <s v="BUSHENYI"/>
    <s v="UGA"/>
    <n v="6"/>
    <s v="Leisure/Social"/>
    <x v="37"/>
    <n v="2000"/>
    <n v="10"/>
    <x v="6"/>
    <n v="0.7"/>
    <x v="4"/>
    <n v="7"/>
    <s v="Farmer"/>
    <n v="3"/>
    <x v="1"/>
    <n v="4"/>
    <n v="1"/>
    <n v="2"/>
    <n v="3"/>
    <n v="5"/>
    <s v="Y"/>
    <m/>
    <x v="3"/>
  </r>
  <r>
    <d v="2019-10-20T00:00:00"/>
    <d v="1899-12-30T15:40:00"/>
    <m/>
    <s v="P"/>
    <n v="2"/>
    <s v="Road Vehicle"/>
    <n v="1"/>
    <x v="0"/>
    <x v="1"/>
    <n v="1"/>
    <x v="0"/>
    <s v="CHRIST THE KING"/>
    <s v="SHEEMA"/>
    <s v="UGA"/>
    <n v="8"/>
    <s v="Others"/>
    <s v="KYAMBURA"/>
    <s v="MITOMA"/>
    <s v="UGA"/>
    <n v="1"/>
    <s v="Home"/>
    <x v="12"/>
    <n v="8000"/>
    <m/>
    <x v="0"/>
    <n v="1.5"/>
    <x v="1"/>
    <n v="10"/>
    <s v="Other"/>
    <n v="1"/>
    <x v="2"/>
    <n v="2"/>
    <n v="3"/>
    <n v="4"/>
    <n v="1"/>
    <n v="5"/>
    <s v="Y"/>
    <n v="1000"/>
    <x v="4"/>
  </r>
  <r>
    <d v="2019-10-18T00:00:00"/>
    <m/>
    <m/>
    <s v="P"/>
    <n v="2"/>
    <s v="Road Vehicle"/>
    <n v="1"/>
    <x v="0"/>
    <x v="0"/>
    <n v="1"/>
    <x v="0"/>
    <s v="KAKANZA"/>
    <s v="BUSHENYI"/>
    <s v="UGA"/>
    <n v="6"/>
    <s v="Leisure/Social"/>
    <s v="RUWIZI"/>
    <s v="MBARARA"/>
    <s v="UGA"/>
    <n v="1"/>
    <s v="Home"/>
    <x v="10"/>
    <n v="18000"/>
    <m/>
    <x v="0"/>
    <n v="1.5"/>
    <x v="1"/>
    <n v="8"/>
    <s v="Student"/>
    <n v="1"/>
    <x v="2"/>
    <n v="5"/>
    <n v="2"/>
    <n v="1"/>
    <n v="3"/>
    <n v="4"/>
    <s v="Y"/>
    <n v="3000"/>
    <x v="0"/>
  </r>
  <r>
    <d v="2019-10-18T00:00:00"/>
    <m/>
    <m/>
    <s v="D"/>
    <n v="2"/>
    <s v="Road Vehicle"/>
    <n v="1"/>
    <x v="0"/>
    <x v="0"/>
    <n v="1"/>
    <x v="0"/>
    <s v="ISHAKA"/>
    <s v="BUSHENYI"/>
    <s v="UGA"/>
    <n v="1"/>
    <s v="Home"/>
    <s v="TOWN"/>
    <s v="HOIMA"/>
    <s v="UGA"/>
    <n v="8"/>
    <s v="Others"/>
    <x v="13"/>
    <n v="300000"/>
    <n v="12"/>
    <x v="6"/>
    <n v="8"/>
    <x v="2"/>
    <n v="6"/>
    <s v="Businessman"/>
    <n v="3"/>
    <x v="1"/>
    <n v="4"/>
    <n v="2"/>
    <n v="1"/>
    <n v="3"/>
    <n v="5"/>
    <s v="Y"/>
    <n v="1000"/>
    <x v="4"/>
  </r>
  <r>
    <d v="2019-10-18T00:00:00"/>
    <d v="1899-12-30T15:59:00"/>
    <m/>
    <s v="P"/>
    <n v="2"/>
    <s v="Road Vehicle"/>
    <n v="1"/>
    <x v="0"/>
    <x v="0"/>
    <n v="1"/>
    <x v="0"/>
    <s v="ISHAKA"/>
    <s v="BUSHENYI"/>
    <s v="UGA"/>
    <n v="1"/>
    <s v="Home"/>
    <s v="MBARARA"/>
    <s v="MBARARA"/>
    <s v="UGA"/>
    <n v="7"/>
    <s v="Hospital"/>
    <x v="32"/>
    <n v="7000"/>
    <m/>
    <x v="0"/>
    <n v="0.5"/>
    <x v="4"/>
    <n v="6"/>
    <s v="Businessman"/>
    <n v="2"/>
    <x v="3"/>
    <n v="4"/>
    <n v="5"/>
    <n v="1"/>
    <n v="3"/>
    <n v="2"/>
    <s v="Y"/>
    <n v="500"/>
    <x v="3"/>
  </r>
  <r>
    <d v="2019-10-19T00:00:00"/>
    <d v="1899-12-30T07:10:00"/>
    <m/>
    <s v="D"/>
    <n v="2"/>
    <s v="Road Vehicle"/>
    <n v="1"/>
    <x v="0"/>
    <x v="0"/>
    <n v="1"/>
    <x v="0"/>
    <s v="ISHAKA"/>
    <s v="BUSHENYI"/>
    <s v="UGA"/>
    <n v="1"/>
    <s v="Home"/>
    <s v="MBARARA"/>
    <s v="MBARARA"/>
    <s v="UGA"/>
    <n v="2"/>
    <s v="Work"/>
    <x v="1"/>
    <n v="7000"/>
    <n v="40"/>
    <x v="5"/>
    <n v="0.8"/>
    <x v="4"/>
    <n v="2"/>
    <s v="Manual Labour"/>
    <n v="1"/>
    <x v="2"/>
    <n v="1"/>
    <n v="3"/>
    <n v="2"/>
    <n v="5"/>
    <n v="4"/>
    <s v="Y"/>
    <n v="1000"/>
    <x v="4"/>
  </r>
  <r>
    <d v="2019-10-19T00:00:00"/>
    <d v="1899-12-30T08:00:00"/>
    <m/>
    <s v="D"/>
    <n v="2"/>
    <s v="Road Vehicle"/>
    <n v="1"/>
    <x v="0"/>
    <x v="0"/>
    <n v="1"/>
    <x v="0"/>
    <s v="KABWOHE"/>
    <s v="SHEEMA"/>
    <s v="UGA"/>
    <n v="1"/>
    <s v="Home"/>
    <s v="KAGAMBA"/>
    <s v="NTUNGAMO"/>
    <s v="UGA"/>
    <n v="2"/>
    <s v="Work"/>
    <x v="1"/>
    <n v="60000"/>
    <n v="50"/>
    <x v="5"/>
    <n v="1"/>
    <x v="1"/>
    <n v="2"/>
    <s v="Manual Labour"/>
    <n v="1"/>
    <x v="2"/>
    <n v="3"/>
    <n v="1"/>
    <n v="2"/>
    <n v="5"/>
    <n v="4"/>
    <s v="Y"/>
    <n v="1000"/>
    <x v="4"/>
  </r>
  <r>
    <d v="2019-10-19T00:00:00"/>
    <d v="1899-12-30T08:42:00"/>
    <m/>
    <s v="D"/>
    <n v="2"/>
    <s v="Road Vehicle"/>
    <n v="1"/>
    <x v="0"/>
    <x v="0"/>
    <n v="1"/>
    <x v="0"/>
    <s v="ISHAKA"/>
    <s v="BUSHENYI"/>
    <s v="UGA"/>
    <n v="2"/>
    <s v="Work"/>
    <s v="MBARARA"/>
    <s v="MBARARA"/>
    <s v="UGA"/>
    <n v="2"/>
    <s v="Work"/>
    <x v="2"/>
    <n v="40000"/>
    <n v="0.7"/>
    <x v="0"/>
    <n v="1"/>
    <x v="1"/>
    <n v="2"/>
    <s v="Manual Labour"/>
    <n v="1"/>
    <x v="2"/>
    <n v="3"/>
    <n v="1"/>
    <n v="2"/>
    <n v="4"/>
    <n v="5"/>
    <s v="Y"/>
    <n v="5000"/>
    <x v="2"/>
  </r>
  <r>
    <d v="2019-10-20T00:00:00"/>
    <d v="1899-12-30T07:09:00"/>
    <m/>
    <s v="D"/>
    <n v="2"/>
    <s v="Road Vehicle"/>
    <n v="1"/>
    <x v="0"/>
    <x v="0"/>
    <n v="1"/>
    <x v="0"/>
    <s v="ISHAKA"/>
    <s v="BUSHENYI"/>
    <s v="UGA"/>
    <n v="2"/>
    <s v="Work"/>
    <s v="TOWN CENTER"/>
    <s v="MBARARA"/>
    <s v="UGA"/>
    <n v="2"/>
    <s v="Work"/>
    <x v="2"/>
    <n v="20000"/>
    <n v="83"/>
    <x v="1"/>
    <n v="0.5"/>
    <x v="4"/>
    <n v="10"/>
    <s v="Other"/>
    <n v="1"/>
    <x v="2"/>
    <n v="3"/>
    <n v="2"/>
    <n v="5"/>
    <n v="1"/>
    <n v="4"/>
    <s v="Y"/>
    <n v="500"/>
    <x v="3"/>
  </r>
  <r>
    <d v="2019-10-20T00:00:00"/>
    <d v="1899-12-30T15:19:00"/>
    <m/>
    <s v="D"/>
    <n v="2"/>
    <s v="Road Vehicle"/>
    <n v="1"/>
    <x v="0"/>
    <x v="0"/>
    <n v="1"/>
    <x v="0"/>
    <s v="ISHAKA"/>
    <s v="BUSHENYI"/>
    <s v="UGA"/>
    <n v="2"/>
    <s v="Work"/>
    <s v="TOWN CENTER"/>
    <s v="MBARARA"/>
    <s v="UGA"/>
    <n v="2"/>
    <s v="Work"/>
    <x v="2"/>
    <n v="90000"/>
    <m/>
    <x v="0"/>
    <n v="0.8"/>
    <x v="4"/>
    <n v="10"/>
    <s v="Other"/>
    <n v="1"/>
    <x v="2"/>
    <n v="5"/>
    <n v="2"/>
    <n v="3"/>
    <n v="1"/>
    <n v="4"/>
    <s v="Y"/>
    <n v="1000"/>
    <x v="4"/>
  </r>
  <r>
    <d v="2019-10-20T00:00:00"/>
    <d v="1899-12-30T14:34:00"/>
    <m/>
    <s v="D"/>
    <n v="2"/>
    <s v="Road Vehicle"/>
    <n v="1"/>
    <x v="0"/>
    <x v="0"/>
    <n v="1"/>
    <x v="0"/>
    <s v="ISHAKA"/>
    <s v="BUSHENYI"/>
    <s v="UGA"/>
    <n v="2"/>
    <s v="Work"/>
    <s v="TOWN CENTER"/>
    <s v="MBARARA"/>
    <s v="UGA"/>
    <n v="2"/>
    <s v="Work"/>
    <x v="2"/>
    <n v="60000"/>
    <m/>
    <x v="0"/>
    <n v="0.8"/>
    <x v="4"/>
    <n v="10"/>
    <s v="Other"/>
    <n v="2"/>
    <x v="3"/>
    <n v="3"/>
    <n v="2"/>
    <n v="5"/>
    <n v="1"/>
    <n v="4"/>
    <s v="Y"/>
    <n v="600"/>
    <x v="3"/>
  </r>
  <r>
    <d v="2019-10-20T00:00:00"/>
    <d v="1899-12-30T16:59:00"/>
    <m/>
    <s v="P"/>
    <n v="2"/>
    <s v="Road Vehicle"/>
    <n v="1"/>
    <x v="0"/>
    <x v="0"/>
    <n v="1"/>
    <x v="0"/>
    <s v="ISHAKA"/>
    <s v="BUSHENYI"/>
    <s v="UGA"/>
    <n v="6"/>
    <s v="Leisure/Social"/>
    <s v="KATUNGULU"/>
    <s v="KATUGULU"/>
    <s v="UGA"/>
    <n v="1"/>
    <s v="Home"/>
    <x v="10"/>
    <n v="7000"/>
    <m/>
    <x v="0"/>
    <n v="0.7"/>
    <x v="4"/>
    <n v="4"/>
    <s v="Office Worker"/>
    <n v="2"/>
    <x v="3"/>
    <n v="5"/>
    <n v="4"/>
    <n v="1"/>
    <n v="2"/>
    <n v="3"/>
    <s v="Y"/>
    <n v="2000"/>
    <x v="1"/>
  </r>
  <r>
    <d v="2019-10-20T00:00:00"/>
    <d v="1899-12-30T17:12:00"/>
    <m/>
    <s v="P"/>
    <n v="2"/>
    <s v="Road Vehicle"/>
    <n v="1"/>
    <x v="0"/>
    <x v="0"/>
    <n v="1"/>
    <x v="0"/>
    <s v="KASOZI"/>
    <s v="BUSHENYI"/>
    <s v="UGA"/>
    <n v="2"/>
    <s v="Work"/>
    <s v="TOWN CENTER"/>
    <s v="MBARARA"/>
    <s v="UGA"/>
    <n v="1"/>
    <s v="Home"/>
    <x v="4"/>
    <n v="10000"/>
    <m/>
    <x v="0"/>
    <n v="1.5"/>
    <x v="1"/>
    <n v="8"/>
    <s v="Student"/>
    <n v="1"/>
    <x v="2"/>
    <n v="3"/>
    <n v="1"/>
    <n v="2"/>
    <n v="4"/>
    <n v="5"/>
    <s v="Y"/>
    <n v="1000"/>
    <x v="4"/>
  </r>
  <r>
    <d v="2019-10-20T00:00:00"/>
    <d v="1899-12-30T10:34:00"/>
    <m/>
    <s v="P"/>
    <n v="2"/>
    <s v="Road Vehicle"/>
    <n v="1"/>
    <x v="0"/>
    <x v="0"/>
    <n v="1"/>
    <x v="0"/>
    <s v="SHEEMA"/>
    <s v="SHEEMA"/>
    <s v="UGA"/>
    <n v="4"/>
    <s v="Commercial"/>
    <s v="NYABUBARE"/>
    <s v="BUSHENYI"/>
    <s v="UGA"/>
    <n v="4"/>
    <s v="Commercial"/>
    <x v="18"/>
    <n v="5000"/>
    <n v="58"/>
    <x v="5"/>
    <n v="0.8"/>
    <x v="4"/>
    <n v="7"/>
    <s v="Farmer"/>
    <n v="2"/>
    <x v="3"/>
    <n v="1"/>
    <n v="5"/>
    <n v="4"/>
    <n v="3"/>
    <n v="2"/>
    <s v="Y"/>
    <n v="1000"/>
    <x v="4"/>
  </r>
  <r>
    <d v="2019-10-19T00:00:00"/>
    <d v="1899-12-30T08:23:00"/>
    <m/>
    <s v="P"/>
    <n v="2"/>
    <s v="Road Vehicle"/>
    <n v="6"/>
    <x v="1"/>
    <x v="1"/>
    <n v="1"/>
    <x v="0"/>
    <s v="NYAMUFULA"/>
    <s v="MBARARA"/>
    <s v="UGA"/>
    <n v="3"/>
    <s v="Study"/>
    <s v="MITOMO"/>
    <s v="MITOMO"/>
    <s v="UGA"/>
    <n v="1"/>
    <s v="Home"/>
    <x v="9"/>
    <n v="10000"/>
    <n v="55"/>
    <x v="5"/>
    <n v="1.5"/>
    <x v="1"/>
    <n v="8"/>
    <s v="Student"/>
    <n v="1"/>
    <x v="2"/>
    <n v="1"/>
    <n v="4"/>
    <n v="5"/>
    <n v="2"/>
    <n v="3"/>
    <s v="Y"/>
    <n v="1000"/>
    <x v="4"/>
  </r>
  <r>
    <d v="2019-10-19T00:00:00"/>
    <d v="1899-12-30T10:50:00"/>
    <m/>
    <s v="P"/>
    <n v="2"/>
    <s v="Road Vehicle"/>
    <n v="6"/>
    <x v="1"/>
    <x v="1"/>
    <n v="1"/>
    <x v="0"/>
    <s v="BUSHENYI"/>
    <s v="BUSHENYI"/>
    <s v="UGA"/>
    <n v="4"/>
    <s v="Commercial"/>
    <s v="WENTULA"/>
    <s v="MBARARA"/>
    <s v="UGA"/>
    <n v="4"/>
    <s v="Commercial"/>
    <x v="18"/>
    <n v="7000"/>
    <n v="56"/>
    <x v="5"/>
    <n v="2"/>
    <x v="0"/>
    <n v="2"/>
    <s v="Manual Labour"/>
    <n v="1"/>
    <x v="2"/>
    <n v="5"/>
    <n v="3"/>
    <n v="4"/>
    <n v="1"/>
    <n v="2"/>
    <s v="N"/>
    <m/>
    <x v="3"/>
  </r>
  <r>
    <d v="2019-10-20T00:00:00"/>
    <d v="1899-12-30T16:22:00"/>
    <m/>
    <s v="P"/>
    <n v="2"/>
    <s v="Road Vehicle"/>
    <n v="6"/>
    <x v="1"/>
    <x v="1"/>
    <n v="1"/>
    <x v="0"/>
    <s v="KAMPALA"/>
    <s v="KAMPALA"/>
    <s v="UGA"/>
    <n v="2"/>
    <s v="Work"/>
    <s v="ISHAKA"/>
    <s v="BUSHENYI"/>
    <s v="UGA"/>
    <n v="4"/>
    <s v="Commercial"/>
    <x v="17"/>
    <n v="20000"/>
    <n v="300"/>
    <x v="3"/>
    <n v="4"/>
    <x v="2"/>
    <n v="6"/>
    <s v="Businessman"/>
    <n v="5"/>
    <x v="4"/>
    <n v="3"/>
    <n v="1"/>
    <n v="2"/>
    <n v="4"/>
    <n v="5"/>
    <s v="Y"/>
    <n v="2000"/>
    <x v="1"/>
  </r>
  <r>
    <d v="2019-10-20T00:00:00"/>
    <d v="1899-12-30T07:36:00"/>
    <m/>
    <s v="P"/>
    <n v="2"/>
    <s v="Road Vehicle"/>
    <n v="6"/>
    <x v="1"/>
    <x v="1"/>
    <n v="1"/>
    <x v="0"/>
    <s v="BUWERA"/>
    <s v="KASESE"/>
    <s v="UGA"/>
    <n v="1"/>
    <s v="Home"/>
    <s v="KASOKOSO"/>
    <s v="WAKISO"/>
    <s v="UGA"/>
    <n v="2"/>
    <s v="Work"/>
    <x v="1"/>
    <n v="28000"/>
    <m/>
    <x v="0"/>
    <n v="9"/>
    <x v="2"/>
    <n v="2"/>
    <s v="Manual Labour"/>
    <n v="1"/>
    <x v="2"/>
    <n v="1"/>
    <n v="2"/>
    <n v="3"/>
    <n v="4"/>
    <n v="5"/>
    <s v="Y"/>
    <m/>
    <x v="3"/>
  </r>
  <r>
    <d v="2019-10-20T00:00:00"/>
    <d v="1899-12-30T11:29:00"/>
    <m/>
    <s v="P"/>
    <n v="2"/>
    <s v="Road Vehicle"/>
    <n v="6"/>
    <x v="1"/>
    <x v="1"/>
    <n v="1"/>
    <x v="0"/>
    <s v="KIZINDA"/>
    <s v="BUSHENYI"/>
    <s v="UGA"/>
    <n v="1"/>
    <s v="Home"/>
    <s v="KIREKA"/>
    <s v="WAKISO"/>
    <s v="UGA"/>
    <n v="5"/>
    <s v="Tourism"/>
    <x v="20"/>
    <n v="20000"/>
    <m/>
    <x v="0"/>
    <n v="5"/>
    <x v="2"/>
    <n v="4"/>
    <s v="Office Worker"/>
    <n v="3"/>
    <x v="1"/>
    <n v="4"/>
    <n v="1"/>
    <n v="2"/>
    <n v="3"/>
    <n v="5"/>
    <s v="Y"/>
    <n v="1000"/>
    <x v="4"/>
  </r>
  <r>
    <d v="2019-10-20T00:00:00"/>
    <d v="1899-12-30T07:45:00"/>
    <m/>
    <m/>
    <n v="2"/>
    <s v="Road Vehicle"/>
    <n v="6"/>
    <x v="1"/>
    <x v="1"/>
    <n v="1"/>
    <x v="0"/>
    <s v="BWERA"/>
    <s v="KASESE"/>
    <s v="UGA"/>
    <n v="1"/>
    <s v="Home"/>
    <s v="BASAJABALABA"/>
    <s v="BUSHENYI"/>
    <s v="UGA"/>
    <n v="3"/>
    <s v="Study"/>
    <x v="25"/>
    <n v="10000"/>
    <m/>
    <x v="0"/>
    <n v="2"/>
    <x v="0"/>
    <n v="8"/>
    <s v="Student"/>
    <n v="1"/>
    <x v="2"/>
    <n v="5"/>
    <n v="2"/>
    <n v="3"/>
    <n v="1"/>
    <n v="4"/>
    <s v="Y"/>
    <n v="2000"/>
    <x v="1"/>
  </r>
  <r>
    <d v="2019-10-20T00:00:00"/>
    <d v="1899-12-30T11:15:00"/>
    <m/>
    <s v="P"/>
    <n v="2"/>
    <s v="Road Vehicle"/>
    <n v="6"/>
    <x v="1"/>
    <x v="0"/>
    <n v="1"/>
    <x v="0"/>
    <s v="ISHAKA"/>
    <s v="BUSHENYI"/>
    <s v="UGA"/>
    <n v="1"/>
    <s v="Home"/>
    <s v="WANDEGEYA"/>
    <s v="KAMPALA"/>
    <s v="UGA"/>
    <n v="3"/>
    <s v="Study"/>
    <x v="25"/>
    <n v="20000"/>
    <n v="210"/>
    <x v="3"/>
    <n v="4"/>
    <x v="2"/>
    <n v="8"/>
    <s v="Student"/>
    <n v="1"/>
    <x v="2"/>
    <n v="5"/>
    <n v="1"/>
    <n v="4"/>
    <n v="2"/>
    <n v="3"/>
    <s v="Y"/>
    <m/>
    <x v="3"/>
  </r>
  <r>
    <d v="2019-10-20T00:00:00"/>
    <d v="1899-12-30T07:39:00"/>
    <m/>
    <s v="P"/>
    <n v="2"/>
    <s v="Road Vehicle"/>
    <n v="6"/>
    <x v="1"/>
    <x v="0"/>
    <n v="1"/>
    <x v="0"/>
    <s v="KIMITO"/>
    <s v="KASESE"/>
    <s v="UGA"/>
    <n v="1"/>
    <s v="Home"/>
    <s v="KAMPALA"/>
    <s v="KAMPALA"/>
    <s v="UGA"/>
    <n v="2"/>
    <s v="Work"/>
    <x v="1"/>
    <n v="30000"/>
    <n v="10"/>
    <x v="6"/>
    <n v="8"/>
    <x v="2"/>
    <n v="1"/>
    <s v="Unemployed"/>
    <n v="1"/>
    <x v="2"/>
    <n v="4"/>
    <n v="5"/>
    <n v="2"/>
    <n v="1"/>
    <n v="3"/>
    <s v="Y"/>
    <n v="100"/>
    <x v="3"/>
  </r>
  <r>
    <d v="2019-10-20T00:00:00"/>
    <d v="1899-12-30T08:45:00"/>
    <m/>
    <s v="P"/>
    <n v="2"/>
    <s v="Road Vehicle"/>
    <n v="6"/>
    <x v="1"/>
    <x v="0"/>
    <n v="1"/>
    <x v="0"/>
    <s v="NYIBINGO"/>
    <s v="BUSHENYI"/>
    <s v="UGA"/>
    <n v="1"/>
    <s v="Home"/>
    <s v="MULAGO"/>
    <s v="KAMPALA"/>
    <s v="UGA"/>
    <n v="7"/>
    <s v="Hospital"/>
    <x v="32"/>
    <n v="35000"/>
    <m/>
    <x v="0"/>
    <n v="8"/>
    <x v="2"/>
    <n v="7"/>
    <s v="Farmer"/>
    <n v="2"/>
    <x v="3"/>
    <n v="2"/>
    <n v="4"/>
    <n v="5"/>
    <n v="1"/>
    <n v="3"/>
    <s v="Y"/>
    <n v="500"/>
    <x v="3"/>
  </r>
  <r>
    <d v="2019-10-20T00:00:00"/>
    <d v="1899-12-30T11:48:00"/>
    <m/>
    <s v="P"/>
    <n v="2"/>
    <s v="Road Vehicle"/>
    <n v="6"/>
    <x v="1"/>
    <x v="0"/>
    <n v="1"/>
    <x v="0"/>
    <s v="BWERA"/>
    <s v="KASESE"/>
    <s v="UGA"/>
    <n v="1"/>
    <s v="Home"/>
    <s v="BASAJABALABA"/>
    <s v="BUSHENYI"/>
    <s v="UGA"/>
    <n v="3"/>
    <s v="Study"/>
    <x v="25"/>
    <n v="10000"/>
    <m/>
    <x v="0"/>
    <n v="3"/>
    <x v="0"/>
    <n v="8"/>
    <s v="Student"/>
    <n v="1"/>
    <x v="2"/>
    <n v="2"/>
    <n v="5"/>
    <n v="1"/>
    <n v="3"/>
    <n v="4"/>
    <s v="Y"/>
    <n v="1000"/>
    <x v="4"/>
  </r>
  <r>
    <d v="2019-10-19T00:00:00"/>
    <d v="1899-12-30T07:32:00"/>
    <m/>
    <s v="P"/>
    <n v="2"/>
    <s v="Road Vehicle"/>
    <n v="4"/>
    <x v="3"/>
    <x v="1"/>
    <n v="1"/>
    <x v="0"/>
    <s v="ISHAKA"/>
    <s v="BUSHENYI"/>
    <s v="UGA"/>
    <n v="1"/>
    <s v="Home"/>
    <s v="SHEEMA"/>
    <s v="SHEEMA"/>
    <s v="UGA"/>
    <n v="2"/>
    <s v="Work"/>
    <x v="1"/>
    <n v="3000"/>
    <n v="36"/>
    <x v="4"/>
    <n v="0.5"/>
    <x v="4"/>
    <n v="4"/>
    <s v="Office Worker"/>
    <n v="2"/>
    <x v="3"/>
    <n v="3"/>
    <n v="1"/>
    <n v="2"/>
    <n v="5"/>
    <n v="4"/>
    <s v="Y"/>
    <n v="2000"/>
    <x v="1"/>
  </r>
  <r>
    <d v="2019-10-19T00:00:00"/>
    <d v="1899-12-30T11:05:00"/>
    <m/>
    <s v="P"/>
    <n v="2"/>
    <s v="Road Vehicle"/>
    <n v="4"/>
    <x v="3"/>
    <x v="1"/>
    <n v="1"/>
    <x v="0"/>
    <s v="ISHAKA"/>
    <s v="BUSHENYI"/>
    <s v="UGA"/>
    <n v="1"/>
    <s v="Home"/>
    <s v="ST.KAGWA"/>
    <s v="BUSHENYI"/>
    <s v="UGA"/>
    <n v="3"/>
    <s v="Study"/>
    <x v="25"/>
    <n v="3000"/>
    <n v="36"/>
    <x v="4"/>
    <n v="0.5"/>
    <x v="4"/>
    <n v="8"/>
    <s v="Student"/>
    <n v="1"/>
    <x v="2"/>
    <n v="3"/>
    <n v="1"/>
    <n v="2"/>
    <n v="4"/>
    <n v="5"/>
    <s v="Y"/>
    <n v="2000"/>
    <x v="1"/>
  </r>
  <r>
    <d v="2019-10-20T00:00:00"/>
    <d v="1899-12-30T09:17:00"/>
    <m/>
    <s v="P"/>
    <n v="2"/>
    <s v="Road Vehicle"/>
    <n v="4"/>
    <x v="3"/>
    <x v="1"/>
    <n v="1"/>
    <x v="0"/>
    <s v="KATUNGURU"/>
    <s v="BUSHENYI"/>
    <s v="UGA"/>
    <n v="1"/>
    <s v="Home"/>
    <s v="ISHAKA"/>
    <s v="BUSHENYI"/>
    <s v="UGA"/>
    <n v="6"/>
    <s v="Leisure/Social"/>
    <x v="8"/>
    <n v="7000"/>
    <m/>
    <x v="0"/>
    <n v="0.8"/>
    <x v="4"/>
    <n v="1"/>
    <s v="Unemployed"/>
    <n v="1"/>
    <x v="2"/>
    <n v="1"/>
    <n v="2"/>
    <n v="5"/>
    <n v="4"/>
    <n v="3"/>
    <s v="Y"/>
    <m/>
    <x v="3"/>
  </r>
  <r>
    <d v="2019-10-20T00:00:00"/>
    <d v="1899-12-30T17:33:00"/>
    <m/>
    <s v="P"/>
    <n v="2"/>
    <s v="Road Vehicle"/>
    <n v="4"/>
    <x v="3"/>
    <x v="1"/>
    <n v="1"/>
    <x v="0"/>
    <s v="KIZINDA"/>
    <s v="BUSHENYI"/>
    <s v="UGA"/>
    <n v="1"/>
    <s v="Home"/>
    <s v="MBARARA"/>
    <s v="MBARARA"/>
    <s v="UGA"/>
    <n v="6"/>
    <s v="Leisure/Social"/>
    <x v="8"/>
    <n v="12000"/>
    <m/>
    <x v="0"/>
    <n v="2"/>
    <x v="0"/>
    <n v="6"/>
    <s v="Businessman"/>
    <n v="1"/>
    <x v="2"/>
    <n v="3"/>
    <n v="1"/>
    <n v="2"/>
    <n v="4"/>
    <n v="5"/>
    <s v="Y"/>
    <n v="200"/>
    <x v="3"/>
  </r>
  <r>
    <d v="2019-10-18T00:00:00"/>
    <m/>
    <m/>
    <s v="D"/>
    <n v="2"/>
    <s v="Road Vehicle"/>
    <n v="4"/>
    <x v="3"/>
    <x v="0"/>
    <n v="1"/>
    <x v="0"/>
    <s v="ISHAKA"/>
    <s v="BUSHENYI"/>
    <s v="UGA"/>
    <n v="2"/>
    <s v="Work"/>
    <s v="TOWN"/>
    <s v="FORTPOTAL"/>
    <s v="UGA"/>
    <n v="2"/>
    <s v="Work"/>
    <x v="2"/>
    <n v="80000"/>
    <n v="130"/>
    <x v="2"/>
    <n v="4"/>
    <x v="2"/>
    <n v="10"/>
    <s v="Other"/>
    <n v="1"/>
    <x v="2"/>
    <n v="2"/>
    <n v="3"/>
    <n v="4"/>
    <n v="1"/>
    <n v="5"/>
    <s v="Y"/>
    <m/>
    <x v="3"/>
  </r>
  <r>
    <d v="2019-10-19T00:00:00"/>
    <d v="1899-12-30T09:00:00"/>
    <m/>
    <s v="D"/>
    <n v="2"/>
    <s v="Road Vehicle"/>
    <n v="4"/>
    <x v="3"/>
    <x v="0"/>
    <n v="1"/>
    <x v="0"/>
    <s v="ISHAKA"/>
    <s v="BUSHENYI"/>
    <s v="UGA"/>
    <n v="1"/>
    <s v="Home"/>
    <s v="MBARARA"/>
    <s v="MBARARA"/>
    <s v="UGA"/>
    <m/>
    <e v="#N/A"/>
    <x v="38"/>
    <n v="50000"/>
    <n v="45"/>
    <x v="5"/>
    <n v="0.5"/>
    <x v="4"/>
    <n v="1"/>
    <s v="Unemployed"/>
    <n v="1"/>
    <x v="2"/>
    <n v="2"/>
    <n v="1"/>
    <n v="3"/>
    <n v="5"/>
    <n v="4"/>
    <s v="Y"/>
    <n v="1000"/>
    <x v="4"/>
  </r>
  <r>
    <d v="2019-10-20T00:00:00"/>
    <d v="1899-12-30T08:12:00"/>
    <m/>
    <s v="P"/>
    <n v="2"/>
    <s v="Road Vehicle"/>
    <n v="4"/>
    <x v="3"/>
    <x v="0"/>
    <n v="1"/>
    <x v="0"/>
    <s v="KYABUJIMBI"/>
    <s v="BUSHENYI"/>
    <s v="UGA"/>
    <n v="1"/>
    <s v="Home"/>
    <s v="KAKEBA"/>
    <s v="MBARARA"/>
    <s v="UGA"/>
    <n v="6"/>
    <s v="Leisure/Social"/>
    <x v="8"/>
    <n v="10000"/>
    <m/>
    <x v="0"/>
    <n v="1.5"/>
    <x v="1"/>
    <n v="6"/>
    <s v="Businessman"/>
    <n v="4"/>
    <x v="0"/>
    <n v="3"/>
    <n v="2"/>
    <n v="5"/>
    <n v="4"/>
    <n v="1"/>
    <s v="Y"/>
    <n v="2000"/>
    <x v="1"/>
  </r>
  <r>
    <d v="2019-10-20T00:00:00"/>
    <d v="1899-12-30T10:41:00"/>
    <m/>
    <s v="P"/>
    <n v="2"/>
    <s v="Road Vehicle"/>
    <n v="4"/>
    <x v="3"/>
    <x v="0"/>
    <n v="1"/>
    <x v="0"/>
    <s v="KABAALE"/>
    <s v="BUSHENYI"/>
    <s v="UGA"/>
    <n v="1"/>
    <s v="Home"/>
    <s v="LUBONA"/>
    <s v="FORTPOTAL"/>
    <s v="UGA"/>
    <n v="6"/>
    <s v="Leisure/Social"/>
    <x v="8"/>
    <n v="24000"/>
    <m/>
    <x v="0"/>
    <n v="3"/>
    <x v="0"/>
    <n v="5"/>
    <s v="Professional"/>
    <n v="2"/>
    <x v="3"/>
    <n v="4"/>
    <n v="1"/>
    <n v="2"/>
    <n v="3"/>
    <n v="5"/>
    <s v="Y"/>
    <n v="100"/>
    <x v="3"/>
  </r>
  <r>
    <d v="2019-10-20T00:00:00"/>
    <d v="1899-12-30T11:01:00"/>
    <m/>
    <s v="P"/>
    <n v="2"/>
    <s v="Road Vehicle"/>
    <n v="4"/>
    <x v="3"/>
    <x v="0"/>
    <n v="1"/>
    <x v="0"/>
    <s v="ISHAKA"/>
    <s v="BUSHENYI"/>
    <s v="UGA"/>
    <n v="6"/>
    <s v="Leisure/Social"/>
    <s v="KYANGA"/>
    <s v="RWIMI"/>
    <s v="UGA"/>
    <n v="1"/>
    <s v="Home"/>
    <x v="10"/>
    <n v="16000"/>
    <m/>
    <x v="0"/>
    <n v="1.5"/>
    <x v="1"/>
    <n v="6"/>
    <s v="Businessman"/>
    <n v="5"/>
    <x v="4"/>
    <n v="3"/>
    <n v="2"/>
    <n v="4"/>
    <n v="1"/>
    <n v="5"/>
    <s v="Y"/>
    <n v="1500"/>
    <x v="4"/>
  </r>
  <r>
    <d v="2019-10-20T00:00:00"/>
    <d v="1899-12-30T11:15:00"/>
    <m/>
    <s v="P"/>
    <n v="2"/>
    <s v="Road Vehicle"/>
    <n v="4"/>
    <x v="3"/>
    <x v="0"/>
    <n v="1"/>
    <x v="0"/>
    <s v="LIGHT S.S"/>
    <s v="MITOMA"/>
    <s v="UGA"/>
    <n v="3"/>
    <s v="Study"/>
    <s v="NYAMIKO"/>
    <s v="BUSHENYI"/>
    <s v="UGA"/>
    <n v="1"/>
    <s v="Home"/>
    <x v="9"/>
    <n v="6000"/>
    <n v="80"/>
    <x v="1"/>
    <n v="1.5"/>
    <x v="1"/>
    <n v="8"/>
    <s v="Student"/>
    <n v="1"/>
    <x v="2"/>
    <n v="3"/>
    <n v="2"/>
    <n v="4"/>
    <n v="1"/>
    <n v="5"/>
    <s v="Y"/>
    <m/>
    <x v="3"/>
  </r>
  <r>
    <d v="2019-10-20T00:00:00"/>
    <d v="1899-12-30T08:20:00"/>
    <m/>
    <s v="P"/>
    <n v="2"/>
    <s v="Road Vehicle"/>
    <n v="4"/>
    <x v="3"/>
    <x v="0"/>
    <n v="1"/>
    <x v="0"/>
    <s v="KASESE"/>
    <s v="KASESE"/>
    <s v="UGA"/>
    <n v="1"/>
    <s v="Home"/>
    <s v="ISHAKA"/>
    <s v="BUSHENYI"/>
    <s v="UGA"/>
    <n v="4"/>
    <s v="Commercial"/>
    <x v="0"/>
    <n v="10000"/>
    <n v="92"/>
    <x v="1"/>
    <n v="1.5"/>
    <x v="1"/>
    <n v="6"/>
    <s v="Businessman"/>
    <n v="3"/>
    <x v="1"/>
    <n v="3"/>
    <n v="2"/>
    <n v="1"/>
    <n v="5"/>
    <n v="4"/>
    <s v="Y"/>
    <n v="2000"/>
    <x v="1"/>
  </r>
  <r>
    <d v="2019-10-20T00:00:00"/>
    <d v="1899-12-30T15:55:00"/>
    <m/>
    <s v="P"/>
    <n v="2"/>
    <s v="Road Vehicle"/>
    <n v="4"/>
    <x v="3"/>
    <x v="0"/>
    <n v="1"/>
    <x v="0"/>
    <s v="KASOZI"/>
    <s v="BUSHENYI"/>
    <s v="UGA"/>
    <n v="1"/>
    <s v="Home"/>
    <s v="LIGHT S.S"/>
    <s v="BUSHENYI"/>
    <s v="UGA"/>
    <n v="3"/>
    <s v="Study"/>
    <x v="25"/>
    <n v="1500"/>
    <n v="15"/>
    <x v="6"/>
    <n v="0.2"/>
    <x v="3"/>
    <n v="8"/>
    <s v="Student"/>
    <n v="1"/>
    <x v="2"/>
    <n v="2"/>
    <n v="5"/>
    <n v="4"/>
    <n v="1"/>
    <n v="3"/>
    <s v="Y"/>
    <n v="500"/>
    <x v="3"/>
  </r>
  <r>
    <d v="2019-10-20T00:00:00"/>
    <d v="1899-12-30T17:58:00"/>
    <m/>
    <s v="P"/>
    <n v="2"/>
    <s v="Road Vehicle"/>
    <n v="4"/>
    <x v="3"/>
    <x v="0"/>
    <n v="1"/>
    <x v="0"/>
    <s v="LIGHT S.S"/>
    <s v="BUSHENYI"/>
    <s v="UGA"/>
    <n v="3"/>
    <s v="Study"/>
    <s v="KASOZI"/>
    <s v="BUSHENYI"/>
    <s v="UGA"/>
    <n v="1"/>
    <s v="Home"/>
    <x v="9"/>
    <n v="2000"/>
    <n v="15"/>
    <x v="6"/>
    <n v="0.2"/>
    <x v="3"/>
    <n v="8"/>
    <s v="Student"/>
    <n v="1"/>
    <x v="2"/>
    <n v="1"/>
    <n v="2"/>
    <n v="3"/>
    <n v="4"/>
    <n v="5"/>
    <s v="Y"/>
    <m/>
    <x v="3"/>
  </r>
  <r>
    <d v="2019-10-20T00:00:00"/>
    <d v="1899-12-30T11:30:00"/>
    <m/>
    <s v="P"/>
    <n v="2"/>
    <s v="Road Vehicle"/>
    <n v="2"/>
    <x v="6"/>
    <x v="1"/>
    <n v="1"/>
    <x v="0"/>
    <s v="ISHAKA"/>
    <s v="BUSHENYI"/>
    <s v="UGA"/>
    <n v="4"/>
    <s v="Commercial"/>
    <s v="KITAGATA"/>
    <s v="KASESE"/>
    <s v="UGA"/>
    <n v="6"/>
    <s v="Leisure/Social"/>
    <x v="36"/>
    <n v="4000"/>
    <n v="20"/>
    <x v="4"/>
    <n v="0.5"/>
    <x v="4"/>
    <n v="4"/>
    <s v="Office Worker"/>
    <n v="1"/>
    <x v="2"/>
    <n v="3"/>
    <n v="1"/>
    <n v="4"/>
    <n v="2"/>
    <n v="5"/>
    <s v="Y"/>
    <n v="1000"/>
    <x v="4"/>
  </r>
  <r>
    <d v="2019-10-19T00:00:00"/>
    <d v="1899-12-30T09:20:00"/>
    <m/>
    <s v="P"/>
    <n v="2"/>
    <s v="Road Vehicle"/>
    <n v="2"/>
    <x v="6"/>
    <x v="0"/>
    <n v="1"/>
    <x v="0"/>
    <s v="KYABUJIMBI"/>
    <s v="BUSHENYI"/>
    <s v="UGA"/>
    <n v="1"/>
    <s v="Home"/>
    <s v="BUNYARUGURU"/>
    <s v="BUBIRIZI"/>
    <s v="UGA"/>
    <n v="8"/>
    <s v="Others"/>
    <x v="13"/>
    <n v="4000"/>
    <n v="120"/>
    <x v="2"/>
    <n v="2"/>
    <x v="0"/>
    <n v="2"/>
    <s v="Manual Labour"/>
    <n v="1"/>
    <x v="2"/>
    <m/>
    <m/>
    <m/>
    <m/>
    <m/>
    <s v="Y"/>
    <m/>
    <x v="3"/>
  </r>
  <r>
    <d v="2019-10-19T00:00:00"/>
    <d v="1899-12-30T11:41:00"/>
    <m/>
    <s v="D"/>
    <n v="2"/>
    <s v="Road Vehicle"/>
    <n v="2"/>
    <x v="6"/>
    <x v="0"/>
    <n v="1"/>
    <x v="0"/>
    <s v="SHUKU"/>
    <s v="SHEEMA"/>
    <s v="UGA"/>
    <n v="4"/>
    <s v="Commercial"/>
    <s v="MITOMA"/>
    <s v="MITOMA"/>
    <s v="UGA"/>
    <n v="4"/>
    <s v="Commercial"/>
    <x v="18"/>
    <n v="8000"/>
    <n v="50"/>
    <x v="5"/>
    <n v="0.7"/>
    <x v="4"/>
    <n v="10"/>
    <s v="Other"/>
    <n v="1"/>
    <x v="2"/>
    <m/>
    <m/>
    <m/>
    <m/>
    <m/>
    <s v="Y"/>
    <n v="2000"/>
    <x v="1"/>
  </r>
  <r>
    <d v="2019-10-20T00:00:00"/>
    <d v="1899-12-30T08:45:00"/>
    <m/>
    <s v="P"/>
    <n v="2"/>
    <s v="Road Vehicle"/>
    <n v="2"/>
    <x v="6"/>
    <x v="0"/>
    <n v="1"/>
    <x v="0"/>
    <s v="ISHAKA"/>
    <s v="BUSHENYI"/>
    <s v="UGA"/>
    <n v="1"/>
    <s v="Home"/>
    <s v="KITAGATA"/>
    <s v="SHEEMA"/>
    <s v="UGA"/>
    <n v="6"/>
    <s v="Leisure/Social"/>
    <x v="8"/>
    <n v="5000"/>
    <m/>
    <x v="0"/>
    <n v="0.7"/>
    <x v="4"/>
    <n v="4"/>
    <s v="Office Worker"/>
    <n v="2"/>
    <x v="3"/>
    <n v="1"/>
    <n v="2"/>
    <n v="5"/>
    <n v="3"/>
    <n v="4"/>
    <s v="Y"/>
    <n v="1000"/>
    <x v="4"/>
  </r>
  <r>
    <d v="2019-10-20T00:00:00"/>
    <d v="1899-12-30T09:17:00"/>
    <m/>
    <s v="P"/>
    <n v="2"/>
    <s v="Road Vehicle"/>
    <n v="2"/>
    <x v="6"/>
    <x v="0"/>
    <n v="1"/>
    <x v="0"/>
    <s v="BWERA"/>
    <s v="KASESE"/>
    <s v="UGA"/>
    <n v="1"/>
    <s v="Home"/>
    <s v="KAMPALA"/>
    <s v="KAMPALA"/>
    <s v="UGA"/>
    <n v="4"/>
    <s v="Commercial"/>
    <x v="0"/>
    <n v="30000"/>
    <n v="432"/>
    <x v="3"/>
    <n v="8"/>
    <x v="2"/>
    <n v="6"/>
    <s v="Businessman"/>
    <n v="3"/>
    <x v="1"/>
    <n v="3"/>
    <n v="2"/>
    <n v="4"/>
    <n v="1"/>
    <n v="5"/>
    <s v="Y"/>
    <n v="2000"/>
    <x v="1"/>
  </r>
  <r>
    <d v="2019-10-19T00:00:00"/>
    <d v="1899-12-30T09:28:00"/>
    <m/>
    <m/>
    <n v="1"/>
    <s v="Walking/Cycling"/>
    <n v="13"/>
    <x v="5"/>
    <x v="1"/>
    <n v="2"/>
    <x v="1"/>
    <s v="KAHIZA"/>
    <s v="BUSHENYI"/>
    <s v="UGA"/>
    <n v="6"/>
    <s v="Leisure/Social"/>
    <s v="ISHAKA"/>
    <s v="BUSHENYI"/>
    <s v="UGA"/>
    <n v="6"/>
    <s v="Leisure/Social"/>
    <x v="7"/>
    <n v="2000"/>
    <n v="5"/>
    <x v="0"/>
    <n v="0.3"/>
    <x v="3"/>
    <n v="10"/>
    <s v="Other"/>
    <n v="3"/>
    <x v="1"/>
    <n v="4"/>
    <n v="5"/>
    <n v="3"/>
    <n v="1"/>
    <n v="2"/>
    <s v="Y"/>
    <n v="500"/>
    <x v="3"/>
  </r>
  <r>
    <d v="2019-10-19T00:00:00"/>
    <m/>
    <m/>
    <s v="P"/>
    <n v="1"/>
    <s v="Walking/Cycling"/>
    <n v="13"/>
    <x v="5"/>
    <x v="1"/>
    <n v="2"/>
    <x v="1"/>
    <s v="KITAGATA"/>
    <s v="SHEEMA"/>
    <s v="UGA"/>
    <n v="6"/>
    <s v="Leisure/Social"/>
    <s v="ISHAKA"/>
    <s v="BUSHENYI"/>
    <s v="UGA"/>
    <n v="1"/>
    <s v="Home"/>
    <x v="10"/>
    <n v="2000"/>
    <m/>
    <x v="0"/>
    <n v="0.3"/>
    <x v="3"/>
    <n v="10"/>
    <s v="Other"/>
    <n v="2"/>
    <x v="3"/>
    <n v="2"/>
    <n v="3"/>
    <n v="5"/>
    <n v="4"/>
    <n v="1"/>
    <s v="Y"/>
    <m/>
    <x v="3"/>
  </r>
  <r>
    <d v="2019-10-20T00:00:00"/>
    <d v="1899-12-30T17:30:00"/>
    <m/>
    <m/>
    <n v="1"/>
    <s v="Walking/Cycling"/>
    <n v="13"/>
    <x v="5"/>
    <x v="1"/>
    <n v="2"/>
    <x v="1"/>
    <s v="KIZINDA"/>
    <s v="BUSHENYI"/>
    <s v="UGA"/>
    <n v="1"/>
    <s v="Home"/>
    <s v="ISHAKA"/>
    <s v="BUSHENYI"/>
    <s v="UGA"/>
    <n v="2"/>
    <s v="Work"/>
    <x v="1"/>
    <n v="1000"/>
    <n v="0.5"/>
    <x v="0"/>
    <n v="0.1"/>
    <x v="3"/>
    <n v="10"/>
    <s v="Other"/>
    <n v="1"/>
    <x v="2"/>
    <n v="1"/>
    <n v="4"/>
    <n v="2"/>
    <n v="3"/>
    <n v="5"/>
    <s v="Y"/>
    <m/>
    <x v="3"/>
  </r>
  <r>
    <d v="2019-10-20T00:00:00"/>
    <d v="1899-12-30T17:32:00"/>
    <m/>
    <m/>
    <n v="1"/>
    <s v="Walking/Cycling"/>
    <n v="13"/>
    <x v="5"/>
    <x v="1"/>
    <n v="2"/>
    <x v="1"/>
    <s v="KIGOMA"/>
    <s v="BUSHENYI"/>
    <s v="UGA"/>
    <n v="1"/>
    <s v="Home"/>
    <s v="ISHAKA"/>
    <s v="BUSHENYI"/>
    <s v="UGA"/>
    <n v="2"/>
    <s v="Work"/>
    <x v="1"/>
    <n v="1000"/>
    <n v="4"/>
    <x v="0"/>
    <n v="0.2"/>
    <x v="3"/>
    <n v="10"/>
    <s v="Other"/>
    <n v="1"/>
    <x v="2"/>
    <n v="2"/>
    <n v="3"/>
    <n v="5"/>
    <n v="1"/>
    <n v="4"/>
    <s v="Y"/>
    <n v="500"/>
    <x v="3"/>
  </r>
  <r>
    <d v="2019-10-20T00:00:00"/>
    <d v="1899-12-30T17:22:00"/>
    <m/>
    <m/>
    <n v="1"/>
    <s v="Walking/Cycling"/>
    <n v="13"/>
    <x v="5"/>
    <x v="0"/>
    <n v="2"/>
    <x v="1"/>
    <s v="KIZINDA"/>
    <s v="BUSHENYI"/>
    <s v="UGA"/>
    <n v="1"/>
    <s v="Home"/>
    <s v="ISHAKA"/>
    <s v="BUSHENYI"/>
    <s v="UGA"/>
    <n v="2"/>
    <s v="Work"/>
    <x v="1"/>
    <n v="1000"/>
    <m/>
    <x v="0"/>
    <n v="0.2"/>
    <x v="3"/>
    <n v="10"/>
    <s v="Other"/>
    <n v="5"/>
    <x v="4"/>
    <n v="2"/>
    <n v="3"/>
    <n v="1"/>
    <n v="4"/>
    <n v="5"/>
    <s v="Y"/>
    <m/>
    <x v="3"/>
  </r>
  <r>
    <d v="2019-10-18T00:00:00"/>
    <m/>
    <m/>
    <s v="P"/>
    <n v="2"/>
    <s v="Road Vehicle"/>
    <n v="1"/>
    <x v="0"/>
    <x v="1"/>
    <n v="2"/>
    <x v="1"/>
    <s v="ISHAKA"/>
    <s v="BUSHENYI"/>
    <s v="UGA"/>
    <n v="6"/>
    <s v="Leisure/Social"/>
    <s v="KAGAMBA"/>
    <s v="BUSHENYI"/>
    <s v="UGA"/>
    <n v="6"/>
    <s v="Leisure/Social"/>
    <x v="7"/>
    <n v="3000"/>
    <m/>
    <x v="0"/>
    <n v="0.5"/>
    <x v="4"/>
    <n v="1"/>
    <s v="Unemployed"/>
    <n v="1"/>
    <x v="2"/>
    <n v="4"/>
    <n v="2"/>
    <n v="1"/>
    <n v="5"/>
    <n v="3"/>
    <s v="Y"/>
    <m/>
    <x v="3"/>
  </r>
  <r>
    <d v="2019-10-18T00:00:00"/>
    <m/>
    <m/>
    <s v="P"/>
    <n v="2"/>
    <s v="Road Vehicle"/>
    <n v="1"/>
    <x v="0"/>
    <x v="1"/>
    <n v="2"/>
    <x v="1"/>
    <s v="MAKENGE"/>
    <s v="MBARARA"/>
    <s v="UGA"/>
    <n v="1"/>
    <s v="Home"/>
    <s v="KAGAMBA"/>
    <s v="BUSHENYI"/>
    <s v="UGA"/>
    <n v="6"/>
    <s v="Leisure/Social"/>
    <x v="8"/>
    <n v="10000"/>
    <m/>
    <x v="0"/>
    <n v="1.5"/>
    <x v="1"/>
    <n v="4"/>
    <s v="Office Worker"/>
    <n v="2"/>
    <x v="3"/>
    <n v="1"/>
    <n v="1"/>
    <n v="1"/>
    <n v="1"/>
    <n v="1"/>
    <s v="Y"/>
    <m/>
    <x v="3"/>
  </r>
  <r>
    <d v="2019-10-19T00:00:00"/>
    <d v="1899-12-30T08:18:00"/>
    <m/>
    <s v="P"/>
    <n v="2"/>
    <s v="Road Vehicle"/>
    <n v="1"/>
    <x v="0"/>
    <x v="1"/>
    <n v="2"/>
    <x v="1"/>
    <s v="NAKIBAARE"/>
    <s v="RUKUNGIRI"/>
    <s v="UGA"/>
    <n v="4"/>
    <s v="Commercial"/>
    <s v="SHEEMA"/>
    <s v="SHEEMA"/>
    <s v="UGA"/>
    <n v="4"/>
    <s v="Commercial"/>
    <x v="18"/>
    <n v="8000"/>
    <n v="50"/>
    <x v="5"/>
    <n v="2"/>
    <x v="0"/>
    <n v="6"/>
    <s v="Businessman"/>
    <n v="2"/>
    <x v="3"/>
    <n v="4"/>
    <n v="1"/>
    <n v="3"/>
    <n v="2"/>
    <n v="5"/>
    <s v="Y"/>
    <n v="1000"/>
    <x v="4"/>
  </r>
  <r>
    <d v="2019-10-19T00:00:00"/>
    <d v="1899-12-30T08:20:00"/>
    <m/>
    <m/>
    <n v="2"/>
    <s v="Road Vehicle"/>
    <n v="1"/>
    <x v="0"/>
    <x v="1"/>
    <n v="2"/>
    <x v="1"/>
    <s v="KYAMUWUNGA"/>
    <s v="BUSHENYI"/>
    <s v="UGA"/>
    <n v="1"/>
    <s v="Home"/>
    <s v="MASAKA"/>
    <s v="MASAKA"/>
    <s v="UGA"/>
    <n v="6"/>
    <s v="Leisure/Social"/>
    <x v="8"/>
    <n v="10000"/>
    <n v="105"/>
    <x v="2"/>
    <n v="4"/>
    <x v="2"/>
    <n v="2"/>
    <s v="Manual Labour"/>
    <n v="1"/>
    <x v="2"/>
    <n v="2"/>
    <n v="1"/>
    <n v="3"/>
    <n v="4"/>
    <n v="5"/>
    <s v="Y"/>
    <m/>
    <x v="3"/>
  </r>
  <r>
    <d v="2019-10-19T00:00:00"/>
    <d v="1899-12-30T08:52:00"/>
    <m/>
    <s v="P"/>
    <n v="2"/>
    <s v="Road Vehicle"/>
    <n v="1"/>
    <x v="0"/>
    <x v="1"/>
    <n v="2"/>
    <x v="1"/>
    <s v="KARAMBI"/>
    <s v="BUSHENYI"/>
    <s v="UGA"/>
    <n v="1"/>
    <s v="Home"/>
    <s v="ISHAKA"/>
    <s v="BUSHENYI"/>
    <s v="UGA"/>
    <n v="2"/>
    <s v="Work"/>
    <x v="1"/>
    <n v="4000"/>
    <n v="50"/>
    <x v="5"/>
    <n v="1"/>
    <x v="1"/>
    <n v="2"/>
    <s v="Manual Labour"/>
    <n v="1"/>
    <x v="2"/>
    <n v="4"/>
    <n v="5"/>
    <n v="3"/>
    <n v="1"/>
    <n v="2"/>
    <s v="Y"/>
    <n v="5000"/>
    <x v="2"/>
  </r>
  <r>
    <d v="2019-10-20T00:00:00"/>
    <d v="1899-12-30T14:10:00"/>
    <m/>
    <s v="P"/>
    <n v="2"/>
    <s v="Road Vehicle"/>
    <n v="1"/>
    <x v="0"/>
    <x v="1"/>
    <n v="2"/>
    <x v="1"/>
    <s v="KYABUJIMBI"/>
    <s v="BUSHENYI"/>
    <s v="UGA"/>
    <n v="6"/>
    <s v="Leisure/Social"/>
    <s v="KIREMBE"/>
    <s v="KASESE"/>
    <s v="UGA"/>
    <n v="1"/>
    <s v="Home"/>
    <x v="10"/>
    <n v="10000"/>
    <m/>
    <x v="0"/>
    <m/>
    <x v="3"/>
    <n v="6"/>
    <s v="Businessman"/>
    <n v="3"/>
    <x v="1"/>
    <n v="4"/>
    <n v="3"/>
    <n v="1"/>
    <n v="5"/>
    <n v="2"/>
    <s v="Y"/>
    <n v="1000"/>
    <x v="4"/>
  </r>
  <r>
    <d v="2019-10-20T00:00:00"/>
    <d v="1899-12-30T17:25:00"/>
    <m/>
    <s v="P"/>
    <n v="2"/>
    <s v="Road Vehicle"/>
    <n v="1"/>
    <x v="0"/>
    <x v="1"/>
    <n v="2"/>
    <x v="1"/>
    <s v="ISHAKA"/>
    <s v="BUSHENYI"/>
    <s v="UGA"/>
    <n v="6"/>
    <s v="Leisure/Social"/>
    <s v="MAKENGE"/>
    <s v="MBARARA"/>
    <s v="UGA"/>
    <n v="1"/>
    <s v="Home"/>
    <x v="10"/>
    <n v="9000"/>
    <m/>
    <x v="0"/>
    <n v="1"/>
    <x v="1"/>
    <n v="6"/>
    <s v="Businessman"/>
    <n v="1"/>
    <x v="2"/>
    <n v="5"/>
    <n v="2"/>
    <n v="1"/>
    <n v="3"/>
    <n v="4"/>
    <s v="Y"/>
    <n v="100"/>
    <x v="3"/>
  </r>
  <r>
    <d v="2019-10-20T00:00:00"/>
    <d v="1899-12-30T10:18:00"/>
    <m/>
    <s v="P"/>
    <n v="2"/>
    <s v="Road Vehicle"/>
    <n v="1"/>
    <x v="0"/>
    <x v="1"/>
    <n v="2"/>
    <x v="1"/>
    <s v="KIZINDA"/>
    <s v="BUSHENYI"/>
    <s v="UGA"/>
    <n v="1"/>
    <s v="Home"/>
    <s v="ST.PETERS"/>
    <s v="BUSHENYI"/>
    <s v="UGA"/>
    <n v="8"/>
    <s v="Others"/>
    <x v="13"/>
    <n v="2000"/>
    <n v="9"/>
    <x v="0"/>
    <n v="0.8"/>
    <x v="4"/>
    <n v="6"/>
    <s v="Businessman"/>
    <n v="2"/>
    <x v="3"/>
    <n v="3"/>
    <n v="2"/>
    <n v="4"/>
    <n v="1"/>
    <n v="5"/>
    <s v="Y"/>
    <n v="1000"/>
    <x v="4"/>
  </r>
  <r>
    <d v="2019-10-20T00:00:00"/>
    <d v="1899-12-30T09:05:00"/>
    <m/>
    <s v="P"/>
    <n v="2"/>
    <s v="Road Vehicle"/>
    <n v="1"/>
    <x v="0"/>
    <x v="1"/>
    <n v="2"/>
    <x v="1"/>
    <s v="KIGOMA"/>
    <s v="BUSHENYI"/>
    <s v="UGA"/>
    <n v="1"/>
    <s v="Home"/>
    <s v="CHRIST THE KING"/>
    <s v="SHEEMA"/>
    <s v="UGA"/>
    <n v="8"/>
    <s v="Others"/>
    <x v="13"/>
    <n v="4000"/>
    <m/>
    <x v="0"/>
    <n v="1"/>
    <x v="1"/>
    <n v="7"/>
    <s v="Farmer"/>
    <n v="2"/>
    <x v="3"/>
    <n v="1"/>
    <n v="2"/>
    <n v="4"/>
    <n v="3"/>
    <n v="5"/>
    <s v="Y"/>
    <n v="1000"/>
    <x v="4"/>
  </r>
  <r>
    <d v="2019-10-20T00:00:00"/>
    <d v="1899-12-30T09:28:00"/>
    <m/>
    <s v="P"/>
    <n v="2"/>
    <s v="Road Vehicle"/>
    <n v="1"/>
    <x v="0"/>
    <x v="1"/>
    <n v="2"/>
    <x v="1"/>
    <s v="KIZINDA"/>
    <s v="BUSHENYI"/>
    <s v="UGA"/>
    <n v="8"/>
    <s v="Others"/>
    <s v="KASOZI"/>
    <s v="BUSHENYI"/>
    <s v="UGA"/>
    <n v="1"/>
    <s v="Home"/>
    <x v="12"/>
    <n v="1500"/>
    <n v="8"/>
    <x v="0"/>
    <n v="0.2"/>
    <x v="3"/>
    <n v="7"/>
    <s v="Farmer"/>
    <n v="1"/>
    <x v="2"/>
    <n v="3"/>
    <n v="4"/>
    <n v="2"/>
    <n v="1"/>
    <n v="5"/>
    <s v="Y"/>
    <n v="2000"/>
    <x v="1"/>
  </r>
  <r>
    <d v="2019-10-20T00:00:00"/>
    <d v="1899-12-30T10:08:00"/>
    <m/>
    <s v="P"/>
    <n v="2"/>
    <s v="Road Vehicle"/>
    <n v="1"/>
    <x v="0"/>
    <x v="1"/>
    <n v="2"/>
    <x v="1"/>
    <s v="KATUNGURU"/>
    <s v="RUBIRIZI"/>
    <s v="UGA"/>
    <n v="4"/>
    <s v="Commercial"/>
    <s v="SHEEMA"/>
    <s v="SHEEMA"/>
    <s v="UGA"/>
    <n v="4"/>
    <s v="Commercial"/>
    <x v="18"/>
    <n v="8000"/>
    <n v="45"/>
    <x v="5"/>
    <n v="1.5"/>
    <x v="1"/>
    <n v="6"/>
    <s v="Businessman"/>
    <n v="1"/>
    <x v="2"/>
    <n v="1"/>
    <n v="2"/>
    <n v="5"/>
    <n v="3"/>
    <n v="4"/>
    <s v="Y"/>
    <n v="500"/>
    <x v="3"/>
  </r>
  <r>
    <d v="2019-10-20T00:00:00"/>
    <d v="1899-12-30T17:18:00"/>
    <m/>
    <s v="P"/>
    <n v="2"/>
    <s v="Road Vehicle"/>
    <n v="1"/>
    <x v="0"/>
    <x v="1"/>
    <n v="2"/>
    <x v="1"/>
    <s v="KYAMBURA"/>
    <s v="RUBIRIZI"/>
    <s v="UGA"/>
    <n v="4"/>
    <s v="Commercial"/>
    <s v="NTUNGAMO"/>
    <s v="NTUNGAMO"/>
    <s v="UGA"/>
    <n v="4"/>
    <s v="Commercial"/>
    <x v="18"/>
    <n v="10000"/>
    <m/>
    <x v="0"/>
    <n v="2.5"/>
    <x v="0"/>
    <n v="6"/>
    <s v="Businessman"/>
    <n v="1"/>
    <x v="2"/>
    <n v="3"/>
    <n v="2"/>
    <n v="4"/>
    <n v="1"/>
    <n v="5"/>
    <s v="Y"/>
    <m/>
    <x v="3"/>
  </r>
  <r>
    <d v="2019-10-18T00:00:00"/>
    <d v="1899-12-30T17:10:00"/>
    <m/>
    <s v="P"/>
    <n v="2"/>
    <s v="Road Vehicle"/>
    <n v="1"/>
    <x v="0"/>
    <x v="0"/>
    <n v="2"/>
    <x v="1"/>
    <s v="KARAMBI"/>
    <s v="BUSHENYI"/>
    <s v="UGA"/>
    <n v="6"/>
    <s v="Leisure/Social"/>
    <s v="TOWN KIREMBE"/>
    <s v="KASESE"/>
    <s v="UGA"/>
    <n v="1"/>
    <s v="Home"/>
    <x v="10"/>
    <n v="1000"/>
    <m/>
    <x v="0"/>
    <n v="2"/>
    <x v="0"/>
    <n v="5"/>
    <s v="Professional"/>
    <n v="2"/>
    <x v="3"/>
    <n v="3"/>
    <n v="4"/>
    <n v="2"/>
    <n v="1"/>
    <n v="5"/>
    <s v="Y"/>
    <n v="1000"/>
    <x v="4"/>
  </r>
  <r>
    <d v="2019-10-18T00:00:00"/>
    <d v="1899-12-30T16:32:00"/>
    <m/>
    <s v="P"/>
    <n v="2"/>
    <s v="Road Vehicle"/>
    <n v="1"/>
    <x v="0"/>
    <x v="0"/>
    <n v="2"/>
    <x v="1"/>
    <s v="KATERERA"/>
    <s v="RUBIRIZI"/>
    <s v="UGA"/>
    <n v="1"/>
    <s v="Home"/>
    <s v="KAKOBA"/>
    <s v="MBARARA"/>
    <s v="UGA"/>
    <n v="2"/>
    <s v="Work"/>
    <x v="1"/>
    <n v="20000"/>
    <m/>
    <x v="0"/>
    <n v="3"/>
    <x v="0"/>
    <n v="6"/>
    <s v="Businessman"/>
    <n v="1"/>
    <x v="2"/>
    <n v="1"/>
    <n v="4"/>
    <n v="3"/>
    <n v="2"/>
    <n v="5"/>
    <s v="Y"/>
    <n v="100"/>
    <x v="3"/>
  </r>
  <r>
    <d v="2019-10-18T00:00:00"/>
    <d v="1899-12-30T16:12:00"/>
    <m/>
    <s v="D"/>
    <n v="2"/>
    <s v="Road Vehicle"/>
    <n v="1"/>
    <x v="0"/>
    <x v="0"/>
    <n v="2"/>
    <x v="1"/>
    <s v="ISHAKA"/>
    <s v="BUSHENYI"/>
    <s v="UGA"/>
    <n v="2"/>
    <s v="Work"/>
    <s v="TOWN MBARARA"/>
    <s v="MBARARA"/>
    <s v="UGA"/>
    <n v="2"/>
    <s v="Work"/>
    <x v="2"/>
    <n v="46000"/>
    <n v="62"/>
    <x v="5"/>
    <n v="1"/>
    <x v="1"/>
    <n v="10"/>
    <s v="Other"/>
    <n v="2"/>
    <x v="3"/>
    <n v="3"/>
    <n v="1"/>
    <n v="2"/>
    <n v="4"/>
    <n v="5"/>
    <s v="Y"/>
    <n v="1000"/>
    <x v="4"/>
  </r>
  <r>
    <d v="2019-10-19T00:00:00"/>
    <d v="1899-12-30T07:18:00"/>
    <m/>
    <s v="D"/>
    <n v="2"/>
    <s v="Road Vehicle"/>
    <n v="1"/>
    <x v="0"/>
    <x v="0"/>
    <n v="2"/>
    <x v="1"/>
    <s v="KIZINDA"/>
    <s v="BUSHENYI"/>
    <s v="UGA"/>
    <n v="1"/>
    <s v="Home"/>
    <s v="NTUNGAMO"/>
    <s v="NTUNGAMO"/>
    <s v="UGA"/>
    <n v="2"/>
    <s v="Work"/>
    <x v="1"/>
    <n v="7000"/>
    <n v="50"/>
    <x v="5"/>
    <n v="1"/>
    <x v="1"/>
    <n v="10"/>
    <s v="Other"/>
    <n v="1"/>
    <x v="2"/>
    <n v="2"/>
    <n v="3"/>
    <n v="1"/>
    <n v="5"/>
    <n v="4"/>
    <s v="N"/>
    <m/>
    <x v="3"/>
  </r>
  <r>
    <d v="2019-10-19T00:00:00"/>
    <d v="1899-12-30T07:42:00"/>
    <m/>
    <s v="D"/>
    <n v="2"/>
    <s v="Road Vehicle"/>
    <n v="1"/>
    <x v="0"/>
    <x v="0"/>
    <n v="2"/>
    <x v="1"/>
    <s v="MBARARA"/>
    <s v="MBARARA"/>
    <s v="UGA"/>
    <n v="2"/>
    <s v="Work"/>
    <s v="ISHAKA"/>
    <s v="BUSHENYI"/>
    <s v="UGA"/>
    <n v="2"/>
    <s v="Work"/>
    <x v="2"/>
    <n v="7000"/>
    <n v="54"/>
    <x v="5"/>
    <n v="0.7"/>
    <x v="4"/>
    <n v="1"/>
    <s v="Unemployed"/>
    <n v="2"/>
    <x v="3"/>
    <n v="5"/>
    <n v="2"/>
    <n v="3"/>
    <n v="1"/>
    <n v="4"/>
    <s v="Y"/>
    <n v="1000"/>
    <x v="4"/>
  </r>
  <r>
    <d v="2019-10-19T00:00:00"/>
    <d v="1899-12-30T10:31:00"/>
    <m/>
    <s v="D"/>
    <n v="2"/>
    <s v="Road Vehicle"/>
    <n v="1"/>
    <x v="0"/>
    <x v="0"/>
    <n v="2"/>
    <x v="1"/>
    <s v="BUSHENYI"/>
    <s v="BUSHENYI"/>
    <s v="UGA"/>
    <n v="4"/>
    <s v="Commercial"/>
    <s v="NTUNGAMO"/>
    <s v="NTUNGAMO"/>
    <s v="UGA"/>
    <n v="4"/>
    <s v="Commercial"/>
    <x v="18"/>
    <n v="30000"/>
    <m/>
    <x v="0"/>
    <n v="2"/>
    <x v="0"/>
    <n v="4"/>
    <s v="Office Worker"/>
    <n v="2"/>
    <x v="3"/>
    <n v="5"/>
    <n v="2"/>
    <n v="3"/>
    <n v="1"/>
    <n v="4"/>
    <s v="Y"/>
    <n v="5000"/>
    <x v="2"/>
  </r>
  <r>
    <d v="2019-10-19T00:00:00"/>
    <d v="1899-12-30T15:13:00"/>
    <m/>
    <s v="D"/>
    <n v="2"/>
    <s v="Road Vehicle"/>
    <n v="1"/>
    <x v="0"/>
    <x v="0"/>
    <n v="2"/>
    <x v="1"/>
    <s v="KITAMBE"/>
    <s v="SHEEMA"/>
    <s v="UGA"/>
    <n v="6"/>
    <s v="Leisure/Social"/>
    <s v="ISHAKA"/>
    <s v="BUSHENYI"/>
    <s v="UGA"/>
    <n v="8"/>
    <s v="Others"/>
    <x v="39"/>
    <n v="20000"/>
    <n v="15"/>
    <x v="6"/>
    <n v="0.3"/>
    <x v="3"/>
    <n v="6"/>
    <s v="Businessman"/>
    <n v="3"/>
    <x v="1"/>
    <n v="2"/>
    <n v="1"/>
    <n v="3"/>
    <n v="4"/>
    <n v="5"/>
    <s v="Y"/>
    <n v="1000"/>
    <x v="4"/>
  </r>
  <r>
    <d v="2019-10-20T00:00:00"/>
    <d v="1899-12-30T10:19:00"/>
    <m/>
    <s v="P"/>
    <n v="2"/>
    <s v="Road Vehicle"/>
    <n v="1"/>
    <x v="0"/>
    <x v="0"/>
    <n v="2"/>
    <x v="1"/>
    <s v="KIU"/>
    <s v="MBARARA"/>
    <s v="UGA"/>
    <n v="3"/>
    <s v="Study"/>
    <s v="ISHAKA"/>
    <s v="BUSHENYI"/>
    <s v="UGA"/>
    <n v="1"/>
    <s v="Home"/>
    <x v="9"/>
    <n v="7000"/>
    <m/>
    <x v="0"/>
    <n v="1.5"/>
    <x v="1"/>
    <n v="8"/>
    <s v="Student"/>
    <n v="1"/>
    <x v="2"/>
    <n v="2"/>
    <n v="3"/>
    <n v="4"/>
    <n v="1"/>
    <n v="5"/>
    <s v="Y"/>
    <m/>
    <x v="3"/>
  </r>
  <r>
    <d v="2019-10-20T00:00:00"/>
    <d v="1899-12-30T07:35:00"/>
    <m/>
    <s v="P"/>
    <n v="2"/>
    <s v="Road Vehicle"/>
    <n v="1"/>
    <x v="0"/>
    <x v="0"/>
    <n v="2"/>
    <x v="1"/>
    <s v="KAKANZU"/>
    <s v="BUSHENYI"/>
    <s v="UGA"/>
    <n v="1"/>
    <s v="Home"/>
    <s v="TOWN CENTER"/>
    <s v="MBARARA"/>
    <s v="UGA"/>
    <n v="8"/>
    <s v="Others"/>
    <x v="13"/>
    <n v="8000"/>
    <m/>
    <x v="0"/>
    <n v="1"/>
    <x v="1"/>
    <n v="6"/>
    <s v="Businessman"/>
    <n v="2"/>
    <x v="3"/>
    <n v="5"/>
    <n v="2"/>
    <n v="1"/>
    <n v="3"/>
    <n v="4"/>
    <s v="Y"/>
    <n v="100"/>
    <x v="3"/>
  </r>
  <r>
    <d v="2019-10-20T00:00:00"/>
    <d v="1899-12-30T09:49:00"/>
    <m/>
    <s v="D"/>
    <n v="2"/>
    <s v="Road Vehicle"/>
    <n v="1"/>
    <x v="0"/>
    <x v="0"/>
    <n v="2"/>
    <x v="1"/>
    <s v="TOWN"/>
    <s v="MBARARA"/>
    <s v="UGA"/>
    <n v="2"/>
    <s v="Work"/>
    <s v="ISHAKA"/>
    <s v="BUSHENYI"/>
    <s v="UGA"/>
    <n v="8"/>
    <s v="Others"/>
    <x v="19"/>
    <n v="60000"/>
    <n v="85"/>
    <x v="1"/>
    <n v="0.8"/>
    <x v="4"/>
    <n v="10"/>
    <s v="Other"/>
    <n v="2"/>
    <x v="3"/>
    <n v="4"/>
    <n v="2"/>
    <n v="3"/>
    <n v="1"/>
    <n v="5"/>
    <s v="Y"/>
    <n v="100"/>
    <x v="3"/>
  </r>
  <r>
    <d v="2019-10-20T00:00:00"/>
    <d v="1899-12-30T14:48:00"/>
    <m/>
    <s v="D"/>
    <n v="2"/>
    <s v="Road Vehicle"/>
    <n v="1"/>
    <x v="0"/>
    <x v="0"/>
    <n v="2"/>
    <x v="1"/>
    <s v="ISHAKA"/>
    <s v="BUSHENYI"/>
    <s v="UGA"/>
    <n v="2"/>
    <s v="Work"/>
    <s v="KABAROLE"/>
    <s v="KABAROLE"/>
    <s v="UGA"/>
    <n v="2"/>
    <s v="Work"/>
    <x v="2"/>
    <m/>
    <n v="140"/>
    <x v="2"/>
    <n v="2"/>
    <x v="0"/>
    <n v="10"/>
    <s v="Other"/>
    <n v="1"/>
    <x v="2"/>
    <n v="2"/>
    <n v="5"/>
    <n v="4"/>
    <n v="1"/>
    <n v="3"/>
    <s v="Y"/>
    <n v="500"/>
    <x v="3"/>
  </r>
  <r>
    <d v="2019-10-20T00:00:00"/>
    <d v="1899-12-30T13:50:00"/>
    <m/>
    <s v="P"/>
    <n v="2"/>
    <s v="Road Vehicle"/>
    <n v="1"/>
    <x v="0"/>
    <x v="0"/>
    <n v="2"/>
    <x v="1"/>
    <s v="NATIONAL PARK"/>
    <s v="KASESE"/>
    <s v="UGA"/>
    <n v="8"/>
    <s v="Others"/>
    <s v="TOWN CENTER"/>
    <s v="MBARARA"/>
    <s v="UGA"/>
    <n v="8"/>
    <s v="Others"/>
    <x v="15"/>
    <n v="20000"/>
    <m/>
    <x v="0"/>
    <n v="3"/>
    <x v="0"/>
    <n v="4"/>
    <s v="Office Worker"/>
    <n v="2"/>
    <x v="3"/>
    <n v="5"/>
    <n v="1"/>
    <n v="3"/>
    <n v="4"/>
    <n v="2"/>
    <s v="Y"/>
    <n v="100"/>
    <x v="3"/>
  </r>
  <r>
    <d v="2019-10-20T00:00:00"/>
    <d v="1899-12-30T16:39:00"/>
    <m/>
    <s v="P"/>
    <n v="2"/>
    <s v="Road Vehicle"/>
    <n v="1"/>
    <x v="0"/>
    <x v="0"/>
    <n v="2"/>
    <x v="1"/>
    <s v="NYIBINGO"/>
    <s v="BUSHENYI"/>
    <s v="UGA"/>
    <n v="6"/>
    <s v="Leisure/Social"/>
    <s v="KALAMBI"/>
    <s v="FORTPOTAL"/>
    <s v="UGA"/>
    <n v="1"/>
    <s v="Home"/>
    <x v="10"/>
    <n v="20000"/>
    <n v="110"/>
    <x v="2"/>
    <n v="2"/>
    <x v="0"/>
    <n v="6"/>
    <s v="Businessman"/>
    <n v="1"/>
    <x v="2"/>
    <n v="3"/>
    <n v="1"/>
    <n v="4"/>
    <n v="2"/>
    <n v="5"/>
    <s v="Y"/>
    <n v="500"/>
    <x v="3"/>
  </r>
  <r>
    <d v="2019-10-20T00:00:00"/>
    <d v="1899-12-30T18:32:00"/>
    <m/>
    <s v="D"/>
    <n v="2"/>
    <s v="Road Vehicle"/>
    <n v="1"/>
    <x v="0"/>
    <x v="0"/>
    <n v="2"/>
    <x v="1"/>
    <s v="ISHAKA"/>
    <s v="BUSHENYI"/>
    <s v="UGA"/>
    <n v="2"/>
    <s v="Work"/>
    <s v="TOWN CENTER"/>
    <s v="KASESE"/>
    <s v="UGA"/>
    <n v="2"/>
    <s v="Work"/>
    <x v="2"/>
    <n v="49400"/>
    <n v="90"/>
    <x v="1"/>
    <n v="1"/>
    <x v="1"/>
    <n v="10"/>
    <s v="Other"/>
    <n v="1"/>
    <x v="2"/>
    <n v="4"/>
    <n v="2"/>
    <n v="3"/>
    <n v="1"/>
    <n v="5"/>
    <s v="Y"/>
    <n v="3000"/>
    <x v="0"/>
  </r>
  <r>
    <d v="2019-10-20T00:00:00"/>
    <d v="1899-12-30T08:57:00"/>
    <m/>
    <s v="D"/>
    <n v="2"/>
    <s v="Road Vehicle"/>
    <n v="1"/>
    <x v="0"/>
    <x v="0"/>
    <n v="2"/>
    <x v="1"/>
    <s v="NYABUBARE"/>
    <s v="BUSHENYI"/>
    <s v="UGA"/>
    <n v="1"/>
    <s v="Home"/>
    <s v="MBARARA"/>
    <s v="MBARARA"/>
    <s v="UGA"/>
    <n v="4"/>
    <s v="Commercial"/>
    <x v="0"/>
    <n v="38000"/>
    <n v="115"/>
    <x v="2"/>
    <n v="2.5"/>
    <x v="0"/>
    <n v="6"/>
    <s v="Businessman"/>
    <n v="2"/>
    <x v="3"/>
    <n v="5"/>
    <n v="1"/>
    <n v="2"/>
    <n v="4"/>
    <n v="3"/>
    <s v="Y"/>
    <n v="2000"/>
    <x v="1"/>
  </r>
  <r>
    <d v="2019-10-19T00:00:00"/>
    <d v="1899-12-30T07:55:00"/>
    <m/>
    <s v="P"/>
    <n v="2"/>
    <s v="Road Vehicle"/>
    <n v="6"/>
    <x v="1"/>
    <x v="1"/>
    <n v="2"/>
    <x v="1"/>
    <s v="ISHAKA"/>
    <s v="BUSHENYI"/>
    <s v="UGA"/>
    <n v="1"/>
    <s v="Home"/>
    <s v="MITOMA"/>
    <s v="MITOMA"/>
    <s v="UGA"/>
    <n v="3"/>
    <s v="Study"/>
    <x v="25"/>
    <n v="3000"/>
    <n v="30"/>
    <x v="4"/>
    <n v="1"/>
    <x v="1"/>
    <n v="8"/>
    <s v="Student"/>
    <n v="1"/>
    <x v="2"/>
    <n v="4"/>
    <n v="1"/>
    <n v="2"/>
    <n v="3"/>
    <n v="5"/>
    <s v="Y"/>
    <n v="1000"/>
    <x v="4"/>
  </r>
  <r>
    <d v="2019-10-20T00:00:00"/>
    <d v="1899-12-30T10:34:00"/>
    <m/>
    <s v="P"/>
    <n v="2"/>
    <s v="Road Vehicle"/>
    <n v="6"/>
    <x v="1"/>
    <x v="1"/>
    <n v="2"/>
    <x v="1"/>
    <s v="ISHAKA"/>
    <s v="BUSHENYI"/>
    <s v="UGA"/>
    <n v="1"/>
    <s v="Home"/>
    <s v="KAMPALA"/>
    <s v="KAMPALA"/>
    <s v="UGA"/>
    <n v="2"/>
    <s v="Work"/>
    <x v="1"/>
    <n v="17000"/>
    <m/>
    <x v="0"/>
    <n v="5"/>
    <x v="2"/>
    <n v="2"/>
    <s v="Manual Labour"/>
    <n v="1"/>
    <x v="2"/>
    <n v="1"/>
    <n v="2"/>
    <n v="5"/>
    <n v="4"/>
    <n v="3"/>
    <s v="N"/>
    <m/>
    <x v="3"/>
  </r>
  <r>
    <d v="2019-10-20T00:00:00"/>
    <d v="1899-12-30T08:31:00"/>
    <m/>
    <s v="P"/>
    <n v="2"/>
    <s v="Road Vehicle"/>
    <n v="6"/>
    <x v="1"/>
    <x v="1"/>
    <n v="2"/>
    <x v="1"/>
    <s v="RUHUMURO"/>
    <s v="BUSHENYI"/>
    <s v="UGA"/>
    <n v="6"/>
    <s v="Leisure/Social"/>
    <s v="NATETE"/>
    <s v="KAMPALA"/>
    <s v="UGA"/>
    <n v="1"/>
    <s v="Home"/>
    <x v="10"/>
    <n v="30000"/>
    <m/>
    <x v="0"/>
    <n v="6"/>
    <x v="2"/>
    <n v="4"/>
    <s v="Office Worker"/>
    <n v="2"/>
    <x v="3"/>
    <n v="2"/>
    <n v="4"/>
    <n v="1"/>
    <n v="5"/>
    <n v="3"/>
    <s v="Y"/>
    <n v="2000"/>
    <x v="1"/>
  </r>
  <r>
    <d v="2019-10-20T00:00:00"/>
    <d v="1899-12-30T09:26:00"/>
    <m/>
    <s v="P"/>
    <n v="2"/>
    <s v="Road Vehicle"/>
    <n v="6"/>
    <x v="1"/>
    <x v="1"/>
    <n v="2"/>
    <x v="1"/>
    <s v="NYIBINYE"/>
    <s v="BUSHENYI"/>
    <s v="UGA"/>
    <n v="6"/>
    <s v="Leisure/Social"/>
    <s v="TAXI PARK"/>
    <s v="KAMPALA"/>
    <s v="UGA"/>
    <n v="1"/>
    <s v="Home"/>
    <x v="10"/>
    <n v="19000"/>
    <m/>
    <x v="0"/>
    <n v="5"/>
    <x v="2"/>
    <n v="4"/>
    <s v="Office Worker"/>
    <n v="3"/>
    <x v="1"/>
    <n v="3"/>
    <n v="4"/>
    <n v="2"/>
    <n v="1"/>
    <n v="5"/>
    <s v="Y"/>
    <n v="3000"/>
    <x v="0"/>
  </r>
  <r>
    <d v="2019-10-20T00:00:00"/>
    <d v="1899-12-30T08:38:00"/>
    <m/>
    <s v="P"/>
    <n v="2"/>
    <s v="Road Vehicle"/>
    <n v="6"/>
    <x v="1"/>
    <x v="1"/>
    <n v="2"/>
    <x v="1"/>
    <s v="BWERA"/>
    <s v="KASESE"/>
    <s v="UGA"/>
    <n v="1"/>
    <s v="Home"/>
    <m/>
    <m/>
    <s v="UGA"/>
    <n v="6"/>
    <s v="Leisure/Social"/>
    <x v="8"/>
    <n v="35000"/>
    <n v="460"/>
    <x v="3"/>
    <n v="9"/>
    <x v="2"/>
    <n v="7"/>
    <s v="Farmer"/>
    <n v="3"/>
    <x v="1"/>
    <n v="1"/>
    <n v="2"/>
    <n v="3"/>
    <n v="4"/>
    <n v="5"/>
    <s v="Y"/>
    <n v="2000"/>
    <x v="1"/>
  </r>
  <r>
    <d v="2019-10-20T00:00:00"/>
    <d v="1899-12-30T10:13:00"/>
    <m/>
    <s v="P"/>
    <n v="2"/>
    <s v="Road Vehicle"/>
    <n v="6"/>
    <x v="1"/>
    <x v="1"/>
    <n v="2"/>
    <x v="1"/>
    <s v="RUBIRIZI"/>
    <s v="RUBIRIZI"/>
    <s v="UGA"/>
    <n v="4"/>
    <s v="Commercial"/>
    <s v="WAKISO"/>
    <s v="WAKISO"/>
    <s v="UGA"/>
    <n v="4"/>
    <s v="Commercial"/>
    <x v="18"/>
    <n v="33000"/>
    <m/>
    <x v="0"/>
    <n v="24"/>
    <x v="2"/>
    <n v="6"/>
    <s v="Businessman"/>
    <n v="2"/>
    <x v="3"/>
    <n v="5"/>
    <n v="1"/>
    <n v="2"/>
    <n v="3"/>
    <n v="4"/>
    <s v="Y"/>
    <n v="2000"/>
    <x v="1"/>
  </r>
  <r>
    <d v="2019-10-20T00:00:00"/>
    <d v="1899-12-30T18:03:00"/>
    <m/>
    <s v="P"/>
    <n v="2"/>
    <s v="Road Vehicle"/>
    <n v="6"/>
    <x v="1"/>
    <x v="1"/>
    <n v="2"/>
    <x v="1"/>
    <s v="BWERA"/>
    <s v="KASESE"/>
    <s v="UGA"/>
    <n v="4"/>
    <s v="Commercial"/>
    <s v="KAMPALA"/>
    <s v="KAMPALA"/>
    <s v="UGA"/>
    <n v="3"/>
    <s v="Study"/>
    <x v="26"/>
    <n v="30000"/>
    <n v="341"/>
    <x v="3"/>
    <n v="8"/>
    <x v="2"/>
    <n v="6"/>
    <s v="Businessman"/>
    <n v="2"/>
    <x v="3"/>
    <n v="2"/>
    <n v="3"/>
    <n v="5"/>
    <n v="1"/>
    <n v="4"/>
    <s v="Y"/>
    <m/>
    <x v="3"/>
  </r>
  <r>
    <d v="2019-10-20T00:00:00"/>
    <d v="1899-12-30T07:41:00"/>
    <m/>
    <s v="P"/>
    <n v="2"/>
    <s v="Road Vehicle"/>
    <n v="6"/>
    <x v="1"/>
    <x v="0"/>
    <n v="2"/>
    <x v="1"/>
    <s v="RWINI"/>
    <s v="KAGADI"/>
    <s v="UGA"/>
    <n v="6"/>
    <s v="Leisure/Social"/>
    <s v="NATETE"/>
    <s v="KAMPALA"/>
    <s v="UGA"/>
    <n v="1"/>
    <s v="Home"/>
    <x v="10"/>
    <n v="35000"/>
    <m/>
    <x v="0"/>
    <n v="10"/>
    <x v="2"/>
    <n v="6"/>
    <s v="Businessman"/>
    <n v="4"/>
    <x v="0"/>
    <n v="3"/>
    <n v="1"/>
    <n v="2"/>
    <n v="4"/>
    <n v="5"/>
    <s v="Y"/>
    <n v="1000"/>
    <x v="4"/>
  </r>
  <r>
    <d v="2019-10-20T00:00:00"/>
    <d v="1899-12-30T10:22:00"/>
    <m/>
    <s v="P"/>
    <n v="2"/>
    <s v="Road Vehicle"/>
    <n v="6"/>
    <x v="1"/>
    <x v="0"/>
    <n v="2"/>
    <x v="1"/>
    <s v="BWERA"/>
    <s v="KASESE"/>
    <s v="UGA"/>
    <n v="1"/>
    <s v="Home"/>
    <s v="GAYAZA"/>
    <s v="WAKISO"/>
    <s v="UGA"/>
    <n v="4"/>
    <s v="Commercial"/>
    <x v="0"/>
    <n v="35000"/>
    <m/>
    <x v="0"/>
    <n v="10"/>
    <x v="2"/>
    <n v="6"/>
    <s v="Businessman"/>
    <n v="2"/>
    <x v="3"/>
    <n v="2"/>
    <n v="5"/>
    <n v="3"/>
    <n v="1"/>
    <n v="4"/>
    <s v="Y"/>
    <n v="1000"/>
    <x v="4"/>
  </r>
  <r>
    <d v="2019-10-20T00:00:00"/>
    <d v="1899-12-30T08:15:00"/>
    <m/>
    <s v="P"/>
    <n v="2"/>
    <s v="Road Vehicle"/>
    <n v="6"/>
    <x v="1"/>
    <x v="0"/>
    <n v="2"/>
    <x v="1"/>
    <s v="KATUNGURU"/>
    <s v="KASESE"/>
    <s v="UGA"/>
    <n v="4"/>
    <s v="Commercial"/>
    <s v="MBARARA"/>
    <s v="MBARARA"/>
    <s v="UGA"/>
    <n v="4"/>
    <s v="Commercial"/>
    <x v="18"/>
    <n v="15000"/>
    <n v="255"/>
    <x v="3"/>
    <n v="2"/>
    <x v="0"/>
    <n v="6"/>
    <s v="Businessman"/>
    <n v="2"/>
    <x v="3"/>
    <n v="2"/>
    <n v="1"/>
    <n v="4"/>
    <n v="3"/>
    <n v="5"/>
    <s v="Y"/>
    <n v="1000"/>
    <x v="4"/>
  </r>
  <r>
    <d v="2019-10-20T00:00:00"/>
    <d v="1899-12-30T08:33:00"/>
    <m/>
    <s v="P"/>
    <n v="2"/>
    <s v="Road Vehicle"/>
    <n v="6"/>
    <x v="1"/>
    <x v="0"/>
    <n v="2"/>
    <x v="1"/>
    <s v="BWERA"/>
    <s v="KASESE"/>
    <s v="UGA"/>
    <n v="1"/>
    <s v="Home"/>
    <s v="WANDEGEYA"/>
    <s v="KAMPALA"/>
    <s v="UGA"/>
    <n v="4"/>
    <s v="Commercial"/>
    <x v="0"/>
    <n v="30000"/>
    <n v="432"/>
    <x v="3"/>
    <n v="8"/>
    <x v="2"/>
    <n v="6"/>
    <s v="Businessman"/>
    <n v="5"/>
    <x v="4"/>
    <n v="2"/>
    <n v="1"/>
    <n v="4"/>
    <n v="3"/>
    <n v="5"/>
    <s v="Y"/>
    <m/>
    <x v="3"/>
  </r>
  <r>
    <d v="2019-10-20T00:00:00"/>
    <d v="1899-12-30T11:42:00"/>
    <m/>
    <s v="D"/>
    <n v="2"/>
    <s v="Road Vehicle"/>
    <n v="8"/>
    <x v="4"/>
    <x v="0"/>
    <n v="2"/>
    <x v="1"/>
    <s v="KAGAMBA"/>
    <s v="NTUNGAMO"/>
    <s v="UGA"/>
    <n v="1"/>
    <s v="Home"/>
    <s v="KAMPALA"/>
    <s v="KAMPALA"/>
    <s v="UGA"/>
    <n v="4"/>
    <s v="Commercial"/>
    <x v="0"/>
    <n v="300000"/>
    <n v="368"/>
    <x v="3"/>
    <n v="8"/>
    <x v="2"/>
    <n v="6"/>
    <s v="Businessman"/>
    <n v="3"/>
    <x v="1"/>
    <m/>
    <m/>
    <m/>
    <m/>
    <m/>
    <s v="Y"/>
    <n v="5000"/>
    <x v="2"/>
  </r>
  <r>
    <d v="2019-10-18T00:00:00"/>
    <d v="1899-12-30T15:09:00"/>
    <m/>
    <s v="P"/>
    <n v="2"/>
    <s v="Road Vehicle"/>
    <n v="4"/>
    <x v="3"/>
    <x v="1"/>
    <n v="2"/>
    <x v="1"/>
    <s v="NTARE"/>
    <s v="MBARARA"/>
    <s v="UGA"/>
    <n v="1"/>
    <s v="Home"/>
    <s v="TOWN CENTER"/>
    <s v="MBARARA"/>
    <s v="UGA"/>
    <n v="6"/>
    <s v="Leisure/Social"/>
    <x v="8"/>
    <n v="16000"/>
    <m/>
    <x v="0"/>
    <n v="3"/>
    <x v="0"/>
    <n v="4"/>
    <s v="Office Worker"/>
    <n v="2"/>
    <x v="3"/>
    <n v="3"/>
    <n v="4"/>
    <n v="2"/>
    <n v="1"/>
    <n v="5"/>
    <s v="Y"/>
    <m/>
    <x v="3"/>
  </r>
  <r>
    <d v="2019-10-19T00:00:00"/>
    <d v="1899-12-30T07:45:00"/>
    <m/>
    <s v="P"/>
    <n v="2"/>
    <s v="Road Vehicle"/>
    <n v="4"/>
    <x v="3"/>
    <x v="1"/>
    <n v="2"/>
    <x v="1"/>
    <s v="RUHARO"/>
    <s v="BUSHENYI"/>
    <s v="UGA"/>
    <n v="1"/>
    <s v="Home"/>
    <s v="ISHAKA"/>
    <s v="BUSHENYI"/>
    <s v="UGA"/>
    <n v="2"/>
    <s v="Work"/>
    <x v="1"/>
    <n v="2000"/>
    <n v="5"/>
    <x v="0"/>
    <n v="0.2"/>
    <x v="3"/>
    <n v="2"/>
    <s v="Manual Labour"/>
    <n v="1"/>
    <x v="2"/>
    <n v="5"/>
    <n v="1"/>
    <n v="2"/>
    <n v="4"/>
    <n v="3"/>
    <s v="Y"/>
    <n v="2000"/>
    <x v="1"/>
  </r>
  <r>
    <d v="2019-10-19T00:00:00"/>
    <d v="1899-12-30T07:52:00"/>
    <m/>
    <s v="P"/>
    <n v="2"/>
    <s v="Road Vehicle"/>
    <n v="4"/>
    <x v="3"/>
    <x v="1"/>
    <n v="2"/>
    <x v="1"/>
    <s v="KABUHURA"/>
    <s v="BUSHENYI"/>
    <s v="UGA"/>
    <n v="1"/>
    <s v="Home"/>
    <s v="MITOMA"/>
    <s v="MITOMA"/>
    <s v="UGA"/>
    <n v="8"/>
    <s v="Others"/>
    <x v="13"/>
    <n v="6000"/>
    <n v="50"/>
    <x v="5"/>
    <n v="1"/>
    <x v="1"/>
    <n v="7"/>
    <s v="Farmer"/>
    <n v="1"/>
    <x v="2"/>
    <n v="1"/>
    <n v="2"/>
    <n v="5"/>
    <n v="4"/>
    <n v="3"/>
    <s v="Y"/>
    <m/>
    <x v="3"/>
  </r>
  <r>
    <d v="2019-10-19T00:00:00"/>
    <d v="1899-12-30T08:10:00"/>
    <m/>
    <s v="P"/>
    <n v="2"/>
    <s v="Road Vehicle"/>
    <n v="4"/>
    <x v="3"/>
    <x v="1"/>
    <n v="2"/>
    <x v="1"/>
    <s v="MBARARA"/>
    <s v="MBARARA"/>
    <s v="UGA"/>
    <n v="1"/>
    <s v="Home"/>
    <s v="ISHAKA"/>
    <s v="BUSHENYI"/>
    <s v="UGA"/>
    <n v="2"/>
    <s v="Work"/>
    <x v="1"/>
    <n v="7000"/>
    <n v="56"/>
    <x v="5"/>
    <n v="1"/>
    <x v="1"/>
    <n v="1"/>
    <s v="Unemployed"/>
    <n v="2"/>
    <x v="3"/>
    <n v="2"/>
    <n v="1"/>
    <n v="3"/>
    <n v="5"/>
    <n v="4"/>
    <s v="Y"/>
    <n v="5000"/>
    <x v="2"/>
  </r>
  <r>
    <d v="2019-10-19T00:00:00"/>
    <d v="1899-12-30T08:25:00"/>
    <m/>
    <s v="P"/>
    <n v="2"/>
    <s v="Road Vehicle"/>
    <n v="4"/>
    <x v="3"/>
    <x v="1"/>
    <n v="2"/>
    <x v="1"/>
    <s v="KASENYI"/>
    <s v="BUSHENYI"/>
    <s v="UGA"/>
    <n v="1"/>
    <s v="Home"/>
    <s v="BUSHENYI"/>
    <s v="BUSHENYI"/>
    <s v="UGA"/>
    <n v="2"/>
    <s v="Work"/>
    <x v="1"/>
    <n v="1000"/>
    <n v="10"/>
    <x v="6"/>
    <n v="0.3"/>
    <x v="3"/>
    <n v="2"/>
    <s v="Manual Labour"/>
    <n v="1"/>
    <x v="2"/>
    <n v="2"/>
    <n v="1"/>
    <n v="4"/>
    <n v="5"/>
    <n v="3"/>
    <s v="Y"/>
    <n v="1000"/>
    <x v="4"/>
  </r>
  <r>
    <d v="2019-10-19T00:00:00"/>
    <m/>
    <m/>
    <s v="P"/>
    <n v="2"/>
    <s v="Road Vehicle"/>
    <n v="4"/>
    <x v="3"/>
    <x v="1"/>
    <n v="2"/>
    <x v="1"/>
    <s v="BUTOKYO"/>
    <s v="MITOMA"/>
    <s v="UGA"/>
    <n v="1"/>
    <s v="Home"/>
    <s v="SHUKU"/>
    <s v="SHEEMA"/>
    <s v="UGA"/>
    <n v="3"/>
    <s v="Study"/>
    <x v="25"/>
    <n v="2000"/>
    <n v="6.4370000000000003"/>
    <x v="0"/>
    <n v="0.3"/>
    <x v="3"/>
    <n v="7"/>
    <s v="Farmer"/>
    <n v="1"/>
    <x v="2"/>
    <n v="2"/>
    <n v="1"/>
    <n v="3"/>
    <n v="4"/>
    <n v="5"/>
    <s v="Y"/>
    <n v="100"/>
    <x v="3"/>
  </r>
  <r>
    <d v="2019-10-19T00:00:00"/>
    <d v="1899-12-30T15:10:00"/>
    <m/>
    <s v="P"/>
    <n v="2"/>
    <s v="Road Vehicle"/>
    <n v="4"/>
    <x v="3"/>
    <x v="1"/>
    <n v="2"/>
    <x v="1"/>
    <s v="FORTPORTAL"/>
    <s v="KABALOORE"/>
    <s v="UGA"/>
    <n v="1"/>
    <s v="Home"/>
    <s v="BUSHENYI"/>
    <s v="BUSHENYI"/>
    <s v="UGA"/>
    <n v="2"/>
    <s v="Work"/>
    <x v="1"/>
    <n v="20000"/>
    <n v="79"/>
    <x v="1"/>
    <n v="3"/>
    <x v="0"/>
    <n v="10"/>
    <s v="Other"/>
    <n v="1"/>
    <x v="2"/>
    <n v="1"/>
    <n v="2"/>
    <n v="3"/>
    <n v="4"/>
    <n v="5"/>
    <s v="N"/>
    <m/>
    <x v="3"/>
  </r>
  <r>
    <d v="2019-10-19T00:00:00"/>
    <d v="1899-12-30T12:15:00"/>
    <m/>
    <s v="D"/>
    <n v="2"/>
    <s v="Road Vehicle"/>
    <n v="4"/>
    <x v="3"/>
    <x v="1"/>
    <n v="2"/>
    <x v="1"/>
    <s v="NYABUBARE"/>
    <s v="BUSHENYI"/>
    <s v="UGA"/>
    <n v="2"/>
    <s v="Work"/>
    <s v="MITOMA"/>
    <s v="MITOMA"/>
    <s v="UGA"/>
    <n v="4"/>
    <s v="Commercial"/>
    <x v="17"/>
    <n v="5000"/>
    <n v="46"/>
    <x v="5"/>
    <n v="0.6"/>
    <x v="4"/>
    <n v="10"/>
    <s v="Other"/>
    <n v="3"/>
    <x v="1"/>
    <m/>
    <m/>
    <m/>
    <m/>
    <m/>
    <s v="Y"/>
    <n v="500"/>
    <x v="3"/>
  </r>
  <r>
    <d v="2019-10-19T00:00:00"/>
    <d v="1899-12-30T08:14:00"/>
    <m/>
    <s v="P"/>
    <n v="2"/>
    <s v="Road Vehicle"/>
    <n v="4"/>
    <x v="3"/>
    <x v="1"/>
    <n v="2"/>
    <x v="1"/>
    <s v="MBARARA"/>
    <s v="MBARARA"/>
    <s v="UGA"/>
    <n v="1"/>
    <s v="Home"/>
    <s v="ISHAKA"/>
    <s v="MBARARA"/>
    <s v="UGA"/>
    <n v="6"/>
    <s v="Leisure/Social"/>
    <x v="8"/>
    <n v="7000"/>
    <m/>
    <x v="0"/>
    <n v="2"/>
    <x v="0"/>
    <n v="6"/>
    <s v="Businessman"/>
    <n v="2"/>
    <x v="3"/>
    <n v="4"/>
    <n v="3"/>
    <n v="1"/>
    <n v="2"/>
    <n v="5"/>
    <s v="Y"/>
    <n v="1000"/>
    <x v="4"/>
  </r>
  <r>
    <d v="2019-10-19T00:00:00"/>
    <d v="1899-12-30T11:27:00"/>
    <m/>
    <s v="D"/>
    <n v="2"/>
    <s v="Road Vehicle"/>
    <n v="4"/>
    <x v="3"/>
    <x v="1"/>
    <n v="2"/>
    <x v="1"/>
    <s v="ISHAKA"/>
    <s v="BUSHENYI"/>
    <s v="UGA"/>
    <n v="2"/>
    <s v="Work"/>
    <s v="KABAALE"/>
    <s v="KABAALE"/>
    <s v="UGA"/>
    <n v="1"/>
    <s v="Home"/>
    <x v="4"/>
    <n v="18000"/>
    <n v="10"/>
    <x v="6"/>
    <n v="6"/>
    <x v="2"/>
    <n v="7"/>
    <s v="Farmer"/>
    <n v="2"/>
    <x v="3"/>
    <n v="3"/>
    <n v="1"/>
    <n v="2"/>
    <n v="4"/>
    <n v="5"/>
    <s v="Y"/>
    <n v="500"/>
    <x v="3"/>
  </r>
  <r>
    <d v="2019-10-20T00:00:00"/>
    <d v="1899-12-30T14:39:00"/>
    <m/>
    <s v="P"/>
    <n v="2"/>
    <s v="Road Vehicle"/>
    <n v="4"/>
    <x v="3"/>
    <x v="1"/>
    <n v="2"/>
    <x v="1"/>
    <s v="ISHAKA"/>
    <s v="BUSHENYI"/>
    <s v="UGA"/>
    <n v="1"/>
    <s v="Home"/>
    <s v="KASESE"/>
    <s v="KASESE"/>
    <s v="UGA"/>
    <n v="4"/>
    <s v="Commercial"/>
    <x v="0"/>
    <n v="8000"/>
    <m/>
    <x v="0"/>
    <n v="2"/>
    <x v="0"/>
    <n v="6"/>
    <s v="Businessman"/>
    <n v="2"/>
    <x v="3"/>
    <n v="1"/>
    <n v="2"/>
    <n v="3"/>
    <n v="5"/>
    <n v="4"/>
    <s v="Y"/>
    <n v="500"/>
    <x v="3"/>
  </r>
  <r>
    <d v="2019-10-20T00:00:00"/>
    <d v="1899-12-30T08:05:00"/>
    <m/>
    <s v="P"/>
    <n v="2"/>
    <s v="Road Vehicle"/>
    <n v="4"/>
    <x v="3"/>
    <x v="1"/>
    <n v="2"/>
    <x v="1"/>
    <s v="KIZINDA"/>
    <s v="BUSHENYI"/>
    <s v="UGA"/>
    <n v="1"/>
    <s v="Home"/>
    <s v="CHRIST THE KING"/>
    <s v="SHEEMA"/>
    <s v="UGA"/>
    <n v="8"/>
    <s v="Others"/>
    <x v="13"/>
    <n v="3000"/>
    <m/>
    <x v="0"/>
    <n v="1"/>
    <x v="1"/>
    <n v="10"/>
    <s v="Other"/>
    <n v="2"/>
    <x v="3"/>
    <n v="3"/>
    <n v="1"/>
    <n v="2"/>
    <n v="4"/>
    <n v="5"/>
    <s v="Y"/>
    <n v="1000"/>
    <x v="4"/>
  </r>
  <r>
    <d v="2019-10-20T00:00:00"/>
    <d v="1899-12-30T08:29:00"/>
    <m/>
    <s v="P"/>
    <n v="2"/>
    <s v="Road Vehicle"/>
    <n v="4"/>
    <x v="3"/>
    <x v="1"/>
    <n v="2"/>
    <x v="1"/>
    <s v="KASESE"/>
    <s v="KASESE"/>
    <s v="UGA"/>
    <n v="1"/>
    <s v="Home"/>
    <s v="CHRIST THE KING"/>
    <s v="SHEEMA"/>
    <s v="UGA"/>
    <n v="8"/>
    <s v="Others"/>
    <x v="13"/>
    <n v="12000"/>
    <n v="98"/>
    <x v="1"/>
    <n v="1.5"/>
    <x v="1"/>
    <n v="7"/>
    <s v="Farmer"/>
    <n v="1"/>
    <x v="2"/>
    <n v="3"/>
    <n v="1"/>
    <n v="2"/>
    <n v="4"/>
    <n v="5"/>
    <s v="Y"/>
    <n v="1000"/>
    <x v="4"/>
  </r>
  <r>
    <d v="2019-10-20T00:00:00"/>
    <d v="1899-12-30T09:20:00"/>
    <m/>
    <s v="P"/>
    <n v="2"/>
    <s v="Road Vehicle"/>
    <n v="4"/>
    <x v="3"/>
    <x v="1"/>
    <n v="2"/>
    <x v="1"/>
    <s v="ST.KAGWA"/>
    <s v="BUSHENYI"/>
    <s v="UGA"/>
    <n v="8"/>
    <s v="Others"/>
    <s v="ISHAKA"/>
    <s v="BUSHENYI"/>
    <s v="UGA"/>
    <n v="1"/>
    <s v="Home"/>
    <x v="12"/>
    <n v="2000"/>
    <n v="15"/>
    <x v="6"/>
    <n v="0.3"/>
    <x v="3"/>
    <n v="7"/>
    <s v="Farmer"/>
    <n v="1"/>
    <x v="2"/>
    <n v="3"/>
    <n v="2"/>
    <n v="1"/>
    <n v="4"/>
    <n v="5"/>
    <s v="Y"/>
    <n v="2000"/>
    <x v="1"/>
  </r>
  <r>
    <d v="2019-10-18T00:00:00"/>
    <m/>
    <m/>
    <s v="D"/>
    <n v="2"/>
    <s v="Road Vehicle"/>
    <n v="4"/>
    <x v="3"/>
    <x v="0"/>
    <n v="2"/>
    <x v="1"/>
    <s v="NABINGO"/>
    <s v="BUSHENYI"/>
    <s v="UGA"/>
    <n v="2"/>
    <s v="Work"/>
    <s v="TAXI PARK"/>
    <s v="KASESE"/>
    <s v="UGA"/>
    <n v="2"/>
    <s v="Work"/>
    <x v="2"/>
    <n v="40000"/>
    <n v="90"/>
    <x v="1"/>
    <n v="2.5"/>
    <x v="0"/>
    <n v="10"/>
    <s v="Other"/>
    <n v="1"/>
    <x v="2"/>
    <n v="2"/>
    <n v="1"/>
    <n v="4"/>
    <n v="3"/>
    <n v="5"/>
    <s v="Y"/>
    <n v="1000"/>
    <x v="4"/>
  </r>
  <r>
    <d v="2019-10-18T00:00:00"/>
    <m/>
    <m/>
    <s v="P"/>
    <n v="2"/>
    <s v="Road Vehicle"/>
    <n v="4"/>
    <x v="3"/>
    <x v="0"/>
    <n v="2"/>
    <x v="1"/>
    <s v="BASAJABALABA"/>
    <s v="BUSHENYI"/>
    <s v="UGA"/>
    <n v="8"/>
    <s v="Others"/>
    <s v="KITAGATA"/>
    <s v="SHEEMA"/>
    <s v="UGA"/>
    <n v="1"/>
    <s v="Home"/>
    <x v="12"/>
    <n v="4000"/>
    <n v="25"/>
    <x v="4"/>
    <n v="0.7"/>
    <x v="4"/>
    <n v="6"/>
    <s v="Businessman"/>
    <n v="1"/>
    <x v="2"/>
    <n v="2"/>
    <n v="1"/>
    <n v="4"/>
    <n v="3"/>
    <n v="5"/>
    <s v="Y"/>
    <n v="1500"/>
    <x v="4"/>
  </r>
  <r>
    <d v="2019-10-18T00:00:00"/>
    <m/>
    <m/>
    <s v="D"/>
    <n v="2"/>
    <s v="Road Vehicle"/>
    <n v="4"/>
    <x v="3"/>
    <x v="0"/>
    <n v="2"/>
    <x v="1"/>
    <s v="ISHAKA"/>
    <s v="BUSHENYI"/>
    <s v="UGA"/>
    <n v="2"/>
    <s v="Work"/>
    <s v="TOWN"/>
    <s v="MBARARA"/>
    <s v="UGA"/>
    <n v="2"/>
    <s v="Work"/>
    <x v="2"/>
    <n v="60000"/>
    <n v="45"/>
    <x v="5"/>
    <n v="1"/>
    <x v="1"/>
    <n v="10"/>
    <s v="Other"/>
    <n v="1"/>
    <x v="2"/>
    <n v="3"/>
    <n v="2"/>
    <n v="1"/>
    <n v="5"/>
    <n v="4"/>
    <s v="Y"/>
    <n v="500"/>
    <x v="3"/>
  </r>
  <r>
    <d v="2019-10-19T00:00:00"/>
    <d v="1899-12-30T08:15:00"/>
    <m/>
    <s v="D"/>
    <n v="2"/>
    <s v="Road Vehicle"/>
    <n v="4"/>
    <x v="3"/>
    <x v="0"/>
    <n v="2"/>
    <x v="1"/>
    <s v="KASESE"/>
    <s v="KASESE"/>
    <s v="UGA"/>
    <n v="2"/>
    <s v="Work"/>
    <s v="KITAGATA"/>
    <s v="SHEEMA"/>
    <s v="UGA"/>
    <n v="2"/>
    <s v="Work"/>
    <x v="2"/>
    <n v="10000"/>
    <n v="98"/>
    <x v="1"/>
    <n v="1.5"/>
    <x v="1"/>
    <n v="2"/>
    <s v="Manual Labour"/>
    <n v="1"/>
    <x v="2"/>
    <n v="3"/>
    <n v="1"/>
    <n v="4"/>
    <n v="2"/>
    <n v="5"/>
    <s v="Y"/>
    <m/>
    <x v="3"/>
  </r>
  <r>
    <d v="2019-10-19T00:00:00"/>
    <d v="1899-12-30T08:28:00"/>
    <m/>
    <s v="P"/>
    <n v="2"/>
    <s v="Road Vehicle"/>
    <n v="4"/>
    <x v="3"/>
    <x v="0"/>
    <n v="2"/>
    <x v="1"/>
    <s v="MASONGA"/>
    <s v="BUSHENYI"/>
    <s v="UGA"/>
    <n v="1"/>
    <s v="Home"/>
    <s v="SHEEMA"/>
    <s v="SHEEMA"/>
    <s v="UGA"/>
    <n v="2"/>
    <s v="Work"/>
    <x v="1"/>
    <n v="2000"/>
    <n v="12"/>
    <x v="6"/>
    <n v="0.4"/>
    <x v="3"/>
    <n v="4"/>
    <s v="Office Worker"/>
    <n v="4"/>
    <x v="0"/>
    <n v="2"/>
    <n v="3"/>
    <n v="4"/>
    <n v="1"/>
    <n v="5"/>
    <s v="N"/>
    <m/>
    <x v="3"/>
  </r>
  <r>
    <d v="2019-10-19T00:00:00"/>
    <d v="1899-12-30T12:05:00"/>
    <m/>
    <s v="P"/>
    <n v="2"/>
    <s v="Road Vehicle"/>
    <n v="4"/>
    <x v="3"/>
    <x v="0"/>
    <n v="2"/>
    <x v="1"/>
    <s v="NYABUBAARE"/>
    <s v="BUSHENYI"/>
    <s v="UGA"/>
    <n v="4"/>
    <s v="Commercial"/>
    <s v="MITOMA"/>
    <s v="MITOMA"/>
    <s v="UGA"/>
    <n v="4"/>
    <s v="Commercial"/>
    <x v="18"/>
    <n v="5000"/>
    <n v="46"/>
    <x v="5"/>
    <n v="0.5"/>
    <x v="4"/>
    <n v="6"/>
    <s v="Businessman"/>
    <n v="1"/>
    <x v="2"/>
    <n v="5"/>
    <n v="4"/>
    <n v="1"/>
    <n v="3"/>
    <n v="2"/>
    <s v="Y"/>
    <n v="2000"/>
    <x v="1"/>
  </r>
  <r>
    <d v="2019-10-19T00:00:00"/>
    <d v="1899-12-30T12:18:00"/>
    <m/>
    <s v="D"/>
    <n v="2"/>
    <s v="Road Vehicle"/>
    <n v="4"/>
    <x v="3"/>
    <x v="0"/>
    <n v="2"/>
    <x v="1"/>
    <s v="ISHAKA"/>
    <s v="BUSHENYI"/>
    <s v="UGA"/>
    <n v="2"/>
    <s v="Work"/>
    <s v="RUTOKYE"/>
    <s v="MITOMA"/>
    <s v="UGA"/>
    <n v="2"/>
    <s v="Work"/>
    <x v="2"/>
    <n v="30000"/>
    <n v="28"/>
    <x v="4"/>
    <n v="1"/>
    <x v="1"/>
    <n v="6"/>
    <s v="Businessman"/>
    <n v="4"/>
    <x v="0"/>
    <n v="5"/>
    <n v="2"/>
    <n v="1"/>
    <n v="3"/>
    <n v="4"/>
    <s v="Y"/>
    <n v="2000"/>
    <x v="1"/>
  </r>
  <r>
    <d v="2019-10-19T00:00:00"/>
    <d v="1899-12-30T15:16:00"/>
    <m/>
    <s v="D"/>
    <n v="2"/>
    <s v="Road Vehicle"/>
    <n v="4"/>
    <x v="3"/>
    <x v="0"/>
    <n v="2"/>
    <x v="1"/>
    <s v="KASESE"/>
    <s v="KASESE"/>
    <s v="UGA"/>
    <n v="2"/>
    <s v="Work"/>
    <s v="ISHAKA"/>
    <s v="BUSHENYI"/>
    <s v="UGA"/>
    <n v="4"/>
    <s v="Commercial"/>
    <x v="17"/>
    <n v="500000"/>
    <n v="96"/>
    <x v="1"/>
    <n v="2.5"/>
    <x v="0"/>
    <n v="10"/>
    <s v="Other"/>
    <n v="1"/>
    <x v="2"/>
    <n v="4"/>
    <n v="5"/>
    <n v="1"/>
    <n v="3"/>
    <n v="2"/>
    <s v="Y"/>
    <m/>
    <x v="3"/>
  </r>
  <r>
    <d v="2019-10-20T00:00:00"/>
    <d v="1899-12-30T15:14:00"/>
    <m/>
    <s v="D"/>
    <n v="2"/>
    <s v="Road Vehicle"/>
    <n v="4"/>
    <x v="3"/>
    <x v="0"/>
    <n v="2"/>
    <x v="1"/>
    <s v="MBARARA"/>
    <s v="MBARARA"/>
    <s v="UGA"/>
    <n v="2"/>
    <s v="Work"/>
    <s v="KASESE"/>
    <s v="KASESE"/>
    <s v="UGA"/>
    <n v="4"/>
    <s v="Commercial"/>
    <x v="17"/>
    <n v="150000"/>
    <n v="140"/>
    <x v="2"/>
    <n v="4"/>
    <x v="2"/>
    <n v="10"/>
    <s v="Other"/>
    <n v="2"/>
    <x v="3"/>
    <n v="2"/>
    <n v="1"/>
    <n v="3"/>
    <n v="3"/>
    <n v="4"/>
    <s v="Y"/>
    <n v="1000"/>
    <x v="4"/>
  </r>
  <r>
    <d v="2019-10-20T00:00:00"/>
    <d v="1899-12-30T09:20:00"/>
    <m/>
    <s v="P"/>
    <n v="2"/>
    <s v="Road Vehicle"/>
    <n v="4"/>
    <x v="3"/>
    <x v="0"/>
    <n v="2"/>
    <x v="1"/>
    <s v="KASESE"/>
    <s v="KASESE"/>
    <s v="UGA"/>
    <n v="2"/>
    <s v="Work"/>
    <s v="ISHAKA"/>
    <s v="ISHAKA"/>
    <s v="UGA"/>
    <n v="1"/>
    <s v="Home"/>
    <x v="4"/>
    <n v="10000"/>
    <n v="81"/>
    <x v="1"/>
    <n v="1"/>
    <x v="1"/>
    <n v="6"/>
    <s v="Businessman"/>
    <n v="5"/>
    <x v="4"/>
    <m/>
    <m/>
    <m/>
    <m/>
    <m/>
    <s v="Y"/>
    <n v="1000"/>
    <x v="4"/>
  </r>
  <r>
    <d v="2019-10-20T00:00:00"/>
    <d v="1899-12-30T09:03:00"/>
    <m/>
    <s v="D"/>
    <n v="2"/>
    <s v="Road Vehicle"/>
    <n v="4"/>
    <x v="3"/>
    <x v="0"/>
    <n v="2"/>
    <x v="1"/>
    <s v="ISHAKA"/>
    <s v="BUSHENYI"/>
    <s v="UGA"/>
    <n v="2"/>
    <s v="Work"/>
    <s v="MBARARA"/>
    <s v="MBARARA"/>
    <s v="UGA"/>
    <n v="4"/>
    <s v="Commercial"/>
    <x v="17"/>
    <n v="90000"/>
    <n v="54"/>
    <x v="5"/>
    <n v="2"/>
    <x v="0"/>
    <n v="10"/>
    <s v="Other"/>
    <n v="2"/>
    <x v="3"/>
    <n v="3"/>
    <n v="1"/>
    <n v="2"/>
    <n v="5"/>
    <n v="4"/>
    <s v="Y"/>
    <n v="1000"/>
    <x v="4"/>
  </r>
  <r>
    <d v="2019-10-20T00:00:00"/>
    <d v="1899-12-30T15:24:00"/>
    <m/>
    <s v="D"/>
    <n v="2"/>
    <s v="Road Vehicle"/>
    <n v="4"/>
    <x v="3"/>
    <x v="0"/>
    <n v="2"/>
    <x v="1"/>
    <s v="KYUMUHANGA"/>
    <s v="RUBIRIZI"/>
    <s v="UGA"/>
    <n v="1"/>
    <s v="Home"/>
    <s v="NTUNGAMO"/>
    <s v="NTUNGAMO"/>
    <s v="UGA"/>
    <n v="6"/>
    <s v="Leisure/Social"/>
    <x v="8"/>
    <n v="20000"/>
    <m/>
    <x v="0"/>
    <n v="1"/>
    <x v="1"/>
    <n v="4"/>
    <s v="Office Worker"/>
    <n v="2"/>
    <x v="3"/>
    <n v="3"/>
    <n v="1"/>
    <n v="2"/>
    <n v="4"/>
    <n v="5"/>
    <s v="Y"/>
    <n v="500"/>
    <x v="3"/>
  </r>
  <r>
    <d v="2019-10-20T00:00:00"/>
    <d v="1899-12-30T14:32:00"/>
    <m/>
    <s v="P"/>
    <n v="2"/>
    <s v="Road Vehicle"/>
    <n v="4"/>
    <x v="3"/>
    <x v="0"/>
    <n v="2"/>
    <x v="1"/>
    <s v="ISHAKA"/>
    <s v="BUSHENYI"/>
    <s v="UGA"/>
    <n v="2"/>
    <s v="Work"/>
    <s v="SHEEMA"/>
    <s v="SHEEMA"/>
    <s v="UGA"/>
    <n v="4"/>
    <s v="Commercial"/>
    <x v="17"/>
    <n v="20000"/>
    <n v="22.53"/>
    <x v="4"/>
    <n v="0.3"/>
    <x v="3"/>
    <n v="10"/>
    <s v="Other"/>
    <n v="2"/>
    <x v="3"/>
    <n v="2"/>
    <n v="1"/>
    <n v="4"/>
    <n v="3"/>
    <n v="5"/>
    <s v="Y"/>
    <n v="500"/>
    <x v="3"/>
  </r>
  <r>
    <d v="2019-10-20T00:00:00"/>
    <d v="1899-12-30T07:16:00"/>
    <m/>
    <s v="P"/>
    <n v="2"/>
    <s v="Road Vehicle"/>
    <n v="4"/>
    <x v="3"/>
    <x v="0"/>
    <n v="2"/>
    <x v="1"/>
    <s v="KATERERA"/>
    <s v="RUBIRIZI"/>
    <s v="UGA"/>
    <n v="6"/>
    <s v="Leisure/Social"/>
    <s v="CITY CENTER"/>
    <s v="KAMPALA"/>
    <s v="UGA"/>
    <n v="1"/>
    <s v="Home"/>
    <x v="10"/>
    <n v="30000"/>
    <m/>
    <x v="0"/>
    <n v="8"/>
    <x v="2"/>
    <n v="4"/>
    <s v="Office Worker"/>
    <n v="3"/>
    <x v="1"/>
    <n v="2"/>
    <n v="5"/>
    <n v="4"/>
    <n v="1"/>
    <n v="3"/>
    <s v="Y"/>
    <n v="1000"/>
    <x v="4"/>
  </r>
  <r>
    <d v="2019-10-20T00:00:00"/>
    <d v="1899-12-30T10:19:00"/>
    <m/>
    <s v="D"/>
    <n v="2"/>
    <s v="Road Vehicle"/>
    <n v="4"/>
    <x v="3"/>
    <x v="0"/>
    <n v="2"/>
    <x v="1"/>
    <s v="ISHAKA"/>
    <s v="BUSHENYI"/>
    <s v="UGA"/>
    <n v="2"/>
    <s v="Work"/>
    <s v="TOWN CENTER"/>
    <s v="FORTPOTAL"/>
    <s v="UGA"/>
    <n v="2"/>
    <s v="Work"/>
    <x v="2"/>
    <n v="83600"/>
    <n v="167"/>
    <x v="2"/>
    <n v="4"/>
    <x v="2"/>
    <n v="10"/>
    <s v="Other"/>
    <n v="2"/>
    <x v="3"/>
    <n v="3"/>
    <n v="1"/>
    <n v="4"/>
    <n v="2"/>
    <n v="5"/>
    <s v="Y"/>
    <n v="1000"/>
    <x v="4"/>
  </r>
  <r>
    <d v="2019-10-20T00:00:00"/>
    <d v="1899-12-30T10:52:00"/>
    <m/>
    <s v="P"/>
    <n v="2"/>
    <s v="Road Vehicle"/>
    <n v="4"/>
    <x v="3"/>
    <x v="0"/>
    <n v="2"/>
    <x v="1"/>
    <s v="ADVENT CHURCH"/>
    <s v="BUSHENYI"/>
    <s v="UGA"/>
    <n v="6"/>
    <s v="Leisure/Social"/>
    <s v="MUGUSU"/>
    <s v="FORTPOTAL"/>
    <s v="UGA"/>
    <n v="1"/>
    <s v="Home"/>
    <x v="10"/>
    <n v="20000"/>
    <n v="160"/>
    <x v="2"/>
    <n v="2.5"/>
    <x v="0"/>
    <n v="6"/>
    <s v="Businessman"/>
    <n v="3"/>
    <x v="1"/>
    <n v="2"/>
    <n v="4"/>
    <n v="3"/>
    <n v="1"/>
    <n v="5"/>
    <s v="Y"/>
    <n v="2000"/>
    <x v="1"/>
  </r>
  <r>
    <d v="2019-10-20T00:00:00"/>
    <d v="1899-12-30T14:53:00"/>
    <m/>
    <s v="D"/>
    <n v="2"/>
    <s v="Road Vehicle"/>
    <n v="4"/>
    <x v="3"/>
    <x v="0"/>
    <n v="2"/>
    <x v="1"/>
    <s v="KITAGATA"/>
    <s v="KASESE"/>
    <s v="UGA"/>
    <n v="2"/>
    <s v="Work"/>
    <s v="MITOMA"/>
    <s v="MITOMA"/>
    <s v="UGA"/>
    <n v="2"/>
    <s v="Work"/>
    <x v="2"/>
    <n v="40000"/>
    <n v="30"/>
    <x v="4"/>
    <n v="0.6"/>
    <x v="4"/>
    <n v="10"/>
    <s v="Other"/>
    <n v="2"/>
    <x v="3"/>
    <n v="5"/>
    <n v="2"/>
    <n v="1"/>
    <n v="3"/>
    <n v="4"/>
    <s v="Y"/>
    <n v="1000"/>
    <x v="4"/>
  </r>
  <r>
    <d v="2019-10-20T00:00:00"/>
    <d v="1899-12-30T11:42:00"/>
    <m/>
    <s v="D"/>
    <n v="2"/>
    <s v="Road Vehicle"/>
    <n v="4"/>
    <x v="3"/>
    <x v="0"/>
    <n v="2"/>
    <x v="1"/>
    <s v="ISHAKA"/>
    <s v="BUSHENYI"/>
    <s v="UGA"/>
    <n v="2"/>
    <s v="Work"/>
    <s v="KYAMBURA"/>
    <s v="RUBIRIZI"/>
    <s v="UGA"/>
    <n v="2"/>
    <s v="Work"/>
    <x v="2"/>
    <n v="40000"/>
    <m/>
    <x v="0"/>
    <n v="1"/>
    <x v="1"/>
    <n v="10"/>
    <s v="Other"/>
    <n v="2"/>
    <x v="3"/>
    <n v="4"/>
    <n v="1"/>
    <n v="3"/>
    <n v="2"/>
    <n v="5"/>
    <s v="Y"/>
    <n v="500"/>
    <x v="3"/>
  </r>
  <r>
    <d v="2019-10-20T00:00:00"/>
    <d v="1899-12-30T15:51:00"/>
    <m/>
    <s v="P"/>
    <n v="2"/>
    <s v="Road Vehicle"/>
    <n v="4"/>
    <x v="3"/>
    <x v="0"/>
    <n v="2"/>
    <x v="1"/>
    <s v="KAKANZU"/>
    <s v="BUSHENYI"/>
    <s v="UGA"/>
    <n v="1"/>
    <s v="Home"/>
    <s v="KITAGATA"/>
    <s v="KASESE"/>
    <s v="UGA"/>
    <n v="6"/>
    <s v="Leisure/Social"/>
    <x v="8"/>
    <n v="4000"/>
    <m/>
    <x v="0"/>
    <n v="0.7"/>
    <x v="4"/>
    <n v="4"/>
    <s v="Office Worker"/>
    <n v="2"/>
    <x v="3"/>
    <n v="5"/>
    <n v="2"/>
    <n v="1"/>
    <n v="3"/>
    <n v="4"/>
    <s v="Y"/>
    <n v="1000"/>
    <x v="4"/>
  </r>
  <r>
    <d v="2019-10-20T00:00:00"/>
    <d v="1899-12-30T14:25:00"/>
    <m/>
    <s v="D"/>
    <n v="2"/>
    <s v="Road Vehicle"/>
    <n v="4"/>
    <x v="3"/>
    <x v="0"/>
    <n v="2"/>
    <x v="1"/>
    <s v="TOWN CENTER"/>
    <s v="KAGAMBA"/>
    <s v="UGA"/>
    <n v="2"/>
    <s v="Work"/>
    <s v="TOWN CENTER"/>
    <s v="KAGAMBA"/>
    <s v="UGA"/>
    <n v="2"/>
    <s v="Work"/>
    <x v="2"/>
    <n v="45000"/>
    <n v="50"/>
    <x v="5"/>
    <n v="0.7"/>
    <x v="4"/>
    <n v="10"/>
    <s v="Other"/>
    <n v="2"/>
    <x v="3"/>
    <n v="5"/>
    <n v="1"/>
    <n v="3"/>
    <n v="2"/>
    <n v="4"/>
    <s v="Y"/>
    <n v="200"/>
    <x v="3"/>
  </r>
  <r>
    <d v="2019-10-20T00:00:00"/>
    <d v="1899-12-30T16:22:00"/>
    <m/>
    <s v="D"/>
    <n v="2"/>
    <s v="Road Vehicle"/>
    <n v="4"/>
    <x v="3"/>
    <x v="0"/>
    <n v="2"/>
    <x v="1"/>
    <s v="ISHAKA"/>
    <s v="BUSHENYI"/>
    <s v="UGA"/>
    <n v="2"/>
    <s v="Work"/>
    <s v="TOWN CENTER"/>
    <s v="FORTPOTAL"/>
    <s v="UGA"/>
    <n v="2"/>
    <s v="Work"/>
    <x v="2"/>
    <n v="95000"/>
    <n v="130"/>
    <x v="2"/>
    <n v="2"/>
    <x v="0"/>
    <n v="10"/>
    <s v="Other"/>
    <n v="2"/>
    <x v="3"/>
    <n v="5"/>
    <n v="1"/>
    <n v="3"/>
    <n v="4"/>
    <n v="2"/>
    <s v="Y"/>
    <n v="500"/>
    <x v="3"/>
  </r>
  <r>
    <d v="2019-10-20T00:00:00"/>
    <d v="1899-12-30T18:49:00"/>
    <m/>
    <s v="D"/>
    <n v="2"/>
    <s v="Road Vehicle"/>
    <n v="4"/>
    <x v="3"/>
    <x v="0"/>
    <n v="2"/>
    <x v="1"/>
    <s v="ISHAKA"/>
    <s v="BUSHENYI"/>
    <s v="UGA"/>
    <n v="2"/>
    <s v="Work"/>
    <s v="TOWN CENTER"/>
    <s v="MBARARA"/>
    <s v="UGA"/>
    <n v="2"/>
    <s v="Work"/>
    <x v="2"/>
    <n v="70000"/>
    <m/>
    <x v="0"/>
    <n v="0.8"/>
    <x v="4"/>
    <n v="10"/>
    <s v="Other"/>
    <n v="1"/>
    <x v="2"/>
    <n v="5"/>
    <n v="2"/>
    <n v="1"/>
    <n v="3"/>
    <n v="4"/>
    <s v="Y"/>
    <n v="1000"/>
    <x v="4"/>
  </r>
  <r>
    <d v="2019-10-20T00:00:00"/>
    <d v="1899-12-30T11:00:00"/>
    <m/>
    <s v="P"/>
    <n v="2"/>
    <s v="Road Vehicle"/>
    <n v="4"/>
    <x v="3"/>
    <x v="0"/>
    <n v="2"/>
    <x v="1"/>
    <s v="ISHAKA"/>
    <s v="BUSHENYI"/>
    <s v="UGA"/>
    <n v="4"/>
    <s v="Commercial"/>
    <s v="NKOMBE"/>
    <s v="MITOMA"/>
    <s v="UGA"/>
    <n v="4"/>
    <s v="Commercial"/>
    <x v="18"/>
    <n v="4000"/>
    <n v="25"/>
    <x v="4"/>
    <n v="0.5"/>
    <x v="4"/>
    <n v="6"/>
    <s v="Businessman"/>
    <n v="2"/>
    <x v="3"/>
    <n v="2"/>
    <n v="1"/>
    <n v="4"/>
    <n v="3"/>
    <n v="5"/>
    <s v="Y"/>
    <m/>
    <x v="3"/>
  </r>
  <r>
    <d v="2019-10-20T00:00:00"/>
    <d v="1899-12-30T09:50:00"/>
    <m/>
    <s v="D"/>
    <n v="2"/>
    <s v="Road Vehicle"/>
    <n v="4"/>
    <x v="3"/>
    <x v="0"/>
    <n v="2"/>
    <x v="1"/>
    <s v="KASESE"/>
    <s v="KASESE"/>
    <s v="UGA"/>
    <n v="2"/>
    <s v="Work"/>
    <s v="MBARARA"/>
    <s v="MBARARA"/>
    <s v="UGA"/>
    <n v="2"/>
    <s v="Work"/>
    <x v="2"/>
    <n v="45600"/>
    <n v="445"/>
    <x v="3"/>
    <n v="4"/>
    <x v="2"/>
    <n v="10"/>
    <s v="Other"/>
    <n v="1"/>
    <x v="2"/>
    <n v="2"/>
    <n v="1"/>
    <n v="3"/>
    <n v="4"/>
    <n v="5"/>
    <s v="Y"/>
    <m/>
    <x v="3"/>
  </r>
  <r>
    <d v="2019-10-20T00:00:00"/>
    <d v="1899-12-30T10:00:00"/>
    <m/>
    <s v="P"/>
    <n v="2"/>
    <s v="Road Vehicle"/>
    <n v="4"/>
    <x v="3"/>
    <x v="0"/>
    <n v="2"/>
    <x v="1"/>
    <s v="KIGOMA"/>
    <s v="BUSHENYI"/>
    <s v="UGA"/>
    <n v="1"/>
    <s v="Home"/>
    <s v="CHRIST THE KING"/>
    <s v="SHEEMA"/>
    <s v="UGA"/>
    <n v="8"/>
    <s v="Others"/>
    <x v="13"/>
    <n v="4000"/>
    <m/>
    <x v="0"/>
    <n v="0.7"/>
    <x v="4"/>
    <n v="7"/>
    <s v="Farmer"/>
    <n v="1"/>
    <x v="2"/>
    <m/>
    <m/>
    <m/>
    <m/>
    <m/>
    <s v="Y"/>
    <m/>
    <x v="3"/>
  </r>
  <r>
    <d v="2019-10-20T00:00:00"/>
    <d v="1899-12-30T14:00:00"/>
    <m/>
    <s v="P"/>
    <n v="2"/>
    <s v="Road Vehicle"/>
    <n v="4"/>
    <x v="3"/>
    <x v="0"/>
    <n v="2"/>
    <x v="1"/>
    <s v="ISHAKA"/>
    <s v="BUSHENYI"/>
    <s v="UGA"/>
    <n v="4"/>
    <s v="Commercial"/>
    <s v="KIKORONGO"/>
    <s v="MITOMA"/>
    <s v="UGA"/>
    <n v="4"/>
    <s v="Commercial"/>
    <x v="18"/>
    <n v="8000"/>
    <n v="45"/>
    <x v="5"/>
    <n v="0.8"/>
    <x v="4"/>
    <n v="7"/>
    <s v="Farmer"/>
    <n v="1"/>
    <x v="2"/>
    <n v="5"/>
    <n v="2"/>
    <n v="1"/>
    <n v="3"/>
    <n v="4"/>
    <s v="Y"/>
    <m/>
    <x v="3"/>
  </r>
  <r>
    <d v="2019-10-20T00:00:00"/>
    <d v="1899-12-30T14:30:00"/>
    <m/>
    <s v="P"/>
    <n v="2"/>
    <s v="Road Vehicle"/>
    <n v="4"/>
    <x v="3"/>
    <x v="0"/>
    <n v="2"/>
    <x v="1"/>
    <s v="CHRIST THE KING"/>
    <s v="SHEEMA"/>
    <s v="UGA"/>
    <n v="8"/>
    <s v="Others"/>
    <s v="RWIMI"/>
    <s v="KABAROLE"/>
    <s v="UGA"/>
    <n v="1"/>
    <s v="Home"/>
    <x v="12"/>
    <n v="20000"/>
    <n v="98"/>
    <x v="1"/>
    <n v="2.5"/>
    <x v="0"/>
    <n v="7"/>
    <s v="Farmer"/>
    <n v="1"/>
    <x v="2"/>
    <n v="4"/>
    <n v="1"/>
    <n v="3"/>
    <n v="2"/>
    <n v="5"/>
    <s v="Y"/>
    <m/>
    <x v="3"/>
  </r>
  <r>
    <d v="2019-10-20T00:00:00"/>
    <d v="1899-12-30T11:12:00"/>
    <m/>
    <s v="P"/>
    <n v="2"/>
    <s v="Road Vehicle"/>
    <n v="3"/>
    <x v="9"/>
    <x v="1"/>
    <n v="2"/>
    <x v="1"/>
    <s v="ISHAKA"/>
    <s v="BUSHENYI"/>
    <s v="UGA"/>
    <n v="1"/>
    <s v="Home"/>
    <s v="MBARARA"/>
    <s v="MBARARA"/>
    <s v="UGA"/>
    <n v="6"/>
    <s v="Leisure/Social"/>
    <x v="8"/>
    <n v="10000"/>
    <m/>
    <x v="0"/>
    <n v="0.8"/>
    <x v="4"/>
    <n v="7"/>
    <s v="Farmer"/>
    <n v="1"/>
    <x v="2"/>
    <n v="1"/>
    <n v="3"/>
    <n v="4"/>
    <n v="5"/>
    <n v="2"/>
    <s v="Y"/>
    <n v="500"/>
    <x v="3"/>
  </r>
  <r>
    <d v="2019-10-20T00:00:00"/>
    <d v="1899-12-30T10:36:00"/>
    <m/>
    <s v="P"/>
    <n v="2"/>
    <s v="Road Vehicle"/>
    <n v="3"/>
    <x v="9"/>
    <x v="1"/>
    <n v="2"/>
    <x v="1"/>
    <s v="KASOZI"/>
    <s v="BUSHENYI"/>
    <s v="UGA"/>
    <n v="1"/>
    <s v="Home"/>
    <s v="CPS"/>
    <s v="BUSHENYI"/>
    <s v="UGA"/>
    <n v="8"/>
    <s v="Others"/>
    <x v="13"/>
    <n v="1000"/>
    <m/>
    <x v="0"/>
    <n v="0.3"/>
    <x v="3"/>
    <n v="1"/>
    <s v="Unemployed"/>
    <n v="1"/>
    <x v="2"/>
    <n v="2"/>
    <n v="5"/>
    <n v="4"/>
    <n v="1"/>
    <n v="3"/>
    <s v="Y"/>
    <n v="1000"/>
    <x v="4"/>
  </r>
  <r>
    <d v="2019-10-20T00:00:00"/>
    <d v="1899-12-30T08:42:00"/>
    <m/>
    <s v="P"/>
    <n v="2"/>
    <s v="Road Vehicle"/>
    <n v="3"/>
    <x v="9"/>
    <x v="1"/>
    <n v="2"/>
    <x v="1"/>
    <s v="BUSHENYI"/>
    <s v="BUSHENYI"/>
    <s v="UGA"/>
    <n v="6"/>
    <s v="Leisure/Social"/>
    <s v="NTUNGAMO"/>
    <s v="NTUNGAMO"/>
    <s v="UGA"/>
    <n v="1"/>
    <s v="Home"/>
    <x v="10"/>
    <n v="5000"/>
    <m/>
    <x v="0"/>
    <n v="0.5"/>
    <x v="4"/>
    <n v="10"/>
    <s v="Other"/>
    <n v="1"/>
    <x v="2"/>
    <n v="2"/>
    <n v="1"/>
    <n v="3"/>
    <n v="4"/>
    <n v="5"/>
    <s v="Y"/>
    <m/>
    <x v="3"/>
  </r>
  <r>
    <d v="2019-10-20T00:00:00"/>
    <d v="1899-12-30T09:14:00"/>
    <m/>
    <s v="P"/>
    <n v="2"/>
    <s v="Road Vehicle"/>
    <n v="3"/>
    <x v="9"/>
    <x v="0"/>
    <n v="2"/>
    <x v="1"/>
    <s v="KIZINDA"/>
    <s v="BUSHENYI"/>
    <s v="UGA"/>
    <n v="1"/>
    <s v="Home"/>
    <s v="MBARARA"/>
    <s v="MBARARA"/>
    <s v="UGA"/>
    <n v="2"/>
    <s v="Work"/>
    <x v="1"/>
    <n v="5000"/>
    <m/>
    <x v="0"/>
    <n v="1"/>
    <x v="1"/>
    <n v="6"/>
    <s v="Businessman"/>
    <n v="1"/>
    <x v="2"/>
    <n v="2"/>
    <n v="1"/>
    <n v="3"/>
    <n v="4"/>
    <n v="5"/>
    <s v="Y"/>
    <n v="500"/>
    <x v="3"/>
  </r>
  <r>
    <d v="2019-10-20T00:00:00"/>
    <d v="1899-12-30T08:50:00"/>
    <m/>
    <s v="D"/>
    <n v="2"/>
    <s v="Road Vehicle"/>
    <n v="2"/>
    <x v="6"/>
    <x v="1"/>
    <n v="2"/>
    <x v="1"/>
    <s v="RUHINDO"/>
    <s v="BUSHENYI"/>
    <s v="UGA"/>
    <n v="1"/>
    <s v="Home"/>
    <s v="KITAGATA"/>
    <s v="SHEEMA"/>
    <s v="UGA"/>
    <n v="6"/>
    <s v="Leisure/Social"/>
    <x v="8"/>
    <n v="913800"/>
    <n v="28"/>
    <x v="4"/>
    <n v="0.7"/>
    <x v="4"/>
    <n v="4"/>
    <s v="Office Worker"/>
    <n v="2"/>
    <x v="3"/>
    <n v="5"/>
    <n v="1"/>
    <n v="2"/>
    <n v="3"/>
    <n v="4"/>
    <s v="Y"/>
    <n v="1000"/>
    <x v="4"/>
  </r>
  <r>
    <d v="2019-10-20T00:00:00"/>
    <d v="1899-12-30T15:50:00"/>
    <m/>
    <s v="D"/>
    <n v="2"/>
    <s v="Road Vehicle"/>
    <n v="2"/>
    <x v="6"/>
    <x v="1"/>
    <n v="2"/>
    <x v="1"/>
    <s v="KITAGATA"/>
    <s v="KASESE"/>
    <s v="UGA"/>
    <n v="1"/>
    <s v="Home"/>
    <s v="BUTOKYE"/>
    <s v="MITOMA"/>
    <s v="UGA"/>
    <n v="6"/>
    <s v="Leisure/Social"/>
    <x v="8"/>
    <n v="19000"/>
    <n v="35"/>
    <x v="4"/>
    <n v="0.8"/>
    <x v="4"/>
    <n v="4"/>
    <s v="Office Worker"/>
    <n v="1"/>
    <x v="2"/>
    <n v="2"/>
    <n v="4"/>
    <n v="3"/>
    <n v="1"/>
    <n v="5"/>
    <s v="Y"/>
    <n v="1000"/>
    <x v="4"/>
  </r>
  <r>
    <d v="2019-10-18T00:00:00"/>
    <m/>
    <m/>
    <s v="P"/>
    <n v="2"/>
    <s v="Road Vehicle"/>
    <n v="2"/>
    <x v="6"/>
    <x v="0"/>
    <n v="2"/>
    <x v="1"/>
    <s v="ISHAKA"/>
    <s v="BUSHENYI"/>
    <s v="UGA"/>
    <n v="1"/>
    <s v="Home"/>
    <s v="KATUGULU"/>
    <s v="KATUGULU"/>
    <s v="UGA"/>
    <n v="6"/>
    <s v="Leisure/Social"/>
    <x v="8"/>
    <n v="7000"/>
    <n v="60"/>
    <x v="5"/>
    <n v="0.8"/>
    <x v="4"/>
    <n v="6"/>
    <s v="Businessman"/>
    <n v="1"/>
    <x v="2"/>
    <n v="2"/>
    <n v="5"/>
    <n v="1"/>
    <n v="3"/>
    <n v="4"/>
    <s v="Y"/>
    <n v="500"/>
    <x v="3"/>
  </r>
  <r>
    <d v="2019-10-18T00:00:00"/>
    <d v="1899-12-30T14:00:00"/>
    <m/>
    <s v="P"/>
    <n v="2"/>
    <s v="Road Vehicle"/>
    <n v="2"/>
    <x v="6"/>
    <x v="0"/>
    <n v="2"/>
    <x v="1"/>
    <s v="RUTOKYE"/>
    <s v="MITOMA"/>
    <s v="UGA"/>
    <n v="4"/>
    <s v="Commercial"/>
    <s v="RWAKITURA"/>
    <s v="MBARARA"/>
    <s v="UGA"/>
    <n v="4"/>
    <s v="Commercial"/>
    <x v="18"/>
    <n v="15000"/>
    <n v="196"/>
    <x v="2"/>
    <n v="4"/>
    <x v="2"/>
    <n v="6"/>
    <s v="Businessman"/>
    <n v="3"/>
    <x v="1"/>
    <n v="4"/>
    <n v="1"/>
    <n v="3"/>
    <n v="2"/>
    <n v="5"/>
    <s v="Y"/>
    <n v="1000"/>
    <x v="4"/>
  </r>
  <r>
    <d v="2019-10-19T00:00:00"/>
    <d v="1899-12-30T07:18:00"/>
    <m/>
    <s v="D"/>
    <n v="2"/>
    <s v="Road Vehicle"/>
    <n v="2"/>
    <x v="6"/>
    <x v="0"/>
    <n v="2"/>
    <x v="1"/>
    <s v="KITAGATA"/>
    <s v="SHEEMA"/>
    <s v="UGA"/>
    <n v="4"/>
    <s v="Commercial"/>
    <s v="ISHAKA"/>
    <s v="BUSHENYI"/>
    <s v="UGA"/>
    <n v="4"/>
    <s v="Commercial"/>
    <x v="18"/>
    <n v="3000"/>
    <n v="20"/>
    <x v="4"/>
    <n v="0.3"/>
    <x v="3"/>
    <n v="5"/>
    <s v="Professional"/>
    <n v="3"/>
    <x v="1"/>
    <n v="3"/>
    <n v="4"/>
    <n v="1"/>
    <n v="2"/>
    <n v="5"/>
    <s v="Y"/>
    <n v="5000"/>
    <x v="2"/>
  </r>
  <r>
    <d v="2019-10-19T00:00:00"/>
    <d v="1899-12-30T10:27:00"/>
    <m/>
    <s v="D"/>
    <n v="2"/>
    <s v="Road Vehicle"/>
    <n v="2"/>
    <x v="6"/>
    <x v="0"/>
    <n v="2"/>
    <x v="1"/>
    <s v="KAGAMBA"/>
    <s v="NTUNGAMO"/>
    <s v="UGA"/>
    <n v="4"/>
    <s v="Commercial"/>
    <s v="ISHAKA"/>
    <s v="BUSHENYI"/>
    <s v="UGA"/>
    <n v="4"/>
    <s v="Commercial"/>
    <x v="18"/>
    <n v="8000"/>
    <n v="106"/>
    <x v="2"/>
    <n v="1.5"/>
    <x v="1"/>
    <n v="6"/>
    <s v="Businessman"/>
    <n v="2"/>
    <x v="3"/>
    <n v="5"/>
    <n v="2"/>
    <n v="3"/>
    <n v="1"/>
    <n v="4"/>
    <s v="Y"/>
    <n v="5000"/>
    <x v="2"/>
  </r>
  <r>
    <d v="2019-10-19T00:00:00"/>
    <d v="1899-12-30T11:29:00"/>
    <m/>
    <s v="P"/>
    <n v="2"/>
    <s v="Road Vehicle"/>
    <n v="2"/>
    <x v="6"/>
    <x v="0"/>
    <n v="2"/>
    <x v="1"/>
    <s v="SHUKU"/>
    <s v="SHEEMA"/>
    <s v="UGA"/>
    <n v="4"/>
    <s v="Commercial"/>
    <s v="MITOMA"/>
    <s v="MITOMA"/>
    <s v="UGA"/>
    <n v="4"/>
    <s v="Commercial"/>
    <x v="18"/>
    <n v="8000"/>
    <n v="50"/>
    <x v="5"/>
    <n v="0.8"/>
    <x v="4"/>
    <n v="6"/>
    <s v="Businessman"/>
    <n v="2"/>
    <x v="3"/>
    <n v="1"/>
    <n v="2"/>
    <n v="5"/>
    <n v="3"/>
    <n v="4"/>
    <s v="Y"/>
    <n v="1000"/>
    <x v="4"/>
  </r>
  <r>
    <d v="2019-10-19T00:00:00"/>
    <d v="1899-12-30T09:20:00"/>
    <m/>
    <s v="D"/>
    <n v="2"/>
    <s v="Road Vehicle"/>
    <n v="2"/>
    <x v="6"/>
    <x v="0"/>
    <n v="2"/>
    <x v="1"/>
    <m/>
    <m/>
    <s v="UGA"/>
    <n v="2"/>
    <s v="Work"/>
    <s v="KAGAMBA"/>
    <s v="NTUNGAMO"/>
    <s v="UGA"/>
    <n v="4"/>
    <s v="Commercial"/>
    <x v="17"/>
    <n v="20000"/>
    <m/>
    <x v="0"/>
    <n v="1"/>
    <x v="1"/>
    <n v="10"/>
    <s v="Other"/>
    <n v="1"/>
    <x v="2"/>
    <n v="3"/>
    <n v="1"/>
    <n v="2"/>
    <n v="5"/>
    <n v="4"/>
    <s v="Y"/>
    <n v="1000"/>
    <x v="4"/>
  </r>
  <r>
    <d v="2019-10-19T00:00:00"/>
    <d v="1899-12-30T08:04:00"/>
    <m/>
    <s v="D"/>
    <n v="2"/>
    <s v="Road Vehicle"/>
    <n v="2"/>
    <x v="6"/>
    <x v="0"/>
    <n v="2"/>
    <x v="1"/>
    <s v="ISHAKA"/>
    <s v="BUSHENYI"/>
    <s v="UGA"/>
    <n v="1"/>
    <s v="Home"/>
    <s v="MBARARA"/>
    <s v="MBARARA"/>
    <s v="UGA"/>
    <n v="2"/>
    <s v="Work"/>
    <x v="1"/>
    <n v="50000"/>
    <m/>
    <x v="0"/>
    <n v="2"/>
    <x v="0"/>
    <n v="10"/>
    <s v="Other"/>
    <n v="2"/>
    <x v="3"/>
    <n v="4"/>
    <n v="2"/>
    <n v="1"/>
    <n v="5"/>
    <n v="3"/>
    <s v="Y"/>
    <n v="1000"/>
    <x v="4"/>
  </r>
  <r>
    <d v="2019-10-20T00:00:00"/>
    <d v="1899-12-30T15:11:00"/>
    <m/>
    <s v="D"/>
    <n v="2"/>
    <s v="Road Vehicle"/>
    <n v="2"/>
    <x v="6"/>
    <x v="0"/>
    <n v="2"/>
    <x v="1"/>
    <s v="ZANA"/>
    <s v="WAKISO"/>
    <s v="UGA"/>
    <n v="1"/>
    <s v="Home"/>
    <s v="KIREMBE"/>
    <s v="KASESE"/>
    <s v="UGA"/>
    <n v="6"/>
    <s v="Leisure/Social"/>
    <x v="8"/>
    <n v="400000"/>
    <m/>
    <x v="0"/>
    <n v="8"/>
    <x v="2"/>
    <n v="4"/>
    <s v="Office Worker"/>
    <n v="2"/>
    <x v="3"/>
    <n v="3"/>
    <n v="5"/>
    <n v="4"/>
    <n v="1"/>
    <n v="2"/>
    <s v="Y"/>
    <n v="3000"/>
    <x v="0"/>
  </r>
  <r>
    <d v="2019-10-20T00:00:00"/>
    <d v="1899-12-30T16:40:00"/>
    <m/>
    <s v="D"/>
    <n v="2"/>
    <s v="Road Vehicle"/>
    <n v="2"/>
    <x v="6"/>
    <x v="0"/>
    <n v="2"/>
    <x v="1"/>
    <s v="RUBIRIZI"/>
    <s v="RUBIRIZI"/>
    <s v="UGA"/>
    <n v="4"/>
    <s v="Commercial"/>
    <s v="KISASI"/>
    <s v="KAMPALA"/>
    <s v="UGA"/>
    <n v="4"/>
    <s v="Commercial"/>
    <x v="18"/>
    <n v="200000"/>
    <n v="339"/>
    <x v="3"/>
    <n v="9"/>
    <x v="2"/>
    <n v="4"/>
    <s v="Office Worker"/>
    <n v="2"/>
    <x v="3"/>
    <m/>
    <m/>
    <m/>
    <m/>
    <m/>
    <s v="Y"/>
    <n v="2000"/>
    <x v="1"/>
  </r>
  <r>
    <d v="2019-10-20T00:00:00"/>
    <d v="1899-12-30T16:55:00"/>
    <m/>
    <s v="D"/>
    <n v="2"/>
    <s v="Road Vehicle"/>
    <n v="2"/>
    <x v="6"/>
    <x v="0"/>
    <n v="2"/>
    <x v="1"/>
    <s v="BWIMI"/>
    <s v="RUBIRIZI"/>
    <s v="UGA"/>
    <n v="4"/>
    <s v="Commercial"/>
    <s v="JINJA"/>
    <s v="JINJA"/>
    <s v="UGA"/>
    <n v="4"/>
    <s v="Commercial"/>
    <x v="18"/>
    <n v="57000"/>
    <m/>
    <x v="0"/>
    <n v="0.2"/>
    <x v="3"/>
    <n v="6"/>
    <s v="Businessman"/>
    <n v="3"/>
    <x v="1"/>
    <n v="5"/>
    <n v="1"/>
    <n v="3"/>
    <n v="2"/>
    <n v="4"/>
    <s v="Y"/>
    <m/>
    <x v="3"/>
  </r>
  <r>
    <d v="2019-10-19T00:00:00"/>
    <d v="1899-12-30T07:20:00"/>
    <m/>
    <m/>
    <n v="1"/>
    <s v="Walking/Cycling"/>
    <n v="13"/>
    <x v="5"/>
    <x v="0"/>
    <n v="3"/>
    <x v="2"/>
    <s v="NYABUBAARE"/>
    <s v="BUSHENYI"/>
    <s v="UGA"/>
    <n v="1"/>
    <s v="Home"/>
    <s v="ISHAKA"/>
    <s v="BUSHENYI"/>
    <s v="UGA"/>
    <n v="2"/>
    <s v="Work"/>
    <x v="1"/>
    <n v="3000"/>
    <n v="2.5"/>
    <x v="0"/>
    <n v="0.3"/>
    <x v="3"/>
    <n v="2"/>
    <s v="Manual Labour"/>
    <n v="1"/>
    <x v="2"/>
    <n v="2"/>
    <n v="1"/>
    <n v="4"/>
    <n v="3"/>
    <n v="5"/>
    <s v="Y"/>
    <n v="2000"/>
    <x v="1"/>
  </r>
  <r>
    <d v="2019-10-19T00:00:00"/>
    <d v="1899-12-30T11:20:00"/>
    <m/>
    <s v="D"/>
    <n v="2"/>
    <s v="Road Vehicle"/>
    <n v="1"/>
    <x v="0"/>
    <x v="1"/>
    <n v="3"/>
    <x v="2"/>
    <s v="ISHAKA"/>
    <s v="BUSHENYI"/>
    <s v="UGA"/>
    <n v="2"/>
    <s v="Work"/>
    <s v="LUTOKYE"/>
    <s v="MITOMA"/>
    <s v="UGA"/>
    <n v="6"/>
    <s v="Leisure/Social"/>
    <x v="5"/>
    <n v="20000"/>
    <n v="25"/>
    <x v="4"/>
    <n v="1.5"/>
    <x v="1"/>
    <n v="6"/>
    <s v="Businessman"/>
    <n v="3"/>
    <x v="1"/>
    <n v="2"/>
    <n v="3"/>
    <n v="1"/>
    <n v="5"/>
    <n v="4"/>
    <s v="Y"/>
    <n v="2000"/>
    <x v="1"/>
  </r>
  <r>
    <d v="2019-10-19T00:00:00"/>
    <d v="1899-12-30T08:45:00"/>
    <m/>
    <s v="P"/>
    <n v="2"/>
    <s v="Road Vehicle"/>
    <n v="1"/>
    <x v="0"/>
    <x v="1"/>
    <n v="3"/>
    <x v="2"/>
    <s v="BWERANYANJI"/>
    <s v="BUSHENYI"/>
    <s v="UGA"/>
    <n v="1"/>
    <s v="Home"/>
    <s v="ISHAKA"/>
    <s v="BUSHENYI"/>
    <s v="UGA"/>
    <n v="2"/>
    <s v="Work"/>
    <x v="1"/>
    <n v="5000"/>
    <n v="8"/>
    <x v="0"/>
    <n v="0.3"/>
    <x v="3"/>
    <n v="2"/>
    <s v="Manual Labour"/>
    <n v="1"/>
    <x v="2"/>
    <n v="2"/>
    <n v="1"/>
    <n v="5"/>
    <n v="3"/>
    <n v="4"/>
    <s v="Y"/>
    <n v="2000"/>
    <x v="1"/>
  </r>
  <r>
    <d v="2019-10-20T00:00:00"/>
    <d v="1899-12-30T07:29:00"/>
    <m/>
    <s v="P"/>
    <n v="2"/>
    <s v="Road Vehicle"/>
    <n v="1"/>
    <x v="0"/>
    <x v="1"/>
    <n v="3"/>
    <x v="2"/>
    <s v="BUYANZA"/>
    <s v="RUKUNGIRI"/>
    <s v="UGA"/>
    <n v="1"/>
    <s v="Home"/>
    <s v="BASAJABALABA"/>
    <s v="BUSHENYI"/>
    <s v="UGA"/>
    <n v="8"/>
    <s v="Others"/>
    <x v="13"/>
    <n v="12000"/>
    <m/>
    <x v="0"/>
    <n v="2"/>
    <x v="0"/>
    <n v="1"/>
    <s v="Unemployed"/>
    <n v="1"/>
    <x v="2"/>
    <n v="2"/>
    <n v="5"/>
    <n v="3"/>
    <n v="1"/>
    <n v="4"/>
    <s v="Y"/>
    <m/>
    <x v="3"/>
  </r>
  <r>
    <d v="2019-10-20T00:00:00"/>
    <d v="1899-12-30T09:56:00"/>
    <m/>
    <s v="P"/>
    <n v="2"/>
    <s v="Road Vehicle"/>
    <n v="1"/>
    <x v="0"/>
    <x v="1"/>
    <n v="3"/>
    <x v="2"/>
    <s v="KIREMBE"/>
    <s v="KASESE"/>
    <s v="UGA"/>
    <n v="1"/>
    <s v="Home"/>
    <s v="NTALE"/>
    <s v="MBARARA"/>
    <s v="UGA"/>
    <n v="6"/>
    <s v="Leisure/Social"/>
    <x v="8"/>
    <n v="20000"/>
    <m/>
    <x v="0"/>
    <n v="3"/>
    <x v="0"/>
    <n v="6"/>
    <s v="Businessman"/>
    <n v="2"/>
    <x v="3"/>
    <n v="2"/>
    <n v="5"/>
    <n v="4"/>
    <n v="1"/>
    <n v="3"/>
    <s v="Y"/>
    <m/>
    <x v="3"/>
  </r>
  <r>
    <d v="2019-10-20T00:00:00"/>
    <d v="1899-12-30T16:12:00"/>
    <m/>
    <s v="P"/>
    <n v="2"/>
    <s v="Road Vehicle"/>
    <n v="1"/>
    <x v="0"/>
    <x v="1"/>
    <n v="3"/>
    <x v="2"/>
    <s v="RUWIZI"/>
    <s v="MBARARA"/>
    <s v="UGA"/>
    <n v="6"/>
    <s v="Leisure/Social"/>
    <s v="TOWN CENTER"/>
    <s v="KASESE"/>
    <s v="UGA"/>
    <n v="1"/>
    <s v="Home"/>
    <x v="10"/>
    <n v="12000"/>
    <m/>
    <x v="0"/>
    <n v="3"/>
    <x v="0"/>
    <n v="6"/>
    <s v="Businessman"/>
    <n v="1"/>
    <x v="2"/>
    <n v="4"/>
    <n v="3"/>
    <n v="1"/>
    <n v="2"/>
    <n v="5"/>
    <s v="Y"/>
    <n v="1000"/>
    <x v="4"/>
  </r>
  <r>
    <d v="2019-10-18T00:00:00"/>
    <m/>
    <m/>
    <s v="D"/>
    <n v="2"/>
    <s v="Road Vehicle"/>
    <n v="1"/>
    <x v="0"/>
    <x v="0"/>
    <n v="3"/>
    <x v="2"/>
    <s v="ISHAKA"/>
    <s v="BUSHENYI"/>
    <s v="UGA"/>
    <n v="2"/>
    <s v="Work"/>
    <s v="KAGAMBA"/>
    <s v="BUSHENYI"/>
    <s v="UGA"/>
    <n v="6"/>
    <s v="Leisure/Social"/>
    <x v="5"/>
    <n v="30000"/>
    <n v="35"/>
    <x v="4"/>
    <n v="0.4"/>
    <x v="3"/>
    <n v="2"/>
    <s v="Manual Labour"/>
    <n v="2"/>
    <x v="3"/>
    <n v="2"/>
    <n v="5"/>
    <n v="4"/>
    <n v="1"/>
    <n v="5"/>
    <s v="Y"/>
    <n v="200"/>
    <x v="3"/>
  </r>
  <r>
    <d v="2019-10-18T00:00:00"/>
    <m/>
    <m/>
    <s v="P"/>
    <n v="2"/>
    <s v="Road Vehicle"/>
    <n v="1"/>
    <x v="0"/>
    <x v="0"/>
    <n v="3"/>
    <x v="2"/>
    <s v="NYIBINGO"/>
    <s v="BUSHENYI"/>
    <s v="UGA"/>
    <n v="1"/>
    <s v="Home"/>
    <s v="LDC"/>
    <s v="MBARARA"/>
    <s v="UGA"/>
    <n v="4"/>
    <s v="Commercial"/>
    <x v="0"/>
    <n v="9000"/>
    <n v="100"/>
    <x v="2"/>
    <n v="1"/>
    <x v="1"/>
    <n v="5"/>
    <s v="Professional"/>
    <n v="4"/>
    <x v="0"/>
    <n v="2"/>
    <n v="4"/>
    <n v="3"/>
    <n v="1"/>
    <n v="5"/>
    <s v="Y"/>
    <n v="500"/>
    <x v="3"/>
  </r>
  <r>
    <d v="2019-10-18T00:00:00"/>
    <m/>
    <m/>
    <s v="D"/>
    <n v="2"/>
    <s v="Road Vehicle"/>
    <n v="1"/>
    <x v="0"/>
    <x v="0"/>
    <n v="3"/>
    <x v="2"/>
    <s v="ISHAKA"/>
    <s v="BUSHENYI"/>
    <s v="UGA"/>
    <n v="2"/>
    <s v="Work"/>
    <s v="TOWN"/>
    <s v="MBARARA"/>
    <s v="UGA"/>
    <n v="2"/>
    <s v="Work"/>
    <x v="2"/>
    <n v="100000"/>
    <m/>
    <x v="0"/>
    <n v="1"/>
    <x v="1"/>
    <n v="10"/>
    <s v="Other"/>
    <n v="1"/>
    <x v="2"/>
    <n v="2"/>
    <n v="1"/>
    <n v="5"/>
    <n v="4"/>
    <n v="3"/>
    <s v="Y"/>
    <n v="1000"/>
    <x v="4"/>
  </r>
  <r>
    <d v="2019-10-19T00:00:00"/>
    <d v="1899-12-30T08:49:00"/>
    <m/>
    <s v="D"/>
    <n v="2"/>
    <s v="Road Vehicle"/>
    <n v="1"/>
    <x v="0"/>
    <x v="0"/>
    <n v="3"/>
    <x v="2"/>
    <s v="ISHAKA"/>
    <s v="BUSHENYI"/>
    <s v="UGA"/>
    <n v="4"/>
    <s v="Commercial"/>
    <s v="MBARARA"/>
    <s v="MBARARA"/>
    <s v="UGA"/>
    <n v="4"/>
    <s v="Commercial"/>
    <x v="18"/>
    <n v="45000"/>
    <n v="58"/>
    <x v="5"/>
    <n v="0.8"/>
    <x v="4"/>
    <n v="2"/>
    <s v="Manual Labour"/>
    <n v="1"/>
    <x v="2"/>
    <n v="1"/>
    <n v="3"/>
    <n v="4"/>
    <n v="2"/>
    <n v="5"/>
    <s v="Y"/>
    <n v="2000"/>
    <x v="1"/>
  </r>
  <r>
    <d v="2019-10-19T00:00:00"/>
    <m/>
    <m/>
    <s v="D"/>
    <n v="2"/>
    <s v="Road Vehicle"/>
    <n v="1"/>
    <x v="0"/>
    <x v="0"/>
    <n v="3"/>
    <x v="2"/>
    <s v="ISHAKA"/>
    <s v="BUSHENYI"/>
    <s v="UGA"/>
    <n v="2"/>
    <s v="Work"/>
    <s v="MBARARA"/>
    <s v="MBARARA"/>
    <s v="UGA"/>
    <n v="6"/>
    <s v="Leisure/Social"/>
    <x v="5"/>
    <n v="50000"/>
    <n v="40"/>
    <x v="5"/>
    <n v="1.5"/>
    <x v="1"/>
    <n v="3"/>
    <s v="Artisan/Domestic"/>
    <n v="1"/>
    <x v="2"/>
    <n v="3"/>
    <n v="1"/>
    <n v="2"/>
    <n v="4"/>
    <n v="5"/>
    <s v="Y"/>
    <n v="1000"/>
    <x v="4"/>
  </r>
  <r>
    <d v="2019-10-19T00:00:00"/>
    <d v="1899-12-30T11:30:00"/>
    <m/>
    <s v="P"/>
    <n v="2"/>
    <s v="Road Vehicle"/>
    <n v="1"/>
    <x v="0"/>
    <x v="0"/>
    <n v="3"/>
    <x v="2"/>
    <s v="KABANGA"/>
    <s v="NTUNGAMO"/>
    <s v="UGA"/>
    <n v="1"/>
    <s v="Home"/>
    <s v="MBARARA"/>
    <s v="MBARARA"/>
    <s v="UGA"/>
    <n v="2"/>
    <s v="Work"/>
    <x v="1"/>
    <n v="9000"/>
    <m/>
    <x v="0"/>
    <n v="1.5"/>
    <x v="1"/>
    <n v="7"/>
    <s v="Farmer"/>
    <n v="4"/>
    <x v="0"/>
    <n v="5"/>
    <n v="4"/>
    <n v="2"/>
    <n v="1"/>
    <n v="3"/>
    <s v="Y"/>
    <m/>
    <x v="3"/>
  </r>
  <r>
    <d v="2019-10-20T00:00:00"/>
    <d v="1899-12-30T10:46:00"/>
    <m/>
    <s v="D"/>
    <n v="2"/>
    <s v="Road Vehicle"/>
    <n v="1"/>
    <x v="0"/>
    <x v="0"/>
    <n v="3"/>
    <x v="2"/>
    <s v="KIGOMA"/>
    <s v="BUSHENYI"/>
    <s v="UGA"/>
    <n v="1"/>
    <s v="Home"/>
    <s v="ISHAKA"/>
    <s v="BUSHENYI"/>
    <s v="UGA"/>
    <n v="2"/>
    <s v="Work"/>
    <x v="1"/>
    <n v="20000"/>
    <m/>
    <x v="0"/>
    <n v="0.5"/>
    <x v="4"/>
    <n v="6"/>
    <s v="Businessman"/>
    <n v="1"/>
    <x v="2"/>
    <n v="1"/>
    <n v="2"/>
    <n v="5"/>
    <n v="4"/>
    <n v="3"/>
    <s v="Y"/>
    <n v="500"/>
    <x v="3"/>
  </r>
  <r>
    <d v="2019-10-20T00:00:00"/>
    <d v="1899-12-30T17:49:00"/>
    <m/>
    <s v="P"/>
    <n v="2"/>
    <s v="Road Vehicle"/>
    <n v="1"/>
    <x v="0"/>
    <x v="0"/>
    <n v="3"/>
    <x v="2"/>
    <s v="BUSHENYI"/>
    <s v="BUSHENYI"/>
    <s v="UGA"/>
    <n v="2"/>
    <s v="Work"/>
    <s v="NTUNGAMO"/>
    <s v="NTUNGAMO"/>
    <s v="UGA"/>
    <n v="1"/>
    <s v="Home"/>
    <x v="4"/>
    <n v="5000"/>
    <m/>
    <x v="0"/>
    <n v="0.5"/>
    <x v="4"/>
    <n v="4"/>
    <s v="Office Worker"/>
    <n v="3"/>
    <x v="1"/>
    <n v="3"/>
    <n v="1"/>
    <n v="2"/>
    <n v="5"/>
    <n v="4"/>
    <s v="Y"/>
    <n v="200"/>
    <x v="3"/>
  </r>
  <r>
    <d v="2019-10-20T00:00:00"/>
    <d v="1899-12-30T14:21:00"/>
    <m/>
    <s v="D"/>
    <n v="2"/>
    <s v="Road Vehicle"/>
    <n v="1"/>
    <x v="0"/>
    <x v="0"/>
    <n v="3"/>
    <x v="2"/>
    <s v="KIZINDA"/>
    <s v="BUSHENYI"/>
    <s v="UGA"/>
    <n v="2"/>
    <s v="Work"/>
    <s v="NTUNGAMO"/>
    <s v="NTUNGAMO"/>
    <s v="UGA"/>
    <n v="1"/>
    <s v="Home"/>
    <x v="4"/>
    <n v="20000"/>
    <n v="24"/>
    <x v="4"/>
    <n v="1.5"/>
    <x v="1"/>
    <n v="4"/>
    <s v="Office Worker"/>
    <n v="5"/>
    <x v="4"/>
    <n v="2"/>
    <n v="3"/>
    <n v="1"/>
    <n v="5"/>
    <n v="4"/>
    <s v="Y"/>
    <s v=" "/>
    <x v="5"/>
  </r>
  <r>
    <d v="2019-10-20T00:00:00"/>
    <d v="1899-12-30T09:40:00"/>
    <m/>
    <s v="P"/>
    <n v="2"/>
    <s v="Road Vehicle"/>
    <n v="1"/>
    <x v="0"/>
    <x v="0"/>
    <n v="3"/>
    <x v="2"/>
    <s v="ISHAKA"/>
    <s v="BUSHENYI"/>
    <s v="UGA"/>
    <n v="1"/>
    <s v="Home"/>
    <s v="RUBIRIZI"/>
    <s v="MBARARA"/>
    <s v="UGA"/>
    <n v="2"/>
    <s v="Work"/>
    <x v="1"/>
    <n v="7000"/>
    <n v="80"/>
    <x v="1"/>
    <n v="1.3"/>
    <x v="1"/>
    <n v="5"/>
    <s v="Professional"/>
    <n v="2"/>
    <x v="3"/>
    <n v="5"/>
    <n v="2"/>
    <n v="4"/>
    <n v="1"/>
    <n v="3"/>
    <s v="Y"/>
    <m/>
    <x v="3"/>
  </r>
  <r>
    <d v="2019-10-20T00:00:00"/>
    <d v="1899-12-30T15:32:00"/>
    <m/>
    <s v="P"/>
    <n v="2"/>
    <s v="Road Vehicle"/>
    <n v="1"/>
    <x v="0"/>
    <x v="0"/>
    <n v="3"/>
    <x v="2"/>
    <s v="ISHAKA"/>
    <s v="BUSHENYI"/>
    <s v="UGA"/>
    <n v="1"/>
    <s v="Home"/>
    <s v="TOWN CENTER"/>
    <s v="KASESE"/>
    <s v="UGA"/>
    <n v="8"/>
    <s v="Others"/>
    <x v="13"/>
    <n v="900"/>
    <m/>
    <x v="0"/>
    <n v="2"/>
    <x v="0"/>
    <n v="6"/>
    <s v="Businessman"/>
    <n v="3"/>
    <x v="1"/>
    <n v="5"/>
    <n v="4"/>
    <n v="2"/>
    <n v="1"/>
    <n v="3"/>
    <s v="Y"/>
    <n v="2000"/>
    <x v="1"/>
  </r>
  <r>
    <d v="2019-10-20T00:00:00"/>
    <d v="1899-12-30T14:16:00"/>
    <m/>
    <s v="D"/>
    <n v="2"/>
    <s v="Road Vehicle"/>
    <n v="1"/>
    <x v="0"/>
    <x v="0"/>
    <n v="3"/>
    <x v="2"/>
    <s v="ISHAKA"/>
    <s v="BUSHENYI"/>
    <s v="UGA"/>
    <n v="2"/>
    <s v="Work"/>
    <s v="TOWN CENTER"/>
    <s v="KASESE"/>
    <s v="UGA"/>
    <n v="2"/>
    <s v="Work"/>
    <x v="2"/>
    <n v="50000"/>
    <n v="90"/>
    <x v="1"/>
    <n v="2"/>
    <x v="0"/>
    <n v="10"/>
    <s v="Other"/>
    <n v="2"/>
    <x v="3"/>
    <n v="5"/>
    <n v="1"/>
    <n v="3"/>
    <n v="2"/>
    <n v="4"/>
    <s v="Y"/>
    <n v="500"/>
    <x v="3"/>
  </r>
  <r>
    <d v="2019-10-20T00:00:00"/>
    <d v="1899-12-30T11:19:00"/>
    <m/>
    <s v="D"/>
    <n v="2"/>
    <s v="Road Vehicle"/>
    <n v="1"/>
    <x v="0"/>
    <x v="0"/>
    <n v="3"/>
    <x v="2"/>
    <s v="ISHAKA"/>
    <s v="BUSHENYI"/>
    <s v="UGA"/>
    <n v="2"/>
    <s v="Work"/>
    <s v="TOWN CENTER"/>
    <s v="RWIMI"/>
    <s v="UGA"/>
    <n v="2"/>
    <s v="Work"/>
    <x v="2"/>
    <n v="64600"/>
    <n v="127"/>
    <x v="2"/>
    <n v="1.5"/>
    <x v="1"/>
    <n v="10"/>
    <s v="Other"/>
    <n v="2"/>
    <x v="3"/>
    <n v="4"/>
    <n v="2"/>
    <n v="1"/>
    <n v="3"/>
    <n v="5"/>
    <s v="Y"/>
    <n v="1000"/>
    <x v="4"/>
  </r>
  <r>
    <d v="2019-10-19T00:00:00"/>
    <d v="1899-12-30T08:30:00"/>
    <m/>
    <s v="D"/>
    <n v="2"/>
    <s v="Road Vehicle"/>
    <n v="9"/>
    <x v="8"/>
    <x v="0"/>
    <n v="3"/>
    <x v="2"/>
    <s v="KAMPALA"/>
    <s v="KAMPALA"/>
    <s v="UGA"/>
    <n v="4"/>
    <s v="Commercial"/>
    <s v="ISHAKA"/>
    <s v="BUSHENYI"/>
    <s v="UGA"/>
    <n v="4"/>
    <s v="Commercial"/>
    <x v="18"/>
    <n v="20000"/>
    <n v="336"/>
    <x v="3"/>
    <n v="5"/>
    <x v="2"/>
    <n v="1"/>
    <s v="Unemployed"/>
    <n v="2"/>
    <x v="3"/>
    <n v="1"/>
    <n v="3"/>
    <n v="5"/>
    <n v="4"/>
    <n v="2"/>
    <s v="Y"/>
    <m/>
    <x v="3"/>
  </r>
  <r>
    <d v="2019-10-19T00:00:00"/>
    <d v="1899-12-30T09:51:00"/>
    <m/>
    <s v="D"/>
    <n v="2"/>
    <s v="Road Vehicle"/>
    <n v="9"/>
    <x v="8"/>
    <x v="0"/>
    <n v="3"/>
    <x v="2"/>
    <s v="KAMPALA"/>
    <s v="KAMPALA"/>
    <s v="UGA"/>
    <n v="4"/>
    <s v="Commercial"/>
    <s v="NTUNGAMO"/>
    <s v="NTUNGAMO"/>
    <s v="UGA"/>
    <n v="4"/>
    <s v="Commercial"/>
    <x v="18"/>
    <n v="500000"/>
    <n v="436"/>
    <x v="3"/>
    <n v="12"/>
    <x v="2"/>
    <n v="1"/>
    <s v="Unemployed"/>
    <n v="2"/>
    <x v="3"/>
    <n v="3"/>
    <n v="2"/>
    <n v="4"/>
    <n v="1"/>
    <n v="5"/>
    <s v="Y"/>
    <n v="5000"/>
    <x v="2"/>
  </r>
  <r>
    <d v="2019-10-19T00:00:00"/>
    <d v="1899-12-30T10:20:00"/>
    <m/>
    <s v="D"/>
    <n v="2"/>
    <s v="Road Vehicle"/>
    <n v="9"/>
    <x v="8"/>
    <x v="0"/>
    <n v="3"/>
    <x v="2"/>
    <s v="MASAKA"/>
    <s v="MASAKA"/>
    <s v="UGA"/>
    <n v="1"/>
    <s v="Home"/>
    <s v="ISHAKA"/>
    <s v="BUSHENYI"/>
    <s v="UGA"/>
    <n v="7"/>
    <s v="Hospital"/>
    <x v="32"/>
    <n v="75000"/>
    <n v="160"/>
    <x v="2"/>
    <n v="2.5"/>
    <x v="0"/>
    <n v="2"/>
    <s v="Manual Labour"/>
    <n v="1"/>
    <x v="2"/>
    <n v="4"/>
    <n v="2"/>
    <n v="3"/>
    <n v="1"/>
    <n v="5"/>
    <s v="Y"/>
    <n v="2000"/>
    <x v="1"/>
  </r>
  <r>
    <d v="2019-10-19T00:00:00"/>
    <m/>
    <m/>
    <s v="P"/>
    <n v="2"/>
    <s v="Road Vehicle"/>
    <n v="6"/>
    <x v="1"/>
    <x v="1"/>
    <n v="3"/>
    <x v="2"/>
    <s v="KIGOMA"/>
    <s v="BUSHENYI"/>
    <s v="UGA"/>
    <n v="2"/>
    <s v="Work"/>
    <s v="WAKISO"/>
    <s v="WAKISO"/>
    <s v="UGA"/>
    <n v="7"/>
    <s v="Hospital"/>
    <x v="23"/>
    <n v="17000"/>
    <m/>
    <x v="0"/>
    <n v="6"/>
    <x v="2"/>
    <n v="4"/>
    <s v="Office Worker"/>
    <n v="3"/>
    <x v="1"/>
    <n v="1"/>
    <n v="2"/>
    <n v="4"/>
    <n v="3"/>
    <n v="5"/>
    <s v="Y"/>
    <n v="1000"/>
    <x v="4"/>
  </r>
  <r>
    <d v="2019-10-20T00:00:00"/>
    <d v="1899-12-30T07:22:00"/>
    <m/>
    <s v="P"/>
    <n v="2"/>
    <s v="Road Vehicle"/>
    <n v="6"/>
    <x v="1"/>
    <x v="1"/>
    <n v="3"/>
    <x v="2"/>
    <s v="BUWERA"/>
    <s v="KASESE"/>
    <s v="UGA"/>
    <n v="1"/>
    <s v="Home"/>
    <s v="KAMPALA"/>
    <s v="KAMPALA"/>
    <s v="UGA"/>
    <n v="2"/>
    <s v="Work"/>
    <x v="1"/>
    <n v="30000"/>
    <n v="432"/>
    <x v="3"/>
    <n v="7"/>
    <x v="2"/>
    <n v="6"/>
    <s v="Businessman"/>
    <n v="1"/>
    <x v="2"/>
    <n v="3"/>
    <n v="1"/>
    <n v="2"/>
    <n v="4"/>
    <n v="5"/>
    <s v="Y"/>
    <m/>
    <x v="3"/>
  </r>
  <r>
    <d v="2019-10-20T00:00:00"/>
    <d v="1899-12-30T08:13:00"/>
    <m/>
    <s v="P"/>
    <n v="3"/>
    <s v="Rail"/>
    <n v="6"/>
    <x v="1"/>
    <x v="1"/>
    <n v="3"/>
    <x v="2"/>
    <s v="NTUGAMO"/>
    <s v="NTUNGAMO"/>
    <s v="UGA"/>
    <n v="2"/>
    <s v="Work"/>
    <s v="KAMPALA"/>
    <s v="KAMPALA"/>
    <s v="UGA"/>
    <n v="6"/>
    <s v="Leisure/Social"/>
    <x v="5"/>
    <n v="23000"/>
    <m/>
    <x v="0"/>
    <n v="6"/>
    <x v="2"/>
    <n v="10"/>
    <s v="Other"/>
    <n v="2"/>
    <x v="3"/>
    <n v="5"/>
    <n v="1"/>
    <n v="4"/>
    <n v="3"/>
    <n v="2"/>
    <s v="N"/>
    <m/>
    <x v="3"/>
  </r>
  <r>
    <d v="2019-10-20T00:00:00"/>
    <d v="1899-12-30T07:55:00"/>
    <m/>
    <s v="P"/>
    <n v="2"/>
    <s v="Road Vehicle"/>
    <n v="6"/>
    <x v="1"/>
    <x v="1"/>
    <n v="3"/>
    <x v="2"/>
    <s v="BWERA"/>
    <s v="KASESE"/>
    <s v="UGA"/>
    <n v="1"/>
    <s v="Home"/>
    <s v="CHRIST THE KING"/>
    <s v="SHEEMA"/>
    <s v="UGA"/>
    <n v="8"/>
    <s v="Others"/>
    <x v="13"/>
    <n v="15000"/>
    <m/>
    <x v="0"/>
    <n v="2"/>
    <x v="0"/>
    <n v="7"/>
    <s v="Farmer"/>
    <n v="1"/>
    <x v="2"/>
    <n v="5"/>
    <n v="3"/>
    <n v="4"/>
    <n v="1"/>
    <n v="2"/>
    <s v="Y"/>
    <m/>
    <x v="3"/>
  </r>
  <r>
    <d v="2019-10-20T00:00:00"/>
    <d v="1899-12-30T07:10:00"/>
    <m/>
    <s v="P"/>
    <n v="2"/>
    <s v="Road Vehicle"/>
    <n v="6"/>
    <x v="1"/>
    <x v="1"/>
    <n v="3"/>
    <x v="2"/>
    <s v="BWERA"/>
    <s v="KASESE"/>
    <s v="UGA"/>
    <n v="1"/>
    <s v="Home"/>
    <s v="KAMPALA"/>
    <s v="KAMPALA"/>
    <s v="UGA"/>
    <n v="4"/>
    <s v="Commercial"/>
    <x v="0"/>
    <n v="30000"/>
    <n v="434"/>
    <x v="3"/>
    <n v="8"/>
    <x v="2"/>
    <n v="7"/>
    <s v="Farmer"/>
    <n v="1"/>
    <x v="2"/>
    <n v="3"/>
    <n v="2"/>
    <n v="4"/>
    <n v="1"/>
    <n v="5"/>
    <s v="Y"/>
    <n v="5000"/>
    <x v="2"/>
  </r>
  <r>
    <d v="2019-10-20T00:00:00"/>
    <d v="1899-12-30T07:15:00"/>
    <m/>
    <s v="P"/>
    <n v="2"/>
    <s v="Road Vehicle"/>
    <n v="6"/>
    <x v="1"/>
    <x v="1"/>
    <n v="3"/>
    <x v="2"/>
    <s v="BWERA"/>
    <s v="KASESE"/>
    <s v="UGA"/>
    <n v="1"/>
    <s v="Home"/>
    <s v="CHRIST THE KING"/>
    <s v="SHEEMA"/>
    <s v="UGA"/>
    <n v="8"/>
    <s v="Others"/>
    <x v="13"/>
    <n v="15000"/>
    <n v="108"/>
    <x v="2"/>
    <n v="2"/>
    <x v="0"/>
    <n v="10"/>
    <s v="Other"/>
    <n v="1"/>
    <x v="2"/>
    <n v="5"/>
    <n v="4"/>
    <n v="3"/>
    <n v="1"/>
    <n v="2"/>
    <s v="Y"/>
    <n v="2000"/>
    <x v="1"/>
  </r>
  <r>
    <d v="2019-10-19T00:00:00"/>
    <d v="1899-12-30T07:48:00"/>
    <m/>
    <s v="P"/>
    <n v="2"/>
    <s v="Road Vehicle"/>
    <n v="6"/>
    <x v="1"/>
    <x v="0"/>
    <n v="3"/>
    <x v="2"/>
    <s v="RUKUNGIRI"/>
    <s v="RUKUNGIRI"/>
    <s v="UGA"/>
    <n v="1"/>
    <s v="Home"/>
    <s v="ISHAKA"/>
    <s v="BUSHENYI"/>
    <s v="UGA"/>
    <n v="4"/>
    <s v="Commercial"/>
    <x v="0"/>
    <n v="10000"/>
    <n v="36"/>
    <x v="4"/>
    <n v="2"/>
    <x v="0"/>
    <n v="3"/>
    <s v="Artisan/Domestic"/>
    <n v="3"/>
    <x v="1"/>
    <n v="2"/>
    <n v="3"/>
    <n v="1"/>
    <n v="4"/>
    <n v="5"/>
    <s v="Y"/>
    <n v="5000"/>
    <x v="2"/>
  </r>
  <r>
    <d v="2019-10-19T00:00:00"/>
    <d v="1899-12-30T12:43:00"/>
    <m/>
    <s v="D"/>
    <n v="2"/>
    <s v="Road Vehicle"/>
    <n v="6"/>
    <x v="1"/>
    <x v="0"/>
    <n v="3"/>
    <x v="2"/>
    <s v="ISHAKA"/>
    <s v="BUSHENYI"/>
    <s v="UGA"/>
    <n v="4"/>
    <s v="Commercial"/>
    <s v="KAMPALA"/>
    <s v="KAMPALA"/>
    <s v="UGA"/>
    <n v="2"/>
    <s v="Work"/>
    <x v="24"/>
    <n v="940000"/>
    <n v="336"/>
    <x v="3"/>
    <n v="5"/>
    <x v="2"/>
    <n v="10"/>
    <s v="Other"/>
    <n v="2"/>
    <x v="3"/>
    <n v="4"/>
    <n v="1"/>
    <n v="2"/>
    <n v="3"/>
    <n v="5"/>
    <s v="Y"/>
    <n v="2000"/>
    <x v="1"/>
  </r>
  <r>
    <d v="2019-10-19T00:00:00"/>
    <m/>
    <m/>
    <s v="D"/>
    <n v="2"/>
    <s v="Road Vehicle"/>
    <n v="6"/>
    <x v="1"/>
    <x v="0"/>
    <n v="3"/>
    <x v="2"/>
    <s v="MBARARA"/>
    <s v="MBARARA"/>
    <s v="UGA"/>
    <n v="4"/>
    <s v="Commercial"/>
    <s v="KAMPALA"/>
    <s v="KAMPALA"/>
    <s v="UGA"/>
    <n v="2"/>
    <s v="Work"/>
    <x v="24"/>
    <n v="700000"/>
    <n v="250"/>
    <x v="3"/>
    <n v="4"/>
    <x v="2"/>
    <n v="10"/>
    <s v="Other"/>
    <n v="2"/>
    <x v="3"/>
    <n v="5"/>
    <n v="1"/>
    <n v="2"/>
    <n v="3"/>
    <n v="4"/>
    <s v="Y"/>
    <n v="200"/>
    <x v="3"/>
  </r>
  <r>
    <d v="2019-10-20T00:00:00"/>
    <d v="1899-12-30T16:59:00"/>
    <m/>
    <s v="D"/>
    <n v="2"/>
    <s v="Road Vehicle"/>
    <n v="6"/>
    <x v="1"/>
    <x v="0"/>
    <n v="3"/>
    <x v="2"/>
    <s v="KAMPALA"/>
    <s v="KAMPALA"/>
    <s v="UGA"/>
    <n v="2"/>
    <s v="Work"/>
    <s v="ISHAKA"/>
    <s v="BUSHENYI"/>
    <s v="UGA"/>
    <n v="4"/>
    <s v="Commercial"/>
    <x v="17"/>
    <n v="500000"/>
    <n v="340"/>
    <x v="3"/>
    <n v="6"/>
    <x v="2"/>
    <n v="10"/>
    <s v="Other"/>
    <n v="2"/>
    <x v="3"/>
    <n v="2"/>
    <n v="1"/>
    <n v="3"/>
    <n v="5"/>
    <n v="4"/>
    <s v="Y"/>
    <n v="1000"/>
    <x v="4"/>
  </r>
  <r>
    <d v="2019-10-20T00:00:00"/>
    <d v="1899-12-30T11:19:00"/>
    <m/>
    <s v="P"/>
    <n v="2"/>
    <s v="Road Vehicle"/>
    <n v="6"/>
    <x v="1"/>
    <x v="0"/>
    <n v="3"/>
    <x v="2"/>
    <s v="NTUNGAMO"/>
    <s v="NTUNGAMO"/>
    <s v="UGA"/>
    <n v="1"/>
    <s v="Home"/>
    <s v="KAMPALA"/>
    <s v="KAMPALA"/>
    <s v="UGA"/>
    <n v="2"/>
    <s v="Work"/>
    <x v="1"/>
    <n v="20000"/>
    <m/>
    <x v="0"/>
    <n v="6"/>
    <x v="2"/>
    <n v="6"/>
    <s v="Businessman"/>
    <n v="5"/>
    <x v="4"/>
    <n v="2"/>
    <n v="1"/>
    <n v="4"/>
    <n v="3"/>
    <n v="5"/>
    <s v="Y"/>
    <n v="2000"/>
    <x v="1"/>
  </r>
  <r>
    <d v="2019-10-20T00:00:00"/>
    <d v="1899-12-30T07:29:00"/>
    <m/>
    <s v="D"/>
    <n v="2"/>
    <s v="Road Vehicle"/>
    <n v="6"/>
    <x v="1"/>
    <x v="0"/>
    <n v="3"/>
    <x v="2"/>
    <s v="BUWERA"/>
    <s v="KASESE"/>
    <s v="UGA"/>
    <n v="2"/>
    <s v="Work"/>
    <s v="KAMPALA"/>
    <s v="KAMPALA"/>
    <s v="UGA"/>
    <n v="4"/>
    <s v="Commercial"/>
    <x v="17"/>
    <n v="700000"/>
    <n v="450"/>
    <x v="3"/>
    <n v="6"/>
    <x v="2"/>
    <n v="10"/>
    <s v="Other"/>
    <n v="2"/>
    <x v="3"/>
    <n v="3"/>
    <n v="1"/>
    <n v="2"/>
    <n v="5"/>
    <n v="4"/>
    <s v="Y"/>
    <m/>
    <x v="3"/>
  </r>
  <r>
    <d v="2019-10-20T00:00:00"/>
    <d v="1899-12-30T18:10:00"/>
    <m/>
    <s v="P"/>
    <n v="2"/>
    <s v="Road Vehicle"/>
    <n v="6"/>
    <x v="1"/>
    <x v="0"/>
    <n v="3"/>
    <x v="2"/>
    <s v="BWERA"/>
    <s v="KASESE"/>
    <s v="UGA"/>
    <n v="4"/>
    <s v="Commercial"/>
    <s v="MASAKA"/>
    <s v="MASAKA"/>
    <s v="UGA"/>
    <n v="4"/>
    <s v="Commercial"/>
    <x v="18"/>
    <n v="25000"/>
    <n v="332"/>
    <x v="3"/>
    <m/>
    <x v="3"/>
    <n v="6"/>
    <s v="Businessman"/>
    <n v="2"/>
    <x v="3"/>
    <n v="1"/>
    <n v="3"/>
    <n v="4"/>
    <n v="2"/>
    <n v="5"/>
    <s v="Y"/>
    <n v="2000"/>
    <x v="1"/>
  </r>
  <r>
    <d v="2019-10-19T00:00:00"/>
    <m/>
    <m/>
    <s v="D"/>
    <n v="2"/>
    <s v="Road Vehicle"/>
    <n v="7"/>
    <x v="7"/>
    <x v="0"/>
    <n v="3"/>
    <x v="2"/>
    <s v="ISHAKA"/>
    <s v="BUSHENYI"/>
    <s v="UGA"/>
    <n v="2"/>
    <s v="Work"/>
    <s v="KAGAMBA"/>
    <s v="NTUNGAMO"/>
    <s v="UGA"/>
    <n v="4"/>
    <s v="Commercial"/>
    <x v="17"/>
    <n v="20000"/>
    <m/>
    <x v="0"/>
    <n v="0.3"/>
    <x v="3"/>
    <n v="10"/>
    <s v="Other"/>
    <n v="1"/>
    <x v="2"/>
    <n v="1"/>
    <n v="4"/>
    <n v="3"/>
    <n v="2"/>
    <n v="5"/>
    <s v="Y"/>
    <n v="1000"/>
    <x v="4"/>
  </r>
  <r>
    <d v="2019-10-19T00:00:00"/>
    <d v="1899-12-30T12:04:00"/>
    <m/>
    <s v="D"/>
    <n v="2"/>
    <s v="Road Vehicle"/>
    <n v="7"/>
    <x v="7"/>
    <x v="0"/>
    <n v="3"/>
    <x v="2"/>
    <s v="ISHAKA"/>
    <s v="BUSHENYI"/>
    <s v="UGA"/>
    <n v="2"/>
    <s v="Work"/>
    <s v="KABAALE"/>
    <s v="KABAALE"/>
    <s v="UGA"/>
    <n v="4"/>
    <s v="Commercial"/>
    <x v="17"/>
    <n v="150000"/>
    <m/>
    <x v="0"/>
    <n v="3"/>
    <x v="0"/>
    <n v="10"/>
    <s v="Other"/>
    <n v="3"/>
    <x v="1"/>
    <n v="3"/>
    <n v="2"/>
    <n v="1"/>
    <n v="5"/>
    <n v="4"/>
    <s v="Y"/>
    <n v="5000"/>
    <x v="2"/>
  </r>
  <r>
    <d v="2019-10-20T00:00:00"/>
    <d v="1899-12-30T11:09:00"/>
    <m/>
    <s v="P"/>
    <n v="2"/>
    <s v="Road Vehicle"/>
    <n v="4"/>
    <x v="3"/>
    <x v="1"/>
    <n v="3"/>
    <x v="2"/>
    <s v="MAKENGE"/>
    <s v="MBARARA"/>
    <s v="UGA"/>
    <n v="1"/>
    <s v="Home"/>
    <s v="NAKIBAALE"/>
    <s v="RUKUNGIRI"/>
    <s v="UGA"/>
    <n v="6"/>
    <s v="Leisure/Social"/>
    <x v="8"/>
    <n v="17000"/>
    <m/>
    <x v="0"/>
    <n v="3"/>
    <x v="0"/>
    <n v="6"/>
    <s v="Businessman"/>
    <n v="2"/>
    <x v="3"/>
    <n v="2"/>
    <n v="3"/>
    <n v="4"/>
    <n v="1"/>
    <n v="5"/>
    <s v="Y"/>
    <n v="1000"/>
    <x v="4"/>
  </r>
  <r>
    <d v="2019-10-20T00:00:00"/>
    <d v="1899-12-30T16:25:00"/>
    <m/>
    <s v="P"/>
    <n v="2"/>
    <s v="Road Vehicle"/>
    <n v="4"/>
    <x v="3"/>
    <x v="1"/>
    <n v="3"/>
    <x v="2"/>
    <s v="NYABUBARE"/>
    <s v="MITOMA"/>
    <s v="UGA"/>
    <n v="4"/>
    <s v="Commercial"/>
    <s v="ISHAKA"/>
    <s v="BUSHENYI"/>
    <s v="UGA"/>
    <n v="4"/>
    <s v="Commercial"/>
    <x v="18"/>
    <n v="1000"/>
    <n v="10"/>
    <x v="6"/>
    <n v="0.3"/>
    <x v="3"/>
    <n v="6"/>
    <s v="Businessman"/>
    <n v="1"/>
    <x v="2"/>
    <n v="2"/>
    <n v="3"/>
    <n v="1"/>
    <n v="4"/>
    <n v="5"/>
    <s v="Y"/>
    <n v="1000"/>
    <x v="4"/>
  </r>
  <r>
    <d v="2019-10-18T00:00:00"/>
    <d v="1899-12-30T17:00:00"/>
    <m/>
    <s v="D"/>
    <n v="2"/>
    <s v="Road Vehicle"/>
    <n v="4"/>
    <x v="3"/>
    <x v="0"/>
    <n v="3"/>
    <x v="2"/>
    <s v="ISHAKA"/>
    <s v="BUSHENYI"/>
    <s v="UGA"/>
    <n v="8"/>
    <s v="Others"/>
    <s v="TOWN"/>
    <s v="MBARARA"/>
    <s v="UGA"/>
    <n v="2"/>
    <s v="Work"/>
    <x v="14"/>
    <n v="5000"/>
    <n v="48"/>
    <x v="5"/>
    <n v="0.8"/>
    <x v="4"/>
    <n v="10"/>
    <s v="Other"/>
    <n v="2"/>
    <x v="3"/>
    <n v="4"/>
    <n v="2"/>
    <n v="3"/>
    <n v="1"/>
    <n v="5"/>
    <s v="Y"/>
    <n v="2000"/>
    <x v="1"/>
  </r>
  <r>
    <d v="2019-10-19T00:00:00"/>
    <d v="1899-12-30T07:35:00"/>
    <m/>
    <s v="D"/>
    <n v="2"/>
    <s v="Road Vehicle"/>
    <n v="4"/>
    <x v="3"/>
    <x v="0"/>
    <n v="3"/>
    <x v="2"/>
    <s v="ISHAKA"/>
    <s v="BUSHENYI"/>
    <s v="UGA"/>
    <n v="4"/>
    <s v="Commercial"/>
    <s v="KAMPALA"/>
    <s v="KAMPALA"/>
    <s v="UGA"/>
    <n v="4"/>
    <s v="Commercial"/>
    <x v="18"/>
    <n v="250000"/>
    <n v="156"/>
    <x v="2"/>
    <n v="4.5"/>
    <x v="2"/>
    <n v="10"/>
    <s v="Other"/>
    <n v="2"/>
    <x v="3"/>
    <n v="1"/>
    <n v="2"/>
    <n v="3"/>
    <n v="4"/>
    <n v="5"/>
    <s v="Y"/>
    <m/>
    <x v="3"/>
  </r>
  <r>
    <d v="2019-10-20T00:00:00"/>
    <d v="1899-12-30T10:24:00"/>
    <m/>
    <s v="P"/>
    <n v="2"/>
    <s v="Road Vehicle"/>
    <n v="4"/>
    <x v="3"/>
    <x v="0"/>
    <n v="3"/>
    <x v="2"/>
    <s v="SHUKU"/>
    <s v="SHEEMA"/>
    <s v="UGA"/>
    <n v="1"/>
    <s v="Home"/>
    <s v="MITOMA"/>
    <s v="MITOMA"/>
    <s v="UGA"/>
    <n v="2"/>
    <s v="Work"/>
    <x v="1"/>
    <n v="5000"/>
    <m/>
    <x v="0"/>
    <n v="1"/>
    <x v="1"/>
    <n v="10"/>
    <s v="Other"/>
    <n v="2"/>
    <x v="3"/>
    <n v="5"/>
    <n v="3"/>
    <n v="4"/>
    <n v="2"/>
    <n v="1"/>
    <s v="N"/>
    <m/>
    <x v="3"/>
  </r>
  <r>
    <d v="2019-10-20T00:00:00"/>
    <d v="1899-12-30T10:54:00"/>
    <m/>
    <s v="D"/>
    <n v="2"/>
    <s v="Road Vehicle"/>
    <n v="4"/>
    <x v="3"/>
    <x v="0"/>
    <n v="3"/>
    <x v="2"/>
    <s v="RWIMI"/>
    <s v="RUBIRIZI"/>
    <s v="UGA"/>
    <n v="2"/>
    <s v="Work"/>
    <s v="MBARARA"/>
    <s v="MBARARA"/>
    <s v="UGA"/>
    <n v="4"/>
    <s v="Commercial"/>
    <x v="17"/>
    <n v="200000"/>
    <n v="116"/>
    <x v="2"/>
    <n v="3"/>
    <x v="0"/>
    <n v="10"/>
    <s v="Other"/>
    <n v="1"/>
    <x v="2"/>
    <n v="4"/>
    <n v="1"/>
    <n v="3"/>
    <n v="2"/>
    <n v="5"/>
    <s v="Y"/>
    <n v="1000"/>
    <x v="4"/>
  </r>
  <r>
    <d v="2019-10-20T00:00:00"/>
    <d v="1899-12-30T09:51:00"/>
    <m/>
    <s v="D"/>
    <n v="2"/>
    <s v="Road Vehicle"/>
    <n v="4"/>
    <x v="3"/>
    <x v="0"/>
    <n v="3"/>
    <x v="2"/>
    <s v="ISHAKA"/>
    <s v="BUSHENYI"/>
    <s v="UGA"/>
    <n v="2"/>
    <s v="Work"/>
    <s v="RUBIRIZI"/>
    <s v="RUBIRIZI"/>
    <s v="UGA"/>
    <n v="2"/>
    <s v="Work"/>
    <x v="2"/>
    <n v="50000"/>
    <n v="35"/>
    <x v="4"/>
    <n v="1"/>
    <x v="1"/>
    <n v="10"/>
    <s v="Other"/>
    <n v="1"/>
    <x v="2"/>
    <n v="2"/>
    <n v="1"/>
    <n v="3"/>
    <n v="4"/>
    <n v="5"/>
    <s v="Y"/>
    <n v="100"/>
    <x v="3"/>
  </r>
  <r>
    <d v="2019-10-20T00:00:00"/>
    <d v="1899-12-30T07:51:00"/>
    <m/>
    <s v="D"/>
    <n v="2"/>
    <s v="Road Vehicle"/>
    <n v="4"/>
    <x v="3"/>
    <x v="0"/>
    <n v="3"/>
    <x v="2"/>
    <s v="ISHAKA"/>
    <s v="BUSHENYI"/>
    <s v="UGA"/>
    <n v="2"/>
    <s v="Work"/>
    <s v="TOWN CENTER"/>
    <s v="MBARARA"/>
    <s v="UGA"/>
    <n v="2"/>
    <s v="Work"/>
    <x v="2"/>
    <n v="60000"/>
    <n v="90"/>
    <x v="1"/>
    <n v="1"/>
    <x v="1"/>
    <n v="10"/>
    <s v="Other"/>
    <n v="1"/>
    <x v="2"/>
    <n v="4"/>
    <n v="1"/>
    <n v="3"/>
    <n v="5"/>
    <n v="2"/>
    <s v="Y"/>
    <n v="200"/>
    <x v="3"/>
  </r>
  <r>
    <d v="2019-10-19T00:00:00"/>
    <d v="1899-12-30T14:03:00"/>
    <m/>
    <s v="P"/>
    <n v="2"/>
    <s v="Road Vehicle"/>
    <n v="3"/>
    <x v="9"/>
    <x v="1"/>
    <n v="3"/>
    <x v="2"/>
    <s v="NYAKABIRIZI"/>
    <s v="MBARARA"/>
    <s v="UGA"/>
    <n v="2"/>
    <s v="Work"/>
    <s v="ISHAKA"/>
    <s v="BUSHENYI"/>
    <s v="UGA"/>
    <n v="6"/>
    <s v="Leisure/Social"/>
    <x v="5"/>
    <n v="7000"/>
    <m/>
    <x v="0"/>
    <n v="2"/>
    <x v="0"/>
    <n v="6"/>
    <s v="Businessman"/>
    <n v="2"/>
    <x v="3"/>
    <n v="1"/>
    <n v="2"/>
    <n v="4"/>
    <n v="3"/>
    <n v="5"/>
    <s v="N"/>
    <m/>
    <x v="3"/>
  </r>
  <r>
    <d v="2019-10-19T00:00:00"/>
    <d v="1899-12-30T10:00:00"/>
    <m/>
    <s v="D"/>
    <n v="2"/>
    <s v="Road Vehicle"/>
    <n v="2"/>
    <x v="6"/>
    <x v="1"/>
    <n v="3"/>
    <x v="2"/>
    <s v="KATOMA"/>
    <s v="BUSHENYI"/>
    <s v="UGA"/>
    <n v="4"/>
    <s v="Commercial"/>
    <s v="KASESE"/>
    <s v="KASESE"/>
    <s v="UGA"/>
    <n v="4"/>
    <s v="Commercial"/>
    <x v="18"/>
    <n v="60000"/>
    <n v="95"/>
    <x v="1"/>
    <n v="1.5"/>
    <x v="1"/>
    <n v="4"/>
    <s v="Office Worker"/>
    <n v="2"/>
    <x v="3"/>
    <m/>
    <m/>
    <m/>
    <m/>
    <m/>
    <s v="Y"/>
    <m/>
    <x v="3"/>
  </r>
  <r>
    <d v="2019-10-20T00:00:00"/>
    <d v="1899-12-30T15:10:00"/>
    <m/>
    <s v="P"/>
    <n v="2"/>
    <s v="Road Vehicle"/>
    <n v="2"/>
    <x v="6"/>
    <x v="1"/>
    <n v="3"/>
    <x v="2"/>
    <s v="KASESE"/>
    <s v="KASESE"/>
    <s v="UGA"/>
    <n v="1"/>
    <s v="Home"/>
    <s v="SHEEMA"/>
    <s v="SHEEMA"/>
    <s v="UGA"/>
    <n v="6"/>
    <s v="Leisure/Social"/>
    <x v="8"/>
    <n v="10000"/>
    <m/>
    <x v="0"/>
    <n v="1.5"/>
    <x v="1"/>
    <n v="6"/>
    <s v="Businessman"/>
    <n v="1"/>
    <x v="2"/>
    <n v="2"/>
    <n v="1"/>
    <n v="3"/>
    <n v="4"/>
    <n v="5"/>
    <s v="Y"/>
    <m/>
    <x v="3"/>
  </r>
  <r>
    <d v="2019-10-20T00:00:00"/>
    <d v="1899-12-30T09:42:00"/>
    <m/>
    <s v="D"/>
    <n v="2"/>
    <s v="Road Vehicle"/>
    <n v="2"/>
    <x v="6"/>
    <x v="1"/>
    <n v="3"/>
    <x v="2"/>
    <s v="KIZINDA"/>
    <s v="BUSHENYI"/>
    <s v="UGA"/>
    <n v="1"/>
    <s v="Home"/>
    <s v="CHRIST THE KING"/>
    <s v="SHEEMA"/>
    <s v="UGA"/>
    <n v="8"/>
    <s v="Others"/>
    <x v="13"/>
    <n v="30000"/>
    <n v="10"/>
    <x v="6"/>
    <n v="0.7"/>
    <x v="4"/>
    <n v="6"/>
    <s v="Businessman"/>
    <n v="2"/>
    <x v="3"/>
    <n v="2"/>
    <n v="4"/>
    <n v="5"/>
    <n v="3"/>
    <n v="1"/>
    <s v="Y"/>
    <m/>
    <x v="3"/>
  </r>
  <r>
    <d v="2019-10-20T00:00:00"/>
    <d v="1899-12-30T09:48:00"/>
    <m/>
    <s v="D"/>
    <n v="2"/>
    <s v="Road Vehicle"/>
    <n v="2"/>
    <x v="6"/>
    <x v="1"/>
    <n v="3"/>
    <x v="2"/>
    <s v="RUHINDO"/>
    <s v="BUSHENYI"/>
    <s v="UGA"/>
    <n v="1"/>
    <s v="Home"/>
    <s v="CHRIST THE KING"/>
    <s v="SHEEMA"/>
    <s v="UGA"/>
    <n v="8"/>
    <s v="Others"/>
    <x v="13"/>
    <n v="19000"/>
    <n v="10"/>
    <x v="6"/>
    <n v="0.8"/>
    <x v="4"/>
    <n v="6"/>
    <s v="Businessman"/>
    <n v="4"/>
    <x v="0"/>
    <n v="2"/>
    <n v="1"/>
    <n v="5"/>
    <n v="3"/>
    <n v="4"/>
    <s v="Y"/>
    <m/>
    <x v="3"/>
  </r>
  <r>
    <d v="2019-10-19T00:00:00"/>
    <d v="1899-12-30T07:12:00"/>
    <m/>
    <s v="P"/>
    <n v="2"/>
    <s v="Road Vehicle"/>
    <n v="2"/>
    <x v="6"/>
    <x v="0"/>
    <n v="3"/>
    <x v="2"/>
    <s v="KASESE"/>
    <s v="KASESE"/>
    <s v="UGA"/>
    <n v="4"/>
    <s v="Commercial"/>
    <s v="ISHAKA"/>
    <s v="BUSHENYI"/>
    <s v="UGA"/>
    <n v="4"/>
    <s v="Commercial"/>
    <x v="18"/>
    <n v="8000"/>
    <n v="60"/>
    <x v="5"/>
    <n v="1"/>
    <x v="1"/>
    <n v="2"/>
    <s v="Manual Labour"/>
    <n v="1"/>
    <x v="2"/>
    <n v="4"/>
    <n v="1"/>
    <n v="3"/>
    <n v="2"/>
    <n v="5"/>
    <s v="Y"/>
    <n v="5000"/>
    <x v="2"/>
  </r>
  <r>
    <d v="2019-10-19T00:00:00"/>
    <d v="1899-12-30T12:10:00"/>
    <m/>
    <s v="D"/>
    <n v="2"/>
    <s v="Road Vehicle"/>
    <n v="2"/>
    <x v="6"/>
    <x v="0"/>
    <n v="3"/>
    <x v="2"/>
    <s v="ISHAKA"/>
    <s v="BUSHENYI"/>
    <s v="UGA"/>
    <n v="4"/>
    <s v="Commercial"/>
    <s v="KABALE"/>
    <s v="KABALE"/>
    <s v="UGA"/>
    <n v="4"/>
    <s v="Commercial"/>
    <x v="18"/>
    <n v="1200000"/>
    <n v="170"/>
    <x v="2"/>
    <n v="3"/>
    <x v="0"/>
    <n v="6"/>
    <s v="Businessman"/>
    <n v="4"/>
    <x v="0"/>
    <n v="5"/>
    <n v="2"/>
    <n v="3"/>
    <n v="1"/>
    <n v="4"/>
    <s v="Y"/>
    <n v="1000"/>
    <x v="4"/>
  </r>
  <r>
    <d v="2019-10-19T00:00:00"/>
    <m/>
    <m/>
    <s v="D"/>
    <n v="2"/>
    <s v="Road Vehicle"/>
    <n v="2"/>
    <x v="6"/>
    <x v="0"/>
    <n v="3"/>
    <x v="2"/>
    <s v="KIZINDA"/>
    <s v="BUSHENYI"/>
    <s v="UGA"/>
    <n v="2"/>
    <s v="Work"/>
    <s v="KAGAMBA"/>
    <s v="NTUNGAMO"/>
    <s v="UGA"/>
    <n v="1"/>
    <s v="Home"/>
    <x v="4"/>
    <n v="10000"/>
    <n v="15"/>
    <x v="6"/>
    <n v="1.5"/>
    <x v="1"/>
    <n v="10"/>
    <s v="Other"/>
    <n v="2"/>
    <x v="3"/>
    <n v="5"/>
    <n v="1"/>
    <n v="3"/>
    <n v="5"/>
    <n v="4"/>
    <s v="Y"/>
    <n v="500"/>
    <x v="3"/>
  </r>
  <r>
    <d v="2019-10-19T00:00:00"/>
    <m/>
    <m/>
    <s v="D"/>
    <n v="2"/>
    <s v="Road Vehicle"/>
    <n v="2"/>
    <x v="6"/>
    <x v="0"/>
    <n v="3"/>
    <x v="2"/>
    <s v="ISHAKA"/>
    <s v="BUSHENYI"/>
    <s v="UGA"/>
    <n v="4"/>
    <s v="Commercial"/>
    <s v="KATUGULU"/>
    <s v="KASESE"/>
    <s v="UGA"/>
    <n v="2"/>
    <s v="Work"/>
    <x v="24"/>
    <n v="60000"/>
    <m/>
    <x v="0"/>
    <n v="1.5"/>
    <x v="1"/>
    <n v="10"/>
    <s v="Other"/>
    <n v="3"/>
    <x v="1"/>
    <n v="2"/>
    <n v="1"/>
    <n v="3"/>
    <n v="4"/>
    <n v="5"/>
    <s v="Y"/>
    <n v="500"/>
    <x v="3"/>
  </r>
  <r>
    <d v="2019-10-19T00:00:00"/>
    <d v="1899-12-30T10:34:00"/>
    <m/>
    <s v="D"/>
    <n v="2"/>
    <s v="Road Vehicle"/>
    <n v="2"/>
    <x v="6"/>
    <x v="0"/>
    <n v="3"/>
    <x v="2"/>
    <s v="NTUNGAMO"/>
    <s v="NTUNGAMO"/>
    <s v="UGA"/>
    <n v="2"/>
    <s v="Work"/>
    <s v="ISHAKA"/>
    <s v="BUSHENYI"/>
    <s v="UGA"/>
    <n v="4"/>
    <s v="Commercial"/>
    <x v="17"/>
    <n v="5000"/>
    <n v="60"/>
    <x v="5"/>
    <n v="1"/>
    <x v="1"/>
    <n v="4"/>
    <s v="Office Worker"/>
    <n v="4"/>
    <x v="0"/>
    <n v="5"/>
    <n v="1"/>
    <n v="2"/>
    <n v="3"/>
    <n v="4"/>
    <s v="Y"/>
    <n v="1000"/>
    <x v="4"/>
  </r>
  <r>
    <d v="2019-10-20T00:00:00"/>
    <d v="1899-12-30T09:42:00"/>
    <m/>
    <s v="P"/>
    <n v="2"/>
    <s v="Road Vehicle"/>
    <n v="2"/>
    <x v="6"/>
    <x v="0"/>
    <n v="3"/>
    <x v="2"/>
    <m/>
    <m/>
    <s v="UGA"/>
    <n v="1"/>
    <s v="Home"/>
    <s v="RUBIRIZI"/>
    <s v="RUBIRIZI"/>
    <s v="UGA"/>
    <n v="2"/>
    <s v="Work"/>
    <x v="1"/>
    <n v="50000"/>
    <n v="35"/>
    <x v="4"/>
    <n v="0.8"/>
    <x v="4"/>
    <n v="6"/>
    <s v="Businessman"/>
    <n v="1"/>
    <x v="2"/>
    <n v="5"/>
    <n v="1"/>
    <n v="2"/>
    <n v="3"/>
    <n v="4"/>
    <s v="Y"/>
    <n v="500"/>
    <x v="3"/>
  </r>
  <r>
    <d v="2019-10-20T00:00:00"/>
    <d v="1899-12-30T10:30:00"/>
    <m/>
    <s v="P"/>
    <n v="2"/>
    <s v="Road Vehicle"/>
    <n v="1"/>
    <x v="0"/>
    <x v="1"/>
    <n v="4"/>
    <x v="3"/>
    <s v="KIGOMA"/>
    <s v="BUSHENYI"/>
    <s v="UGA"/>
    <n v="1"/>
    <s v="Home"/>
    <s v="KASOZI"/>
    <s v="BUSHENYI"/>
    <s v="UGA"/>
    <n v="4"/>
    <s v="Commercial"/>
    <x v="0"/>
    <n v="3000"/>
    <m/>
    <x v="0"/>
    <n v="0.7"/>
    <x v="4"/>
    <n v="7"/>
    <s v="Farmer"/>
    <n v="1"/>
    <x v="2"/>
    <n v="1"/>
    <n v="2"/>
    <n v="5"/>
    <n v="3"/>
    <n v="4"/>
    <s v="Y"/>
    <m/>
    <x v="3"/>
  </r>
  <r>
    <d v="2019-10-20T00:00:00"/>
    <m/>
    <m/>
    <s v="P"/>
    <n v="2"/>
    <s v="Road Vehicle"/>
    <n v="1"/>
    <x v="0"/>
    <x v="0"/>
    <n v="4"/>
    <x v="3"/>
    <s v="HIMA"/>
    <s v="KASESE"/>
    <s v="UGA"/>
    <n v="1"/>
    <s v="Home"/>
    <s v="ISHAKA"/>
    <s v="BUSHENYI"/>
    <s v="UGA"/>
    <n v="2"/>
    <s v="Work"/>
    <x v="1"/>
    <n v="13000"/>
    <m/>
    <x v="0"/>
    <n v="1.5"/>
    <x v="1"/>
    <n v="6"/>
    <s v="Businessman"/>
    <n v="2"/>
    <x v="3"/>
    <m/>
    <m/>
    <m/>
    <m/>
    <m/>
    <s v="Y"/>
    <n v="500"/>
    <x v="3"/>
  </r>
  <r>
    <d v="2019-10-20T00:00:00"/>
    <d v="1899-12-30T16:01:00"/>
    <m/>
    <s v="D"/>
    <n v="2"/>
    <s v="Road Vehicle"/>
    <n v="1"/>
    <x v="0"/>
    <x v="0"/>
    <n v="4"/>
    <x v="3"/>
    <s v="ISHAKA"/>
    <s v="BUSHENYI"/>
    <s v="UGA"/>
    <n v="2"/>
    <s v="Work"/>
    <s v="TOWN"/>
    <s v="MBARARA"/>
    <s v="UGA"/>
    <n v="2"/>
    <s v="Work"/>
    <x v="2"/>
    <n v="50000"/>
    <m/>
    <x v="0"/>
    <n v="1.5"/>
    <x v="1"/>
    <n v="10"/>
    <s v="Other"/>
    <n v="2"/>
    <x v="3"/>
    <n v="5"/>
    <n v="3"/>
    <n v="4"/>
    <n v="1"/>
    <n v="2"/>
    <s v="Y"/>
    <n v="1000"/>
    <x v="4"/>
  </r>
  <r>
    <d v="2019-10-19T00:00:00"/>
    <m/>
    <m/>
    <s v="P"/>
    <n v="2"/>
    <s v="Road Vehicle"/>
    <n v="6"/>
    <x v="1"/>
    <x v="0"/>
    <n v="4"/>
    <x v="3"/>
    <s v="ISHAKA"/>
    <s v="BUSHENYI"/>
    <s v="UGA"/>
    <n v="6"/>
    <s v="Leisure/Social"/>
    <s v="NTINDA"/>
    <s v="KAMPALA"/>
    <s v="UGA"/>
    <n v="1"/>
    <s v="Home"/>
    <x v="10"/>
    <n v="20000"/>
    <m/>
    <x v="0"/>
    <n v="5"/>
    <x v="2"/>
    <n v="6"/>
    <s v="Businessman"/>
    <n v="5"/>
    <x v="4"/>
    <n v="4"/>
    <n v="1"/>
    <n v="2"/>
    <n v="3"/>
    <n v="5"/>
    <s v="Y"/>
    <m/>
    <x v="3"/>
  </r>
  <r>
    <d v="2019-10-20T00:00:00"/>
    <d v="1899-12-30T09:00:00"/>
    <m/>
    <s v="D"/>
    <n v="2"/>
    <s v="Road Vehicle"/>
    <n v="6"/>
    <x v="1"/>
    <x v="0"/>
    <n v="4"/>
    <x v="3"/>
    <s v="ISHAKA"/>
    <s v="BUSHENYI"/>
    <s v="UGA"/>
    <n v="2"/>
    <s v="Work"/>
    <s v="TOWN CENTER"/>
    <s v="KAMPALA"/>
    <s v="UGA"/>
    <n v="2"/>
    <s v="Work"/>
    <x v="2"/>
    <n v="250000"/>
    <n v="300"/>
    <x v="3"/>
    <n v="5"/>
    <x v="2"/>
    <n v="10"/>
    <s v="Other"/>
    <n v="2"/>
    <x v="3"/>
    <n v="2"/>
    <n v="1"/>
    <n v="4"/>
    <n v="3"/>
    <n v="5"/>
    <s v="Y"/>
    <n v="1000"/>
    <x v="4"/>
  </r>
  <r>
    <d v="2019-10-20T00:00:00"/>
    <d v="1899-12-30T16:03:00"/>
    <m/>
    <s v="P"/>
    <n v="2"/>
    <s v="Road Vehicle"/>
    <n v="4"/>
    <x v="3"/>
    <x v="1"/>
    <n v="4"/>
    <x v="3"/>
    <s v="MBARARA"/>
    <s v="MBARARA"/>
    <s v="UGA"/>
    <n v="2"/>
    <s v="Work"/>
    <s v="ISHAKA"/>
    <s v="BUSHENYI"/>
    <s v="UGA"/>
    <n v="1"/>
    <s v="Home"/>
    <x v="4"/>
    <n v="9000"/>
    <m/>
    <x v="0"/>
    <n v="1.5"/>
    <x v="1"/>
    <n v="9"/>
    <s v="Retired"/>
    <n v="3"/>
    <x v="1"/>
    <n v="3"/>
    <n v="1"/>
    <n v="2"/>
    <n v="4"/>
    <n v="5"/>
    <s v="Y"/>
    <n v="5000"/>
    <x v="2"/>
  </r>
  <r>
    <d v="2019-10-20T00:00:00"/>
    <d v="1899-12-30T16:15:00"/>
    <m/>
    <s v="P"/>
    <n v="2"/>
    <s v="Road Vehicle"/>
    <n v="4"/>
    <x v="3"/>
    <x v="1"/>
    <n v="4"/>
    <x v="3"/>
    <s v="NYARUGOTI"/>
    <s v="BUSHENYI"/>
    <s v="UGA"/>
    <n v="4"/>
    <s v="Commercial"/>
    <s v="KABAROLE"/>
    <s v="KABAROLE"/>
    <s v="UGA"/>
    <n v="4"/>
    <s v="Commercial"/>
    <x v="18"/>
    <n v="25000"/>
    <n v="136"/>
    <x v="2"/>
    <n v="1.5"/>
    <x v="1"/>
    <n v="7"/>
    <s v="Farmer"/>
    <n v="1"/>
    <x v="2"/>
    <n v="1"/>
    <n v="5"/>
    <n v="3"/>
    <n v="2"/>
    <n v="4"/>
    <s v="Y"/>
    <n v="1000"/>
    <x v="4"/>
  </r>
  <r>
    <d v="2019-10-18T00:00:00"/>
    <m/>
    <m/>
    <s v="D"/>
    <n v="2"/>
    <s v="Road Vehicle"/>
    <n v="4"/>
    <x v="3"/>
    <x v="0"/>
    <n v="4"/>
    <x v="3"/>
    <s v="ISHAKA"/>
    <s v="BUSHENYI"/>
    <s v="UGA"/>
    <n v="2"/>
    <s v="Work"/>
    <s v="TOWN"/>
    <s v="FORTPOTAL"/>
    <s v="UGA"/>
    <n v="2"/>
    <s v="Work"/>
    <x v="2"/>
    <n v="400000"/>
    <m/>
    <x v="0"/>
    <m/>
    <x v="3"/>
    <n v="10"/>
    <s v="Other"/>
    <n v="1"/>
    <x v="2"/>
    <n v="4"/>
    <n v="2"/>
    <n v="1"/>
    <n v="3"/>
    <n v="5"/>
    <s v="Y"/>
    <n v="1000"/>
    <x v="4"/>
  </r>
  <r>
    <d v="2019-10-18T00:00:00"/>
    <m/>
    <m/>
    <s v="P"/>
    <n v="2"/>
    <s v="Road Vehicle"/>
    <n v="4"/>
    <x v="3"/>
    <x v="0"/>
    <n v="4"/>
    <x v="3"/>
    <s v="KAGAMBA"/>
    <s v="BUSHENYI"/>
    <s v="UGA"/>
    <n v="2"/>
    <s v="Work"/>
    <s v="BASAJABALABA"/>
    <s v="BUSHENYI"/>
    <s v="UGA"/>
    <n v="1"/>
    <s v="Home"/>
    <x v="4"/>
    <n v="5000"/>
    <m/>
    <x v="0"/>
    <n v="0.7"/>
    <x v="4"/>
    <n v="4"/>
    <s v="Office Worker"/>
    <n v="2"/>
    <x v="3"/>
    <n v="2"/>
    <n v="4"/>
    <n v="1"/>
    <n v="3"/>
    <n v="5"/>
    <s v="Y"/>
    <n v="200"/>
    <x v="3"/>
  </r>
  <r>
    <d v="2019-10-18T00:00:00"/>
    <m/>
    <m/>
    <s v="P"/>
    <n v="2"/>
    <s v="Road Vehicle"/>
    <n v="4"/>
    <x v="3"/>
    <x v="0"/>
    <n v="4"/>
    <x v="3"/>
    <s v="NYIBINGO"/>
    <s v="BUSHENYI"/>
    <s v="UGA"/>
    <n v="6"/>
    <s v="Leisure/Social"/>
    <s v="QUEEN ELIZABETH"/>
    <s v="KASESE"/>
    <s v="UGA"/>
    <n v="1"/>
    <s v="Home"/>
    <x v="10"/>
    <n v="10000"/>
    <m/>
    <x v="0"/>
    <n v="2"/>
    <x v="0"/>
    <n v="6"/>
    <s v="Businessman"/>
    <n v="2"/>
    <x v="3"/>
    <n v="2"/>
    <n v="3"/>
    <n v="1"/>
    <n v="4"/>
    <n v="5"/>
    <s v="Y"/>
    <n v="1000"/>
    <x v="4"/>
  </r>
  <r>
    <d v="2019-10-19T00:00:00"/>
    <m/>
    <m/>
    <s v="D"/>
    <n v="2"/>
    <s v="Road Vehicle"/>
    <n v="4"/>
    <x v="3"/>
    <x v="0"/>
    <n v="4"/>
    <x v="3"/>
    <s v="ISHAKA"/>
    <s v="BUSHENYI"/>
    <s v="UGA"/>
    <n v="2"/>
    <s v="Work"/>
    <s v="ISHAKA"/>
    <s v="BUSHENYI"/>
    <s v="UGA"/>
    <n v="4"/>
    <s v="Commercial"/>
    <x v="17"/>
    <n v="100000"/>
    <n v="85"/>
    <x v="1"/>
    <n v="4"/>
    <x v="2"/>
    <n v="10"/>
    <s v="Other"/>
    <n v="3"/>
    <x v="1"/>
    <n v="1"/>
    <n v="2"/>
    <n v="5"/>
    <n v="3"/>
    <n v="4"/>
    <s v="Y"/>
    <n v="1000"/>
    <x v="4"/>
  </r>
  <r>
    <d v="2019-10-19T00:00:00"/>
    <d v="1899-12-30T12:53:00"/>
    <m/>
    <s v="D"/>
    <n v="2"/>
    <s v="Road Vehicle"/>
    <n v="4"/>
    <x v="3"/>
    <x v="0"/>
    <n v="4"/>
    <x v="3"/>
    <s v="ISHAKA"/>
    <s v="BUSHENYI"/>
    <s v="UGA"/>
    <n v="2"/>
    <s v="Work"/>
    <s v="FORTPORTAL"/>
    <s v="FORTPOTAL"/>
    <s v="UGA"/>
    <n v="4"/>
    <s v="Commercial"/>
    <x v="17"/>
    <n v="150000"/>
    <n v="116"/>
    <x v="2"/>
    <n v="6"/>
    <x v="2"/>
    <n v="10"/>
    <s v="Other"/>
    <n v="3"/>
    <x v="1"/>
    <n v="3"/>
    <n v="1"/>
    <n v="2"/>
    <n v="4"/>
    <n v="5"/>
    <s v="Y"/>
    <n v="1000"/>
    <x v="4"/>
  </r>
  <r>
    <d v="2019-10-19T00:00:00"/>
    <d v="1899-12-30T10:10:00"/>
    <m/>
    <s v="D"/>
    <n v="2"/>
    <s v="Road Vehicle"/>
    <n v="4"/>
    <x v="3"/>
    <x v="0"/>
    <n v="4"/>
    <x v="3"/>
    <s v="BUSHENYI"/>
    <s v="BUSHENYI"/>
    <s v="UGA"/>
    <n v="2"/>
    <s v="Work"/>
    <s v="BUHWEJU"/>
    <s v="BUSHENYI"/>
    <s v="UGA"/>
    <n v="4"/>
    <s v="Commercial"/>
    <x v="17"/>
    <n v="70000"/>
    <n v="85"/>
    <x v="1"/>
    <n v="2"/>
    <x v="0"/>
    <n v="10"/>
    <s v="Other"/>
    <n v="2"/>
    <x v="3"/>
    <n v="2"/>
    <n v="1"/>
    <n v="3"/>
    <n v="4"/>
    <n v="5"/>
    <s v="Y"/>
    <n v="200"/>
    <x v="3"/>
  </r>
  <r>
    <d v="2019-10-19T00:00:00"/>
    <d v="1899-12-30T12:09:00"/>
    <m/>
    <s v="D"/>
    <n v="2"/>
    <s v="Road Vehicle"/>
    <n v="4"/>
    <x v="3"/>
    <x v="0"/>
    <n v="4"/>
    <x v="3"/>
    <s v="ISHAKA"/>
    <s v="BUSHENYI"/>
    <s v="UGA"/>
    <n v="2"/>
    <s v="Work"/>
    <s v="KAMPALA"/>
    <s v="KAMPALA"/>
    <s v="UGA"/>
    <n v="4"/>
    <s v="Commercial"/>
    <x v="17"/>
    <n v="500000"/>
    <n v="340"/>
    <x v="3"/>
    <n v="8"/>
    <x v="2"/>
    <n v="10"/>
    <s v="Other"/>
    <n v="2"/>
    <x v="3"/>
    <n v="2"/>
    <n v="1"/>
    <n v="3"/>
    <n v="4"/>
    <n v="5"/>
    <s v="Y"/>
    <n v="1000"/>
    <x v="4"/>
  </r>
  <r>
    <d v="2019-10-20T00:00:00"/>
    <d v="1899-12-30T14:29:00"/>
    <m/>
    <s v="P"/>
    <n v="2"/>
    <s v="Road Vehicle"/>
    <n v="4"/>
    <x v="3"/>
    <x v="0"/>
    <n v="4"/>
    <x v="3"/>
    <s v="NYIBINGO"/>
    <s v="BUSHENYI"/>
    <s v="UGA"/>
    <n v="1"/>
    <s v="Home"/>
    <s v="BUYANJA"/>
    <s v="RUKUNGIRI"/>
    <s v="UGA"/>
    <n v="6"/>
    <s v="Leisure/Social"/>
    <x v="8"/>
    <n v="12000"/>
    <m/>
    <x v="0"/>
    <n v="1"/>
    <x v="1"/>
    <n v="6"/>
    <s v="Businessman"/>
    <n v="3"/>
    <x v="1"/>
    <n v="3"/>
    <n v="2"/>
    <n v="4"/>
    <n v="1"/>
    <n v="5"/>
    <s v="Y"/>
    <m/>
    <x v="3"/>
  </r>
  <r>
    <d v="2019-10-20T00:00:00"/>
    <d v="1899-12-30T11:38:00"/>
    <m/>
    <s v="D"/>
    <n v="2"/>
    <s v="Road Vehicle"/>
    <n v="2"/>
    <x v="6"/>
    <x v="1"/>
    <n v="4"/>
    <x v="3"/>
    <s v="BUTOKYE"/>
    <s v="MITOMA"/>
    <s v="UGA"/>
    <n v="1"/>
    <s v="Home"/>
    <s v="KITAGATA"/>
    <s v="KASESE"/>
    <s v="UGA"/>
    <n v="6"/>
    <s v="Leisure/Social"/>
    <x v="8"/>
    <n v="15200"/>
    <n v="30"/>
    <x v="4"/>
    <n v="0.8"/>
    <x v="4"/>
    <n v="9"/>
    <s v="Retired"/>
    <n v="3"/>
    <x v="1"/>
    <n v="5"/>
    <n v="1"/>
    <n v="2"/>
    <n v="3"/>
    <n v="4"/>
    <s v="Y"/>
    <n v="2000"/>
    <x v="1"/>
  </r>
  <r>
    <d v="2019-10-19T00:00:00"/>
    <d v="1899-12-30T13:30:00"/>
    <m/>
    <s v="D"/>
    <n v="2"/>
    <s v="Road Vehicle"/>
    <n v="2"/>
    <x v="6"/>
    <x v="0"/>
    <n v="4"/>
    <x v="3"/>
    <s v="RUTOKYE"/>
    <s v="MITOMA"/>
    <s v="UGA"/>
    <n v="1"/>
    <s v="Home"/>
    <s v="ISHAKA"/>
    <s v="BUSHENYI"/>
    <s v="UGA"/>
    <n v="2"/>
    <s v="Work"/>
    <x v="1"/>
    <n v="30000"/>
    <n v="24"/>
    <x v="4"/>
    <n v="1.5"/>
    <x v="1"/>
    <n v="10"/>
    <s v="Other"/>
    <n v="1"/>
    <x v="2"/>
    <n v="4"/>
    <n v="5"/>
    <n v="1"/>
    <n v="2"/>
    <n v="3"/>
    <s v="N"/>
    <m/>
    <x v="3"/>
  </r>
  <r>
    <d v="2019-10-18T00:00:00"/>
    <m/>
    <m/>
    <s v="P"/>
    <n v="2"/>
    <s v="Road Vehicle"/>
    <n v="1"/>
    <x v="0"/>
    <x v="1"/>
    <n v="5"/>
    <x v="4"/>
    <s v="SDA CENTER"/>
    <s v="BUSHENYI"/>
    <s v="UGA"/>
    <n v="1"/>
    <s v="Home"/>
    <s v="TOWN"/>
    <s v="MBARARA"/>
    <s v="UGA"/>
    <n v="7"/>
    <s v="Hospital"/>
    <x v="32"/>
    <n v="7000"/>
    <m/>
    <x v="0"/>
    <m/>
    <x v="3"/>
    <n v="1"/>
    <s v="Unemployed"/>
    <n v="1"/>
    <x v="2"/>
    <n v="2"/>
    <n v="5"/>
    <n v="4"/>
    <n v="1"/>
    <n v="3"/>
    <s v="Y"/>
    <m/>
    <x v="3"/>
  </r>
  <r>
    <d v="2019-10-19T00:00:00"/>
    <d v="1899-12-30T11:44:00"/>
    <m/>
    <s v="D"/>
    <n v="2"/>
    <s v="Road Vehicle"/>
    <n v="1"/>
    <x v="0"/>
    <x v="0"/>
    <n v="5"/>
    <x v="4"/>
    <s v="ISHAKA"/>
    <s v="BUSHENYI"/>
    <s v="UGA"/>
    <n v="2"/>
    <s v="Work"/>
    <s v="KABAALE"/>
    <s v="KABALE"/>
    <s v="UGA"/>
    <n v="4"/>
    <s v="Commercial"/>
    <x v="17"/>
    <n v="120000"/>
    <n v="160"/>
    <x v="2"/>
    <n v="4"/>
    <x v="2"/>
    <n v="4"/>
    <s v="Office Worker"/>
    <n v="5"/>
    <x v="4"/>
    <n v="4"/>
    <n v="1"/>
    <n v="2"/>
    <n v="5"/>
    <n v="3"/>
    <s v="Y"/>
    <n v="5000"/>
    <x v="2"/>
  </r>
  <r>
    <d v="2019-10-20T00:00:00"/>
    <d v="1899-12-30T15:45:00"/>
    <m/>
    <s v="P"/>
    <n v="2"/>
    <s v="Road Vehicle"/>
    <n v="4"/>
    <x v="3"/>
    <x v="1"/>
    <n v="5"/>
    <x v="4"/>
    <s v="SHUKU"/>
    <s v="SHEEMA"/>
    <s v="UGA"/>
    <n v="4"/>
    <s v="Commercial"/>
    <s v="RUGENDABARA"/>
    <s v="KABAROLE"/>
    <s v="UGA"/>
    <n v="4"/>
    <s v="Commercial"/>
    <x v="18"/>
    <n v="18000"/>
    <m/>
    <x v="0"/>
    <n v="1.5"/>
    <x v="1"/>
    <n v="9"/>
    <s v="Retired"/>
    <n v="3"/>
    <x v="1"/>
    <n v="1"/>
    <n v="2"/>
    <n v="3"/>
    <n v="4"/>
    <n v="5"/>
    <s v="Y"/>
    <n v="1000"/>
    <x v="4"/>
  </r>
  <r>
    <d v="2019-10-19T00:00:00"/>
    <d v="1899-12-30T11:16:00"/>
    <m/>
    <s v="P"/>
    <n v="2"/>
    <s v="Road Vehicle"/>
    <n v="4"/>
    <x v="3"/>
    <x v="0"/>
    <n v="5"/>
    <x v="4"/>
    <s v="WENHUHA"/>
    <s v="MBARARA"/>
    <s v="UGA"/>
    <n v="4"/>
    <s v="Commercial"/>
    <s v="KASENYI"/>
    <s v="BUSHENYI"/>
    <s v="UGA"/>
    <n v="1"/>
    <s v="Home"/>
    <x v="3"/>
    <n v="10000"/>
    <n v="12.87"/>
    <x v="6"/>
    <n v="1"/>
    <x v="1"/>
    <n v="6"/>
    <s v="Businessman"/>
    <n v="5"/>
    <x v="4"/>
    <n v="3"/>
    <n v="2"/>
    <n v="1"/>
    <n v="4"/>
    <n v="5"/>
    <s v="Y"/>
    <n v="1000"/>
    <x v="4"/>
  </r>
  <r>
    <d v="2019-10-20T00:00:00"/>
    <d v="1899-12-30T11:25:00"/>
    <m/>
    <s v="P"/>
    <n v="2"/>
    <s v="Road Vehicle"/>
    <n v="4"/>
    <x v="3"/>
    <x v="0"/>
    <n v="5"/>
    <x v="4"/>
    <s v="NYIBINGO"/>
    <s v="BUSHENYI"/>
    <s v="UGA"/>
    <n v="6"/>
    <s v="Leisure/Social"/>
    <s v="EXCEL"/>
    <s v="RWIMI"/>
    <s v="UGA"/>
    <n v="1"/>
    <s v="Home"/>
    <x v="10"/>
    <n v="15000"/>
    <m/>
    <x v="0"/>
    <m/>
    <x v="3"/>
    <n v="1"/>
    <s v="Unemployed"/>
    <n v="1"/>
    <x v="2"/>
    <n v="2"/>
    <n v="5"/>
    <n v="3"/>
    <n v="1"/>
    <n v="4"/>
    <s v="Y"/>
    <n v="100"/>
    <x v="3"/>
  </r>
  <r>
    <d v="2019-10-20T00:00:00"/>
    <d v="1899-12-30T08:34:00"/>
    <m/>
    <s v="P"/>
    <n v="2"/>
    <s v="Road Vehicle"/>
    <n v="6"/>
    <x v="1"/>
    <x v="0"/>
    <n v="6"/>
    <x v="5"/>
    <s v="KITENDE"/>
    <s v="KAMPALA"/>
    <s v="UGA"/>
    <n v="2"/>
    <s v="Work"/>
    <s v="KAGAMBA"/>
    <s v="NTUNGAMO"/>
    <s v="UGA"/>
    <n v="1"/>
    <s v="Home"/>
    <x v="4"/>
    <n v="20000"/>
    <n v="310"/>
    <x v="3"/>
    <n v="4"/>
    <x v="2"/>
    <n v="9"/>
    <s v="Retired"/>
    <n v="4"/>
    <x v="0"/>
    <n v="4"/>
    <n v="3"/>
    <n v="1"/>
    <n v="2"/>
    <n v="5"/>
    <s v="Y"/>
    <m/>
    <x v="3"/>
  </r>
  <r>
    <d v="2019-10-21T00:00:00"/>
    <d v="1899-12-30T16:40:00"/>
    <m/>
    <s v="P"/>
    <n v="1"/>
    <s v="Walking/Cycling"/>
    <n v="13"/>
    <x v="11"/>
    <x v="0"/>
    <n v="1"/>
    <x v="0"/>
    <s v="Lwakabego"/>
    <s v="Rukungiri"/>
    <s v="UGA"/>
    <n v="2"/>
    <s v="Work"/>
    <s v="Kitimba"/>
    <s v="Rukungiri"/>
    <s v="UGA"/>
    <n v="1"/>
    <s v="Home"/>
    <x v="4"/>
    <n v="2000"/>
    <m/>
    <x v="0"/>
    <n v="0.3"/>
    <x v="3"/>
    <n v="2"/>
    <s v="Manual Labour"/>
    <n v="1"/>
    <x v="2"/>
    <n v="1"/>
    <n v="2"/>
    <n v="4"/>
    <n v="5"/>
    <n v="3"/>
    <s v="Y"/>
    <n v="10000"/>
    <x v="5"/>
  </r>
  <r>
    <d v="2019-10-23T00:00:00"/>
    <d v="1899-12-30T11:00:00"/>
    <m/>
    <s v="P"/>
    <n v="2"/>
    <s v="Road Vehicle"/>
    <n v="1"/>
    <x v="0"/>
    <x v="1"/>
    <n v="1"/>
    <x v="0"/>
    <s v="Kabale"/>
    <s v="Kabale"/>
    <s v="UGA"/>
    <n v="1"/>
    <s v="Home"/>
    <s v="Rukungiri"/>
    <s v="Rukungiri"/>
    <m/>
    <n v="8"/>
    <s v="Others"/>
    <x v="13"/>
    <n v="15000"/>
    <m/>
    <x v="0"/>
    <n v="2"/>
    <x v="0"/>
    <n v="3"/>
    <s v="Artisan/Domestic"/>
    <n v="1"/>
    <x v="2"/>
    <n v="5"/>
    <n v="4"/>
    <n v="2"/>
    <n v="1"/>
    <n v="3"/>
    <s v="Y"/>
    <n v="1000"/>
    <x v="4"/>
  </r>
  <r>
    <d v="2019-10-21T00:00:00"/>
    <d v="1899-12-30T14:20:00"/>
    <m/>
    <s v="P"/>
    <n v="2"/>
    <s v="Road Vehicle"/>
    <n v="1"/>
    <x v="0"/>
    <x v="0"/>
    <n v="1"/>
    <x v="0"/>
    <s v="Christ the King"/>
    <s v="Rukungiri"/>
    <s v="UGA"/>
    <n v="2"/>
    <s v="Work"/>
    <s v="Town"/>
    <s v="Rukungiri"/>
    <s v="UGA"/>
    <n v="1"/>
    <s v="Home"/>
    <x v="4"/>
    <n v="1000"/>
    <n v="0.5"/>
    <x v="0"/>
    <n v="0.2"/>
    <x v="3"/>
    <n v="6"/>
    <s v="Businessman"/>
    <n v="1"/>
    <x v="2"/>
    <n v="5"/>
    <n v="1"/>
    <n v="2"/>
    <n v="4"/>
    <n v="3"/>
    <s v="Y"/>
    <n v="2000"/>
    <x v="1"/>
  </r>
  <r>
    <d v="2019-10-21T00:00:00"/>
    <d v="1899-12-30T15:38:00"/>
    <m/>
    <s v="P"/>
    <n v="2"/>
    <s v="Road Vehicle"/>
    <n v="1"/>
    <x v="0"/>
    <x v="0"/>
    <n v="1"/>
    <x v="0"/>
    <s v="Rukungiri"/>
    <s v="Rukungiri"/>
    <s v="UGA"/>
    <n v="1"/>
    <s v="Home"/>
    <s v="Mbarara"/>
    <s v="Mbarara"/>
    <s v="UGA"/>
    <n v="2"/>
    <s v="Work"/>
    <x v="1"/>
    <n v="15000"/>
    <m/>
    <x v="0"/>
    <n v="4.5"/>
    <x v="2"/>
    <n v="2"/>
    <s v="Manual Labour"/>
    <n v="1"/>
    <x v="2"/>
    <m/>
    <m/>
    <m/>
    <m/>
    <m/>
    <s v="Y"/>
    <m/>
    <x v="3"/>
  </r>
  <r>
    <d v="2019-10-22T00:00:00"/>
    <d v="1899-12-30T10:01:00"/>
    <m/>
    <s v="P"/>
    <n v="2"/>
    <s v="Road Vehicle"/>
    <n v="1"/>
    <x v="0"/>
    <x v="0"/>
    <n v="1"/>
    <x v="0"/>
    <s v="Kyifunza"/>
    <s v="Rukungiri"/>
    <s v="UGA"/>
    <n v="2"/>
    <s v="Work"/>
    <s v="Nabugamba"/>
    <s v="Rukungiri"/>
    <s v="UGA"/>
    <n v="1"/>
    <s v="Home"/>
    <x v="4"/>
    <n v="1000"/>
    <n v="1"/>
    <x v="0"/>
    <n v="0.2"/>
    <x v="3"/>
    <n v="2"/>
    <s v="Manual Labour"/>
    <n v="1"/>
    <x v="2"/>
    <n v="1"/>
    <n v="2"/>
    <n v="5"/>
    <n v="4"/>
    <n v="3"/>
    <s v="N"/>
    <m/>
    <x v="3"/>
  </r>
  <r>
    <d v="2019-10-23T00:00:00"/>
    <d v="1899-12-30T10:54:00"/>
    <m/>
    <s v="P"/>
    <n v="2"/>
    <s v="Road Vehicle"/>
    <n v="1"/>
    <x v="0"/>
    <x v="0"/>
    <n v="1"/>
    <x v="0"/>
    <s v="Kampala"/>
    <s v="Kampala"/>
    <s v="UGA"/>
    <n v="1"/>
    <s v="Home"/>
    <s v="Rwenshama"/>
    <s v="Rukungiri"/>
    <m/>
    <n v="2"/>
    <s v="Work"/>
    <x v="1"/>
    <n v="50000"/>
    <m/>
    <x v="0"/>
    <n v="10.5"/>
    <x v="2"/>
    <n v="6"/>
    <s v="Businessman"/>
    <n v="4"/>
    <x v="0"/>
    <n v="1"/>
    <n v="2"/>
    <n v="4"/>
    <n v="3"/>
    <n v="5"/>
    <s v="Y"/>
    <n v="10000"/>
    <x v="5"/>
  </r>
  <r>
    <d v="2019-10-21T00:00:00"/>
    <m/>
    <m/>
    <s v="P"/>
    <n v="2"/>
    <s v="Road Vehicle"/>
    <n v="6"/>
    <x v="1"/>
    <x v="1"/>
    <n v="1"/>
    <x v="0"/>
    <s v="Rukungiri"/>
    <s v="Rukungiri"/>
    <s v="UGA"/>
    <n v="1"/>
    <s v="Home"/>
    <s v="Mbarara"/>
    <s v="Mbarara"/>
    <s v="UGA"/>
    <n v="2"/>
    <s v="Work"/>
    <x v="1"/>
    <n v="8000"/>
    <m/>
    <x v="0"/>
    <n v="2"/>
    <x v="0"/>
    <n v="2"/>
    <s v="Manual Labour"/>
    <n v="1"/>
    <x v="2"/>
    <n v="1"/>
    <n v="2"/>
    <n v="4"/>
    <n v="3"/>
    <n v="5"/>
    <s v="Y"/>
    <m/>
    <x v="3"/>
  </r>
  <r>
    <d v="2019-10-21T00:00:00"/>
    <m/>
    <m/>
    <s v="P"/>
    <n v="2"/>
    <s v="Road Vehicle"/>
    <n v="6"/>
    <x v="1"/>
    <x v="1"/>
    <n v="1"/>
    <x v="0"/>
    <s v="Rukungiri"/>
    <s v="Rukungiri"/>
    <s v="UGA"/>
    <n v="1"/>
    <s v="Home"/>
    <s v="Kampala"/>
    <s v="Kampala"/>
    <s v="UGA"/>
    <n v="2"/>
    <s v="Work"/>
    <x v="1"/>
    <n v="25000"/>
    <m/>
    <x v="0"/>
    <n v="8"/>
    <x v="2"/>
    <n v="6"/>
    <s v="Businessman"/>
    <n v="1"/>
    <x v="2"/>
    <m/>
    <m/>
    <m/>
    <m/>
    <m/>
    <s v="Y"/>
    <n v="5000"/>
    <x v="2"/>
  </r>
  <r>
    <d v="2019-10-22T00:00:00"/>
    <d v="1899-12-30T14:53:00"/>
    <m/>
    <s v="P"/>
    <n v="2"/>
    <s v="Road Vehicle"/>
    <n v="6"/>
    <x v="1"/>
    <x v="1"/>
    <n v="1"/>
    <x v="0"/>
    <s v="Rweshama"/>
    <s v="Rukungiri"/>
    <s v="UGA"/>
    <n v="2"/>
    <s v="Work"/>
    <s v="Kabalagala"/>
    <s v="Kabagala"/>
    <s v="UGA"/>
    <n v="1"/>
    <s v="Home"/>
    <x v="4"/>
    <m/>
    <n v="410"/>
    <x v="3"/>
    <n v="7.5"/>
    <x v="2"/>
    <n v="5"/>
    <s v="Professional"/>
    <n v="3"/>
    <x v="1"/>
    <n v="1"/>
    <n v="2"/>
    <n v="3"/>
    <n v="4"/>
    <n v="5"/>
    <s v="Y"/>
    <m/>
    <x v="3"/>
  </r>
  <r>
    <d v="2019-10-22T00:00:00"/>
    <d v="1899-12-30T14:42:00"/>
    <m/>
    <s v="P"/>
    <n v="2"/>
    <s v="Road Vehicle"/>
    <n v="6"/>
    <x v="1"/>
    <x v="1"/>
    <n v="1"/>
    <x v="0"/>
    <s v="Rukungiri"/>
    <s v="Rukungiri"/>
    <s v="UGA"/>
    <n v="2"/>
    <s v="Work"/>
    <s v="Kampala"/>
    <s v="Kampala"/>
    <s v="UGA"/>
    <n v="6"/>
    <s v="Leisure/Social"/>
    <x v="5"/>
    <n v="30000"/>
    <n v="400"/>
    <x v="3"/>
    <n v="8"/>
    <x v="2"/>
    <n v="6"/>
    <s v="Businessman"/>
    <n v="2"/>
    <x v="3"/>
    <n v="3"/>
    <n v="2"/>
    <n v="1"/>
    <n v="5"/>
    <n v="4"/>
    <s v="Y"/>
    <n v="1000"/>
    <x v="4"/>
  </r>
  <r>
    <d v="2019-10-22T00:00:00"/>
    <d v="1899-12-30T14:31:00"/>
    <m/>
    <s v="D"/>
    <n v="2"/>
    <s v="Road Vehicle"/>
    <n v="6"/>
    <x v="1"/>
    <x v="1"/>
    <n v="1"/>
    <x v="0"/>
    <s v="Rukungiri"/>
    <s v="Rukungiri"/>
    <s v="UGA"/>
    <n v="2"/>
    <s v="Work"/>
    <s v="Kampala"/>
    <s v="Kampala"/>
    <s v="UGA"/>
    <n v="1"/>
    <s v="Home"/>
    <x v="4"/>
    <n v="30000"/>
    <n v="400"/>
    <x v="3"/>
    <n v="8"/>
    <x v="2"/>
    <n v="7"/>
    <s v="Farmer"/>
    <n v="2"/>
    <x v="3"/>
    <n v="1"/>
    <n v="2"/>
    <n v="3"/>
    <n v="4"/>
    <n v="5"/>
    <s v="Y"/>
    <n v="500"/>
    <x v="3"/>
  </r>
  <r>
    <d v="2019-10-23T00:00:00"/>
    <d v="1899-12-30T15:33:00"/>
    <m/>
    <s v="P"/>
    <n v="2"/>
    <s v="Road Vehicle"/>
    <n v="6"/>
    <x v="1"/>
    <x v="1"/>
    <n v="1"/>
    <x v="0"/>
    <s v="Rukungiri"/>
    <s v="Rukungiri"/>
    <s v="UGA"/>
    <n v="2"/>
    <s v="Work"/>
    <s v="Kampala"/>
    <s v="Kampala"/>
    <s v="UGA"/>
    <n v="2"/>
    <s v="Work"/>
    <x v="2"/>
    <n v="30000"/>
    <n v="400"/>
    <x v="3"/>
    <n v="7.5"/>
    <x v="2"/>
    <n v="4"/>
    <s v="Office Worker"/>
    <n v="3"/>
    <x v="1"/>
    <n v="2"/>
    <n v="4"/>
    <n v="3"/>
    <n v="5"/>
    <n v="1"/>
    <s v="Y"/>
    <n v="1000"/>
    <x v="4"/>
  </r>
  <r>
    <d v="2019-10-22T00:00:00"/>
    <d v="1899-12-30T13:28:00"/>
    <m/>
    <s v="P"/>
    <n v="2"/>
    <s v="Road Vehicle"/>
    <n v="6"/>
    <x v="1"/>
    <x v="0"/>
    <n v="1"/>
    <x v="0"/>
    <s v="Kihihi"/>
    <s v="Rukungiri"/>
    <s v="UGA"/>
    <n v="2"/>
    <s v="Work"/>
    <s v="Town"/>
    <s v="Kampala"/>
    <s v="UGA"/>
    <n v="1"/>
    <s v="Home"/>
    <x v="4"/>
    <n v="30000"/>
    <n v="390"/>
    <x v="3"/>
    <n v="8.5"/>
    <x v="2"/>
    <n v="5"/>
    <s v="Professional"/>
    <n v="2"/>
    <x v="3"/>
    <n v="3"/>
    <n v="5"/>
    <n v="2"/>
    <n v="1"/>
    <n v="4"/>
    <s v="Y"/>
    <m/>
    <x v="3"/>
  </r>
  <r>
    <d v="2019-10-22T00:00:00"/>
    <m/>
    <m/>
    <s v="P"/>
    <n v="2"/>
    <s v="Road Vehicle"/>
    <n v="6"/>
    <x v="1"/>
    <x v="0"/>
    <n v="1"/>
    <x v="0"/>
    <s v="Rukungiri"/>
    <s v="Rukungiri"/>
    <s v="UGA"/>
    <n v="1"/>
    <s v="Home"/>
    <s v="Kampala"/>
    <s v="Kampala"/>
    <s v="UGA"/>
    <n v="4"/>
    <s v="Commercial"/>
    <x v="0"/>
    <n v="30000"/>
    <n v="400"/>
    <x v="3"/>
    <n v="8"/>
    <x v="2"/>
    <n v="2"/>
    <s v="Manual Labour"/>
    <n v="1"/>
    <x v="2"/>
    <n v="2"/>
    <n v="3"/>
    <n v="5"/>
    <n v="4"/>
    <n v="1"/>
    <s v="Y"/>
    <n v="3000"/>
    <x v="0"/>
  </r>
  <r>
    <d v="2019-10-23T00:00:00"/>
    <d v="1899-12-30T16:07:00"/>
    <m/>
    <s v="P"/>
    <n v="2"/>
    <s v="Road Vehicle"/>
    <n v="6"/>
    <x v="1"/>
    <x v="0"/>
    <n v="1"/>
    <x v="0"/>
    <s v="Kampala"/>
    <s v="Kampala"/>
    <s v="UGA"/>
    <n v="2"/>
    <s v="Work"/>
    <s v="Rukungiri"/>
    <s v="Rukungiri"/>
    <m/>
    <n v="1"/>
    <s v="Home"/>
    <x v="4"/>
    <n v="30000"/>
    <m/>
    <x v="0"/>
    <n v="8.5"/>
    <x v="2"/>
    <n v="2"/>
    <s v="Manual Labour"/>
    <n v="1"/>
    <x v="2"/>
    <n v="2"/>
    <n v="4"/>
    <n v="3"/>
    <n v="5"/>
    <n v="1"/>
    <s v="Y"/>
    <m/>
    <x v="3"/>
  </r>
  <r>
    <d v="2019-10-21T00:00:00"/>
    <d v="1899-12-30T16:55:00"/>
    <m/>
    <s v="D"/>
    <n v="2"/>
    <s v="Road Vehicle"/>
    <n v="7"/>
    <x v="7"/>
    <x v="0"/>
    <n v="1"/>
    <x v="0"/>
    <s v="Buhunga"/>
    <s v="Rukungiri"/>
    <s v="UGA"/>
    <n v="4"/>
    <s v="Commercial"/>
    <s v="Rukungiri"/>
    <s v="Rukungiri"/>
    <s v="UGA"/>
    <n v="4"/>
    <s v="Commercial"/>
    <x v="18"/>
    <n v="15000"/>
    <n v="8"/>
    <x v="0"/>
    <n v="0.6"/>
    <x v="4"/>
    <n v="10"/>
    <s v="Other"/>
    <n v="1"/>
    <x v="2"/>
    <n v="5"/>
    <n v="2"/>
    <n v="1"/>
    <n v="4"/>
    <n v="3"/>
    <s v="Y"/>
    <n v="1000"/>
    <x v="4"/>
  </r>
  <r>
    <d v="2019-10-21T00:00:00"/>
    <d v="1899-12-30T16:19:00"/>
    <m/>
    <s v="P"/>
    <n v="2"/>
    <s v="Road Vehicle"/>
    <n v="4"/>
    <x v="3"/>
    <x v="1"/>
    <n v="1"/>
    <x v="0"/>
    <s v="Kampala"/>
    <s v="Kampala"/>
    <s v="UGA"/>
    <n v="2"/>
    <s v="Work"/>
    <s v="Rukungiri"/>
    <s v="Rukungiri"/>
    <s v="UGA"/>
    <n v="1"/>
    <s v="Home"/>
    <x v="4"/>
    <n v="30000"/>
    <m/>
    <x v="0"/>
    <n v="9"/>
    <x v="2"/>
    <n v="6"/>
    <s v="Businessman"/>
    <n v="5"/>
    <x v="4"/>
    <n v="2"/>
    <n v="1"/>
    <n v="5"/>
    <n v="3"/>
    <n v="4"/>
    <s v="Y"/>
    <m/>
    <x v="3"/>
  </r>
  <r>
    <d v="2019-10-21T00:00:00"/>
    <d v="1899-12-30T15:15:00"/>
    <m/>
    <s v="P"/>
    <n v="2"/>
    <s v="Road Vehicle"/>
    <n v="4"/>
    <x v="3"/>
    <x v="1"/>
    <n v="1"/>
    <x v="0"/>
    <s v="Kabale"/>
    <s v="Kabale"/>
    <s v="UGA"/>
    <n v="8"/>
    <s v="Others"/>
    <s v="Rukungiri"/>
    <s v="Rukungiri"/>
    <s v="UGA"/>
    <n v="1"/>
    <s v="Home"/>
    <x v="12"/>
    <n v="15000"/>
    <m/>
    <x v="0"/>
    <n v="2"/>
    <x v="0"/>
    <n v="1"/>
    <s v="Unemployed"/>
    <n v="1"/>
    <x v="2"/>
    <n v="5"/>
    <n v="2"/>
    <n v="4"/>
    <n v="1"/>
    <n v="3"/>
    <s v="Y"/>
    <m/>
    <x v="3"/>
  </r>
  <r>
    <d v="2019-10-21T00:00:00"/>
    <m/>
    <m/>
    <s v="P"/>
    <n v="2"/>
    <s v="Road Vehicle"/>
    <n v="4"/>
    <x v="3"/>
    <x v="1"/>
    <n v="1"/>
    <x v="0"/>
    <s v="Rukungiri"/>
    <s v="Rukungiri"/>
    <s v="UGA"/>
    <n v="1"/>
    <s v="Home"/>
    <s v="Kihihi"/>
    <s v="Kanungu"/>
    <s v="UGA"/>
    <n v="6"/>
    <s v="Leisure/Social"/>
    <x v="8"/>
    <n v="10000"/>
    <m/>
    <x v="0"/>
    <n v="1.5"/>
    <x v="1"/>
    <n v="2"/>
    <s v="Manual Labour"/>
    <n v="1"/>
    <x v="2"/>
    <n v="2"/>
    <n v="3"/>
    <n v="1"/>
    <n v="5"/>
    <n v="4"/>
    <s v="Y"/>
    <n v="3000"/>
    <x v="0"/>
  </r>
  <r>
    <d v="2019-10-21T00:00:00"/>
    <m/>
    <m/>
    <s v="P"/>
    <n v="2"/>
    <s v="Road Vehicle"/>
    <n v="4"/>
    <x v="3"/>
    <x v="1"/>
    <n v="1"/>
    <x v="0"/>
    <s v="Rukungiri"/>
    <s v="Rukungiri"/>
    <s v="UGA"/>
    <n v="1"/>
    <s v="Home"/>
    <s v="Ntungamo"/>
    <s v="Ntungamo"/>
    <s v="UGA"/>
    <n v="6"/>
    <s v="Leisure/Social"/>
    <x v="8"/>
    <n v="5000"/>
    <m/>
    <x v="0"/>
    <n v="1"/>
    <x v="1"/>
    <n v="2"/>
    <s v="Manual Labour"/>
    <n v="1"/>
    <x v="2"/>
    <n v="2"/>
    <n v="3"/>
    <n v="1"/>
    <n v="5"/>
    <n v="4"/>
    <s v="Y"/>
    <n v="5000"/>
    <x v="2"/>
  </r>
  <r>
    <d v="2019-10-21T00:00:00"/>
    <m/>
    <m/>
    <s v="P"/>
    <n v="2"/>
    <s v="Road Vehicle"/>
    <n v="4"/>
    <x v="3"/>
    <x v="1"/>
    <n v="1"/>
    <x v="0"/>
    <s v="Rukungiri"/>
    <s v="Rukungiri"/>
    <s v="UGA"/>
    <n v="1"/>
    <s v="Home"/>
    <s v="Ntungamo"/>
    <s v="Ntungamo"/>
    <s v="UGA"/>
    <n v="2"/>
    <s v="Work"/>
    <x v="1"/>
    <n v="5000"/>
    <m/>
    <x v="0"/>
    <n v="2"/>
    <x v="0"/>
    <n v="7"/>
    <s v="Farmer"/>
    <n v="1"/>
    <x v="2"/>
    <n v="1"/>
    <n v="3"/>
    <n v="2"/>
    <n v="5"/>
    <n v="4"/>
    <s v="Y"/>
    <n v="10000"/>
    <x v="5"/>
  </r>
  <r>
    <d v="2019-10-21T00:00:00"/>
    <m/>
    <m/>
    <s v="P"/>
    <n v="2"/>
    <s v="Road Vehicle"/>
    <n v="4"/>
    <x v="3"/>
    <x v="1"/>
    <n v="1"/>
    <x v="0"/>
    <s v="Rukungiri"/>
    <s v="Rukungiri"/>
    <s v="UGA"/>
    <n v="2"/>
    <s v="Work"/>
    <s v="Mbarara"/>
    <s v="Mbarara"/>
    <s v="UGA"/>
    <n v="1"/>
    <s v="Home"/>
    <x v="4"/>
    <n v="10000"/>
    <m/>
    <x v="0"/>
    <n v="1.5"/>
    <x v="1"/>
    <n v="2"/>
    <s v="Manual Labour"/>
    <n v="1"/>
    <x v="2"/>
    <m/>
    <m/>
    <m/>
    <m/>
    <m/>
    <s v="Y"/>
    <n v="7000"/>
    <x v="2"/>
  </r>
  <r>
    <d v="2019-10-22T00:00:00"/>
    <d v="1899-12-30T09:51:00"/>
    <m/>
    <s v="P"/>
    <n v="2"/>
    <s v="Road Vehicle"/>
    <n v="4"/>
    <x v="3"/>
    <x v="1"/>
    <n v="1"/>
    <x v="0"/>
    <s v="Bunurwasero"/>
    <s v="Rukungiri"/>
    <s v="UGA"/>
    <n v="1"/>
    <s v="Home"/>
    <s v="Guild stage"/>
    <s v="Rukungiri"/>
    <s v="UGA"/>
    <n v="2"/>
    <s v="Work"/>
    <x v="1"/>
    <n v="2000"/>
    <n v="1"/>
    <x v="0"/>
    <n v="0.3"/>
    <x v="3"/>
    <n v="3"/>
    <s v="Artisan/Domestic"/>
    <n v="1"/>
    <x v="2"/>
    <n v="2"/>
    <n v="1"/>
    <n v="3"/>
    <n v="4"/>
    <n v="5"/>
    <s v="Y"/>
    <m/>
    <x v="3"/>
  </r>
  <r>
    <d v="2019-10-22T00:00:00"/>
    <m/>
    <m/>
    <s v="P"/>
    <n v="2"/>
    <s v="Road Vehicle"/>
    <n v="4"/>
    <x v="3"/>
    <x v="1"/>
    <n v="1"/>
    <x v="0"/>
    <s v="Rukungiri"/>
    <s v="Rukungiri"/>
    <s v="UGA"/>
    <n v="1"/>
    <s v="Home"/>
    <s v="Kihihi"/>
    <s v="Kanungu"/>
    <s v="UGA"/>
    <n v="5"/>
    <s v="Tourism"/>
    <x v="20"/>
    <n v="10000"/>
    <n v="120"/>
    <x v="2"/>
    <n v="2"/>
    <x v="0"/>
    <n v="6"/>
    <s v="Businessman"/>
    <n v="2"/>
    <x v="3"/>
    <n v="3"/>
    <n v="4"/>
    <n v="5"/>
    <n v="2"/>
    <n v="1"/>
    <s v="Y"/>
    <n v="3000"/>
    <x v="0"/>
  </r>
  <r>
    <d v="2019-10-22T00:00:00"/>
    <m/>
    <m/>
    <s v="P"/>
    <n v="2"/>
    <s v="Road Vehicle"/>
    <n v="4"/>
    <x v="3"/>
    <x v="1"/>
    <n v="1"/>
    <x v="0"/>
    <s v="Rukungiri"/>
    <s v="Rukungiri"/>
    <s v="UGA"/>
    <n v="1"/>
    <s v="Home"/>
    <s v="Bugangari"/>
    <s v="Rukungiri"/>
    <s v="UGA"/>
    <n v="2"/>
    <s v="Work"/>
    <x v="1"/>
    <n v="5000"/>
    <n v="57"/>
    <x v="5"/>
    <n v="1"/>
    <x v="1"/>
    <n v="2"/>
    <s v="Manual Labour"/>
    <n v="2"/>
    <x v="3"/>
    <n v="3"/>
    <n v="2"/>
    <n v="5"/>
    <n v="4"/>
    <n v="1"/>
    <s v="Y"/>
    <n v="3000"/>
    <x v="0"/>
  </r>
  <r>
    <d v="2019-10-22T00:00:00"/>
    <m/>
    <m/>
    <s v="P"/>
    <n v="2"/>
    <s v="Road Vehicle"/>
    <n v="4"/>
    <x v="3"/>
    <x v="1"/>
    <n v="1"/>
    <x v="0"/>
    <s v="Rukungiri"/>
    <s v="Rukungiri"/>
    <s v="UGA"/>
    <n v="1"/>
    <s v="Home"/>
    <s v="Bwashameii"/>
    <s v="Rukungiri"/>
    <s v="UGA"/>
    <n v="2"/>
    <s v="Work"/>
    <x v="1"/>
    <n v="5000"/>
    <n v="70"/>
    <x v="1"/>
    <n v="1"/>
    <x v="1"/>
    <n v="2"/>
    <s v="Manual Labour"/>
    <n v="1"/>
    <x v="2"/>
    <n v="2"/>
    <n v="4"/>
    <n v="5"/>
    <n v="1"/>
    <n v="3"/>
    <s v="Y"/>
    <n v="1000"/>
    <x v="4"/>
  </r>
  <r>
    <d v="2019-10-22T00:00:00"/>
    <m/>
    <m/>
    <s v="P"/>
    <n v="2"/>
    <s v="Road Vehicle"/>
    <n v="4"/>
    <x v="3"/>
    <x v="1"/>
    <n v="1"/>
    <x v="0"/>
    <s v="Rukungiri"/>
    <s v="Rukungiri"/>
    <s v="UGA"/>
    <n v="1"/>
    <s v="Home"/>
    <s v="Nyamunuka"/>
    <s v="Rukungiri"/>
    <s v="UGA"/>
    <n v="2"/>
    <s v="Work"/>
    <x v="1"/>
    <n v="3000"/>
    <n v="50"/>
    <x v="5"/>
    <n v="0.5"/>
    <x v="4"/>
    <n v="2"/>
    <s v="Manual Labour"/>
    <n v="1"/>
    <x v="2"/>
    <n v="2"/>
    <n v="3"/>
    <n v="5"/>
    <n v="1"/>
    <n v="4"/>
    <s v="Y"/>
    <n v="1000"/>
    <x v="4"/>
  </r>
  <r>
    <d v="2019-10-22T00:00:00"/>
    <m/>
    <m/>
    <s v="P"/>
    <n v="2"/>
    <s v="Road Vehicle"/>
    <n v="4"/>
    <x v="3"/>
    <x v="1"/>
    <n v="1"/>
    <x v="0"/>
    <s v="Rukungiri"/>
    <s v="Rukungiri"/>
    <s v="UGA"/>
    <n v="1"/>
    <s v="Home"/>
    <s v="Butogote"/>
    <s v="Kanungu"/>
    <s v="UGA"/>
    <n v="6"/>
    <s v="Leisure/Social"/>
    <x v="8"/>
    <n v="7000"/>
    <m/>
    <x v="0"/>
    <n v="1"/>
    <x v="1"/>
    <n v="3"/>
    <s v="Artisan/Domestic"/>
    <n v="1"/>
    <x v="2"/>
    <n v="3"/>
    <n v="2"/>
    <n v="1"/>
    <n v="4"/>
    <n v="5"/>
    <s v="Y"/>
    <n v="3000"/>
    <x v="0"/>
  </r>
  <r>
    <d v="2019-10-22T00:00:00"/>
    <m/>
    <m/>
    <s v="P"/>
    <n v="2"/>
    <s v="Road Vehicle"/>
    <n v="4"/>
    <x v="3"/>
    <x v="1"/>
    <n v="1"/>
    <x v="0"/>
    <s v="Masaka"/>
    <s v="Masaka"/>
    <s v="UGA"/>
    <n v="1"/>
    <s v="Home"/>
    <s v="Rukungiri"/>
    <s v="Rukungiri"/>
    <s v="UGA"/>
    <n v="6"/>
    <s v="Leisure/Social"/>
    <x v="8"/>
    <n v="30000"/>
    <m/>
    <x v="0"/>
    <n v="5"/>
    <x v="2"/>
    <n v="7"/>
    <s v="Farmer"/>
    <n v="1"/>
    <x v="2"/>
    <n v="3"/>
    <n v="4"/>
    <n v="2"/>
    <n v="1"/>
    <n v="5"/>
    <s v="Y"/>
    <m/>
    <x v="3"/>
  </r>
  <r>
    <d v="2019-10-22T00:00:00"/>
    <m/>
    <m/>
    <s v="P"/>
    <n v="2"/>
    <s v="Road Vehicle"/>
    <n v="4"/>
    <x v="3"/>
    <x v="1"/>
    <n v="1"/>
    <x v="0"/>
    <s v="Rukungiri"/>
    <s v="Rukungiri"/>
    <s v="UGA"/>
    <n v="1"/>
    <s v="Home"/>
    <s v="Ruhinda"/>
    <s v="Rukungiri"/>
    <s v="UGA"/>
    <n v="2"/>
    <s v="Work"/>
    <x v="1"/>
    <n v="2000"/>
    <n v="10"/>
    <x v="6"/>
    <n v="0.7"/>
    <x v="4"/>
    <n v="2"/>
    <s v="Manual Labour"/>
    <n v="2"/>
    <x v="3"/>
    <n v="3"/>
    <n v="2"/>
    <n v="1"/>
    <n v="5"/>
    <n v="4"/>
    <s v="Y"/>
    <n v="1000"/>
    <x v="4"/>
  </r>
  <r>
    <d v="2019-10-23T00:00:00"/>
    <d v="1899-12-30T12:57:00"/>
    <m/>
    <s v="P"/>
    <n v="2"/>
    <s v="Road Vehicle"/>
    <n v="4"/>
    <x v="3"/>
    <x v="1"/>
    <n v="1"/>
    <x v="0"/>
    <s v="Town"/>
    <s v="Kabale"/>
    <s v="UGA"/>
    <n v="2"/>
    <s v="Work"/>
    <s v="Bwabala"/>
    <s v="Rukungiri"/>
    <s v="UGA"/>
    <n v="1"/>
    <s v="Home"/>
    <x v="4"/>
    <n v="5000"/>
    <n v="15"/>
    <x v="6"/>
    <n v="2"/>
    <x v="0"/>
    <n v="7"/>
    <s v="Farmer"/>
    <n v="1"/>
    <x v="2"/>
    <n v="2"/>
    <n v="1"/>
    <n v="3"/>
    <n v="4"/>
    <n v="5"/>
    <s v="Y"/>
    <m/>
    <x v="3"/>
  </r>
  <r>
    <d v="2019-10-23T00:00:00"/>
    <m/>
    <m/>
    <s v="P"/>
    <n v="2"/>
    <s v="Road Vehicle"/>
    <n v="4"/>
    <x v="3"/>
    <x v="1"/>
    <n v="1"/>
    <x v="0"/>
    <s v="Rukungiri"/>
    <s v="Rukungiri"/>
    <s v="UGA"/>
    <n v="1"/>
    <s v="Home"/>
    <s v="Rwerere"/>
    <s v="Rukungiri"/>
    <s v="UGA"/>
    <n v="2"/>
    <s v="Work"/>
    <x v="1"/>
    <n v="3000"/>
    <n v="10"/>
    <x v="6"/>
    <n v="1"/>
    <x v="1"/>
    <n v="2"/>
    <s v="Manual Labour"/>
    <n v="1"/>
    <x v="2"/>
    <n v="2"/>
    <n v="5"/>
    <n v="4"/>
    <n v="3"/>
    <n v="1"/>
    <s v="Y"/>
    <n v="3000"/>
    <x v="0"/>
  </r>
  <r>
    <d v="2019-10-23T00:00:00"/>
    <d v="1899-12-30T08:21:00"/>
    <m/>
    <s v="P"/>
    <n v="2"/>
    <s v="Road Vehicle"/>
    <n v="4"/>
    <x v="3"/>
    <x v="1"/>
    <n v="1"/>
    <x v="0"/>
    <s v="Rukungiri"/>
    <s v="Rukungiri"/>
    <s v="UGA"/>
    <n v="1"/>
    <s v="Home"/>
    <s v="Kinoni"/>
    <s v="Masaka"/>
    <m/>
    <n v="1"/>
    <s v="Home"/>
    <x v="16"/>
    <n v="25000"/>
    <m/>
    <x v="0"/>
    <n v="7"/>
    <x v="2"/>
    <n v="1"/>
    <s v="Unemployed"/>
    <n v="1"/>
    <x v="2"/>
    <m/>
    <m/>
    <m/>
    <m/>
    <m/>
    <s v="Y"/>
    <m/>
    <x v="3"/>
  </r>
  <r>
    <d v="2019-10-23T00:00:00"/>
    <d v="1899-12-30T08:41:00"/>
    <m/>
    <s v="P"/>
    <n v="2"/>
    <s v="Road Vehicle"/>
    <n v="4"/>
    <x v="3"/>
    <x v="1"/>
    <n v="1"/>
    <x v="0"/>
    <s v="Rukungiri"/>
    <s v="Rukungiri"/>
    <s v="UGA"/>
    <n v="1"/>
    <s v="Home"/>
    <s v="Kampala"/>
    <s v="Kampala"/>
    <m/>
    <n v="2"/>
    <s v="Work"/>
    <x v="1"/>
    <n v="30000"/>
    <m/>
    <x v="0"/>
    <n v="9"/>
    <x v="2"/>
    <n v="3"/>
    <s v="Artisan/Domestic"/>
    <n v="1"/>
    <x v="2"/>
    <n v="1"/>
    <n v="2"/>
    <n v="5"/>
    <n v="3"/>
    <n v="4"/>
    <s v="Y"/>
    <m/>
    <x v="3"/>
  </r>
  <r>
    <d v="2019-10-23T00:00:00"/>
    <d v="1899-12-30T16:15:00"/>
    <m/>
    <s v="P"/>
    <n v="2"/>
    <s v="Road Vehicle"/>
    <n v="4"/>
    <x v="3"/>
    <x v="1"/>
    <n v="1"/>
    <x v="0"/>
    <s v="Ntungamo"/>
    <s v="Ntungamo"/>
    <s v="UGA"/>
    <n v="1"/>
    <s v="Home"/>
    <s v="Rukungiri"/>
    <s v="Rukungiri"/>
    <m/>
    <n v="2"/>
    <s v="Work"/>
    <x v="1"/>
    <n v="6000"/>
    <m/>
    <x v="0"/>
    <n v="0.7"/>
    <x v="4"/>
    <n v="4"/>
    <s v="Office Worker"/>
    <n v="2"/>
    <x v="3"/>
    <n v="4"/>
    <n v="5"/>
    <n v="1"/>
    <n v="3"/>
    <n v="2"/>
    <s v="Y"/>
    <n v="2000"/>
    <x v="1"/>
  </r>
  <r>
    <d v="2019-10-21T00:00:00"/>
    <d v="1899-12-30T14:35:00"/>
    <m/>
    <s v="P"/>
    <n v="2"/>
    <s v="Road Vehicle"/>
    <n v="4"/>
    <x v="3"/>
    <x v="0"/>
    <n v="1"/>
    <x v="0"/>
    <s v="Wamahwa"/>
    <s v="Rukungiri"/>
    <s v="UGA"/>
    <n v="2"/>
    <s v="Work"/>
    <s v="Town"/>
    <s v="Rukungiri"/>
    <s v="UGA"/>
    <n v="1"/>
    <s v="Home"/>
    <x v="4"/>
    <n v="1000"/>
    <n v="0.5"/>
    <x v="0"/>
    <n v="0.2"/>
    <x v="3"/>
    <n v="2"/>
    <s v="Manual Labour"/>
    <n v="1"/>
    <x v="2"/>
    <n v="1"/>
    <n v="5"/>
    <n v="2"/>
    <n v="4"/>
    <n v="3"/>
    <s v="Y"/>
    <n v="500"/>
    <x v="3"/>
  </r>
  <r>
    <d v="2019-10-21T00:00:00"/>
    <d v="1899-12-30T16:00:00"/>
    <m/>
    <s v="P"/>
    <n v="2"/>
    <s v="Road Vehicle"/>
    <n v="4"/>
    <x v="3"/>
    <x v="0"/>
    <n v="1"/>
    <x v="0"/>
    <s v="Kiltilti"/>
    <s v="Kanungu"/>
    <s v="UGA"/>
    <n v="1"/>
    <s v="Home"/>
    <s v="Rukungiri"/>
    <s v="Rukungiri"/>
    <s v="UGA"/>
    <n v="2"/>
    <s v="Work"/>
    <x v="1"/>
    <n v="15000"/>
    <m/>
    <x v="0"/>
    <n v="3"/>
    <x v="0"/>
    <n v="2"/>
    <s v="Manual Labour"/>
    <n v="1"/>
    <x v="2"/>
    <n v="4"/>
    <n v="2"/>
    <n v="1"/>
    <n v="3"/>
    <n v="5"/>
    <s v="Y"/>
    <m/>
    <x v="3"/>
  </r>
  <r>
    <d v="2019-10-21T00:00:00"/>
    <d v="1899-12-30T17:07:00"/>
    <m/>
    <s v="P"/>
    <n v="2"/>
    <s v="Road Vehicle"/>
    <n v="4"/>
    <x v="3"/>
    <x v="0"/>
    <n v="1"/>
    <x v="0"/>
    <s v="Kihindi"/>
    <s v="Rukungiri"/>
    <s v="UGA"/>
    <n v="1"/>
    <s v="Home"/>
    <s v="Rukungiri"/>
    <s v="Rukungiri"/>
    <s v="UGA"/>
    <n v="2"/>
    <s v="Work"/>
    <x v="1"/>
    <n v="1000"/>
    <m/>
    <x v="0"/>
    <n v="0.1"/>
    <x v="3"/>
    <n v="2"/>
    <s v="Manual Labour"/>
    <n v="2"/>
    <x v="3"/>
    <n v="2"/>
    <n v="1"/>
    <n v="5"/>
    <n v="3"/>
    <n v="4"/>
    <s v="Y"/>
    <m/>
    <x v="3"/>
  </r>
  <r>
    <d v="2019-10-21T00:00:00"/>
    <d v="1899-12-30T16:43:00"/>
    <m/>
    <s v="P"/>
    <n v="2"/>
    <s v="Road Vehicle"/>
    <n v="4"/>
    <x v="3"/>
    <x v="0"/>
    <n v="1"/>
    <x v="0"/>
    <s v="Sheema"/>
    <s v="Sheema"/>
    <s v="UGA"/>
    <n v="1"/>
    <s v="Home"/>
    <s v="Rukungiri"/>
    <s v="Rukungiri"/>
    <s v="UGA"/>
    <n v="2"/>
    <s v="Work"/>
    <x v="1"/>
    <n v="10000"/>
    <m/>
    <x v="0"/>
    <n v="2"/>
    <x v="0"/>
    <n v="2"/>
    <s v="Manual Labour"/>
    <n v="1"/>
    <x v="2"/>
    <n v="5"/>
    <n v="1"/>
    <n v="4"/>
    <n v="2"/>
    <n v="3"/>
    <s v="Y"/>
    <n v="1000"/>
    <x v="4"/>
  </r>
  <r>
    <d v="2019-10-21T00:00:00"/>
    <m/>
    <m/>
    <s v="P"/>
    <n v="2"/>
    <s v="Road Vehicle"/>
    <n v="4"/>
    <x v="3"/>
    <x v="0"/>
    <n v="1"/>
    <x v="0"/>
    <s v="Rukungiri"/>
    <s v="Rukungiri"/>
    <s v="UGA"/>
    <n v="1"/>
    <s v="Home"/>
    <s v="Ntungamo"/>
    <s v="Ntungamo"/>
    <s v="UGA"/>
    <n v="4"/>
    <s v="Commercial"/>
    <x v="0"/>
    <n v="5000"/>
    <m/>
    <x v="0"/>
    <n v="1"/>
    <x v="1"/>
    <n v="3"/>
    <s v="Artisan/Domestic"/>
    <n v="2"/>
    <x v="3"/>
    <n v="2"/>
    <n v="5"/>
    <n v="4"/>
    <n v="3"/>
    <n v="1"/>
    <s v="Y"/>
    <n v="10000"/>
    <x v="5"/>
  </r>
  <r>
    <d v="2019-10-21T00:00:00"/>
    <m/>
    <m/>
    <s v="P"/>
    <n v="2"/>
    <s v="Road Vehicle"/>
    <n v="4"/>
    <x v="3"/>
    <x v="0"/>
    <n v="1"/>
    <x v="0"/>
    <s v="Rukungiri"/>
    <s v="Rukungiri"/>
    <s v="UGA"/>
    <n v="1"/>
    <s v="Home"/>
    <s v="Ntungamo"/>
    <s v="Ntungamo"/>
    <s v="UGA"/>
    <n v="2"/>
    <s v="Work"/>
    <x v="1"/>
    <n v="5000"/>
    <m/>
    <x v="0"/>
    <n v="1"/>
    <x v="1"/>
    <n v="6"/>
    <s v="Businessman"/>
    <n v="1"/>
    <x v="2"/>
    <n v="1"/>
    <n v="3"/>
    <n v="4"/>
    <n v="5"/>
    <n v="2"/>
    <s v="Y"/>
    <m/>
    <x v="3"/>
  </r>
  <r>
    <d v="2019-10-21T00:00:00"/>
    <m/>
    <m/>
    <s v="P"/>
    <n v="2"/>
    <s v="Road Vehicle"/>
    <n v="4"/>
    <x v="3"/>
    <x v="0"/>
    <n v="1"/>
    <x v="0"/>
    <s v="Rukungiri"/>
    <s v="Rukungiri"/>
    <s v="UGA"/>
    <n v="1"/>
    <s v="Home"/>
    <s v="Mbarara"/>
    <s v="Mbarara"/>
    <s v="UGA"/>
    <n v="1"/>
    <s v="Home"/>
    <x v="16"/>
    <n v="15000"/>
    <n v="80"/>
    <x v="1"/>
    <n v="2.5"/>
    <x v="0"/>
    <n v="6"/>
    <s v="Businessman"/>
    <n v="1"/>
    <x v="2"/>
    <m/>
    <m/>
    <m/>
    <m/>
    <m/>
    <s v="Y"/>
    <n v="1000"/>
    <x v="4"/>
  </r>
  <r>
    <d v="2019-10-21T00:00:00"/>
    <m/>
    <m/>
    <s v="P"/>
    <n v="2"/>
    <s v="Road Vehicle"/>
    <n v="4"/>
    <x v="3"/>
    <x v="0"/>
    <n v="1"/>
    <x v="0"/>
    <s v="Rukungiri"/>
    <s v="Rukungiri"/>
    <s v="UGA"/>
    <n v="1"/>
    <s v="Home"/>
    <s v="Mbarara"/>
    <s v="Mbarara"/>
    <s v="UGA"/>
    <n v="2"/>
    <s v="Work"/>
    <x v="1"/>
    <n v="10000"/>
    <n v="80"/>
    <x v="1"/>
    <n v="3"/>
    <x v="0"/>
    <n v="3"/>
    <s v="Artisan/Domestic"/>
    <n v="1"/>
    <x v="2"/>
    <m/>
    <m/>
    <m/>
    <m/>
    <m/>
    <s v="Y"/>
    <n v="1000"/>
    <x v="4"/>
  </r>
  <r>
    <d v="2019-10-21T00:00:00"/>
    <m/>
    <m/>
    <s v="P"/>
    <n v="2"/>
    <s v="Road Vehicle"/>
    <n v="4"/>
    <x v="3"/>
    <x v="0"/>
    <n v="1"/>
    <x v="0"/>
    <s v="Rukungiri"/>
    <s v="Rukungiri"/>
    <s v="UGA"/>
    <n v="1"/>
    <s v="Home"/>
    <s v="Mbarara"/>
    <s v="Mbarara"/>
    <s v="UGA"/>
    <n v="5"/>
    <s v="Tourism"/>
    <x v="20"/>
    <n v="12000"/>
    <n v="80"/>
    <x v="1"/>
    <n v="2.5"/>
    <x v="0"/>
    <n v="7"/>
    <s v="Farmer"/>
    <n v="2"/>
    <x v="3"/>
    <n v="1"/>
    <n v="3"/>
    <n v="2"/>
    <n v="5"/>
    <n v="4"/>
    <s v="Y"/>
    <n v="5000"/>
    <x v="2"/>
  </r>
  <r>
    <d v="2019-10-21T00:00:00"/>
    <m/>
    <m/>
    <s v="P"/>
    <n v="2"/>
    <s v="Road Vehicle"/>
    <n v="4"/>
    <x v="3"/>
    <x v="0"/>
    <n v="1"/>
    <x v="0"/>
    <s v="Rukungiri"/>
    <s v="Rukungiri"/>
    <s v="UGA"/>
    <n v="1"/>
    <s v="Home"/>
    <s v="Mbarara"/>
    <s v="Mbarara"/>
    <s v="UGA"/>
    <n v="5"/>
    <s v="Tourism"/>
    <x v="20"/>
    <n v="10000"/>
    <m/>
    <x v="0"/>
    <n v="1.5"/>
    <x v="1"/>
    <n v="2"/>
    <s v="Manual Labour"/>
    <n v="1"/>
    <x v="2"/>
    <n v="3"/>
    <n v="4"/>
    <n v="1"/>
    <n v="2"/>
    <n v="5"/>
    <s v="Y"/>
    <n v="1000"/>
    <x v="4"/>
  </r>
  <r>
    <d v="2019-10-21T00:00:00"/>
    <m/>
    <m/>
    <s v="P"/>
    <n v="2"/>
    <s v="Road Vehicle"/>
    <n v="4"/>
    <x v="3"/>
    <x v="0"/>
    <n v="1"/>
    <x v="0"/>
    <s v="Rukungiri"/>
    <s v="Rukungiri"/>
    <s v="UGA"/>
    <n v="1"/>
    <s v="Home"/>
    <s v="Ruhinda"/>
    <s v="Rukungiri"/>
    <s v="UGA"/>
    <n v="1"/>
    <s v="Home"/>
    <x v="16"/>
    <n v="2000"/>
    <n v="8"/>
    <x v="0"/>
    <n v="1"/>
    <x v="1"/>
    <n v="5"/>
    <s v="Professional"/>
    <n v="2"/>
    <x v="3"/>
    <n v="2"/>
    <n v="3"/>
    <n v="5"/>
    <n v="1"/>
    <n v="4"/>
    <s v="Y"/>
    <n v="1000"/>
    <x v="4"/>
  </r>
  <r>
    <d v="2019-10-22T00:00:00"/>
    <d v="1899-12-30T16:03:00"/>
    <m/>
    <s v="P"/>
    <n v="2"/>
    <s v="Road Vehicle"/>
    <n v="4"/>
    <x v="3"/>
    <x v="0"/>
    <n v="1"/>
    <x v="0"/>
    <s v="Wakabengo"/>
    <s v="Rukungiri"/>
    <s v="UGA"/>
    <n v="3"/>
    <s v="Study"/>
    <s v="Kakiiku"/>
    <s v="Mbarara"/>
    <s v="UGA"/>
    <n v="1"/>
    <s v="Home"/>
    <x v="9"/>
    <n v="15000"/>
    <n v="120"/>
    <x v="2"/>
    <n v="4"/>
    <x v="2"/>
    <n v="8"/>
    <s v="Student"/>
    <n v="1"/>
    <x v="2"/>
    <n v="2"/>
    <n v="1"/>
    <n v="5"/>
    <n v="4"/>
    <n v="3"/>
    <s v="Y"/>
    <m/>
    <x v="3"/>
  </r>
  <r>
    <d v="2019-10-22T00:00:00"/>
    <d v="1899-12-30T13:40:00"/>
    <m/>
    <s v="P"/>
    <n v="2"/>
    <s v="Road Vehicle"/>
    <n v="4"/>
    <x v="3"/>
    <x v="0"/>
    <n v="1"/>
    <x v="0"/>
    <s v="Nabugabo"/>
    <s v="Rukungiri"/>
    <s v="UGA"/>
    <n v="3"/>
    <s v="Study"/>
    <s v="Rwerere"/>
    <s v="Rukungiri"/>
    <s v="UGA"/>
    <n v="1"/>
    <s v="Home"/>
    <x v="9"/>
    <n v="3000"/>
    <n v="1.5"/>
    <x v="0"/>
    <n v="0.7"/>
    <x v="4"/>
    <n v="1"/>
    <s v="Unemployed"/>
    <n v="1"/>
    <x v="2"/>
    <n v="2"/>
    <n v="1"/>
    <n v="5"/>
    <n v="4"/>
    <n v="3"/>
    <s v="Y"/>
    <n v="500"/>
    <x v="3"/>
  </r>
  <r>
    <d v="2019-10-22T00:00:00"/>
    <m/>
    <m/>
    <s v="P"/>
    <n v="2"/>
    <s v="Road Vehicle"/>
    <n v="4"/>
    <x v="3"/>
    <x v="0"/>
    <n v="1"/>
    <x v="0"/>
    <s v="Rukungiri"/>
    <s v="Rukungiri"/>
    <s v="UGA"/>
    <n v="1"/>
    <s v="Home"/>
    <s v="Bwambara"/>
    <s v="Rukungiri"/>
    <s v="UGA"/>
    <n v="4"/>
    <s v="Commercial"/>
    <x v="0"/>
    <n v="7000"/>
    <n v="80"/>
    <x v="1"/>
    <n v="1.5"/>
    <x v="1"/>
    <n v="2"/>
    <s v="Manual Labour"/>
    <n v="1"/>
    <x v="2"/>
    <n v="3"/>
    <n v="4"/>
    <n v="1"/>
    <n v="2"/>
    <n v="5"/>
    <s v="Y"/>
    <n v="2000"/>
    <x v="1"/>
  </r>
  <r>
    <d v="2019-10-22T00:00:00"/>
    <m/>
    <m/>
    <s v="P"/>
    <n v="2"/>
    <s v="Road Vehicle"/>
    <n v="4"/>
    <x v="3"/>
    <x v="0"/>
    <n v="1"/>
    <x v="0"/>
    <s v="Rukungiri"/>
    <s v="Rukungiri"/>
    <s v="UGA"/>
    <n v="2"/>
    <s v="Work"/>
    <s v="Kampala"/>
    <s v="Kampala"/>
    <s v="UGA"/>
    <n v="1"/>
    <s v="Home"/>
    <x v="4"/>
    <n v="30000"/>
    <n v="380"/>
    <x v="3"/>
    <n v="7.5"/>
    <x v="2"/>
    <n v="4"/>
    <s v="Office Worker"/>
    <n v="2"/>
    <x v="3"/>
    <n v="1"/>
    <n v="5"/>
    <n v="3"/>
    <n v="2"/>
    <n v="4"/>
    <s v="Y"/>
    <n v="4000"/>
    <x v="0"/>
  </r>
  <r>
    <d v="2019-10-22T00:00:00"/>
    <m/>
    <m/>
    <s v="P"/>
    <n v="2"/>
    <s v="Road Vehicle"/>
    <n v="4"/>
    <x v="3"/>
    <x v="0"/>
    <n v="1"/>
    <x v="0"/>
    <s v="Rukungiri"/>
    <s v="Rukungiri"/>
    <s v="UGA"/>
    <n v="1"/>
    <s v="Home"/>
    <s v="Kampala"/>
    <s v="Kampala"/>
    <s v="UGA"/>
    <n v="4"/>
    <s v="Commercial"/>
    <x v="0"/>
    <n v="30000"/>
    <n v="400"/>
    <x v="3"/>
    <n v="7"/>
    <x v="2"/>
    <n v="3"/>
    <s v="Artisan/Domestic"/>
    <n v="2"/>
    <x v="3"/>
    <n v="2"/>
    <n v="3"/>
    <n v="5"/>
    <n v="1"/>
    <n v="4"/>
    <s v="Y"/>
    <n v="4000"/>
    <x v="0"/>
  </r>
  <r>
    <d v="2019-10-22T00:00:00"/>
    <m/>
    <m/>
    <s v="P"/>
    <n v="2"/>
    <s v="Road Vehicle"/>
    <n v="4"/>
    <x v="3"/>
    <x v="0"/>
    <n v="1"/>
    <x v="0"/>
    <s v="Rukungiri"/>
    <s v="Rukungiri"/>
    <s v="UGA"/>
    <n v="1"/>
    <s v="Home"/>
    <s v="Kampala"/>
    <s v="Kampala"/>
    <s v="UGA"/>
    <n v="6"/>
    <s v="Leisure/Social"/>
    <x v="8"/>
    <n v="25000"/>
    <n v="400"/>
    <x v="3"/>
    <n v="6"/>
    <x v="2"/>
    <n v="5"/>
    <s v="Professional"/>
    <n v="1"/>
    <x v="2"/>
    <m/>
    <m/>
    <m/>
    <m/>
    <m/>
    <s v="Y"/>
    <n v="1000"/>
    <x v="4"/>
  </r>
  <r>
    <d v="2019-10-23T00:00:00"/>
    <d v="1899-12-30T13:01:00"/>
    <m/>
    <s v="P"/>
    <n v="2"/>
    <s v="Road Vehicle"/>
    <n v="4"/>
    <x v="3"/>
    <x v="0"/>
    <n v="1"/>
    <x v="0"/>
    <s v="Buyanja"/>
    <s v="Rukungiri"/>
    <s v="UGA"/>
    <n v="2"/>
    <s v="Work"/>
    <s v="Omulutale"/>
    <s v="Rukungiri"/>
    <s v="UGA"/>
    <n v="2"/>
    <s v="Work"/>
    <x v="2"/>
    <n v="1000"/>
    <n v="10"/>
    <x v="6"/>
    <n v="0.3"/>
    <x v="3"/>
    <n v="2"/>
    <s v="Manual Labour"/>
    <n v="1"/>
    <x v="2"/>
    <n v="1"/>
    <n v="2"/>
    <n v="3"/>
    <n v="5"/>
    <n v="4"/>
    <s v="Y"/>
    <m/>
    <x v="3"/>
  </r>
  <r>
    <d v="2019-10-23T00:00:00"/>
    <m/>
    <m/>
    <s v="P"/>
    <n v="2"/>
    <s v="Road Vehicle"/>
    <n v="4"/>
    <x v="3"/>
    <x v="0"/>
    <n v="1"/>
    <x v="0"/>
    <s v="Rukungiri"/>
    <s v="Rukungiri"/>
    <s v="UGA"/>
    <n v="2"/>
    <s v="Work"/>
    <s v="Mutungo"/>
    <s v="Kampala"/>
    <s v="UGA"/>
    <n v="1"/>
    <s v="Home"/>
    <x v="4"/>
    <n v="35000"/>
    <n v="400"/>
    <x v="3"/>
    <n v="9"/>
    <x v="2"/>
    <n v="2"/>
    <s v="Manual Labour"/>
    <n v="2"/>
    <x v="3"/>
    <n v="3"/>
    <n v="4"/>
    <n v="1"/>
    <n v="2"/>
    <n v="5"/>
    <s v="Y"/>
    <m/>
    <x v="3"/>
  </r>
  <r>
    <d v="2019-10-23T00:00:00"/>
    <m/>
    <m/>
    <s v="P"/>
    <n v="2"/>
    <s v="Road Vehicle"/>
    <n v="4"/>
    <x v="3"/>
    <x v="0"/>
    <n v="1"/>
    <x v="0"/>
    <s v="Rukungiri"/>
    <s v="Rukungiri"/>
    <s v="UGA"/>
    <n v="1"/>
    <s v="Home"/>
    <s v="Kampala"/>
    <s v="Kampala"/>
    <s v="UGA"/>
    <n v="2"/>
    <s v="Work"/>
    <x v="1"/>
    <n v="30000"/>
    <n v="400"/>
    <x v="3"/>
    <n v="8"/>
    <x v="2"/>
    <n v="2"/>
    <s v="Manual Labour"/>
    <n v="1"/>
    <x v="2"/>
    <m/>
    <m/>
    <m/>
    <m/>
    <m/>
    <s v="Y"/>
    <m/>
    <x v="3"/>
  </r>
  <r>
    <d v="2019-10-23T00:00:00"/>
    <m/>
    <m/>
    <s v="P"/>
    <n v="2"/>
    <s v="Road Vehicle"/>
    <n v="4"/>
    <x v="3"/>
    <x v="0"/>
    <n v="1"/>
    <x v="0"/>
    <s v="Rukungiri"/>
    <s v="Rukungiri"/>
    <s v="UGA"/>
    <n v="1"/>
    <s v="Home"/>
    <s v="Buyanja"/>
    <s v="Rukungiri"/>
    <s v="UGA"/>
    <n v="2"/>
    <s v="Work"/>
    <x v="1"/>
    <n v="1500"/>
    <n v="4"/>
    <x v="0"/>
    <n v="0.7"/>
    <x v="4"/>
    <n v="2"/>
    <s v="Manual Labour"/>
    <n v="1"/>
    <x v="2"/>
    <n v="2"/>
    <n v="3"/>
    <n v="5"/>
    <n v="1"/>
    <n v="4"/>
    <s v="Y"/>
    <n v="7000"/>
    <x v="2"/>
  </r>
  <r>
    <d v="2019-10-23T00:00:00"/>
    <m/>
    <m/>
    <s v="P"/>
    <n v="2"/>
    <s v="Road Vehicle"/>
    <n v="4"/>
    <x v="3"/>
    <x v="0"/>
    <n v="1"/>
    <x v="0"/>
    <s v="Rukungiri"/>
    <s v="Rukungiri"/>
    <s v="UGA"/>
    <n v="1"/>
    <s v="Home"/>
    <s v="Buyanja"/>
    <s v="Rukungiri"/>
    <s v="UGA"/>
    <n v="2"/>
    <s v="Work"/>
    <x v="1"/>
    <n v="1500"/>
    <n v="3"/>
    <x v="0"/>
    <n v="0.5"/>
    <x v="4"/>
    <n v="2"/>
    <s v="Manual Labour"/>
    <n v="1"/>
    <x v="2"/>
    <n v="1"/>
    <n v="3"/>
    <n v="5"/>
    <n v="4"/>
    <n v="2"/>
    <s v="Y"/>
    <n v="1000"/>
    <x v="4"/>
  </r>
  <r>
    <d v="2019-10-23T00:00:00"/>
    <m/>
    <m/>
    <s v="P"/>
    <n v="2"/>
    <s v="Road Vehicle"/>
    <n v="4"/>
    <x v="3"/>
    <x v="0"/>
    <n v="1"/>
    <x v="0"/>
    <s v="Kisiizi"/>
    <s v="Rukungiri"/>
    <s v="UGA"/>
    <n v="1"/>
    <s v="Home"/>
    <s v="Kibaale"/>
    <s v="Mbarara"/>
    <s v="UGA"/>
    <n v="6"/>
    <s v="Leisure/Social"/>
    <x v="8"/>
    <n v="15000"/>
    <n v="150"/>
    <x v="2"/>
    <n v="4.5"/>
    <x v="2"/>
    <n v="2"/>
    <s v="Manual Labour"/>
    <n v="2"/>
    <x v="3"/>
    <m/>
    <m/>
    <m/>
    <m/>
    <m/>
    <s v="Y"/>
    <m/>
    <x v="3"/>
  </r>
  <r>
    <d v="2019-10-23T00:00:00"/>
    <m/>
    <m/>
    <s v="P"/>
    <n v="2"/>
    <s v="Road Vehicle"/>
    <n v="4"/>
    <x v="3"/>
    <x v="0"/>
    <n v="1"/>
    <x v="0"/>
    <s v="Rukungiri"/>
    <s v="Rukungiri"/>
    <s v="UGA"/>
    <n v="1"/>
    <s v="Home"/>
    <s v="Bwabala"/>
    <s v="Rukungiri"/>
    <s v="UGA"/>
    <n v="6"/>
    <s v="Leisure/Social"/>
    <x v="8"/>
    <n v="5000"/>
    <n v="20"/>
    <x v="4"/>
    <n v="1.5"/>
    <x v="1"/>
    <n v="7"/>
    <s v="Farmer"/>
    <n v="2"/>
    <x v="3"/>
    <n v="2"/>
    <n v="5"/>
    <n v="1"/>
    <n v="4"/>
    <n v="3"/>
    <s v="Y"/>
    <n v="5000"/>
    <x v="2"/>
  </r>
  <r>
    <d v="2019-10-23T00:00:00"/>
    <d v="1899-12-30T08:15:00"/>
    <m/>
    <s v="P"/>
    <n v="2"/>
    <s v="Road Vehicle"/>
    <n v="4"/>
    <x v="3"/>
    <x v="0"/>
    <n v="1"/>
    <x v="0"/>
    <s v="Rukungiri"/>
    <s v="Rukungiri"/>
    <s v="UGA"/>
    <n v="1"/>
    <s v="Home"/>
    <s v="Kampala"/>
    <s v="Kampala"/>
    <m/>
    <n v="2"/>
    <s v="Work"/>
    <x v="1"/>
    <n v="30000"/>
    <m/>
    <x v="0"/>
    <n v="9"/>
    <x v="2"/>
    <n v="2"/>
    <s v="Manual Labour"/>
    <n v="1"/>
    <x v="2"/>
    <n v="3"/>
    <n v="2"/>
    <n v="1"/>
    <n v="4"/>
    <n v="3"/>
    <s v="Y"/>
    <m/>
    <x v="3"/>
  </r>
  <r>
    <d v="2019-10-23T00:00:00"/>
    <d v="1899-12-30T08:47:00"/>
    <m/>
    <s v="P"/>
    <n v="2"/>
    <s v="Road Vehicle"/>
    <n v="4"/>
    <x v="3"/>
    <x v="0"/>
    <n v="1"/>
    <x v="0"/>
    <s v="Rukungiri"/>
    <s v="Rukungiri"/>
    <s v="UGA"/>
    <n v="1"/>
    <s v="Home"/>
    <s v="Mbarara"/>
    <s v="Mbarara"/>
    <m/>
    <n v="4"/>
    <s v="Commercial"/>
    <x v="0"/>
    <n v="20000"/>
    <m/>
    <x v="0"/>
    <n v="4"/>
    <x v="2"/>
    <n v="6"/>
    <s v="Businessman"/>
    <n v="4"/>
    <x v="0"/>
    <n v="5"/>
    <n v="3"/>
    <n v="4"/>
    <n v="1"/>
    <n v="2"/>
    <s v="Y"/>
    <n v="5000"/>
    <x v="2"/>
  </r>
  <r>
    <d v="2019-10-23T00:00:00"/>
    <d v="1899-12-30T16:35:00"/>
    <m/>
    <s v="P"/>
    <n v="2"/>
    <s v="Road Vehicle"/>
    <n v="4"/>
    <x v="3"/>
    <x v="0"/>
    <n v="1"/>
    <x v="0"/>
    <s v="Bwindi"/>
    <s v="Kanungu"/>
    <s v="UGA"/>
    <n v="5"/>
    <s v="Tourism"/>
    <s v="Rukungiri"/>
    <s v="Rukungiri"/>
    <m/>
    <n v="2"/>
    <s v="Work"/>
    <x v="35"/>
    <n v="20000"/>
    <m/>
    <x v="0"/>
    <n v="4"/>
    <x v="2"/>
    <n v="5"/>
    <s v="Professional"/>
    <n v="4"/>
    <x v="0"/>
    <n v="3"/>
    <n v="2"/>
    <n v="1"/>
    <n v="4"/>
    <n v="5"/>
    <s v="Y"/>
    <n v="5000"/>
    <x v="2"/>
  </r>
  <r>
    <d v="2019-10-23T00:00:00"/>
    <d v="1899-12-30T16:20:00"/>
    <m/>
    <s v="P"/>
    <n v="2"/>
    <s v="Road Vehicle"/>
    <n v="3"/>
    <x v="9"/>
    <x v="0"/>
    <n v="1"/>
    <x v="0"/>
    <s v="Kabale"/>
    <s v="Kabale"/>
    <s v="UGA"/>
    <n v="1"/>
    <s v="Home"/>
    <s v="Rukungiri"/>
    <s v="Rukungiri"/>
    <m/>
    <n v="8"/>
    <s v="Others"/>
    <x v="13"/>
    <n v="15000"/>
    <m/>
    <x v="0"/>
    <n v="2"/>
    <x v="0"/>
    <n v="7"/>
    <s v="Farmer"/>
    <n v="3"/>
    <x v="1"/>
    <n v="5"/>
    <n v="2"/>
    <n v="4"/>
    <n v="1"/>
    <n v="3"/>
    <s v="Y"/>
    <n v="5000"/>
    <x v="2"/>
  </r>
  <r>
    <d v="2019-10-23T00:00:00"/>
    <d v="1899-12-30T07:35:00"/>
    <m/>
    <s v="P"/>
    <n v="2"/>
    <s v="Road Vehicle"/>
    <n v="2"/>
    <x v="6"/>
    <x v="1"/>
    <n v="1"/>
    <x v="0"/>
    <s v="Ntungamo"/>
    <s v="Ntungamo"/>
    <s v="UGA"/>
    <n v="8"/>
    <s v="Others"/>
    <s v="Rukungiri"/>
    <s v="Rukungiri"/>
    <m/>
    <n v="1"/>
    <s v="Home"/>
    <x v="12"/>
    <n v="6000"/>
    <m/>
    <x v="0"/>
    <n v="0.7"/>
    <x v="4"/>
    <n v="1"/>
    <s v="Unemployed"/>
    <n v="1"/>
    <x v="2"/>
    <n v="2"/>
    <n v="1"/>
    <n v="4"/>
    <n v="5"/>
    <n v="3"/>
    <s v="Y"/>
    <m/>
    <x v="3"/>
  </r>
  <r>
    <d v="2019-10-23T00:00:00"/>
    <d v="1899-12-30T09:46:00"/>
    <m/>
    <s v="P"/>
    <n v="2"/>
    <s v="Road Vehicle"/>
    <n v="2"/>
    <x v="6"/>
    <x v="1"/>
    <n v="1"/>
    <x v="0"/>
    <s v="Rukungiri"/>
    <s v="Rukungiri"/>
    <s v="UGA"/>
    <n v="1"/>
    <s v="Home"/>
    <s v="Ishaka"/>
    <s v="Bushenyi"/>
    <m/>
    <n v="2"/>
    <s v="Work"/>
    <x v="1"/>
    <n v="10000"/>
    <m/>
    <x v="0"/>
    <n v="2"/>
    <x v="0"/>
    <n v="4"/>
    <s v="Office Worker"/>
    <n v="2"/>
    <x v="3"/>
    <n v="5"/>
    <n v="3"/>
    <n v="4"/>
    <n v="1"/>
    <n v="2"/>
    <s v="Y"/>
    <n v="1000"/>
    <x v="4"/>
  </r>
  <r>
    <d v="2019-10-23T00:00:00"/>
    <d v="1899-12-30T10:15:00"/>
    <m/>
    <s v="P"/>
    <n v="2"/>
    <s v="Road Vehicle"/>
    <n v="2"/>
    <x v="6"/>
    <x v="1"/>
    <n v="1"/>
    <x v="0"/>
    <s v="Mbarara"/>
    <s v="Mbarara"/>
    <s v="UGA"/>
    <n v="1"/>
    <s v="Home"/>
    <s v="Ntungamo"/>
    <s v="Ntungamo"/>
    <m/>
    <n v="1"/>
    <s v="Home"/>
    <x v="16"/>
    <n v="20000"/>
    <m/>
    <x v="0"/>
    <n v="2"/>
    <x v="0"/>
    <n v="6"/>
    <s v="Businessman"/>
    <n v="4"/>
    <x v="0"/>
    <n v="4"/>
    <n v="5"/>
    <n v="4"/>
    <n v="1"/>
    <n v="2"/>
    <s v="Y"/>
    <m/>
    <x v="3"/>
  </r>
  <r>
    <d v="2019-10-23T00:00:00"/>
    <d v="1899-12-30T16:27:00"/>
    <m/>
    <s v="P"/>
    <n v="2"/>
    <s v="Road Vehicle"/>
    <n v="2"/>
    <x v="6"/>
    <x v="1"/>
    <n v="1"/>
    <x v="0"/>
    <s v="Kabale"/>
    <s v="Kabale"/>
    <s v="UGA"/>
    <n v="1"/>
    <s v="Home"/>
    <s v="Rukungiri"/>
    <s v="Rukungiri"/>
    <m/>
    <n v="4"/>
    <s v="Commercial"/>
    <x v="0"/>
    <n v="15000"/>
    <m/>
    <x v="0"/>
    <n v="2"/>
    <x v="0"/>
    <n v="6"/>
    <s v="Businessman"/>
    <n v="5"/>
    <x v="4"/>
    <n v="5"/>
    <n v="4"/>
    <n v="1"/>
    <n v="2"/>
    <n v="3"/>
    <s v="Y"/>
    <n v="10000"/>
    <x v="5"/>
  </r>
  <r>
    <d v="2019-10-21T00:00:00"/>
    <d v="1899-12-30T15:26:00"/>
    <m/>
    <s v="P"/>
    <n v="2"/>
    <s v="Road Vehicle"/>
    <n v="1"/>
    <x v="0"/>
    <x v="1"/>
    <n v="2"/>
    <x v="1"/>
    <s v="Rukungiri"/>
    <s v="Rukungiri"/>
    <s v="UGA"/>
    <n v="8"/>
    <s v="Others"/>
    <s v="Bushenyi"/>
    <s v="Bushenyi"/>
    <s v="UGA"/>
    <n v="1"/>
    <s v="Home"/>
    <x v="12"/>
    <n v="15000"/>
    <m/>
    <x v="0"/>
    <n v="3.5"/>
    <x v="2"/>
    <n v="1"/>
    <s v="Unemployed"/>
    <n v="1"/>
    <x v="2"/>
    <m/>
    <m/>
    <m/>
    <m/>
    <m/>
    <s v="Y"/>
    <m/>
    <x v="3"/>
  </r>
  <r>
    <d v="2019-10-23T00:00:00"/>
    <d v="1899-12-30T14:50:00"/>
    <m/>
    <s v="P"/>
    <n v="2"/>
    <s v="Road Vehicle"/>
    <n v="1"/>
    <x v="0"/>
    <x v="1"/>
    <n v="2"/>
    <x v="1"/>
    <s v="Kampala"/>
    <s v="Kampala"/>
    <s v="UGA"/>
    <n v="2"/>
    <s v="Work"/>
    <s v="Kiltilti"/>
    <s v="Kanungu"/>
    <m/>
    <n v="2"/>
    <s v="Work"/>
    <x v="2"/>
    <n v="30000"/>
    <m/>
    <x v="0"/>
    <n v="7.5"/>
    <x v="2"/>
    <n v="2"/>
    <s v="Manual Labour"/>
    <n v="2"/>
    <x v="3"/>
    <n v="2"/>
    <n v="1"/>
    <n v="4"/>
    <n v="3"/>
    <n v="5"/>
    <s v="Y"/>
    <m/>
    <x v="3"/>
  </r>
  <r>
    <d v="2019-10-21T00:00:00"/>
    <d v="1899-12-30T17:10:00"/>
    <m/>
    <s v="D"/>
    <n v="2"/>
    <s v="Road Vehicle"/>
    <n v="1"/>
    <x v="0"/>
    <x v="0"/>
    <n v="2"/>
    <x v="1"/>
    <s v="Rukondo"/>
    <s v="Rukungiri"/>
    <s v="UGA"/>
    <n v="2"/>
    <s v="Work"/>
    <s v="Town"/>
    <s v="Rukungiri"/>
    <s v="UGA"/>
    <n v="1"/>
    <s v="Home"/>
    <x v="4"/>
    <n v="150000"/>
    <n v="3"/>
    <x v="0"/>
    <n v="1.5"/>
    <x v="1"/>
    <n v="10"/>
    <s v="Other"/>
    <n v="2"/>
    <x v="3"/>
    <n v="1"/>
    <n v="3"/>
    <n v="4"/>
    <n v="5"/>
    <n v="2"/>
    <s v="Y"/>
    <n v="1000"/>
    <x v="4"/>
  </r>
  <r>
    <d v="2019-10-21T00:00:00"/>
    <d v="1899-12-30T14:01:00"/>
    <m/>
    <s v="D"/>
    <n v="2"/>
    <s v="Road Vehicle"/>
    <n v="1"/>
    <x v="0"/>
    <x v="0"/>
    <n v="2"/>
    <x v="1"/>
    <s v="Kayinya"/>
    <s v="Rukungiri"/>
    <s v="UGA"/>
    <n v="1"/>
    <s v="Home"/>
    <s v="Town"/>
    <s v="Rukungiri"/>
    <s v="UGA"/>
    <n v="2"/>
    <s v="Work"/>
    <x v="1"/>
    <n v="2000"/>
    <n v="5"/>
    <x v="0"/>
    <n v="0.2"/>
    <x v="3"/>
    <n v="6"/>
    <s v="Businessman"/>
    <n v="1"/>
    <x v="2"/>
    <n v="1"/>
    <n v="5"/>
    <n v="2"/>
    <n v="3"/>
    <n v="4"/>
    <s v="Y"/>
    <m/>
    <x v="3"/>
  </r>
  <r>
    <d v="2019-10-21T00:00:00"/>
    <d v="1899-12-30T14:44:00"/>
    <m/>
    <s v="P"/>
    <n v="2"/>
    <s v="Road Vehicle"/>
    <n v="1"/>
    <x v="0"/>
    <x v="0"/>
    <n v="2"/>
    <x v="1"/>
    <s v="Christ the King"/>
    <s v="Rukungiri"/>
    <s v="UGA"/>
    <n v="2"/>
    <s v="Work"/>
    <s v="Kambuga"/>
    <s v="Kanungu"/>
    <s v="UGA"/>
    <n v="1"/>
    <s v="Home"/>
    <x v="4"/>
    <n v="10000"/>
    <m/>
    <x v="0"/>
    <n v="2"/>
    <x v="0"/>
    <n v="6"/>
    <s v="Businessman"/>
    <n v="1"/>
    <x v="2"/>
    <m/>
    <m/>
    <m/>
    <m/>
    <m/>
    <s v="Y"/>
    <m/>
    <x v="3"/>
  </r>
  <r>
    <d v="2019-10-21T00:00:00"/>
    <d v="1899-12-30T15:08:00"/>
    <m/>
    <s v="D"/>
    <n v="2"/>
    <s v="Road Vehicle"/>
    <n v="1"/>
    <x v="0"/>
    <x v="0"/>
    <n v="2"/>
    <x v="1"/>
    <s v="Rukungiri"/>
    <s v="Rukungiri"/>
    <s v="UGA"/>
    <n v="1"/>
    <s v="Home"/>
    <s v="Ntungamo"/>
    <s v="Ntungamo"/>
    <s v="UGA"/>
    <n v="8"/>
    <s v="Others"/>
    <x v="13"/>
    <n v="25000"/>
    <m/>
    <x v="0"/>
    <n v="0.8"/>
    <x v="4"/>
    <n v="5"/>
    <s v="Professional"/>
    <n v="4"/>
    <x v="0"/>
    <n v="5"/>
    <n v="2"/>
    <n v="3"/>
    <n v="1"/>
    <n v="4"/>
    <s v="Y"/>
    <n v="5000"/>
    <x v="2"/>
  </r>
  <r>
    <d v="2019-10-23T00:00:00"/>
    <d v="1899-12-30T09:38:00"/>
    <m/>
    <s v="D"/>
    <n v="2"/>
    <s v="Road Vehicle"/>
    <n v="1"/>
    <x v="0"/>
    <x v="0"/>
    <n v="2"/>
    <x v="1"/>
    <s v="Rukungiri"/>
    <s v="Rukungiri"/>
    <s v="UGA"/>
    <n v="2"/>
    <s v="Work"/>
    <s v="Kabale"/>
    <s v="Kabale"/>
    <m/>
    <n v="8"/>
    <s v="Others"/>
    <x v="19"/>
    <n v="180000"/>
    <m/>
    <x v="0"/>
    <n v="6"/>
    <x v="2"/>
    <n v="5"/>
    <s v="Professional"/>
    <n v="4"/>
    <x v="0"/>
    <n v="5"/>
    <n v="1"/>
    <n v="4"/>
    <n v="2"/>
    <n v="3"/>
    <s v="Y"/>
    <n v="10000"/>
    <x v="5"/>
  </r>
  <r>
    <d v="2019-10-23T00:00:00"/>
    <d v="1899-12-30T16:31:00"/>
    <m/>
    <s v="P"/>
    <n v="2"/>
    <s v="Road Vehicle"/>
    <n v="1"/>
    <x v="0"/>
    <x v="0"/>
    <n v="2"/>
    <x v="1"/>
    <s v="Bwindi"/>
    <s v="Kanungu"/>
    <s v="UGA"/>
    <n v="2"/>
    <s v="Work"/>
    <s v="Rukungiri"/>
    <s v="Rukungiri"/>
    <m/>
    <n v="2"/>
    <s v="Work"/>
    <x v="2"/>
    <n v="20000"/>
    <m/>
    <x v="0"/>
    <n v="4"/>
    <x v="2"/>
    <n v="6"/>
    <s v="Businessman"/>
    <n v="4"/>
    <x v="0"/>
    <n v="5"/>
    <n v="4"/>
    <n v="2"/>
    <n v="1"/>
    <n v="3"/>
    <s v="Y"/>
    <n v="2000"/>
    <x v="1"/>
  </r>
  <r>
    <d v="2019-10-21T00:00:00"/>
    <d v="1899-12-30T17:33:00"/>
    <m/>
    <s v="D"/>
    <n v="2"/>
    <s v="Road Vehicle"/>
    <n v="9"/>
    <x v="8"/>
    <x v="0"/>
    <n v="2"/>
    <x v="1"/>
    <s v="Kampala"/>
    <s v="Kampala"/>
    <s v="UGA"/>
    <n v="4"/>
    <s v="Commercial"/>
    <s v="Mbarara"/>
    <s v="Mbarara"/>
    <s v="UGA"/>
    <n v="1"/>
    <s v="Home"/>
    <x v="3"/>
    <n v="400000"/>
    <m/>
    <x v="0"/>
    <n v="12"/>
    <x v="2"/>
    <n v="10"/>
    <s v="Other"/>
    <n v="3"/>
    <x v="1"/>
    <n v="2"/>
    <n v="1"/>
    <n v="5"/>
    <n v="3"/>
    <n v="4"/>
    <s v="Y"/>
    <n v="10000"/>
    <x v="5"/>
  </r>
  <r>
    <d v="2019-10-22T00:00:00"/>
    <d v="1899-12-30T14:20:00"/>
    <m/>
    <s v="P"/>
    <n v="2"/>
    <s v="Road Vehicle"/>
    <n v="6"/>
    <x v="1"/>
    <x v="1"/>
    <n v="2"/>
    <x v="1"/>
    <s v="Rukungiri"/>
    <s v="Rukungiri"/>
    <s v="UGA"/>
    <n v="3"/>
    <s v="Study"/>
    <s v="Mbarara"/>
    <s v="Mbarara"/>
    <s v="UGA"/>
    <n v="1"/>
    <s v="Home"/>
    <x v="9"/>
    <n v="150000"/>
    <n v="120"/>
    <x v="2"/>
    <n v="5"/>
    <x v="2"/>
    <n v="4"/>
    <s v="Office Worker"/>
    <n v="1"/>
    <x v="2"/>
    <n v="2"/>
    <n v="1"/>
    <n v="5"/>
    <n v="4"/>
    <n v="3"/>
    <s v="Y"/>
    <n v="2000"/>
    <x v="1"/>
  </r>
  <r>
    <d v="2019-10-22T00:00:00"/>
    <d v="1899-12-30T15:01:00"/>
    <m/>
    <s v="P"/>
    <n v="2"/>
    <s v="Road Vehicle"/>
    <n v="6"/>
    <x v="1"/>
    <x v="1"/>
    <n v="2"/>
    <x v="1"/>
    <s v="Rukungiri"/>
    <s v="Rukungiri"/>
    <s v="UGA"/>
    <n v="4"/>
    <s v="Commercial"/>
    <s v="Kampala"/>
    <s v="Kampala"/>
    <s v="UGA"/>
    <n v="1"/>
    <s v="Home"/>
    <x v="3"/>
    <n v="30000"/>
    <n v="401"/>
    <x v="3"/>
    <n v="8"/>
    <x v="2"/>
    <n v="6"/>
    <s v="Businessman"/>
    <n v="3"/>
    <x v="1"/>
    <n v="2"/>
    <n v="1"/>
    <n v="3"/>
    <n v="5"/>
    <n v="4"/>
    <s v="Y"/>
    <n v="1000"/>
    <x v="4"/>
  </r>
  <r>
    <d v="2019-10-21T00:00:00"/>
    <d v="1899-12-30T17:19:00"/>
    <m/>
    <s v="D"/>
    <n v="2"/>
    <s v="Road Vehicle"/>
    <n v="6"/>
    <x v="1"/>
    <x v="0"/>
    <n v="2"/>
    <x v="1"/>
    <s v="Rukungiri"/>
    <s v="Rukungiri"/>
    <s v="UGA"/>
    <n v="4"/>
    <s v="Commercial"/>
    <s v="Kampala"/>
    <s v="Kampala"/>
    <s v="UGA"/>
    <n v="4"/>
    <s v="Commercial"/>
    <x v="18"/>
    <n v="1100000"/>
    <m/>
    <x v="0"/>
    <n v="7"/>
    <x v="2"/>
    <n v="10"/>
    <s v="Other"/>
    <n v="2"/>
    <x v="3"/>
    <n v="1"/>
    <n v="2"/>
    <n v="4"/>
    <n v="5"/>
    <n v="3"/>
    <s v="Y"/>
    <m/>
    <x v="3"/>
  </r>
  <r>
    <d v="2019-10-22T00:00:00"/>
    <d v="1899-12-30T12:17:00"/>
    <m/>
    <s v="D"/>
    <n v="2"/>
    <s v="Road Vehicle"/>
    <n v="6"/>
    <x v="1"/>
    <x v="0"/>
    <n v="2"/>
    <x v="1"/>
    <s v="Town"/>
    <s v="Rukungiri"/>
    <s v="UGA"/>
    <n v="2"/>
    <s v="Work"/>
    <s v="Town"/>
    <s v="Kampala"/>
    <s v="UGA"/>
    <n v="1"/>
    <s v="Home"/>
    <x v="4"/>
    <n v="650000"/>
    <n v="390"/>
    <x v="3"/>
    <n v="7"/>
    <x v="2"/>
    <n v="10"/>
    <s v="Other"/>
    <n v="1"/>
    <x v="2"/>
    <n v="2"/>
    <n v="1"/>
    <n v="3"/>
    <n v="4"/>
    <n v="5"/>
    <s v="Y"/>
    <n v="3000"/>
    <x v="0"/>
  </r>
  <r>
    <d v="2019-10-22T00:00:00"/>
    <m/>
    <m/>
    <s v="P"/>
    <n v="2"/>
    <s v="Road Vehicle"/>
    <n v="6"/>
    <x v="1"/>
    <x v="0"/>
    <n v="2"/>
    <x v="1"/>
    <s v="Rukungiri"/>
    <s v="Rukungiri"/>
    <s v="UGA"/>
    <n v="1"/>
    <s v="Home"/>
    <s v="Bukoto"/>
    <s v="Kampala"/>
    <s v="UGA"/>
    <n v="4"/>
    <s v="Commercial"/>
    <x v="0"/>
    <n v="35000"/>
    <n v="4000"/>
    <x v="3"/>
    <n v="8"/>
    <x v="2"/>
    <n v="3"/>
    <s v="Artisan/Domestic"/>
    <n v="2"/>
    <x v="3"/>
    <n v="1"/>
    <n v="4"/>
    <n v="5"/>
    <n v="2"/>
    <n v="3"/>
    <s v="Y"/>
    <n v="3000"/>
    <x v="0"/>
  </r>
  <r>
    <d v="2019-10-23T00:00:00"/>
    <d v="1899-12-30T17:13:00"/>
    <m/>
    <s v="D"/>
    <n v="2"/>
    <s v="Road Vehicle"/>
    <n v="6"/>
    <x v="1"/>
    <x v="0"/>
    <n v="2"/>
    <x v="1"/>
    <s v="Rukungiri"/>
    <s v="Rukungiri"/>
    <s v="UGA"/>
    <n v="2"/>
    <s v="Work"/>
    <s v="Kampala"/>
    <s v="Kampala"/>
    <s v="UGA"/>
    <n v="1"/>
    <s v="Home"/>
    <x v="4"/>
    <n v="650000"/>
    <n v="390"/>
    <x v="3"/>
    <n v="7"/>
    <x v="2"/>
    <n v="10"/>
    <s v="Other"/>
    <n v="3"/>
    <x v="1"/>
    <n v="2"/>
    <n v="3"/>
    <n v="5"/>
    <n v="4"/>
    <n v="1"/>
    <s v="Y"/>
    <n v="2000"/>
    <x v="1"/>
  </r>
  <r>
    <d v="2019-10-23T00:00:00"/>
    <d v="1899-12-30T16:51:00"/>
    <m/>
    <s v="D"/>
    <n v="2"/>
    <s v="Road Vehicle"/>
    <n v="6"/>
    <x v="1"/>
    <x v="0"/>
    <n v="2"/>
    <x v="1"/>
    <s v="Kebusoni"/>
    <s v="Rukungiri"/>
    <s v="UGA"/>
    <n v="2"/>
    <s v="Work"/>
    <s v="Kampala"/>
    <s v="Kampala"/>
    <s v="UGA"/>
    <n v="1"/>
    <s v="Home"/>
    <x v="4"/>
    <n v="500000"/>
    <n v="382"/>
    <x v="3"/>
    <n v="7"/>
    <x v="2"/>
    <n v="10"/>
    <s v="Other"/>
    <n v="3"/>
    <x v="1"/>
    <n v="2"/>
    <n v="1"/>
    <n v="5"/>
    <n v="3"/>
    <n v="4"/>
    <s v="Y"/>
    <n v="1500"/>
    <x v="4"/>
  </r>
  <r>
    <d v="2019-10-23T00:00:00"/>
    <d v="1899-12-30T15:47:00"/>
    <m/>
    <s v="D"/>
    <n v="2"/>
    <s v="Road Vehicle"/>
    <n v="6"/>
    <x v="1"/>
    <x v="0"/>
    <n v="2"/>
    <x v="1"/>
    <s v="Rukungiri"/>
    <s v="Rukungiri"/>
    <s v="UGA"/>
    <n v="2"/>
    <s v="Work"/>
    <s v="Kampala"/>
    <s v="Kampala"/>
    <s v="UGA"/>
    <n v="1"/>
    <s v="Home"/>
    <x v="4"/>
    <n v="600000"/>
    <n v="385"/>
    <x v="3"/>
    <n v="7.5"/>
    <x v="2"/>
    <n v="10"/>
    <s v="Other"/>
    <n v="3"/>
    <x v="1"/>
    <n v="2"/>
    <n v="1"/>
    <n v="3"/>
    <n v="5"/>
    <n v="4"/>
    <s v="Y"/>
    <n v="2000"/>
    <x v="1"/>
  </r>
  <r>
    <d v="2019-10-23T00:00:00"/>
    <d v="1899-12-30T14:44:00"/>
    <m/>
    <s v="D"/>
    <n v="2"/>
    <s v="Road Vehicle"/>
    <n v="6"/>
    <x v="1"/>
    <x v="0"/>
    <n v="2"/>
    <x v="1"/>
    <s v="Rukungiri"/>
    <s v="Rukungiri"/>
    <s v="UGA"/>
    <n v="2"/>
    <s v="Work"/>
    <s v="Kampala"/>
    <s v="Kampala"/>
    <s v="UGA"/>
    <n v="1"/>
    <s v="Home"/>
    <x v="4"/>
    <n v="650000"/>
    <n v="400"/>
    <x v="3"/>
    <n v="7.5"/>
    <x v="2"/>
    <n v="10"/>
    <s v="Other"/>
    <n v="4"/>
    <x v="0"/>
    <n v="1"/>
    <n v="3"/>
    <n v="2"/>
    <n v="5"/>
    <n v="4"/>
    <s v="Y"/>
    <n v="1000"/>
    <x v="4"/>
  </r>
  <r>
    <d v="2019-10-23T00:00:00"/>
    <d v="1899-12-30T13:16:00"/>
    <m/>
    <s v="D"/>
    <n v="2"/>
    <s v="Road Vehicle"/>
    <n v="6"/>
    <x v="1"/>
    <x v="0"/>
    <n v="2"/>
    <x v="1"/>
    <s v="Rwerere"/>
    <s v="Rukungiri"/>
    <s v="UGA"/>
    <n v="2"/>
    <s v="Work"/>
    <s v="Kampala"/>
    <s v="Kampala"/>
    <s v="UGA"/>
    <n v="2"/>
    <s v="Work"/>
    <x v="2"/>
    <n v="650000"/>
    <n v="390"/>
    <x v="3"/>
    <n v="7.5"/>
    <x v="2"/>
    <n v="10"/>
    <s v="Other"/>
    <n v="3"/>
    <x v="1"/>
    <n v="2"/>
    <n v="3"/>
    <n v="4"/>
    <n v="5"/>
    <n v="1"/>
    <s v="Y"/>
    <n v="3000"/>
    <x v="0"/>
  </r>
  <r>
    <d v="2019-10-23T00:00:00"/>
    <d v="1899-12-30T15:12:00"/>
    <m/>
    <s v="D"/>
    <n v="2"/>
    <s v="Road Vehicle"/>
    <n v="6"/>
    <x v="1"/>
    <x v="0"/>
    <n v="2"/>
    <x v="1"/>
    <s v="Kabisoni"/>
    <s v="Rukungiri"/>
    <s v="UGA"/>
    <n v="1"/>
    <s v="Home"/>
    <s v="Kampala"/>
    <s v="Kampala"/>
    <s v="UGA"/>
    <n v="2"/>
    <s v="Work"/>
    <x v="1"/>
    <n v="600000"/>
    <n v="400"/>
    <x v="3"/>
    <n v="8"/>
    <x v="2"/>
    <n v="5"/>
    <s v="Professional"/>
    <n v="4"/>
    <x v="0"/>
    <n v="2"/>
    <n v="4"/>
    <n v="5"/>
    <n v="3"/>
    <n v="1"/>
    <s v="Y"/>
    <n v="5000"/>
    <x v="2"/>
  </r>
  <r>
    <d v="2019-10-23T00:00:00"/>
    <d v="1899-12-30T16:04:00"/>
    <m/>
    <s v="P"/>
    <n v="2"/>
    <s v="Road Vehicle"/>
    <n v="6"/>
    <x v="1"/>
    <x v="0"/>
    <n v="2"/>
    <x v="1"/>
    <s v="Kampala"/>
    <s v="Kampala"/>
    <s v="UGA"/>
    <n v="8"/>
    <s v="Others"/>
    <s v="Rukungiri"/>
    <s v="Rukungiri"/>
    <m/>
    <n v="2"/>
    <s v="Work"/>
    <x v="14"/>
    <n v="30000"/>
    <m/>
    <x v="0"/>
    <n v="9"/>
    <x v="2"/>
    <n v="4"/>
    <s v="Office Worker"/>
    <n v="2"/>
    <x v="3"/>
    <n v="4"/>
    <n v="5"/>
    <n v="2"/>
    <n v="1"/>
    <n v="3"/>
    <s v="Y"/>
    <n v="2000"/>
    <x v="1"/>
  </r>
  <r>
    <d v="2019-10-23T00:00:00"/>
    <d v="1899-12-30T16:13:00"/>
    <m/>
    <s v="P"/>
    <n v="2"/>
    <s v="Road Vehicle"/>
    <n v="6"/>
    <x v="1"/>
    <x v="0"/>
    <n v="2"/>
    <x v="1"/>
    <s v="Rukungiri"/>
    <s v="Rukungiri"/>
    <s v="UGA"/>
    <n v="4"/>
    <s v="Commercial"/>
    <s v="Kiltilti"/>
    <s v="Ntungamo"/>
    <m/>
    <n v="4"/>
    <s v="Commercial"/>
    <x v="18"/>
    <n v="10000"/>
    <m/>
    <x v="0"/>
    <n v="2"/>
    <x v="0"/>
    <n v="6"/>
    <s v="Businessman"/>
    <n v="5"/>
    <x v="4"/>
    <n v="5"/>
    <n v="4"/>
    <n v="1"/>
    <n v="2"/>
    <n v="5"/>
    <s v="Y"/>
    <n v="1000"/>
    <x v="4"/>
  </r>
  <r>
    <d v="2019-10-23T00:00:00"/>
    <d v="1899-12-30T15:21:00"/>
    <m/>
    <s v="P"/>
    <n v="2"/>
    <s v="Road Vehicle"/>
    <n v="5"/>
    <x v="2"/>
    <x v="1"/>
    <n v="2"/>
    <x v="1"/>
    <s v="Kisiizi"/>
    <s v="Rukungiri"/>
    <s v="UGA"/>
    <n v="2"/>
    <s v="Work"/>
    <s v="Kibaale"/>
    <s v="Mbarara"/>
    <s v="UGA"/>
    <n v="1"/>
    <s v="Home"/>
    <x v="4"/>
    <n v="15000"/>
    <n v="150"/>
    <x v="2"/>
    <n v="4"/>
    <x v="2"/>
    <n v="5"/>
    <s v="Professional"/>
    <n v="2"/>
    <x v="3"/>
    <n v="1"/>
    <n v="4"/>
    <n v="5"/>
    <n v="3"/>
    <n v="2"/>
    <s v="Y"/>
    <m/>
    <x v="3"/>
  </r>
  <r>
    <d v="2019-10-21T00:00:00"/>
    <d v="1899-12-30T14:43:00"/>
    <m/>
    <s v="P"/>
    <n v="2"/>
    <s v="Road Vehicle"/>
    <n v="5"/>
    <x v="2"/>
    <x v="0"/>
    <n v="2"/>
    <x v="1"/>
    <s v="Mabugambo"/>
    <s v="Rukungiri"/>
    <s v="UGA"/>
    <n v="1"/>
    <s v="Home"/>
    <s v="Kihini"/>
    <s v="Rukungiri"/>
    <s v="UGA"/>
    <n v="2"/>
    <s v="Work"/>
    <x v="1"/>
    <n v="120000"/>
    <n v="130"/>
    <x v="2"/>
    <n v="2"/>
    <x v="0"/>
    <n v="4"/>
    <s v="Office Worker"/>
    <n v="2"/>
    <x v="3"/>
    <n v="3"/>
    <n v="1"/>
    <n v="2"/>
    <n v="4"/>
    <n v="5"/>
    <s v="Y"/>
    <m/>
    <x v="3"/>
  </r>
  <r>
    <d v="2019-10-22T00:00:00"/>
    <d v="1899-12-30T15:26:00"/>
    <m/>
    <s v="D"/>
    <n v="2"/>
    <s v="Road Vehicle"/>
    <n v="5"/>
    <x v="2"/>
    <x v="0"/>
    <n v="2"/>
    <x v="1"/>
    <m/>
    <m/>
    <s v="UGA"/>
    <n v="2"/>
    <s v="Work"/>
    <m/>
    <m/>
    <s v="UGA"/>
    <n v="1"/>
    <s v="Home"/>
    <x v="4"/>
    <n v="200000"/>
    <n v="115"/>
    <x v="2"/>
    <n v="4"/>
    <x v="2"/>
    <n v="10"/>
    <s v="Other"/>
    <n v="3"/>
    <x v="1"/>
    <n v="1"/>
    <n v="2"/>
    <n v="3"/>
    <n v="4"/>
    <n v="5"/>
    <s v="Y"/>
    <n v="2000"/>
    <x v="1"/>
  </r>
  <r>
    <d v="2019-10-23T00:00:00"/>
    <d v="1899-12-30T14:31:00"/>
    <m/>
    <s v="D"/>
    <n v="2"/>
    <s v="Road Vehicle"/>
    <n v="5"/>
    <x v="2"/>
    <x v="0"/>
    <n v="2"/>
    <x v="1"/>
    <s v="Rukungiri"/>
    <s v="Rukungiri"/>
    <s v="UGA"/>
    <n v="1"/>
    <s v="Home"/>
    <s v="Mbarara"/>
    <s v="Mbarara"/>
    <s v="UGA"/>
    <n v="2"/>
    <s v="Work"/>
    <x v="1"/>
    <n v="250000"/>
    <n v="114"/>
    <x v="2"/>
    <n v="4.5"/>
    <x v="2"/>
    <n v="10"/>
    <s v="Other"/>
    <n v="2"/>
    <x v="3"/>
    <n v="1"/>
    <n v="3"/>
    <n v="2"/>
    <n v="4"/>
    <n v="5"/>
    <s v="Y"/>
    <n v="3000"/>
    <x v="0"/>
  </r>
  <r>
    <d v="2019-10-23T00:00:00"/>
    <d v="1899-12-30T14:15:00"/>
    <m/>
    <s v="D"/>
    <n v="2"/>
    <s v="Road Vehicle"/>
    <n v="5"/>
    <x v="2"/>
    <x v="0"/>
    <n v="2"/>
    <x v="1"/>
    <s v="Bwabara"/>
    <s v="Rukungiri"/>
    <s v="UGA"/>
    <n v="2"/>
    <s v="Work"/>
    <s v="Rwenshama"/>
    <s v="Rukungiri"/>
    <s v="UGA"/>
    <n v="1"/>
    <s v="Home"/>
    <x v="4"/>
    <n v="200000"/>
    <n v="80"/>
    <x v="1"/>
    <n v="2.5"/>
    <x v="0"/>
    <n v="5"/>
    <s v="Professional"/>
    <n v="3"/>
    <x v="1"/>
    <n v="2"/>
    <n v="4"/>
    <n v="5"/>
    <n v="3"/>
    <n v="1"/>
    <s v="Y"/>
    <m/>
    <x v="3"/>
  </r>
  <r>
    <d v="2019-10-23T00:00:00"/>
    <d v="1899-12-30T14:22:00"/>
    <m/>
    <s v="D"/>
    <n v="2"/>
    <s v="Road Vehicle"/>
    <n v="5"/>
    <x v="2"/>
    <x v="0"/>
    <n v="2"/>
    <x v="1"/>
    <s v="Kambuga"/>
    <s v="Rukungiri"/>
    <s v="UGA"/>
    <n v="2"/>
    <s v="Work"/>
    <s v="Mbarara"/>
    <s v="Mbarara"/>
    <s v="UGA"/>
    <n v="1"/>
    <s v="Home"/>
    <x v="4"/>
    <n v="180000"/>
    <n v="120"/>
    <x v="2"/>
    <n v="4.5"/>
    <x v="2"/>
    <n v="6"/>
    <s v="Businessman"/>
    <n v="3"/>
    <x v="1"/>
    <n v="2"/>
    <n v="3"/>
    <n v="5"/>
    <n v="1"/>
    <n v="4"/>
    <s v="Y"/>
    <n v="1000"/>
    <x v="4"/>
  </r>
  <r>
    <d v="2019-10-21T00:00:00"/>
    <m/>
    <m/>
    <s v="P"/>
    <n v="2"/>
    <s v="Road Vehicle"/>
    <n v="4"/>
    <x v="3"/>
    <x v="1"/>
    <n v="2"/>
    <x v="1"/>
    <s v="Rukungiri"/>
    <s v="Rukungiri"/>
    <s v="UGA"/>
    <n v="1"/>
    <s v="Home"/>
    <s v="Butogote"/>
    <s v="Kanungu"/>
    <s v="UGA"/>
    <n v="3"/>
    <s v="Study"/>
    <x v="25"/>
    <n v="7000"/>
    <m/>
    <x v="0"/>
    <n v="1.5"/>
    <x v="1"/>
    <n v="4"/>
    <s v="Office Worker"/>
    <n v="3"/>
    <x v="1"/>
    <n v="3"/>
    <n v="1"/>
    <n v="4"/>
    <n v="2"/>
    <n v="5"/>
    <s v="Y"/>
    <n v="3000"/>
    <x v="0"/>
  </r>
  <r>
    <d v="2019-10-21T00:00:00"/>
    <m/>
    <m/>
    <s v="P"/>
    <n v="2"/>
    <s v="Road Vehicle"/>
    <n v="4"/>
    <x v="3"/>
    <x v="1"/>
    <n v="2"/>
    <x v="1"/>
    <s v="Rukungiri"/>
    <s v="Rukungiri"/>
    <s v="UGA"/>
    <n v="1"/>
    <s v="Home"/>
    <s v="Mbarara"/>
    <s v="Mbarara"/>
    <s v="UGA"/>
    <n v="4"/>
    <s v="Commercial"/>
    <x v="0"/>
    <n v="15000"/>
    <n v="85"/>
    <x v="1"/>
    <n v="1.5"/>
    <x v="1"/>
    <n v="6"/>
    <s v="Businessman"/>
    <n v="3"/>
    <x v="1"/>
    <n v="1"/>
    <n v="4"/>
    <n v="5"/>
    <n v="2"/>
    <n v="3"/>
    <s v="Y"/>
    <m/>
    <x v="3"/>
  </r>
  <r>
    <d v="2019-10-22T00:00:00"/>
    <d v="1899-12-30T13:26:00"/>
    <m/>
    <s v="P"/>
    <n v="2"/>
    <s v="Road Vehicle"/>
    <n v="4"/>
    <x v="3"/>
    <x v="1"/>
    <n v="2"/>
    <x v="1"/>
    <s v="Rukungiri"/>
    <s v="Rukungiri"/>
    <s v="UGA"/>
    <n v="1"/>
    <s v="Home"/>
    <s v="Kawanda"/>
    <s v="Kampala"/>
    <s v="UGA"/>
    <n v="2"/>
    <s v="Work"/>
    <x v="1"/>
    <n v="30000"/>
    <n v="388"/>
    <x v="3"/>
    <n v="9"/>
    <x v="2"/>
    <n v="5"/>
    <s v="Professional"/>
    <n v="2"/>
    <x v="3"/>
    <n v="1"/>
    <n v="5"/>
    <n v="4"/>
    <n v="3"/>
    <n v="2"/>
    <s v="Y"/>
    <n v="2000"/>
    <x v="1"/>
  </r>
  <r>
    <d v="2019-10-22T00:00:00"/>
    <m/>
    <m/>
    <s v="P"/>
    <n v="2"/>
    <s v="Road Vehicle"/>
    <n v="4"/>
    <x v="3"/>
    <x v="1"/>
    <n v="2"/>
    <x v="1"/>
    <s v="Rukungiri"/>
    <s v="Rukungiri"/>
    <s v="UGA"/>
    <n v="1"/>
    <s v="Home"/>
    <s v="Kebisoni"/>
    <s v="Rukungiri"/>
    <s v="UGA"/>
    <n v="2"/>
    <s v="Work"/>
    <x v="1"/>
    <n v="3000"/>
    <n v="30"/>
    <x v="4"/>
    <n v="0.5"/>
    <x v="4"/>
    <n v="2"/>
    <s v="Manual Labour"/>
    <n v="3"/>
    <x v="1"/>
    <n v="1"/>
    <n v="3"/>
    <n v="4"/>
    <n v="2"/>
    <n v="5"/>
    <s v="Y"/>
    <n v="7000"/>
    <x v="2"/>
  </r>
  <r>
    <d v="2019-10-22T00:00:00"/>
    <m/>
    <m/>
    <s v="P"/>
    <n v="2"/>
    <s v="Road Vehicle"/>
    <n v="4"/>
    <x v="3"/>
    <x v="1"/>
    <n v="2"/>
    <x v="1"/>
    <s v="Rukungiri"/>
    <s v="Rukungiri"/>
    <s v="UGA"/>
    <n v="1"/>
    <s v="Home"/>
    <s v="Ntungamo"/>
    <s v="Ntungamo"/>
    <s v="UGA"/>
    <n v="4"/>
    <s v="Commercial"/>
    <x v="0"/>
    <n v="7000"/>
    <n v="75"/>
    <x v="1"/>
    <n v="1"/>
    <x v="1"/>
    <n v="7"/>
    <s v="Farmer"/>
    <n v="1"/>
    <x v="2"/>
    <n v="2"/>
    <n v="1"/>
    <n v="3"/>
    <n v="5"/>
    <n v="4"/>
    <s v="Y"/>
    <n v="1000"/>
    <x v="4"/>
  </r>
  <r>
    <d v="2019-10-22T00:00:00"/>
    <m/>
    <m/>
    <s v="P"/>
    <n v="2"/>
    <s v="Road Vehicle"/>
    <n v="4"/>
    <x v="3"/>
    <x v="1"/>
    <n v="2"/>
    <x v="1"/>
    <s v="Rukungiri"/>
    <s v="Rukungiri"/>
    <s v="UGA"/>
    <n v="2"/>
    <s v="Work"/>
    <s v="Ntungamo"/>
    <s v="Ntungamo"/>
    <s v="UGA"/>
    <n v="4"/>
    <s v="Commercial"/>
    <x v="17"/>
    <n v="7000"/>
    <n v="75"/>
    <x v="1"/>
    <n v="1.5"/>
    <x v="1"/>
    <n v="6"/>
    <s v="Businessman"/>
    <n v="2"/>
    <x v="3"/>
    <n v="3"/>
    <n v="1"/>
    <n v="2"/>
    <n v="5"/>
    <n v="4"/>
    <s v="Y"/>
    <n v="1000"/>
    <x v="4"/>
  </r>
  <r>
    <d v="2019-10-22T00:00:00"/>
    <m/>
    <m/>
    <s v="P"/>
    <n v="2"/>
    <s v="Road Vehicle"/>
    <n v="4"/>
    <x v="3"/>
    <x v="1"/>
    <n v="2"/>
    <x v="1"/>
    <s v="Rukungiri"/>
    <s v="Rukungiri"/>
    <s v="UGA"/>
    <n v="1"/>
    <s v="Home"/>
    <s v="Kampala"/>
    <s v="Kampala"/>
    <s v="UGA"/>
    <n v="4"/>
    <s v="Commercial"/>
    <x v="0"/>
    <n v="30000"/>
    <m/>
    <x v="0"/>
    <n v="7"/>
    <x v="2"/>
    <n v="3"/>
    <s v="Artisan/Domestic"/>
    <n v="2"/>
    <x v="3"/>
    <n v="3"/>
    <n v="5"/>
    <n v="1"/>
    <n v="2"/>
    <n v="4"/>
    <s v="Y"/>
    <m/>
    <x v="3"/>
  </r>
  <r>
    <d v="2019-10-23T00:00:00"/>
    <m/>
    <m/>
    <s v="P"/>
    <n v="2"/>
    <s v="Road Vehicle"/>
    <n v="4"/>
    <x v="3"/>
    <x v="1"/>
    <n v="2"/>
    <x v="1"/>
    <s v="Rukungiri"/>
    <s v="Rukungiri"/>
    <s v="UGA"/>
    <n v="1"/>
    <s v="Home"/>
    <s v="Bikungu"/>
    <s v="Rukungiri"/>
    <s v="UGA"/>
    <n v="2"/>
    <s v="Work"/>
    <x v="1"/>
    <n v="6000"/>
    <n v="30"/>
    <x v="4"/>
    <n v="1"/>
    <x v="1"/>
    <n v="2"/>
    <s v="Manual Labour"/>
    <n v="1"/>
    <x v="2"/>
    <n v="1"/>
    <n v="2"/>
    <n v="3"/>
    <n v="4"/>
    <n v="5"/>
    <s v="Y"/>
    <m/>
    <x v="3"/>
  </r>
  <r>
    <d v="2019-10-23T00:00:00"/>
    <d v="1899-12-30T08:28:00"/>
    <m/>
    <s v="P"/>
    <n v="2"/>
    <s v="Road Vehicle"/>
    <n v="4"/>
    <x v="3"/>
    <x v="1"/>
    <n v="2"/>
    <x v="1"/>
    <s v="Rukungiri"/>
    <s v="Rukungiri"/>
    <s v="UGA"/>
    <n v="1"/>
    <s v="Home"/>
    <s v="Rakai"/>
    <s v="Masaka"/>
    <m/>
    <n v="2"/>
    <s v="Work"/>
    <x v="1"/>
    <n v="20000"/>
    <m/>
    <x v="0"/>
    <n v="5.5"/>
    <x v="2"/>
    <n v="4"/>
    <s v="Office Worker"/>
    <n v="2"/>
    <x v="3"/>
    <n v="5"/>
    <n v="3"/>
    <n v="2"/>
    <n v="1"/>
    <n v="4"/>
    <s v="Y"/>
    <m/>
    <x v="3"/>
  </r>
  <r>
    <d v="2019-10-23T00:00:00"/>
    <d v="1899-12-30T08:56:00"/>
    <m/>
    <s v="P"/>
    <n v="2"/>
    <s v="Road Vehicle"/>
    <n v="4"/>
    <x v="3"/>
    <x v="1"/>
    <n v="2"/>
    <x v="1"/>
    <s v="Rukungiri"/>
    <s v="Rukungiri"/>
    <s v="UGA"/>
    <n v="1"/>
    <s v="Home"/>
    <s v="Mbarara"/>
    <s v="Mbarara"/>
    <m/>
    <n v="7"/>
    <s v="Hospital"/>
    <x v="32"/>
    <n v="20000"/>
    <m/>
    <x v="0"/>
    <n v="3.5"/>
    <x v="2"/>
    <n v="5"/>
    <s v="Professional"/>
    <n v="4"/>
    <x v="0"/>
    <n v="5"/>
    <n v="4"/>
    <n v="3"/>
    <n v="1"/>
    <n v="2"/>
    <s v="Y"/>
    <n v="10000"/>
    <x v="5"/>
  </r>
  <r>
    <d v="2019-10-23T00:00:00"/>
    <d v="1899-12-30T15:15:00"/>
    <m/>
    <s v="P"/>
    <n v="2"/>
    <s v="Road Vehicle"/>
    <n v="4"/>
    <x v="3"/>
    <x v="1"/>
    <n v="2"/>
    <x v="1"/>
    <s v="Kampala"/>
    <s v="Kampala"/>
    <s v="UGA"/>
    <n v="4"/>
    <s v="Commercial"/>
    <s v="Rukungiri"/>
    <s v="Rukungiri"/>
    <m/>
    <n v="1"/>
    <s v="Home"/>
    <x v="3"/>
    <n v="30000"/>
    <m/>
    <x v="0"/>
    <n v="8"/>
    <x v="2"/>
    <n v="6"/>
    <s v="Businessman"/>
    <n v="4"/>
    <x v="0"/>
    <n v="2"/>
    <n v="3"/>
    <n v="1"/>
    <n v="5"/>
    <n v="4"/>
    <s v="Y"/>
    <n v="5000"/>
    <x v="2"/>
  </r>
  <r>
    <d v="2019-10-21T00:00:00"/>
    <d v="1899-12-30T16:25:00"/>
    <m/>
    <s v="P"/>
    <n v="2"/>
    <s v="Road Vehicle"/>
    <n v="4"/>
    <x v="3"/>
    <x v="0"/>
    <n v="2"/>
    <x v="1"/>
    <s v="Mbarara"/>
    <s v="Mbarara"/>
    <s v="UGA"/>
    <n v="4"/>
    <s v="Commercial"/>
    <s v="Rukungiri"/>
    <s v="Rukungiri"/>
    <s v="UGA"/>
    <n v="1"/>
    <s v="Home"/>
    <x v="3"/>
    <n v="20000"/>
    <m/>
    <x v="0"/>
    <n v="3.5"/>
    <x v="2"/>
    <n v="6"/>
    <s v="Businessman"/>
    <n v="4"/>
    <x v="0"/>
    <m/>
    <m/>
    <m/>
    <m/>
    <m/>
    <s v="Y"/>
    <m/>
    <x v="3"/>
  </r>
  <r>
    <d v="2019-10-21T00:00:00"/>
    <d v="1899-12-30T16:15:00"/>
    <m/>
    <s v="D"/>
    <n v="2"/>
    <s v="Road Vehicle"/>
    <n v="4"/>
    <x v="3"/>
    <x v="0"/>
    <n v="2"/>
    <x v="1"/>
    <s v="Kabale"/>
    <s v="Kabale"/>
    <s v="UGA"/>
    <n v="4"/>
    <s v="Commercial"/>
    <s v="Rukungiri"/>
    <s v="Rukungiri"/>
    <s v="UGA"/>
    <n v="4"/>
    <s v="Commercial"/>
    <x v="18"/>
    <n v="150000"/>
    <m/>
    <x v="0"/>
    <n v="3"/>
    <x v="0"/>
    <n v="10"/>
    <s v="Other"/>
    <n v="4"/>
    <x v="0"/>
    <n v="2"/>
    <n v="1"/>
    <n v="3"/>
    <n v="4"/>
    <n v="5"/>
    <s v="Y"/>
    <m/>
    <x v="3"/>
  </r>
  <r>
    <d v="2019-10-21T00:00:00"/>
    <d v="1899-12-30T15:46:00"/>
    <m/>
    <s v="P"/>
    <n v="2"/>
    <s v="Road Vehicle"/>
    <n v="4"/>
    <x v="3"/>
    <x v="0"/>
    <n v="2"/>
    <x v="1"/>
    <s v="Kanungu"/>
    <s v="Kanungu"/>
    <s v="UGA"/>
    <n v="2"/>
    <s v="Work"/>
    <s v="Rukungiri"/>
    <s v="Rukungiri"/>
    <s v="UGA"/>
    <n v="8"/>
    <s v="Others"/>
    <x v="19"/>
    <n v="20000"/>
    <m/>
    <x v="0"/>
    <n v="5"/>
    <x v="2"/>
    <n v="5"/>
    <s v="Professional"/>
    <n v="4"/>
    <x v="0"/>
    <n v="5"/>
    <n v="4"/>
    <n v="2"/>
    <n v="1"/>
    <n v="3"/>
    <s v="Y"/>
    <n v="3000"/>
    <x v="0"/>
  </r>
  <r>
    <d v="2019-10-21T00:00:00"/>
    <d v="1899-12-30T15:54:00"/>
    <m/>
    <s v="D"/>
    <n v="2"/>
    <s v="Road Vehicle"/>
    <n v="4"/>
    <x v="3"/>
    <x v="0"/>
    <n v="2"/>
    <x v="1"/>
    <s v="Kanungu"/>
    <s v="Kanungu"/>
    <s v="UGA"/>
    <n v="4"/>
    <s v="Commercial"/>
    <s v="Rukungiri"/>
    <s v="Rukungiri"/>
    <s v="UGA"/>
    <n v="4"/>
    <s v="Commercial"/>
    <x v="18"/>
    <n v="140000"/>
    <m/>
    <x v="0"/>
    <n v="5.5"/>
    <x v="2"/>
    <n v="10"/>
    <s v="Other"/>
    <n v="4"/>
    <x v="0"/>
    <n v="2"/>
    <n v="1"/>
    <n v="5"/>
    <n v="3"/>
    <n v="4"/>
    <s v="Y"/>
    <m/>
    <x v="3"/>
  </r>
  <r>
    <d v="2019-10-21T00:00:00"/>
    <d v="1899-12-30T15:34:00"/>
    <m/>
    <s v="P"/>
    <n v="2"/>
    <s v="Road Vehicle"/>
    <n v="4"/>
    <x v="3"/>
    <x v="0"/>
    <n v="2"/>
    <x v="1"/>
    <s v="Rukungiri"/>
    <s v="Rukungiri"/>
    <s v="UGA"/>
    <n v="1"/>
    <s v="Home"/>
    <s v="Mbarara"/>
    <s v="Mbarara"/>
    <s v="UGA"/>
    <n v="4"/>
    <s v="Commercial"/>
    <x v="0"/>
    <n v="15000"/>
    <m/>
    <x v="0"/>
    <n v="3"/>
    <x v="0"/>
    <n v="7"/>
    <s v="Farmer"/>
    <n v="3"/>
    <x v="1"/>
    <n v="2"/>
    <n v="1"/>
    <n v="4"/>
    <n v="3"/>
    <n v="5"/>
    <s v="Y"/>
    <m/>
    <x v="3"/>
  </r>
  <r>
    <d v="2019-10-21T00:00:00"/>
    <d v="1899-12-30T15:21:00"/>
    <m/>
    <s v="D"/>
    <n v="2"/>
    <s v="Road Vehicle"/>
    <n v="4"/>
    <x v="3"/>
    <x v="0"/>
    <n v="2"/>
    <x v="1"/>
    <s v="Rukungiri"/>
    <s v="Rukungiri"/>
    <s v="UGA"/>
    <n v="4"/>
    <s v="Commercial"/>
    <s v="Mbarara"/>
    <s v="Mbarara"/>
    <s v="UGA"/>
    <n v="4"/>
    <s v="Commercial"/>
    <x v="18"/>
    <n v="60000"/>
    <m/>
    <x v="0"/>
    <n v="5"/>
    <x v="2"/>
    <n v="10"/>
    <s v="Other"/>
    <n v="4"/>
    <x v="0"/>
    <m/>
    <m/>
    <m/>
    <m/>
    <m/>
    <s v="Y"/>
    <m/>
    <x v="3"/>
  </r>
  <r>
    <d v="2019-10-21T00:00:00"/>
    <d v="1899-12-30T16:41:00"/>
    <m/>
    <s v="D"/>
    <n v="2"/>
    <s v="Road Vehicle"/>
    <n v="4"/>
    <x v="3"/>
    <x v="0"/>
    <n v="2"/>
    <x v="1"/>
    <s v="Mbarara"/>
    <s v="Mbarara"/>
    <s v="UGA"/>
    <n v="4"/>
    <s v="Commercial"/>
    <s v="Rukungiri"/>
    <s v="Rukungiri"/>
    <s v="UGA"/>
    <n v="4"/>
    <s v="Commercial"/>
    <x v="18"/>
    <n v="50000"/>
    <m/>
    <x v="0"/>
    <n v="2.5"/>
    <x v="0"/>
    <n v="10"/>
    <s v="Other"/>
    <n v="3"/>
    <x v="1"/>
    <n v="4"/>
    <n v="3"/>
    <n v="1"/>
    <n v="2"/>
    <n v="5"/>
    <s v="Y"/>
    <n v="10000"/>
    <x v="5"/>
  </r>
  <r>
    <d v="2019-10-21T00:00:00"/>
    <m/>
    <m/>
    <s v="D"/>
    <n v="2"/>
    <s v="Road Vehicle"/>
    <n v="4"/>
    <x v="3"/>
    <x v="0"/>
    <n v="2"/>
    <x v="1"/>
    <s v="Rukungiri"/>
    <s v="Rukungiri"/>
    <s v="UGA"/>
    <n v="1"/>
    <s v="Home"/>
    <s v="Kihini"/>
    <s v="Kanungu"/>
    <s v="UGA"/>
    <n v="2"/>
    <s v="Work"/>
    <x v="1"/>
    <n v="90000"/>
    <n v="100"/>
    <x v="2"/>
    <n v="1.5"/>
    <x v="1"/>
    <n v="2"/>
    <s v="Manual Labour"/>
    <n v="1"/>
    <x v="2"/>
    <m/>
    <m/>
    <m/>
    <m/>
    <m/>
    <s v="Y"/>
    <n v="5000"/>
    <x v="2"/>
  </r>
  <r>
    <d v="2019-10-21T00:00:00"/>
    <m/>
    <m/>
    <s v="P"/>
    <n v="2"/>
    <s v="Road Vehicle"/>
    <n v="4"/>
    <x v="3"/>
    <x v="0"/>
    <n v="2"/>
    <x v="1"/>
    <s v="Rukungiri"/>
    <s v="Rukungiri"/>
    <s v="UGA"/>
    <n v="1"/>
    <s v="Home"/>
    <s v="Ntungamo"/>
    <s v="Ntungamo"/>
    <s v="UGA"/>
    <n v="4"/>
    <s v="Commercial"/>
    <x v="0"/>
    <n v="5000"/>
    <m/>
    <x v="0"/>
    <n v="1"/>
    <x v="1"/>
    <n v="6"/>
    <s v="Businessman"/>
    <n v="1"/>
    <x v="2"/>
    <n v="1"/>
    <n v="3"/>
    <n v="4"/>
    <n v="5"/>
    <n v="2"/>
    <s v="Y"/>
    <m/>
    <x v="3"/>
  </r>
  <r>
    <d v="2019-10-22T00:00:00"/>
    <d v="1899-12-30T13:00:00"/>
    <m/>
    <s v="D"/>
    <n v="2"/>
    <s v="Road Vehicle"/>
    <n v="4"/>
    <x v="3"/>
    <x v="0"/>
    <n v="2"/>
    <x v="1"/>
    <s v="Rukungiri"/>
    <s v="Rukungiri"/>
    <s v="UGA"/>
    <n v="2"/>
    <s v="Work"/>
    <s v="Kampala"/>
    <s v="Kampala"/>
    <s v="UGA"/>
    <n v="1"/>
    <s v="Home"/>
    <x v="4"/>
    <n v="200000"/>
    <n v="390"/>
    <x v="3"/>
    <n v="8"/>
    <x v="2"/>
    <n v="10"/>
    <s v="Other"/>
    <n v="1"/>
    <x v="2"/>
    <n v="2"/>
    <n v="1"/>
    <n v="3"/>
    <n v="5"/>
    <n v="4"/>
    <s v="Y"/>
    <n v="1000"/>
    <x v="4"/>
  </r>
  <r>
    <d v="2019-10-22T00:00:00"/>
    <d v="1899-12-30T10:20:00"/>
    <m/>
    <s v="P"/>
    <n v="2"/>
    <s v="Road Vehicle"/>
    <n v="4"/>
    <x v="3"/>
    <x v="0"/>
    <n v="2"/>
    <x v="1"/>
    <s v="Bwoma"/>
    <s v="Rukungiri"/>
    <s v="UGA"/>
    <n v="1"/>
    <s v="Home"/>
    <s v="Nabugamba"/>
    <s v="Rukungiri"/>
    <s v="UGA"/>
    <n v="2"/>
    <s v="Work"/>
    <x v="1"/>
    <n v="2000"/>
    <n v="3"/>
    <x v="0"/>
    <n v="1.5"/>
    <x v="1"/>
    <n v="2"/>
    <s v="Manual Labour"/>
    <n v="1"/>
    <x v="2"/>
    <n v="3"/>
    <n v="2"/>
    <n v="1"/>
    <n v="5"/>
    <n v="4"/>
    <s v="Y"/>
    <m/>
    <x v="3"/>
  </r>
  <r>
    <d v="2019-10-22T00:00:00"/>
    <d v="1899-12-30T10:45:00"/>
    <m/>
    <s v="P"/>
    <n v="2"/>
    <s v="Road Vehicle"/>
    <n v="4"/>
    <x v="3"/>
    <x v="0"/>
    <n v="2"/>
    <x v="1"/>
    <s v="Kajeerwa"/>
    <s v="Rukungiri"/>
    <s v="UGA"/>
    <n v="2"/>
    <s v="Work"/>
    <s v="Nabugamba"/>
    <s v="Rukungiri"/>
    <s v="UGA"/>
    <n v="1"/>
    <s v="Home"/>
    <x v="4"/>
    <n v="2000"/>
    <n v="2"/>
    <x v="0"/>
    <n v="0.5"/>
    <x v="4"/>
    <n v="2"/>
    <s v="Manual Labour"/>
    <n v="1"/>
    <x v="2"/>
    <n v="4"/>
    <n v="1"/>
    <n v="3"/>
    <n v="5"/>
    <n v="2"/>
    <s v="Y"/>
    <n v="200"/>
    <x v="3"/>
  </r>
  <r>
    <d v="2019-10-22T00:00:00"/>
    <m/>
    <m/>
    <s v="P"/>
    <n v="2"/>
    <s v="Road Vehicle"/>
    <n v="4"/>
    <x v="3"/>
    <x v="0"/>
    <n v="2"/>
    <x v="1"/>
    <s v="Rukungiri"/>
    <s v="Rukungiri"/>
    <s v="UGA"/>
    <n v="1"/>
    <s v="Home"/>
    <s v="Bwashameii"/>
    <s v="Rukungiri"/>
    <s v="UGA"/>
    <n v="2"/>
    <s v="Work"/>
    <x v="1"/>
    <n v="5000"/>
    <n v="75"/>
    <x v="1"/>
    <n v="1"/>
    <x v="1"/>
    <n v="2"/>
    <s v="Manual Labour"/>
    <n v="1"/>
    <x v="2"/>
    <n v="3"/>
    <n v="1"/>
    <n v="2"/>
    <n v="5"/>
    <n v="4"/>
    <s v="Y"/>
    <n v="5000"/>
    <x v="2"/>
  </r>
  <r>
    <d v="2019-10-22T00:00:00"/>
    <m/>
    <m/>
    <s v="P"/>
    <n v="2"/>
    <s v="Road Vehicle"/>
    <n v="4"/>
    <x v="3"/>
    <x v="0"/>
    <n v="2"/>
    <x v="1"/>
    <s v="Rukungiri"/>
    <s v="Rukungiri"/>
    <s v="UGA"/>
    <n v="1"/>
    <s v="Home"/>
    <s v="Kanunga"/>
    <s v="Kanungu"/>
    <s v="UGA"/>
    <n v="2"/>
    <s v="Work"/>
    <x v="1"/>
    <n v="12000"/>
    <m/>
    <x v="0"/>
    <n v="1.5"/>
    <x v="1"/>
    <n v="6"/>
    <s v="Businessman"/>
    <n v="3"/>
    <x v="1"/>
    <n v="3"/>
    <n v="1"/>
    <n v="2"/>
    <n v="5"/>
    <n v="4"/>
    <s v="Y"/>
    <n v="1000"/>
    <x v="4"/>
  </r>
  <r>
    <d v="2019-10-22T00:00:00"/>
    <m/>
    <m/>
    <s v="D"/>
    <n v="2"/>
    <s v="Road Vehicle"/>
    <n v="4"/>
    <x v="3"/>
    <x v="0"/>
    <n v="2"/>
    <x v="1"/>
    <s v="Rukungiri"/>
    <s v="Rukungiri"/>
    <s v="UGA"/>
    <n v="1"/>
    <s v="Home"/>
    <s v="Ruhinda"/>
    <s v="Rukungiri"/>
    <s v="UGA"/>
    <n v="2"/>
    <s v="Work"/>
    <x v="1"/>
    <n v="30000"/>
    <n v="10"/>
    <x v="6"/>
    <n v="0.5"/>
    <x v="4"/>
    <n v="5"/>
    <s v="Professional"/>
    <n v="3"/>
    <x v="1"/>
    <n v="1"/>
    <n v="3"/>
    <n v="2"/>
    <n v="5"/>
    <n v="4"/>
    <s v="Y"/>
    <m/>
    <x v="3"/>
  </r>
  <r>
    <d v="2019-10-22T00:00:00"/>
    <m/>
    <m/>
    <s v="P"/>
    <n v="2"/>
    <s v="Road Vehicle"/>
    <n v="4"/>
    <x v="3"/>
    <x v="0"/>
    <n v="2"/>
    <x v="1"/>
    <s v="Rukungiri"/>
    <s v="Rukungiri"/>
    <s v="UGA"/>
    <n v="1"/>
    <s v="Home"/>
    <s v="Nyamunuka"/>
    <s v="Rukungiri"/>
    <s v="UGA"/>
    <n v="5"/>
    <s v="Tourism"/>
    <x v="20"/>
    <n v="5000"/>
    <n v="30"/>
    <x v="4"/>
    <n v="1"/>
    <x v="1"/>
    <n v="2"/>
    <s v="Manual Labour"/>
    <n v="1"/>
    <x v="2"/>
    <n v="2"/>
    <n v="1"/>
    <n v="5"/>
    <n v="3"/>
    <n v="4"/>
    <s v="Y"/>
    <n v="7000"/>
    <x v="2"/>
  </r>
  <r>
    <d v="2019-10-22T00:00:00"/>
    <m/>
    <m/>
    <s v="D"/>
    <n v="2"/>
    <s v="Road Vehicle"/>
    <n v="4"/>
    <x v="3"/>
    <x v="0"/>
    <n v="2"/>
    <x v="1"/>
    <s v="Rukungiri"/>
    <s v="Rukungiri"/>
    <s v="UGA"/>
    <n v="1"/>
    <s v="Home"/>
    <s v="Ishaka"/>
    <s v="Bushenyi"/>
    <s v="UGA"/>
    <n v="2"/>
    <s v="Work"/>
    <x v="1"/>
    <n v="80000"/>
    <n v="80"/>
    <x v="1"/>
    <n v="1.5"/>
    <x v="1"/>
    <n v="2"/>
    <s v="Manual Labour"/>
    <n v="3"/>
    <x v="1"/>
    <n v="2"/>
    <n v="3"/>
    <n v="1"/>
    <n v="4"/>
    <n v="5"/>
    <s v="Y"/>
    <n v="5000"/>
    <x v="2"/>
  </r>
  <r>
    <d v="2019-10-22T00:00:00"/>
    <m/>
    <m/>
    <s v="P"/>
    <n v="2"/>
    <s v="Road Vehicle"/>
    <n v="4"/>
    <x v="3"/>
    <x v="0"/>
    <n v="2"/>
    <x v="1"/>
    <s v="Rukungiri"/>
    <s v="Rukungiri"/>
    <s v="UGA"/>
    <n v="1"/>
    <s v="Home"/>
    <s v="Kabale"/>
    <s v="Kabale"/>
    <s v="UGA"/>
    <n v="4"/>
    <s v="Commercial"/>
    <x v="0"/>
    <n v="15000"/>
    <m/>
    <x v="0"/>
    <n v="2"/>
    <x v="0"/>
    <n v="4"/>
    <s v="Office Worker"/>
    <n v="2"/>
    <x v="3"/>
    <n v="2"/>
    <n v="3"/>
    <n v="5"/>
    <n v="4"/>
    <n v="1"/>
    <s v="Y"/>
    <m/>
    <x v="3"/>
  </r>
  <r>
    <d v="2019-10-22T00:00:00"/>
    <m/>
    <m/>
    <s v="P"/>
    <n v="2"/>
    <s v="Road Vehicle"/>
    <n v="4"/>
    <x v="3"/>
    <x v="0"/>
    <n v="2"/>
    <x v="1"/>
    <s v="Rukungiri"/>
    <s v="Rukungiri"/>
    <s v="UGA"/>
    <n v="1"/>
    <s v="Home"/>
    <s v="Mbarara"/>
    <s v="Mbarara"/>
    <s v="UGA"/>
    <n v="6"/>
    <s v="Leisure/Social"/>
    <x v="8"/>
    <n v="15000"/>
    <m/>
    <x v="0"/>
    <n v="3"/>
    <x v="0"/>
    <n v="4"/>
    <s v="Office Worker"/>
    <n v="4"/>
    <x v="0"/>
    <n v="3"/>
    <n v="5"/>
    <n v="4"/>
    <n v="2"/>
    <n v="1"/>
    <s v="Y"/>
    <n v="3000"/>
    <x v="0"/>
  </r>
  <r>
    <d v="2019-10-22T00:00:00"/>
    <m/>
    <m/>
    <s v="P"/>
    <n v="2"/>
    <s v="Road Vehicle"/>
    <n v="4"/>
    <x v="3"/>
    <x v="0"/>
    <n v="2"/>
    <x v="1"/>
    <s v="Rukungiri"/>
    <s v="Rukungiri"/>
    <s v="UGA"/>
    <n v="1"/>
    <s v="Home"/>
    <s v="Butogote"/>
    <s v="Kanungu"/>
    <s v="UGA"/>
    <n v="2"/>
    <s v="Work"/>
    <x v="1"/>
    <n v="15000"/>
    <n v="90"/>
    <x v="1"/>
    <n v="3"/>
    <x v="0"/>
    <n v="10"/>
    <s v="Other"/>
    <n v="1"/>
    <x v="2"/>
    <n v="3"/>
    <n v="2"/>
    <n v="1"/>
    <n v="5"/>
    <n v="4"/>
    <s v="Y"/>
    <n v="5000"/>
    <x v="2"/>
  </r>
  <r>
    <d v="2019-10-22T00:00:00"/>
    <m/>
    <m/>
    <s v="P"/>
    <n v="2"/>
    <s v="Road Vehicle"/>
    <n v="4"/>
    <x v="3"/>
    <x v="0"/>
    <n v="2"/>
    <x v="1"/>
    <s v="Kampala"/>
    <s v="Kampala"/>
    <s v="UGA"/>
    <n v="1"/>
    <s v="Home"/>
    <s v="Rukungiri"/>
    <s v="Rukungiri"/>
    <s v="UGA"/>
    <n v="2"/>
    <s v="Work"/>
    <x v="1"/>
    <n v="25000"/>
    <n v="400"/>
    <x v="3"/>
    <n v="7"/>
    <x v="2"/>
    <n v="4"/>
    <s v="Office Worker"/>
    <n v="5"/>
    <x v="4"/>
    <n v="1"/>
    <n v="3"/>
    <n v="2"/>
    <n v="4"/>
    <n v="5"/>
    <s v="Y"/>
    <m/>
    <x v="3"/>
  </r>
  <r>
    <d v="2019-10-22T00:00:00"/>
    <m/>
    <m/>
    <s v="D"/>
    <n v="2"/>
    <s v="Road Vehicle"/>
    <n v="4"/>
    <x v="3"/>
    <x v="0"/>
    <n v="2"/>
    <x v="1"/>
    <s v="Rukungiri"/>
    <s v="Rukungiri"/>
    <s v="UGA"/>
    <n v="1"/>
    <s v="Home"/>
    <s v="Mbarara"/>
    <s v="Mbarara"/>
    <s v="UGA"/>
    <n v="2"/>
    <s v="Work"/>
    <x v="1"/>
    <n v="130000"/>
    <n v="114"/>
    <x v="2"/>
    <n v="4"/>
    <x v="2"/>
    <n v="2"/>
    <s v="Manual Labour"/>
    <n v="1"/>
    <x v="2"/>
    <m/>
    <m/>
    <m/>
    <m/>
    <m/>
    <s v="Y"/>
    <n v="1000"/>
    <x v="4"/>
  </r>
  <r>
    <d v="2019-10-22T00:00:00"/>
    <m/>
    <m/>
    <s v="P"/>
    <n v="2"/>
    <s v="Road Vehicle"/>
    <n v="4"/>
    <x v="3"/>
    <x v="0"/>
    <n v="2"/>
    <x v="1"/>
    <s v="Rukungiri"/>
    <s v="Rukungiri"/>
    <s v="UGA"/>
    <n v="1"/>
    <s v="Home"/>
    <s v="Mbarara"/>
    <s v="Mbarara"/>
    <s v="UGA"/>
    <n v="4"/>
    <s v="Commercial"/>
    <x v="0"/>
    <n v="10000"/>
    <n v="120"/>
    <x v="2"/>
    <n v="3"/>
    <x v="0"/>
    <n v="6"/>
    <s v="Businessman"/>
    <n v="2"/>
    <x v="3"/>
    <n v="3"/>
    <n v="2"/>
    <n v="4"/>
    <n v="5"/>
    <n v="1"/>
    <s v="Y"/>
    <n v="4000"/>
    <x v="0"/>
  </r>
  <r>
    <d v="2019-10-22T00:00:00"/>
    <m/>
    <m/>
    <s v="D"/>
    <n v="2"/>
    <s v="Road Vehicle"/>
    <n v="4"/>
    <x v="3"/>
    <x v="0"/>
    <n v="2"/>
    <x v="1"/>
    <s v="Rukungiri"/>
    <s v="Rukungiri"/>
    <s v="UGA"/>
    <n v="1"/>
    <s v="Home"/>
    <s v="Butogote"/>
    <s v="Kanungu"/>
    <s v="UGA"/>
    <n v="2"/>
    <s v="Work"/>
    <x v="1"/>
    <n v="120000"/>
    <n v="85"/>
    <x v="1"/>
    <n v="1.5"/>
    <x v="1"/>
    <n v="5"/>
    <s v="Professional"/>
    <n v="3"/>
    <x v="1"/>
    <n v="1"/>
    <n v="3"/>
    <n v="4"/>
    <n v="5"/>
    <n v="2"/>
    <s v="Y"/>
    <m/>
    <x v="3"/>
  </r>
  <r>
    <d v="2019-10-23T00:00:00"/>
    <m/>
    <m/>
    <s v="D"/>
    <n v="2"/>
    <s v="Road Vehicle"/>
    <n v="4"/>
    <x v="3"/>
    <x v="0"/>
    <n v="2"/>
    <x v="1"/>
    <s v="Rukungiri"/>
    <s v="Rukungiri"/>
    <s v="UGA"/>
    <n v="1"/>
    <s v="Home"/>
    <s v="Kebisoni"/>
    <s v="Rukungiri"/>
    <s v="UGA"/>
    <n v="4"/>
    <s v="Commercial"/>
    <x v="0"/>
    <n v="3000"/>
    <n v="20"/>
    <x v="4"/>
    <n v="1"/>
    <x v="1"/>
    <n v="2"/>
    <s v="Manual Labour"/>
    <n v="1"/>
    <x v="2"/>
    <n v="1"/>
    <n v="3"/>
    <n v="5"/>
    <n v="4"/>
    <n v="2"/>
    <s v="Y"/>
    <m/>
    <x v="3"/>
  </r>
  <r>
    <d v="2019-10-23T00:00:00"/>
    <d v="1899-12-30T07:57:00"/>
    <m/>
    <s v="P"/>
    <n v="2"/>
    <s v="Road Vehicle"/>
    <n v="4"/>
    <x v="3"/>
    <x v="0"/>
    <n v="2"/>
    <x v="1"/>
    <s v="Rukungiri"/>
    <s v="Rukungiri"/>
    <s v="UGA"/>
    <n v="1"/>
    <s v="Home"/>
    <s v="Mbarara"/>
    <s v="Mbarara"/>
    <m/>
    <n v="4"/>
    <s v="Commercial"/>
    <x v="0"/>
    <n v="20000"/>
    <m/>
    <x v="0"/>
    <n v="3"/>
    <x v="0"/>
    <n v="6"/>
    <s v="Businessman"/>
    <n v="4"/>
    <x v="0"/>
    <n v="3"/>
    <n v="5"/>
    <n v="1"/>
    <n v="2"/>
    <n v="4"/>
    <s v="Y"/>
    <n v="10000"/>
    <x v="5"/>
  </r>
  <r>
    <d v="2019-10-23T00:00:00"/>
    <d v="1899-12-30T08:05:00"/>
    <m/>
    <s v="P"/>
    <n v="2"/>
    <s v="Road Vehicle"/>
    <n v="4"/>
    <x v="3"/>
    <x v="0"/>
    <n v="2"/>
    <x v="1"/>
    <s v="Rukungiri"/>
    <s v="Rukungiri"/>
    <s v="UGA"/>
    <n v="1"/>
    <s v="Home"/>
    <s v="Lyantonde"/>
    <s v="Lyantonde"/>
    <m/>
    <n v="2"/>
    <s v="Work"/>
    <x v="1"/>
    <n v="25000"/>
    <m/>
    <x v="0"/>
    <n v="6"/>
    <x v="2"/>
    <n v="5"/>
    <s v="Professional"/>
    <n v="3"/>
    <x v="1"/>
    <n v="1"/>
    <n v="2"/>
    <n v="5"/>
    <n v="4"/>
    <n v="3"/>
    <s v="Y"/>
    <n v="10000"/>
    <x v="5"/>
  </r>
  <r>
    <d v="2019-10-23T00:00:00"/>
    <d v="1899-12-30T08:35:00"/>
    <m/>
    <s v="P"/>
    <n v="2"/>
    <s v="Road Vehicle"/>
    <n v="4"/>
    <x v="3"/>
    <x v="0"/>
    <n v="2"/>
    <x v="1"/>
    <s v="Rukungiri"/>
    <s v="Rukungiri"/>
    <s v="UGA"/>
    <n v="1"/>
    <s v="Home"/>
    <s v="Kampala"/>
    <s v="Kampala"/>
    <m/>
    <n v="4"/>
    <s v="Commercial"/>
    <x v="0"/>
    <n v="30000"/>
    <m/>
    <x v="0"/>
    <n v="8.5"/>
    <x v="2"/>
    <n v="6"/>
    <s v="Businessman"/>
    <n v="5"/>
    <x v="4"/>
    <n v="2"/>
    <n v="1"/>
    <n v="5"/>
    <n v="4"/>
    <n v="3"/>
    <s v="Y"/>
    <m/>
    <x v="3"/>
  </r>
  <r>
    <d v="2019-10-23T00:00:00"/>
    <d v="1899-12-30T09:15:00"/>
    <m/>
    <s v="P"/>
    <n v="2"/>
    <s v="Road Vehicle"/>
    <n v="4"/>
    <x v="3"/>
    <x v="0"/>
    <n v="2"/>
    <x v="1"/>
    <s v="Rukungiri"/>
    <s v="Rukungiri"/>
    <s v="UGA"/>
    <n v="1"/>
    <s v="Home"/>
    <s v="Kampala"/>
    <s v="Kampala"/>
    <m/>
    <n v="2"/>
    <s v="Work"/>
    <x v="1"/>
    <n v="30000"/>
    <m/>
    <x v="0"/>
    <n v="9"/>
    <x v="2"/>
    <n v="7"/>
    <s v="Farmer"/>
    <n v="4"/>
    <x v="0"/>
    <n v="4"/>
    <n v="5"/>
    <n v="3"/>
    <n v="1"/>
    <n v="2"/>
    <s v="Y"/>
    <m/>
    <x v="3"/>
  </r>
  <r>
    <d v="2019-10-23T00:00:00"/>
    <d v="1899-12-30T09:30:00"/>
    <m/>
    <s v="P"/>
    <n v="2"/>
    <s v="Road Vehicle"/>
    <n v="4"/>
    <x v="3"/>
    <x v="0"/>
    <n v="2"/>
    <x v="1"/>
    <s v="Rukungiri"/>
    <s v="Rukungiri"/>
    <s v="UGA"/>
    <n v="2"/>
    <s v="Work"/>
    <s v="Kampala"/>
    <s v="Kampala"/>
    <m/>
    <n v="2"/>
    <s v="Work"/>
    <x v="2"/>
    <n v="200000"/>
    <m/>
    <x v="0"/>
    <n v="8"/>
    <x v="2"/>
    <n v="10"/>
    <s v="Other"/>
    <n v="4"/>
    <x v="0"/>
    <n v="5"/>
    <n v="1"/>
    <n v="4"/>
    <n v="2"/>
    <n v="3"/>
    <s v="Y"/>
    <n v="10000"/>
    <x v="5"/>
  </r>
  <r>
    <d v="2019-10-23T00:00:00"/>
    <d v="1899-12-30T09:54:00"/>
    <m/>
    <s v="D"/>
    <n v="2"/>
    <s v="Road Vehicle"/>
    <n v="4"/>
    <x v="3"/>
    <x v="0"/>
    <n v="2"/>
    <x v="1"/>
    <s v="Kabale"/>
    <s v="Kabale"/>
    <s v="UGA"/>
    <n v="4"/>
    <s v="Commercial"/>
    <s v="Rukungiri"/>
    <s v="Rukungiri"/>
    <m/>
    <n v="4"/>
    <s v="Commercial"/>
    <x v="18"/>
    <n v="40000"/>
    <m/>
    <x v="0"/>
    <n v="0.3"/>
    <x v="3"/>
    <n v="10"/>
    <s v="Other"/>
    <n v="4"/>
    <x v="0"/>
    <n v="5"/>
    <n v="1"/>
    <n v="4"/>
    <n v="2"/>
    <n v="3"/>
    <s v="Y"/>
    <m/>
    <x v="3"/>
  </r>
  <r>
    <d v="2019-10-22T00:00:00"/>
    <d v="1899-12-30T14:00:00"/>
    <m/>
    <s v="D"/>
    <n v="2"/>
    <s v="Road Vehicle"/>
    <n v="3"/>
    <x v="9"/>
    <x v="0"/>
    <n v="2"/>
    <x v="1"/>
    <s v="Kebusoni"/>
    <s v="Rukungiri"/>
    <s v="UGA"/>
    <n v="1"/>
    <s v="Home"/>
    <s v="Rukungiri"/>
    <s v="Rukungiri"/>
    <s v="UGA"/>
    <n v="2"/>
    <s v="Work"/>
    <x v="1"/>
    <n v="50000"/>
    <n v="45"/>
    <x v="5"/>
    <n v="2"/>
    <x v="0"/>
    <n v="7"/>
    <s v="Farmer"/>
    <n v="2"/>
    <x v="3"/>
    <n v="1"/>
    <n v="4"/>
    <n v="2"/>
    <n v="5"/>
    <n v="3"/>
    <s v="Y"/>
    <n v="1500"/>
    <x v="4"/>
  </r>
  <r>
    <d v="2019-10-23T00:00:00"/>
    <d v="1899-12-30T16:18:00"/>
    <m/>
    <s v="P"/>
    <n v="2"/>
    <s v="Road Vehicle"/>
    <n v="3"/>
    <x v="9"/>
    <x v="0"/>
    <n v="2"/>
    <x v="1"/>
    <s v="Rukungiri"/>
    <s v="Rukungiri"/>
    <s v="UGA"/>
    <n v="1"/>
    <s v="Home"/>
    <s v="Ishaka"/>
    <s v="Bushenyi"/>
    <m/>
    <n v="2"/>
    <s v="Work"/>
    <x v="1"/>
    <n v="12000"/>
    <m/>
    <x v="0"/>
    <n v="0.7"/>
    <x v="4"/>
    <n v="4"/>
    <s v="Office Worker"/>
    <n v="2"/>
    <x v="3"/>
    <n v="2"/>
    <n v="3"/>
    <n v="5"/>
    <n v="1"/>
    <n v="4"/>
    <s v="Y"/>
    <n v="2000"/>
    <x v="1"/>
  </r>
  <r>
    <d v="2019-10-22T00:00:00"/>
    <m/>
    <m/>
    <s v="D"/>
    <n v="2"/>
    <s v="Road Vehicle"/>
    <n v="2"/>
    <x v="6"/>
    <x v="1"/>
    <n v="2"/>
    <x v="1"/>
    <s v="Kihimba"/>
    <s v="Rukungiri"/>
    <s v="UGA"/>
    <n v="2"/>
    <s v="Work"/>
    <s v="Kisenyi"/>
    <s v="Mbarara"/>
    <s v="UGA"/>
    <n v="4"/>
    <s v="Commercial"/>
    <x v="17"/>
    <n v="150000"/>
    <n v="120"/>
    <x v="2"/>
    <n v="3"/>
    <x v="0"/>
    <n v="4"/>
    <s v="Office Worker"/>
    <n v="5"/>
    <x v="4"/>
    <n v="2"/>
    <n v="5"/>
    <n v="4"/>
    <n v="3"/>
    <n v="1"/>
    <s v="Y"/>
    <n v="10000"/>
    <x v="5"/>
  </r>
  <r>
    <d v="2019-10-23T00:00:00"/>
    <d v="1899-12-30T10:08:00"/>
    <m/>
    <s v="P"/>
    <n v="2"/>
    <s v="Road Vehicle"/>
    <n v="2"/>
    <x v="6"/>
    <x v="1"/>
    <n v="2"/>
    <x v="1"/>
    <s v="Ntungamo"/>
    <s v="Ntungamo"/>
    <s v="UGA"/>
    <n v="8"/>
    <s v="Others"/>
    <s v="Rukungiri"/>
    <s v="Rukungiri"/>
    <m/>
    <n v="2"/>
    <s v="Work"/>
    <x v="14"/>
    <n v="5000"/>
    <m/>
    <x v="0"/>
    <n v="0.7"/>
    <x v="4"/>
    <n v="4"/>
    <s v="Office Worker"/>
    <n v="2"/>
    <x v="3"/>
    <n v="5"/>
    <n v="3"/>
    <n v="4"/>
    <n v="1"/>
    <n v="2"/>
    <s v="Y"/>
    <n v="1000"/>
    <x v="4"/>
  </r>
  <r>
    <d v="2019-10-23T00:00:00"/>
    <d v="1899-12-30T15:01:00"/>
    <m/>
    <s v="P"/>
    <n v="2"/>
    <s v="Road Vehicle"/>
    <n v="2"/>
    <x v="6"/>
    <x v="1"/>
    <n v="2"/>
    <x v="1"/>
    <s v="Kampala"/>
    <s v="Kampala"/>
    <s v="UGA"/>
    <n v="4"/>
    <s v="Commercial"/>
    <s v="Ntungamo"/>
    <s v="Ntungamo"/>
    <m/>
    <n v="4"/>
    <s v="Commercial"/>
    <x v="18"/>
    <n v="30000"/>
    <m/>
    <x v="0"/>
    <n v="8"/>
    <x v="2"/>
    <n v="5"/>
    <s v="Professional"/>
    <n v="4"/>
    <x v="0"/>
    <n v="5"/>
    <n v="1"/>
    <n v="3"/>
    <n v="4"/>
    <n v="2"/>
    <s v="Y"/>
    <m/>
    <x v="3"/>
  </r>
  <r>
    <d v="2019-10-21T00:00:00"/>
    <d v="1899-12-30T15:00:00"/>
    <m/>
    <s v="D"/>
    <n v="2"/>
    <s v="Road Vehicle"/>
    <n v="2"/>
    <x v="6"/>
    <x v="1"/>
    <n v="2"/>
    <x v="1"/>
    <s v="Wakabengo"/>
    <s v="Rukungiri"/>
    <s v="UGA"/>
    <n v="2"/>
    <s v="Work"/>
    <s v="Town"/>
    <s v="Rukungiri"/>
    <s v="UGA"/>
    <n v="1"/>
    <s v="Home"/>
    <x v="4"/>
    <n v="5000"/>
    <n v="1"/>
    <x v="0"/>
    <n v="0.5"/>
    <x v="4"/>
    <n v="4"/>
    <s v="Office Worker"/>
    <n v="2"/>
    <x v="3"/>
    <n v="4"/>
    <n v="3"/>
    <n v="2"/>
    <n v="5"/>
    <n v="1"/>
    <s v="Y"/>
    <n v="5000"/>
    <x v="2"/>
  </r>
  <r>
    <d v="2019-10-23T00:00:00"/>
    <d v="1899-12-30T07:43:00"/>
    <m/>
    <s v="P"/>
    <n v="2"/>
    <s v="Road Vehicle"/>
    <n v="2"/>
    <x v="6"/>
    <x v="1"/>
    <n v="2"/>
    <x v="1"/>
    <s v="Kagamba"/>
    <s v="Kagamba"/>
    <s v="UGA"/>
    <n v="8"/>
    <s v="Others"/>
    <s v="Rukungiri"/>
    <s v="Rukungiri"/>
    <m/>
    <n v="2"/>
    <s v="Work"/>
    <x v="14"/>
    <n v="15000"/>
    <m/>
    <x v="0"/>
    <n v="2.5"/>
    <x v="0"/>
    <n v="5"/>
    <s v="Professional"/>
    <n v="4"/>
    <x v="0"/>
    <n v="2"/>
    <n v="1"/>
    <n v="5"/>
    <n v="3"/>
    <n v="4"/>
    <s v="Y"/>
    <n v="1000"/>
    <x v="4"/>
  </r>
  <r>
    <d v="2019-10-23T00:00:00"/>
    <d v="1899-12-30T10:32:00"/>
    <m/>
    <s v="P"/>
    <n v="2"/>
    <s v="Road Vehicle"/>
    <n v="2"/>
    <x v="6"/>
    <x v="1"/>
    <n v="2"/>
    <x v="1"/>
    <s v="Burundi"/>
    <s v="Kanungu"/>
    <s v="UGA"/>
    <n v="8"/>
    <s v="Others"/>
    <s v="Rukungiri"/>
    <s v="Rukungiri"/>
    <m/>
    <n v="8"/>
    <s v="Others"/>
    <x v="15"/>
    <n v="20000"/>
    <m/>
    <x v="0"/>
    <n v="5"/>
    <x v="2"/>
    <n v="5"/>
    <s v="Professional"/>
    <n v="4"/>
    <x v="0"/>
    <n v="5"/>
    <n v="4"/>
    <n v="2"/>
    <n v="1"/>
    <n v="3"/>
    <s v="Y"/>
    <n v="2000"/>
    <x v="1"/>
  </r>
  <r>
    <d v="2019-10-23T00:00:00"/>
    <d v="1899-12-30T14:43:00"/>
    <m/>
    <s v="P"/>
    <n v="2"/>
    <s v="Road Vehicle"/>
    <n v="2"/>
    <x v="6"/>
    <x v="1"/>
    <n v="2"/>
    <x v="1"/>
    <s v="Kampala"/>
    <s v="Kampala"/>
    <s v="UGA"/>
    <n v="2"/>
    <s v="Work"/>
    <s v="Bwindi"/>
    <s v="Kanungu"/>
    <m/>
    <n v="6"/>
    <s v="Leisure/Social"/>
    <x v="5"/>
    <n v="30000"/>
    <m/>
    <x v="0"/>
    <n v="8.5"/>
    <x v="2"/>
    <n v="5"/>
    <s v="Professional"/>
    <n v="5"/>
    <x v="4"/>
    <n v="3"/>
    <n v="1"/>
    <n v="4"/>
    <n v="2"/>
    <n v="5"/>
    <s v="Y"/>
    <n v="10000"/>
    <x v="5"/>
  </r>
  <r>
    <d v="2019-10-21T00:00:00"/>
    <d v="1899-12-30T15:10:00"/>
    <m/>
    <s v="P"/>
    <n v="2"/>
    <s v="Road Vehicle"/>
    <n v="1"/>
    <x v="0"/>
    <x v="0"/>
    <n v="3"/>
    <x v="2"/>
    <s v="Rwabigagula"/>
    <s v="Rukungiri"/>
    <s v="UGA"/>
    <n v="1"/>
    <s v="Home"/>
    <s v="Town"/>
    <s v="Rukungiri"/>
    <s v="UGA"/>
    <n v="2"/>
    <s v="Work"/>
    <x v="1"/>
    <n v="7000"/>
    <m/>
    <x v="0"/>
    <n v="1.5"/>
    <x v="1"/>
    <n v="6"/>
    <s v="Businessman"/>
    <n v="1"/>
    <x v="2"/>
    <n v="2"/>
    <n v="3"/>
    <n v="4"/>
    <n v="5"/>
    <n v="1"/>
    <s v="Y"/>
    <n v="1000"/>
    <x v="4"/>
  </r>
  <r>
    <d v="2019-10-22T00:00:00"/>
    <d v="1899-12-30T09:54:00"/>
    <m/>
    <s v="P"/>
    <n v="2"/>
    <s v="Road Vehicle"/>
    <n v="1"/>
    <x v="0"/>
    <x v="0"/>
    <n v="3"/>
    <x v="2"/>
    <s v="Kanya"/>
    <s v="Rukungiri"/>
    <s v="UGA"/>
    <n v="2"/>
    <s v="Work"/>
    <s v="Republic"/>
    <s v="Rukungiri"/>
    <s v="UGA"/>
    <n v="1"/>
    <s v="Home"/>
    <x v="4"/>
    <n v="3000"/>
    <n v="5"/>
    <x v="0"/>
    <n v="0.5"/>
    <x v="4"/>
    <n v="6"/>
    <s v="Businessman"/>
    <n v="1"/>
    <x v="2"/>
    <n v="1"/>
    <n v="5"/>
    <n v="4"/>
    <n v="2"/>
    <n v="3"/>
    <s v="Y"/>
    <n v="1000"/>
    <x v="4"/>
  </r>
  <r>
    <d v="2019-10-22T00:00:00"/>
    <m/>
    <m/>
    <s v="D"/>
    <n v="2"/>
    <s v="Road Vehicle"/>
    <n v="1"/>
    <x v="0"/>
    <x v="0"/>
    <n v="3"/>
    <x v="2"/>
    <s v="Rukungiri"/>
    <s v="Rukungiri"/>
    <s v="UGA"/>
    <n v="1"/>
    <s v="Home"/>
    <s v="Ishaka"/>
    <s v="Bushenyi"/>
    <s v="UGA"/>
    <n v="2"/>
    <s v="Work"/>
    <x v="1"/>
    <n v="50000"/>
    <n v="70"/>
    <x v="1"/>
    <n v="2"/>
    <x v="0"/>
    <n v="6"/>
    <s v="Businessman"/>
    <n v="3"/>
    <x v="1"/>
    <n v="2"/>
    <n v="3"/>
    <n v="1"/>
    <n v="4"/>
    <n v="5"/>
    <s v="Y"/>
    <m/>
    <x v="3"/>
  </r>
  <r>
    <d v="2019-10-21T00:00:00"/>
    <d v="1899-12-30T17:47:00"/>
    <m/>
    <s v="D"/>
    <n v="2"/>
    <s v="Road Vehicle"/>
    <n v="6"/>
    <x v="1"/>
    <x v="1"/>
    <n v="3"/>
    <x v="2"/>
    <s v="Rukungiri"/>
    <s v="Rukungiri"/>
    <s v="UGA"/>
    <n v="4"/>
    <s v="Commercial"/>
    <s v="Kampala"/>
    <s v="Kampala"/>
    <s v="UGA"/>
    <n v="4"/>
    <s v="Commercial"/>
    <x v="18"/>
    <n v="1000000"/>
    <m/>
    <x v="0"/>
    <n v="8"/>
    <x v="2"/>
    <n v="10"/>
    <s v="Other"/>
    <n v="1"/>
    <x v="2"/>
    <n v="5"/>
    <n v="1"/>
    <n v="4"/>
    <n v="2"/>
    <n v="3"/>
    <s v="Y"/>
    <n v="5000"/>
    <x v="2"/>
  </r>
  <r>
    <d v="2019-10-22T00:00:00"/>
    <d v="1899-12-30T14:38:00"/>
    <m/>
    <m/>
    <n v="2"/>
    <s v="Road Vehicle"/>
    <n v="6"/>
    <x v="1"/>
    <x v="1"/>
    <n v="3"/>
    <x v="2"/>
    <s v="Rukungiri"/>
    <s v="Rukungiri"/>
    <s v="UGA"/>
    <n v="2"/>
    <s v="Work"/>
    <s v="Kampala"/>
    <s v="Kampala"/>
    <s v="UGA"/>
    <n v="4"/>
    <s v="Commercial"/>
    <x v="17"/>
    <n v="30000"/>
    <n v="400"/>
    <x v="3"/>
    <n v="7"/>
    <x v="2"/>
    <n v="5"/>
    <s v="Professional"/>
    <n v="2"/>
    <x v="3"/>
    <n v="1"/>
    <n v="2"/>
    <n v="3"/>
    <n v="5"/>
    <n v="4"/>
    <s v="Y"/>
    <n v="5000"/>
    <x v="2"/>
  </r>
  <r>
    <d v="2019-10-21T00:00:00"/>
    <d v="1899-12-30T16:59:00"/>
    <m/>
    <s v="D"/>
    <n v="2"/>
    <s v="Road Vehicle"/>
    <n v="6"/>
    <x v="1"/>
    <x v="0"/>
    <n v="3"/>
    <x v="2"/>
    <s v="Wakabengo"/>
    <s v="Rukungiri"/>
    <s v="UGA"/>
    <n v="2"/>
    <s v="Work"/>
    <s v="Rubaga"/>
    <s v="Kampala"/>
    <s v="UGA"/>
    <n v="1"/>
    <s v="Home"/>
    <x v="4"/>
    <n v="450000"/>
    <n v="412"/>
    <x v="3"/>
    <n v="6"/>
    <x v="2"/>
    <n v="10"/>
    <s v="Other"/>
    <n v="2"/>
    <x v="3"/>
    <n v="1"/>
    <n v="2"/>
    <n v="4"/>
    <n v="5"/>
    <n v="3"/>
    <s v="Y"/>
    <m/>
    <x v="3"/>
  </r>
  <r>
    <d v="2019-10-21T00:00:00"/>
    <d v="1899-12-30T15:58:00"/>
    <m/>
    <s v="D"/>
    <n v="2"/>
    <s v="Road Vehicle"/>
    <n v="6"/>
    <x v="1"/>
    <x v="0"/>
    <n v="3"/>
    <x v="2"/>
    <s v="Kyinyasano"/>
    <s v="Rukungiri"/>
    <s v="UGA"/>
    <n v="2"/>
    <s v="Work"/>
    <s v="Kisenyi"/>
    <s v="Kampala"/>
    <s v="UGA"/>
    <n v="1"/>
    <s v="Home"/>
    <x v="4"/>
    <n v="700000"/>
    <n v="390"/>
    <x v="3"/>
    <n v="7"/>
    <x v="2"/>
    <n v="10"/>
    <s v="Other"/>
    <n v="1"/>
    <x v="2"/>
    <n v="5"/>
    <n v="4"/>
    <n v="1"/>
    <n v="3"/>
    <n v="2"/>
    <s v="Y"/>
    <n v="3000"/>
    <x v="0"/>
  </r>
  <r>
    <d v="2019-10-21T00:00:00"/>
    <d v="1899-12-30T18:09:00"/>
    <m/>
    <s v="D"/>
    <n v="2"/>
    <s v="Road Vehicle"/>
    <n v="6"/>
    <x v="1"/>
    <x v="0"/>
    <n v="3"/>
    <x v="2"/>
    <s v="Kampala"/>
    <s v="Kampala"/>
    <s v="UGA"/>
    <n v="4"/>
    <s v="Commercial"/>
    <s v="Rukungiri"/>
    <s v="Rukungiri"/>
    <s v="UGA"/>
    <n v="4"/>
    <s v="Commercial"/>
    <x v="18"/>
    <n v="1200000"/>
    <m/>
    <x v="0"/>
    <n v="7"/>
    <x v="2"/>
    <n v="10"/>
    <s v="Other"/>
    <n v="3"/>
    <x v="1"/>
    <n v="5"/>
    <n v="2"/>
    <n v="4"/>
    <n v="1"/>
    <n v="3"/>
    <s v="Y"/>
    <n v="10000"/>
    <x v="5"/>
  </r>
  <r>
    <d v="2019-10-22T00:00:00"/>
    <d v="1899-12-30T15:42:00"/>
    <m/>
    <s v="D"/>
    <n v="2"/>
    <s v="Road Vehicle"/>
    <n v="6"/>
    <x v="1"/>
    <x v="0"/>
    <n v="3"/>
    <x v="2"/>
    <m/>
    <m/>
    <s v="UGA"/>
    <n v="2"/>
    <s v="Work"/>
    <m/>
    <m/>
    <s v="UGA"/>
    <n v="1"/>
    <s v="Home"/>
    <x v="4"/>
    <n v="650000"/>
    <n v="390"/>
    <x v="3"/>
    <n v="7"/>
    <x v="2"/>
    <n v="10"/>
    <s v="Other"/>
    <n v="4"/>
    <x v="0"/>
    <n v="2"/>
    <n v="1"/>
    <n v="5"/>
    <n v="3"/>
    <n v="4"/>
    <s v="Y"/>
    <n v="5000"/>
    <x v="2"/>
  </r>
  <r>
    <d v="2019-10-22T00:00:00"/>
    <d v="1899-12-30T12:00:00"/>
    <m/>
    <s v="D"/>
    <n v="2"/>
    <s v="Road Vehicle"/>
    <n v="6"/>
    <x v="1"/>
    <x v="0"/>
    <n v="3"/>
    <x v="2"/>
    <s v="Town"/>
    <s v="Rukungiri"/>
    <s v="UGA"/>
    <n v="2"/>
    <s v="Work"/>
    <s v="Mbarara"/>
    <s v="Mbarara"/>
    <s v="UGA"/>
    <n v="1"/>
    <s v="Home"/>
    <x v="4"/>
    <n v="650000"/>
    <n v="100"/>
    <x v="2"/>
    <n v="3.5"/>
    <x v="2"/>
    <n v="10"/>
    <s v="Other"/>
    <n v="1"/>
    <x v="2"/>
    <n v="2"/>
    <n v="1"/>
    <n v="3"/>
    <n v="5"/>
    <n v="4"/>
    <s v="Y"/>
    <n v="5000"/>
    <x v="2"/>
  </r>
  <r>
    <d v="2019-10-22T00:00:00"/>
    <d v="1899-12-30T14:11:00"/>
    <m/>
    <s v="D"/>
    <n v="2"/>
    <s v="Road Vehicle"/>
    <n v="6"/>
    <x v="1"/>
    <x v="0"/>
    <n v="3"/>
    <x v="2"/>
    <s v="Nabugabo"/>
    <s v="Rukungiri"/>
    <s v="UGA"/>
    <n v="2"/>
    <s v="Work"/>
    <s v="Kibaale"/>
    <s v="Mbarara"/>
    <s v="UGA"/>
    <n v="1"/>
    <s v="Home"/>
    <x v="4"/>
    <n v="400000"/>
    <n v="115"/>
    <x v="2"/>
    <n v="3.5"/>
    <x v="2"/>
    <n v="10"/>
    <s v="Other"/>
    <n v="2"/>
    <x v="3"/>
    <n v="1"/>
    <n v="2"/>
    <n v="3"/>
    <n v="4"/>
    <n v="5"/>
    <s v="Y"/>
    <n v="5000"/>
    <x v="2"/>
  </r>
  <r>
    <d v="2019-10-23T00:00:00"/>
    <d v="1899-12-30T14:01:00"/>
    <m/>
    <s v="D"/>
    <n v="2"/>
    <s v="Road Vehicle"/>
    <n v="6"/>
    <x v="1"/>
    <x v="0"/>
    <n v="3"/>
    <x v="2"/>
    <s v="Rukungiri"/>
    <s v="Rukungiri"/>
    <s v="UGA"/>
    <n v="2"/>
    <s v="Work"/>
    <s v="Kampala"/>
    <s v="Kampala"/>
    <s v="UGA"/>
    <n v="1"/>
    <s v="Home"/>
    <x v="4"/>
    <n v="700000"/>
    <n v="396"/>
    <x v="3"/>
    <n v="7.5"/>
    <x v="2"/>
    <n v="10"/>
    <s v="Other"/>
    <n v="3"/>
    <x v="1"/>
    <n v="1"/>
    <n v="3"/>
    <n v="2"/>
    <n v="5"/>
    <n v="4"/>
    <s v="Y"/>
    <m/>
    <x v="3"/>
  </r>
  <r>
    <d v="2019-10-23T00:00:00"/>
    <d v="1899-12-30T13:52:00"/>
    <m/>
    <s v="D"/>
    <n v="2"/>
    <s v="Road Vehicle"/>
    <n v="6"/>
    <x v="1"/>
    <x v="0"/>
    <n v="3"/>
    <x v="2"/>
    <s v="Wakabengo"/>
    <s v="Rukungiri"/>
    <s v="UGA"/>
    <n v="1"/>
    <s v="Home"/>
    <s v="Kampala"/>
    <s v="Kampala"/>
    <s v="UGA"/>
    <n v="2"/>
    <s v="Work"/>
    <x v="1"/>
    <n v="650000"/>
    <n v="370"/>
    <x v="3"/>
    <n v="7"/>
    <x v="2"/>
    <n v="10"/>
    <s v="Other"/>
    <n v="3"/>
    <x v="1"/>
    <n v="2"/>
    <n v="3"/>
    <n v="4"/>
    <n v="5"/>
    <n v="1"/>
    <s v="Y"/>
    <n v="1000"/>
    <x v="4"/>
  </r>
  <r>
    <d v="2019-10-23T00:00:00"/>
    <d v="1899-12-30T17:05:00"/>
    <m/>
    <s v="D"/>
    <n v="2"/>
    <s v="Road Vehicle"/>
    <n v="6"/>
    <x v="1"/>
    <x v="0"/>
    <n v="3"/>
    <x v="2"/>
    <s v="Rukungiri"/>
    <s v="Rukungiri"/>
    <s v="UGA"/>
    <n v="2"/>
    <s v="Work"/>
    <s v="Mbarara"/>
    <s v="Mbarara"/>
    <s v="UGA"/>
    <n v="1"/>
    <s v="Home"/>
    <x v="4"/>
    <n v="600000"/>
    <n v="390"/>
    <x v="3"/>
    <n v="7"/>
    <x v="2"/>
    <n v="10"/>
    <s v="Other"/>
    <n v="4"/>
    <x v="0"/>
    <n v="2"/>
    <n v="1"/>
    <n v="5"/>
    <n v="4"/>
    <n v="3"/>
    <s v="Y"/>
    <n v="4000"/>
    <x v="0"/>
  </r>
  <r>
    <d v="2019-10-23T00:00:00"/>
    <d v="1899-12-30T17:21:00"/>
    <m/>
    <s v="D"/>
    <n v="2"/>
    <s v="Road Vehicle"/>
    <n v="6"/>
    <x v="1"/>
    <x v="0"/>
    <n v="3"/>
    <x v="2"/>
    <s v="Rukungiri"/>
    <s v="Rukungiri"/>
    <s v="UGA"/>
    <n v="2"/>
    <s v="Work"/>
    <s v="Kampala"/>
    <s v="Kampala"/>
    <s v="UGA"/>
    <n v="1"/>
    <s v="Home"/>
    <x v="4"/>
    <n v="600000"/>
    <n v="390"/>
    <x v="3"/>
    <n v="7.5"/>
    <x v="2"/>
    <n v="10"/>
    <s v="Other"/>
    <n v="4"/>
    <x v="0"/>
    <n v="2"/>
    <n v="1"/>
    <n v="3"/>
    <n v="5"/>
    <n v="4"/>
    <s v="Y"/>
    <n v="10000"/>
    <x v="5"/>
  </r>
  <r>
    <d v="2019-10-23T00:00:00"/>
    <d v="1899-12-30T16:33:00"/>
    <m/>
    <s v="D"/>
    <n v="2"/>
    <s v="Road Vehicle"/>
    <n v="6"/>
    <x v="1"/>
    <x v="0"/>
    <n v="3"/>
    <x v="2"/>
    <s v="Rwerere"/>
    <s v="Rukungiri"/>
    <s v="UGA"/>
    <n v="2"/>
    <s v="Work"/>
    <s v="Kampala"/>
    <s v="Kampala"/>
    <s v="UGA"/>
    <n v="1"/>
    <s v="Home"/>
    <x v="4"/>
    <n v="600000"/>
    <n v="390"/>
    <x v="3"/>
    <n v="7.5"/>
    <x v="2"/>
    <n v="10"/>
    <s v="Other"/>
    <n v="2"/>
    <x v="3"/>
    <n v="2"/>
    <n v="1"/>
    <n v="3"/>
    <n v="5"/>
    <n v="4"/>
    <s v="Y"/>
    <m/>
    <x v="3"/>
  </r>
  <r>
    <d v="2019-10-23T00:00:00"/>
    <d v="1899-12-30T16:42:00"/>
    <m/>
    <s v="D"/>
    <n v="2"/>
    <s v="Road Vehicle"/>
    <n v="6"/>
    <x v="1"/>
    <x v="0"/>
    <n v="3"/>
    <x v="2"/>
    <s v="Rwashamere"/>
    <s v="Rukungiri"/>
    <s v="UGA"/>
    <n v="2"/>
    <s v="Work"/>
    <s v="Mengo"/>
    <s v="Kampala"/>
    <s v="UGA"/>
    <n v="1"/>
    <s v="Home"/>
    <x v="4"/>
    <n v="550000"/>
    <n v="318"/>
    <x v="3"/>
    <n v="6.5"/>
    <x v="2"/>
    <n v="10"/>
    <s v="Other"/>
    <n v="4"/>
    <x v="0"/>
    <n v="5"/>
    <n v="1"/>
    <n v="2"/>
    <n v="3"/>
    <n v="4"/>
    <s v="Y"/>
    <n v="3000"/>
    <x v="0"/>
  </r>
  <r>
    <d v="2019-10-23T00:00:00"/>
    <d v="1899-12-30T16:21:00"/>
    <m/>
    <s v="D"/>
    <n v="2"/>
    <s v="Road Vehicle"/>
    <n v="6"/>
    <x v="1"/>
    <x v="0"/>
    <n v="3"/>
    <x v="2"/>
    <s v="Rukungiri"/>
    <s v="Rukungiri"/>
    <s v="UGA"/>
    <n v="2"/>
    <s v="Work"/>
    <s v="Kampala"/>
    <s v="Kampala"/>
    <s v="UGA"/>
    <n v="1"/>
    <s v="Home"/>
    <x v="4"/>
    <n v="650000"/>
    <n v="391"/>
    <x v="3"/>
    <n v="7"/>
    <x v="2"/>
    <n v="10"/>
    <s v="Other"/>
    <n v="3"/>
    <x v="1"/>
    <n v="2"/>
    <n v="1"/>
    <n v="3"/>
    <n v="4"/>
    <n v="5"/>
    <s v="Y"/>
    <n v="8000"/>
    <x v="2"/>
  </r>
  <r>
    <d v="2019-10-23T00:00:00"/>
    <d v="1899-12-30T16:00:00"/>
    <m/>
    <s v="D"/>
    <n v="2"/>
    <s v="Road Vehicle"/>
    <n v="6"/>
    <x v="1"/>
    <x v="0"/>
    <n v="3"/>
    <x v="2"/>
    <s v="Rukungiri"/>
    <s v="Rukungiri"/>
    <s v="UGA"/>
    <n v="2"/>
    <s v="Work"/>
    <s v="Kampala"/>
    <s v="Kampala"/>
    <s v="UGA"/>
    <n v="1"/>
    <s v="Home"/>
    <x v="4"/>
    <n v="710000"/>
    <n v="391"/>
    <x v="3"/>
    <n v="7.5"/>
    <x v="2"/>
    <n v="10"/>
    <s v="Other"/>
    <n v="4"/>
    <x v="0"/>
    <n v="2"/>
    <n v="1"/>
    <n v="3"/>
    <n v="4"/>
    <n v="5"/>
    <s v="Y"/>
    <m/>
    <x v="3"/>
  </r>
  <r>
    <d v="2019-10-23T00:00:00"/>
    <d v="1899-12-30T15:41:00"/>
    <m/>
    <s v="D"/>
    <n v="2"/>
    <s v="Road Vehicle"/>
    <n v="6"/>
    <x v="1"/>
    <x v="0"/>
    <n v="3"/>
    <x v="2"/>
    <s v="Rukungiri"/>
    <s v="Rukungiri"/>
    <s v="UGA"/>
    <n v="2"/>
    <s v="Work"/>
    <s v="Kampala"/>
    <s v="Kampala"/>
    <s v="UGA"/>
    <n v="1"/>
    <s v="Home"/>
    <x v="4"/>
    <n v="650000"/>
    <n v="380"/>
    <x v="3"/>
    <n v="7.5"/>
    <x v="2"/>
    <n v="10"/>
    <s v="Other"/>
    <n v="3"/>
    <x v="1"/>
    <n v="5"/>
    <n v="2"/>
    <n v="3"/>
    <n v="1"/>
    <n v="4"/>
    <s v="Y"/>
    <m/>
    <x v="3"/>
  </r>
  <r>
    <d v="2019-10-23T00:00:00"/>
    <d v="1899-12-30T14:52:00"/>
    <m/>
    <s v="D"/>
    <n v="2"/>
    <s v="Road Vehicle"/>
    <n v="6"/>
    <x v="1"/>
    <x v="0"/>
    <n v="3"/>
    <x v="2"/>
    <s v="Kebusoni"/>
    <s v="Rukungiri"/>
    <s v="UGA"/>
    <n v="2"/>
    <s v="Work"/>
    <s v="Town"/>
    <s v="Kampala"/>
    <s v="UGA"/>
    <n v="1"/>
    <s v="Home"/>
    <x v="4"/>
    <n v="650000"/>
    <n v="414"/>
    <x v="3"/>
    <n v="8"/>
    <x v="2"/>
    <n v="10"/>
    <s v="Other"/>
    <n v="3"/>
    <x v="1"/>
    <n v="1"/>
    <n v="2"/>
    <n v="5"/>
    <n v="4"/>
    <n v="3"/>
    <s v="Y"/>
    <m/>
    <x v="3"/>
  </r>
  <r>
    <d v="2019-10-23T00:00:00"/>
    <d v="1899-12-30T13:36:00"/>
    <m/>
    <s v="D"/>
    <n v="2"/>
    <s v="Road Vehicle"/>
    <n v="6"/>
    <x v="1"/>
    <x v="0"/>
    <n v="3"/>
    <x v="2"/>
    <s v="Buyanja"/>
    <s v="Rukungiri"/>
    <s v="UGA"/>
    <n v="2"/>
    <s v="Work"/>
    <s v="Kampala"/>
    <s v="Kampala"/>
    <s v="UGA"/>
    <n v="1"/>
    <s v="Home"/>
    <x v="4"/>
    <n v="600000"/>
    <n v="396"/>
    <x v="3"/>
    <n v="8"/>
    <x v="2"/>
    <n v="10"/>
    <s v="Other"/>
    <n v="4"/>
    <x v="0"/>
    <n v="4"/>
    <n v="3"/>
    <n v="1"/>
    <n v="2"/>
    <n v="5"/>
    <s v="Y"/>
    <n v="5000"/>
    <x v="2"/>
  </r>
  <r>
    <d v="2019-10-23T00:00:00"/>
    <d v="1899-12-30T13:48:00"/>
    <m/>
    <s v="D"/>
    <n v="2"/>
    <s v="Road Vehicle"/>
    <n v="6"/>
    <x v="1"/>
    <x v="0"/>
    <n v="3"/>
    <x v="2"/>
    <s v="Rukungiri"/>
    <s v="Rukungiri"/>
    <s v="UGA"/>
    <n v="1"/>
    <s v="Home"/>
    <s v="Kampala"/>
    <s v="Kampala"/>
    <s v="UGA"/>
    <n v="2"/>
    <s v="Work"/>
    <x v="1"/>
    <n v="650000"/>
    <n v="391"/>
    <x v="3"/>
    <n v="7.5"/>
    <x v="2"/>
    <n v="10"/>
    <s v="Other"/>
    <n v="3"/>
    <x v="1"/>
    <n v="2"/>
    <n v="3"/>
    <n v="5"/>
    <n v="1"/>
    <n v="4"/>
    <s v="Y"/>
    <m/>
    <x v="3"/>
  </r>
  <r>
    <d v="2019-10-23T00:00:00"/>
    <d v="1899-12-30T13:23:00"/>
    <m/>
    <s v="D"/>
    <n v="2"/>
    <s v="Road Vehicle"/>
    <n v="6"/>
    <x v="1"/>
    <x v="0"/>
    <n v="3"/>
    <x v="2"/>
    <s v="Rukungiri"/>
    <s v="Rukungiri"/>
    <s v="UGA"/>
    <n v="2"/>
    <s v="Work"/>
    <s v="Kampala"/>
    <s v="Kampala"/>
    <s v="UGA"/>
    <n v="1"/>
    <s v="Home"/>
    <x v="4"/>
    <n v="650000"/>
    <n v="380"/>
    <x v="3"/>
    <n v="7"/>
    <x v="2"/>
    <n v="10"/>
    <s v="Other"/>
    <n v="3"/>
    <x v="1"/>
    <n v="1"/>
    <n v="2"/>
    <n v="4"/>
    <n v="5"/>
    <n v="3"/>
    <s v="Y"/>
    <m/>
    <x v="3"/>
  </r>
  <r>
    <d v="2019-10-23T00:00:00"/>
    <d v="1899-12-30T15:18:00"/>
    <m/>
    <s v="D"/>
    <n v="2"/>
    <s v="Road Vehicle"/>
    <n v="6"/>
    <x v="1"/>
    <x v="0"/>
    <n v="3"/>
    <x v="2"/>
    <s v="Kampala"/>
    <s v="Kampala"/>
    <s v="UGA"/>
    <n v="4"/>
    <s v="Commercial"/>
    <s v="Ntungamo"/>
    <s v="Ntungamo"/>
    <m/>
    <n v="4"/>
    <s v="Commercial"/>
    <x v="18"/>
    <n v="800000"/>
    <m/>
    <x v="0"/>
    <n v="9"/>
    <x v="2"/>
    <n v="10"/>
    <s v="Other"/>
    <n v="5"/>
    <x v="4"/>
    <n v="5"/>
    <n v="1"/>
    <n v="4"/>
    <n v="2"/>
    <n v="3"/>
    <s v="Y"/>
    <n v="10000"/>
    <x v="5"/>
  </r>
  <r>
    <d v="2019-10-23T00:00:00"/>
    <d v="1899-12-30T17:26:00"/>
    <m/>
    <s v="D"/>
    <n v="2"/>
    <s v="Road Vehicle"/>
    <n v="5"/>
    <x v="2"/>
    <x v="0"/>
    <n v="3"/>
    <x v="2"/>
    <s v="Rukungiri"/>
    <s v="Rukungiri"/>
    <s v="UGA"/>
    <n v="2"/>
    <s v="Work"/>
    <s v="Mbarara"/>
    <s v="Mbarara"/>
    <s v="UGA"/>
    <n v="1"/>
    <s v="Home"/>
    <x v="4"/>
    <n v="200000"/>
    <n v="117"/>
    <x v="2"/>
    <n v="4"/>
    <x v="2"/>
    <n v="10"/>
    <s v="Other"/>
    <n v="4"/>
    <x v="0"/>
    <n v="3"/>
    <n v="1"/>
    <n v="2"/>
    <n v="5"/>
    <n v="4"/>
    <s v="Y"/>
    <m/>
    <x v="3"/>
  </r>
  <r>
    <d v="2019-10-23T00:00:00"/>
    <d v="1899-12-30T16:59:00"/>
    <m/>
    <s v="D"/>
    <n v="2"/>
    <s v="Road Vehicle"/>
    <n v="5"/>
    <x v="2"/>
    <x v="0"/>
    <n v="3"/>
    <x v="2"/>
    <s v="Kambuga"/>
    <s v="Rukungiri"/>
    <s v="UGA"/>
    <n v="2"/>
    <s v="Work"/>
    <s v="Kibaale"/>
    <s v="Mbarara"/>
    <s v="UGA"/>
    <n v="1"/>
    <s v="Home"/>
    <x v="4"/>
    <n v="180000"/>
    <n v="118"/>
    <x v="2"/>
    <n v="4.5"/>
    <x v="2"/>
    <n v="10"/>
    <s v="Other"/>
    <n v="3"/>
    <x v="1"/>
    <n v="2"/>
    <n v="1"/>
    <n v="5"/>
    <n v="3"/>
    <n v="4"/>
    <s v="Y"/>
    <m/>
    <x v="3"/>
  </r>
  <r>
    <d v="2019-10-23T00:00:00"/>
    <d v="1899-12-30T16:16:00"/>
    <m/>
    <s v="D"/>
    <n v="2"/>
    <s v="Road Vehicle"/>
    <n v="5"/>
    <x v="2"/>
    <x v="0"/>
    <n v="3"/>
    <x v="2"/>
    <s v="Rukungiri"/>
    <s v="Rukungiri"/>
    <s v="UGA"/>
    <n v="2"/>
    <s v="Work"/>
    <s v="Mbarara"/>
    <s v="Mbarara"/>
    <s v="UGA"/>
    <n v="1"/>
    <s v="Home"/>
    <x v="4"/>
    <n v="200000"/>
    <n v="117"/>
    <x v="2"/>
    <n v="4.5"/>
    <x v="2"/>
    <n v="10"/>
    <s v="Other"/>
    <n v="3"/>
    <x v="1"/>
    <n v="1"/>
    <n v="2"/>
    <n v="5"/>
    <n v="4"/>
    <n v="3"/>
    <s v="Y"/>
    <n v="3000"/>
    <x v="0"/>
  </r>
  <r>
    <d v="2019-10-23T00:00:00"/>
    <d v="1899-12-30T15:55:00"/>
    <m/>
    <s v="D"/>
    <n v="2"/>
    <s v="Road Vehicle"/>
    <n v="5"/>
    <x v="2"/>
    <x v="0"/>
    <n v="3"/>
    <x v="2"/>
    <s v="Rukungiri"/>
    <s v="Rukungiri"/>
    <s v="UGA"/>
    <n v="2"/>
    <s v="Work"/>
    <s v="Mbarara"/>
    <s v="Mbarara"/>
    <s v="UGA"/>
    <n v="1"/>
    <s v="Home"/>
    <x v="4"/>
    <n v="250000"/>
    <n v="116"/>
    <x v="2"/>
    <n v="4"/>
    <x v="2"/>
    <n v="10"/>
    <s v="Other"/>
    <n v="3"/>
    <x v="1"/>
    <n v="1"/>
    <n v="2"/>
    <n v="5"/>
    <n v="4"/>
    <n v="3"/>
    <s v="Y"/>
    <n v="500"/>
    <x v="3"/>
  </r>
  <r>
    <d v="2019-10-23T00:00:00"/>
    <d v="1899-12-30T15:06:00"/>
    <m/>
    <s v="D"/>
    <n v="2"/>
    <s v="Road Vehicle"/>
    <n v="5"/>
    <x v="2"/>
    <x v="0"/>
    <n v="3"/>
    <x v="2"/>
    <s v="Rukungiri"/>
    <s v="Rukungiri"/>
    <s v="UGA"/>
    <n v="2"/>
    <s v="Work"/>
    <s v="Mbarara"/>
    <s v="Mbarara"/>
    <s v="UGA"/>
    <n v="1"/>
    <s v="Home"/>
    <x v="4"/>
    <n v="260000"/>
    <n v="120"/>
    <x v="2"/>
    <n v="4.5"/>
    <x v="2"/>
    <n v="10"/>
    <s v="Other"/>
    <n v="2"/>
    <x v="3"/>
    <n v="1"/>
    <n v="3"/>
    <n v="2"/>
    <n v="5"/>
    <n v="4"/>
    <s v="Y"/>
    <n v="2000"/>
    <x v="1"/>
  </r>
  <r>
    <d v="2019-10-23T00:00:00"/>
    <d v="1899-12-30T15:34:00"/>
    <m/>
    <s v="D"/>
    <n v="2"/>
    <s v="Road Vehicle"/>
    <n v="5"/>
    <x v="2"/>
    <x v="0"/>
    <n v="3"/>
    <x v="2"/>
    <s v="Rukungiri"/>
    <s v="Rukungiri"/>
    <s v="UGA"/>
    <n v="1"/>
    <s v="Home"/>
    <s v="Mbarara"/>
    <s v="Mbarara"/>
    <s v="UGA"/>
    <n v="2"/>
    <s v="Work"/>
    <x v="1"/>
    <n v="300000"/>
    <n v="120"/>
    <x v="2"/>
    <n v="4"/>
    <x v="2"/>
    <n v="5"/>
    <s v="Professional"/>
    <n v="3"/>
    <x v="1"/>
    <n v="3"/>
    <n v="5"/>
    <n v="4"/>
    <n v="1"/>
    <n v="2"/>
    <s v="Y"/>
    <m/>
    <x v="3"/>
  </r>
  <r>
    <d v="2019-10-21T00:00:00"/>
    <m/>
    <m/>
    <s v="P"/>
    <n v="2"/>
    <s v="Road Vehicle"/>
    <n v="4"/>
    <x v="3"/>
    <x v="1"/>
    <n v="3"/>
    <x v="2"/>
    <s v="Rukungiri"/>
    <s v="Rukungiri"/>
    <s v="UGA"/>
    <n v="1"/>
    <s v="Home"/>
    <s v="Mbarara"/>
    <s v="Mbarara"/>
    <s v="UGA"/>
    <n v="4"/>
    <s v="Commercial"/>
    <x v="0"/>
    <n v="10000"/>
    <m/>
    <x v="0"/>
    <n v="3"/>
    <x v="0"/>
    <n v="2"/>
    <s v="Manual Labour"/>
    <n v="1"/>
    <x v="2"/>
    <n v="1"/>
    <n v="3"/>
    <n v="4"/>
    <n v="2"/>
    <n v="5"/>
    <s v="Y"/>
    <n v="10000"/>
    <x v="5"/>
  </r>
  <r>
    <d v="2019-10-23T00:00:00"/>
    <m/>
    <m/>
    <s v="P"/>
    <n v="2"/>
    <s v="Road Vehicle"/>
    <n v="4"/>
    <x v="3"/>
    <x v="1"/>
    <n v="3"/>
    <x v="2"/>
    <s v="Rukungiri"/>
    <s v="Rukungiri"/>
    <s v="UGA"/>
    <n v="1"/>
    <s v="Home"/>
    <s v="Mutungo"/>
    <s v="Kampala"/>
    <s v="UGA"/>
    <n v="5"/>
    <s v="Tourism"/>
    <x v="20"/>
    <n v="30000"/>
    <n v="400"/>
    <x v="3"/>
    <n v="8"/>
    <x v="2"/>
    <n v="2"/>
    <s v="Manual Labour"/>
    <n v="2"/>
    <x v="3"/>
    <n v="3"/>
    <n v="2"/>
    <n v="5"/>
    <n v="4"/>
    <n v="1"/>
    <s v="Y"/>
    <n v="2000"/>
    <x v="1"/>
  </r>
  <r>
    <d v="2019-10-23T00:00:00"/>
    <d v="1899-12-30T10:25:00"/>
    <m/>
    <s v="D"/>
    <n v="2"/>
    <s v="Road Vehicle"/>
    <n v="4"/>
    <x v="3"/>
    <x v="1"/>
    <n v="3"/>
    <x v="2"/>
    <s v="Rukungiri"/>
    <s v="Rukungiri"/>
    <s v="UGA"/>
    <n v="4"/>
    <s v="Commercial"/>
    <s v="Kampala"/>
    <s v="Kampala"/>
    <m/>
    <n v="4"/>
    <s v="Commercial"/>
    <x v="18"/>
    <n v="190000"/>
    <m/>
    <x v="0"/>
    <n v="9"/>
    <x v="2"/>
    <n v="10"/>
    <s v="Other"/>
    <n v="4"/>
    <x v="0"/>
    <n v="3"/>
    <n v="1"/>
    <n v="4"/>
    <n v="2"/>
    <n v="5"/>
    <s v="Y"/>
    <m/>
    <x v="3"/>
  </r>
  <r>
    <d v="2019-10-21T00:00:00"/>
    <d v="1899-12-30T14:11:00"/>
    <m/>
    <s v="D"/>
    <n v="2"/>
    <s v="Road Vehicle"/>
    <n v="4"/>
    <x v="3"/>
    <x v="0"/>
    <n v="3"/>
    <x v="2"/>
    <s v="Ebutangasi"/>
    <s v="Rukungiri"/>
    <s v="UGA"/>
    <n v="2"/>
    <s v="Work"/>
    <s v="Kisenyi"/>
    <s v="Kampala"/>
    <s v="UGA"/>
    <n v="1"/>
    <s v="Home"/>
    <x v="4"/>
    <n v="100000"/>
    <n v="120"/>
    <x v="2"/>
    <n v="3"/>
    <x v="0"/>
    <n v="10"/>
    <s v="Other"/>
    <n v="1"/>
    <x v="2"/>
    <n v="4"/>
    <n v="5"/>
    <n v="1"/>
    <n v="2"/>
    <n v="3"/>
    <s v="Y"/>
    <m/>
    <x v="3"/>
  </r>
  <r>
    <d v="2019-10-21T00:00:00"/>
    <d v="1899-12-30T15:30:00"/>
    <m/>
    <s v="D"/>
    <n v="2"/>
    <s v="Road Vehicle"/>
    <n v="4"/>
    <x v="3"/>
    <x v="0"/>
    <n v="3"/>
    <x v="2"/>
    <s v="Eastern ward"/>
    <s v="Rukungiri"/>
    <s v="UGA"/>
    <n v="2"/>
    <s v="Work"/>
    <s v="Kitimba"/>
    <s v="Rukungiri"/>
    <s v="UGA"/>
    <n v="1"/>
    <s v="Home"/>
    <x v="4"/>
    <n v="12000"/>
    <n v="2"/>
    <x v="0"/>
    <n v="0.3"/>
    <x v="3"/>
    <n v="10"/>
    <s v="Other"/>
    <n v="1"/>
    <x v="2"/>
    <n v="1"/>
    <n v="5"/>
    <n v="3"/>
    <n v="4"/>
    <n v="2"/>
    <s v="Y"/>
    <n v="1000"/>
    <x v="4"/>
  </r>
  <r>
    <d v="2019-10-21T00:00:00"/>
    <d v="1899-12-30T18:44:00"/>
    <m/>
    <s v="P"/>
    <n v="2"/>
    <s v="Road Vehicle"/>
    <n v="4"/>
    <x v="3"/>
    <x v="0"/>
    <n v="3"/>
    <x v="2"/>
    <s v="Nyabagando"/>
    <s v="Rukungiri"/>
    <s v="UGA"/>
    <n v="1"/>
    <s v="Home"/>
    <s v="Rukungiri"/>
    <s v="Rukungiri"/>
    <s v="UGA"/>
    <n v="2"/>
    <s v="Work"/>
    <x v="1"/>
    <n v="3000"/>
    <n v="5"/>
    <x v="0"/>
    <n v="1"/>
    <x v="1"/>
    <n v="2"/>
    <s v="Manual Labour"/>
    <n v="2"/>
    <x v="3"/>
    <n v="4"/>
    <n v="2"/>
    <n v="3"/>
    <n v="1"/>
    <n v="5"/>
    <s v="Y"/>
    <n v="1000"/>
    <x v="4"/>
  </r>
  <r>
    <d v="2019-10-21T00:00:00"/>
    <m/>
    <m/>
    <s v="D"/>
    <n v="2"/>
    <s v="Road Vehicle"/>
    <n v="4"/>
    <x v="3"/>
    <x v="0"/>
    <n v="3"/>
    <x v="2"/>
    <s v="Rukungiri"/>
    <s v="Rukungiri"/>
    <s v="UGA"/>
    <n v="1"/>
    <s v="Home"/>
    <s v="Kihini"/>
    <s v="Kanungu"/>
    <s v="UGA"/>
    <n v="2"/>
    <s v="Work"/>
    <x v="1"/>
    <n v="90000"/>
    <n v="120"/>
    <x v="2"/>
    <n v="2"/>
    <x v="0"/>
    <n v="5"/>
    <s v="Professional"/>
    <n v="3"/>
    <x v="1"/>
    <n v="1"/>
    <n v="3"/>
    <n v="4"/>
    <n v="2"/>
    <n v="5"/>
    <s v="Y"/>
    <n v="4000"/>
    <x v="0"/>
  </r>
  <r>
    <d v="2019-10-22T00:00:00"/>
    <d v="1899-12-30T13:36:00"/>
    <m/>
    <s v="D"/>
    <n v="2"/>
    <s v="Road Vehicle"/>
    <n v="4"/>
    <x v="3"/>
    <x v="0"/>
    <n v="3"/>
    <x v="2"/>
    <s v="Rukungiri"/>
    <s v="Rukungiri"/>
    <s v="UGA"/>
    <n v="1"/>
    <s v="Home"/>
    <s v="Kabowa"/>
    <s v="Kampala"/>
    <s v="UGA"/>
    <n v="2"/>
    <s v="Work"/>
    <x v="1"/>
    <n v="350000"/>
    <n v="360"/>
    <x v="3"/>
    <n v="9"/>
    <x v="2"/>
    <n v="10"/>
    <s v="Other"/>
    <n v="4"/>
    <x v="0"/>
    <m/>
    <m/>
    <m/>
    <m/>
    <m/>
    <s v="Y"/>
    <n v="100"/>
    <x v="3"/>
  </r>
  <r>
    <d v="2019-10-22T00:00:00"/>
    <d v="1899-12-30T13:20:00"/>
    <m/>
    <s v="D"/>
    <n v="2"/>
    <s v="Road Vehicle"/>
    <n v="4"/>
    <x v="3"/>
    <x v="0"/>
    <n v="3"/>
    <x v="2"/>
    <s v="Ntungamo"/>
    <s v="Ntungamo"/>
    <s v="UGA"/>
    <n v="2"/>
    <s v="Work"/>
    <s v="Rukungiri"/>
    <s v="Rukungiri"/>
    <s v="UGA"/>
    <n v="1"/>
    <s v="Home"/>
    <x v="4"/>
    <n v="20000"/>
    <n v="44"/>
    <x v="5"/>
    <n v="1"/>
    <x v="1"/>
    <n v="10"/>
    <s v="Other"/>
    <n v="1"/>
    <x v="2"/>
    <n v="5"/>
    <n v="3"/>
    <n v="1"/>
    <n v="2"/>
    <n v="4"/>
    <s v="Y"/>
    <m/>
    <x v="3"/>
  </r>
  <r>
    <d v="2019-10-22T00:00:00"/>
    <d v="1899-12-30T10:10:00"/>
    <m/>
    <s v="P"/>
    <n v="2"/>
    <s v="Road Vehicle"/>
    <n v="4"/>
    <x v="3"/>
    <x v="0"/>
    <n v="3"/>
    <x v="2"/>
    <s v="Kitimba"/>
    <s v="Rukungiri"/>
    <s v="UGA"/>
    <n v="1"/>
    <s v="Home"/>
    <s v="Nabugamba"/>
    <s v="Rukungiri"/>
    <s v="UGA"/>
    <n v="2"/>
    <s v="Work"/>
    <x v="1"/>
    <n v="6000"/>
    <n v="3"/>
    <x v="0"/>
    <n v="6"/>
    <x v="2"/>
    <n v="2"/>
    <s v="Manual Labour"/>
    <n v="1"/>
    <x v="2"/>
    <n v="3"/>
    <n v="4"/>
    <n v="5"/>
    <n v="1"/>
    <n v="2"/>
    <s v="Y"/>
    <m/>
    <x v="3"/>
  </r>
  <r>
    <d v="2019-10-22T00:00:00"/>
    <d v="1899-12-30T10:36:00"/>
    <m/>
    <s v="P"/>
    <n v="2"/>
    <s v="Road Vehicle"/>
    <n v="4"/>
    <x v="3"/>
    <x v="0"/>
    <n v="3"/>
    <x v="2"/>
    <s v="Buguma"/>
    <s v="Rukungiri"/>
    <s v="UGA"/>
    <n v="1"/>
    <s v="Home"/>
    <s v="Nabugamba"/>
    <s v="Rukungiri"/>
    <s v="UGA"/>
    <n v="2"/>
    <s v="Work"/>
    <x v="1"/>
    <n v="4000"/>
    <n v="5"/>
    <x v="0"/>
    <n v="0.1"/>
    <x v="3"/>
    <n v="2"/>
    <s v="Manual Labour"/>
    <n v="1"/>
    <x v="2"/>
    <n v="1"/>
    <n v="3"/>
    <n v="4"/>
    <n v="5"/>
    <n v="2"/>
    <s v="Y"/>
    <m/>
    <x v="3"/>
  </r>
  <r>
    <d v="2019-10-22T00:00:00"/>
    <m/>
    <m/>
    <s v="P"/>
    <n v="2"/>
    <s v="Road Vehicle"/>
    <n v="4"/>
    <x v="3"/>
    <x v="0"/>
    <n v="3"/>
    <x v="2"/>
    <s v="Rukungiri"/>
    <s v="Rukungiri"/>
    <s v="UGA"/>
    <n v="1"/>
    <s v="Home"/>
    <s v="Kampala"/>
    <s v="Kampala"/>
    <s v="UGA"/>
    <n v="4"/>
    <s v="Commercial"/>
    <x v="0"/>
    <n v="35000"/>
    <m/>
    <x v="0"/>
    <n v="8"/>
    <x v="2"/>
    <n v="6"/>
    <s v="Businessman"/>
    <n v="2"/>
    <x v="3"/>
    <n v="2"/>
    <n v="1"/>
    <n v="3"/>
    <n v="5"/>
    <n v="4"/>
    <s v="Y"/>
    <n v="5000"/>
    <x v="2"/>
  </r>
  <r>
    <d v="2019-10-23T00:00:00"/>
    <d v="1899-12-30T13:54:00"/>
    <m/>
    <s v="D"/>
    <n v="2"/>
    <s v="Road Vehicle"/>
    <n v="4"/>
    <x v="3"/>
    <x v="0"/>
    <n v="3"/>
    <x v="2"/>
    <s v="Rukungiri"/>
    <s v="Rukungiri"/>
    <s v="UGA"/>
    <n v="1"/>
    <s v="Home"/>
    <s v="Mbarara"/>
    <s v="Mbarara"/>
    <s v="UGA"/>
    <n v="2"/>
    <s v="Work"/>
    <x v="1"/>
    <n v="600000"/>
    <n v="117"/>
    <x v="2"/>
    <n v="4"/>
    <x v="2"/>
    <n v="10"/>
    <s v="Other"/>
    <n v="3"/>
    <x v="1"/>
    <n v="3"/>
    <n v="5"/>
    <n v="4"/>
    <n v="1"/>
    <n v="2"/>
    <s v="Y"/>
    <m/>
    <x v="3"/>
  </r>
  <r>
    <d v="2019-10-23T00:00:00"/>
    <d v="1899-12-30T13:36:00"/>
    <m/>
    <s v="D"/>
    <n v="2"/>
    <s v="Road Vehicle"/>
    <n v="4"/>
    <x v="3"/>
    <x v="0"/>
    <n v="3"/>
    <x v="2"/>
    <s v="Rukungiri"/>
    <s v="Rukungiri"/>
    <s v="UGA"/>
    <n v="2"/>
    <s v="Work"/>
    <s v="Kampala"/>
    <s v="Kampala"/>
    <s v="UGA"/>
    <n v="1"/>
    <s v="Home"/>
    <x v="4"/>
    <n v="600000"/>
    <n v="390"/>
    <x v="3"/>
    <n v="8"/>
    <x v="2"/>
    <n v="5"/>
    <s v="Professional"/>
    <n v="4"/>
    <x v="0"/>
    <n v="2"/>
    <n v="3"/>
    <n v="1"/>
    <n v="4"/>
    <n v="5"/>
    <s v="Y"/>
    <n v="1000"/>
    <x v="4"/>
  </r>
  <r>
    <d v="2019-10-23T00:00:00"/>
    <d v="1899-12-30T13:24:00"/>
    <m/>
    <s v="D"/>
    <n v="2"/>
    <s v="Road Vehicle"/>
    <n v="4"/>
    <x v="3"/>
    <x v="0"/>
    <n v="3"/>
    <x v="2"/>
    <s v="Rukungiri"/>
    <s v="Rukungiri"/>
    <s v="UGA"/>
    <n v="2"/>
    <s v="Work"/>
    <s v="Mbarara"/>
    <s v="Mbarara"/>
    <s v="UGA"/>
    <n v="1"/>
    <s v="Home"/>
    <x v="4"/>
    <n v="200000"/>
    <n v="117"/>
    <x v="2"/>
    <n v="4"/>
    <x v="2"/>
    <n v="5"/>
    <s v="Professional"/>
    <n v="3"/>
    <x v="1"/>
    <n v="2"/>
    <n v="5"/>
    <n v="3"/>
    <n v="1"/>
    <n v="4"/>
    <s v="Y"/>
    <n v="4000"/>
    <x v="0"/>
  </r>
  <r>
    <d v="2019-10-23T00:00:00"/>
    <d v="1899-12-30T10:45:00"/>
    <m/>
    <s v="D"/>
    <n v="2"/>
    <s v="Road Vehicle"/>
    <n v="4"/>
    <x v="3"/>
    <x v="0"/>
    <n v="3"/>
    <x v="2"/>
    <s v="Bwindi"/>
    <s v="Kanungu"/>
    <s v="UGA"/>
    <n v="4"/>
    <s v="Commercial"/>
    <s v="Rukungiri"/>
    <s v="Rukungiri"/>
    <m/>
    <n v="4"/>
    <s v="Commercial"/>
    <x v="18"/>
    <n v="160000"/>
    <m/>
    <x v="0"/>
    <n v="5.5"/>
    <x v="2"/>
    <n v="10"/>
    <s v="Other"/>
    <n v="4"/>
    <x v="0"/>
    <n v="5"/>
    <n v="1"/>
    <n v="2"/>
    <n v="3"/>
    <n v="4"/>
    <s v="Y"/>
    <m/>
    <x v="3"/>
  </r>
  <r>
    <d v="2019-10-22T00:00:00"/>
    <m/>
    <m/>
    <s v="P"/>
    <n v="2"/>
    <s v="Road Vehicle"/>
    <n v="3"/>
    <x v="9"/>
    <x v="0"/>
    <n v="3"/>
    <x v="2"/>
    <s v="Rukungiri"/>
    <s v="Rukungiri"/>
    <s v="UGA"/>
    <n v="1"/>
    <s v="Home"/>
    <s v="Kihihi"/>
    <s v="Kanungu"/>
    <s v="UGA"/>
    <n v="2"/>
    <s v="Work"/>
    <x v="1"/>
    <n v="10000"/>
    <n v="100"/>
    <x v="2"/>
    <n v="3"/>
    <x v="0"/>
    <n v="2"/>
    <s v="Manual Labour"/>
    <n v="2"/>
    <x v="3"/>
    <n v="3"/>
    <n v="1"/>
    <n v="2"/>
    <n v="5"/>
    <n v="4"/>
    <s v="Y"/>
    <n v="1000"/>
    <x v="4"/>
  </r>
  <r>
    <d v="2019-10-23T00:00:00"/>
    <d v="1899-12-30T07:19:00"/>
    <m/>
    <s v="P"/>
    <n v="2"/>
    <s v="Road Vehicle"/>
    <n v="2"/>
    <x v="6"/>
    <x v="1"/>
    <n v="3"/>
    <x v="2"/>
    <s v="Rukungiri"/>
    <s v="Rukungiri"/>
    <s v="UGA"/>
    <n v="1"/>
    <s v="Home"/>
    <s v="Mbarara"/>
    <s v="Mbarara"/>
    <s v="UGA"/>
    <n v="4"/>
    <s v="Commercial"/>
    <x v="0"/>
    <n v="15000"/>
    <m/>
    <x v="0"/>
    <n v="1.5"/>
    <x v="1"/>
    <n v="6"/>
    <s v="Businessman"/>
    <n v="5"/>
    <x v="4"/>
    <n v="5"/>
    <n v="4"/>
    <n v="1"/>
    <n v="2"/>
    <n v="3"/>
    <s v="Y"/>
    <n v="5000"/>
    <x v="2"/>
  </r>
  <r>
    <d v="2019-10-23T00:00:00"/>
    <d v="1899-12-30T07:50:00"/>
    <m/>
    <s v="P"/>
    <n v="2"/>
    <s v="Road Vehicle"/>
    <n v="2"/>
    <x v="6"/>
    <x v="1"/>
    <n v="3"/>
    <x v="2"/>
    <s v="Rukungiri"/>
    <s v="Rukungiri"/>
    <s v="UGA"/>
    <n v="1"/>
    <s v="Home"/>
    <s v="Kampala"/>
    <s v="Kampala"/>
    <m/>
    <n v="2"/>
    <s v="Work"/>
    <x v="1"/>
    <n v="25000"/>
    <m/>
    <x v="0"/>
    <n v="9"/>
    <x v="2"/>
    <n v="5"/>
    <s v="Professional"/>
    <n v="4"/>
    <x v="0"/>
    <n v="1"/>
    <n v="5"/>
    <n v="2"/>
    <n v="3"/>
    <n v="4"/>
    <s v="Y"/>
    <n v="10000"/>
    <x v="5"/>
  </r>
  <r>
    <d v="2019-10-21T00:00:00"/>
    <m/>
    <m/>
    <s v="D"/>
    <n v="2"/>
    <s v="Road Vehicle"/>
    <n v="2"/>
    <x v="6"/>
    <x v="1"/>
    <n v="3"/>
    <x v="2"/>
    <s v="Rukungiri"/>
    <s v="Rukungiri"/>
    <s v="UGA"/>
    <n v="1"/>
    <s v="Home"/>
    <s v="Butogote"/>
    <s v="Kanungu"/>
    <s v="UGA"/>
    <n v="2"/>
    <s v="Work"/>
    <x v="1"/>
    <n v="130000"/>
    <n v="80"/>
    <x v="1"/>
    <n v="1.5"/>
    <x v="1"/>
    <n v="2"/>
    <s v="Manual Labour"/>
    <n v="2"/>
    <x v="3"/>
    <m/>
    <m/>
    <m/>
    <m/>
    <m/>
    <s v="Y"/>
    <m/>
    <x v="3"/>
  </r>
  <r>
    <d v="2019-10-23T00:00:00"/>
    <d v="1899-12-30T07:25:00"/>
    <m/>
    <s v="D"/>
    <n v="2"/>
    <s v="Road Vehicle"/>
    <n v="2"/>
    <x v="6"/>
    <x v="1"/>
    <n v="3"/>
    <x v="2"/>
    <s v="Rukungiri"/>
    <s v="Rukungiri"/>
    <s v="UGA"/>
    <n v="4"/>
    <s v="Commercial"/>
    <s v="Kampala"/>
    <s v="Kampala"/>
    <s v="UGA"/>
    <n v="4"/>
    <s v="Commercial"/>
    <x v="18"/>
    <n v="750000"/>
    <m/>
    <x v="0"/>
    <n v="9"/>
    <x v="2"/>
    <n v="10"/>
    <s v="Other"/>
    <n v="5"/>
    <x v="4"/>
    <n v="3"/>
    <n v="2"/>
    <n v="1"/>
    <n v="4"/>
    <n v="5"/>
    <s v="Y"/>
    <n v="10000"/>
    <x v="5"/>
  </r>
  <r>
    <d v="2019-10-21T00:00:00"/>
    <d v="1899-12-30T16:15:00"/>
    <m/>
    <s v="D"/>
    <n v="2"/>
    <s v="Road Vehicle"/>
    <n v="1"/>
    <x v="0"/>
    <x v="1"/>
    <n v="4"/>
    <x v="3"/>
    <s v="Kasolonza"/>
    <m/>
    <s v="UGA"/>
    <n v="2"/>
    <s v="Work"/>
    <s v="Luwerere"/>
    <m/>
    <s v="UGA"/>
    <n v="2"/>
    <s v="Work"/>
    <x v="2"/>
    <n v="10000"/>
    <n v="4"/>
    <x v="0"/>
    <n v="2"/>
    <x v="0"/>
    <n v="6"/>
    <s v="Businessman"/>
    <n v="1"/>
    <x v="2"/>
    <m/>
    <m/>
    <m/>
    <m/>
    <m/>
    <s v="Y"/>
    <m/>
    <x v="3"/>
  </r>
  <r>
    <d v="2019-10-22T00:00:00"/>
    <d v="1899-12-30T10:56:00"/>
    <m/>
    <s v="P"/>
    <n v="2"/>
    <s v="Road Vehicle"/>
    <n v="1"/>
    <x v="0"/>
    <x v="0"/>
    <n v="4"/>
    <x v="3"/>
    <s v="Kebusoni"/>
    <s v="Rukungiri"/>
    <s v="UGA"/>
    <n v="1"/>
    <s v="Home"/>
    <s v="Ruwakoma"/>
    <s v="Rukungiri"/>
    <s v="UGA"/>
    <n v="2"/>
    <s v="Work"/>
    <x v="1"/>
    <n v="2000"/>
    <n v="2"/>
    <x v="0"/>
    <n v="0.3"/>
    <x v="3"/>
    <n v="7"/>
    <s v="Farmer"/>
    <n v="1"/>
    <x v="2"/>
    <n v="1"/>
    <n v="2"/>
    <n v="3"/>
    <n v="4"/>
    <n v="5"/>
    <s v="Y"/>
    <n v="1000"/>
    <x v="4"/>
  </r>
  <r>
    <d v="2019-10-21T00:00:00"/>
    <m/>
    <m/>
    <s v="P"/>
    <n v="2"/>
    <s v="Road Vehicle"/>
    <n v="6"/>
    <x v="1"/>
    <x v="1"/>
    <n v="4"/>
    <x v="3"/>
    <s v="Rukungiri"/>
    <s v="Rukungiri"/>
    <s v="UGA"/>
    <n v="1"/>
    <s v="Home"/>
    <s v="Kampala"/>
    <s v="Kampala"/>
    <s v="UGA"/>
    <n v="6"/>
    <s v="Leisure/Social"/>
    <x v="8"/>
    <n v="20000"/>
    <m/>
    <x v="0"/>
    <n v="8"/>
    <x v="2"/>
    <n v="6"/>
    <s v="Businessman"/>
    <n v="1"/>
    <x v="2"/>
    <n v="1"/>
    <n v="3"/>
    <n v="5"/>
    <n v="4"/>
    <n v="2"/>
    <s v="Y"/>
    <n v="2500"/>
    <x v="1"/>
  </r>
  <r>
    <d v="2019-10-21T00:00:00"/>
    <m/>
    <m/>
    <s v="P"/>
    <n v="2"/>
    <s v="Road Vehicle"/>
    <n v="6"/>
    <x v="1"/>
    <x v="0"/>
    <n v="4"/>
    <x v="3"/>
    <s v="Rukungiri"/>
    <s v="Rukungiri"/>
    <s v="UGA"/>
    <n v="1"/>
    <s v="Home"/>
    <s v="Mbarara"/>
    <s v="Mbarara"/>
    <s v="UGA"/>
    <n v="2"/>
    <s v="Work"/>
    <x v="1"/>
    <n v="10000"/>
    <n v="80"/>
    <x v="1"/>
    <n v="2"/>
    <x v="0"/>
    <n v="2"/>
    <s v="Manual Labour"/>
    <n v="1"/>
    <x v="2"/>
    <m/>
    <m/>
    <m/>
    <m/>
    <m/>
    <s v="Y"/>
    <n v="1000"/>
    <x v="4"/>
  </r>
  <r>
    <d v="2019-10-22T00:00:00"/>
    <d v="1899-12-30T15:10:00"/>
    <m/>
    <s v="P"/>
    <n v="2"/>
    <s v="Road Vehicle"/>
    <n v="6"/>
    <x v="1"/>
    <x v="0"/>
    <n v="4"/>
    <x v="3"/>
    <s v="Bwabara"/>
    <s v="Rukungiri"/>
    <s v="UGA"/>
    <n v="7"/>
    <s v="Hospital"/>
    <s v="Kampala"/>
    <s v="Kampala"/>
    <s v="UGA"/>
    <n v="1"/>
    <s v="Home"/>
    <x v="27"/>
    <n v="30000"/>
    <n v="405"/>
    <x v="3"/>
    <n v="7.5"/>
    <x v="2"/>
    <n v="9"/>
    <s v="Retired"/>
    <n v="2"/>
    <x v="3"/>
    <n v="1"/>
    <n v="2"/>
    <n v="5"/>
    <n v="3"/>
    <n v="4"/>
    <s v="Y"/>
    <m/>
    <x v="3"/>
  </r>
  <r>
    <d v="2019-10-22T00:00:00"/>
    <m/>
    <m/>
    <s v="D"/>
    <n v="2"/>
    <s v="Road Vehicle"/>
    <n v="6"/>
    <x v="1"/>
    <x v="0"/>
    <n v="4"/>
    <x v="3"/>
    <s v="Rukungiri"/>
    <s v="Rukungiri"/>
    <s v="UGA"/>
    <n v="1"/>
    <s v="Home"/>
    <s v="Kampala"/>
    <s v="Kampala"/>
    <s v="UGA"/>
    <n v="2"/>
    <s v="Work"/>
    <x v="1"/>
    <n v="1200000"/>
    <m/>
    <x v="0"/>
    <n v="8"/>
    <x v="2"/>
    <n v="2"/>
    <s v="Manual Labour"/>
    <n v="3"/>
    <x v="1"/>
    <n v="3"/>
    <n v="4"/>
    <n v="1"/>
    <n v="5"/>
    <n v="4"/>
    <s v="Y"/>
    <n v="5000"/>
    <x v="2"/>
  </r>
  <r>
    <d v="2019-10-23T00:00:00"/>
    <d v="1899-12-30T14:42:00"/>
    <m/>
    <s v="D"/>
    <n v="2"/>
    <s v="Road Vehicle"/>
    <n v="6"/>
    <x v="1"/>
    <x v="0"/>
    <n v="4"/>
    <x v="3"/>
    <s v="Rwashamere"/>
    <s v="Rukungiri"/>
    <s v="UGA"/>
    <n v="1"/>
    <s v="Home"/>
    <s v="Kabowa"/>
    <s v="Kampala"/>
    <s v="UGA"/>
    <n v="2"/>
    <s v="Work"/>
    <x v="1"/>
    <n v="600000"/>
    <n v="318"/>
    <x v="3"/>
    <n v="7"/>
    <x v="2"/>
    <n v="2"/>
    <s v="Manual Labour"/>
    <n v="4"/>
    <x v="0"/>
    <n v="2"/>
    <n v="4"/>
    <n v="3"/>
    <n v="1"/>
    <n v="5"/>
    <s v="Y"/>
    <m/>
    <x v="3"/>
  </r>
  <r>
    <d v="2019-10-23T00:00:00"/>
    <d v="1899-12-30T14:54:00"/>
    <m/>
    <s v="D"/>
    <n v="2"/>
    <s v="Road Vehicle"/>
    <n v="5"/>
    <x v="2"/>
    <x v="0"/>
    <n v="4"/>
    <x v="3"/>
    <s v="Rukungiri"/>
    <s v="Rukungiri"/>
    <s v="UGA"/>
    <n v="1"/>
    <s v="Home"/>
    <s v="Kampala"/>
    <s v="Kampala"/>
    <s v="UGA"/>
    <n v="2"/>
    <s v="Work"/>
    <x v="1"/>
    <n v="600000"/>
    <n v="380"/>
    <x v="3"/>
    <n v="8"/>
    <x v="2"/>
    <n v="5"/>
    <s v="Professional"/>
    <n v="4"/>
    <x v="0"/>
    <n v="3"/>
    <n v="5"/>
    <n v="4"/>
    <n v="1"/>
    <n v="2"/>
    <s v="Y"/>
    <n v="1000"/>
    <x v="4"/>
  </r>
  <r>
    <d v="2019-10-23T00:00:00"/>
    <d v="1899-12-30T14:14:00"/>
    <m/>
    <s v="D"/>
    <n v="2"/>
    <s v="Road Vehicle"/>
    <n v="5"/>
    <x v="2"/>
    <x v="0"/>
    <n v="4"/>
    <x v="3"/>
    <s v="Kambuga"/>
    <s v="Rukungiri"/>
    <s v="UGA"/>
    <n v="1"/>
    <s v="Home"/>
    <s v="Kibaale"/>
    <s v="Mbarara"/>
    <s v="UGA"/>
    <n v="6"/>
    <s v="Leisure/Social"/>
    <x v="8"/>
    <n v="200000"/>
    <n v="120"/>
    <x v="2"/>
    <n v="3.5"/>
    <x v="2"/>
    <n v="5"/>
    <s v="Professional"/>
    <n v="3"/>
    <x v="1"/>
    <n v="2"/>
    <n v="1"/>
    <n v="3"/>
    <n v="5"/>
    <n v="4"/>
    <s v="Y"/>
    <n v="5000"/>
    <x v="2"/>
  </r>
  <r>
    <d v="2019-10-21T00:00:00"/>
    <d v="1899-12-30T14:53:00"/>
    <m/>
    <s v="P"/>
    <n v="2"/>
    <s v="Road Vehicle"/>
    <n v="4"/>
    <x v="3"/>
    <x v="0"/>
    <n v="4"/>
    <x v="3"/>
    <s v="Town"/>
    <s v="Rukungiri"/>
    <s v="UGA"/>
    <n v="2"/>
    <s v="Work"/>
    <s v="Buyanja"/>
    <s v="Rukungiri"/>
    <s v="UGA"/>
    <n v="2"/>
    <s v="Work"/>
    <x v="2"/>
    <n v="2000"/>
    <n v="7"/>
    <x v="0"/>
    <n v="0.5"/>
    <x v="4"/>
    <n v="6"/>
    <s v="Businessman"/>
    <n v="1"/>
    <x v="2"/>
    <n v="1"/>
    <n v="2"/>
    <n v="3"/>
    <n v="4"/>
    <n v="5"/>
    <s v="Y"/>
    <m/>
    <x v="3"/>
  </r>
  <r>
    <d v="2019-10-21T00:00:00"/>
    <d v="1899-12-30T18:19:00"/>
    <m/>
    <s v="P"/>
    <n v="2"/>
    <s v="Road Vehicle"/>
    <n v="4"/>
    <x v="3"/>
    <x v="0"/>
    <n v="4"/>
    <x v="3"/>
    <s v="Kigina"/>
    <s v="Rukungiri"/>
    <s v="UGA"/>
    <n v="1"/>
    <s v="Home"/>
    <s v="Rukungiri"/>
    <s v="Rukungiri"/>
    <s v="UGA"/>
    <n v="2"/>
    <s v="Work"/>
    <x v="1"/>
    <n v="2000"/>
    <n v="2"/>
    <x v="0"/>
    <n v="0.5"/>
    <x v="4"/>
    <n v="4"/>
    <s v="Office Worker"/>
    <n v="2"/>
    <x v="3"/>
    <n v="5"/>
    <n v="4"/>
    <n v="2"/>
    <n v="3"/>
    <n v="1"/>
    <s v="Y"/>
    <n v="5000"/>
    <x v="2"/>
  </r>
  <r>
    <d v="2019-10-21T00:00:00"/>
    <m/>
    <m/>
    <s v="P"/>
    <n v="2"/>
    <s v="Road Vehicle"/>
    <n v="4"/>
    <x v="3"/>
    <x v="0"/>
    <n v="4"/>
    <x v="3"/>
    <s v="Rukungiri"/>
    <s v="Rukungiri"/>
    <s v="UGA"/>
    <n v="1"/>
    <s v="Home"/>
    <s v="Ntungamo"/>
    <s v="Ntungamo"/>
    <s v="UGA"/>
    <n v="6"/>
    <s v="Leisure/Social"/>
    <x v="8"/>
    <n v="5000"/>
    <m/>
    <x v="0"/>
    <n v="2"/>
    <x v="0"/>
    <n v="5"/>
    <s v="Professional"/>
    <n v="2"/>
    <x v="3"/>
    <n v="1"/>
    <n v="3"/>
    <n v="5"/>
    <n v="4"/>
    <n v="2"/>
    <s v="Y"/>
    <n v="2000"/>
    <x v="1"/>
  </r>
  <r>
    <d v="2019-10-21T00:00:00"/>
    <m/>
    <m/>
    <s v="D"/>
    <n v="2"/>
    <s v="Road Vehicle"/>
    <n v="4"/>
    <x v="3"/>
    <x v="0"/>
    <n v="4"/>
    <x v="3"/>
    <s v="Rukungiri"/>
    <s v="Rukungiri"/>
    <s v="UGA"/>
    <n v="1"/>
    <s v="Home"/>
    <s v="Mbarara"/>
    <s v="Mbarara"/>
    <s v="UGA"/>
    <n v="2"/>
    <s v="Work"/>
    <x v="1"/>
    <n v="120000"/>
    <m/>
    <x v="0"/>
    <n v="2"/>
    <x v="0"/>
    <n v="5"/>
    <s v="Professional"/>
    <n v="3"/>
    <x v="1"/>
    <m/>
    <m/>
    <m/>
    <m/>
    <m/>
    <s v="Y"/>
    <m/>
    <x v="3"/>
  </r>
  <r>
    <d v="2019-10-22T00:00:00"/>
    <m/>
    <m/>
    <s v="D"/>
    <n v="2"/>
    <s v="Road Vehicle"/>
    <n v="4"/>
    <x v="3"/>
    <x v="0"/>
    <n v="4"/>
    <x v="3"/>
    <s v="Rukungiri"/>
    <s v="Rukungiri"/>
    <s v="UGA"/>
    <n v="1"/>
    <s v="Home"/>
    <s v="Kihihi"/>
    <s v="Kanungu"/>
    <s v="UGA"/>
    <n v="2"/>
    <s v="Work"/>
    <x v="1"/>
    <n v="100000"/>
    <n v="120"/>
    <x v="2"/>
    <n v="2.5"/>
    <x v="0"/>
    <n v="2"/>
    <s v="Manual Labour"/>
    <n v="2"/>
    <x v="3"/>
    <n v="2"/>
    <n v="3"/>
    <n v="1"/>
    <n v="5"/>
    <n v="4"/>
    <s v="Y"/>
    <n v="5000"/>
    <x v="2"/>
  </r>
  <r>
    <d v="2019-10-22T00:00:00"/>
    <m/>
    <m/>
    <s v="D"/>
    <n v="2"/>
    <s v="Road Vehicle"/>
    <n v="4"/>
    <x v="3"/>
    <x v="0"/>
    <n v="4"/>
    <x v="3"/>
    <s v="Rukungiri"/>
    <s v="Rukungiri"/>
    <s v="UGA"/>
    <n v="1"/>
    <s v="Home"/>
    <s v="Mbarara"/>
    <s v="Mbarara"/>
    <s v="UGA"/>
    <n v="2"/>
    <s v="Work"/>
    <x v="1"/>
    <n v="150000"/>
    <n v="160"/>
    <x v="2"/>
    <n v="2.5"/>
    <x v="0"/>
    <n v="5"/>
    <s v="Professional"/>
    <n v="4"/>
    <x v="0"/>
    <n v="1"/>
    <n v="3"/>
    <n v="5"/>
    <n v="2"/>
    <n v="4"/>
    <s v="Y"/>
    <n v="3000"/>
    <x v="0"/>
  </r>
  <r>
    <d v="2019-10-23T00:00:00"/>
    <d v="1899-12-30T13:45:00"/>
    <m/>
    <s v="D"/>
    <n v="2"/>
    <s v="Road Vehicle"/>
    <n v="4"/>
    <x v="3"/>
    <x v="0"/>
    <n v="4"/>
    <x v="3"/>
    <s v="Rukungiri"/>
    <s v="Rukungiri"/>
    <s v="UGA"/>
    <n v="1"/>
    <s v="Home"/>
    <s v="Kampala"/>
    <s v="Kampala"/>
    <s v="UGA"/>
    <n v="2"/>
    <s v="Work"/>
    <x v="1"/>
    <n v="600000"/>
    <n v="400"/>
    <x v="3"/>
    <n v="8"/>
    <x v="2"/>
    <n v="5"/>
    <s v="Professional"/>
    <n v="3"/>
    <x v="1"/>
    <n v="3"/>
    <n v="5"/>
    <n v="4"/>
    <n v="1"/>
    <n v="2"/>
    <s v="Y"/>
    <m/>
    <x v="3"/>
  </r>
  <r>
    <d v="2019-10-23T00:00:00"/>
    <d v="1899-12-30T07:15:00"/>
    <m/>
    <s v="P"/>
    <n v="2"/>
    <s v="Road Vehicle"/>
    <n v="2"/>
    <x v="6"/>
    <x v="1"/>
    <n v="4"/>
    <x v="3"/>
    <s v="Rukungiri"/>
    <s v="Rukungiri"/>
    <s v="UGA"/>
    <n v="1"/>
    <s v="Home"/>
    <s v="Mbarara"/>
    <s v="Mbarara"/>
    <s v="UGA"/>
    <n v="8"/>
    <s v="Others"/>
    <x v="13"/>
    <n v="15000"/>
    <m/>
    <x v="0"/>
    <n v="1.5"/>
    <x v="1"/>
    <n v="9"/>
    <s v="Retired"/>
    <n v="1"/>
    <x v="2"/>
    <n v="3"/>
    <n v="1"/>
    <n v="2"/>
    <n v="4"/>
    <n v="5"/>
    <s v="Y"/>
    <m/>
    <x v="3"/>
  </r>
  <r>
    <d v="2019-10-21T00:00:00"/>
    <d v="1899-12-30T16:02:00"/>
    <m/>
    <s v="P"/>
    <n v="2"/>
    <s v="Road Vehicle"/>
    <n v="6"/>
    <x v="1"/>
    <x v="1"/>
    <n v="6"/>
    <x v="5"/>
    <s v="Kitimba"/>
    <s v="Rukungiri"/>
    <s v="UGA"/>
    <n v="2"/>
    <s v="Work"/>
    <s v="Kasubi"/>
    <s v="Kampala"/>
    <s v="UGA"/>
    <n v="1"/>
    <s v="Home"/>
    <x v="4"/>
    <n v="25000"/>
    <n v="380"/>
    <x v="3"/>
    <n v="7"/>
    <x v="2"/>
    <n v="6"/>
    <s v="Businessman"/>
    <n v="2"/>
    <x v="3"/>
    <n v="1"/>
    <n v="5"/>
    <n v="3"/>
    <n v="4"/>
    <n v="2"/>
    <s v="Y"/>
    <n v="500"/>
    <x v="3"/>
  </r>
  <r>
    <m/>
    <m/>
    <m/>
    <m/>
    <m/>
    <m/>
    <m/>
    <x v="12"/>
    <x v="2"/>
    <m/>
    <x v="6"/>
    <m/>
    <m/>
    <m/>
    <m/>
    <m/>
    <m/>
    <m/>
    <m/>
    <m/>
    <m/>
    <x v="40"/>
    <m/>
    <m/>
    <x v="7"/>
    <m/>
    <x v="5"/>
    <m/>
    <m/>
    <m/>
    <x v="5"/>
    <m/>
    <m/>
    <m/>
    <m/>
    <m/>
    <m/>
    <m/>
    <x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C7583D-8C7E-4F69-9505-7B374D6846B0}" name="PivotTable58" cacheId="27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4:E13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4">
        <item x="1"/>
        <item x="0"/>
        <item x="2"/>
        <item t="default"/>
      </items>
    </pivotField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Count of Gender (M/F)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247614-A979-472A-ADA6-6DBD95B36B85}" name="PivotTable59" cacheId="27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46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2">
        <item x="18"/>
        <item x="3"/>
        <item x="36"/>
        <item x="26"/>
        <item x="24"/>
        <item x="0"/>
        <item x="16"/>
        <item x="32"/>
        <item x="8"/>
        <item x="13"/>
        <item x="25"/>
        <item x="20"/>
        <item x="1"/>
        <item x="27"/>
        <item x="21"/>
        <item x="10"/>
        <item x="7"/>
        <item x="39"/>
        <item x="29"/>
        <item x="12"/>
        <item x="30"/>
        <item x="37"/>
        <item x="15"/>
        <item x="11"/>
        <item x="14"/>
        <item x="9"/>
        <item x="34"/>
        <item x="6"/>
        <item x="22"/>
        <item x="28"/>
        <item x="31"/>
        <item x="35"/>
        <item x="17"/>
        <item x="4"/>
        <item x="23"/>
        <item x="5"/>
        <item x="19"/>
        <item x="33"/>
        <item x="2"/>
        <item x="38"/>
        <item x="4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1"/>
  </rowFields>
  <rowItems count="4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Count of Gender (M/F)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1C44214-9281-4FAD-AA19-CF9DE92FFA8B}" name="PivotTable62" cacheId="27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2" firstHeaderRow="1" firstDataRow="1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9">
        <item x="0"/>
        <item x="2"/>
        <item x="6"/>
        <item x="4"/>
        <item x="5"/>
        <item x="1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Dist Range" fld="2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4C74C9-66F6-460E-B6C2-CBB45C50E9AB}" name="PivotTable63" cacheId="27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5:B22" firstHeaderRow="1" firstDataRow="1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Time Range" fld="2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76EFEF-C6E1-4958-9DC9-97972B248A53}" name="PivotTable64" cacheId="27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I13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x="0"/>
        <item x="2"/>
        <item x="6"/>
        <item x="4"/>
        <item x="5"/>
        <item x="1"/>
        <item x="3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3"/>
        <item x="4"/>
        <item x="1"/>
        <item x="0"/>
        <item x="2"/>
        <item x="5"/>
        <item x="6"/>
        <item t="default"/>
      </items>
    </pivotField>
  </pivotFields>
  <rowFields count="1">
    <field x="24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E2E11B-66BF-46CB-947C-BF5EF044160F}" name="PivotTable65" cacheId="27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6:I24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3"/>
        <item x="4"/>
        <item x="1"/>
        <item x="0"/>
        <item x="2"/>
        <item x="5"/>
        <item x="6"/>
        <item t="default"/>
      </items>
    </pivotField>
  </pivotFields>
  <rowFields count="1">
    <field x="26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9123BA9-3FAE-4038-94E4-DB48C089A11A}" name="PivotTable66" cacheId="27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I11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4"/>
        <item x="3"/>
        <item x="1"/>
        <item x="0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3"/>
        <item x="4"/>
        <item x="1"/>
        <item x="0"/>
        <item x="2"/>
        <item x="5"/>
        <item x="6"/>
        <item t="default"/>
      </items>
    </pivotField>
  </pivotFields>
  <rowFields count="1">
    <field x="3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C903C7-4850-48B1-947E-D28886C1A395}" name="PivotTable68" cacheId="27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I18" firstHeaderRow="1" firstDataRow="2" firstDataCol="1"/>
  <pivotFields count="39">
    <pivotField showAll="0"/>
    <pivotField showAll="0"/>
    <pivotField showAll="0"/>
    <pivotField showAll="0"/>
    <pivotField showAll="0"/>
    <pivotField showAll="0"/>
    <pivotField showAll="0"/>
    <pivotField axis="axisRow" showAll="0">
      <items count="14">
        <item x="10"/>
        <item x="5"/>
        <item x="11"/>
        <item x="0"/>
        <item x="8"/>
        <item x="1"/>
        <item x="7"/>
        <item x="2"/>
        <item x="4"/>
        <item x="3"/>
        <item x="9"/>
        <item x="6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8">
        <item x="3"/>
        <item x="4"/>
        <item x="1"/>
        <item x="0"/>
        <item x="2"/>
        <item x="5"/>
        <item x="6"/>
        <item t="default"/>
      </items>
    </pivotField>
  </pivotFields>
  <rowFields count="1">
    <field x="7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38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Count of Toll Charge" fld="3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0C822-A48D-43A0-A63B-739BC62289C0}">
  <dimension ref="A3:O21"/>
  <sheetViews>
    <sheetView topLeftCell="D1" workbookViewId="0">
      <selection activeCell="M7" sqref="M7:N7"/>
    </sheetView>
  </sheetViews>
  <sheetFormatPr defaultRowHeight="12.75" x14ac:dyDescent="0.2"/>
  <cols>
    <col min="1" max="1" width="21.140625" style="1" bestFit="1" customWidth="1"/>
    <col min="2" max="2" width="17" style="1" bestFit="1" customWidth="1"/>
    <col min="3" max="3" width="5" style="1" bestFit="1" customWidth="1"/>
    <col min="4" max="4" width="7.140625" style="1" bestFit="1" customWidth="1"/>
    <col min="5" max="5" width="11.7109375" style="1" bestFit="1" customWidth="1"/>
    <col min="6" max="6" width="11.7109375" style="1" customWidth="1"/>
    <col min="7" max="16384" width="9.140625" style="1"/>
  </cols>
  <sheetData>
    <row r="3" spans="1:15" x14ac:dyDescent="0.2">
      <c r="A3"/>
      <c r="B3"/>
      <c r="C3"/>
      <c r="D3"/>
      <c r="E3"/>
      <c r="F3"/>
    </row>
    <row r="4" spans="1:15" x14ac:dyDescent="0.2">
      <c r="A4" t="s">
        <v>0</v>
      </c>
      <c r="B4" t="s">
        <v>1</v>
      </c>
      <c r="C4"/>
      <c r="D4"/>
      <c r="E4"/>
      <c r="F4"/>
      <c r="G4" s="2" t="s">
        <v>2</v>
      </c>
      <c r="H4" s="2" t="s">
        <v>3</v>
      </c>
      <c r="I4" s="2" t="s">
        <v>4</v>
      </c>
      <c r="J4" s="3"/>
      <c r="L4" s="1" t="s">
        <v>5</v>
      </c>
      <c r="M4" s="1" t="s">
        <v>6</v>
      </c>
      <c r="N4" s="1" t="s">
        <v>7</v>
      </c>
      <c r="O4" s="1" t="s">
        <v>8</v>
      </c>
    </row>
    <row r="5" spans="1:15" x14ac:dyDescent="0.2">
      <c r="A5" t="s">
        <v>2</v>
      </c>
      <c r="B5" t="s">
        <v>3</v>
      </c>
      <c r="C5" t="s">
        <v>4</v>
      </c>
      <c r="D5" t="s">
        <v>9</v>
      </c>
      <c r="E5" t="s">
        <v>8</v>
      </c>
      <c r="F5"/>
      <c r="G5" s="4" t="s">
        <v>10</v>
      </c>
      <c r="H5" s="1">
        <f>SUM([2]Age!H5,[1]Age!H5,[3]Age!H5,[4]Age!H5)</f>
        <v>392</v>
      </c>
      <c r="I5" s="1">
        <f>SUM([2]Age!I5,[1]Age!I5,[3]Age!I5,[4]Age!I5)</f>
        <v>526</v>
      </c>
      <c r="J5" s="1">
        <f>SUM(H5:I5)</f>
        <v>918</v>
      </c>
      <c r="L5" s="4" t="s">
        <v>10</v>
      </c>
      <c r="M5" s="5">
        <f>H5/$O$11</f>
        <v>7.5268817204301078E-2</v>
      </c>
      <c r="N5" s="5">
        <f>I5/$O$11</f>
        <v>0.10099846390168971</v>
      </c>
      <c r="O5" s="1">
        <f>J5</f>
        <v>918</v>
      </c>
    </row>
    <row r="6" spans="1:15" x14ac:dyDescent="0.2">
      <c r="A6" s="6" t="s">
        <v>10</v>
      </c>
      <c r="B6">
        <v>151</v>
      </c>
      <c r="C6">
        <v>266</v>
      </c>
      <c r="D6"/>
      <c r="E6">
        <v>417</v>
      </c>
      <c r="F6"/>
      <c r="G6" s="4" t="s">
        <v>11</v>
      </c>
      <c r="H6" s="1">
        <f>SUM([2]Age!H6,[1]Age!H6,[3]Age!H6,[4]Age!H6)</f>
        <v>761</v>
      </c>
      <c r="I6" s="1">
        <f>SUM([2]Age!I6,[1]Age!I6,[3]Age!I6,[4]Age!I6)</f>
        <v>1872</v>
      </c>
      <c r="J6" s="1">
        <f t="shared" ref="J6:J10" si="0">SUM(H6:I6)</f>
        <v>2633</v>
      </c>
      <c r="L6" s="4" t="s">
        <v>11</v>
      </c>
      <c r="M6" s="5">
        <f t="shared" ref="M6:N10" si="1">H6/$O$11</f>
        <v>0.14612135176651306</v>
      </c>
      <c r="N6" s="5">
        <f t="shared" si="1"/>
        <v>0.35944700460829493</v>
      </c>
      <c r="O6" s="1">
        <f t="shared" ref="O6:O10" si="2">J6</f>
        <v>2633</v>
      </c>
    </row>
    <row r="7" spans="1:15" x14ac:dyDescent="0.2">
      <c r="A7" s="6" t="s">
        <v>11</v>
      </c>
      <c r="B7">
        <v>228</v>
      </c>
      <c r="C7">
        <v>475</v>
      </c>
      <c r="D7"/>
      <c r="E7">
        <v>703</v>
      </c>
      <c r="F7"/>
      <c r="G7" s="4" t="s">
        <v>12</v>
      </c>
      <c r="H7" s="1">
        <f>SUM([2]Age!H7,[1]Age!H7,[3]Age!H7,[4]Age!H7)</f>
        <v>222</v>
      </c>
      <c r="I7" s="1">
        <f>SUM([2]Age!I7,[1]Age!I7,[3]Age!I7,[4]Age!I7)</f>
        <v>1061</v>
      </c>
      <c r="J7" s="1">
        <f t="shared" si="0"/>
        <v>1283</v>
      </c>
      <c r="L7" s="4" t="s">
        <v>12</v>
      </c>
      <c r="M7" s="5">
        <f t="shared" si="1"/>
        <v>4.2626728110599081E-2</v>
      </c>
      <c r="N7" s="5">
        <f t="shared" si="1"/>
        <v>0.20372503840245776</v>
      </c>
      <c r="O7" s="1">
        <f t="shared" si="2"/>
        <v>1283</v>
      </c>
    </row>
    <row r="8" spans="1:15" x14ac:dyDescent="0.2">
      <c r="A8" s="6" t="s">
        <v>12</v>
      </c>
      <c r="B8">
        <v>52</v>
      </c>
      <c r="C8">
        <v>277</v>
      </c>
      <c r="D8"/>
      <c r="E8">
        <v>329</v>
      </c>
      <c r="F8"/>
      <c r="G8" s="4" t="s">
        <v>13</v>
      </c>
      <c r="H8" s="1">
        <f>SUM([2]Age!H8,[1]Age!H8,[3]Age!H8,[4]Age!H8)</f>
        <v>37</v>
      </c>
      <c r="I8" s="1">
        <f>SUM([2]Age!I8,[1]Age!I8,[3]Age!I8,[4]Age!I8)</f>
        <v>283</v>
      </c>
      <c r="J8" s="1">
        <f t="shared" si="0"/>
        <v>320</v>
      </c>
      <c r="L8" s="4" t="s">
        <v>13</v>
      </c>
      <c r="M8" s="5">
        <f t="shared" si="1"/>
        <v>7.1044546850998463E-3</v>
      </c>
      <c r="N8" s="5">
        <f t="shared" si="1"/>
        <v>5.4339477726574499E-2</v>
      </c>
      <c r="O8" s="1">
        <f t="shared" si="2"/>
        <v>320</v>
      </c>
    </row>
    <row r="9" spans="1:15" x14ac:dyDescent="0.2">
      <c r="A9" s="6" t="s">
        <v>13</v>
      </c>
      <c r="B9">
        <v>14</v>
      </c>
      <c r="C9">
        <v>77</v>
      </c>
      <c r="D9"/>
      <c r="E9">
        <v>91</v>
      </c>
      <c r="F9"/>
      <c r="G9" s="4" t="s">
        <v>14</v>
      </c>
      <c r="H9" s="1">
        <f>SUM([2]Age!H9,[1]Age!H9,[3]Age!H9,[4]Age!H9)</f>
        <v>12</v>
      </c>
      <c r="I9" s="1">
        <f>SUM([2]Age!I9,[1]Age!I9,[3]Age!I9,[4]Age!I9)</f>
        <v>37</v>
      </c>
      <c r="J9" s="1">
        <f t="shared" si="0"/>
        <v>49</v>
      </c>
      <c r="L9" s="4" t="s">
        <v>14</v>
      </c>
      <c r="M9" s="5">
        <f t="shared" si="1"/>
        <v>2.304147465437788E-3</v>
      </c>
      <c r="N9" s="5">
        <f t="shared" si="1"/>
        <v>7.1044546850998463E-3</v>
      </c>
      <c r="O9" s="1">
        <f t="shared" si="2"/>
        <v>49</v>
      </c>
    </row>
    <row r="10" spans="1:15" x14ac:dyDescent="0.2">
      <c r="A10" s="6" t="s">
        <v>14</v>
      </c>
      <c r="B10">
        <v>3</v>
      </c>
      <c r="C10">
        <v>5</v>
      </c>
      <c r="D10"/>
      <c r="E10">
        <v>8</v>
      </c>
      <c r="F10"/>
      <c r="G10" s="1" t="s">
        <v>15</v>
      </c>
      <c r="H10" s="1">
        <f>SUM([2]Age!H10,[1]Age!H10,[3]Age!H10,[4]Age!H10)</f>
        <v>2</v>
      </c>
      <c r="I10" s="1">
        <f>SUM([2]Age!I10,[1]Age!I10,[3]Age!I10,[4]Age!I10)</f>
        <v>3</v>
      </c>
      <c r="J10" s="1">
        <f t="shared" si="0"/>
        <v>5</v>
      </c>
      <c r="L10" s="1" t="s">
        <v>15</v>
      </c>
      <c r="M10" s="5">
        <f t="shared" si="1"/>
        <v>3.8402457757296467E-4</v>
      </c>
      <c r="N10" s="5">
        <f t="shared" si="1"/>
        <v>5.76036866359447E-4</v>
      </c>
      <c r="O10" s="1">
        <f t="shared" si="2"/>
        <v>5</v>
      </c>
    </row>
    <row r="11" spans="1:15" x14ac:dyDescent="0.2">
      <c r="A11" s="6" t="s">
        <v>15</v>
      </c>
      <c r="B11">
        <v>2</v>
      </c>
      <c r="C11">
        <v>1</v>
      </c>
      <c r="D11"/>
      <c r="E11">
        <v>3</v>
      </c>
      <c r="F11"/>
      <c r="L11" s="1" t="s">
        <v>8</v>
      </c>
      <c r="M11" s="1">
        <f t="shared" ref="M11:N11" si="3">SUM(M5:M10)</f>
        <v>0.27380952380952384</v>
      </c>
      <c r="N11" s="1">
        <f t="shared" si="3"/>
        <v>0.72619047619047616</v>
      </c>
      <c r="O11" s="1">
        <f>SUM(O5:O10)</f>
        <v>5208</v>
      </c>
    </row>
    <row r="12" spans="1:15" x14ac:dyDescent="0.2">
      <c r="A12" s="6" t="s">
        <v>9</v>
      </c>
      <c r="B12"/>
      <c r="C12"/>
      <c r="D12"/>
      <c r="E12"/>
      <c r="F12"/>
    </row>
    <row r="13" spans="1:15" x14ac:dyDescent="0.2">
      <c r="A13" s="6" t="s">
        <v>8</v>
      </c>
      <c r="B13">
        <v>450</v>
      </c>
      <c r="C13">
        <v>1101</v>
      </c>
      <c r="D13"/>
      <c r="E13">
        <v>1551</v>
      </c>
      <c r="F13"/>
    </row>
    <row r="14" spans="1:15" x14ac:dyDescent="0.2">
      <c r="A14"/>
      <c r="B14"/>
      <c r="C14"/>
    </row>
    <row r="15" spans="1:15" x14ac:dyDescent="0.2">
      <c r="A15"/>
      <c r="B15"/>
      <c r="C15"/>
    </row>
    <row r="16" spans="1:15" x14ac:dyDescent="0.2">
      <c r="A16"/>
      <c r="B16"/>
      <c r="C16"/>
    </row>
    <row r="17" spans="1:3" x14ac:dyDescent="0.2">
      <c r="A17"/>
      <c r="B17"/>
      <c r="C17"/>
    </row>
    <row r="18" spans="1:3" x14ac:dyDescent="0.2">
      <c r="A18"/>
      <c r="B18"/>
      <c r="C18"/>
    </row>
    <row r="19" spans="1:3" x14ac:dyDescent="0.2">
      <c r="A19"/>
      <c r="B19"/>
      <c r="C19"/>
    </row>
    <row r="20" spans="1:3" x14ac:dyDescent="0.2">
      <c r="A20"/>
      <c r="B20"/>
      <c r="C20"/>
    </row>
    <row r="21" spans="1:3" x14ac:dyDescent="0.2">
      <c r="A21"/>
      <c r="B21"/>
      <c r="C21"/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95297-B1B0-47FB-9257-026EAF13610C}">
  <dimension ref="A3:S46"/>
  <sheetViews>
    <sheetView topLeftCell="I1" zoomScale="85" zoomScaleNormal="85" workbookViewId="0">
      <selection activeCell="M5" sqref="M5:N12"/>
    </sheetView>
  </sheetViews>
  <sheetFormatPr defaultRowHeight="12.75" x14ac:dyDescent="0.2"/>
  <cols>
    <col min="1" max="1" width="25.5703125" style="1" bestFit="1" customWidth="1"/>
    <col min="2" max="2" width="18" style="1" bestFit="1" customWidth="1"/>
    <col min="3" max="3" width="5.140625" style="1" bestFit="1" customWidth="1"/>
    <col min="4" max="4" width="7.5703125" style="1" bestFit="1" customWidth="1"/>
    <col min="5" max="5" width="11.7109375" style="1" bestFit="1" customWidth="1"/>
    <col min="6" max="6" width="9.140625" style="1"/>
    <col min="7" max="7" width="23.7109375" style="1" customWidth="1"/>
    <col min="8" max="11" width="9.140625" style="1"/>
    <col min="12" max="12" width="23.5703125" style="1" customWidth="1"/>
    <col min="13" max="16" width="9.140625" style="1"/>
    <col min="17" max="17" width="16.7109375" style="1" customWidth="1"/>
    <col min="18" max="16384" width="9.140625" style="1"/>
  </cols>
  <sheetData>
    <row r="3" spans="1:19" x14ac:dyDescent="0.2">
      <c r="A3" t="s">
        <v>0</v>
      </c>
      <c r="B3" t="s">
        <v>1</v>
      </c>
      <c r="C3"/>
      <c r="D3"/>
      <c r="E3"/>
    </row>
    <row r="4" spans="1:19" x14ac:dyDescent="0.2">
      <c r="A4" t="s">
        <v>2</v>
      </c>
      <c r="B4" t="s">
        <v>3</v>
      </c>
      <c r="C4" t="s">
        <v>4</v>
      </c>
      <c r="D4" t="s">
        <v>9</v>
      </c>
      <c r="E4" t="s">
        <v>8</v>
      </c>
      <c r="G4" s="1" t="s">
        <v>16</v>
      </c>
      <c r="H4" s="1" t="s">
        <v>6</v>
      </c>
      <c r="I4" s="1" t="s">
        <v>7</v>
      </c>
      <c r="J4" s="1" t="s">
        <v>8</v>
      </c>
      <c r="L4" s="1" t="s">
        <v>16</v>
      </c>
      <c r="M4" s="1" t="s">
        <v>6</v>
      </c>
      <c r="N4" s="1" t="s">
        <v>7</v>
      </c>
      <c r="O4" s="1" t="s">
        <v>8</v>
      </c>
      <c r="R4" s="7" t="s">
        <v>6</v>
      </c>
      <c r="S4" s="7" t="s">
        <v>7</v>
      </c>
    </row>
    <row r="5" spans="1:19" x14ac:dyDescent="0.2">
      <c r="A5" s="6" t="s">
        <v>17</v>
      </c>
      <c r="B5">
        <v>28</v>
      </c>
      <c r="C5">
        <v>99</v>
      </c>
      <c r="D5"/>
      <c r="E5">
        <v>127</v>
      </c>
      <c r="G5" s="6" t="s">
        <v>17</v>
      </c>
      <c r="H5">
        <v>28</v>
      </c>
      <c r="I5">
        <v>99</v>
      </c>
      <c r="J5">
        <v>127</v>
      </c>
      <c r="L5" s="1" t="s">
        <v>18</v>
      </c>
      <c r="M5" s="1">
        <f>SUM('[2]Journey P'!M5,'[1]Journey P'!M5,'[3]Journey P'!M5,'[4]Journey P'!M5)</f>
        <v>123</v>
      </c>
      <c r="N5" s="1">
        <f>SUM('[2]Journey P'!N5,'[1]Journey P'!N5,'[3]Journey P'!N5,'[4]Journey P'!N5)</f>
        <v>515</v>
      </c>
      <c r="O5" s="1">
        <f>SUM(M5:N5)</f>
        <v>638</v>
      </c>
      <c r="Q5" s="8" t="s">
        <v>18</v>
      </c>
      <c r="R5" s="9">
        <f>M5/$O$13</f>
        <v>2.19017094017094E-2</v>
      </c>
      <c r="S5" s="9">
        <f>N5/$O$13</f>
        <v>9.1702279202279205E-2</v>
      </c>
    </row>
    <row r="6" spans="1:19" x14ac:dyDescent="0.2">
      <c r="A6" s="6" t="s">
        <v>19</v>
      </c>
      <c r="B6">
        <v>6</v>
      </c>
      <c r="C6">
        <v>24</v>
      </c>
      <c r="D6"/>
      <c r="E6">
        <v>30</v>
      </c>
      <c r="G6" s="6" t="s">
        <v>19</v>
      </c>
      <c r="H6">
        <v>6</v>
      </c>
      <c r="I6">
        <v>24</v>
      </c>
      <c r="J6">
        <v>30</v>
      </c>
      <c r="L6" s="1" t="s">
        <v>20</v>
      </c>
      <c r="M6" s="1">
        <f>SUM('[2]Journey P'!M6,'[1]Journey P'!M6,'[3]Journey P'!M6,'[4]Journey P'!M6)</f>
        <v>423</v>
      </c>
      <c r="N6" s="1">
        <f>SUM('[2]Journey P'!N6,'[1]Journey P'!N6,'[3]Journey P'!N6,'[4]Journey P'!N6)</f>
        <v>2021</v>
      </c>
      <c r="O6" s="1">
        <f t="shared" ref="O6:O12" si="0">SUM(M6:N6)</f>
        <v>2444</v>
      </c>
      <c r="Q6" s="8" t="s">
        <v>20</v>
      </c>
      <c r="R6" s="9">
        <f t="shared" ref="R6:S12" si="1">M6/$O$13</f>
        <v>7.5320512820512817E-2</v>
      </c>
      <c r="S6" s="9">
        <f t="shared" si="1"/>
        <v>0.35986467236467234</v>
      </c>
    </row>
    <row r="7" spans="1:19" x14ac:dyDescent="0.2">
      <c r="A7" s="6" t="s">
        <v>21</v>
      </c>
      <c r="B7">
        <v>2</v>
      </c>
      <c r="C7"/>
      <c r="D7"/>
      <c r="E7">
        <v>2</v>
      </c>
      <c r="G7" s="6" t="s">
        <v>21</v>
      </c>
      <c r="H7">
        <v>2</v>
      </c>
      <c r="I7"/>
      <c r="J7">
        <v>2</v>
      </c>
      <c r="L7" s="1" t="s">
        <v>22</v>
      </c>
      <c r="M7" s="1">
        <f>SUM('[2]Journey P'!M7,'[1]Journey P'!M7,'[3]Journey P'!M7,'[4]Journey P'!M7)</f>
        <v>754</v>
      </c>
      <c r="N7" s="1">
        <f>SUM('[2]Journey P'!N7,'[1]Journey P'!N7,'[3]Journey P'!N7,'[4]Journey P'!N7)</f>
        <v>1380</v>
      </c>
      <c r="O7" s="1">
        <f t="shared" si="0"/>
        <v>2134</v>
      </c>
      <c r="Q7" s="8" t="s">
        <v>22</v>
      </c>
      <c r="R7" s="9">
        <f t="shared" si="1"/>
        <v>0.13425925925925927</v>
      </c>
      <c r="S7" s="9">
        <f t="shared" si="1"/>
        <v>0.24572649572649571</v>
      </c>
    </row>
    <row r="8" spans="1:19" x14ac:dyDescent="0.2">
      <c r="A8" s="6" t="s">
        <v>23</v>
      </c>
      <c r="B8">
        <v>1</v>
      </c>
      <c r="C8">
        <v>1</v>
      </c>
      <c r="D8"/>
      <c r="E8">
        <v>2</v>
      </c>
      <c r="G8" s="6" t="s">
        <v>23</v>
      </c>
      <c r="H8">
        <v>1</v>
      </c>
      <c r="I8">
        <v>1</v>
      </c>
      <c r="J8">
        <v>2</v>
      </c>
      <c r="L8" s="1" t="s">
        <v>24</v>
      </c>
      <c r="M8" s="1">
        <f>SUM('[2]Journey P'!M8,'[1]Journey P'!M8,'[3]Journey P'!M8,'[4]Journey P'!M8)</f>
        <v>13</v>
      </c>
      <c r="N8" s="1">
        <f>SUM('[2]Journey P'!N8,'[1]Journey P'!N8,'[3]Journey P'!N8,'[4]Journey P'!N8)</f>
        <v>12</v>
      </c>
      <c r="O8" s="1">
        <f t="shared" si="0"/>
        <v>25</v>
      </c>
      <c r="Q8" s="8" t="s">
        <v>24</v>
      </c>
      <c r="R8" s="9">
        <f t="shared" si="1"/>
        <v>2.3148148148148147E-3</v>
      </c>
      <c r="S8" s="9">
        <f t="shared" si="1"/>
        <v>2.136752136752137E-3</v>
      </c>
    </row>
    <row r="9" spans="1:19" x14ac:dyDescent="0.2">
      <c r="A9" s="6" t="s">
        <v>25</v>
      </c>
      <c r="B9"/>
      <c r="C9">
        <v>10</v>
      </c>
      <c r="D9"/>
      <c r="E9">
        <v>10</v>
      </c>
      <c r="G9" s="6" t="s">
        <v>25</v>
      </c>
      <c r="H9"/>
      <c r="I9">
        <v>10</v>
      </c>
      <c r="J9">
        <v>10</v>
      </c>
      <c r="L9" s="1" t="s">
        <v>26</v>
      </c>
      <c r="M9" s="1">
        <f>SUM('[2]Journey P'!M9,'[1]Journey P'!M9,'[3]Journey P'!M9,'[4]Journey P'!M9)</f>
        <v>67</v>
      </c>
      <c r="N9" s="1">
        <f>SUM('[2]Journey P'!N9,'[1]Journey P'!N9,'[3]Journey P'!N9,'[4]Journey P'!N9)</f>
        <v>107</v>
      </c>
      <c r="O9" s="1">
        <f t="shared" si="0"/>
        <v>174</v>
      </c>
      <c r="Q9" s="8" t="s">
        <v>26</v>
      </c>
      <c r="R9" s="9">
        <f t="shared" si="1"/>
        <v>1.1930199430199431E-2</v>
      </c>
      <c r="S9" s="9">
        <f t="shared" si="1"/>
        <v>1.9052706552706553E-2</v>
      </c>
    </row>
    <row r="10" spans="1:19" x14ac:dyDescent="0.2">
      <c r="A10" s="6" t="s">
        <v>27</v>
      </c>
      <c r="B10">
        <v>53</v>
      </c>
      <c r="C10">
        <v>88</v>
      </c>
      <c r="D10"/>
      <c r="E10">
        <v>141</v>
      </c>
      <c r="G10" s="6" t="s">
        <v>27</v>
      </c>
      <c r="H10">
        <v>53</v>
      </c>
      <c r="I10">
        <v>88</v>
      </c>
      <c r="J10">
        <v>141</v>
      </c>
      <c r="L10" s="1" t="s">
        <v>28</v>
      </c>
      <c r="M10" s="1">
        <f>SUM('[2]Journey P'!M10,'[1]Journey P'!M10,'[3]Journey P'!M10,'[4]Journey P'!M10)</f>
        <v>56</v>
      </c>
      <c r="N10" s="1">
        <f>SUM('[2]Journey P'!N10,'[1]Journey P'!N10,'[3]Journey P'!N10,'[4]Journey P'!N10)</f>
        <v>45</v>
      </c>
      <c r="O10" s="1">
        <f t="shared" si="0"/>
        <v>101</v>
      </c>
      <c r="Q10" s="8" t="s">
        <v>28</v>
      </c>
      <c r="R10" s="9">
        <f t="shared" si="1"/>
        <v>9.9715099715099714E-3</v>
      </c>
      <c r="S10" s="9">
        <f t="shared" si="1"/>
        <v>8.0128205128205121E-3</v>
      </c>
    </row>
    <row r="11" spans="1:19" x14ac:dyDescent="0.2">
      <c r="A11" s="6" t="s">
        <v>29</v>
      </c>
      <c r="B11">
        <v>8</v>
      </c>
      <c r="C11">
        <v>14</v>
      </c>
      <c r="D11"/>
      <c r="E11">
        <v>22</v>
      </c>
      <c r="G11" s="6" t="s">
        <v>29</v>
      </c>
      <c r="H11">
        <v>8</v>
      </c>
      <c r="I11">
        <v>14</v>
      </c>
      <c r="J11">
        <v>22</v>
      </c>
      <c r="L11" s="1" t="s">
        <v>30</v>
      </c>
      <c r="M11" s="1">
        <f>SUM('[2]Journey P'!M11,'[1]Journey P'!M11,'[3]Journey P'!M11,'[4]Journey P'!M11)</f>
        <v>8</v>
      </c>
      <c r="N11" s="1">
        <f>SUM('[2]Journey P'!N11,'[1]Journey P'!N11,'[3]Journey P'!N11,'[4]Journey P'!N11)</f>
        <v>14</v>
      </c>
      <c r="O11" s="1">
        <f t="shared" si="0"/>
        <v>22</v>
      </c>
      <c r="Q11" s="8" t="s">
        <v>30</v>
      </c>
      <c r="R11" s="9">
        <f t="shared" si="1"/>
        <v>1.4245014245014246E-3</v>
      </c>
      <c r="S11" s="9">
        <f t="shared" si="1"/>
        <v>2.4928774928774928E-3</v>
      </c>
    </row>
    <row r="12" spans="1:19" x14ac:dyDescent="0.2">
      <c r="A12" s="6" t="s">
        <v>31</v>
      </c>
      <c r="B12">
        <v>9</v>
      </c>
      <c r="C12">
        <v>8</v>
      </c>
      <c r="D12"/>
      <c r="E12">
        <v>17</v>
      </c>
      <c r="G12" s="6" t="s">
        <v>31</v>
      </c>
      <c r="H12">
        <v>9</v>
      </c>
      <c r="I12">
        <v>8</v>
      </c>
      <c r="J12">
        <v>17</v>
      </c>
      <c r="L12" s="1" t="s">
        <v>32</v>
      </c>
      <c r="M12" s="1">
        <f>SUM('[2]Journey P'!M12,'[1]Journey P'!M12,'[3]Journey P'!M12,'[4]Journey P'!M12)</f>
        <v>36</v>
      </c>
      <c r="N12" s="1">
        <f>SUM('[2]Journey P'!N12,'[1]Journey P'!N12,'[3]Journey P'!N12,'[4]Journey P'!N12)</f>
        <v>42</v>
      </c>
      <c r="O12" s="1">
        <f t="shared" si="0"/>
        <v>78</v>
      </c>
      <c r="Q12" s="8" t="s">
        <v>32</v>
      </c>
      <c r="R12" s="9">
        <f t="shared" si="1"/>
        <v>6.41025641025641E-3</v>
      </c>
      <c r="S12" s="9">
        <f t="shared" si="1"/>
        <v>7.478632478632479E-3</v>
      </c>
    </row>
    <row r="13" spans="1:19" x14ac:dyDescent="0.2">
      <c r="A13" s="6" t="s">
        <v>33</v>
      </c>
      <c r="B13">
        <v>39</v>
      </c>
      <c r="C13">
        <v>49</v>
      </c>
      <c r="D13"/>
      <c r="E13">
        <v>88</v>
      </c>
      <c r="G13" s="6" t="s">
        <v>33</v>
      </c>
      <c r="H13">
        <v>39</v>
      </c>
      <c r="I13">
        <v>49</v>
      </c>
      <c r="J13">
        <v>88</v>
      </c>
      <c r="O13" s="1">
        <f>SUM(O5:O12)</f>
        <v>5616</v>
      </c>
    </row>
    <row r="14" spans="1:19" x14ac:dyDescent="0.2">
      <c r="A14" s="6" t="s">
        <v>34</v>
      </c>
      <c r="B14">
        <v>29</v>
      </c>
      <c r="C14">
        <v>23</v>
      </c>
      <c r="D14"/>
      <c r="E14">
        <v>52</v>
      </c>
      <c r="G14" s="6" t="s">
        <v>34</v>
      </c>
      <c r="H14">
        <v>29</v>
      </c>
      <c r="I14">
        <v>23</v>
      </c>
      <c r="J14">
        <v>52</v>
      </c>
    </row>
    <row r="15" spans="1:19" x14ac:dyDescent="0.2">
      <c r="A15" s="6" t="s">
        <v>35</v>
      </c>
      <c r="B15">
        <v>22</v>
      </c>
      <c r="C15">
        <v>14</v>
      </c>
      <c r="D15"/>
      <c r="E15">
        <v>36</v>
      </c>
      <c r="G15" s="6" t="s">
        <v>35</v>
      </c>
      <c r="H15">
        <v>22</v>
      </c>
      <c r="I15">
        <v>14</v>
      </c>
      <c r="J15">
        <v>36</v>
      </c>
    </row>
    <row r="16" spans="1:19" x14ac:dyDescent="0.2">
      <c r="A16" s="6" t="s">
        <v>36</v>
      </c>
      <c r="B16">
        <v>3</v>
      </c>
      <c r="C16">
        <v>15</v>
      </c>
      <c r="D16"/>
      <c r="E16">
        <v>18</v>
      </c>
      <c r="G16" s="6" t="s">
        <v>36</v>
      </c>
      <c r="H16">
        <v>3</v>
      </c>
      <c r="I16">
        <v>15</v>
      </c>
      <c r="J16">
        <v>18</v>
      </c>
    </row>
    <row r="17" spans="1:10" x14ac:dyDescent="0.2">
      <c r="A17" s="6" t="s">
        <v>37</v>
      </c>
      <c r="B17">
        <v>84</v>
      </c>
      <c r="C17">
        <v>305</v>
      </c>
      <c r="D17"/>
      <c r="E17">
        <v>389</v>
      </c>
      <c r="G17" s="6" t="s">
        <v>37</v>
      </c>
      <c r="H17">
        <v>84</v>
      </c>
      <c r="I17">
        <v>305</v>
      </c>
      <c r="J17">
        <v>389</v>
      </c>
    </row>
    <row r="18" spans="1:10" x14ac:dyDescent="0.2">
      <c r="A18" s="6" t="s">
        <v>38</v>
      </c>
      <c r="B18">
        <v>1</v>
      </c>
      <c r="C18">
        <v>4</v>
      </c>
      <c r="D18"/>
      <c r="E18">
        <v>5</v>
      </c>
      <c r="G18" s="6" t="s">
        <v>38</v>
      </c>
      <c r="H18">
        <v>1</v>
      </c>
      <c r="I18">
        <v>4</v>
      </c>
      <c r="J18">
        <v>5</v>
      </c>
    </row>
    <row r="19" spans="1:10" x14ac:dyDescent="0.2">
      <c r="A19" s="6" t="s">
        <v>39</v>
      </c>
      <c r="B19">
        <v>1</v>
      </c>
      <c r="C19">
        <v>1</v>
      </c>
      <c r="D19"/>
      <c r="E19">
        <v>2</v>
      </c>
      <c r="G19" s="6" t="s">
        <v>39</v>
      </c>
      <c r="H19">
        <v>1</v>
      </c>
      <c r="I19">
        <v>1</v>
      </c>
      <c r="J19">
        <v>2</v>
      </c>
    </row>
    <row r="20" spans="1:10" x14ac:dyDescent="0.2">
      <c r="A20" s="6" t="s">
        <v>40</v>
      </c>
      <c r="B20">
        <v>14</v>
      </c>
      <c r="C20">
        <v>28</v>
      </c>
      <c r="D20"/>
      <c r="E20">
        <v>42</v>
      </c>
      <c r="G20" s="6" t="s">
        <v>40</v>
      </c>
      <c r="H20">
        <v>14</v>
      </c>
      <c r="I20">
        <v>28</v>
      </c>
      <c r="J20">
        <v>42</v>
      </c>
    </row>
    <row r="21" spans="1:10" x14ac:dyDescent="0.2">
      <c r="A21" s="6" t="s">
        <v>41</v>
      </c>
      <c r="B21">
        <v>3</v>
      </c>
      <c r="C21">
        <v>2</v>
      </c>
      <c r="D21"/>
      <c r="E21">
        <v>5</v>
      </c>
      <c r="G21" s="6" t="s">
        <v>41</v>
      </c>
      <c r="H21">
        <v>3</v>
      </c>
      <c r="I21">
        <v>2</v>
      </c>
      <c r="J21">
        <v>5</v>
      </c>
    </row>
    <row r="22" spans="1:10" x14ac:dyDescent="0.2">
      <c r="A22" s="6" t="s">
        <v>42</v>
      </c>
      <c r="B22"/>
      <c r="C22">
        <v>1</v>
      </c>
      <c r="D22"/>
      <c r="E22">
        <v>1</v>
      </c>
      <c r="G22" s="6" t="s">
        <v>42</v>
      </c>
      <c r="H22"/>
      <c r="I22">
        <v>1</v>
      </c>
      <c r="J22">
        <v>1</v>
      </c>
    </row>
    <row r="23" spans="1:10" x14ac:dyDescent="0.2">
      <c r="A23" s="6" t="s">
        <v>43</v>
      </c>
      <c r="B23"/>
      <c r="C23">
        <v>1</v>
      </c>
      <c r="D23"/>
      <c r="E23">
        <v>1</v>
      </c>
      <c r="G23" s="6" t="s">
        <v>43</v>
      </c>
      <c r="H23"/>
      <c r="I23">
        <v>1</v>
      </c>
      <c r="J23">
        <v>1</v>
      </c>
    </row>
    <row r="24" spans="1:10" x14ac:dyDescent="0.2">
      <c r="A24" s="6" t="s">
        <v>44</v>
      </c>
      <c r="B24">
        <v>16</v>
      </c>
      <c r="C24">
        <v>7</v>
      </c>
      <c r="D24"/>
      <c r="E24">
        <v>23</v>
      </c>
      <c r="G24" s="6" t="s">
        <v>44</v>
      </c>
      <c r="H24">
        <v>16</v>
      </c>
      <c r="I24">
        <v>7</v>
      </c>
      <c r="J24">
        <v>23</v>
      </c>
    </row>
    <row r="25" spans="1:10" x14ac:dyDescent="0.2">
      <c r="A25" s="6" t="s">
        <v>45</v>
      </c>
      <c r="B25"/>
      <c r="C25">
        <v>1</v>
      </c>
      <c r="D25"/>
      <c r="E25">
        <v>1</v>
      </c>
      <c r="G25" s="6" t="s">
        <v>45</v>
      </c>
      <c r="H25"/>
      <c r="I25">
        <v>1</v>
      </c>
      <c r="J25">
        <v>1</v>
      </c>
    </row>
    <row r="26" spans="1:10" x14ac:dyDescent="0.2">
      <c r="A26" s="6" t="s">
        <v>46</v>
      </c>
      <c r="B26">
        <v>1</v>
      </c>
      <c r="C26"/>
      <c r="D26"/>
      <c r="E26">
        <v>1</v>
      </c>
      <c r="G26" s="6" t="s">
        <v>46</v>
      </c>
      <c r="H26">
        <v>1</v>
      </c>
      <c r="I26"/>
      <c r="J26">
        <v>1</v>
      </c>
    </row>
    <row r="27" spans="1:10" x14ac:dyDescent="0.2">
      <c r="A27" s="6" t="s">
        <v>47</v>
      </c>
      <c r="B27">
        <v>3</v>
      </c>
      <c r="C27">
        <v>6</v>
      </c>
      <c r="D27"/>
      <c r="E27">
        <v>9</v>
      </c>
      <c r="G27" s="6" t="s">
        <v>47</v>
      </c>
      <c r="H27">
        <v>3</v>
      </c>
      <c r="I27">
        <v>6</v>
      </c>
      <c r="J27">
        <v>9</v>
      </c>
    </row>
    <row r="28" spans="1:10" x14ac:dyDescent="0.2">
      <c r="A28" s="6" t="s">
        <v>48</v>
      </c>
      <c r="B28">
        <v>1</v>
      </c>
      <c r="C28"/>
      <c r="D28"/>
      <c r="E28">
        <v>1</v>
      </c>
      <c r="G28" s="6" t="s">
        <v>48</v>
      </c>
      <c r="H28">
        <v>1</v>
      </c>
      <c r="I28"/>
      <c r="J28">
        <v>1</v>
      </c>
    </row>
    <row r="29" spans="1:10" x14ac:dyDescent="0.2">
      <c r="A29" s="6" t="s">
        <v>49</v>
      </c>
      <c r="B29">
        <v>3</v>
      </c>
      <c r="C29">
        <v>11</v>
      </c>
      <c r="D29"/>
      <c r="E29">
        <v>14</v>
      </c>
      <c r="G29" s="6" t="s">
        <v>49</v>
      </c>
      <c r="H29">
        <v>3</v>
      </c>
      <c r="I29">
        <v>11</v>
      </c>
      <c r="J29">
        <v>14</v>
      </c>
    </row>
    <row r="30" spans="1:10" x14ac:dyDescent="0.2">
      <c r="A30" s="6" t="s">
        <v>50</v>
      </c>
      <c r="B30">
        <v>19</v>
      </c>
      <c r="C30">
        <v>16</v>
      </c>
      <c r="D30"/>
      <c r="E30">
        <v>35</v>
      </c>
      <c r="G30" s="6" t="s">
        <v>50</v>
      </c>
      <c r="H30">
        <v>19</v>
      </c>
      <c r="I30">
        <v>16</v>
      </c>
      <c r="J30">
        <v>35</v>
      </c>
    </row>
    <row r="31" spans="1:10" x14ac:dyDescent="0.2">
      <c r="A31" s="6" t="s">
        <v>51</v>
      </c>
      <c r="B31"/>
      <c r="C31">
        <v>1</v>
      </c>
      <c r="D31"/>
      <c r="E31">
        <v>1</v>
      </c>
      <c r="G31" s="6" t="s">
        <v>51</v>
      </c>
      <c r="H31"/>
      <c r="I31">
        <v>1</v>
      </c>
      <c r="J31">
        <v>1</v>
      </c>
    </row>
    <row r="32" spans="1:10" x14ac:dyDescent="0.2">
      <c r="A32" s="6" t="s">
        <v>52</v>
      </c>
      <c r="B32"/>
      <c r="C32">
        <v>2</v>
      </c>
      <c r="D32"/>
      <c r="E32">
        <v>2</v>
      </c>
      <c r="G32" s="6" t="s">
        <v>52</v>
      </c>
      <c r="H32"/>
      <c r="I32">
        <v>2</v>
      </c>
      <c r="J32">
        <v>2</v>
      </c>
    </row>
    <row r="33" spans="1:10" x14ac:dyDescent="0.2">
      <c r="A33" s="6" t="s">
        <v>53</v>
      </c>
      <c r="B33"/>
      <c r="C33">
        <v>3</v>
      </c>
      <c r="D33"/>
      <c r="E33">
        <v>3</v>
      </c>
      <c r="G33" s="6" t="s">
        <v>53</v>
      </c>
      <c r="H33"/>
      <c r="I33">
        <v>3</v>
      </c>
      <c r="J33">
        <v>3</v>
      </c>
    </row>
    <row r="34" spans="1:10" x14ac:dyDescent="0.2">
      <c r="A34" s="6" t="s">
        <v>54</v>
      </c>
      <c r="B34">
        <v>2</v>
      </c>
      <c r="C34">
        <v>4</v>
      </c>
      <c r="D34"/>
      <c r="E34">
        <v>6</v>
      </c>
      <c r="G34" s="6" t="s">
        <v>54</v>
      </c>
      <c r="H34">
        <v>2</v>
      </c>
      <c r="I34">
        <v>4</v>
      </c>
      <c r="J34">
        <v>6</v>
      </c>
    </row>
    <row r="35" spans="1:10" x14ac:dyDescent="0.2">
      <c r="A35" s="6" t="s">
        <v>55</v>
      </c>
      <c r="B35">
        <v>1</v>
      </c>
      <c r="C35">
        <v>1</v>
      </c>
      <c r="D35"/>
      <c r="E35">
        <v>2</v>
      </c>
      <c r="G35" s="6" t="s">
        <v>55</v>
      </c>
      <c r="H35">
        <v>1</v>
      </c>
      <c r="I35">
        <v>1</v>
      </c>
      <c r="J35">
        <v>2</v>
      </c>
    </row>
    <row r="36" spans="1:10" x14ac:dyDescent="0.2">
      <c r="A36" s="6" t="s">
        <v>56</v>
      </c>
      <c r="B36">
        <v>1</v>
      </c>
      <c r="C36">
        <v>1</v>
      </c>
      <c r="D36"/>
      <c r="E36">
        <v>2</v>
      </c>
      <c r="G36" s="6" t="s">
        <v>56</v>
      </c>
      <c r="H36">
        <v>1</v>
      </c>
      <c r="I36">
        <v>1</v>
      </c>
      <c r="J36">
        <v>2</v>
      </c>
    </row>
    <row r="37" spans="1:10" x14ac:dyDescent="0.2">
      <c r="A37" s="6" t="s">
        <v>57</v>
      </c>
      <c r="B37">
        <v>12</v>
      </c>
      <c r="C37">
        <v>30</v>
      </c>
      <c r="D37"/>
      <c r="E37">
        <v>42</v>
      </c>
      <c r="G37" s="6" t="s">
        <v>57</v>
      </c>
      <c r="H37">
        <v>12</v>
      </c>
      <c r="I37">
        <v>30</v>
      </c>
      <c r="J37">
        <v>42</v>
      </c>
    </row>
    <row r="38" spans="1:10" x14ac:dyDescent="0.2">
      <c r="A38" s="6" t="s">
        <v>58</v>
      </c>
      <c r="B38">
        <v>58</v>
      </c>
      <c r="C38">
        <v>186</v>
      </c>
      <c r="D38"/>
      <c r="E38">
        <v>244</v>
      </c>
      <c r="G38" s="6" t="s">
        <v>58</v>
      </c>
      <c r="H38">
        <v>58</v>
      </c>
      <c r="I38">
        <v>186</v>
      </c>
      <c r="J38">
        <v>244</v>
      </c>
    </row>
    <row r="39" spans="1:10" x14ac:dyDescent="0.2">
      <c r="A39" s="6" t="s">
        <v>59</v>
      </c>
      <c r="B39">
        <v>2</v>
      </c>
      <c r="C39">
        <v>1</v>
      </c>
      <c r="D39"/>
      <c r="E39">
        <v>3</v>
      </c>
      <c r="G39" s="6" t="s">
        <v>59</v>
      </c>
      <c r="H39">
        <v>2</v>
      </c>
      <c r="I39">
        <v>1</v>
      </c>
      <c r="J39">
        <v>3</v>
      </c>
    </row>
    <row r="40" spans="1:10" x14ac:dyDescent="0.2">
      <c r="A40" s="6" t="s">
        <v>60</v>
      </c>
      <c r="B40">
        <v>8</v>
      </c>
      <c r="C40">
        <v>4</v>
      </c>
      <c r="D40"/>
      <c r="E40">
        <v>12</v>
      </c>
      <c r="G40" s="6" t="s">
        <v>60</v>
      </c>
      <c r="H40">
        <v>8</v>
      </c>
      <c r="I40">
        <v>4</v>
      </c>
      <c r="J40">
        <v>12</v>
      </c>
    </row>
    <row r="41" spans="1:10" x14ac:dyDescent="0.2">
      <c r="A41" s="6" t="s">
        <v>61</v>
      </c>
      <c r="B41">
        <v>7</v>
      </c>
      <c r="C41">
        <v>38</v>
      </c>
      <c r="D41"/>
      <c r="E41">
        <v>45</v>
      </c>
      <c r="G41" s="6" t="s">
        <v>61</v>
      </c>
      <c r="H41">
        <v>7</v>
      </c>
      <c r="I41">
        <v>38</v>
      </c>
      <c r="J41">
        <v>45</v>
      </c>
    </row>
    <row r="42" spans="1:10" x14ac:dyDescent="0.2">
      <c r="A42" s="6" t="s">
        <v>62</v>
      </c>
      <c r="B42">
        <v>4</v>
      </c>
      <c r="C42">
        <v>1</v>
      </c>
      <c r="D42"/>
      <c r="E42">
        <v>5</v>
      </c>
      <c r="G42" s="6" t="s">
        <v>62</v>
      </c>
      <c r="H42">
        <v>4</v>
      </c>
      <c r="I42">
        <v>1</v>
      </c>
      <c r="J42">
        <v>5</v>
      </c>
    </row>
    <row r="43" spans="1:10" x14ac:dyDescent="0.2">
      <c r="A43" s="6" t="s">
        <v>63</v>
      </c>
      <c r="B43">
        <v>9</v>
      </c>
      <c r="C43">
        <v>100</v>
      </c>
      <c r="D43"/>
      <c r="E43">
        <v>109</v>
      </c>
      <c r="G43" s="6" t="s">
        <v>63</v>
      </c>
      <c r="H43">
        <v>9</v>
      </c>
      <c r="I43">
        <v>100</v>
      </c>
      <c r="J43">
        <v>109</v>
      </c>
    </row>
    <row r="44" spans="1:10" x14ac:dyDescent="0.2">
      <c r="A44" s="6" t="s">
        <v>64</v>
      </c>
      <c r="B44"/>
      <c r="C44">
        <v>1</v>
      </c>
      <c r="D44"/>
      <c r="E44">
        <v>1</v>
      </c>
      <c r="G44" s="6" t="s">
        <v>64</v>
      </c>
      <c r="H44"/>
      <c r="I44">
        <v>1</v>
      </c>
      <c r="J44">
        <v>1</v>
      </c>
    </row>
    <row r="45" spans="1:10" x14ac:dyDescent="0.2">
      <c r="A45" s="6" t="s">
        <v>9</v>
      </c>
      <c r="B45"/>
      <c r="C45"/>
      <c r="D45"/>
      <c r="E45"/>
      <c r="G45" s="6" t="s">
        <v>9</v>
      </c>
      <c r="H45"/>
      <c r="I45"/>
      <c r="J45"/>
    </row>
    <row r="46" spans="1:10" x14ac:dyDescent="0.2">
      <c r="A46" s="6" t="s">
        <v>8</v>
      </c>
      <c r="B46">
        <v>450</v>
      </c>
      <c r="C46">
        <v>1101</v>
      </c>
      <c r="D46"/>
      <c r="E46">
        <v>1551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9A923-4B7F-486F-B882-BD08DB83CA96}">
  <dimension ref="A3:H32"/>
  <sheetViews>
    <sheetView topLeftCell="B10" workbookViewId="0">
      <selection activeCell="H7" sqref="H7:H8"/>
    </sheetView>
  </sheetViews>
  <sheetFormatPr defaultRowHeight="12.75" x14ac:dyDescent="0.2"/>
  <cols>
    <col min="1" max="1" width="13.85546875" style="1" bestFit="1" customWidth="1"/>
    <col min="2" max="2" width="19.140625" style="1" bestFit="1" customWidth="1"/>
    <col min="3" max="3" width="5" style="1" bestFit="1" customWidth="1"/>
    <col min="4" max="4" width="4" style="1" bestFit="1" customWidth="1"/>
    <col min="5" max="6" width="12.7109375" style="1" customWidth="1"/>
    <col min="7" max="7" width="15" style="1" customWidth="1"/>
    <col min="8" max="8" width="14.85546875" style="1" customWidth="1"/>
    <col min="9" max="38" width="12.7109375" style="1" customWidth="1"/>
    <col min="39" max="39" width="5" style="1" bestFit="1" customWidth="1"/>
    <col min="40" max="43" width="3" style="1" bestFit="1" customWidth="1"/>
    <col min="44" max="44" width="7.140625" style="1" bestFit="1" customWidth="1"/>
    <col min="45" max="45" width="11.7109375" style="1" bestFit="1" customWidth="1"/>
    <col min="46" max="16384" width="9.140625" style="1"/>
  </cols>
  <sheetData>
    <row r="3" spans="1:8" x14ac:dyDescent="0.2">
      <c r="A3" t="s">
        <v>2</v>
      </c>
      <c r="B3" t="s">
        <v>65</v>
      </c>
      <c r="C3"/>
      <c r="F3" s="1" t="s">
        <v>66</v>
      </c>
      <c r="G3" s="1" t="s">
        <v>67</v>
      </c>
      <c r="H3" s="1" t="s">
        <v>68</v>
      </c>
    </row>
    <row r="4" spans="1:8" x14ac:dyDescent="0.2">
      <c r="A4" s="6" t="s">
        <v>69</v>
      </c>
      <c r="B4">
        <v>540</v>
      </c>
      <c r="C4"/>
      <c r="F4" s="1" t="s">
        <v>69</v>
      </c>
      <c r="G4" s="1">
        <f>SUM('[2]Dist-Time'!G4,'[1]Dist-Time'!G4,'[3]Dist-Time'!G4,'[4]Dist-Time'!G4)</f>
        <v>1009</v>
      </c>
      <c r="H4" s="5">
        <f>G4/$G$12</f>
        <v>0.2049563274426163</v>
      </c>
    </row>
    <row r="5" spans="1:8" x14ac:dyDescent="0.2">
      <c r="A5" s="6" t="s">
        <v>70</v>
      </c>
      <c r="B5">
        <v>229</v>
      </c>
      <c r="C5"/>
      <c r="F5" s="1" t="s">
        <v>71</v>
      </c>
      <c r="G5" s="1">
        <f>SUM('[2]Dist-Time'!G5,'[1]Dist-Time'!G5,'[3]Dist-Time'!G5,'[4]Dist-Time'!G5)</f>
        <v>212</v>
      </c>
      <c r="H5" s="5">
        <f>G5/$G$12</f>
        <v>4.306317286207597E-2</v>
      </c>
    </row>
    <row r="6" spans="1:8" x14ac:dyDescent="0.2">
      <c r="A6" s="6" t="s">
        <v>71</v>
      </c>
      <c r="B6">
        <v>62</v>
      </c>
      <c r="C6"/>
      <c r="F6" s="1" t="s">
        <v>72</v>
      </c>
      <c r="G6" s="1">
        <f>SUM('[2]Dist-Time'!G6,'[1]Dist-Time'!G6,'[3]Dist-Time'!G6,'[4]Dist-Time'!G6)</f>
        <v>642</v>
      </c>
      <c r="H6" s="5">
        <f>G6/$G$12</f>
        <v>0.13040828762949422</v>
      </c>
    </row>
    <row r="7" spans="1:8" x14ac:dyDescent="0.2">
      <c r="A7" s="6" t="s">
        <v>72</v>
      </c>
      <c r="B7">
        <v>92</v>
      </c>
      <c r="C7"/>
      <c r="F7" s="1" t="s">
        <v>73</v>
      </c>
      <c r="G7" s="1">
        <f>SUM('[2]Dist-Time'!G7,'[1]Dist-Time'!G7,'[3]Dist-Time'!G7,'[4]Dist-Time'!G7)</f>
        <v>780</v>
      </c>
      <c r="H7" s="5">
        <f>G7/$G$12</f>
        <v>0.15843997562461914</v>
      </c>
    </row>
    <row r="8" spans="1:8" x14ac:dyDescent="0.2">
      <c r="A8" s="6" t="s">
        <v>73</v>
      </c>
      <c r="B8">
        <v>141</v>
      </c>
      <c r="C8"/>
      <c r="F8" s="1" t="s">
        <v>74</v>
      </c>
      <c r="G8" s="1">
        <f>SUM('[2]Dist-Time'!G8,'[1]Dist-Time'!G8,'[3]Dist-Time'!G8,'[4]Dist-Time'!G8)</f>
        <v>540</v>
      </c>
      <c r="H8" s="5">
        <f>G8/$G$12</f>
        <v>0.10968921389396709</v>
      </c>
    </row>
    <row r="9" spans="1:8" x14ac:dyDescent="0.2">
      <c r="A9" s="6" t="s">
        <v>74</v>
      </c>
      <c r="B9">
        <v>123</v>
      </c>
      <c r="C9"/>
      <c r="F9" s="1" t="s">
        <v>70</v>
      </c>
      <c r="G9" s="1">
        <f>SUM('[2]Dist-Time'!G9,'[1]Dist-Time'!G9,'[3]Dist-Time'!G9,'[4]Dist-Time'!G9)</f>
        <v>688</v>
      </c>
      <c r="H9" s="5">
        <f>G9/$G$12</f>
        <v>0.13975218362786918</v>
      </c>
    </row>
    <row r="10" spans="1:8" x14ac:dyDescent="0.2">
      <c r="A10" s="6" t="s">
        <v>75</v>
      </c>
      <c r="B10">
        <v>364</v>
      </c>
      <c r="C10"/>
      <c r="F10" s="1" t="s">
        <v>75</v>
      </c>
      <c r="G10" s="1">
        <f>SUM('[2]Dist-Time'!G10,'[1]Dist-Time'!G10,'[3]Dist-Time'!G10,'[4]Dist-Time'!G10)</f>
        <v>1052</v>
      </c>
      <c r="H10" s="5">
        <f t="shared" ref="H10:H15" si="0">G10/$G$12</f>
        <v>0.21369083891935811</v>
      </c>
    </row>
    <row r="11" spans="1:8" x14ac:dyDescent="0.2">
      <c r="A11" s="6" t="s">
        <v>9</v>
      </c>
      <c r="B11"/>
      <c r="C11"/>
    </row>
    <row r="12" spans="1:8" x14ac:dyDescent="0.2">
      <c r="A12" s="6" t="s">
        <v>8</v>
      </c>
      <c r="B12">
        <v>1551</v>
      </c>
      <c r="C12"/>
      <c r="F12" s="1" t="s">
        <v>8</v>
      </c>
      <c r="G12" s="1">
        <f>SUM(G4:G10)</f>
        <v>4923</v>
      </c>
    </row>
    <row r="13" spans="1:8" x14ac:dyDescent="0.2">
      <c r="A13"/>
      <c r="B13"/>
      <c r="C13"/>
    </row>
    <row r="14" spans="1:8" x14ac:dyDescent="0.2">
      <c r="A14"/>
      <c r="B14"/>
      <c r="C14"/>
    </row>
    <row r="15" spans="1:8" x14ac:dyDescent="0.2">
      <c r="A15" t="s">
        <v>2</v>
      </c>
      <c r="B15" t="s">
        <v>76</v>
      </c>
      <c r="C15"/>
    </row>
    <row r="16" spans="1:8" x14ac:dyDescent="0.2">
      <c r="A16" s="6" t="s">
        <v>77</v>
      </c>
      <c r="B16">
        <v>123</v>
      </c>
      <c r="C16"/>
    </row>
    <row r="17" spans="1:8" x14ac:dyDescent="0.2">
      <c r="A17" s="6" t="s">
        <v>78</v>
      </c>
      <c r="B17">
        <v>183</v>
      </c>
      <c r="C17"/>
    </row>
    <row r="18" spans="1:8" x14ac:dyDescent="0.2">
      <c r="A18" s="6" t="s">
        <v>79</v>
      </c>
      <c r="B18">
        <v>223</v>
      </c>
      <c r="C18"/>
    </row>
    <row r="19" spans="1:8" x14ac:dyDescent="0.2">
      <c r="A19" s="6" t="s">
        <v>80</v>
      </c>
      <c r="B19">
        <v>458</v>
      </c>
      <c r="C19"/>
    </row>
    <row r="20" spans="1:8" x14ac:dyDescent="0.2">
      <c r="A20" s="6" t="s">
        <v>81</v>
      </c>
      <c r="B20">
        <v>564</v>
      </c>
      <c r="C20"/>
    </row>
    <row r="21" spans="1:8" x14ac:dyDescent="0.2">
      <c r="A21" s="6" t="s">
        <v>9</v>
      </c>
      <c r="B21"/>
      <c r="C21"/>
      <c r="F21" s="1" t="s">
        <v>82</v>
      </c>
      <c r="G21" s="1" t="s">
        <v>67</v>
      </c>
      <c r="H21" s="1" t="s">
        <v>68</v>
      </c>
    </row>
    <row r="22" spans="1:8" x14ac:dyDescent="0.2">
      <c r="A22" s="6" t="s">
        <v>8</v>
      </c>
      <c r="B22">
        <v>1551</v>
      </c>
      <c r="C22"/>
      <c r="F22" s="1" t="s">
        <v>78</v>
      </c>
      <c r="G22" s="1">
        <f>SUM('[2]Dist-Time'!G22,'[1]Dist-Time'!G22,'[3]Dist-Time'!G22,'[4]Dist-Time'!G22)</f>
        <v>549</v>
      </c>
      <c r="H22" s="5">
        <f>G22/$G$27</f>
        <v>0.11151736745886655</v>
      </c>
    </row>
    <row r="23" spans="1:8" x14ac:dyDescent="0.2">
      <c r="A23"/>
      <c r="B23"/>
      <c r="C23"/>
      <c r="F23" s="1" t="s">
        <v>77</v>
      </c>
      <c r="G23" s="1">
        <f>SUM('[2]Dist-Time'!G23,'[1]Dist-Time'!G23,'[3]Dist-Time'!G23,'[4]Dist-Time'!G23)</f>
        <v>366</v>
      </c>
      <c r="H23" s="5">
        <f>G23/$G$27</f>
        <v>7.4344911639244365E-2</v>
      </c>
    </row>
    <row r="24" spans="1:8" x14ac:dyDescent="0.2">
      <c r="A24"/>
      <c r="B24"/>
      <c r="C24"/>
      <c r="F24" s="1" t="s">
        <v>79</v>
      </c>
      <c r="G24" s="1">
        <f>SUM('[2]Dist-Time'!G24,'[1]Dist-Time'!G24,'[3]Dist-Time'!G24,'[4]Dist-Time'!G24)</f>
        <v>984</v>
      </c>
      <c r="H24" s="5">
        <f t="shared" ref="H24:H27" si="1">G24/$G$27</f>
        <v>0.19987812309567338</v>
      </c>
    </row>
    <row r="25" spans="1:8" x14ac:dyDescent="0.2">
      <c r="A25"/>
      <c r="B25"/>
      <c r="C25"/>
      <c r="F25" s="1" t="s">
        <v>80</v>
      </c>
      <c r="G25" s="1">
        <f>SUM('[2]Dist-Time'!G25,'[1]Dist-Time'!G25,'[3]Dist-Time'!G25,'[4]Dist-Time'!G25)</f>
        <v>1575</v>
      </c>
      <c r="H25" s="5">
        <f t="shared" si="1"/>
        <v>0.31992687385740404</v>
      </c>
    </row>
    <row r="26" spans="1:8" x14ac:dyDescent="0.2">
      <c r="A26"/>
      <c r="B26"/>
      <c r="C26"/>
      <c r="F26" s="1" t="s">
        <v>81</v>
      </c>
      <c r="G26" s="1">
        <f>SUM('[2]Dist-Time'!G26,'[1]Dist-Time'!G26,'[3]Dist-Time'!G26,'[4]Dist-Time'!G26)</f>
        <v>1449</v>
      </c>
      <c r="H26" s="5">
        <f t="shared" si="1"/>
        <v>0.29433272394881171</v>
      </c>
    </row>
    <row r="27" spans="1:8" x14ac:dyDescent="0.2">
      <c r="A27"/>
      <c r="B27"/>
      <c r="C27"/>
      <c r="F27" s="1" t="s">
        <v>8</v>
      </c>
      <c r="G27" s="1">
        <f>SUM(G22:G26)</f>
        <v>4923</v>
      </c>
    </row>
    <row r="28" spans="1:8" x14ac:dyDescent="0.2">
      <c r="A28"/>
      <c r="B28"/>
      <c r="C28"/>
    </row>
    <row r="29" spans="1:8" x14ac:dyDescent="0.2">
      <c r="A29"/>
      <c r="B29"/>
      <c r="C29"/>
    </row>
    <row r="30" spans="1:8" x14ac:dyDescent="0.2">
      <c r="A30"/>
      <c r="B30"/>
      <c r="C30"/>
    </row>
    <row r="31" spans="1:8" x14ac:dyDescent="0.2">
      <c r="A31"/>
      <c r="B31"/>
      <c r="C31"/>
    </row>
    <row r="32" spans="1:8" x14ac:dyDescent="0.2">
      <c r="A32"/>
      <c r="B32"/>
      <c r="C32"/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F100F-F13F-4F86-8327-1B152972F8AC}">
  <dimension ref="A3:AB33"/>
  <sheetViews>
    <sheetView tabSelected="1" topLeftCell="S4" workbookViewId="0">
      <selection activeCell="Y17" sqref="Y17"/>
    </sheetView>
  </sheetViews>
  <sheetFormatPr defaultRowHeight="12.75" x14ac:dyDescent="0.2"/>
  <cols>
    <col min="1" max="1" width="20" style="1" bestFit="1" customWidth="1"/>
    <col min="2" max="2" width="17" style="1" bestFit="1" customWidth="1"/>
    <col min="3" max="5" width="9.5703125" style="1" bestFit="1" customWidth="1"/>
    <col min="6" max="6" width="10.5703125" style="1" bestFit="1" customWidth="1"/>
    <col min="7" max="7" width="10.85546875" style="1" bestFit="1" customWidth="1"/>
    <col min="8" max="8" width="7.140625" style="1" bestFit="1" customWidth="1"/>
    <col min="9" max="9" width="11.7109375" style="1" bestFit="1" customWidth="1"/>
    <col min="10" max="20" width="9.140625" style="1"/>
    <col min="21" max="21" width="11.7109375" style="1" customWidth="1"/>
    <col min="22" max="16384" width="9.140625" style="1"/>
  </cols>
  <sheetData>
    <row r="3" spans="1:28" ht="15.75" x14ac:dyDescent="0.25">
      <c r="A3" t="s">
        <v>83</v>
      </c>
      <c r="B3" t="s">
        <v>1</v>
      </c>
      <c r="C3"/>
      <c r="D3"/>
      <c r="E3"/>
      <c r="F3"/>
      <c r="G3"/>
      <c r="H3"/>
      <c r="I3"/>
      <c r="U3" s="10"/>
      <c r="V3" s="15" t="s">
        <v>84</v>
      </c>
      <c r="W3" s="16"/>
      <c r="X3" s="16"/>
      <c r="Y3" s="16"/>
      <c r="Z3" s="16"/>
      <c r="AA3" s="16"/>
      <c r="AB3" s="16"/>
    </row>
    <row r="4" spans="1:28" ht="38.25" x14ac:dyDescent="0.2">
      <c r="A4" t="s">
        <v>2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</v>
      </c>
      <c r="I4" t="s">
        <v>8</v>
      </c>
      <c r="K4" s="1" t="s">
        <v>66</v>
      </c>
      <c r="L4" s="1" t="s">
        <v>85</v>
      </c>
      <c r="M4" s="1" t="s">
        <v>86</v>
      </c>
      <c r="N4" s="1" t="s">
        <v>87</v>
      </c>
      <c r="O4" s="1" t="s">
        <v>88</v>
      </c>
      <c r="P4" s="1" t="s">
        <v>89</v>
      </c>
      <c r="Q4" s="1" t="s">
        <v>90</v>
      </c>
      <c r="R4" s="1" t="s">
        <v>8</v>
      </c>
      <c r="U4" s="10" t="s">
        <v>91</v>
      </c>
      <c r="V4" s="10" t="s">
        <v>92</v>
      </c>
      <c r="W4" s="10" t="s">
        <v>93</v>
      </c>
      <c r="X4" s="10" t="s">
        <v>94</v>
      </c>
      <c r="Y4" s="10" t="s">
        <v>95</v>
      </c>
      <c r="Z4" s="10" t="s">
        <v>96</v>
      </c>
      <c r="AA4" s="10" t="s">
        <v>97</v>
      </c>
      <c r="AB4" s="10" t="s">
        <v>104</v>
      </c>
    </row>
    <row r="5" spans="1:28" ht="15" customHeight="1" x14ac:dyDescent="0.2">
      <c r="A5" s="6" t="s">
        <v>69</v>
      </c>
      <c r="B5">
        <v>231</v>
      </c>
      <c r="C5">
        <v>118</v>
      </c>
      <c r="D5">
        <v>61</v>
      </c>
      <c r="E5">
        <v>37</v>
      </c>
      <c r="F5">
        <v>49</v>
      </c>
      <c r="G5">
        <v>44</v>
      </c>
      <c r="H5"/>
      <c r="I5">
        <v>540</v>
      </c>
      <c r="K5" s="1" t="s">
        <v>69</v>
      </c>
      <c r="L5" s="1">
        <f>SUM('[2]Dist-Time Toll'!L5,'[1]Dist-Time Toll'!L5,'[3]Dist-Time Toll'!L5,'[4]Dist-Time Toll'!L5)</f>
        <v>409</v>
      </c>
      <c r="M5" s="1">
        <f>SUM('[2]Dist-Time Toll'!M5,'[1]Dist-Time Toll'!M5,'[3]Dist-Time Toll'!M5,'[4]Dist-Time Toll'!M5)</f>
        <v>250</v>
      </c>
      <c r="N5" s="1">
        <f>SUM('[2]Dist-Time Toll'!N5,'[1]Dist-Time Toll'!N5,'[3]Dist-Time Toll'!N5,'[4]Dist-Time Toll'!N5)</f>
        <v>131</v>
      </c>
      <c r="O5" s="1">
        <f>SUM('[2]Dist-Time Toll'!O5,'[1]Dist-Time Toll'!O5,'[3]Dist-Time Toll'!O5,'[4]Dist-Time Toll'!O5)</f>
        <v>83</v>
      </c>
      <c r="P5" s="1">
        <f>SUM('[2]Dist-Time Toll'!P5,'[1]Dist-Time Toll'!P5,'[3]Dist-Time Toll'!P5,'[4]Dist-Time Toll'!P5)</f>
        <v>81</v>
      </c>
      <c r="Q5" s="1">
        <f>SUM('[2]Dist-Time Toll'!Q5,'[1]Dist-Time Toll'!Q5,'[3]Dist-Time Toll'!Q5,'[4]Dist-Time Toll'!Q5)</f>
        <v>55</v>
      </c>
      <c r="R5" s="1">
        <f>SUM(L5:Q5)</f>
        <v>1009</v>
      </c>
      <c r="U5" s="11" t="s">
        <v>69</v>
      </c>
      <c r="V5" s="12">
        <f>L5/$R$13</f>
        <v>8.3079423115986192E-2</v>
      </c>
      <c r="W5" s="12">
        <f>M5/$R$13</f>
        <v>5.078204346942921E-2</v>
      </c>
      <c r="X5" s="12">
        <f>N5/$R$13</f>
        <v>2.6609790777980907E-2</v>
      </c>
      <c r="Y5" s="12">
        <f>O5/$R$13</f>
        <v>1.6859638431850496E-2</v>
      </c>
      <c r="Z5" s="12">
        <f>P5/$R$13</f>
        <v>1.6453382084095063E-2</v>
      </c>
      <c r="AA5" s="12">
        <f>Q5/$R$13</f>
        <v>1.1172049563274427E-2</v>
      </c>
      <c r="AB5" s="17">
        <f>SUM(V5:AA5)</f>
        <v>0.20495632744261627</v>
      </c>
    </row>
    <row r="6" spans="1:28" ht="15" customHeight="1" x14ac:dyDescent="0.2">
      <c r="A6" s="6" t="s">
        <v>70</v>
      </c>
      <c r="B6">
        <v>79</v>
      </c>
      <c r="C6">
        <v>54</v>
      </c>
      <c r="D6">
        <v>30</v>
      </c>
      <c r="E6">
        <v>28</v>
      </c>
      <c r="F6">
        <v>32</v>
      </c>
      <c r="G6">
        <v>6</v>
      </c>
      <c r="H6"/>
      <c r="I6">
        <v>229</v>
      </c>
      <c r="K6" s="1" t="s">
        <v>71</v>
      </c>
      <c r="L6" s="1">
        <f>SUM('[2]Dist-Time Toll'!L6,'[1]Dist-Time Toll'!L6,'[3]Dist-Time Toll'!L6,'[4]Dist-Time Toll'!L6)</f>
        <v>99</v>
      </c>
      <c r="M6" s="1">
        <f>SUM('[2]Dist-Time Toll'!M6,'[1]Dist-Time Toll'!M6,'[3]Dist-Time Toll'!M6,'[4]Dist-Time Toll'!M6)</f>
        <v>66</v>
      </c>
      <c r="N6" s="1">
        <f>SUM('[2]Dist-Time Toll'!N6,'[1]Dist-Time Toll'!N6,'[3]Dist-Time Toll'!N6,'[4]Dist-Time Toll'!N6)</f>
        <v>22</v>
      </c>
      <c r="O6" s="1">
        <f>SUM('[2]Dist-Time Toll'!O6,'[1]Dist-Time Toll'!O6,'[3]Dist-Time Toll'!O6,'[4]Dist-Time Toll'!O6)</f>
        <v>9</v>
      </c>
      <c r="P6" s="1">
        <f>SUM('[2]Dist-Time Toll'!P6,'[1]Dist-Time Toll'!P6,'[3]Dist-Time Toll'!P6,'[4]Dist-Time Toll'!P6)</f>
        <v>12</v>
      </c>
      <c r="Q6" s="1">
        <f>SUM('[2]Dist-Time Toll'!Q6,'[1]Dist-Time Toll'!Q6,'[3]Dist-Time Toll'!Q6,'[4]Dist-Time Toll'!Q6)</f>
        <v>4</v>
      </c>
      <c r="R6" s="1">
        <f t="shared" ref="R6:R11" si="0">SUM(L6:Q6)</f>
        <v>212</v>
      </c>
      <c r="U6" s="11" t="s">
        <v>71</v>
      </c>
      <c r="V6" s="12">
        <f>L10/$R$13</f>
        <v>4.8141377209018892E-2</v>
      </c>
      <c r="W6" s="12">
        <f>M10/$R$13</f>
        <v>3.2703635994312412E-2</v>
      </c>
      <c r="X6" s="12">
        <f>N10/$R$13</f>
        <v>2.3969124517570588E-2</v>
      </c>
      <c r="Y6" s="12">
        <f>O10/$R$13</f>
        <v>1.5234613040828763E-2</v>
      </c>
      <c r="Z6" s="12">
        <f>P10/$R$13</f>
        <v>1.5234613040828763E-2</v>
      </c>
      <c r="AA6" s="12">
        <f>Q10/$R$13</f>
        <v>4.4688198253097708E-3</v>
      </c>
      <c r="AB6" s="17">
        <f t="shared" ref="AB6:AB11" si="1">SUM(V6:AA6)</f>
        <v>0.1397521836278692</v>
      </c>
    </row>
    <row r="7" spans="1:28" ht="15" customHeight="1" x14ac:dyDescent="0.2">
      <c r="A7" s="6" t="s">
        <v>71</v>
      </c>
      <c r="B7">
        <v>25</v>
      </c>
      <c r="C7">
        <v>20</v>
      </c>
      <c r="D7">
        <v>9</v>
      </c>
      <c r="E7">
        <v>3</v>
      </c>
      <c r="F7">
        <v>5</v>
      </c>
      <c r="G7"/>
      <c r="H7"/>
      <c r="I7">
        <v>62</v>
      </c>
      <c r="K7" s="1" t="s">
        <v>72</v>
      </c>
      <c r="L7" s="1">
        <f>SUM('[2]Dist-Time Toll'!L7,'[1]Dist-Time Toll'!L7,'[3]Dist-Time Toll'!L7,'[4]Dist-Time Toll'!L7)</f>
        <v>252</v>
      </c>
      <c r="M7" s="1">
        <f>SUM('[2]Dist-Time Toll'!M7,'[1]Dist-Time Toll'!M7,'[3]Dist-Time Toll'!M7,'[4]Dist-Time Toll'!M7)</f>
        <v>197</v>
      </c>
      <c r="N7" s="1">
        <f>SUM('[2]Dist-Time Toll'!N7,'[1]Dist-Time Toll'!N7,'[3]Dist-Time Toll'!N7,'[4]Dist-Time Toll'!N7)</f>
        <v>82</v>
      </c>
      <c r="O7" s="1">
        <f>SUM('[2]Dist-Time Toll'!O7,'[1]Dist-Time Toll'!O7,'[3]Dist-Time Toll'!O7,'[4]Dist-Time Toll'!O7)</f>
        <v>45</v>
      </c>
      <c r="P7" s="1">
        <f>SUM('[2]Dist-Time Toll'!P7,'[1]Dist-Time Toll'!P7,'[3]Dist-Time Toll'!P7,'[4]Dist-Time Toll'!P7)</f>
        <v>56</v>
      </c>
      <c r="Q7" s="1">
        <f>SUM('[2]Dist-Time Toll'!Q7,'[1]Dist-Time Toll'!Q7,'[3]Dist-Time Toll'!Q7,'[4]Dist-Time Toll'!Q7)</f>
        <v>10</v>
      </c>
      <c r="R7" s="1">
        <f t="shared" si="0"/>
        <v>642</v>
      </c>
      <c r="U7" s="11" t="s">
        <v>72</v>
      </c>
      <c r="V7" s="12">
        <f>L6/$R$13</f>
        <v>2.0109689213893969E-2</v>
      </c>
      <c r="W7" s="12">
        <f>M6/$R$13</f>
        <v>1.3406459475929311E-2</v>
      </c>
      <c r="X7" s="12">
        <f>N6/$R$13</f>
        <v>4.4688198253097708E-3</v>
      </c>
      <c r="Y7" s="12">
        <f>O6/$R$13</f>
        <v>1.8281535648994515E-3</v>
      </c>
      <c r="Z7" s="12">
        <f>P6/$R$13</f>
        <v>2.4375380865326022E-3</v>
      </c>
      <c r="AA7" s="12">
        <f>Q6/$R$13</f>
        <v>8.1251269551086737E-4</v>
      </c>
      <c r="AB7" s="17">
        <f t="shared" si="1"/>
        <v>4.306317286207597E-2</v>
      </c>
    </row>
    <row r="8" spans="1:28" ht="15" customHeight="1" x14ac:dyDescent="0.2">
      <c r="A8" s="6" t="s">
        <v>72</v>
      </c>
      <c r="B8">
        <v>33</v>
      </c>
      <c r="C8">
        <v>22</v>
      </c>
      <c r="D8">
        <v>15</v>
      </c>
      <c r="E8">
        <v>7</v>
      </c>
      <c r="F8">
        <v>12</v>
      </c>
      <c r="G8">
        <v>3</v>
      </c>
      <c r="H8"/>
      <c r="I8">
        <v>92</v>
      </c>
      <c r="K8" s="1" t="s">
        <v>73</v>
      </c>
      <c r="L8" s="1">
        <f>SUM('[2]Dist-Time Toll'!L8,'[1]Dist-Time Toll'!L8,'[3]Dist-Time Toll'!L8,'[4]Dist-Time Toll'!L8)</f>
        <v>318</v>
      </c>
      <c r="M8" s="1">
        <f>SUM('[2]Dist-Time Toll'!M8,'[1]Dist-Time Toll'!M8,'[3]Dist-Time Toll'!M8,'[4]Dist-Time Toll'!M8)</f>
        <v>210</v>
      </c>
      <c r="N8" s="1">
        <f>SUM('[2]Dist-Time Toll'!N8,'[1]Dist-Time Toll'!N8,'[3]Dist-Time Toll'!N8,'[4]Dist-Time Toll'!N8)</f>
        <v>119</v>
      </c>
      <c r="O8" s="1">
        <f>SUM('[2]Dist-Time Toll'!O8,'[1]Dist-Time Toll'!O8,'[3]Dist-Time Toll'!O8,'[4]Dist-Time Toll'!O8)</f>
        <v>52</v>
      </c>
      <c r="P8" s="1">
        <f>SUM('[2]Dist-Time Toll'!P8,'[1]Dist-Time Toll'!P8,'[3]Dist-Time Toll'!P8,'[4]Dist-Time Toll'!P8)</f>
        <v>66</v>
      </c>
      <c r="Q8" s="1">
        <f>SUM('[2]Dist-Time Toll'!Q8,'[1]Dist-Time Toll'!Q8,'[3]Dist-Time Toll'!Q8,'[4]Dist-Time Toll'!Q8)</f>
        <v>15</v>
      </c>
      <c r="R8" s="1">
        <f t="shared" si="0"/>
        <v>780</v>
      </c>
      <c r="U8" s="11" t="s">
        <v>73</v>
      </c>
      <c r="V8" s="12">
        <f>L7/$R$13</f>
        <v>5.1188299817184646E-2</v>
      </c>
      <c r="W8" s="12">
        <f>M7/$R$13</f>
        <v>4.0016250253910216E-2</v>
      </c>
      <c r="X8" s="12">
        <f>N7/$R$13</f>
        <v>1.6656510257972781E-2</v>
      </c>
      <c r="Y8" s="12">
        <f>O7/$R$13</f>
        <v>9.140767824497258E-3</v>
      </c>
      <c r="Z8" s="12">
        <f>P7/$R$13</f>
        <v>1.1375177737152143E-2</v>
      </c>
      <c r="AA8" s="12">
        <f>Q7/$R$13</f>
        <v>2.0312817387771686E-3</v>
      </c>
      <c r="AB8" s="17">
        <f t="shared" si="1"/>
        <v>0.13040828762949422</v>
      </c>
    </row>
    <row r="9" spans="1:28" ht="15" customHeight="1" x14ac:dyDescent="0.2">
      <c r="A9" s="6" t="s">
        <v>73</v>
      </c>
      <c r="B9">
        <v>55</v>
      </c>
      <c r="C9">
        <v>36</v>
      </c>
      <c r="D9">
        <v>19</v>
      </c>
      <c r="E9">
        <v>9</v>
      </c>
      <c r="F9">
        <v>20</v>
      </c>
      <c r="G9">
        <v>2</v>
      </c>
      <c r="H9"/>
      <c r="I9">
        <v>141</v>
      </c>
      <c r="K9" s="1" t="s">
        <v>74</v>
      </c>
      <c r="L9" s="1">
        <f>SUM('[2]Dist-Time Toll'!L9,'[1]Dist-Time Toll'!L9,'[3]Dist-Time Toll'!L9,'[4]Dist-Time Toll'!L9)</f>
        <v>185</v>
      </c>
      <c r="M9" s="1">
        <f>SUM('[2]Dist-Time Toll'!M9,'[1]Dist-Time Toll'!M9,'[3]Dist-Time Toll'!M9,'[4]Dist-Time Toll'!M9)</f>
        <v>140</v>
      </c>
      <c r="N9" s="1">
        <f>SUM('[2]Dist-Time Toll'!N9,'[1]Dist-Time Toll'!N9,'[3]Dist-Time Toll'!N9,'[4]Dist-Time Toll'!N9)</f>
        <v>102</v>
      </c>
      <c r="O9" s="1">
        <f>SUM('[2]Dist-Time Toll'!O9,'[1]Dist-Time Toll'!O9,'[3]Dist-Time Toll'!O9,'[4]Dist-Time Toll'!O9)</f>
        <v>49</v>
      </c>
      <c r="P9" s="1">
        <f>SUM('[2]Dist-Time Toll'!P9,'[1]Dist-Time Toll'!P9,'[3]Dist-Time Toll'!P9,'[4]Dist-Time Toll'!P9)</f>
        <v>49</v>
      </c>
      <c r="Q9" s="1">
        <f>SUM('[2]Dist-Time Toll'!Q9,'[1]Dist-Time Toll'!Q9,'[3]Dist-Time Toll'!Q9,'[4]Dist-Time Toll'!Q9)</f>
        <v>15</v>
      </c>
      <c r="R9" s="1">
        <f t="shared" si="0"/>
        <v>540</v>
      </c>
      <c r="U9" s="11" t="s">
        <v>74</v>
      </c>
      <c r="V9" s="12">
        <f>L8/$R$13</f>
        <v>6.4594759293113951E-2</v>
      </c>
      <c r="W9" s="12">
        <f>M8/$R$13</f>
        <v>4.2656916514320534E-2</v>
      </c>
      <c r="X9" s="12">
        <f>N8/$R$13</f>
        <v>2.4172252691448303E-2</v>
      </c>
      <c r="Y9" s="12">
        <f>O8/$R$13</f>
        <v>1.0562665041641276E-2</v>
      </c>
      <c r="Z9" s="12">
        <f>P8/$R$13</f>
        <v>1.3406459475929311E-2</v>
      </c>
      <c r="AA9" s="12">
        <f>Q8/$R$13</f>
        <v>3.0469226081657527E-3</v>
      </c>
      <c r="AB9" s="17">
        <f t="shared" si="1"/>
        <v>0.15843997562461912</v>
      </c>
    </row>
    <row r="10" spans="1:28" ht="15" customHeight="1" x14ac:dyDescent="0.2">
      <c r="A10" s="6" t="s">
        <v>74</v>
      </c>
      <c r="B10">
        <v>42</v>
      </c>
      <c r="C10">
        <v>31</v>
      </c>
      <c r="D10">
        <v>18</v>
      </c>
      <c r="E10">
        <v>11</v>
      </c>
      <c r="F10">
        <v>19</v>
      </c>
      <c r="G10">
        <v>2</v>
      </c>
      <c r="H10"/>
      <c r="I10">
        <v>123</v>
      </c>
      <c r="K10" s="1" t="s">
        <v>70</v>
      </c>
      <c r="L10" s="1">
        <f>SUM('[2]Dist-Time Toll'!L10,'[1]Dist-Time Toll'!L10,'[3]Dist-Time Toll'!L10,'[4]Dist-Time Toll'!L10)</f>
        <v>237</v>
      </c>
      <c r="M10" s="1">
        <f>SUM('[2]Dist-Time Toll'!M10,'[1]Dist-Time Toll'!M10,'[3]Dist-Time Toll'!M10,'[4]Dist-Time Toll'!M10)</f>
        <v>161</v>
      </c>
      <c r="N10" s="1">
        <f>SUM('[2]Dist-Time Toll'!N10,'[1]Dist-Time Toll'!N10,'[3]Dist-Time Toll'!N10,'[4]Dist-Time Toll'!N10)</f>
        <v>118</v>
      </c>
      <c r="O10" s="1">
        <f>SUM('[2]Dist-Time Toll'!O10,'[1]Dist-Time Toll'!O10,'[3]Dist-Time Toll'!O10,'[4]Dist-Time Toll'!O10)</f>
        <v>75</v>
      </c>
      <c r="P10" s="1">
        <f>SUM('[2]Dist-Time Toll'!P10,'[1]Dist-Time Toll'!P10,'[3]Dist-Time Toll'!P10,'[4]Dist-Time Toll'!P10)</f>
        <v>75</v>
      </c>
      <c r="Q10" s="1">
        <f>SUM('[2]Dist-Time Toll'!Q10,'[1]Dist-Time Toll'!Q10,'[3]Dist-Time Toll'!Q10,'[4]Dist-Time Toll'!Q10)</f>
        <v>22</v>
      </c>
      <c r="R10" s="1">
        <f t="shared" si="0"/>
        <v>688</v>
      </c>
      <c r="U10" s="11" t="s">
        <v>70</v>
      </c>
      <c r="V10" s="12">
        <f>L9/$R$13</f>
        <v>3.7578712167377612E-2</v>
      </c>
      <c r="W10" s="12">
        <f>M9/$R$13</f>
        <v>2.8437944342880356E-2</v>
      </c>
      <c r="X10" s="12">
        <f>N9/$R$13</f>
        <v>2.0719073735527116E-2</v>
      </c>
      <c r="Y10" s="12">
        <f>O9/$R$13</f>
        <v>9.9532805200081252E-3</v>
      </c>
      <c r="Z10" s="12">
        <f>P9/$R$13</f>
        <v>9.9532805200081252E-3</v>
      </c>
      <c r="AA10" s="12">
        <f>Q9/$R$13</f>
        <v>3.0469226081657527E-3</v>
      </c>
      <c r="AB10" s="17">
        <f t="shared" si="1"/>
        <v>0.10968921389396709</v>
      </c>
    </row>
    <row r="11" spans="1:28" ht="15" customHeight="1" x14ac:dyDescent="0.2">
      <c r="A11" s="6" t="s">
        <v>75</v>
      </c>
      <c r="B11">
        <v>140</v>
      </c>
      <c r="C11">
        <v>60</v>
      </c>
      <c r="D11">
        <v>58</v>
      </c>
      <c r="E11">
        <v>47</v>
      </c>
      <c r="F11">
        <v>48</v>
      </c>
      <c r="G11">
        <v>11</v>
      </c>
      <c r="H11"/>
      <c r="I11">
        <v>364</v>
      </c>
      <c r="K11" s="1" t="s">
        <v>75</v>
      </c>
      <c r="L11" s="1">
        <f>SUM('[2]Dist-Time Toll'!L11,'[1]Dist-Time Toll'!L11,'[3]Dist-Time Toll'!L11,'[4]Dist-Time Toll'!L11)</f>
        <v>297</v>
      </c>
      <c r="M11" s="1">
        <f>SUM('[2]Dist-Time Toll'!M11,'[1]Dist-Time Toll'!M11,'[3]Dist-Time Toll'!M11,'[4]Dist-Time Toll'!M11)</f>
        <v>251</v>
      </c>
      <c r="N11" s="1">
        <f>SUM('[2]Dist-Time Toll'!N11,'[1]Dist-Time Toll'!N11,'[3]Dist-Time Toll'!N11,'[4]Dist-Time Toll'!N11)</f>
        <v>188</v>
      </c>
      <c r="O11" s="1">
        <f>SUM('[2]Dist-Time Toll'!O11,'[1]Dist-Time Toll'!O11,'[3]Dist-Time Toll'!O11,'[4]Dist-Time Toll'!O11)</f>
        <v>110</v>
      </c>
      <c r="P11" s="1">
        <f>SUM('[2]Dist-Time Toll'!P11,'[1]Dist-Time Toll'!P11,'[3]Dist-Time Toll'!P11,'[4]Dist-Time Toll'!P11)</f>
        <v>148</v>
      </c>
      <c r="Q11" s="1">
        <f>SUM('[2]Dist-Time Toll'!Q11,'[1]Dist-Time Toll'!Q11,'[3]Dist-Time Toll'!Q11,'[4]Dist-Time Toll'!Q11)</f>
        <v>58</v>
      </c>
      <c r="R11" s="1">
        <f t="shared" si="0"/>
        <v>1052</v>
      </c>
      <c r="U11" s="11" t="s">
        <v>75</v>
      </c>
      <c r="V11" s="12">
        <f>L11/$R$13</f>
        <v>6.0329067641681902E-2</v>
      </c>
      <c r="W11" s="12">
        <f>M11/$R$13</f>
        <v>5.0985171643306924E-2</v>
      </c>
      <c r="X11" s="12">
        <f>N11/$R$13</f>
        <v>3.8188096689010763E-2</v>
      </c>
      <c r="Y11" s="12">
        <f>O11/$R$13</f>
        <v>2.2344099126548854E-2</v>
      </c>
      <c r="Z11" s="12">
        <f>P11/$R$13</f>
        <v>3.0062969733902094E-2</v>
      </c>
      <c r="AA11" s="12">
        <f>Q11/$R$13</f>
        <v>1.1781434084907576E-2</v>
      </c>
      <c r="AB11" s="17">
        <f t="shared" si="1"/>
        <v>0.21369083891935814</v>
      </c>
    </row>
    <row r="12" spans="1:28" ht="15" customHeight="1" x14ac:dyDescent="0.2">
      <c r="A12" s="6" t="s">
        <v>9</v>
      </c>
      <c r="B12"/>
      <c r="C12"/>
      <c r="D12"/>
      <c r="E12"/>
      <c r="F12"/>
      <c r="G12"/>
      <c r="H12"/>
      <c r="I12"/>
      <c r="U12" s="14" t="s">
        <v>104</v>
      </c>
      <c r="V12" s="17">
        <f>SUM(V5:V11)</f>
        <v>0.36502132845825719</v>
      </c>
      <c r="W12" s="17">
        <f t="shared" ref="W12:AA12" si="2">SUM(W5:W11)</f>
        <v>0.25898842169408898</v>
      </c>
      <c r="X12" s="17">
        <f t="shared" si="2"/>
        <v>0.15478366849482023</v>
      </c>
      <c r="Y12" s="17">
        <f t="shared" si="2"/>
        <v>8.5923217550274239E-2</v>
      </c>
      <c r="Z12" s="17">
        <f t="shared" si="2"/>
        <v>9.8923420678448115E-2</v>
      </c>
      <c r="AA12" s="17">
        <f t="shared" si="2"/>
        <v>3.6359943124111317E-2</v>
      </c>
      <c r="AB12" s="12"/>
    </row>
    <row r="13" spans="1:28" x14ac:dyDescent="0.2">
      <c r="A13" s="6" t="s">
        <v>8</v>
      </c>
      <c r="B13">
        <v>605</v>
      </c>
      <c r="C13">
        <v>341</v>
      </c>
      <c r="D13">
        <v>210</v>
      </c>
      <c r="E13">
        <v>142</v>
      </c>
      <c r="F13">
        <v>185</v>
      </c>
      <c r="G13">
        <v>68</v>
      </c>
      <c r="H13"/>
      <c r="I13">
        <v>1551</v>
      </c>
      <c r="K13" s="1" t="s">
        <v>8</v>
      </c>
      <c r="L13" s="1">
        <f t="shared" ref="L13:Q13" si="3">SUM(L5:L11)</f>
        <v>1797</v>
      </c>
      <c r="M13" s="1">
        <f t="shared" si="3"/>
        <v>1275</v>
      </c>
      <c r="N13" s="1">
        <f t="shared" si="3"/>
        <v>762</v>
      </c>
      <c r="O13" s="1">
        <f t="shared" si="3"/>
        <v>423</v>
      </c>
      <c r="P13" s="1">
        <f t="shared" si="3"/>
        <v>487</v>
      </c>
      <c r="Q13" s="1">
        <f t="shared" si="3"/>
        <v>179</v>
      </c>
      <c r="R13" s="1">
        <f>SUM(R5:R11)</f>
        <v>4923</v>
      </c>
    </row>
    <row r="14" spans="1:28" x14ac:dyDescent="0.2">
      <c r="A14"/>
      <c r="B14"/>
      <c r="C14"/>
    </row>
    <row r="15" spans="1:28" x14ac:dyDescent="0.2">
      <c r="A15"/>
      <c r="B15"/>
      <c r="C15"/>
    </row>
    <row r="16" spans="1:28" x14ac:dyDescent="0.2">
      <c r="A16" t="s">
        <v>83</v>
      </c>
      <c r="B16" t="s">
        <v>1</v>
      </c>
      <c r="C16"/>
      <c r="D16"/>
      <c r="E16"/>
      <c r="F16"/>
      <c r="G16"/>
      <c r="H16"/>
      <c r="I16"/>
    </row>
    <row r="17" spans="1:9" x14ac:dyDescent="0.2">
      <c r="A17" t="s">
        <v>2</v>
      </c>
      <c r="B17" t="s">
        <v>85</v>
      </c>
      <c r="C17" t="s">
        <v>86</v>
      </c>
      <c r="D17" t="s">
        <v>87</v>
      </c>
      <c r="E17" t="s">
        <v>88</v>
      </c>
      <c r="F17" t="s">
        <v>89</v>
      </c>
      <c r="G17" t="s">
        <v>90</v>
      </c>
      <c r="H17" t="s">
        <v>9</v>
      </c>
      <c r="I17" t="s">
        <v>8</v>
      </c>
    </row>
    <row r="18" spans="1:9" x14ac:dyDescent="0.2">
      <c r="A18" s="6" t="s">
        <v>77</v>
      </c>
      <c r="B18">
        <v>53</v>
      </c>
      <c r="C18">
        <v>38</v>
      </c>
      <c r="D18">
        <v>19</v>
      </c>
      <c r="E18">
        <v>2</v>
      </c>
      <c r="F18">
        <v>10</v>
      </c>
      <c r="G18">
        <v>1</v>
      </c>
      <c r="H18"/>
      <c r="I18">
        <v>123</v>
      </c>
    </row>
    <row r="19" spans="1:9" x14ac:dyDescent="0.2">
      <c r="A19" s="6" t="s">
        <v>78</v>
      </c>
      <c r="B19">
        <v>88</v>
      </c>
      <c r="C19">
        <v>55</v>
      </c>
      <c r="D19">
        <v>22</v>
      </c>
      <c r="E19">
        <v>6</v>
      </c>
      <c r="F19">
        <v>9</v>
      </c>
      <c r="G19">
        <v>3</v>
      </c>
      <c r="H19"/>
      <c r="I19">
        <v>183</v>
      </c>
    </row>
    <row r="20" spans="1:9" x14ac:dyDescent="0.2">
      <c r="A20" s="6" t="s">
        <v>79</v>
      </c>
      <c r="B20">
        <v>86</v>
      </c>
      <c r="C20">
        <v>60</v>
      </c>
      <c r="D20">
        <v>27</v>
      </c>
      <c r="E20">
        <v>19</v>
      </c>
      <c r="F20">
        <v>26</v>
      </c>
      <c r="G20">
        <v>5</v>
      </c>
      <c r="H20"/>
      <c r="I20">
        <v>223</v>
      </c>
    </row>
    <row r="21" spans="1:9" x14ac:dyDescent="0.2">
      <c r="A21" s="6" t="s">
        <v>80</v>
      </c>
      <c r="B21">
        <v>167</v>
      </c>
      <c r="C21">
        <v>100</v>
      </c>
      <c r="D21">
        <v>64</v>
      </c>
      <c r="E21">
        <v>48</v>
      </c>
      <c r="F21">
        <v>58</v>
      </c>
      <c r="G21">
        <v>21</v>
      </c>
      <c r="H21"/>
      <c r="I21">
        <v>458</v>
      </c>
    </row>
    <row r="22" spans="1:9" x14ac:dyDescent="0.2">
      <c r="A22" s="6" t="s">
        <v>81</v>
      </c>
      <c r="B22">
        <v>211</v>
      </c>
      <c r="C22">
        <v>88</v>
      </c>
      <c r="D22">
        <v>78</v>
      </c>
      <c r="E22">
        <v>67</v>
      </c>
      <c r="F22">
        <v>82</v>
      </c>
      <c r="G22">
        <v>38</v>
      </c>
      <c r="H22"/>
      <c r="I22">
        <v>564</v>
      </c>
    </row>
    <row r="23" spans="1:9" x14ac:dyDescent="0.2">
      <c r="A23" s="6" t="s">
        <v>9</v>
      </c>
      <c r="B23"/>
      <c r="C23"/>
      <c r="D23"/>
      <c r="E23"/>
      <c r="F23"/>
      <c r="G23"/>
      <c r="H23"/>
      <c r="I23"/>
    </row>
    <row r="24" spans="1:9" x14ac:dyDescent="0.2">
      <c r="A24" s="6" t="s">
        <v>8</v>
      </c>
      <c r="B24">
        <v>605</v>
      </c>
      <c r="C24">
        <v>341</v>
      </c>
      <c r="D24">
        <v>210</v>
      </c>
      <c r="E24">
        <v>142</v>
      </c>
      <c r="F24">
        <v>185</v>
      </c>
      <c r="G24">
        <v>68</v>
      </c>
      <c r="H24"/>
      <c r="I24">
        <v>1551</v>
      </c>
    </row>
    <row r="25" spans="1:9" x14ac:dyDescent="0.2">
      <c r="A25"/>
      <c r="B25"/>
      <c r="C25"/>
    </row>
    <row r="26" spans="1:9" x14ac:dyDescent="0.2">
      <c r="A26"/>
      <c r="B26"/>
      <c r="C26"/>
    </row>
    <row r="27" spans="1:9" x14ac:dyDescent="0.2">
      <c r="A27"/>
      <c r="B27"/>
      <c r="C27"/>
    </row>
    <row r="28" spans="1:9" x14ac:dyDescent="0.2">
      <c r="A28"/>
      <c r="B28"/>
      <c r="C28"/>
    </row>
    <row r="29" spans="1:9" x14ac:dyDescent="0.2">
      <c r="A29"/>
      <c r="B29"/>
      <c r="C29"/>
    </row>
    <row r="30" spans="1:9" x14ac:dyDescent="0.2">
      <c r="A30"/>
      <c r="B30"/>
      <c r="C30"/>
    </row>
    <row r="31" spans="1:9" x14ac:dyDescent="0.2">
      <c r="A31"/>
      <c r="B31"/>
      <c r="C31"/>
    </row>
    <row r="32" spans="1:9" x14ac:dyDescent="0.2">
      <c r="A32"/>
      <c r="B32"/>
      <c r="C32"/>
    </row>
    <row r="33" spans="1:3" x14ac:dyDescent="0.2">
      <c r="A33"/>
      <c r="B33"/>
      <c r="C33"/>
    </row>
  </sheetData>
  <mergeCells count="1">
    <mergeCell ref="V3:AB3"/>
  </mergeCells>
  <phoneticPr fontId="8" type="noConversion"/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8DA98-DF98-4B0D-B829-3D0541388F76}">
  <dimension ref="A3:AA20"/>
  <sheetViews>
    <sheetView topLeftCell="L1" zoomScale="85" zoomScaleNormal="85" workbookViewId="0">
      <selection activeCell="X10" sqref="X10:Z10"/>
    </sheetView>
  </sheetViews>
  <sheetFormatPr defaultRowHeight="12.75" x14ac:dyDescent="0.2"/>
  <cols>
    <col min="1" max="1" width="24.28515625" style="1" bestFit="1" customWidth="1"/>
    <col min="2" max="2" width="20.5703125" style="1" bestFit="1" customWidth="1"/>
    <col min="3" max="3" width="12" style="1" bestFit="1" customWidth="1"/>
    <col min="4" max="5" width="12.42578125" style="1" bestFit="1" customWidth="1"/>
    <col min="6" max="6" width="13.140625" style="1" bestFit="1" customWidth="1"/>
    <col min="7" max="7" width="13" style="1" bestFit="1" customWidth="1"/>
    <col min="8" max="8" width="8.85546875" style="1" bestFit="1" customWidth="1"/>
    <col min="9" max="9" width="14.28515625" style="1" bestFit="1" customWidth="1"/>
    <col min="10" max="10" width="9.140625" style="1"/>
    <col min="11" max="11" width="17" style="1" customWidth="1"/>
    <col min="12" max="19" width="9.140625" style="1"/>
    <col min="20" max="20" width="15.85546875" style="1" customWidth="1"/>
    <col min="21" max="16384" width="9.140625" style="1"/>
  </cols>
  <sheetData>
    <row r="3" spans="1:27" ht="15.75" x14ac:dyDescent="0.25">
      <c r="A3" t="s">
        <v>83</v>
      </c>
      <c r="B3" t="s">
        <v>1</v>
      </c>
      <c r="C3"/>
      <c r="D3"/>
      <c r="E3"/>
      <c r="F3"/>
      <c r="G3"/>
      <c r="H3"/>
      <c r="I3"/>
      <c r="T3" s="10"/>
      <c r="U3" s="15" t="s">
        <v>84</v>
      </c>
      <c r="V3" s="16"/>
      <c r="W3" s="16"/>
      <c r="X3" s="16"/>
      <c r="Y3" s="16"/>
      <c r="Z3" s="16"/>
      <c r="AA3" s="16"/>
    </row>
    <row r="4" spans="1:27" ht="25.5" x14ac:dyDescent="0.2">
      <c r="A4" t="s">
        <v>2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</v>
      </c>
      <c r="I4" t="s">
        <v>8</v>
      </c>
      <c r="K4" s="1" t="s">
        <v>98</v>
      </c>
      <c r="L4" s="1" t="s">
        <v>85</v>
      </c>
      <c r="M4" s="1" t="s">
        <v>86</v>
      </c>
      <c r="N4" s="1" t="s">
        <v>87</v>
      </c>
      <c r="O4" s="1" t="s">
        <v>88</v>
      </c>
      <c r="P4" s="1" t="s">
        <v>89</v>
      </c>
      <c r="Q4" s="1" t="s">
        <v>90</v>
      </c>
      <c r="R4" s="1" t="s">
        <v>8</v>
      </c>
      <c r="T4" s="10" t="s">
        <v>98</v>
      </c>
      <c r="U4" s="10" t="s">
        <v>92</v>
      </c>
      <c r="V4" s="10" t="s">
        <v>93</v>
      </c>
      <c r="W4" s="10" t="s">
        <v>94</v>
      </c>
      <c r="X4" s="10" t="s">
        <v>95</v>
      </c>
      <c r="Y4" s="10" t="s">
        <v>96</v>
      </c>
      <c r="Z4" s="10" t="s">
        <v>97</v>
      </c>
      <c r="AA4" s="10" t="s">
        <v>104</v>
      </c>
    </row>
    <row r="5" spans="1:27" ht="15" customHeight="1" x14ac:dyDescent="0.2">
      <c r="A5" s="6" t="s">
        <v>99</v>
      </c>
      <c r="B5">
        <v>294</v>
      </c>
      <c r="C5">
        <v>121</v>
      </c>
      <c r="D5">
        <v>35</v>
      </c>
      <c r="E5">
        <v>26</v>
      </c>
      <c r="F5">
        <v>39</v>
      </c>
      <c r="G5">
        <v>13</v>
      </c>
      <c r="H5"/>
      <c r="I5">
        <v>528</v>
      </c>
      <c r="K5" s="1" t="s">
        <v>99</v>
      </c>
      <c r="L5" s="1">
        <f>SUM('[2]Income-Toll'!L5,'[1]Income-Toll'!L5,'[3]Income-Toll'!L5,'[4]Income-Toll'!L5)</f>
        <v>881</v>
      </c>
      <c r="M5" s="1">
        <f>SUM('[2]Income-Toll'!M5,'[1]Income-Toll'!M5,'[3]Income-Toll'!M5,'[4]Income-Toll'!M5)</f>
        <v>377</v>
      </c>
      <c r="N5" s="1">
        <f>SUM('[2]Income-Toll'!N5,'[1]Income-Toll'!N5,'[3]Income-Toll'!N5,'[4]Income-Toll'!N5)</f>
        <v>134</v>
      </c>
      <c r="O5" s="1">
        <f>SUM('[2]Income-Toll'!O5,'[1]Income-Toll'!O5,'[3]Income-Toll'!O5,'[4]Income-Toll'!O5)</f>
        <v>54</v>
      </c>
      <c r="P5" s="1">
        <f>SUM('[2]Income-Toll'!P5,'[1]Income-Toll'!P5,'[3]Income-Toll'!P5,'[4]Income-Toll'!P5)</f>
        <v>81</v>
      </c>
      <c r="Q5" s="1">
        <f>SUM('[2]Income-Toll'!Q5,'[1]Income-Toll'!Q5,'[3]Income-Toll'!Q5,'[4]Income-Toll'!Q5)</f>
        <v>26</v>
      </c>
      <c r="R5" s="1">
        <f>SUM(L5:Q5)</f>
        <v>1553</v>
      </c>
      <c r="T5" s="13" t="s">
        <v>99</v>
      </c>
      <c r="U5" s="12">
        <f>L5/$R$12</f>
        <v>0.19094061551798874</v>
      </c>
      <c r="V5" s="12">
        <f t="shared" ref="V5:Z9" si="0">M5/$R$12</f>
        <v>8.170784568703944E-2</v>
      </c>
      <c r="W5" s="12">
        <f t="shared" si="0"/>
        <v>2.904204594711747E-2</v>
      </c>
      <c r="X5" s="12">
        <f t="shared" si="0"/>
        <v>1.1703511053315995E-2</v>
      </c>
      <c r="Y5" s="12">
        <f t="shared" si="0"/>
        <v>1.7555266579973992E-2</v>
      </c>
      <c r="Z5" s="12">
        <f t="shared" si="0"/>
        <v>5.6350238404854792E-3</v>
      </c>
      <c r="AA5" s="12">
        <f>SUM(U5:Z5)</f>
        <v>0.33658430862592109</v>
      </c>
    </row>
    <row r="6" spans="1:27" ht="15" customHeight="1" x14ac:dyDescent="0.2">
      <c r="A6" s="6" t="s">
        <v>100</v>
      </c>
      <c r="B6">
        <v>23</v>
      </c>
      <c r="C6">
        <v>10</v>
      </c>
      <c r="D6">
        <v>9</v>
      </c>
      <c r="E6">
        <v>11</v>
      </c>
      <c r="F6">
        <v>17</v>
      </c>
      <c r="G6">
        <v>14</v>
      </c>
      <c r="H6"/>
      <c r="I6">
        <v>84</v>
      </c>
      <c r="K6" s="1" t="s">
        <v>101</v>
      </c>
      <c r="L6" s="1">
        <f>SUM('[2]Income-Toll'!L6,'[1]Income-Toll'!L6,'[3]Income-Toll'!L6,'[4]Income-Toll'!L6)</f>
        <v>453</v>
      </c>
      <c r="M6" s="1">
        <f>SUM('[2]Income-Toll'!M6,'[1]Income-Toll'!M6,'[3]Income-Toll'!M6,'[4]Income-Toll'!M6)</f>
        <v>439</v>
      </c>
      <c r="N6" s="1">
        <f>SUM('[2]Income-Toll'!N6,'[1]Income-Toll'!N6,'[3]Income-Toll'!N6,'[4]Income-Toll'!N6)</f>
        <v>268</v>
      </c>
      <c r="O6" s="1">
        <f>SUM('[2]Income-Toll'!O6,'[1]Income-Toll'!O6,'[3]Income-Toll'!O6,'[4]Income-Toll'!O6)</f>
        <v>132</v>
      </c>
      <c r="P6" s="1">
        <f>SUM('[2]Income-Toll'!P6,'[1]Income-Toll'!P6,'[3]Income-Toll'!P6,'[4]Income-Toll'!P6)</f>
        <v>113</v>
      </c>
      <c r="Q6" s="1">
        <f>SUM('[2]Income-Toll'!Q6,'[1]Income-Toll'!Q6,'[3]Income-Toll'!Q6,'[4]Income-Toll'!Q6)</f>
        <v>34</v>
      </c>
      <c r="R6" s="1">
        <f t="shared" ref="R6:R9" si="1">SUM(L6:Q6)</f>
        <v>1439</v>
      </c>
      <c r="T6" s="13" t="s">
        <v>101</v>
      </c>
      <c r="U6" s="12">
        <f>L9/$R$12</f>
        <v>1.3870827915041179E-2</v>
      </c>
      <c r="V6" s="12">
        <f>M9/$R$12</f>
        <v>1.3003901170351105E-2</v>
      </c>
      <c r="W6" s="12">
        <f>N9/$R$12</f>
        <v>1.3654096228868661E-2</v>
      </c>
      <c r="X6" s="12">
        <f>O9/$R$12</f>
        <v>5.8517555266579977E-3</v>
      </c>
      <c r="Y6" s="12">
        <f>P9/$R$12</f>
        <v>1.1270047680970958E-2</v>
      </c>
      <c r="Z6" s="12">
        <f>Q9/$R$12</f>
        <v>6.9354139575205894E-3</v>
      </c>
      <c r="AA6" s="12">
        <f t="shared" ref="AA6:AA9" si="2">SUM(U6:Z6)</f>
        <v>6.458604247941048E-2</v>
      </c>
    </row>
    <row r="7" spans="1:27" ht="15" customHeight="1" x14ac:dyDescent="0.2">
      <c r="A7" s="6" t="s">
        <v>101</v>
      </c>
      <c r="B7">
        <v>154</v>
      </c>
      <c r="C7">
        <v>118</v>
      </c>
      <c r="D7">
        <v>91</v>
      </c>
      <c r="E7">
        <v>39</v>
      </c>
      <c r="F7">
        <v>41</v>
      </c>
      <c r="G7">
        <v>10</v>
      </c>
      <c r="H7"/>
      <c r="I7">
        <v>453</v>
      </c>
      <c r="K7" s="1" t="s">
        <v>102</v>
      </c>
      <c r="L7" s="1">
        <f>SUM('[2]Income-Toll'!L7,'[1]Income-Toll'!L7,'[3]Income-Toll'!L7,'[4]Income-Toll'!L7)</f>
        <v>244</v>
      </c>
      <c r="M7" s="1">
        <f>SUM('[2]Income-Toll'!M7,'[1]Income-Toll'!M7,'[3]Income-Toll'!M7,'[4]Income-Toll'!M7)</f>
        <v>232</v>
      </c>
      <c r="N7" s="1">
        <f>SUM('[2]Income-Toll'!N7,'[1]Income-Toll'!N7,'[3]Income-Toll'!N7,'[4]Income-Toll'!N7)</f>
        <v>175</v>
      </c>
      <c r="O7" s="1">
        <f>SUM('[2]Income-Toll'!O7,'[1]Income-Toll'!O7,'[3]Income-Toll'!O7,'[4]Income-Toll'!O7)</f>
        <v>102</v>
      </c>
      <c r="P7" s="1">
        <f>SUM('[2]Income-Toll'!P7,'[1]Income-Toll'!P7,'[3]Income-Toll'!P7,'[4]Income-Toll'!P7)</f>
        <v>140</v>
      </c>
      <c r="Q7" s="1">
        <f>SUM('[2]Income-Toll'!Q7,'[1]Income-Toll'!Q7,'[3]Income-Toll'!Q7,'[4]Income-Toll'!Q7)</f>
        <v>39</v>
      </c>
      <c r="R7" s="1">
        <f t="shared" si="1"/>
        <v>932</v>
      </c>
      <c r="T7" s="13" t="s">
        <v>102</v>
      </c>
      <c r="U7" s="12">
        <f>L6/$R$12</f>
        <v>9.8179453836150843E-2</v>
      </c>
      <c r="V7" s="12">
        <f>M6/$R$12</f>
        <v>9.5145210229735586E-2</v>
      </c>
      <c r="W7" s="12">
        <f>N6/$R$12</f>
        <v>5.808409189423494E-2</v>
      </c>
      <c r="X7" s="12">
        <f>O6/$R$12</f>
        <v>2.8608582574772431E-2</v>
      </c>
      <c r="Y7" s="12">
        <f>P6/$R$12</f>
        <v>2.4490680537494581E-2</v>
      </c>
      <c r="Z7" s="12">
        <f>Q6/$R$12</f>
        <v>7.3688773298656264E-3</v>
      </c>
      <c r="AA7" s="12">
        <f t="shared" si="2"/>
        <v>0.31187689640225402</v>
      </c>
    </row>
    <row r="8" spans="1:27" ht="15" customHeight="1" x14ac:dyDescent="0.2">
      <c r="A8" s="6" t="s">
        <v>102</v>
      </c>
      <c r="B8">
        <v>75</v>
      </c>
      <c r="C8">
        <v>59</v>
      </c>
      <c r="D8">
        <v>51</v>
      </c>
      <c r="E8">
        <v>32</v>
      </c>
      <c r="F8">
        <v>49</v>
      </c>
      <c r="G8">
        <v>14</v>
      </c>
      <c r="H8"/>
      <c r="I8">
        <v>280</v>
      </c>
      <c r="K8" s="1" t="s">
        <v>103</v>
      </c>
      <c r="L8" s="1">
        <f>SUM('[2]Income-Toll'!L8,'[1]Income-Toll'!L8,'[3]Income-Toll'!L8,'[4]Income-Toll'!L8)</f>
        <v>151</v>
      </c>
      <c r="M8" s="1">
        <f>SUM('[2]Income-Toll'!M8,'[1]Income-Toll'!M8,'[3]Income-Toll'!M8,'[4]Income-Toll'!M8)</f>
        <v>165</v>
      </c>
      <c r="N8" s="1">
        <f>SUM('[2]Income-Toll'!N8,'[1]Income-Toll'!N8,'[3]Income-Toll'!N8,'[4]Income-Toll'!N8)</f>
        <v>121</v>
      </c>
      <c r="O8" s="1">
        <f>SUM('[2]Income-Toll'!O8,'[1]Income-Toll'!O8,'[3]Income-Toll'!O8,'[4]Income-Toll'!O8)</f>
        <v>105</v>
      </c>
      <c r="P8" s="1">
        <f>SUM('[2]Income-Toll'!P8,'[1]Income-Toll'!P8,'[3]Income-Toll'!P8,'[4]Income-Toll'!P8)</f>
        <v>100</v>
      </c>
      <c r="Q8" s="1">
        <f>SUM('[2]Income-Toll'!Q8,'[1]Income-Toll'!Q8,'[3]Income-Toll'!Q8,'[4]Income-Toll'!Q8)</f>
        <v>48</v>
      </c>
      <c r="R8" s="1">
        <f t="shared" si="1"/>
        <v>690</v>
      </c>
      <c r="T8" s="13" t="s">
        <v>103</v>
      </c>
      <c r="U8" s="12">
        <f>L7/$R$12</f>
        <v>5.2882531426094496E-2</v>
      </c>
      <c r="V8" s="12">
        <f>M7/$R$12</f>
        <v>5.0281751192024271E-2</v>
      </c>
      <c r="W8" s="12">
        <f>N7/$R$12</f>
        <v>3.7928045080190723E-2</v>
      </c>
      <c r="X8" s="12">
        <f>O7/$R$12</f>
        <v>2.2106631989596878E-2</v>
      </c>
      <c r="Y8" s="12">
        <f>P7/$R$12</f>
        <v>3.0342436064152579E-2</v>
      </c>
      <c r="Z8" s="12">
        <f>Q7/$R$12</f>
        <v>8.4525357607282189E-3</v>
      </c>
      <c r="AA8" s="12">
        <f t="shared" si="2"/>
        <v>0.20199393151278716</v>
      </c>
    </row>
    <row r="9" spans="1:27" ht="15" customHeight="1" x14ac:dyDescent="0.2">
      <c r="A9" s="6" t="s">
        <v>103</v>
      </c>
      <c r="B9">
        <v>59</v>
      </c>
      <c r="C9">
        <v>33</v>
      </c>
      <c r="D9">
        <v>24</v>
      </c>
      <c r="E9">
        <v>34</v>
      </c>
      <c r="F9">
        <v>39</v>
      </c>
      <c r="G9">
        <v>17</v>
      </c>
      <c r="H9"/>
      <c r="I9">
        <v>206</v>
      </c>
      <c r="K9" s="1" t="s">
        <v>100</v>
      </c>
      <c r="L9" s="1">
        <f>SUM('[2]Income-Toll'!L9,'[1]Income-Toll'!L9,'[3]Income-Toll'!L9,'[4]Income-Toll'!L9)</f>
        <v>64</v>
      </c>
      <c r="M9" s="1">
        <f>SUM('[2]Income-Toll'!M9,'[1]Income-Toll'!M9,'[3]Income-Toll'!M9,'[4]Income-Toll'!M9)</f>
        <v>60</v>
      </c>
      <c r="N9" s="1">
        <f>SUM('[2]Income-Toll'!N9,'[1]Income-Toll'!N9,'[3]Income-Toll'!N9,'[4]Income-Toll'!N9)</f>
        <v>63</v>
      </c>
      <c r="O9" s="1">
        <f>SUM('[2]Income-Toll'!O9,'[1]Income-Toll'!O9,'[3]Income-Toll'!O9,'[4]Income-Toll'!O9)</f>
        <v>27</v>
      </c>
      <c r="P9" s="1">
        <f>SUM('[2]Income-Toll'!P9,'[1]Income-Toll'!P9,'[3]Income-Toll'!P9,'[4]Income-Toll'!P9)</f>
        <v>52</v>
      </c>
      <c r="Q9" s="1">
        <f>SUM('[2]Income-Toll'!Q9,'[1]Income-Toll'!Q9,'[3]Income-Toll'!Q9,'[4]Income-Toll'!Q9)</f>
        <v>32</v>
      </c>
      <c r="R9" s="1">
        <f t="shared" si="1"/>
        <v>298</v>
      </c>
      <c r="T9" s="13" t="s">
        <v>100</v>
      </c>
      <c r="U9" s="12">
        <f>L8/$R$12</f>
        <v>3.2726484612050279E-2</v>
      </c>
      <c r="V9" s="12">
        <f>M8/$R$12</f>
        <v>3.5760728218465543E-2</v>
      </c>
      <c r="W9" s="12">
        <f>N8/$R$12</f>
        <v>2.6224534026874729E-2</v>
      </c>
      <c r="X9" s="12">
        <f>O8/$R$12</f>
        <v>2.2756827048114433E-2</v>
      </c>
      <c r="Y9" s="12">
        <f>P8/$R$12</f>
        <v>2.1673168617251843E-2</v>
      </c>
      <c r="Z9" s="12">
        <f>Q8/$R$12</f>
        <v>1.0403120936280884E-2</v>
      </c>
      <c r="AA9" s="12">
        <f t="shared" si="2"/>
        <v>0.1495448634590377</v>
      </c>
    </row>
    <row r="10" spans="1:27" ht="15" customHeight="1" x14ac:dyDescent="0.2">
      <c r="A10" s="6" t="s">
        <v>9</v>
      </c>
      <c r="B10"/>
      <c r="C10"/>
      <c r="D10"/>
      <c r="E10"/>
      <c r="F10"/>
      <c r="G10"/>
      <c r="H10"/>
      <c r="I10"/>
      <c r="T10" s="18" t="s">
        <v>104</v>
      </c>
      <c r="U10" s="17">
        <f>SUM(U5:U9)</f>
        <v>0.38859991330732557</v>
      </c>
      <c r="V10" s="17">
        <f t="shared" ref="V10:Z10" si="3">SUM(V5:V9)</f>
        <v>0.27589943649761595</v>
      </c>
      <c r="W10" s="17">
        <f t="shared" si="3"/>
        <v>0.1649328131772865</v>
      </c>
      <c r="X10" s="17">
        <f t="shared" si="3"/>
        <v>9.1027308192457745E-2</v>
      </c>
      <c r="Y10" s="17">
        <f t="shared" si="3"/>
        <v>0.10533159947984395</v>
      </c>
      <c r="Z10" s="17">
        <f t="shared" si="3"/>
        <v>3.87949718248808E-2</v>
      </c>
      <c r="AA10" s="12"/>
    </row>
    <row r="11" spans="1:27" x14ac:dyDescent="0.2">
      <c r="A11" s="6" t="s">
        <v>8</v>
      </c>
      <c r="B11">
        <v>605</v>
      </c>
      <c r="C11">
        <v>341</v>
      </c>
      <c r="D11">
        <v>210</v>
      </c>
      <c r="E11">
        <v>142</v>
      </c>
      <c r="F11">
        <v>185</v>
      </c>
      <c r="G11">
        <v>68</v>
      </c>
      <c r="H11"/>
      <c r="I11">
        <v>1551</v>
      </c>
    </row>
    <row r="12" spans="1:27" x14ac:dyDescent="0.2">
      <c r="A12"/>
      <c r="B12"/>
      <c r="C12"/>
      <c r="D12"/>
      <c r="E12"/>
      <c r="F12"/>
      <c r="G12"/>
      <c r="H12"/>
      <c r="I12"/>
      <c r="K12" s="1" t="s">
        <v>8</v>
      </c>
      <c r="L12" s="1">
        <f t="shared" ref="L12:Q12" si="4">SUM(L5:L8)</f>
        <v>1729</v>
      </c>
      <c r="M12" s="1">
        <f t="shared" si="4"/>
        <v>1213</v>
      </c>
      <c r="N12" s="1">
        <f t="shared" si="4"/>
        <v>698</v>
      </c>
      <c r="O12" s="1">
        <f t="shared" si="4"/>
        <v>393</v>
      </c>
      <c r="P12" s="1">
        <f t="shared" si="4"/>
        <v>434</v>
      </c>
      <c r="Q12" s="1">
        <f t="shared" si="4"/>
        <v>147</v>
      </c>
      <c r="R12" s="1">
        <f>SUM(R5:R8)</f>
        <v>4614</v>
      </c>
    </row>
    <row r="13" spans="1:27" x14ac:dyDescent="0.2">
      <c r="A13"/>
      <c r="B13"/>
      <c r="C13"/>
    </row>
    <row r="14" spans="1:27" x14ac:dyDescent="0.2">
      <c r="A14"/>
      <c r="B14"/>
      <c r="C14"/>
    </row>
    <row r="15" spans="1:27" x14ac:dyDescent="0.2">
      <c r="A15"/>
      <c r="B15"/>
      <c r="C15"/>
    </row>
    <row r="16" spans="1:27" x14ac:dyDescent="0.2">
      <c r="A16"/>
      <c r="B16"/>
      <c r="C16"/>
    </row>
    <row r="17" spans="1:3" x14ac:dyDescent="0.2">
      <c r="A17"/>
      <c r="B17"/>
      <c r="C17"/>
    </row>
    <row r="18" spans="1:3" x14ac:dyDescent="0.2">
      <c r="A18"/>
      <c r="B18"/>
      <c r="C18"/>
    </row>
    <row r="19" spans="1:3" x14ac:dyDescent="0.2">
      <c r="A19"/>
      <c r="B19"/>
      <c r="C19"/>
    </row>
    <row r="20" spans="1:3" x14ac:dyDescent="0.2">
      <c r="A20"/>
      <c r="B20"/>
      <c r="C20"/>
    </row>
  </sheetData>
  <mergeCells count="1">
    <mergeCell ref="U3:AA3"/>
  </mergeCells>
  <phoneticPr fontId="8" type="noConversion"/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65CB-4856-45B9-8D3B-825396E56AA3}">
  <dimension ref="A3:AA20"/>
  <sheetViews>
    <sheetView topLeftCell="R25" zoomScale="85" zoomScaleNormal="85" workbookViewId="0">
      <selection activeCell="X15" sqref="X15:Z15"/>
    </sheetView>
  </sheetViews>
  <sheetFormatPr defaultRowHeight="12.75" x14ac:dyDescent="0.2"/>
  <cols>
    <col min="1" max="1" width="20.42578125" style="1" bestFit="1" customWidth="1"/>
    <col min="2" max="2" width="18" style="1" bestFit="1" customWidth="1"/>
    <col min="3" max="5" width="9.85546875" style="1" bestFit="1" customWidth="1"/>
    <col min="6" max="6" width="10.85546875" style="1" bestFit="1" customWidth="1"/>
    <col min="7" max="7" width="11" style="1" bestFit="1" customWidth="1"/>
    <col min="8" max="8" width="7.5703125" style="1" bestFit="1" customWidth="1"/>
    <col min="9" max="9" width="11.7109375" style="1" bestFit="1" customWidth="1"/>
    <col min="10" max="19" width="9.140625" style="1"/>
    <col min="20" max="20" width="12.7109375" style="1" customWidth="1"/>
    <col min="21" max="16384" width="9.140625" style="1"/>
  </cols>
  <sheetData>
    <row r="3" spans="1:27" ht="18" customHeight="1" x14ac:dyDescent="0.2">
      <c r="A3" t="s">
        <v>83</v>
      </c>
      <c r="B3" t="s">
        <v>1</v>
      </c>
      <c r="C3"/>
      <c r="D3"/>
      <c r="E3"/>
      <c r="F3"/>
      <c r="G3"/>
      <c r="H3"/>
      <c r="I3"/>
      <c r="T3" s="10"/>
      <c r="U3" s="19" t="s">
        <v>84</v>
      </c>
      <c r="V3" s="20"/>
      <c r="W3" s="20"/>
      <c r="X3" s="20"/>
      <c r="Y3" s="20"/>
      <c r="Z3" s="20"/>
      <c r="AA3" s="20"/>
    </row>
    <row r="4" spans="1:27" ht="25.5" x14ac:dyDescent="0.2">
      <c r="A4" t="s">
        <v>2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</v>
      </c>
      <c r="I4" t="s">
        <v>8</v>
      </c>
      <c r="K4" s="1" t="s">
        <v>105</v>
      </c>
      <c r="L4" s="1" t="s">
        <v>85</v>
      </c>
      <c r="M4" s="1" t="s">
        <v>86</v>
      </c>
      <c r="N4" s="1" t="s">
        <v>87</v>
      </c>
      <c r="O4" s="1" t="s">
        <v>88</v>
      </c>
      <c r="P4" s="1" t="s">
        <v>89</v>
      </c>
      <c r="Q4" s="1" t="s">
        <v>90</v>
      </c>
      <c r="R4" s="1" t="s">
        <v>8</v>
      </c>
      <c r="T4" s="10" t="s">
        <v>105</v>
      </c>
      <c r="U4" s="10" t="s">
        <v>92</v>
      </c>
      <c r="V4" s="10" t="s">
        <v>93</v>
      </c>
      <c r="W4" s="10" t="s">
        <v>94</v>
      </c>
      <c r="X4" s="10" t="s">
        <v>95</v>
      </c>
      <c r="Y4" s="10" t="s">
        <v>96</v>
      </c>
      <c r="Z4" s="10" t="s">
        <v>97</v>
      </c>
      <c r="AA4" s="10" t="s">
        <v>104</v>
      </c>
    </row>
    <row r="5" spans="1:27" ht="15" customHeight="1" x14ac:dyDescent="0.2">
      <c r="A5" s="6" t="s">
        <v>106</v>
      </c>
      <c r="B5"/>
      <c r="C5"/>
      <c r="D5"/>
      <c r="E5">
        <v>1</v>
      </c>
      <c r="F5"/>
      <c r="G5"/>
      <c r="H5"/>
      <c r="I5">
        <v>1</v>
      </c>
      <c r="K5" s="1" t="s">
        <v>107</v>
      </c>
      <c r="L5" s="1">
        <f>SUM('[2]Veh-Toll'!L5,'[1]Veh-Toll'!L5,'[3]Veh-Toll'!L5,'[4]Veh-Toll'!L5)</f>
        <v>276</v>
      </c>
      <c r="M5" s="1">
        <f>SUM('[2]Veh-Toll'!M5,'[1]Veh-Toll'!M5,'[3]Veh-Toll'!M5,'[4]Veh-Toll'!M5)</f>
        <v>217</v>
      </c>
      <c r="N5" s="1">
        <f>SUM('[2]Veh-Toll'!N5,'[1]Veh-Toll'!N5,'[3]Veh-Toll'!N5,'[4]Veh-Toll'!N5)</f>
        <v>136</v>
      </c>
      <c r="O5" s="1">
        <f>SUM('[2]Veh-Toll'!O5,'[1]Veh-Toll'!O5,'[3]Veh-Toll'!O5,'[4]Veh-Toll'!O5)</f>
        <v>50</v>
      </c>
      <c r="P5" s="1">
        <f>SUM('[2]Veh-Toll'!P5,'[1]Veh-Toll'!P5,'[3]Veh-Toll'!P5,'[4]Veh-Toll'!P5)</f>
        <v>65</v>
      </c>
      <c r="Q5" s="1">
        <f>SUM('[2]Veh-Toll'!Q5,'[1]Veh-Toll'!Q5,'[3]Veh-Toll'!Q5,'[4]Veh-Toll'!Q5)</f>
        <v>24</v>
      </c>
      <c r="R5" s="1">
        <f>SUM(L5:Q5)</f>
        <v>768</v>
      </c>
      <c r="S5" s="1">
        <v>185</v>
      </c>
      <c r="T5" s="13" t="s">
        <v>107</v>
      </c>
      <c r="U5" s="12">
        <f>L5/$R$15</f>
        <v>5.7024793388429751E-2</v>
      </c>
      <c r="V5" s="12">
        <f t="shared" ref="V5:Z14" si="0">M5/$R$15</f>
        <v>4.4834710743801652E-2</v>
      </c>
      <c r="W5" s="12">
        <f t="shared" si="0"/>
        <v>2.809917355371901E-2</v>
      </c>
      <c r="X5" s="12">
        <f t="shared" si="0"/>
        <v>1.0330578512396695E-2</v>
      </c>
      <c r="Y5" s="12">
        <f t="shared" si="0"/>
        <v>1.3429752066115703E-2</v>
      </c>
      <c r="Z5" s="12">
        <f t="shared" si="0"/>
        <v>4.9586776859504135E-3</v>
      </c>
      <c r="AA5" s="17">
        <f>SUM(U5:Z5)</f>
        <v>0.15867768595041323</v>
      </c>
    </row>
    <row r="6" spans="1:27" ht="15" customHeight="1" x14ac:dyDescent="0.2">
      <c r="A6" s="6" t="s">
        <v>108</v>
      </c>
      <c r="B6">
        <v>44</v>
      </c>
      <c r="C6">
        <v>24</v>
      </c>
      <c r="D6">
        <v>7</v>
      </c>
      <c r="E6"/>
      <c r="F6">
        <v>3</v>
      </c>
      <c r="G6">
        <v>1</v>
      </c>
      <c r="H6"/>
      <c r="I6">
        <v>79</v>
      </c>
      <c r="K6" s="1" t="s">
        <v>109</v>
      </c>
      <c r="L6" s="1">
        <f>SUM('[2]Veh-Toll'!L6,'[1]Veh-Toll'!L6,'[3]Veh-Toll'!L6,'[4]Veh-Toll'!L6)</f>
        <v>8</v>
      </c>
      <c r="M6" s="1">
        <f>SUM('[2]Veh-Toll'!M6,'[1]Veh-Toll'!M6,'[3]Veh-Toll'!M6,'[4]Veh-Toll'!M6)</f>
        <v>13</v>
      </c>
      <c r="N6" s="1">
        <f>SUM('[2]Veh-Toll'!N6,'[1]Veh-Toll'!N6,'[3]Veh-Toll'!N6,'[4]Veh-Toll'!N6)</f>
        <v>7</v>
      </c>
      <c r="O6" s="1">
        <f>SUM('[2]Veh-Toll'!O6,'[1]Veh-Toll'!O6,'[3]Veh-Toll'!O6,'[4]Veh-Toll'!O6)</f>
        <v>9</v>
      </c>
      <c r="P6" s="1">
        <f>SUM('[2]Veh-Toll'!P6,'[1]Veh-Toll'!P6,'[3]Veh-Toll'!P6,'[4]Veh-Toll'!P6)</f>
        <v>18</v>
      </c>
      <c r="Q6" s="1">
        <f>SUM('[2]Veh-Toll'!Q6,'[1]Veh-Toll'!Q6,'[3]Veh-Toll'!Q6,'[4]Veh-Toll'!Q6)</f>
        <v>4</v>
      </c>
      <c r="R6" s="1">
        <f t="shared" ref="R6:R14" si="1">SUM(L6:Q6)</f>
        <v>59</v>
      </c>
      <c r="S6" s="1">
        <v>6</v>
      </c>
      <c r="T6" s="13" t="s">
        <v>109</v>
      </c>
      <c r="U6" s="12">
        <f t="shared" ref="U6:U14" si="2">L6/$R$15</f>
        <v>1.652892561983471E-3</v>
      </c>
      <c r="V6" s="12">
        <f t="shared" si="0"/>
        <v>2.6859504132231405E-3</v>
      </c>
      <c r="W6" s="12">
        <f t="shared" si="0"/>
        <v>1.4462809917355371E-3</v>
      </c>
      <c r="X6" s="12">
        <f t="shared" si="0"/>
        <v>1.859504132231405E-3</v>
      </c>
      <c r="Y6" s="12">
        <f t="shared" si="0"/>
        <v>3.7190082644628099E-3</v>
      </c>
      <c r="Z6" s="12">
        <f t="shared" si="0"/>
        <v>8.2644628099173552E-4</v>
      </c>
      <c r="AA6" s="17">
        <f t="shared" ref="AA6:AA15" si="3">SUM(U6:Z6)</f>
        <v>1.2190082644628099E-2</v>
      </c>
    </row>
    <row r="7" spans="1:27" ht="15" customHeight="1" x14ac:dyDescent="0.2">
      <c r="A7" s="6" t="s">
        <v>110</v>
      </c>
      <c r="B7"/>
      <c r="C7"/>
      <c r="D7"/>
      <c r="E7"/>
      <c r="F7"/>
      <c r="G7">
        <v>1</v>
      </c>
      <c r="H7"/>
      <c r="I7">
        <v>1</v>
      </c>
      <c r="K7" s="1" t="s">
        <v>111</v>
      </c>
      <c r="L7" s="1">
        <f>SUM('[2]Veh-Toll'!L7,'[1]Veh-Toll'!L7,'[3]Veh-Toll'!L7,'[4]Veh-Toll'!L7)</f>
        <v>258</v>
      </c>
      <c r="M7" s="1">
        <f>SUM('[2]Veh-Toll'!M7,'[1]Veh-Toll'!M7,'[3]Veh-Toll'!M7,'[4]Veh-Toll'!M7)</f>
        <v>180</v>
      </c>
      <c r="N7" s="1">
        <f>SUM('[2]Veh-Toll'!N7,'[1]Veh-Toll'!N7,'[3]Veh-Toll'!N7,'[4]Veh-Toll'!N7)</f>
        <v>148</v>
      </c>
      <c r="O7" s="1">
        <f>SUM('[2]Veh-Toll'!O7,'[1]Veh-Toll'!O7,'[3]Veh-Toll'!O7,'[4]Veh-Toll'!O7)</f>
        <v>76</v>
      </c>
      <c r="P7" s="1">
        <f>SUM('[2]Veh-Toll'!P7,'[1]Veh-Toll'!P7,'[3]Veh-Toll'!P7,'[4]Veh-Toll'!P7)</f>
        <v>115</v>
      </c>
      <c r="Q7" s="1">
        <f>SUM('[2]Veh-Toll'!Q7,'[1]Veh-Toll'!Q7,'[3]Veh-Toll'!Q7,'[4]Veh-Toll'!Q7)</f>
        <v>57</v>
      </c>
      <c r="R7" s="1">
        <f t="shared" si="1"/>
        <v>834</v>
      </c>
      <c r="S7" s="1">
        <v>397</v>
      </c>
      <c r="T7" s="13" t="s">
        <v>111</v>
      </c>
      <c r="U7" s="12">
        <f t="shared" si="2"/>
        <v>5.3305785123966942E-2</v>
      </c>
      <c r="V7" s="12">
        <f t="shared" si="0"/>
        <v>3.71900826446281E-2</v>
      </c>
      <c r="W7" s="12">
        <f t="shared" si="0"/>
        <v>3.0578512396694214E-2</v>
      </c>
      <c r="X7" s="12">
        <f t="shared" si="0"/>
        <v>1.5702479338842976E-2</v>
      </c>
      <c r="Y7" s="12">
        <f t="shared" si="0"/>
        <v>2.3760330578512397E-2</v>
      </c>
      <c r="Z7" s="12">
        <f t="shared" si="0"/>
        <v>1.1776859504132231E-2</v>
      </c>
      <c r="AA7" s="17">
        <f t="shared" si="3"/>
        <v>0.17231404958677687</v>
      </c>
    </row>
    <row r="8" spans="1:27" ht="15" customHeight="1" x14ac:dyDescent="0.2">
      <c r="A8" s="6" t="s">
        <v>107</v>
      </c>
      <c r="B8">
        <v>75</v>
      </c>
      <c r="C8">
        <v>54</v>
      </c>
      <c r="D8">
        <v>24</v>
      </c>
      <c r="E8">
        <v>8</v>
      </c>
      <c r="F8">
        <v>17</v>
      </c>
      <c r="G8">
        <v>7</v>
      </c>
      <c r="H8"/>
      <c r="I8">
        <v>185</v>
      </c>
      <c r="K8" s="1" t="s">
        <v>112</v>
      </c>
      <c r="L8" s="1">
        <f>SUM('[2]Veh-Toll'!L8,'[1]Veh-Toll'!L8,'[3]Veh-Toll'!L8,'[4]Veh-Toll'!L8)</f>
        <v>25</v>
      </c>
      <c r="M8" s="1">
        <f>SUM('[2]Veh-Toll'!M8,'[1]Veh-Toll'!M8,'[3]Veh-Toll'!M8,'[4]Veh-Toll'!M8)</f>
        <v>36</v>
      </c>
      <c r="N8" s="1">
        <f>SUM('[2]Veh-Toll'!N8,'[1]Veh-Toll'!N8,'[3]Veh-Toll'!N8,'[4]Veh-Toll'!N8)</f>
        <v>22</v>
      </c>
      <c r="O8" s="1">
        <f>SUM('[2]Veh-Toll'!O8,'[1]Veh-Toll'!O8,'[3]Veh-Toll'!O8,'[4]Veh-Toll'!O8)</f>
        <v>14</v>
      </c>
      <c r="P8" s="1">
        <f>SUM('[2]Veh-Toll'!P8,'[1]Veh-Toll'!P8,'[3]Veh-Toll'!P8,'[4]Veh-Toll'!P8)</f>
        <v>7</v>
      </c>
      <c r="Q8" s="1">
        <f>SUM('[2]Veh-Toll'!Q8,'[1]Veh-Toll'!Q8,'[3]Veh-Toll'!Q8,'[4]Veh-Toll'!Q8)</f>
        <v>4</v>
      </c>
      <c r="R8" s="1">
        <f t="shared" si="1"/>
        <v>108</v>
      </c>
      <c r="S8" s="1">
        <v>10</v>
      </c>
      <c r="T8" s="13" t="s">
        <v>112</v>
      </c>
      <c r="U8" s="12">
        <f t="shared" si="2"/>
        <v>5.1652892561983473E-3</v>
      </c>
      <c r="V8" s="12">
        <f t="shared" si="0"/>
        <v>7.4380165289256199E-3</v>
      </c>
      <c r="W8" s="12">
        <f t="shared" si="0"/>
        <v>4.5454545454545452E-3</v>
      </c>
      <c r="X8" s="12">
        <f t="shared" si="0"/>
        <v>2.8925619834710742E-3</v>
      </c>
      <c r="Y8" s="12">
        <f t="shared" si="0"/>
        <v>1.4462809917355371E-3</v>
      </c>
      <c r="Z8" s="12">
        <f t="shared" si="0"/>
        <v>8.2644628099173552E-4</v>
      </c>
      <c r="AA8" s="17">
        <f t="shared" si="3"/>
        <v>2.2314049586776862E-2</v>
      </c>
    </row>
    <row r="9" spans="1:27" ht="15" customHeight="1" x14ac:dyDescent="0.2">
      <c r="A9" s="6" t="s">
        <v>109</v>
      </c>
      <c r="B9">
        <v>1</v>
      </c>
      <c r="C9"/>
      <c r="D9">
        <v>1</v>
      </c>
      <c r="E9"/>
      <c r="F9">
        <v>3</v>
      </c>
      <c r="G9">
        <v>1</v>
      </c>
      <c r="H9"/>
      <c r="I9">
        <v>6</v>
      </c>
      <c r="K9" s="1" t="s">
        <v>113</v>
      </c>
      <c r="L9" s="1">
        <f>SUM('[2]Veh-Toll'!L9,'[1]Veh-Toll'!L9,'[3]Veh-Toll'!L9,'[4]Veh-Toll'!L9)</f>
        <v>34</v>
      </c>
      <c r="M9" s="1">
        <f>SUM('[2]Veh-Toll'!M9,'[1]Veh-Toll'!M9,'[3]Veh-Toll'!M9,'[4]Veh-Toll'!M9)</f>
        <v>35</v>
      </c>
      <c r="N9" s="1">
        <f>SUM('[2]Veh-Toll'!N9,'[1]Veh-Toll'!N9,'[3]Veh-Toll'!N9,'[4]Veh-Toll'!N9)</f>
        <v>27</v>
      </c>
      <c r="O9" s="1">
        <f>SUM('[2]Veh-Toll'!O9,'[1]Veh-Toll'!O9,'[3]Veh-Toll'!O9,'[4]Veh-Toll'!O9)</f>
        <v>20</v>
      </c>
      <c r="P9" s="1">
        <f>SUM('[2]Veh-Toll'!P9,'[1]Veh-Toll'!P9,'[3]Veh-Toll'!P9,'[4]Veh-Toll'!P9)</f>
        <v>15</v>
      </c>
      <c r="Q9" s="1">
        <f>SUM('[2]Veh-Toll'!Q9,'[1]Veh-Toll'!Q9,'[3]Veh-Toll'!Q9,'[4]Veh-Toll'!Q9)</f>
        <v>3</v>
      </c>
      <c r="R9" s="1">
        <f t="shared" si="1"/>
        <v>134</v>
      </c>
      <c r="S9" s="1">
        <v>30</v>
      </c>
      <c r="T9" s="13" t="s">
        <v>113</v>
      </c>
      <c r="U9" s="12">
        <f t="shared" si="2"/>
        <v>7.0247933884297524E-3</v>
      </c>
      <c r="V9" s="12">
        <f t="shared" si="0"/>
        <v>7.2314049586776862E-3</v>
      </c>
      <c r="W9" s="12">
        <f t="shared" si="0"/>
        <v>5.5785123966942147E-3</v>
      </c>
      <c r="X9" s="12">
        <f t="shared" si="0"/>
        <v>4.1322314049586778E-3</v>
      </c>
      <c r="Y9" s="12">
        <f t="shared" si="0"/>
        <v>3.0991735537190084E-3</v>
      </c>
      <c r="Z9" s="12">
        <f t="shared" si="0"/>
        <v>6.1983471074380169E-4</v>
      </c>
      <c r="AA9" s="17">
        <f t="shared" si="3"/>
        <v>2.7685950413223137E-2</v>
      </c>
    </row>
    <row r="10" spans="1:27" ht="15" customHeight="1" x14ac:dyDescent="0.2">
      <c r="A10" s="6" t="s">
        <v>111</v>
      </c>
      <c r="B10">
        <v>144</v>
      </c>
      <c r="C10">
        <v>68</v>
      </c>
      <c r="D10">
        <v>66</v>
      </c>
      <c r="E10">
        <v>43</v>
      </c>
      <c r="F10">
        <v>59</v>
      </c>
      <c r="G10">
        <v>17</v>
      </c>
      <c r="H10"/>
      <c r="I10">
        <v>397</v>
      </c>
      <c r="K10" s="1" t="s">
        <v>114</v>
      </c>
      <c r="L10" s="1">
        <f>SUM('[2]Veh-Toll'!L10,'[1]Veh-Toll'!L10,'[3]Veh-Toll'!L10,'[4]Veh-Toll'!L10)</f>
        <v>11</v>
      </c>
      <c r="M10" s="1">
        <f>SUM('[2]Veh-Toll'!M10,'[1]Veh-Toll'!M10,'[3]Veh-Toll'!M10,'[4]Veh-Toll'!M10)</f>
        <v>19</v>
      </c>
      <c r="N10" s="1">
        <f>SUM('[2]Veh-Toll'!N10,'[1]Veh-Toll'!N10,'[3]Veh-Toll'!N10,'[4]Veh-Toll'!N10)</f>
        <v>4</v>
      </c>
      <c r="O10" s="1">
        <f>SUM('[2]Veh-Toll'!O10,'[1]Veh-Toll'!O10,'[3]Veh-Toll'!O10,'[4]Veh-Toll'!O10)</f>
        <v>15</v>
      </c>
      <c r="P10" s="1">
        <f>SUM('[2]Veh-Toll'!P10,'[1]Veh-Toll'!P10,'[3]Veh-Toll'!P10,'[4]Veh-Toll'!P10)</f>
        <v>14</v>
      </c>
      <c r="Q10" s="1">
        <f>SUM('[2]Veh-Toll'!Q10,'[1]Veh-Toll'!Q10,'[3]Veh-Toll'!Q10,'[4]Veh-Toll'!Q10)</f>
        <v>1</v>
      </c>
      <c r="R10" s="1">
        <f t="shared" si="1"/>
        <v>64</v>
      </c>
      <c r="S10" s="1">
        <v>3</v>
      </c>
      <c r="T10" s="13" t="s">
        <v>114</v>
      </c>
      <c r="U10" s="12">
        <f t="shared" si="2"/>
        <v>2.2727272727272726E-3</v>
      </c>
      <c r="V10" s="12">
        <f t="shared" si="0"/>
        <v>3.9256198347107441E-3</v>
      </c>
      <c r="W10" s="12">
        <f t="shared" si="0"/>
        <v>8.2644628099173552E-4</v>
      </c>
      <c r="X10" s="12">
        <f t="shared" si="0"/>
        <v>3.0991735537190084E-3</v>
      </c>
      <c r="Y10" s="12">
        <f t="shared" si="0"/>
        <v>2.8925619834710742E-3</v>
      </c>
      <c r="Z10" s="12">
        <f t="shared" si="0"/>
        <v>2.0661157024793388E-4</v>
      </c>
      <c r="AA10" s="17">
        <f t="shared" si="3"/>
        <v>1.3223140495867768E-2</v>
      </c>
    </row>
    <row r="11" spans="1:27" ht="15" customHeight="1" x14ac:dyDescent="0.2">
      <c r="A11" s="6" t="s">
        <v>112</v>
      </c>
      <c r="B11">
        <v>1</v>
      </c>
      <c r="C11">
        <v>4</v>
      </c>
      <c r="D11">
        <v>2</v>
      </c>
      <c r="E11">
        <v>1</v>
      </c>
      <c r="F11">
        <v>2</v>
      </c>
      <c r="G11"/>
      <c r="H11"/>
      <c r="I11">
        <v>10</v>
      </c>
      <c r="K11" s="1" t="s">
        <v>115</v>
      </c>
      <c r="L11" s="1">
        <f>SUM('[2]Veh-Toll'!L11,'[1]Veh-Toll'!L11,'[3]Veh-Toll'!L11,'[4]Veh-Toll'!L11)</f>
        <v>1020</v>
      </c>
      <c r="M11" s="1">
        <f>SUM('[2]Veh-Toll'!M11,'[1]Veh-Toll'!M11,'[3]Veh-Toll'!M11,'[4]Veh-Toll'!M11)</f>
        <v>636</v>
      </c>
      <c r="N11" s="1">
        <f>SUM('[2]Veh-Toll'!N11,'[1]Veh-Toll'!N11,'[3]Veh-Toll'!N11,'[4]Veh-Toll'!N11)</f>
        <v>338</v>
      </c>
      <c r="O11" s="1">
        <f>SUM('[2]Veh-Toll'!O11,'[1]Veh-Toll'!O11,'[3]Veh-Toll'!O11,'[4]Veh-Toll'!O11)</f>
        <v>204</v>
      </c>
      <c r="P11" s="1">
        <f>SUM('[2]Veh-Toll'!P11,'[1]Veh-Toll'!P11,'[3]Veh-Toll'!P11,'[4]Veh-Toll'!P11)</f>
        <v>192</v>
      </c>
      <c r="Q11" s="1">
        <f>SUM('[2]Veh-Toll'!Q11,'[1]Veh-Toll'!Q11,'[3]Veh-Toll'!Q11,'[4]Veh-Toll'!Q11)</f>
        <v>52</v>
      </c>
      <c r="R11" s="1">
        <f t="shared" si="1"/>
        <v>2442</v>
      </c>
      <c r="S11" s="1">
        <v>759</v>
      </c>
      <c r="T11" s="13" t="s">
        <v>115</v>
      </c>
      <c r="U11" s="12">
        <f t="shared" si="2"/>
        <v>0.21074380165289255</v>
      </c>
      <c r="V11" s="12">
        <f t="shared" si="0"/>
        <v>0.13140495867768595</v>
      </c>
      <c r="W11" s="12">
        <f t="shared" si="0"/>
        <v>6.9834710743801653E-2</v>
      </c>
      <c r="X11" s="12">
        <f t="shared" si="0"/>
        <v>4.2148760330578509E-2</v>
      </c>
      <c r="Y11" s="12">
        <f t="shared" si="0"/>
        <v>3.9669421487603308E-2</v>
      </c>
      <c r="Z11" s="12">
        <f t="shared" si="0"/>
        <v>1.0743801652892562E-2</v>
      </c>
      <c r="AA11" s="17">
        <f t="shared" si="3"/>
        <v>0.50454545454545452</v>
      </c>
    </row>
    <row r="12" spans="1:27" ht="15" customHeight="1" x14ac:dyDescent="0.2">
      <c r="A12" s="6" t="s">
        <v>113</v>
      </c>
      <c r="B12">
        <v>9</v>
      </c>
      <c r="C12">
        <v>4</v>
      </c>
      <c r="D12">
        <v>5</v>
      </c>
      <c r="E12">
        <v>6</v>
      </c>
      <c r="F12">
        <v>3</v>
      </c>
      <c r="G12">
        <v>3</v>
      </c>
      <c r="H12"/>
      <c r="I12">
        <v>30</v>
      </c>
      <c r="K12" s="1" t="s">
        <v>116</v>
      </c>
      <c r="L12" s="1">
        <f>SUM('[2]Veh-Toll'!L12,'[1]Veh-Toll'!L12,'[3]Veh-Toll'!L12,'[4]Veh-Toll'!L12)</f>
        <v>64</v>
      </c>
      <c r="M12" s="1">
        <f>SUM('[2]Veh-Toll'!M12,'[1]Veh-Toll'!M12,'[3]Veh-Toll'!M12,'[4]Veh-Toll'!M12)</f>
        <v>35</v>
      </c>
      <c r="N12" s="1">
        <f>SUM('[2]Veh-Toll'!N12,'[1]Veh-Toll'!N12,'[3]Veh-Toll'!N12,'[4]Veh-Toll'!N12)</f>
        <v>31</v>
      </c>
      <c r="O12" s="1">
        <f>SUM('[2]Veh-Toll'!O12,'[1]Veh-Toll'!O12,'[3]Veh-Toll'!O12,'[4]Veh-Toll'!O12)</f>
        <v>13</v>
      </c>
      <c r="P12" s="1">
        <f>SUM('[2]Veh-Toll'!P12,'[1]Veh-Toll'!P12,'[3]Veh-Toll'!P12,'[4]Veh-Toll'!P12)</f>
        <v>14</v>
      </c>
      <c r="Q12" s="1">
        <f>SUM('[2]Veh-Toll'!Q12,'[1]Veh-Toll'!Q12,'[3]Veh-Toll'!Q12,'[4]Veh-Toll'!Q12)</f>
        <v>4</v>
      </c>
      <c r="R12" s="1">
        <f t="shared" si="1"/>
        <v>161</v>
      </c>
      <c r="S12" s="1">
        <v>14</v>
      </c>
      <c r="T12" s="13" t="s">
        <v>116</v>
      </c>
      <c r="U12" s="12">
        <f t="shared" si="2"/>
        <v>1.3223140495867768E-2</v>
      </c>
      <c r="V12" s="12">
        <f t="shared" si="0"/>
        <v>7.2314049586776862E-3</v>
      </c>
      <c r="W12" s="12">
        <f t="shared" si="0"/>
        <v>6.4049586776859504E-3</v>
      </c>
      <c r="X12" s="12">
        <f t="shared" si="0"/>
        <v>2.6859504132231405E-3</v>
      </c>
      <c r="Y12" s="12">
        <f t="shared" si="0"/>
        <v>2.8925619834710742E-3</v>
      </c>
      <c r="Z12" s="12">
        <f t="shared" si="0"/>
        <v>8.2644628099173552E-4</v>
      </c>
      <c r="AA12" s="17">
        <f t="shared" si="3"/>
        <v>3.3264462809917357E-2</v>
      </c>
    </row>
    <row r="13" spans="1:27" ht="15" customHeight="1" x14ac:dyDescent="0.2">
      <c r="A13" s="6" t="s">
        <v>114</v>
      </c>
      <c r="B13">
        <v>1</v>
      </c>
      <c r="C13"/>
      <c r="D13"/>
      <c r="E13"/>
      <c r="F13">
        <v>2</v>
      </c>
      <c r="G13"/>
      <c r="H13"/>
      <c r="I13">
        <v>3</v>
      </c>
      <c r="K13" s="1" t="s">
        <v>117</v>
      </c>
      <c r="L13" s="1">
        <f>SUM('[2]Veh-Toll'!L13,'[1]Veh-Toll'!L13,'[3]Veh-Toll'!L13,'[4]Veh-Toll'!L13)</f>
        <v>54</v>
      </c>
      <c r="M13" s="1">
        <f>SUM('[2]Veh-Toll'!M13,'[1]Veh-Toll'!M13,'[3]Veh-Toll'!M13,'[4]Veh-Toll'!M13)</f>
        <v>70</v>
      </c>
      <c r="N13" s="1">
        <f>SUM('[2]Veh-Toll'!N13,'[1]Veh-Toll'!N13,'[3]Veh-Toll'!N13,'[4]Veh-Toll'!N13)</f>
        <v>40</v>
      </c>
      <c r="O13" s="1">
        <f>SUM('[2]Veh-Toll'!O13,'[1]Veh-Toll'!O13,'[3]Veh-Toll'!O13,'[4]Veh-Toll'!O13)</f>
        <v>20</v>
      </c>
      <c r="P13" s="1">
        <f>SUM('[2]Veh-Toll'!P13,'[1]Veh-Toll'!P13,'[3]Veh-Toll'!P13,'[4]Veh-Toll'!P13)</f>
        <v>40</v>
      </c>
      <c r="Q13" s="1">
        <f>SUM('[2]Veh-Toll'!Q13,'[1]Veh-Toll'!Q13,'[3]Veh-Toll'!Q13,'[4]Veh-Toll'!Q13)</f>
        <v>27</v>
      </c>
      <c r="R13" s="1">
        <f t="shared" si="1"/>
        <v>251</v>
      </c>
      <c r="S13" s="1">
        <v>66</v>
      </c>
      <c r="T13" s="13" t="s">
        <v>117</v>
      </c>
      <c r="U13" s="12">
        <f t="shared" si="2"/>
        <v>1.1157024793388429E-2</v>
      </c>
      <c r="V13" s="12">
        <f t="shared" si="0"/>
        <v>1.4462809917355372E-2</v>
      </c>
      <c r="W13" s="12">
        <f t="shared" si="0"/>
        <v>8.2644628099173556E-3</v>
      </c>
      <c r="X13" s="12">
        <f t="shared" si="0"/>
        <v>4.1322314049586778E-3</v>
      </c>
      <c r="Y13" s="12">
        <f t="shared" si="0"/>
        <v>8.2644628099173556E-3</v>
      </c>
      <c r="Z13" s="12">
        <f t="shared" si="0"/>
        <v>5.5785123966942147E-3</v>
      </c>
      <c r="AA13" s="17">
        <f t="shared" si="3"/>
        <v>5.1859504132231407E-2</v>
      </c>
    </row>
    <row r="14" spans="1:27" ht="15" customHeight="1" x14ac:dyDescent="0.2">
      <c r="A14" s="6" t="s">
        <v>115</v>
      </c>
      <c r="B14">
        <v>302</v>
      </c>
      <c r="C14">
        <v>164</v>
      </c>
      <c r="D14">
        <v>94</v>
      </c>
      <c r="E14">
        <v>81</v>
      </c>
      <c r="F14">
        <v>86</v>
      </c>
      <c r="G14">
        <v>32</v>
      </c>
      <c r="H14"/>
      <c r="I14">
        <v>759</v>
      </c>
      <c r="K14" s="1" t="s">
        <v>118</v>
      </c>
      <c r="L14" s="1">
        <f>SUM('[2]Veh-Toll'!L14,'[1]Veh-Toll'!L14,'[3]Veh-Toll'!L14,'[4]Veh-Toll'!L14)</f>
        <v>3</v>
      </c>
      <c r="M14" s="1">
        <f>SUM('[2]Veh-Toll'!M14,'[1]Veh-Toll'!M14,'[3]Veh-Toll'!M14,'[4]Veh-Toll'!M14)</f>
        <v>9</v>
      </c>
      <c r="N14" s="1">
        <f>SUM('[2]Veh-Toll'!N14,'[1]Veh-Toll'!N14,'[3]Veh-Toll'!N14,'[4]Veh-Toll'!N14)</f>
        <v>1</v>
      </c>
      <c r="O14" s="1">
        <f>SUM('[2]Veh-Toll'!O14,'[1]Veh-Toll'!O14,'[3]Veh-Toll'!O14,'[4]Veh-Toll'!O14)</f>
        <v>1</v>
      </c>
      <c r="P14" s="1">
        <f>SUM('[2]Veh-Toll'!P14,'[1]Veh-Toll'!P14,'[3]Veh-Toll'!P14,'[4]Veh-Toll'!P14)</f>
        <v>4</v>
      </c>
      <c r="Q14" s="1">
        <f>SUM('[2]Veh-Toll'!Q14,'[1]Veh-Toll'!Q14,'[3]Veh-Toll'!Q14,'[4]Veh-Toll'!Q14)</f>
        <v>1</v>
      </c>
      <c r="R14" s="1">
        <f t="shared" si="1"/>
        <v>19</v>
      </c>
      <c r="T14" s="13" t="s">
        <v>118</v>
      </c>
      <c r="U14" s="12">
        <f t="shared" si="2"/>
        <v>6.1983471074380169E-4</v>
      </c>
      <c r="V14" s="12">
        <f t="shared" si="0"/>
        <v>1.859504132231405E-3</v>
      </c>
      <c r="W14" s="12">
        <f t="shared" si="0"/>
        <v>2.0661157024793388E-4</v>
      </c>
      <c r="X14" s="12">
        <f t="shared" si="0"/>
        <v>2.0661157024793388E-4</v>
      </c>
      <c r="Y14" s="12">
        <f t="shared" si="0"/>
        <v>8.2644628099173552E-4</v>
      </c>
      <c r="Z14" s="12">
        <f t="shared" si="0"/>
        <v>2.0661157024793388E-4</v>
      </c>
      <c r="AA14" s="17">
        <f t="shared" si="3"/>
        <v>3.9256198347107432E-3</v>
      </c>
    </row>
    <row r="15" spans="1:27" ht="15" customHeight="1" x14ac:dyDescent="0.2">
      <c r="A15" s="6" t="s">
        <v>116</v>
      </c>
      <c r="B15">
        <v>5</v>
      </c>
      <c r="C15">
        <v>5</v>
      </c>
      <c r="D15">
        <v>1</v>
      </c>
      <c r="E15"/>
      <c r="F15">
        <v>3</v>
      </c>
      <c r="G15"/>
      <c r="H15"/>
      <c r="I15">
        <v>14</v>
      </c>
      <c r="R15" s="1">
        <f>SUM(R5:R14)</f>
        <v>4840</v>
      </c>
      <c r="T15" s="18" t="s">
        <v>104</v>
      </c>
      <c r="U15" s="17">
        <f>SUM(U5:U14)</f>
        <v>0.36219008264462804</v>
      </c>
      <c r="V15" s="17">
        <f t="shared" ref="V15:Z15" si="4">SUM(V5:V14)</f>
        <v>0.25826446280991738</v>
      </c>
      <c r="W15" s="17">
        <f t="shared" si="4"/>
        <v>0.15578512396694216</v>
      </c>
      <c r="X15" s="17">
        <f t="shared" si="4"/>
        <v>8.7190082644628089E-2</v>
      </c>
      <c r="Y15" s="17">
        <f t="shared" si="4"/>
        <v>0.1</v>
      </c>
      <c r="Z15" s="17">
        <f t="shared" si="4"/>
        <v>3.6570247933884296E-2</v>
      </c>
      <c r="AA15" s="17">
        <f t="shared" si="3"/>
        <v>0.99999999999999989</v>
      </c>
    </row>
    <row r="16" spans="1:27" x14ac:dyDescent="0.2">
      <c r="A16" s="6" t="s">
        <v>117</v>
      </c>
      <c r="B16">
        <v>23</v>
      </c>
      <c r="C16">
        <v>18</v>
      </c>
      <c r="D16">
        <v>10</v>
      </c>
      <c r="E16">
        <v>2</v>
      </c>
      <c r="F16">
        <v>7</v>
      </c>
      <c r="G16">
        <v>6</v>
      </c>
      <c r="H16"/>
      <c r="I16">
        <v>66</v>
      </c>
    </row>
    <row r="17" spans="1:9" x14ac:dyDescent="0.2">
      <c r="A17" s="6" t="s">
        <v>9</v>
      </c>
      <c r="B17"/>
      <c r="C17"/>
      <c r="D17"/>
      <c r="E17"/>
      <c r="F17"/>
      <c r="G17"/>
      <c r="H17"/>
      <c r="I17"/>
    </row>
    <row r="18" spans="1:9" x14ac:dyDescent="0.2">
      <c r="A18" s="6" t="s">
        <v>8</v>
      </c>
      <c r="B18">
        <v>605</v>
      </c>
      <c r="C18">
        <v>341</v>
      </c>
      <c r="D18">
        <v>210</v>
      </c>
      <c r="E18">
        <v>142</v>
      </c>
      <c r="F18">
        <v>185</v>
      </c>
      <c r="G18">
        <v>68</v>
      </c>
      <c r="H18"/>
      <c r="I18">
        <v>1551</v>
      </c>
    </row>
    <row r="19" spans="1:9" x14ac:dyDescent="0.2">
      <c r="A19"/>
      <c r="B19"/>
      <c r="C19"/>
    </row>
    <row r="20" spans="1:9" x14ac:dyDescent="0.2">
      <c r="A20"/>
      <c r="B20"/>
      <c r="C20"/>
    </row>
  </sheetData>
  <mergeCells count="1">
    <mergeCell ref="U3:AA3"/>
  </mergeCells>
  <phoneticPr fontId="8" type="noConversion"/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Age</vt:lpstr>
      <vt:lpstr>Journey P</vt:lpstr>
      <vt:lpstr>Dist-Time</vt:lpstr>
      <vt:lpstr>Dist-Time Toll</vt:lpstr>
      <vt:lpstr>Income-Toll</vt:lpstr>
      <vt:lpstr>Veh-Toll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2020-03-17T15:44:34Z</dcterms:created>
  <dcterms:modified xsi:type="dcterms:W3CDTF">2020-03-17T22:43:38Z</dcterms:modified>
</cp:coreProperties>
</file>